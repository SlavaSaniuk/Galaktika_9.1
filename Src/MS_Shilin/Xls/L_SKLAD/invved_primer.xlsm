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4.xml" ContentType="application/vnd.openxmlformats-officedocument.spreadsheetml.worksheet+xml"/>
  <Override PartName="/xl/activeX/activeX2.bin" ContentType="application/vnd.ms-office.activeX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ЭтаКнига" defaultThemeVersion="124226"/>
  <bookViews>
    <workbookView xWindow="120" yWindow="15" windowWidth="10410" windowHeight="4980" tabRatio="854" firstSheet="32" activeTab="37"/>
  </bookViews>
  <sheets>
    <sheet name="Gal_TblSheet" sheetId="82" state="hidden" r:id="rId1"/>
    <sheet name="Gal_VarSheet" sheetId="83" state="hidden" r:id="rId2"/>
    <sheet name="ИНВ-3-Транснефть" sheetId="63" state="hidden" r:id="rId3"/>
    <sheet name="ИНВ-3" sheetId="8" state="hidden" r:id="rId4"/>
    <sheet name="ИНВ-3b-dei" sheetId="27" state="hidden" r:id="rId5"/>
    <sheet name="ИНВ-3b" sheetId="86" state="hidden" r:id="rId6"/>
    <sheet name="ИНВ-3_" sheetId="12" state="hidden" r:id="rId7"/>
    <sheet name="FO" sheetId="9" state="hidden" r:id="rId8"/>
    <sheet name="FOb" sheetId="85" state="hidden" r:id="rId9"/>
    <sheet name="FO2_dei" sheetId="29" state="hidden" r:id="rId10"/>
    <sheet name="FO2" sheetId="13" state="hidden" r:id="rId11"/>
    <sheet name="ИНВ-19-Транснефть" sheetId="61" state="hidden" r:id="rId12"/>
    <sheet name="ИНВ-19" sheetId="84" state="hidden" r:id="rId13"/>
    <sheet name="ИНВ-16-dei" sheetId="28" state="hidden" r:id="rId14"/>
    <sheet name="ИНВ-16" sheetId="19" state="hidden" r:id="rId15"/>
    <sheet name="ИНВ-19_" sheetId="15" state="hidden" r:id="rId16"/>
    <sheet name="itog" sheetId="88" state="hidden" r:id="rId17"/>
    <sheet name="itog1" sheetId="89" state="hidden" r:id="rId18"/>
    <sheet name="itog3" sheetId="80" state="hidden" r:id="rId19"/>
    <sheet name="itog2" sheetId="90" state="hidden" r:id="rId20"/>
    <sheet name="itog16b" sheetId="87" state="hidden" r:id="rId21"/>
    <sheet name="итог" sheetId="5" state="hidden" r:id="rId22"/>
    <sheet name="итог_ЦУ" sheetId="72" state="hidden" r:id="rId23"/>
    <sheet name="итог2" sheetId="14" state="hidden" r:id="rId24"/>
    <sheet name="СлВед_Нефин" sheetId="23" state="hidden" r:id="rId25"/>
    <sheet name="СлВед_Нефин2" sheetId="24" state="hidden" r:id="rId26"/>
    <sheet name="СлВед_Нефин3" sheetId="79" state="hidden" r:id="rId27"/>
    <sheet name="Prikaz_rus" sheetId="26" state="hidden" r:id="rId28"/>
    <sheet name="Инв-16-1" sheetId="33" state="hidden" r:id="rId29"/>
    <sheet name="Инв-16-2" sheetId="34" state="hidden" r:id="rId30"/>
    <sheet name="ИНВ-16-3" sheetId="35" state="hidden" r:id="rId31"/>
    <sheet name="ИНВ-16-1r-Транснефть" sheetId="62" state="hidden" r:id="rId32"/>
    <sheet name="ИНВ-16-1r" sheetId="49" r:id="rId33"/>
    <sheet name="Инв-16-2r" sheetId="52" r:id="rId34"/>
    <sheet name="ИНВ-16-3r" sheetId="51" r:id="rId35"/>
    <sheet name="ИНВ-13_2" sheetId="59" state="hidden" r:id="rId36"/>
    <sheet name="ИНВ-13_Vol" sheetId="67" state="hidden" r:id="rId37"/>
    <sheet name="ИНВ-13" sheetId="39" r:id="rId38"/>
    <sheet name="инв5_1" sheetId="41" state="hidden" r:id="rId39"/>
    <sheet name="инв5_2" sheetId="42" state="hidden" r:id="rId40"/>
    <sheet name="инв5" sheetId="43" state="hidden" r:id="rId41"/>
    <sheet name="Форма 401" sheetId="44" state="hidden" r:id="rId42"/>
    <sheet name="Акт_инв" sheetId="45" state="hidden" r:id="rId43"/>
    <sheet name="0504092" sheetId="48" state="hidden" r:id="rId44"/>
    <sheet name="ИНВ-6" sheetId="53" state="hidden" r:id="rId45"/>
    <sheet name="ИНВ-6-2" sheetId="60" state="hidden" r:id="rId46"/>
    <sheet name="ОП-15" sheetId="64" state="hidden" r:id="rId47"/>
    <sheet name="инв10_1b" sheetId="68" state="hidden" r:id="rId48"/>
    <sheet name="инв10_2b" sheetId="71" state="hidden" r:id="rId49"/>
    <sheet name="инв10b" sheetId="70" state="hidden" r:id="rId50"/>
    <sheet name="Prikaz_bel" sheetId="81" state="hidden" r:id="rId51"/>
  </sheets>
  <functionGroups/>
  <definedNames>
    <definedName name="GalDBTbl_Commission" localSheetId="0">Gal_TblSheet!$A$1:$D$2</definedName>
    <definedName name="GalDBTbl_Tabpxl" localSheetId="0">Gal_TblSheet!$A$4:$BS$45</definedName>
    <definedName name="GalDBTblFld_AktPrD" localSheetId="0">Gal_TblSheet!$AP$5:$AP$45</definedName>
    <definedName name="GalDBTblFld_AktPriemk" localSheetId="0">Gal_TblSheet!$AN$5:$AN$45</definedName>
    <definedName name="GalDBTblFld_AktPrN" localSheetId="0">Gal_TblSheet!$AO$5:$AO$45</definedName>
    <definedName name="GalDBTblFld_BarKo_Arr1N" localSheetId="0">Gal_TblSheet!$L$5:$L$45</definedName>
    <definedName name="GalDBTblFld_BarKod2" localSheetId="0">Gal_TblSheet!$L$5:$L$45</definedName>
    <definedName name="GalDBTblFld_datap" localSheetId="0">Gal_TblSheet!$AG$5:$AG$45</definedName>
    <definedName name="GalDBTblFld_DateOtg" localSheetId="0">Gal_TblSheet!$AI$5:$AI$45</definedName>
    <definedName name="GalDBTblFld_De_Arr1N" localSheetId="0">Gal_TblSheet!$BP$5:$BS$45</definedName>
    <definedName name="GalDBTblFld_Dei1" localSheetId="0">Gal_TblSheet!$BP$5:$BP$45</definedName>
    <definedName name="GalDBTblFld_Dei2" localSheetId="0">Gal_TblSheet!$BQ$5:$BQ$45</definedName>
    <definedName name="GalDBTblFld_Dei3" localSheetId="0">Gal_TblSheet!$BR$5:$BR$45</definedName>
    <definedName name="GalDBTblFld_Dei4" localSheetId="0">Gal_TblSheet!$BS$5:$BS$45</definedName>
    <definedName name="GalDBTblFld_DocDate" localSheetId="0">Gal_TblSheet!$AS$5:$AS$45</definedName>
    <definedName name="GalDBTblFld_DocKol" localSheetId="0">Gal_TblSheet!$AT$5:$AT$45</definedName>
    <definedName name="GalDBTblFld_DocName" localSheetId="0">Gal_TblSheet!$AQ$5:$AQ$45</definedName>
    <definedName name="GalDBTblFld_DocNum" localSheetId="0">Gal_TblSheet!$AR$5:$AR$45</definedName>
    <definedName name="GalDBTblFld_DocSum" localSheetId="0">Gal_TblSheet!$AU$5:$AU$45</definedName>
    <definedName name="GalDBTblFld_KA_Arr1N" localSheetId="0">Gal_TblSheet!$BD$5:$BN$45</definedName>
    <definedName name="GalDBTblFld_KAU0" localSheetId="0">Gal_TblSheet!$BD$5:$BD$45</definedName>
    <definedName name="GalDBTblFld_KAU1" localSheetId="0">Gal_TblSheet!$BE$5:$BE$45</definedName>
    <definedName name="GalDBTblFld_KAU10" localSheetId="0">Gal_TblSheet!$BN$5:$BN$45</definedName>
    <definedName name="GalDBTblFld_KAU2" localSheetId="0">Gal_TblSheet!$BF$5:$BF$45</definedName>
    <definedName name="GalDBTblFld_KAU3" localSheetId="0">Gal_TblSheet!$BG$5:$BG$45</definedName>
    <definedName name="GalDBTblFld_KAU4" localSheetId="0">Gal_TblSheet!$BH$5:$BH$45</definedName>
    <definedName name="GalDBTblFld_KAU5" localSheetId="0">Gal_TblSheet!$BI$5:$BI$45</definedName>
    <definedName name="GalDBTblFld_KAU6" localSheetId="0">Gal_TblSheet!$BJ$5:$BJ$45</definedName>
    <definedName name="GalDBTblFld_KAU7" localSheetId="0">Gal_TblSheet!$BK$5:$BK$45</definedName>
    <definedName name="GalDBTblFld_KAU8" localSheetId="0">Gal_TblSheet!$BL$5:$BL$45</definedName>
    <definedName name="GalDBTblFld_KAU9" localSheetId="0">Gal_TblSheet!$BM$5:$BM$45</definedName>
    <definedName name="GalDBTblFld_KAUALL" localSheetId="0">Gal_TblSheet!$BO$5:$BO$45</definedName>
    <definedName name="GalDBTblFld_mesto" localSheetId="0">Gal_TblSheet!$AH$5:$AH$45</definedName>
    <definedName name="GalDBTblFld_OrgName" localSheetId="0">Gal_TblSheet!$AJ$5:$AJ$45</definedName>
    <definedName name="GalDBTblFld_OrgOKPO" localSheetId="0">Gal_TblSheet!$AK$5:$AK$45</definedName>
    <definedName name="GalDBTblFld_PeresIzl_Kol" localSheetId="0">Gal_TblSheet!$AV$5:$AV$45</definedName>
    <definedName name="GalDBTblFld_PeresIzl_NP_Arr1N" localSheetId="0">Gal_TblSheet!$AY$5:$AY$45</definedName>
    <definedName name="GalDBTblFld_PeresIzl_NPP" localSheetId="0">Gal_TblSheet!$AX$5:$AX$45</definedName>
    <definedName name="GalDBTblFld_PeresIzl_NPP1" localSheetId="0">Gal_TblSheet!$AY$5:$AY$45</definedName>
    <definedName name="GalDBTblFld_PeresIzl_Sum" localSheetId="0">Gal_TblSheet!$AW$5:$AW$45</definedName>
    <definedName name="GalDBTblFld_PeresNed_Kol" localSheetId="0">Gal_TblSheet!$AZ$5:$AZ$45</definedName>
    <definedName name="GalDBTblFld_PeresNed_NP_Arr1N" localSheetId="0">Gal_TblSheet!$BC$5:$BC$45</definedName>
    <definedName name="GalDBTblFld_PeresNed_NPP" localSheetId="0">Gal_TblSheet!$BB$5:$BB$45</definedName>
    <definedName name="GalDBTblFld_PeresNed_NPP1" localSheetId="0">Gal_TblSheet!$BC$5:$BC$45</definedName>
    <definedName name="GalDBTblFld_PeresNed_Sum" localSheetId="0">Gal_TblSheet!$BA$5:$BA$45</definedName>
    <definedName name="GalDBTblFld_PlaceStor" localSheetId="0">Gal_TblSheet!$AM$5:$AM$45</definedName>
    <definedName name="GalDBTblFld_SklDate" localSheetId="0">Gal_TblSheet!$AL$5:$AL$45</definedName>
    <definedName name="GalDBTblFld_инвентарный" localSheetId="0">Gal_TblSheet!$AA$5:$AA$45</definedName>
    <definedName name="GalDBTblFld_код" localSheetId="0">Gal_TblSheet!$K$5:$K$45</definedName>
    <definedName name="GalDBTblFld_код_ОКЕЙ" localSheetId="0">Gal_TblSheet!$M$5:$M$45</definedName>
    <definedName name="GalDBTblFld_Кол_изл" localSheetId="0">Gal_TblSheet!$P$5:$P$45</definedName>
    <definedName name="GalDBTblFld_Кол_излА" localSheetId="0">Gal_TblSheet!$T$5:$T$45</definedName>
    <definedName name="GalDBTblFld_Кол_нед" localSheetId="0">Gal_TblSheet!$R$5:$R$45</definedName>
    <definedName name="GalDBTblFld_Кол_недА" localSheetId="0">Gal_TblSheet!$W$5:$W$45</definedName>
    <definedName name="GalDBTblFld_количество" localSheetId="0">Gal_TblSheet!$AE$5:$AE$45</definedName>
    <definedName name="GalDBTblFld_Констр_обознач" localSheetId="0">Gal_TblSheet!$D$5:$D$45</definedName>
    <definedName name="GalDBTblFld_наименование" localSheetId="0">Gal_TblSheet!$N$5:$N$45</definedName>
    <definedName name="GalDBTblFld_номер" localSheetId="0">Gal_TblSheet!$A$5:$A$45</definedName>
    <definedName name="GalDBTblFld_номер_БСО" localSheetId="0">Gal_TblSheet!$H$5:$H$45</definedName>
    <definedName name="GalDBTblFld_номер_серийный" localSheetId="0">Gal_TblSheet!$I$5:$I$45</definedName>
    <definedName name="GalDBTblFld_объем" localSheetId="0">Gal_TblSheet!$E$5:$E$45</definedName>
    <definedName name="GalDBTblFld_паспорта." localSheetId="0">Gal_TblSheet!$AB$5:$AB$45</definedName>
    <definedName name="GalDBTblFld_серия" localSheetId="0">Gal_TblSheet!$J$5:$J$45</definedName>
    <definedName name="GalDBTblFld_сумма" localSheetId="0">Gal_TblSheet!$AF$5:$AF$45</definedName>
    <definedName name="GalDBTblFld_Сумма_изл" localSheetId="0">Gal_TblSheet!$Q$5:$Q$45</definedName>
    <definedName name="GalDBTblFld_Сумма_излА" localSheetId="0">Gal_TblSheet!$U$5:$U$45</definedName>
    <definedName name="GalDBTblFld_Сумма_излИ" localSheetId="0">Gal_TblSheet!$Y$5:$Y$45</definedName>
    <definedName name="GalDBTblFld_Сумма_нед" localSheetId="0">Gal_TblSheet!$S$5:$S$45</definedName>
    <definedName name="GalDBTblFld_Сумма_недА" localSheetId="0">Gal_TblSheet!$X$5:$X$45</definedName>
    <definedName name="GalDBTblFld_Сумма_недИ" localSheetId="0">Gal_TblSheet!$Z$5:$Z$45</definedName>
    <definedName name="GalDBTblFld_счет" localSheetId="0">Gal_TblSheet!$B$5:$B$45</definedName>
    <definedName name="GalDBTblFld_Счет_излА" localSheetId="0">Gal_TblSheet!$V$5:$V$45</definedName>
    <definedName name="GalDBTblFld_ф_количество" localSheetId="0">Gal_TblSheet!$AC$5:$AC$45</definedName>
    <definedName name="GalDBTblFld_ф_сумма" localSheetId="0">Gal_TblSheet!$AD$5:$AD$45</definedName>
    <definedName name="GalDBTblFld_характеристика" localSheetId="0">Gal_TblSheet!$C$5:$C$45</definedName>
    <definedName name="GalDBTblFld_цена" localSheetId="0">Gal_TblSheet!$O$5:$O$45</definedName>
    <definedName name="GalDBTblFld_Член_комиссии_nRec" localSheetId="0">Gal_TblSheet!$A$2</definedName>
    <definedName name="GalDBTblFld_Член_комиссии_Должность" localSheetId="0">Gal_TblSheet!$D$2</definedName>
    <definedName name="GalDBTblFld_Член_комиссии_Табельный_Номер" localSheetId="0">Gal_TblSheet!$C$2</definedName>
    <definedName name="GalDBTblFld_Член_комиссии_ФИО" localSheetId="0">Gal_TblSheet!$B$2</definedName>
    <definedName name="GalDBTblFld_ячейка" localSheetId="0">Gal_TblSheet!$G$5:$G$45</definedName>
    <definedName name="GalDBTblFld_ячейка_ссылка" localSheetId="0">Gal_TblSheet!$F$5:$F$45</definedName>
    <definedName name="GalDBVar_barcode" localSheetId="1">Gal_VarSheet!$C$54</definedName>
    <definedName name="GalDBVar_barcode">#REF!</definedName>
    <definedName name="GalDBVar_Boss" localSheetId="1">Gal_VarSheet!$C$40</definedName>
    <definedName name="GalDBVar_CommonFormHeader" localSheetId="1">Gal_VarSheet!$C$6</definedName>
    <definedName name="GalDBVar_data_d" localSheetId="1">Gal_VarSheet!$C$42</definedName>
    <definedName name="GalDBVar_data_d_end" localSheetId="1">Gal_VarSheet!$C$48</definedName>
    <definedName name="GalDBVar_data_d_prik" localSheetId="1">Gal_VarSheet!$C$45</definedName>
    <definedName name="GalDBVar_data_m" localSheetId="1">Gal_VarSheet!$C$43</definedName>
    <definedName name="GalDBVar_data_m_end" localSheetId="1">Gal_VarSheet!$C$49</definedName>
    <definedName name="GalDBVar_data_m_prik" localSheetId="1">Gal_VarSheet!$C$46</definedName>
    <definedName name="GalDBVar_data_y" localSheetId="1">Gal_VarSheet!$C$44</definedName>
    <definedName name="GalDBVar_data_y_end" localSheetId="1">Gal_VarSheet!$C$50</definedName>
    <definedName name="GalDBVar_data_y_prik" localSheetId="1">Gal_VarSheet!$C$47</definedName>
    <definedName name="GalDBVar_DateRep" localSheetId="1">Gal_VarSheet!$C$5</definedName>
    <definedName name="GalDBVar_edin_prop" localSheetId="1">Gal_VarSheet!$C$37</definedName>
    <definedName name="GalDBVar_kol_list" localSheetId="1">Gal_VarSheet!$C$39</definedName>
    <definedName name="GalDBVar_Main_Buh">#REF!</definedName>
    <definedName name="GalDBVar_MainBuh" localSheetId="1">Gal_VarSheet!$C$41</definedName>
    <definedName name="GalDBVar_Name_org" localSheetId="1">Gal_VarSheet!$C$23</definedName>
    <definedName name="GalDBVar_poryad_nom" localSheetId="1">Gal_VarSheet!$C$53</definedName>
    <definedName name="GalDBVar_SimvVal" localSheetId="1">Gal_VarSheet!$C$33</definedName>
    <definedName name="GalDBVar_SimvValK" localSheetId="1">Gal_VarSheet!$C$35</definedName>
    <definedName name="GalDBVar_SimvValR" localSheetId="1">Gal_VarSheet!$C$34</definedName>
    <definedName name="GalDBVar_tip_num" localSheetId="1">Gal_VarSheet!$C$38</definedName>
    <definedName name="GalDBVar_Title" localSheetId="1">Gal_VarSheet!$C$2</definedName>
    <definedName name="GalDBVar_TitlRu_Arr1N" localSheetId="1">Gal_VarSheet!$C$32</definedName>
    <definedName name="GalDBVar_TitlRus" localSheetId="1">Gal_VarSheet!$C$31</definedName>
    <definedName name="GalDBVar_TitlRus1" localSheetId="1">Gal_VarSheet!$C$32</definedName>
    <definedName name="GalDBVar_UserReport" localSheetId="1">Gal_VarSheet!$C$52</definedName>
    <definedName name="GalDBVar_UserReport">#REF!</definedName>
    <definedName name="GalDBVar_vsego_fkol" localSheetId="1">Gal_VarSheet!$C$30</definedName>
    <definedName name="GalDBVar_vsego_fsum" localSheetId="1">Gal_VarSheet!$C$29</definedName>
    <definedName name="GalDBVar_vsego_kol" localSheetId="1">Gal_VarSheet!$C$28</definedName>
    <definedName name="GalDBVar_vsego_sum" localSheetId="1">Gal_VarSheet!$C$27</definedName>
    <definedName name="GalDBVar_vsego_zap" localSheetId="1">Gal_VarSheet!$C$26</definedName>
    <definedName name="GalDBVar_Дата_Инвента_Arr1N" localSheetId="1">Gal_VarSheet!$C$8</definedName>
    <definedName name="GalDBVar_Дата_Инвентар" localSheetId="1">Gal_VarSheet!$C$7</definedName>
    <definedName name="GalDBVar_Дата_Инвентар1" localSheetId="1">Gal_VarSheet!$C$8</definedName>
    <definedName name="GalDBVar_Дата_начала_Инв" localSheetId="1">Gal_VarSheet!$C$10</definedName>
    <definedName name="GalDBVar_Дата_Оконч_Инв" localSheetId="1">Gal_VarSheet!$C$12</definedName>
    <definedName name="GalDBVar_Дата_Оконч_Инв_Тип_Дата" localSheetId="1">Gal_VarSheet!$C$13</definedName>
    <definedName name="GalDBVar_Дата_Приказ_Arr1N" localSheetId="1">Gal_VarSheet!$C$16</definedName>
    <definedName name="GalDBVar_Дата_Приказа" localSheetId="1">Gal_VarSheet!$C$15</definedName>
    <definedName name="GalDBVar_Дата_Приказа1" localSheetId="1">Gal_VarSheet!$C$16</definedName>
    <definedName name="GalDBVar_Дата_составления" localSheetId="1">Gal_VarSheet!$C$55</definedName>
    <definedName name="GalDBVar_Итог_по_стр" localSheetId="1">Gal_VarSheet!$C$4</definedName>
    <definedName name="GalDBVar_Кол_симв" localSheetId="1">Gal_VarSheet!$C$25</definedName>
    <definedName name="GalDBVar_МО_Arr1N" localSheetId="1">Gal_VarSheet!$C$19</definedName>
    <definedName name="GalDBVar_МОЛ" localSheetId="1">Gal_VarSheet!$C$20</definedName>
    <definedName name="GalDBVar_МОЛ_Долж_Arr1N" localSheetId="1">Gal_VarSheet!$C$56</definedName>
    <definedName name="GalDBVar_МОЛ_Должн" localSheetId="1">Gal_VarSheet!$C$21</definedName>
    <definedName name="GalDBVar_МОЛ_Должн1" localSheetId="1">Gal_VarSheet!$C$56</definedName>
    <definedName name="GalDBVar_МОЛ_ФИО_Долж" localSheetId="1">Gal_VarSheet!$C$51</definedName>
    <definedName name="GalDBVar_МОЛ1" localSheetId="1">Gal_VarSheet!$C$19</definedName>
    <definedName name="GalDBVar_номер_OKPO" localSheetId="1">Gal_VarSheet!$C$22</definedName>
    <definedName name="GalDBVar_Номер_Инвентар" localSheetId="1">Gal_VarSheet!$C$11</definedName>
    <definedName name="GalDBVar_Номер_Приказа" localSheetId="1">Gal_VarSheet!$C$14</definedName>
    <definedName name="GalDBVar_По_состоянию_на" localSheetId="1">Gal_VarSheet!$C$9</definedName>
    <definedName name="GalDBVar_Склад" localSheetId="1">Gal_VarSheet!$C$17</definedName>
    <definedName name="GalDBVar_Склад_КОД" localSheetId="1">Gal_VarSheet!$C$18</definedName>
    <definedName name="GalDBVar_сум_проп" localSheetId="1">Gal_VarSheet!$C$36</definedName>
    <definedName name="GalDBVar_Тип_отчета" localSheetId="1">Gal_VarSheet!$C$24</definedName>
    <definedName name="GalDBVar_Факт_Кол" localSheetId="1">Gal_VarSheet!$C$3</definedName>
    <definedName name="GalDBVar_Факт_Кол">#REF!</definedName>
    <definedName name="GalRepTbl_Commission" localSheetId="20">itog16b!#REF!</definedName>
    <definedName name="GalRepTbl_Commission" localSheetId="50">Prikaz_bel!$A$22:$J$22</definedName>
    <definedName name="GalRepTbl_Commission" localSheetId="27">Prikaz_rus!$B$25:$G$26</definedName>
    <definedName name="GalRepTbl_Commission" localSheetId="42">Акт_инв!$I$53:$AS$55</definedName>
    <definedName name="GalRepTbl_Commission" localSheetId="48">инв10_2b!$C$15:$R$16</definedName>
    <definedName name="GalRepTbl_Commission" localSheetId="37">'ИНВ-13'!$L$102:$DG$103</definedName>
    <definedName name="GalRepTbl_Commission" localSheetId="36">'ИНВ-13_Vol'!$L$62:$DH$63</definedName>
    <definedName name="GalRepTbl_Commission" localSheetId="30">'ИНВ-16-3'!$Z$15:$CX$16</definedName>
    <definedName name="GalRepTbl_Commission" localSheetId="34">'ИНВ-16-3r'!$W$15:$DH$16</definedName>
    <definedName name="GalRepTbl_Commission" localSheetId="3">'ИНВ-3'!$F$71:$M$72</definedName>
    <definedName name="GalRepTbl_Commission" localSheetId="6">'ИНВ-3_'!$F$69:$Q$70</definedName>
    <definedName name="GalRepTbl_Commission" localSheetId="5">'ИНВ-3b'!$D$63:$K$64</definedName>
    <definedName name="GalRepTbl_Commission" localSheetId="4">'ИНВ-3b-dei'!$E$63:$N$64</definedName>
    <definedName name="GalRepTbl_Commission" localSheetId="2">'ИНВ-3-Транснефть'!$F$71:$M$72</definedName>
    <definedName name="GalRepTbl_Commission" localSheetId="39">инв5_2!$D$14:$U$15</definedName>
    <definedName name="GalRepTbl_Commission" localSheetId="44">'ИНВ-6'!$C$41:$X$42</definedName>
    <definedName name="GalRepTbl_Commission" localSheetId="46">'ОП-15'!$F$34:$AO$35</definedName>
    <definedName name="GalRepTbl_Commission" localSheetId="24">#REF!</definedName>
    <definedName name="GalRepTbl_Commission" localSheetId="26">СлВед_Нефин3!$39:$40</definedName>
    <definedName name="GalRepTbl_Tabpxl" localSheetId="43">'0504092'!$A$14:$GC$14</definedName>
    <definedName name="GalRepTbl_Tabpxl" localSheetId="48">инв10_2b!$A$5:$AG$5</definedName>
    <definedName name="GalRepTbl_Tabpxl" localSheetId="37">'ИНВ-13'!$A$48:$IN$88</definedName>
    <definedName name="GalRepTbl_Tabpxl" localSheetId="36">'ИНВ-13_Vol'!$A$48:$IO$48</definedName>
    <definedName name="GalRepTbl_Tabpxl" localSheetId="14">'ИНВ-16'!$B$32:$AF$32</definedName>
    <definedName name="GalRepTbl_Tabpxl" localSheetId="29">'Инв-16-2'!$A$8:$CI$8</definedName>
    <definedName name="GalRepTbl_Tabpxl" localSheetId="33">'Инв-16-2r'!$A$8:$AB$8</definedName>
    <definedName name="GalRepTbl_Tabpxl" localSheetId="13">'ИНВ-16-dei'!$B$32:$AJ$32</definedName>
    <definedName name="GalRepTbl_Tabpxl" localSheetId="12">'ИНВ-19'!$B$42:$Q$42</definedName>
    <definedName name="GalRepTbl_Tabpxl" localSheetId="15">'ИНВ-19_'!$B$42:$U$42</definedName>
    <definedName name="GalRepTbl_Tabpxl" localSheetId="11">'ИНВ-19-Транснефть'!$B$42:$Q$42</definedName>
    <definedName name="GalRepTbl_Tabpxl" localSheetId="3">'ИНВ-3'!$B$45:$N$45</definedName>
    <definedName name="GalRepTbl_Tabpxl" localSheetId="6">'ИНВ-3_'!$B$45:$R$45</definedName>
    <definedName name="GalRepTbl_Tabpxl" localSheetId="5">'ИНВ-3b'!$A$40:$K$40</definedName>
    <definedName name="GalRepTbl_Tabpxl" localSheetId="4">'ИНВ-3b-dei'!$B$40:$N$40</definedName>
    <definedName name="GalRepTbl_Tabpxl" localSheetId="2">'ИНВ-3-Транснефть'!$B$45:$N$45</definedName>
    <definedName name="GalRepTbl_Tabpxl" localSheetId="39">инв5_2!$A$5:$AG$5</definedName>
    <definedName name="GalRepTbl_Tabpxl" localSheetId="44">'ИНВ-6'!$A$30:$X$30</definedName>
    <definedName name="GalRepTbl_Tabpxl" localSheetId="21">итог!$A$11:$G$11</definedName>
    <definedName name="GalRepTbl_Tabpxl" localSheetId="22">итог_ЦУ!$A$11:$I$11</definedName>
    <definedName name="GalRepTbl_Tabpxl" localSheetId="23">итог2!$A$11:$I$11</definedName>
    <definedName name="GalRepTbl_Tabpxl" localSheetId="46">'ОП-15'!$A$29:$CA$29</definedName>
    <definedName name="GalRepTbl_Tabpxl" localSheetId="25">СлВед_Нефин2!$A$7:$DN$7</definedName>
    <definedName name="GalRepTbl_Tabpxl" localSheetId="41">'Форма 401'!$A$61:$EJ$61</definedName>
    <definedName name="GalRepTblFld_AktPrD" localSheetId="39">инв5_2!$T$5</definedName>
    <definedName name="GalRepTblFld_AktPriemk" localSheetId="39">инв5_2!$P$5</definedName>
    <definedName name="GalRepTblFld_AktPrN" localSheetId="39">инв5_2!$Q$5</definedName>
    <definedName name="GalRepTblFld_DateOtg" localSheetId="48">инв10_2b!$W$5</definedName>
    <definedName name="GalRepTblFld_DateOtg" localSheetId="44">'ИНВ-6'!$I$30</definedName>
    <definedName name="GalRepTblFld_Dei1" localSheetId="13">'ИНВ-16-dei'!$O$32</definedName>
    <definedName name="GalRepTblFld_Dei1" localSheetId="15">'ИНВ-19_'!$O$42</definedName>
    <definedName name="GalRepTblFld_Dei1" localSheetId="6">'ИНВ-3_'!$K$45</definedName>
    <definedName name="GalRepTblFld_Dei1" localSheetId="4">'ИНВ-3b-dei'!$G$40</definedName>
    <definedName name="GalRepTblFld_Dei1" localSheetId="23">итог2!$F$11</definedName>
    <definedName name="GalRepTblFld_Dei2" localSheetId="13">'ИНВ-16-dei'!$P$32</definedName>
    <definedName name="GalRepTblFld_Dei2" localSheetId="15">'ИНВ-19_'!$P$42</definedName>
    <definedName name="GalRepTblFld_Dei2" localSheetId="6">'ИНВ-3_'!$L$45</definedName>
    <definedName name="GalRepTblFld_Dei2" localSheetId="4">'ИНВ-3b-dei'!$H$40</definedName>
    <definedName name="GalRepTblFld_Dei2" localSheetId="23">итог2!$G$11</definedName>
    <definedName name="GalRepTblFld_Dei3" localSheetId="13">'ИНВ-16-dei'!$S$32</definedName>
    <definedName name="GalRepTblFld_Dei3" localSheetId="15">'ИНВ-19_'!$S$42</definedName>
    <definedName name="GalRepTblFld_Dei3" localSheetId="6">'ИНВ-3_'!$O$45</definedName>
    <definedName name="GalRepTblFld_Dei3" localSheetId="4">'ИНВ-3b-dei'!$K$40</definedName>
    <definedName name="GalRepTblFld_Dei4" localSheetId="13">'ИНВ-16-dei'!$T$32</definedName>
    <definedName name="GalRepTblFld_Dei4" localSheetId="15">'ИНВ-19_'!$T$42</definedName>
    <definedName name="GalRepTblFld_Dei4" localSheetId="6">'ИНВ-3_'!$P$45</definedName>
    <definedName name="GalRepTblFld_Dei4" localSheetId="4">'ИНВ-3b-dei'!$L$40</definedName>
    <definedName name="GalRepTblFld_DocDate" localSheetId="48">инв10_2b!$AD$5</definedName>
    <definedName name="GalRepTblFld_DocDate" localSheetId="44">'ИНВ-6'!$N$30</definedName>
    <definedName name="GalRepTblFld_DocKol" localSheetId="44">'ИНВ-6'!$Q$30</definedName>
    <definedName name="GalRepTblFld_DocName" localSheetId="48">инв10_2b!$AC$5</definedName>
    <definedName name="GalRepTblFld_DocName" localSheetId="44">'ИНВ-6'!$M$30</definedName>
    <definedName name="GalRepTblFld_DocNum" localSheetId="48">инв10_2b!$AG$5</definedName>
    <definedName name="GalRepTblFld_DocNum" localSheetId="44">'ИНВ-6'!$O$30</definedName>
    <definedName name="GalRepTblFld_DocSum" localSheetId="44">'ИНВ-6'!$R$30</definedName>
    <definedName name="GalRepTblFld_KAU0" localSheetId="22">итог_ЦУ!$H$11</definedName>
    <definedName name="GalRepTblFld_KAUALL" localSheetId="22">итог_ЦУ!$I$11</definedName>
    <definedName name="GalRepTblFld_mesto" localSheetId="48">инв10_2b!$Z$5</definedName>
    <definedName name="GalRepTblFld_OrgName" localSheetId="48">инв10_2b!$C$5</definedName>
    <definedName name="GalRepTblFld_OrgName" localSheetId="39">инв5_2!$C$5</definedName>
    <definedName name="GalRepTblFld_OrgName" localSheetId="44">'ИНВ-6'!$J$30</definedName>
    <definedName name="GalRepTblFld_OrgOKPO" localSheetId="39">инв5_2!$D$5</definedName>
    <definedName name="GalRepTblFld_OrgOKPO" localSheetId="44">'ИНВ-6'!$K$30</definedName>
    <definedName name="GalRepTblFld_PeresIzl_Kol" localSheetId="14">'ИНВ-16'!$AA$32</definedName>
    <definedName name="GalRepTblFld_PeresIzl_Kol" localSheetId="13">'ИНВ-16-dei'!$AE$32</definedName>
    <definedName name="GalRepTblFld_PeresIzl_NPP" localSheetId="14">'ИНВ-16'!$AC$32</definedName>
    <definedName name="GalRepTblFld_PeresIzl_NPP" localSheetId="13">'ИНВ-16-dei'!$AG$32</definedName>
    <definedName name="GalRepTblFld_PeresIzl_Sum" localSheetId="14">'ИНВ-16'!$AB$32</definedName>
    <definedName name="GalRepTblFld_PeresIzl_Sum" localSheetId="13">'ИНВ-16-dei'!$AF$32</definedName>
    <definedName name="GalRepTblFld_PeresNed_Kol" localSheetId="14">'ИНВ-16'!$AD$32</definedName>
    <definedName name="GalRepTblFld_PeresNed_Kol" localSheetId="13">'ИНВ-16-dei'!$AH$32</definedName>
    <definedName name="GalRepTblFld_PeresNed_NPP" localSheetId="14">'ИНВ-16'!$AF$32</definedName>
    <definedName name="GalRepTblFld_PeresNed_NPP" localSheetId="13">'ИНВ-16-dei'!$AJ$32</definedName>
    <definedName name="GalRepTblFld_PeresNed_Sum" localSheetId="14">'ИНВ-16'!$AE$32</definedName>
    <definedName name="GalRepTblFld_PeresNed_Sum" localSheetId="13">'ИНВ-16-dei'!$AI$32</definedName>
    <definedName name="GalRepTblFld_PlaceStor" localSheetId="39">инв5_2!$J$5</definedName>
    <definedName name="GalRepTblFld_SklDate" localSheetId="39">инв5_2!$M$5</definedName>
    <definedName name="GalRepTblFld_инвентарный" localSheetId="12">'ИНВ-19'!$K$42:$L$42</definedName>
    <definedName name="GalRepTblFld_инвентарный" localSheetId="15">'ИНВ-19_'!$K$42:$L$42</definedName>
    <definedName name="GalRepTblFld_инвентарный" localSheetId="11">'ИНВ-19-Транснефть'!$K$42:$L$42</definedName>
    <definedName name="GalRepTblFld_инвентарный" localSheetId="3">'ИНВ-3'!$I$45</definedName>
    <definedName name="GalRepTblFld_инвентарный" localSheetId="6">'ИНВ-3_'!$I$45</definedName>
    <definedName name="GalRepTblFld_инвентарный" localSheetId="2">'ИНВ-3-Транснефть'!$I$45</definedName>
    <definedName name="GalRepTblFld_инвентарный" localSheetId="25">СлВед_Нефин2!$C$7</definedName>
    <definedName name="GalRepTblFld_код" localSheetId="43">'0504092'!$G$14:$V$14</definedName>
    <definedName name="GalRepTblFld_код" localSheetId="48">инв10_2b!$G$5</definedName>
    <definedName name="GalRepTblFld_код" localSheetId="37">'ИНВ-13'!$AG$48:$AT$88</definedName>
    <definedName name="GalRepTblFld_код" localSheetId="36">'ИНВ-13_Vol'!$AG$48:$AT$48</definedName>
    <definedName name="GalRepTblFld_код" localSheetId="14">'ИНВ-16'!$I$32:$J$32</definedName>
    <definedName name="GalRepTblFld_код" localSheetId="29">'Инв-16-2'!$C$8:$C$8</definedName>
    <definedName name="GalRepTblFld_код" localSheetId="33">'Инв-16-2r'!$D$8:$D$8</definedName>
    <definedName name="GalRepTblFld_код" localSheetId="13">'ИНВ-16-dei'!$I$32:$J$32</definedName>
    <definedName name="GalRepTblFld_код" localSheetId="12">'ИНВ-19'!$F$42:$G$42</definedName>
    <definedName name="GalRepTblFld_код" localSheetId="15">'ИНВ-19_'!$F$42:$G$42</definedName>
    <definedName name="GalRepTblFld_код" localSheetId="11">'ИНВ-19-Транснефть'!$F$42:$G$42</definedName>
    <definedName name="GalRepTblFld_код" localSheetId="3">'ИНВ-3'!$E$45</definedName>
    <definedName name="GalRepTblFld_код" localSheetId="6">'ИНВ-3_'!$E$45</definedName>
    <definedName name="GalRepTblFld_код" localSheetId="5">'ИНВ-3b'!$D$40</definedName>
    <definedName name="GalRepTblFld_код" localSheetId="4">'ИНВ-3b-dei'!$D$40</definedName>
    <definedName name="GalRepTblFld_код" localSheetId="2">'ИНВ-3-Транснефть'!$E$45</definedName>
    <definedName name="GalRepTblFld_код" localSheetId="39">инв5_2!$H$5</definedName>
    <definedName name="GalRepTblFld_код" localSheetId="44">'ИНВ-6'!$C$30:$E$30</definedName>
    <definedName name="GalRepTblFld_код" localSheetId="21">итог!$A$11</definedName>
    <definedName name="GalRepTblFld_код" localSheetId="22">итог_ЦУ!$A$11</definedName>
    <definedName name="GalRepTblFld_код" localSheetId="23">итог2!$A$11</definedName>
    <definedName name="GalRepTblFld_код" localSheetId="46">'ОП-15'!$L$29:$N$29</definedName>
    <definedName name="GalRepTblFld_код" localSheetId="41">'Форма 401'!$X$61:$AH$61</definedName>
    <definedName name="GalRepTblFld_код_ОКЕЙ" localSheetId="29">'Инв-16-2'!$E$8:$E$8</definedName>
    <definedName name="GalRepTblFld_код_ОКЕЙ" localSheetId="33">'Инв-16-2r'!$F$8:$F$8</definedName>
    <definedName name="GalRepTblFld_код_ОКЕЙ" localSheetId="12">'ИНВ-19'!$H$42</definedName>
    <definedName name="GalRepTblFld_код_ОКЕЙ" localSheetId="15">'ИНВ-19_'!$H$42</definedName>
    <definedName name="GalRepTblFld_код_ОКЕЙ" localSheetId="11">'ИНВ-19-Транснефть'!$H$42</definedName>
    <definedName name="GalRepTblFld_код_ОКЕЙ" localSheetId="3">'ИНВ-3'!$F$45</definedName>
    <definedName name="GalRepTblFld_код_ОКЕЙ" localSheetId="6">'ИНВ-3_'!$F$45</definedName>
    <definedName name="GalRepTblFld_код_ОКЕЙ" localSheetId="2">'ИНВ-3-Транснефть'!$F$45</definedName>
    <definedName name="GalRepTblFld_код_ОКЕЙ" localSheetId="39">инв5_2!$X$5</definedName>
    <definedName name="GalRepTblFld_код_ОКЕЙ" localSheetId="44">'ИНВ-6'!$F$30</definedName>
    <definedName name="GalRepTblFld_код_ОКЕЙ" localSheetId="46">'ОП-15'!$R$29:$T$29</definedName>
    <definedName name="GalRepTblFld_Кол_изл" localSheetId="43">'0504092'!$FE$14:$FN$14</definedName>
    <definedName name="GalRepTblFld_Кол_изл" localSheetId="37">'ИНВ-13'!$FV$48:$GG$88</definedName>
    <definedName name="GalRepTblFld_Кол_изл" localSheetId="36">'ИНВ-13_Vol'!$FW$48:$GH$48</definedName>
    <definedName name="GalRepTblFld_Кол_изл" localSheetId="14">'ИНВ-16'!$N$32</definedName>
    <definedName name="GalRepTblFld_Кол_изл" localSheetId="29">'Инв-16-2'!$AI$8:$AP$8</definedName>
    <definedName name="GalRepTblFld_Кол_изл" localSheetId="33">'Инв-16-2r'!$W$8:$W$8</definedName>
    <definedName name="GalRepTblFld_Кол_изл" localSheetId="13">'ИНВ-16-dei'!$N$32</definedName>
    <definedName name="GalRepTblFld_Кол_изл" localSheetId="12">'ИНВ-19'!$N$42</definedName>
    <definedName name="GalRepTblFld_Кол_изл" localSheetId="15">'ИНВ-19_'!$N$42</definedName>
    <definedName name="GalRepTblFld_Кол_изл" localSheetId="11">'ИНВ-19-Транснефть'!$N$42</definedName>
    <definedName name="GalRepTblFld_Кол_изл" localSheetId="25">СлВед_Нефин2!$DC$7</definedName>
    <definedName name="GalRepTblFld_Кол_изл" localSheetId="41">'Форма 401'!$DQ$61:$EA$61</definedName>
    <definedName name="GalRepTblFld_Кол_нед" localSheetId="43">'0504092'!$BU$14:$CC$14</definedName>
    <definedName name="GalRepTblFld_Кол_нед" localSheetId="37">'ИНВ-13'!$HR$48:$IC$88</definedName>
    <definedName name="GalRepTblFld_Кол_нед" localSheetId="36">'ИНВ-13_Vol'!$HS$48:$ID$48</definedName>
    <definedName name="GalRepTblFld_Кол_нед" localSheetId="14">'ИНВ-16'!$P$32</definedName>
    <definedName name="GalRepTblFld_Кол_нед" localSheetId="29">'Инв-16-2'!$BR$8:$BY$8</definedName>
    <definedName name="GalRepTblFld_Кол_нед" localSheetId="33">'Инв-16-2r'!$AA$8:$AA$8</definedName>
    <definedName name="GalRepTblFld_Кол_нед" localSheetId="13">'ИНВ-16-dei'!$R$32</definedName>
    <definedName name="GalRepTblFld_Кол_нед" localSheetId="12">'ИНВ-19'!$P$42</definedName>
    <definedName name="GalRepTblFld_Кол_нед" localSheetId="15">'ИНВ-19_'!$R$42</definedName>
    <definedName name="GalRepTblFld_Кол_нед" localSheetId="11">'ИНВ-19-Транснефть'!$P$42</definedName>
    <definedName name="GalRepTblFld_Кол_нед" localSheetId="25">СлВед_Нефин2!$BZ$7</definedName>
    <definedName name="GalRepTblFld_Кол_нед" localSheetId="41">'Форма 401'!$CW$61:$DG$61</definedName>
    <definedName name="GalRepTblFld_количество" localSheetId="48">инв10_2b!$R$5</definedName>
    <definedName name="GalRepTblFld_количество" localSheetId="37">'ИНВ-13'!$EW$48:$EW$88</definedName>
    <definedName name="GalRepTblFld_количество" localSheetId="36">'ИНВ-13_Vol'!$EX$48</definedName>
    <definedName name="GalRepTblFld_количество" localSheetId="29">'Инв-16-2'!$P$8:$P$8</definedName>
    <definedName name="GalRepTblFld_количество" localSheetId="33">'Инв-16-2r'!$S$8:$S$8</definedName>
    <definedName name="GalRepTblFld_количество" localSheetId="3">'ИНВ-3'!$M$45</definedName>
    <definedName name="GalRepTblFld_количество" localSheetId="6">'ИНВ-3_'!$Q$45</definedName>
    <definedName name="GalRepTblFld_количество" localSheetId="5">'ИНВ-3b'!$J$40</definedName>
    <definedName name="GalRepTblFld_количество" localSheetId="4">'ИНВ-3b-dei'!$M$40</definedName>
    <definedName name="GalRepTblFld_количество" localSheetId="2">'ИНВ-3-Транснефть'!$M$45</definedName>
    <definedName name="GalRepTblFld_количество" localSheetId="39">инв5_2!$AE$5</definedName>
    <definedName name="GalRepTblFld_количество" localSheetId="44">'ИНВ-6'!$U$30:$W$30</definedName>
    <definedName name="GalRepTblFld_количество" localSheetId="25">СлВед_Нефин2!$AX$7</definedName>
    <definedName name="GalRepTblFld_количество" localSheetId="41">'Форма 401'!$CA$61:$CK$61</definedName>
    <definedName name="GalRepTblFld_Констр_обознач" localSheetId="48">инв10_2b!$F$5</definedName>
    <definedName name="GalRepTblFld_Констр_обознач" localSheetId="5">'ИНВ-3b'!$E$40</definedName>
    <definedName name="GalRepTblFld_наименование" localSheetId="43">'0504092'!$W$14:$AF$14</definedName>
    <definedName name="GalRepTblFld_наименование" localSheetId="48">инв10_2b!$I$5</definedName>
    <definedName name="GalRepTblFld_наименование" localSheetId="37">'ИНВ-13'!$AU$48:$BF$88</definedName>
    <definedName name="GalRepTblFld_наименование" localSheetId="36">'ИНВ-13_Vol'!$AU$48:$BF$48</definedName>
    <definedName name="GalRepTblFld_наименование" localSheetId="14">'ИНВ-16'!$K$32:$M$32</definedName>
    <definedName name="GalRepTblFld_наименование" localSheetId="29">'Инв-16-2'!$D$8:$D$8</definedName>
    <definedName name="GalRepTblFld_наименование" localSheetId="33">'Инв-16-2r'!$E$8:$E$8</definedName>
    <definedName name="GalRepTblFld_наименование" localSheetId="13">'ИНВ-16-dei'!$K$32:$M$32</definedName>
    <definedName name="GalRepTblFld_наименование" localSheetId="12">'ИНВ-19'!$I$42:$J$42</definedName>
    <definedName name="GalRepTblFld_наименование" localSheetId="15">'ИНВ-19_'!$I$42:$J$42</definedName>
    <definedName name="GalRepTblFld_наименование" localSheetId="11">'ИНВ-19-Транснефть'!$I$42:$J$42</definedName>
    <definedName name="GalRepTblFld_наименование" localSheetId="3">'ИНВ-3'!$G$45</definedName>
    <definedName name="GalRepTblFld_наименование" localSheetId="6">'ИНВ-3_'!$G$45</definedName>
    <definedName name="GalRepTblFld_наименование" localSheetId="5">'ИНВ-3b'!$F$40</definedName>
    <definedName name="GalRepTblFld_наименование" localSheetId="4">'ИНВ-3b-dei'!$E$40</definedName>
    <definedName name="GalRepTblFld_наименование" localSheetId="2">'ИНВ-3-Транснефть'!$G$45</definedName>
    <definedName name="GalRepTblFld_наименование" localSheetId="39">инв5_2!$V$5</definedName>
    <definedName name="GalRepTblFld_наименование" localSheetId="44">'ИНВ-6'!$G$30:$H$30</definedName>
    <definedName name="GalRepTblFld_наименование" localSheetId="21">итог!$D$11</definedName>
    <definedName name="GalRepTblFld_наименование" localSheetId="22">итог_ЦУ!$D$11</definedName>
    <definedName name="GalRepTblFld_наименование" localSheetId="23">итог2!$D$11</definedName>
    <definedName name="GalRepTblFld_наименование" localSheetId="46">'ОП-15'!$O$29:$Q$29</definedName>
    <definedName name="GalRepTblFld_наименование" localSheetId="25">СлВед_Нефин2!$R$7</definedName>
    <definedName name="GalRepTblFld_наименование" localSheetId="41">'Форма 401'!$AI$61:$AS$61</definedName>
    <definedName name="GalRepTblFld_номер" localSheetId="43">'0504092'!$A$14:$E$14</definedName>
    <definedName name="GalRepTblFld_номер" localSheetId="48">инв10_2b!$A$5</definedName>
    <definedName name="GalRepTblFld_номер" localSheetId="37">'ИНВ-13'!$A$48:$J$88</definedName>
    <definedName name="GalRepTblFld_номер" localSheetId="36">'ИНВ-13_Vol'!$A$48:$J$48</definedName>
    <definedName name="GalRepTblFld_номер" localSheetId="14">'ИНВ-16'!$B$32</definedName>
    <definedName name="GalRepTblFld_номер" localSheetId="29">'Инв-16-2'!$A$8:$A$8</definedName>
    <definedName name="GalRepTblFld_номер" localSheetId="33">'Инв-16-2r'!$A$8:$A$8</definedName>
    <definedName name="GalRepTblFld_номер" localSheetId="13">'ИНВ-16-dei'!$B$32</definedName>
    <definedName name="GalRepTblFld_номер" localSheetId="12">'ИНВ-19'!$B$42</definedName>
    <definedName name="GalRepTblFld_номер" localSheetId="15">'ИНВ-19_'!$B$42</definedName>
    <definedName name="GalRepTblFld_номер" localSheetId="11">'ИНВ-19-Транснефть'!$B$42</definedName>
    <definedName name="GalRepTblFld_номер" localSheetId="3">'ИНВ-3'!$B$45</definedName>
    <definedName name="GalRepTblFld_номер" localSheetId="6">'ИНВ-3_'!$B$45</definedName>
    <definedName name="GalRepTblFld_номер" localSheetId="5">'ИНВ-3b'!$B$40</definedName>
    <definedName name="GalRepTblFld_номер" localSheetId="4">'ИНВ-3b-dei'!$B$40</definedName>
    <definedName name="GalRepTblFld_номер" localSheetId="2">'ИНВ-3-Транснефть'!$B$45</definedName>
    <definedName name="GalRepTblFld_номер" localSheetId="39">инв5_2!$A$5</definedName>
    <definedName name="GalRepTblFld_номер" localSheetId="44">'ИНВ-6'!$A$30</definedName>
    <definedName name="GalRepTblFld_номер" localSheetId="46">'ОП-15'!$A$29:$C$29</definedName>
    <definedName name="GalRepTblFld_номер" localSheetId="25">СлВед_Нефин2!$A$7</definedName>
    <definedName name="GalRepTblFld_номер" localSheetId="41">'Форма 401'!$A$61:$E$61</definedName>
    <definedName name="GalRepTblFld_номер_БСО" localSheetId="29">'Инв-16-2'!$F$8:$F$8</definedName>
    <definedName name="GalRepTblFld_номер_БСО" localSheetId="33">'Инв-16-2r'!$G$8:$G$8</definedName>
    <definedName name="GalRepTblFld_номер_серийный" localSheetId="37">'ИНВ-13'!$BG$48:$BX$88</definedName>
    <definedName name="GalRepTblFld_номер_серийный" localSheetId="36">'ИНВ-13_Vol'!$BH$48:$BY$48</definedName>
    <definedName name="GalRepTblFld_объем" localSheetId="36">'ИНВ-13_Vol'!$BG$48</definedName>
    <definedName name="GalRepTblFld_паспорта." localSheetId="12">'ИНВ-19'!$M$42</definedName>
    <definedName name="GalRepTblFld_паспорта." localSheetId="15">'ИНВ-19_'!$M$42</definedName>
    <definedName name="GalRepTblFld_паспорта." localSheetId="11">'ИНВ-19-Транснефть'!$M$42</definedName>
    <definedName name="GalRepTblFld_паспорта." localSheetId="3">'ИНВ-3'!$J$45</definedName>
    <definedName name="GalRepTblFld_паспорта." localSheetId="6">'ИНВ-3_'!$J$45</definedName>
    <definedName name="GalRepTblFld_паспорта." localSheetId="2">'ИНВ-3-Транснефть'!$J$45</definedName>
    <definedName name="GalRepTblFld_серия" localSheetId="37">'ИНВ-13'!$BY$48:$CP$88</definedName>
    <definedName name="GalRepTblFld_серия" localSheetId="36">'ИНВ-13_Vol'!$BZ$48:$CQ$48</definedName>
    <definedName name="GalRepTblFld_сумма" localSheetId="48">инв10_2b!$T$5</definedName>
    <definedName name="GalRepTblFld_сумма" localSheetId="37">'ИНВ-13'!$EX$48:$EX$88</definedName>
    <definedName name="GalRepTblFld_сумма" localSheetId="36">'ИНВ-13_Vol'!$EY$48</definedName>
    <definedName name="GalRepTblFld_сумма" localSheetId="29">'Инв-16-2'!$Q$8</definedName>
    <definedName name="GalRepTblFld_сумма" localSheetId="33">'Инв-16-2r'!$T$8</definedName>
    <definedName name="GalRepTblFld_сумма" localSheetId="3">'ИНВ-3'!$N$45</definedName>
    <definedName name="GalRepTblFld_сумма" localSheetId="6">'ИНВ-3_'!$R$45</definedName>
    <definedName name="GalRepTblFld_сумма" localSheetId="5">'ИНВ-3b'!$K$40</definedName>
    <definedName name="GalRepTblFld_сумма" localSheetId="4">'ИНВ-3b-dei'!$N$40</definedName>
    <definedName name="GalRepTblFld_сумма" localSheetId="2">'ИНВ-3-Транснефть'!$N$45</definedName>
    <definedName name="GalRepTblFld_сумма" localSheetId="39">инв5_2!$AG$5</definedName>
    <definedName name="GalRepTblFld_сумма" localSheetId="44">'ИНВ-6'!$X$30</definedName>
    <definedName name="GalRepTblFld_сумма" localSheetId="25">СлВед_Нефин2!$BH$7</definedName>
    <definedName name="GalRepTblFld_сумма" localSheetId="41">'Форма 401'!$CL$61:$CV$61</definedName>
    <definedName name="GalRepTblFld_Сумма_изл" localSheetId="43">'0504092'!$FO$14:$GC$14</definedName>
    <definedName name="GalRepTblFld_Сумма_изл" localSheetId="37">'ИНВ-13'!$GH$48:$GS$88</definedName>
    <definedName name="GalRepTblFld_Сумма_изл" localSheetId="36">'ИНВ-13_Vol'!$GI$48:$GT$48</definedName>
    <definedName name="GalRepTblFld_Сумма_изл" localSheetId="14">'ИНВ-16'!$O$32</definedName>
    <definedName name="GalRepTblFld_Сумма_изл" localSheetId="29">'Инв-16-2'!$AQ$8:$AZ$8</definedName>
    <definedName name="GalRepTblFld_Сумма_изл" localSheetId="33">'Инв-16-2r'!$X$8:$X$8</definedName>
    <definedName name="GalRepTblFld_Сумма_изл" localSheetId="13">'ИНВ-16-dei'!$Q$32</definedName>
    <definedName name="GalRepTblFld_Сумма_изл" localSheetId="12">'ИНВ-19'!$O$42</definedName>
    <definedName name="GalRepTblFld_Сумма_изл" localSheetId="15">'ИНВ-19_'!$Q$42</definedName>
    <definedName name="GalRepTblFld_Сумма_изл" localSheetId="11">'ИНВ-19-Транснефть'!$O$42</definedName>
    <definedName name="GalRepTblFld_Сумма_изл" localSheetId="25">СлВед_Нефин2!$DN$7</definedName>
    <definedName name="GalRepTblFld_Сумма_изл" localSheetId="41">'Форма 401'!$EB$61:$EJ$61</definedName>
    <definedName name="GalRepTblFld_Сумма_нед" localSheetId="43">'0504092'!$CD$14:$CT$14</definedName>
    <definedName name="GalRepTblFld_Сумма_нед" localSheetId="37">'ИНВ-13'!$ID$48:$IN$88</definedName>
    <definedName name="GalRepTblFld_Сумма_нед" localSheetId="36">'ИНВ-13_Vol'!$IE$48:$IO$48</definedName>
    <definedName name="GalRepTblFld_Сумма_нед" localSheetId="14">'ИНВ-16'!$Q$32</definedName>
    <definedName name="GalRepTblFld_Сумма_нед" localSheetId="29">'Инв-16-2'!$BZ$8:$CI$8</definedName>
    <definedName name="GalRepTblFld_Сумма_нед" localSheetId="33">'Инв-16-2r'!$AB$8:$AB$8</definedName>
    <definedName name="GalRepTblFld_Сумма_нед" localSheetId="13">'ИНВ-16-dei'!$U$32</definedName>
    <definedName name="GalRepTblFld_Сумма_нед" localSheetId="12">'ИНВ-19'!$Q$42</definedName>
    <definedName name="GalRepTblFld_Сумма_нед" localSheetId="15">'ИНВ-19_'!$U$42</definedName>
    <definedName name="GalRepTblFld_Сумма_нед" localSheetId="11">'ИНВ-19-Транснефть'!$Q$42</definedName>
    <definedName name="GalRepTblFld_Сумма_нед" localSheetId="25">СлВед_Нефин2!$CK$7</definedName>
    <definedName name="GalRepTblFld_Сумма_нед" localSheetId="41">'Форма 401'!$DH$61:$DP$61</definedName>
    <definedName name="GalRepTblFld_счет" localSheetId="43">'0504092'!$AO$14:$BC$14</definedName>
    <definedName name="GalRepTblFld_счет" localSheetId="3">'ИНВ-3'!$C$45</definedName>
    <definedName name="GalRepTblFld_счет" localSheetId="6">'ИНВ-3_'!$C$45</definedName>
    <definedName name="GalRepTblFld_счет" localSheetId="5">'ИНВ-3b'!$A$40</definedName>
    <definedName name="GalRepTblFld_счет" localSheetId="2">'ИНВ-3-Транснефть'!$C$45</definedName>
    <definedName name="GalRepTblFld_счет" localSheetId="21">итог!$E$11</definedName>
    <definedName name="GalRepTblFld_счет" localSheetId="22">итог_ЦУ!$E$11</definedName>
    <definedName name="GalRepTblFld_счет" localSheetId="23">итог2!$E$11</definedName>
    <definedName name="GalRepTblFld_ф_количество" localSheetId="48">инв10_2b!$M$5</definedName>
    <definedName name="GalRepTblFld_ф_количество" localSheetId="37">'ИНВ-13'!$DI$48:$DZ$88</definedName>
    <definedName name="GalRepTblFld_ф_количество" localSheetId="36">'ИНВ-13_Vol'!$DJ$48:$EA$48</definedName>
    <definedName name="GalRepTblFld_ф_количество" localSheetId="29">'Инв-16-2'!$K$8:$K$8</definedName>
    <definedName name="GalRepTblFld_ф_количество" localSheetId="33">'Инв-16-2r'!$M$8:$M$8</definedName>
    <definedName name="GalRepTblFld_ф_количество" localSheetId="3">'ИНВ-3'!$K$45</definedName>
    <definedName name="GalRepTblFld_ф_количество" localSheetId="6">'ИНВ-3_'!$M$45</definedName>
    <definedName name="GalRepTblFld_ф_количество" localSheetId="5">'ИНВ-3b'!$H$40</definedName>
    <definedName name="GalRepTblFld_ф_количество" localSheetId="4">'ИНВ-3b-dei'!$I$40</definedName>
    <definedName name="GalRepTblFld_ф_количество" localSheetId="2">'ИНВ-3-Транснефть'!$K$45</definedName>
    <definedName name="GalRepTblFld_ф_количество" localSheetId="39">инв5_2!$Z$5</definedName>
    <definedName name="GalRepTblFld_ф_количество" localSheetId="21">итог!$F$11</definedName>
    <definedName name="GalRepTblFld_ф_количество" localSheetId="22">итог_ЦУ!$F$11</definedName>
    <definedName name="GalRepTblFld_ф_количество" localSheetId="23">итог2!$H$11</definedName>
    <definedName name="GalRepTblFld_ф_количество" localSheetId="46">'ОП-15'!$U$29:$Y$29</definedName>
    <definedName name="GalRepTblFld_ф_количество" localSheetId="25">СлВед_Нефин2!$T$7</definedName>
    <definedName name="GalRepTblFld_ф_количество" localSheetId="41">'Форма 401'!$BE$61:$BO$61</definedName>
    <definedName name="GalRepTblFld_ф_сумма" localSheetId="48">инв10_2b!$O$5</definedName>
    <definedName name="GalRepTblFld_ф_сумма" localSheetId="37">'ИНВ-13'!$EA$48:$ES$88</definedName>
    <definedName name="GalRepTblFld_ф_сумма" localSheetId="36">'ИНВ-13_Vol'!$EB$48:$ET$48</definedName>
    <definedName name="GalRepTblFld_ф_сумма" localSheetId="29">'Инв-16-2'!$L$8:$L$8</definedName>
    <definedName name="GalRepTblFld_ф_сумма" localSheetId="33">'Инв-16-2r'!$N$8:$N$8</definedName>
    <definedName name="GalRepTblFld_ф_сумма" localSheetId="3">'ИНВ-3'!$L$45</definedName>
    <definedName name="GalRepTblFld_ф_сумма" localSheetId="6">'ИНВ-3_'!$N$45</definedName>
    <definedName name="GalRepTblFld_ф_сумма" localSheetId="5">'ИНВ-3b'!$I$40</definedName>
    <definedName name="GalRepTblFld_ф_сумма" localSheetId="4">'ИНВ-3b-dei'!$J$40</definedName>
    <definedName name="GalRepTblFld_ф_сумма" localSheetId="2">'ИНВ-3-Транснефть'!$L$45</definedName>
    <definedName name="GalRepTblFld_ф_сумма" localSheetId="39">инв5_2!$AB$5</definedName>
    <definedName name="GalRepTblFld_ф_сумма" localSheetId="46">'ОП-15'!$BX$29:$CA$29</definedName>
    <definedName name="GalRepTblFld_ф_сумма" localSheetId="25">СлВед_Нефин2!$AC$7</definedName>
    <definedName name="GalRepTblFld_ф_сумма" localSheetId="41">'Форма 401'!$BP$61:$BZ$61</definedName>
    <definedName name="GalRepTblFld_характеристика" localSheetId="43">'0504092'!$F$14:$F$14</definedName>
    <definedName name="GalRepTblFld_характеристика" localSheetId="48">инв10_2b!$D$5</definedName>
    <definedName name="GalRepTblFld_характеристика" localSheetId="37">'ИНВ-13'!$K$48:$AF$88</definedName>
    <definedName name="GalRepTblFld_характеристика" localSheetId="36">'ИНВ-13_Vol'!$K$48:$AF$48</definedName>
    <definedName name="GalRepTblFld_характеристика" localSheetId="14">'ИНВ-16'!$C$32:$H$32</definedName>
    <definedName name="GalRepTblFld_характеристика" localSheetId="29">'Инв-16-2'!$B$8:$B$8</definedName>
    <definedName name="GalRepTblFld_характеристика" localSheetId="33">'Инв-16-2r'!$B$8:$B$8</definedName>
    <definedName name="GalRepTblFld_характеристика" localSheetId="13">'ИНВ-16-dei'!$C$32:$H$32</definedName>
    <definedName name="GalRepTblFld_характеристика" localSheetId="12">'ИНВ-19'!$C$42:$E$42</definedName>
    <definedName name="GalRepTblFld_характеристика" localSheetId="15">'ИНВ-19_'!$C$42:$E$42</definedName>
    <definedName name="GalRepTblFld_характеристика" localSheetId="11">'ИНВ-19-Транснефть'!$C$42:$E$42</definedName>
    <definedName name="GalRepTblFld_характеристика" localSheetId="3">'ИНВ-3'!$D$45</definedName>
    <definedName name="GalRepTblFld_характеристика" localSheetId="6">'ИНВ-3_'!$D$45</definedName>
    <definedName name="GalRepTblFld_характеристика" localSheetId="5">'ИНВ-3b'!$C$40</definedName>
    <definedName name="GalRepTblFld_характеристика" localSheetId="4">'ИНВ-3b-dei'!$C$40</definedName>
    <definedName name="GalRepTblFld_характеристика" localSheetId="2">'ИНВ-3-Транснефть'!$D$45</definedName>
    <definedName name="GalRepTblFld_характеристика" localSheetId="39">инв5_2!$F$5</definedName>
    <definedName name="GalRepTblFld_характеристика" localSheetId="44">'ИНВ-6'!$B$30:$B$30</definedName>
    <definedName name="GalRepTblFld_характеристика" localSheetId="21">итог!$C$11</definedName>
    <definedName name="GalRepTblFld_характеристика" localSheetId="22">итог_ЦУ!$C$11</definedName>
    <definedName name="GalRepTblFld_характеристика" localSheetId="23">итог2!$C$11</definedName>
    <definedName name="GalRepTblFld_характеристика" localSheetId="46">'ОП-15'!$D$29:$K$29</definedName>
    <definedName name="GalRepTblFld_характеристика" localSheetId="25">СлВед_Нефин2!$B$7</definedName>
    <definedName name="GalRepTblFld_характеристика" localSheetId="41">'Форма 401'!$F$61:$W$61</definedName>
    <definedName name="GalRepTblFld_цена" localSheetId="48">инв10_2b!$K$5</definedName>
    <definedName name="GalRepTblFld_цена" localSheetId="37">'ИНВ-13'!$CQ$48:$DH$88</definedName>
    <definedName name="GalRepTblFld_цена" localSheetId="36">'ИНВ-13_Vol'!$CR$48:$DI$48</definedName>
    <definedName name="GalRepTblFld_цена" localSheetId="29">'Инв-16-2'!$H$8:$J$8</definedName>
    <definedName name="GalRepTblFld_цена" localSheetId="33">'Инв-16-2r'!$J$8:$L$8</definedName>
    <definedName name="GalRepTblFld_цена" localSheetId="3">'ИНВ-3'!$H$45</definedName>
    <definedName name="GalRepTblFld_цена" localSheetId="6">'ИНВ-3_'!$H$45</definedName>
    <definedName name="GalRepTblFld_цена" localSheetId="5">'ИНВ-3b'!$G$40</definedName>
    <definedName name="GalRepTblFld_цена" localSheetId="4">'ИНВ-3b-dei'!$F$40</definedName>
    <definedName name="GalRepTblFld_цена" localSheetId="2">'ИНВ-3-Транснефть'!$H$45</definedName>
    <definedName name="GalRepTblFld_цена" localSheetId="21">итог!$G$11</definedName>
    <definedName name="GalRepTblFld_цена" localSheetId="22">итог_ЦУ!$G$11</definedName>
    <definedName name="GalRepTblFld_цена" localSheetId="23">итог2!$I$11</definedName>
    <definedName name="GalRepTblFld_цена" localSheetId="46">'ОП-15'!$BP$29:$BS$29</definedName>
    <definedName name="GalRepTblFld_цена" localSheetId="25">СлВед_Нефин2!$S$7</definedName>
    <definedName name="GalRepTblFld_цена" localSheetId="41">'Форма 401'!$AT$61:$BD$61</definedName>
    <definedName name="GalRepTblFld_Член_комиссии_nRec" localSheetId="20">itog16b!#REF!</definedName>
    <definedName name="GalRepTblFld_Член_комиссии_nRec" localSheetId="26">СлВед_Нефин3!#REF!</definedName>
    <definedName name="GalRepTblFld_Член_комиссии_Должность" localSheetId="50">Prikaz_bel!$A$22</definedName>
    <definedName name="GalRepTblFld_Член_комиссии_Должность" localSheetId="27">Prikaz_rus!$B$25</definedName>
    <definedName name="GalRepTblFld_Член_комиссии_Должность" localSheetId="42">Акт_инв!$N$53</definedName>
    <definedName name="GalRepTblFld_Член_комиссии_Должность" localSheetId="48">инв10_2b!$E$15</definedName>
    <definedName name="GalRepTblFld_Член_комиссии_Должность" localSheetId="37">'ИНВ-13'!$Y$102:$AU$103</definedName>
    <definedName name="GalRepTblFld_Член_комиссии_Должность" localSheetId="36">'ИНВ-13_Vol'!$Y$62:$AU$62</definedName>
    <definedName name="GalRepTblFld_Член_комиссии_Должность" localSheetId="30">'ИНВ-16-3'!$Z$15:$AW$15</definedName>
    <definedName name="GalRepTblFld_Член_комиссии_Должность" localSheetId="34">'ИНВ-16-3r'!$AF$15:$AV$15</definedName>
    <definedName name="GalRepTblFld_Член_комиссии_Должность" localSheetId="3">'ИНВ-3'!$E$71</definedName>
    <definedName name="GalRepTblFld_Член_комиссии_Должность" localSheetId="6">'ИНВ-3_'!$F$69</definedName>
    <definedName name="GalRepTblFld_Член_комиссии_Должность" localSheetId="5">'ИНВ-3b'!$D$63</definedName>
    <definedName name="GalRepTblFld_Член_комиссии_Должность" localSheetId="4">'ИНВ-3b-dei'!$D$63</definedName>
    <definedName name="GalRepTblFld_Член_комиссии_Должность" localSheetId="2">'ИНВ-3-Транснефть'!$F$71</definedName>
    <definedName name="GalRepTblFld_Член_комиссии_Должность" localSheetId="39">инв5_2!$G$14</definedName>
    <definedName name="GalRepTblFld_Член_комиссии_Должность" localSheetId="44">'ИНВ-6'!$C$41:$I$41</definedName>
    <definedName name="GalRepTblFld_Член_комиссии_Должность" localSheetId="46">'ОП-15'!$D$34:$R$34</definedName>
    <definedName name="GalRepTblFld_Член_комиссии_Должность" localSheetId="24">#REF!</definedName>
    <definedName name="GalRepTblFld_Член_комиссии_Должность" localSheetId="26">СлВед_Нефин3!$W$39</definedName>
    <definedName name="GalRepTblFld_Член_комиссии_ФИО" localSheetId="50">Prikaz_bel!$G$22</definedName>
    <definedName name="GalRepTblFld_Член_комиссии_ФИО" localSheetId="27">Prikaz_rus!$E$25</definedName>
    <definedName name="GalRepTblFld_Член_комиссии_ФИО" localSheetId="42">Акт_инв!$AS$53</definedName>
    <definedName name="GalRepTblFld_Член_комиссии_ФИО" localSheetId="48">инв10_2b!$R$15</definedName>
    <definedName name="GalRepTblFld_Член_комиссии_ФИО" localSheetId="37">'ИНВ-13'!$CU$102:$CU$103</definedName>
    <definedName name="GalRepTblFld_Член_комиссии_ФИО" localSheetId="36">'ИНВ-13_Vol'!$CV$62</definedName>
    <definedName name="GalRepTblFld_Член_комиссии_ФИО" localSheetId="30">'ИНВ-16-3'!$BS$15:$CX$15</definedName>
    <definedName name="GalRepTblFld_Член_комиссии_ФИО" localSheetId="34">'ИНВ-16-3r'!$CG$15:$DH$15</definedName>
    <definedName name="GalRepTblFld_Член_комиссии_ФИО" localSheetId="3">'ИНВ-3'!$L$71</definedName>
    <definedName name="GalRepTblFld_Член_комиссии_ФИО" localSheetId="6">'ИНВ-3_'!$N$69</definedName>
    <definedName name="GalRepTblFld_Член_комиссии_ФИО" localSheetId="5">'ИНВ-3b'!$J$63</definedName>
    <definedName name="GalRepTblFld_Член_комиссии_ФИО" localSheetId="4">'ИНВ-3b-dei'!$L$63</definedName>
    <definedName name="GalRepTblFld_Член_комиссии_ФИО" localSheetId="2">'ИНВ-3-Транснефть'!$L$71</definedName>
    <definedName name="GalRepTblFld_Член_комиссии_ФИО" localSheetId="39">инв5_2!$Z$14</definedName>
    <definedName name="GalRepTblFld_Член_комиссии_ФИО" localSheetId="44">'ИНВ-6'!$Q$41:$X$41</definedName>
    <definedName name="GalRepTblFld_Член_комиссии_ФИО" localSheetId="46">'ОП-15'!$AC$34:$AO$34</definedName>
    <definedName name="GalRepTblFld_Член_комиссии_ФИО" localSheetId="24">#REF!</definedName>
    <definedName name="GalRepTblFld_Член_комиссии_ФИО" localSheetId="26">СлВед_Нефин3!$BW$39</definedName>
    <definedName name="GalRepVar_1dolj" localSheetId="48">инв10_2b!$E$15</definedName>
    <definedName name="GalRepVar_1fam" localSheetId="48">инв10_2b!$R$15</definedName>
    <definedName name="GalRepVar_barcode" localSheetId="28">'Инв-16-1'!$A$1:$Q$3</definedName>
    <definedName name="GalRepVar_barcode" localSheetId="32">'ИНВ-16-1r'!$A$1:$R$3</definedName>
    <definedName name="GalRepVar_barcode" localSheetId="31">'ИНВ-16-1r-Транснефть'!$A$1:$R$3</definedName>
    <definedName name="GalRepVar_barcode" localSheetId="12">'ИНВ-19'!$B$2:$E$4</definedName>
    <definedName name="GalRepVar_barcode" localSheetId="15">'ИНВ-19_'!$B$3:$D$5</definedName>
    <definedName name="GalRepVar_barcode" localSheetId="11">'ИНВ-19-Транснефть'!$B$2:$E$4</definedName>
    <definedName name="GalRepVar_barcode" localSheetId="3">'ИНВ-3'!$B$2:$D$4</definedName>
    <definedName name="GalRepVar_barcode" localSheetId="6">'ИНВ-3_'!$B$2:$D$4</definedName>
    <definedName name="GalRepVar_barcode" localSheetId="2">'ИНВ-3-Транснефть'!$B$2:$D$4</definedName>
    <definedName name="GalRepVar_barcode">инв5_1!$A$2</definedName>
    <definedName name="GalRepVar_begDate" localSheetId="14">'ИНВ-16'!$W$23</definedName>
    <definedName name="GalRepVar_begDate" localSheetId="13">'ИНВ-16-dei'!$AA$23</definedName>
    <definedName name="GalRepVar_begDate" localSheetId="12">'ИНВ-19'!$W$15</definedName>
    <definedName name="GalRepVar_begDate" localSheetId="15">'ИНВ-19_'!$X$16</definedName>
    <definedName name="GalRepVar_begDate" localSheetId="11">'ИНВ-19-Транснефть'!$W$15</definedName>
    <definedName name="GalRepVar_Boss" localSheetId="42">Акт_инв!$BA$5</definedName>
    <definedName name="GalRepVar_CFH" localSheetId="50">Prikaz_bel!$A$1</definedName>
    <definedName name="GalRepVar_CFH" localSheetId="47">инв10_1b!$B$1</definedName>
    <definedName name="GalRepVar_CFH" localSheetId="38">инв5_1!$A$1</definedName>
    <definedName name="GalRepVar_CommonFormHeader" localSheetId="47">инв10_1b!$B$1</definedName>
    <definedName name="GalRepVar_CommonFormHeader" localSheetId="14">'ИНВ-16'!$B$1</definedName>
    <definedName name="GalRepVar_CommonFormHeader" localSheetId="13">'ИНВ-16-dei'!$B$1</definedName>
    <definedName name="GalRepVar_CommonFormHeader" localSheetId="12">'ИНВ-19'!$B$1</definedName>
    <definedName name="GalRepVar_CommonFormHeader" localSheetId="15">'ИНВ-19_'!$B$2</definedName>
    <definedName name="GalRepVar_CommonFormHeader" localSheetId="11">'ИНВ-19-Транснефть'!$B$1</definedName>
    <definedName name="GalRepVar_data" localSheetId="47">инв10_1b!$S$18</definedName>
    <definedName name="GalRepVar_data_d" localSheetId="43">'0504092'!$BN$3:$BR$3</definedName>
    <definedName name="GalRepVar_Data_d" localSheetId="42">Акт_инв!$T$13</definedName>
    <definedName name="GalRepVar_data_d" localSheetId="12">'ИНВ-19'!$E$31</definedName>
    <definedName name="GalRepVar_data_d" localSheetId="3">'ИНВ-3'!$H$35</definedName>
    <definedName name="GalRepVar_Data_d" localSheetId="38">инв5_1!$E$28</definedName>
    <definedName name="GalRepVar_data_d" localSheetId="44">'ИНВ-6'!$C$22</definedName>
    <definedName name="GalRepVar_data_d_end" localSheetId="42">Акт_инв!$AM$25</definedName>
    <definedName name="GalRepVar_data_d_prik" localSheetId="42">Акт_инв!$AA$24</definedName>
    <definedName name="GalRepVar_data_m" localSheetId="43">'0504092'!$BU$3:$CN$3</definedName>
    <definedName name="GalRepVar_Data_m" localSheetId="42">Акт_инв!$X$13</definedName>
    <definedName name="GalRepVar_data_m" localSheetId="12">'ИНВ-19'!$G$31:$I$31</definedName>
    <definedName name="GalRepVar_data_m" localSheetId="3">'ИНВ-3'!$J$35</definedName>
    <definedName name="GalRepVar_Data_m" localSheetId="38">инв5_1!$G$28</definedName>
    <definedName name="GalRepVar_data_m" localSheetId="44">'ИНВ-6'!$E$22:$F$22</definedName>
    <definedName name="GalRepVar_data_m_end" localSheetId="42">Акт_инв!$AP$25</definedName>
    <definedName name="GalRepVar_data_m_prik" localSheetId="42">Акт_инв!$AD$24</definedName>
    <definedName name="GalRepVar_data_y" localSheetId="43">'0504092'!$CP$3:$CU$3</definedName>
    <definedName name="GalRepVar_Data_y" localSheetId="42">Акт_инв!$AI$13</definedName>
    <definedName name="GalRepVar_data_y" localSheetId="12">'ИНВ-19'!$K$31:$L$31</definedName>
    <definedName name="GalRepVar_data_y" localSheetId="3">'ИНВ-3'!$M$35</definedName>
    <definedName name="GalRepVar_Data_y" localSheetId="38">инв5_1!$I$28</definedName>
    <definedName name="GalRepVar_data_y" localSheetId="44">'ИНВ-6'!$H$22</definedName>
    <definedName name="GalRepVar_data_y_end" localSheetId="42">Акт_инв!$BA$25</definedName>
    <definedName name="GalRepVar_data_y_prik" localSheetId="42">Акт_инв!$AN$24</definedName>
    <definedName name="GalRepVar_DateRep" localSheetId="14">'ИНВ-16'!$A$2</definedName>
    <definedName name="GalRepVar_DateRep" localSheetId="13">'ИНВ-16-dei'!$A$2</definedName>
    <definedName name="GalRepVar_DateRep" localSheetId="12">'ИНВ-19'!$A$1</definedName>
    <definedName name="GalRepVar_DateRep" localSheetId="15">'ИНВ-19_'!$A$2</definedName>
    <definedName name="GalRepVar_DateRep" localSheetId="11">'ИНВ-19-Транснефть'!$A$1</definedName>
    <definedName name="GalRepVar_DateRep" localSheetId="21">итог!$D$3</definedName>
    <definedName name="GalRepVar_DateRep" localSheetId="22">итог_ЦУ!$D$3</definedName>
    <definedName name="GalRepVar_DateRep" localSheetId="23">итог2!$D$3</definedName>
    <definedName name="GalRepVar_dInvEnd" localSheetId="47">инв10_1b!$S$19</definedName>
    <definedName name="GalRepVar_dolj_mol" localSheetId="47">инв10_1b!$I$23</definedName>
    <definedName name="GalRepVar_FIODolg0" localSheetId="42">Акт_инв!$M$17</definedName>
    <definedName name="GalRepVar_FIODolg0" localSheetId="41">'Форма 401'!$U$14:$BN$14</definedName>
    <definedName name="GalRepVar_FIODolg1" localSheetId="42">Акт_инв!$A$19</definedName>
    <definedName name="GalRepVar_FIODolg1" localSheetId="41">'Форма 401'!$T$17:$BN$17</definedName>
    <definedName name="GalRepVar_FIODolg2" localSheetId="42">Акт_инв!$A$20</definedName>
    <definedName name="GalRepVar_FIODolg2" localSheetId="41">'Форма 401'!$T$18:$BN$18</definedName>
    <definedName name="GalRepVar_FIODolg3" localSheetId="42">Акт_инв!$A$21</definedName>
    <definedName name="GalRepVar_FIODolg3" localSheetId="41">'Форма 401'!$T$19</definedName>
    <definedName name="GalRepVar_FIODolg4" localSheetId="42">Акт_инв!$A$22</definedName>
    <definedName name="GalRepVar_FIODolg5" localSheetId="42">Акт_инв!$A$23</definedName>
    <definedName name="GalRepVar_kol_list" localSheetId="42">Акт_инв!$C$45</definedName>
    <definedName name="GalRepVar_Main_Buh" localSheetId="43">'0504092'!$Y$17:$AW$17</definedName>
    <definedName name="GalRepVar_MOL" localSheetId="16">itog!$J$24</definedName>
    <definedName name="GalRepVar_MOL" localSheetId="17">itog1!$J$24</definedName>
    <definedName name="GalRepVar_MOL" localSheetId="20">itog16b!$J$24</definedName>
    <definedName name="GalRepVar_MOL" localSheetId="19">itog2!$J$24</definedName>
    <definedName name="GalRepVar_MOL" localSheetId="18">itog3!$J$24</definedName>
    <definedName name="GalRepVar_mol" localSheetId="47">инв10_1b!$O$23</definedName>
    <definedName name="GalRepVar_MOL" localSheetId="12">'ИНВ-19'!$J$26</definedName>
    <definedName name="GalRepVar_MOL" localSheetId="15">'ИНВ-19_'!$J$27</definedName>
    <definedName name="GalRepVar_MOL" localSheetId="11">'ИНВ-19-Транснефть'!$J$26</definedName>
    <definedName name="GalRepVar_Name_org" localSheetId="43">'0504092'!$G$5:$ES$5</definedName>
    <definedName name="GalRepVar_Name_org" localSheetId="50">Prikaz_bel!$A$9</definedName>
    <definedName name="GalRepVar_Name_org" localSheetId="27">Prikaz_rus!$A$8</definedName>
    <definedName name="GalRepVar_Name_org" localSheetId="42">Акт_инв!$I$14</definedName>
    <definedName name="GalRepVar_Name_org" localSheetId="47">инв10_1b!$F$14</definedName>
    <definedName name="GalRepVar_Name_org" localSheetId="37">'ИНВ-13'!$AB$11</definedName>
    <definedName name="GalRepVar_Name_org" localSheetId="36">'ИНВ-13_Vol'!$AB$11</definedName>
    <definedName name="GalRepVar_Name_org" localSheetId="14">'ИНВ-16'!$B$15</definedName>
    <definedName name="GalRepVar_Name_org" localSheetId="28">'Инв-16-1'!$N$9:$CC$9</definedName>
    <definedName name="GalRepVar_Name_org" localSheetId="32">'ИНВ-16-1r'!$B$8</definedName>
    <definedName name="GalRepVar_Name_org" localSheetId="31">'ИНВ-16-1r-Транснефть'!$B$8</definedName>
    <definedName name="GalRepVar_Name_org" localSheetId="13">'ИНВ-16-dei'!$B$15</definedName>
    <definedName name="GalRepVar_Name_org" localSheetId="12">'ИНВ-19'!$B$7</definedName>
    <definedName name="GalRepVar_Name_org" localSheetId="15">'ИНВ-19_'!$B$8</definedName>
    <definedName name="GalRepVar_Name_org" localSheetId="11">'ИНВ-19-Транснефть'!$B$7</definedName>
    <definedName name="GalRepVar_Name_org" localSheetId="3">'ИНВ-3'!$B$7</definedName>
    <definedName name="GalRepVar_Name_org" localSheetId="6">'ИНВ-3_'!$B$7</definedName>
    <definedName name="GalRepVar_Name_org" localSheetId="5">'ИНВ-3b'!$D$14</definedName>
    <definedName name="GalRepVar_Name_org" localSheetId="4">'ИНВ-3b-dei'!$D$14</definedName>
    <definedName name="GalRepVar_Name_org" localSheetId="2">'ИНВ-3-Транснефть'!$B$7</definedName>
    <definedName name="GalRepVar_Name_org" localSheetId="38">инв5_1!$A$6</definedName>
    <definedName name="GalRepVar_Name_org" localSheetId="44">'ИНВ-6'!$A$7:$Q$7</definedName>
    <definedName name="GalRepVar_Name_org" localSheetId="46">'ОП-15'!$A$4:$BI$6</definedName>
    <definedName name="GalRepVar_Name_org" localSheetId="24">СлВед_Нефин!$L$10</definedName>
    <definedName name="GalRepVar_Name_org" localSheetId="41">'Форма 401'!$N$10:$BN$10</definedName>
    <definedName name="GalRepVar_nInv" localSheetId="47">инв10_1b!$M$9</definedName>
    <definedName name="GalRepVar_okpo" localSheetId="47">инв10_1b!$S$14</definedName>
    <definedName name="GalRepVar_OKPO" localSheetId="14">'ИНВ-16'!$W$16</definedName>
    <definedName name="GalRepVar_OKPO" localSheetId="13">'ИНВ-16-dei'!$AA$16</definedName>
    <definedName name="GalRepVar_OKPO" localSheetId="12">'ИНВ-19'!$W$7</definedName>
    <definedName name="GalRepVar_OKPO" localSheetId="15">'ИНВ-19_'!$X$8</definedName>
    <definedName name="GalRepVar_OKPO" localSheetId="11">'ИНВ-19-Транснефть'!$W$7</definedName>
    <definedName name="GalRepVar_OrgName" localSheetId="14">'ИНВ-16'!$A$15</definedName>
    <definedName name="GalRepVar_OrgName" localSheetId="13">'ИНВ-16-dei'!$A$15</definedName>
    <definedName name="GalRepVar_OrgName" localSheetId="12">'ИНВ-19'!$A$7</definedName>
    <definedName name="GalRepVar_OrgName" localSheetId="15">'ИНВ-19_'!$A$8</definedName>
    <definedName name="GalRepVar_OrgName" localSheetId="11">'ИНВ-19-Транснефть'!$A$7</definedName>
    <definedName name="GalRepVar_Podr" localSheetId="14">'ИНВ-16'!$B$16</definedName>
    <definedName name="GalRepVar_Podr" localSheetId="12">'ИНВ-19'!$B$8</definedName>
    <definedName name="GalRepVar_Podr" localSheetId="15">'ИНВ-19_'!$B$9</definedName>
    <definedName name="GalRepVar_Podr" localSheetId="11">'ИНВ-19-Транснефть'!$B$8</definedName>
    <definedName name="GalRepVar_poryad_nom" localSheetId="37">'ИНВ-13'!$AV$91</definedName>
    <definedName name="GalRepVar_poryad_nom" localSheetId="36">'ИНВ-13_Vol'!$AV$51</definedName>
    <definedName name="GalRepVar_poryad_nom" localSheetId="32">'ИНВ-16-1r'!$C$8:$CV$8</definedName>
    <definedName name="GalRepVar_poryad_nom" localSheetId="31">'ИНВ-16-1r-Транснефть'!$C$8:$CV$8</definedName>
    <definedName name="GalRepVar_poryad_nom" localSheetId="30">'ИНВ-16-3'!$AG$3</definedName>
    <definedName name="GalRepVar_poryad_nom" localSheetId="34">'ИНВ-16-3r'!$BC$3:$ED$3</definedName>
    <definedName name="GalRepVar_poryad_nom" localSheetId="3">'ИНВ-3'!$E$58</definedName>
    <definedName name="GalRepVar_poryad_nom" localSheetId="6">'ИНВ-3_'!$F$58</definedName>
    <definedName name="GalRepVar_poryad_nom" localSheetId="5">'ИНВ-3b'!$D$53</definedName>
    <definedName name="GalRepVar_poryad_nom" localSheetId="4">'ИНВ-3b-dei'!$D$53</definedName>
    <definedName name="GalRepVar_poryad_nom" localSheetId="2">'ИНВ-3-Транснефть'!$F$58</definedName>
    <definedName name="GalRepVar_prikDate" localSheetId="47">инв10_1b!$S$16</definedName>
    <definedName name="GalRepVar_prikNumber" localSheetId="47">инв10_1b!$S$17</definedName>
    <definedName name="GalRepVar_SimvVal" localSheetId="33">'Инв-16-2r'!$J$6</definedName>
    <definedName name="GalRepVar_simvval" localSheetId="3">'ИНВ-3'!$H$41</definedName>
    <definedName name="GalRepVar_simvval" localSheetId="6">'ИНВ-3_'!$H$41</definedName>
    <definedName name="GalRepVar_simvval" localSheetId="5">'ИНВ-3b'!$G$36</definedName>
    <definedName name="GalRepVar_simvval" localSheetId="4">'ИНВ-3b-dei'!$F$36</definedName>
    <definedName name="GalRepVar_simvval" localSheetId="2">'ИНВ-3-Транснефть'!$H$41</definedName>
    <definedName name="GalRepVar_SimvValR" localSheetId="37">'ИНВ-13'!$CQ$46:$DH$46</definedName>
    <definedName name="GalRepVar_SimvValR" localSheetId="36">'ИНВ-13_Vol'!$CR$46:$DI$46</definedName>
    <definedName name="GalRepVar_SimvValR" localSheetId="29">'Инв-16-2'!$H$6:$J$6</definedName>
    <definedName name="GalRepVar_SimvValR" localSheetId="33">'Инв-16-2r'!$K$6:$L$6</definedName>
    <definedName name="GalRepVar_skl" localSheetId="47">инв10_1b!$F$15</definedName>
    <definedName name="GalRepVar_TitlRus" localSheetId="12">'ИНВ-19'!$S$3</definedName>
    <definedName name="GalRepVar_TitlRus" localSheetId="15">'ИНВ-19_'!$U$4</definedName>
    <definedName name="GalRepVar_titlrus" localSheetId="3">'ИНВ-3'!$L$3</definedName>
    <definedName name="GalRepVar_titlrus" localSheetId="6">'ИНВ-3_'!$N$3</definedName>
    <definedName name="GalRepVar_TitlRus1" localSheetId="12">'ИНВ-19'!$S$4</definedName>
    <definedName name="GalRepVar_TitlRus1" localSheetId="15">'ИНВ-19_'!$U$5</definedName>
    <definedName name="GalRepVar_titlrus1" localSheetId="3">'ИНВ-3'!$L$4</definedName>
    <definedName name="GalRepVar_titlrus1" localSheetId="6">'ИНВ-3_'!$N$4</definedName>
    <definedName name="GalRepVar_vsego_kol" localSheetId="26">СлВед_Нефин3!#REF!</definedName>
    <definedName name="GalRepVar_vsego_zap" localSheetId="48">инв10_2b!$S$17</definedName>
    <definedName name="GalRepVar_vsego_zap" localSheetId="37">'ИНВ-13'!$ED$105:$ES$105</definedName>
    <definedName name="GalRepVar_vsego_zap" localSheetId="36">'ИНВ-13_Vol'!$EE$65:$ET$65</definedName>
    <definedName name="GalRepVar_vsego_zap" localSheetId="30">'ИНВ-16-3'!$Z$19:$AG$19</definedName>
    <definedName name="GalRepVar_vsego_zap" localSheetId="34">'ИНВ-16-3r'!$F$19:$V$19</definedName>
    <definedName name="GalRepVar_vsego_zap" localSheetId="3">'ИНВ-3'!$B$56</definedName>
    <definedName name="GalRepVar_vsego_zap" localSheetId="6">'ИНВ-3_'!$B$56</definedName>
    <definedName name="GalRepVar_vsego_zap" localSheetId="5">'ИНВ-3b'!$B$51</definedName>
    <definedName name="GalRepVar_vsego_zap" localSheetId="4">'ИНВ-3b-dei'!$B$51</definedName>
    <definedName name="GalRepVar_vsego_zap" localSheetId="2">'ИНВ-3-Транснефть'!$B$56</definedName>
    <definedName name="GalRepVar_vsego_zap" localSheetId="39">инв5_2!$V$16</definedName>
    <definedName name="GalRepVar_vsego_zap" localSheetId="24">#REF!</definedName>
    <definedName name="GalRepVar_vsego_zap" localSheetId="26">СлВед_Нефин3!$CV$3</definedName>
    <definedName name="GalRepVar_vsego_zap" localSheetId="41">'Форма 401'!$G$51</definedName>
    <definedName name="GalRepVar_Дата_Инвентар" localSheetId="43">'0504092'!$FE$3:$GC$3</definedName>
    <definedName name="GalRepVar_Дата_Инвентар" localSheetId="42">Акт_инв!$BC$13</definedName>
    <definedName name="GalRepVar_Дата_Инвентар" localSheetId="47">инв10_1b!$S$18</definedName>
    <definedName name="GalRepVar_Дата_Инвентар" localSheetId="37">'ИНВ-13'!$EB$21:$ES$22</definedName>
    <definedName name="GalRepVar_Дата_Инвентар" localSheetId="36">'ИНВ-13_Vol'!$EC$21:$ET$22</definedName>
    <definedName name="GalRepVar_Дата_Инвентар" localSheetId="14">'ИНВ-16'!$W$23</definedName>
    <definedName name="GalRepVar_Дата_Инвентар" localSheetId="28">'Инв-16-1'!$CP$13:$DD$13</definedName>
    <definedName name="GalRepVar_Дата_Инвентар" localSheetId="32">'ИНВ-16-1r'!$DJ$16:$EF$16</definedName>
    <definedName name="GalRepVar_Дата_Инвентар" localSheetId="31">'ИНВ-16-1r-Транснефть'!$DJ$16:$EF$16</definedName>
    <definedName name="GalRepVar_Дата_Инвентар" localSheetId="13">'ИНВ-16-dei'!$AA$23</definedName>
    <definedName name="GalRepVar_Дата_Инвентар" localSheetId="12">'ИНВ-19'!$W$15</definedName>
    <definedName name="GalRepVar_Дата_Инвентар" localSheetId="15">'ИНВ-19_'!$X$16</definedName>
    <definedName name="GalRepVar_Дата_Инвентар" localSheetId="11">'ИНВ-19-Транснефть'!$W$15</definedName>
    <definedName name="GalRepVar_Дата_Инвентар" localSheetId="3">'ИНВ-3'!$N$13</definedName>
    <definedName name="GalRepVar_Дата_Инвентар" localSheetId="6">'ИНВ-3_'!$Q$13</definedName>
    <definedName name="GalRepVar_Дата_Инвентар" localSheetId="5">'ИНВ-3b'!$K$19</definedName>
    <definedName name="GalRepVar_Дата_Инвентар" localSheetId="4">'ИНВ-3b-dei'!$N$19</definedName>
    <definedName name="GalRepVar_Дата_Инвентар" localSheetId="2">'ИНВ-3-Транснефть'!$N$13</definedName>
    <definedName name="GalRepVar_Дата_Инвентар" localSheetId="38">инв5_1!$S$12</definedName>
    <definedName name="GalRepVar_Дата_Инвентар" localSheetId="44">'ИНВ-6'!$W$15:$Y$15</definedName>
    <definedName name="GalRepVar_Дата_Инвентар" localSheetId="46">'ОП-15'!$BA$12:$BH$12</definedName>
    <definedName name="GalRepVar_Дата_Инвентар" localSheetId="24">СлВед_Нефин!$CP$21</definedName>
    <definedName name="GalRepVar_Дата_Инвентар" localSheetId="41">'Форма 401'!$EA$19:$ES$20</definedName>
    <definedName name="GalRepVar_Дата_Инвентар1" localSheetId="24">СлВед_Нефин!$AJ$9</definedName>
    <definedName name="GalRepVar_Дата_Оконч_Инв" localSheetId="47">инв10_1b!$S$19</definedName>
    <definedName name="GalRepVar_Дата_Оконч_Инв" localSheetId="37">'ИНВ-13'!$EB$23:$ES$24</definedName>
    <definedName name="GalRepVar_Дата_Оконч_Инв" localSheetId="36">'ИНВ-13_Vol'!$EC$23:$ET$24</definedName>
    <definedName name="GalRepVar_Дата_Оконч_Инв" localSheetId="14">'ИНВ-16'!$W$24:$Y$24</definedName>
    <definedName name="GalRepVar_Дата_Оконч_Инв" localSheetId="28">'Инв-16-1'!$CP$14:$DD$14</definedName>
    <definedName name="GalRepVar_Дата_Оконч_Инв" localSheetId="32">'ИНВ-16-1r'!$DJ$17:$EF$17</definedName>
    <definedName name="GalRepVar_Дата_Оконч_Инв" localSheetId="31">'ИНВ-16-1r-Транснефть'!$DJ$17:$EF$17</definedName>
    <definedName name="GalRepVar_Дата_Оконч_Инв" localSheetId="13">'ИНВ-16-dei'!$AA$24:$AC$24</definedName>
    <definedName name="GalRepVar_Дата_Оконч_Инв" localSheetId="12">'ИНВ-19'!$W$16</definedName>
    <definedName name="GalRepVar_Дата_Оконч_Инв" localSheetId="15">'ИНВ-19_'!$X$17</definedName>
    <definedName name="GalRepVar_Дата_Оконч_Инв" localSheetId="11">'ИНВ-19-Транснефть'!$W$16</definedName>
    <definedName name="GalRepVar_Дата_Оконч_Инв" localSheetId="3">'ИНВ-3'!$N$14:$O$14</definedName>
    <definedName name="GalRepVar_Дата_Оконч_Инв" localSheetId="6">'ИНВ-3_'!$Q$14:$S$14</definedName>
    <definedName name="GalRepVar_Дата_Оконч_Инв" localSheetId="5">'ИНВ-3b'!$K$20:$L$20</definedName>
    <definedName name="GalRepVar_Дата_Оконч_Инв" localSheetId="4">'ИНВ-3b-dei'!$N$20:$O$20</definedName>
    <definedName name="GalRepVar_Дата_Оконч_Инв" localSheetId="2">'ИНВ-3-Транснефть'!$N$14:$O$14</definedName>
    <definedName name="GalRepVar_Дата_Оконч_Инв" localSheetId="38">инв5_1!$S$13</definedName>
    <definedName name="GalRepVar_Дата_Оконч_Инв" localSheetId="44">'ИНВ-6'!$W$16:$Y$16</definedName>
    <definedName name="GalRepVar_Дата_Оконч_Инв" localSheetId="24">СлВед_Нефин!$CP$23</definedName>
    <definedName name="GalRepVar_Дата_Приказа" localSheetId="27">Prikaz_rus!$H$13</definedName>
    <definedName name="GalRepVar_Дата_Приказа" localSheetId="47">инв10_1b!$S$16</definedName>
    <definedName name="GalRepVar_Дата_Приказа" localSheetId="37">'ИНВ-13'!$EB$17:$ES$18</definedName>
    <definedName name="GalRepVar_Дата_Приказа" localSheetId="36">'ИНВ-13_Vol'!$EC$17:$ET$18</definedName>
    <definedName name="GalRepVar_Дата_Приказа" localSheetId="14">'ИНВ-16'!$W$21:$Y$22</definedName>
    <definedName name="GalRepVar_Дата_Приказа" localSheetId="28">'Инв-16-1'!$CP$12:$DD$12</definedName>
    <definedName name="GalRepVar_Дата_Приказа" localSheetId="32">'ИНВ-16-1r'!$DJ$14:$EF$15</definedName>
    <definedName name="GalRepVar_Дата_Приказа" localSheetId="31">'ИНВ-16-1r-Транснефть'!$DJ$14:$EF$15</definedName>
    <definedName name="GalRepVar_Дата_Приказа" localSheetId="13">'ИНВ-16-dei'!$AA$21:$AC$22</definedName>
    <definedName name="GalRepVar_Дата_Приказа" localSheetId="12">'ИНВ-19'!$W$13</definedName>
    <definedName name="GalRepVar_Дата_Приказа" localSheetId="15">'ИНВ-19_'!$X$14</definedName>
    <definedName name="GalRepVar_Дата_Приказа" localSheetId="11">'ИНВ-19-Транснефть'!$W$13</definedName>
    <definedName name="GalRepVar_Дата_Приказа" localSheetId="3">'ИНВ-3'!$N$12:$O$12</definedName>
    <definedName name="GalRepVar_Дата_Приказа" localSheetId="6">'ИНВ-3_'!$Q$12:$S$12</definedName>
    <definedName name="GalRepVar_Дата_Приказа" localSheetId="5">'ИНВ-3b'!$K$18:$L$18</definedName>
    <definedName name="GalRepVar_Дата_Приказа" localSheetId="4">'ИНВ-3b-dei'!$N$18:$O$18</definedName>
    <definedName name="GalRepVar_Дата_Приказа" localSheetId="2">'ИНВ-3-Транснефть'!$N$12:$O$12</definedName>
    <definedName name="GalRepVar_Дата_Приказа" localSheetId="38">инв5_1!$S$11</definedName>
    <definedName name="GalRepVar_Дата_Приказа" localSheetId="44">'ИНВ-6'!$W$13:$Y$14</definedName>
    <definedName name="GalRepVar_Дата_Приказа" localSheetId="24">СлВед_Нефин!$CP$15</definedName>
    <definedName name="GalRepVar_Дата_Приказа1" localSheetId="50">Prikaz_bel!$C$15</definedName>
    <definedName name="GalRepVar_Дата_составления" localSheetId="12">'ИНВ-19'!$S$21:$W$21</definedName>
    <definedName name="GalRepVar_Должность_и_ФИО_членов_комиссии" localSheetId="24">#REF!</definedName>
    <definedName name="GalRepVar_Должность_и_ФИО_членов_комиссии" localSheetId="26">СлВед_Нефин3!#REF!</definedName>
    <definedName name="GalRepVar_МОЛ" localSheetId="16">itog!$AQ$3</definedName>
    <definedName name="GalRepVar_МОЛ" localSheetId="17">itog1!$AV$3</definedName>
    <definedName name="GalRepVar_МОЛ" localSheetId="20">itog16b!$AM$3</definedName>
    <definedName name="GalRepVar_МОЛ" localSheetId="19">itog2!$AV$3</definedName>
    <definedName name="GalRepVar_МОЛ" localSheetId="47">инв10_1b!$O$23</definedName>
    <definedName name="GalRepVar_МОЛ" localSheetId="48">инв10_2b!$W$20</definedName>
    <definedName name="GalRepVar_МОЛ" localSheetId="37">'ИНВ-13'!$BH$33:$CH$33</definedName>
    <definedName name="GalRepVar_МОЛ" localSheetId="36">'ИНВ-13_Vol'!$BI$33:$CI$33</definedName>
    <definedName name="GalRepVar_МОЛ" localSheetId="14">'ИНВ-16'!$P$41</definedName>
    <definedName name="GalRepVar_МОЛ" localSheetId="28">'Инв-16-1'!$BV$23:$DD$23</definedName>
    <definedName name="GalRepVar_МОЛ" localSheetId="32">'ИНВ-16-1r'!$CP$30:$EA$30</definedName>
    <definedName name="GalRepVar_МОЛ" localSheetId="31">'ИНВ-16-1r-Транснефть'!$CP$30:$EA$30</definedName>
    <definedName name="GalRepVar_МОЛ" localSheetId="30">'ИНВ-16-3'!$BY$23:$DD$23</definedName>
    <definedName name="GalRepVar_МОЛ" localSheetId="34">'ИНВ-16-3r'!$CB$22:$DN$22</definedName>
    <definedName name="GalRepVar_МОЛ" localSheetId="13">'ИНВ-16-dei'!$AU$36</definedName>
    <definedName name="GalRepVar_МОЛ" localSheetId="12">'ИНВ-19'!$AQ$46</definedName>
    <definedName name="GalRepVar_МОЛ" localSheetId="15">'ИНВ-19_'!$AU$46</definedName>
    <definedName name="GalRepVar_МОЛ" localSheetId="11">'ИНВ-19-Транснефть'!$AQ$46</definedName>
    <definedName name="GalRepVar_МОЛ" localSheetId="3">'ИНВ-3'!$L$31</definedName>
    <definedName name="GalRepVar_МОЛ" localSheetId="6">'ИНВ-3_'!$N$31</definedName>
    <definedName name="GalRepVar_МОЛ" localSheetId="5">'ИНВ-3b'!$J$28</definedName>
    <definedName name="GalRepVar_МОЛ" localSheetId="4">'ИНВ-3b-dei'!$M$28</definedName>
    <definedName name="GalRepVar_МОЛ" localSheetId="2">'ИНВ-3-Транснефть'!$L$31</definedName>
    <definedName name="GalRepVar_МОЛ" localSheetId="38">инв5_1!$O$23</definedName>
    <definedName name="GalRepVar_МОЛ" localSheetId="39">инв5_2!$Z$19</definedName>
    <definedName name="GalRepVar_МОЛ" localSheetId="21">итог!$B$6</definedName>
    <definedName name="GalRepVar_МОЛ" localSheetId="22">итог_ЦУ!$B$6</definedName>
    <definedName name="GalRepVar_МОЛ" localSheetId="23">итог2!$B$6</definedName>
    <definedName name="GalRepVar_МОЛ" localSheetId="24">СлВед_Нефин!$AD$12</definedName>
    <definedName name="GalRepVar_МОЛ" localSheetId="26">СлВед_Нефин3!$BN$17</definedName>
    <definedName name="GalRepVar_МОЛ" localSheetId="41">'Форма 401'!$BA$30</definedName>
    <definedName name="GalRepVar_МОЛ_Должн" localSheetId="16">itog!$AG$3</definedName>
    <definedName name="GalRepVar_МОЛ_Должн" localSheetId="17">itog1!$AK$3</definedName>
    <definedName name="GalRepVar_МОЛ_Должн" localSheetId="20">itog16b!$AE$3</definedName>
    <definedName name="GalRepVar_МОЛ_Должн" localSheetId="19">itog2!$AK$3</definedName>
    <definedName name="GalRepVar_МОЛ_Должн" localSheetId="47">инв10_1b!$I$23</definedName>
    <definedName name="GalRepVar_МОЛ_Должн" localSheetId="48">инв10_2b!$J$20</definedName>
    <definedName name="GalRepVar_МОЛ_Должн" localSheetId="37">'ИНВ-13'!$A$33:$AF$33</definedName>
    <definedName name="GalRepVar_МОЛ_Должн" localSheetId="36">'ИНВ-13_Vol'!$A$33:$AF$33</definedName>
    <definedName name="GalRepVar_МОЛ_Должн" localSheetId="14">'ИНВ-16'!$K$41:$M$41</definedName>
    <definedName name="GalRepVar_МОЛ_Должн" localSheetId="28">'Инв-16-1'!$W$23:$AZ$23</definedName>
    <definedName name="GalRepVar_МОЛ_Должн" localSheetId="32">'ИНВ-16-1r'!$AR$30:$BQ$30</definedName>
    <definedName name="GalRepVar_МОЛ_Должн" localSheetId="31">'ИНВ-16-1r-Транснефть'!$AR$30:$BQ$30</definedName>
    <definedName name="GalRepVar_МОЛ_Должн" localSheetId="30">'ИНВ-16-3'!$AF$23:$BC$23</definedName>
    <definedName name="GalRepVar_МОЛ_Должн" localSheetId="34">'ИНВ-16-3r'!$AO$22:$BI$22</definedName>
    <definedName name="GalRepVar_МОЛ_Должн" localSheetId="13">'ИНВ-16-dei'!$AK$36:$AM$36</definedName>
    <definedName name="GalRepVar_МОЛ_Должн" localSheetId="12">'ИНВ-19'!$AG$46:$AI$46</definedName>
    <definedName name="GalRepVar_МОЛ_Должн" localSheetId="15">'ИНВ-19_'!$AK$46:$AM$46</definedName>
    <definedName name="GalRepVar_МОЛ_Должн" localSheetId="11">'ИНВ-19-Транснефть'!$AG$46:$AI$46</definedName>
    <definedName name="GalRepVar_МОЛ_Должн" localSheetId="3">'ИНВ-3'!$E$31</definedName>
    <definedName name="GalRepVar_МОЛ_Должн" localSheetId="6">'ИНВ-3_'!$F$31</definedName>
    <definedName name="GalRepVar_МОЛ_Должн" localSheetId="5">'ИНВ-3b'!$D$28</definedName>
    <definedName name="GalRepVar_МОЛ_Должн" localSheetId="4">'ИНВ-3b-dei'!$D$28</definedName>
    <definedName name="GalRepVar_МОЛ_Должн" localSheetId="2">'ИНВ-3-Транснефть'!$F$31</definedName>
    <definedName name="GalRepVar_МОЛ_Должн" localSheetId="38">инв5_1!$I$23</definedName>
    <definedName name="GalRepVar_МОЛ_Должн" localSheetId="39">инв5_2!$H$19</definedName>
    <definedName name="GalRepVar_МОЛ_Должн" localSheetId="24">СлВед_Нефин!$K$32</definedName>
    <definedName name="GalRepVar_МОЛ_Должн" localSheetId="26">СлВед_Нефин3!$B$17</definedName>
    <definedName name="GalRepVar_МОЛ_Должн" localSheetId="41">'Форма 401'!$AA$42:$BF$42</definedName>
    <definedName name="GalRepVar_МОЛ_Должн1" localSheetId="12">'ИНВ-19'!$B$26</definedName>
    <definedName name="GalRepVar_МОЛ_ФИО_Долж" localSheetId="42">Акт_инв!$T$15</definedName>
    <definedName name="GalRepVar_МОЛ_ФИО_Долж" localSheetId="41">'Форма 401'!$AG$12</definedName>
    <definedName name="GalRepVar_МОЛ1" localSheetId="12">'ИНВ-19'!$J$26:$Z$26</definedName>
    <definedName name="GalRepVar_номер_OKPO" localSheetId="43">'0504092'!$FE$6:$GC$6</definedName>
    <definedName name="GalRepVar_номер_OKPO" localSheetId="42">Акт_инв!$BC$14</definedName>
    <definedName name="GalRepVar_номер_OKPO" localSheetId="47">инв10_1b!$S$14</definedName>
    <definedName name="GalRepVar_номер_OKPO" localSheetId="37">'ИНВ-13'!$EB$13:$ES$14</definedName>
    <definedName name="GalRepVar_номер_OKPO" localSheetId="36">'ИНВ-13_Vol'!$EC$13:$ET$14</definedName>
    <definedName name="GalRepVar_номер_OKPO" localSheetId="14">'ИНВ-16'!$W$16:$Y$16</definedName>
    <definedName name="GalRepVar_номер_OKPO" localSheetId="28">'Инв-16-1'!$CP$9:$DD$9</definedName>
    <definedName name="GalRepVar_номер_OKPO" localSheetId="32">'ИНВ-16-1r'!$DJ$8:$EF$8</definedName>
    <definedName name="GalRepVar_номер_OKPO" localSheetId="31">'ИНВ-16-1r-Транснефть'!$DJ$8:$EF$8</definedName>
    <definedName name="GalRepVar_номер_OKPO" localSheetId="13">'ИНВ-16-dei'!$AA$16:$AC$16</definedName>
    <definedName name="GalRepVar_номер_OKPO" localSheetId="12">'ИНВ-19'!$W$7:$Y$7</definedName>
    <definedName name="GalRepVar_номер_OKPO" localSheetId="15">'ИНВ-19_'!$X$8:$Z$8</definedName>
    <definedName name="GalRepVar_номер_OKPO" localSheetId="11">'ИНВ-19-Транснефть'!$W$7:$Y$7</definedName>
    <definedName name="GalRepVar_номер_OKPO" localSheetId="3">'ИНВ-3'!$N$7</definedName>
    <definedName name="GalRepVar_номер_OKPO" localSheetId="6">'ИНВ-3_'!$Q$7</definedName>
    <definedName name="GalRepVar_номер_OKPO" localSheetId="5">'ИНВ-3b'!$K$14</definedName>
    <definedName name="GalRepVar_номер_OKPO" localSheetId="4">'ИНВ-3b-dei'!$N$14</definedName>
    <definedName name="GalRepVar_номер_OKPO" localSheetId="2">'ИНВ-3-Транснефть'!$N$7</definedName>
    <definedName name="GalRepVar_номер_OKPO" localSheetId="38">инв5_1!$S$6</definedName>
    <definedName name="GalRepVar_номер_OKPO" localSheetId="44">'ИНВ-6'!$W$7:$Y$7</definedName>
    <definedName name="GalRepVar_номер_OKPO" localSheetId="46">'ОП-15'!$BT$6:$CA$6</definedName>
    <definedName name="GalRepVar_номер_OKPO" localSheetId="24">СлВед_Нефин!$CP$10</definedName>
    <definedName name="GalRepVar_номер_OKPO" localSheetId="41">'Форма 401'!$EA$11:$ES$12</definedName>
    <definedName name="GalRepVar_Номер_Инвентар" localSheetId="43">'0504092'!$DD$2:$DK$2</definedName>
    <definedName name="GalRepVar_Номер_Инвентар" localSheetId="42">Акт_инв!$AI$44</definedName>
    <definedName name="GalRepVar_Номер_Инвентар" localSheetId="47">инв10_1b!$M$9</definedName>
    <definedName name="GalRepVar_Номер_Инвентар" localSheetId="37">'ИНВ-13'!$BO$7:$CM$7</definedName>
    <definedName name="GalRepVar_Номер_Инвентар" localSheetId="36">'ИНВ-13_Vol'!$BP$7:$CN$7</definedName>
    <definedName name="GalRepVar_Номер_Инвентар" localSheetId="14">'ИНВ-16'!$O$11</definedName>
    <definedName name="GalRepVar_Номер_Инвентар" localSheetId="28">'Инв-16-1'!$CB$7:$CJ$7</definedName>
    <definedName name="GalRepVar_Номер_Инвентар" localSheetId="32">'ИНВ-16-1r'!$CN$21:$CZ$21</definedName>
    <definedName name="GalRepVar_Номер_Инвентар" localSheetId="31">'ИНВ-16-1r-Транснефть'!$CN$21:$CZ$21</definedName>
    <definedName name="GalRepVar_Номер_Инвентар" localSheetId="13">'ИНВ-16-dei'!$R$11</definedName>
    <definedName name="GalRepVar_Номер_Инвентар" localSheetId="12">'ИНВ-19'!$Q$21:$R$21</definedName>
    <definedName name="GalRepVar_Номер_Инвентар" localSheetId="15">'ИНВ-19_'!$R$22:$T$22</definedName>
    <definedName name="GalRepVar_Номер_Инвентар" localSheetId="11">'ИНВ-19-Транснефть'!$Q$21:$R$21</definedName>
    <definedName name="GalRepVar_Номер_Инвентар" localSheetId="3">'ИНВ-3'!$K$18</definedName>
    <definedName name="GalRepVar_Номер_Инвентар" localSheetId="6">'ИНВ-3_'!$M$18</definedName>
    <definedName name="GalRepVar_Номер_Инвентар" localSheetId="5">'ИНВ-3b'!$G$10</definedName>
    <definedName name="GalRepVar_Номер_Инвентар" localSheetId="4">'ИНВ-3b-dei'!$I$10</definedName>
    <definedName name="GalRepVar_Номер_Инвентар" localSheetId="2">'ИНВ-3-Транснефть'!$K$18</definedName>
    <definedName name="GalRepVar_Номер_Инвентар" localSheetId="38">инв5_1!$M$18</definedName>
    <definedName name="GalRepVar_Номер_Инвентар" localSheetId="44">'ИНВ-6'!$L$20:$O$20</definedName>
    <definedName name="GalRepVar_Номер_Инвентар" localSheetId="46">'ОП-15'!$AS$12:$AZ$12</definedName>
    <definedName name="GalRepVar_Номер_Инвентар" localSheetId="24">СлВед_Нефин!$CF$5</definedName>
    <definedName name="GalRepVar_Номер_Инвентар" localSheetId="41">'Форма 401'!$BJ$6:$CM$6</definedName>
    <definedName name="GalRepVar_Номер_Приказа" localSheetId="50">Prikaz_bel!$F$12</definedName>
    <definedName name="GalRepVar_Номер_Приказа" localSheetId="27">Prikaz_rus!$G$13</definedName>
    <definedName name="GalRepVar_Номер_Приказа" localSheetId="42">Акт_инв!$AU$24</definedName>
    <definedName name="GalRepVar_Номер_Приказа" localSheetId="47">инв10_1b!$S$17</definedName>
    <definedName name="GalRepVar_Номер_Приказа" localSheetId="37">'ИНВ-13'!$EB$19:$ES$20</definedName>
    <definedName name="GalRepVar_Номер_Приказа" localSheetId="36">'ИНВ-13_Vol'!$EC$19:$ET$20</definedName>
    <definedName name="GalRepVar_Номер_Приказа" localSheetId="14">'ИНВ-16'!$W$20:$Y$20</definedName>
    <definedName name="GalRepVar_Номер_Приказа" localSheetId="28">'Инв-16-1'!$CP$11:$DD$11</definedName>
    <definedName name="GalRepVar_Номер_Приказа" localSheetId="32">'ИНВ-16-1r'!$DJ$13:$EF$13</definedName>
    <definedName name="GalRepVar_Номер_Приказа" localSheetId="31">'ИНВ-16-1r-Транснефть'!$DJ$13:$EF$13</definedName>
    <definedName name="GalRepVar_Номер_Приказа" localSheetId="13">'ИНВ-16-dei'!$AA$20:$AC$20</definedName>
    <definedName name="GalRepVar_Номер_Приказа" localSheetId="12">'ИНВ-19'!$W$12</definedName>
    <definedName name="GalRepVar_Номер_Приказа" localSheetId="15">'ИНВ-19_'!$X$13</definedName>
    <definedName name="GalRepVar_Номер_Приказа" localSheetId="11">'ИНВ-19-Транснефть'!$W$12</definedName>
    <definedName name="GalRepVar_Номер_Приказа" localSheetId="3">'ИНВ-3'!$N$11:$O$11</definedName>
    <definedName name="GalRepVar_Номер_Приказа" localSheetId="6">'ИНВ-3_'!$Q$11:$S$11</definedName>
    <definedName name="GalRepVar_Номер_Приказа" localSheetId="5">'ИНВ-3b'!$K$17:$L$17</definedName>
    <definedName name="GalRepVar_Номер_Приказа" localSheetId="4">'ИНВ-3b-dei'!$N$17:$O$17</definedName>
    <definedName name="GalRepVar_Номер_Приказа" localSheetId="2">'ИНВ-3-Транснефть'!$N$10:$O$11</definedName>
    <definedName name="GalRepVar_Номер_Приказа" localSheetId="38">инв5_1!$S$10</definedName>
    <definedName name="GalRepVar_Номер_Приказа" localSheetId="44">'ИНВ-6'!$W$12:$Y$12</definedName>
    <definedName name="GalRepVar_Номер_Приказа" localSheetId="24">СлВед_Нефин!$AQ$15</definedName>
    <definedName name="GalRepVar_ОКПО" localSheetId="27">Prikaz_rus!$H$8</definedName>
    <definedName name="GalRepVar_Орган_название" localSheetId="50">Prikaz_bel!$B$9:$G$9</definedName>
    <definedName name="GalRepVar_Председатель_комиссии_Должность" localSheetId="18">#REF!</definedName>
    <definedName name="GalRepVar_Председатель_комиссии_Должность" localSheetId="50">Prikaz_bel!$G$19</definedName>
    <definedName name="GalRepVar_Председатель_комиссии_Должность" localSheetId="27">Prikaz_rus!$B$22</definedName>
    <definedName name="GalRepVar_Председатель_комиссии_Должность" localSheetId="42">Акт_инв!$N$49</definedName>
    <definedName name="GalRepVar_Председатель_комиссии_Должность" localSheetId="48">инв10_2b!$E$12</definedName>
    <definedName name="GalRepVar_Председатель_комиссии_Должность" localSheetId="37">'ИНВ-13'!$Y$99:$AU$99</definedName>
    <definedName name="GalRepVar_Председатель_комиссии_Должность" localSheetId="36">'ИНВ-13_Vol'!$Y$59:$AU$59</definedName>
    <definedName name="GalRepVar_Председатель_комиссии_Должность" localSheetId="30">'ИНВ-16-3'!$Z$12</definedName>
    <definedName name="GalRepVar_Председатель_комиссии_Должность" localSheetId="34">'ИНВ-16-3r'!$AF$12:$AV$12</definedName>
    <definedName name="GalRepVar_Председатель_комиссии_Должность" localSheetId="3">'ИНВ-3'!$E$68</definedName>
    <definedName name="GalRepVar_Председатель_комиссии_Должность" localSheetId="6">'ИНВ-3_'!$F$66</definedName>
    <definedName name="GalRepVar_Председатель_комиссии_Должность" localSheetId="5">'ИНВ-3b'!$D$60</definedName>
    <definedName name="GalRepVar_Председатель_комиссии_Должность" localSheetId="4">'ИНВ-3b-dei'!$D$60</definedName>
    <definedName name="GalRepVar_Председатель_комиссии_Должность" localSheetId="2">'ИНВ-3-Транснефть'!$F$68</definedName>
    <definedName name="GalRepVar_Председатель_комиссии_Должность" localSheetId="39">инв5_2!$G$11</definedName>
    <definedName name="GalRepVar_Председатель_комиссии_Должность" localSheetId="44">'ИНВ-6'!$C$38:$H$38</definedName>
    <definedName name="GalRepVar_Председатель_комиссии_Должность" localSheetId="26">СлВед_Нефин3!$W$36</definedName>
    <definedName name="GalRepVar_Председатель_комиссии_Должность">#REF!</definedName>
    <definedName name="GalRepVar_Председатель_комиссии_ФИО" localSheetId="18">#REF!</definedName>
    <definedName name="GalRepVar_Председатель_комиссии_ФИО" localSheetId="50">Prikaz_bel!$A$20</definedName>
    <definedName name="GalRepVar_Председатель_комиссии_ФИО" localSheetId="27">Prikaz_rus!$E$22</definedName>
    <definedName name="GalRepVar_Председатель_комиссии_ФИО" localSheetId="42">Акт_инв!$AS$49</definedName>
    <definedName name="GalRepVar_Председатель_комиссии_ФИО" localSheetId="48">инв10_2b!$R$12</definedName>
    <definedName name="GalRepVar_Председатель_комиссии_ФИО" localSheetId="37">'ИНВ-13'!$CU$99</definedName>
    <definedName name="GalRepVar_Председатель_комиссии_ФИО" localSheetId="36">'ИНВ-13_Vol'!$CV$59</definedName>
    <definedName name="GalRepVar_Председатель_комиссии_ФИО" localSheetId="30">'ИНВ-16-3'!$BS$12</definedName>
    <definedName name="GalRepVar_Председатель_комиссии_ФИО" localSheetId="34">'ИНВ-16-3r'!$CG$12:$DH$12</definedName>
    <definedName name="GalRepVar_Председатель_комиссии_ФИО" localSheetId="3">'ИНВ-3'!$L$68</definedName>
    <definedName name="GalRepVar_Председатель_комиссии_ФИО" localSheetId="6">'ИНВ-3_'!$N$66</definedName>
    <definedName name="GalRepVar_Председатель_комиссии_ФИО" localSheetId="5">'ИНВ-3b'!$J$60</definedName>
    <definedName name="GalRepVar_Председатель_комиссии_ФИО" localSheetId="4">'ИНВ-3b-dei'!$L$60</definedName>
    <definedName name="GalRepVar_Председатель_комиссии_ФИО" localSheetId="2">'ИНВ-3-Транснефть'!$L$68</definedName>
    <definedName name="GalRepVar_Председатель_комиссии_ФИО" localSheetId="39">инв5_2!$Z$11</definedName>
    <definedName name="GalRepVar_Председатель_комиссии_ФИО" localSheetId="44">'ИНВ-6'!$Q$38:$X$38</definedName>
    <definedName name="GalRepVar_Председатель_комиссии_ФИО" localSheetId="26">СлВед_Нефин3!$BW$36</definedName>
    <definedName name="GalRepVar_Председатель_комиссии_ФИО">#REF!</definedName>
    <definedName name="GalRepVar_Склад" localSheetId="43">'0504092'!$I$6:$CD$6</definedName>
    <definedName name="GalRepVar_Склад" localSheetId="27">Prikaz_rus!$A$10</definedName>
    <definedName name="GalRepVar_Склад" localSheetId="47">инв10_1b!$F$15</definedName>
    <definedName name="GalRepVar_Склад" localSheetId="37">'ИНВ-13'!$AB$14</definedName>
    <definedName name="GalRepVar_Склад" localSheetId="36">'ИНВ-13_Vol'!$AB$14</definedName>
    <definedName name="GalRepVar_Склад" localSheetId="14">'ИНВ-16'!$B$17</definedName>
    <definedName name="GalRepVar_Склад" localSheetId="28">'Инв-16-1'!$AH$10:$CC$10</definedName>
    <definedName name="GalRepVar_Склад" localSheetId="32">'ИНВ-16-1r'!$B$10:$DI$10</definedName>
    <definedName name="GalRepVar_Склад" localSheetId="31">'ИНВ-16-1r-Транснефть'!$B$10:$DI$10</definedName>
    <definedName name="GalRepVar_Склад" localSheetId="13">'ИНВ-16-dei'!$B$17</definedName>
    <definedName name="GalRepVar_Склад" localSheetId="12">'ИНВ-19'!$B$9</definedName>
    <definedName name="GalRepVar_Склад" localSheetId="15">'ИНВ-19_'!$B$10</definedName>
    <definedName name="GalRepVar_Склад" localSheetId="11">'ИНВ-19-Транснефть'!$B$9</definedName>
    <definedName name="GalRepVar_Склад" localSheetId="3">'ИНВ-3'!$B$9</definedName>
    <definedName name="GalRepVar_Склад" localSheetId="6">'ИНВ-3_'!$B$9</definedName>
    <definedName name="GalRepVar_Склад" localSheetId="5">'ИНВ-3b'!$D$16</definedName>
    <definedName name="GalRepVar_Склад" localSheetId="4">'ИНВ-3b-dei'!$D$16</definedName>
    <definedName name="GalRepVar_Склад" localSheetId="2">'ИНВ-3-Транснефть'!$B$9</definedName>
    <definedName name="GalRepVar_Склад" localSheetId="38">инв5_1!$A$8</definedName>
    <definedName name="GalRepVar_Склад" localSheetId="44">'ИНВ-6'!$A$9:$U$9</definedName>
    <definedName name="GalRepVar_Склад" localSheetId="21">итог!$B$5</definedName>
    <definedName name="GalRepVar_Склад" localSheetId="22">итог_ЦУ!$B$5</definedName>
    <definedName name="GalRepVar_Склад" localSheetId="23">итог2!$B$5</definedName>
    <definedName name="GalRepVar_Склад" localSheetId="46">'ОП-15'!$A$8:$BS$8</definedName>
    <definedName name="GalRepVar_Склад" localSheetId="24">СлВед_Нефин!$Y$11</definedName>
    <definedName name="GalRepVar_Склад" localSheetId="41">'Форма 401'!$L$11:$BN$11</definedName>
    <definedName name="Print_Area" localSheetId="43">'0504092'!$A$1:$GC$21</definedName>
    <definedName name="Print_Area" localSheetId="48">инв10_2b!$A$1:$AH$25</definedName>
    <definedName name="Print_Area" localSheetId="37">'ИНВ-13'!$A$1:$IN$126</definedName>
    <definedName name="Print_Area" localSheetId="35">'ИНВ-13_2'!$A$1:$IN$6</definedName>
    <definedName name="Print_Area" localSheetId="36">'ИНВ-13_Vol'!$A$1:$IO$86</definedName>
    <definedName name="Print_Area" localSheetId="14">'ИНВ-16'!$A$1:$AP$81</definedName>
    <definedName name="Print_Area" localSheetId="32">'ИНВ-16-1r'!$A$1:$EF$38</definedName>
    <definedName name="Print_Area" localSheetId="31">'ИНВ-16-1r-Транснефть'!$A$1:$EF$38</definedName>
    <definedName name="Print_Area" localSheetId="30">'ИНВ-16-3'!$A$1:$DE$51</definedName>
    <definedName name="Print_Area" localSheetId="34">'ИНВ-16-3r'!$A$1:$EG$42</definedName>
    <definedName name="Print_Area" localSheetId="13">'ИНВ-16-dei'!$B$1:$AX$81</definedName>
    <definedName name="Print_Area" localSheetId="40">инв5!$A$1:$AI$3</definedName>
    <definedName name="Print_Area" localSheetId="39">инв5_2!$A$1:$AI$26</definedName>
    <definedName name="Print_Area" localSheetId="44">'ИНВ-6'!$A$1:$Y$49</definedName>
    <definedName name="Print_Area" localSheetId="45">'ИНВ-6-2'!$A$1:$Y$9</definedName>
    <definedName name="Print_Area" localSheetId="46">'ОП-15'!$A$1:$CA$40</definedName>
    <definedName name="Print_Area" localSheetId="24">СлВед_Нефин!$A$1:$DC$38</definedName>
    <definedName name="Print_Area" localSheetId="25">СлВед_Нефин2!$A$1:$EZ$8</definedName>
    <definedName name="Print_Area" localSheetId="26">СлВед_Нефин3!$A$1:$DC$42</definedName>
    <definedName name="Print_Area" localSheetId="41">'Форма 401'!$A$1:$ET$70</definedName>
    <definedName name="Print_Titles" localSheetId="29">'Инв-16-2'!$7:$7</definedName>
    <definedName name="Print_Titles" localSheetId="33">'Инв-16-2r'!$7:$7</definedName>
    <definedName name="Print_Titles" localSheetId="21">итог!$8:$10</definedName>
    <definedName name="Print_Titles" localSheetId="22">итог_ЦУ!$8:$10</definedName>
    <definedName name="Print_Titles" localSheetId="23">итог2!$8:$10</definedName>
    <definedName name="Print_Titles" localSheetId="25">СлВед_Нефин2!$1:$6</definedName>
    <definedName name="Print_Titles" localSheetId="41">'Форма 401'!$60:$60</definedName>
    <definedName name="КТ">'Форма 401'!$62:$62</definedName>
    <definedName name="_xlnm.Print_Area" localSheetId="37">'ИНВ-13'!$A$1:$IN$130</definedName>
  </definedNames>
  <calcPr calcId="125725" refMode="R1C1"/>
</workbook>
</file>

<file path=xl/calcChain.xml><?xml version="1.0" encoding="utf-8"?>
<calcChain xmlns="http://schemas.openxmlformats.org/spreadsheetml/2006/main">
  <c r="ET48" i="39"/>
  <c r="EU48"/>
  <c r="EV48"/>
  <c r="ET49"/>
  <c r="EU49"/>
  <c r="EV49"/>
  <c r="ET50"/>
  <c r="EU50"/>
  <c r="EV50"/>
  <c r="ET51"/>
  <c r="EU51"/>
  <c r="EV51"/>
  <c r="ET52"/>
  <c r="EU52"/>
  <c r="EV52"/>
  <c r="ET53"/>
  <c r="EU53"/>
  <c r="EV53"/>
  <c r="ET54"/>
  <c r="EU54"/>
  <c r="EV54"/>
  <c r="ET55"/>
  <c r="EU55"/>
  <c r="EV55"/>
  <c r="ET56"/>
  <c r="EU56"/>
  <c r="EV56"/>
  <c r="ET57"/>
  <c r="EU57"/>
  <c r="EV57"/>
  <c r="ET58"/>
  <c r="EU58"/>
  <c r="EV58"/>
  <c r="ET59"/>
  <c r="EU59"/>
  <c r="EV59"/>
  <c r="ET60"/>
  <c r="EU60"/>
  <c r="EV60"/>
  <c r="ET61"/>
  <c r="EU61"/>
  <c r="EV61"/>
  <c r="ET62"/>
  <c r="EU62"/>
  <c r="EV62"/>
  <c r="ET63"/>
  <c r="EU63"/>
  <c r="EV63"/>
  <c r="ET64"/>
  <c r="EU64"/>
  <c r="EV64"/>
  <c r="ET65"/>
  <c r="EU65"/>
  <c r="EV65"/>
  <c r="ET66"/>
  <c r="EU66"/>
  <c r="EV66"/>
  <c r="ET67"/>
  <c r="EU67"/>
  <c r="EV67"/>
  <c r="ET68"/>
  <c r="EU68"/>
  <c r="EV68"/>
  <c r="ET69"/>
  <c r="EU69"/>
  <c r="EV69"/>
  <c r="ET70"/>
  <c r="EU70"/>
  <c r="EV70"/>
  <c r="ET71"/>
  <c r="EU71"/>
  <c r="EV71"/>
  <c r="ET72"/>
  <c r="EU72"/>
  <c r="EV72"/>
  <c r="ET73"/>
  <c r="EU73"/>
  <c r="EV73"/>
  <c r="ET74"/>
  <c r="EU74"/>
  <c r="EV74"/>
  <c r="ET75"/>
  <c r="EU75"/>
  <c r="EV75"/>
  <c r="ET76"/>
  <c r="EU76"/>
  <c r="EV76"/>
  <c r="ET77"/>
  <c r="EU77"/>
  <c r="EV77"/>
  <c r="ET78"/>
  <c r="EU78"/>
  <c r="EV78"/>
  <c r="ET79"/>
  <c r="EU79"/>
  <c r="EV79"/>
  <c r="ET80"/>
  <c r="EU80"/>
  <c r="EV80"/>
  <c r="ET81"/>
  <c r="EU81"/>
  <c r="EV81"/>
  <c r="ET82"/>
  <c r="EU82"/>
  <c r="EV82"/>
  <c r="ET83"/>
  <c r="EU83"/>
  <c r="EV83"/>
  <c r="ET84"/>
  <c r="EU84"/>
  <c r="EV84"/>
  <c r="ET85"/>
  <c r="EU85"/>
  <c r="EV85"/>
  <c r="ET86"/>
  <c r="EU86"/>
  <c r="EV86"/>
  <c r="ET87"/>
  <c r="EU87"/>
  <c r="EV87"/>
  <c r="ET88"/>
  <c r="EU88"/>
  <c r="EV88"/>
  <c r="J73" i="86" l="1"/>
  <c r="C73"/>
  <c r="K37"/>
  <c r="I37"/>
  <c r="AP46" i="84" l="1"/>
  <c r="M18" i="8" l="1"/>
  <c r="M74"/>
  <c r="D79" l="1"/>
  <c r="CT77" i="67" l="1"/>
  <c r="AO77"/>
  <c r="CT69"/>
  <c r="AO69"/>
  <c r="EW48"/>
  <c r="EV48"/>
  <c r="EU48"/>
  <c r="IL46"/>
  <c r="GP46"/>
  <c r="EY46"/>
  <c r="EW46"/>
  <c r="EB46"/>
  <c r="AH32" i="19" l="1"/>
  <c r="AW32" i="28" l="1"/>
  <c r="AV32"/>
  <c r="AQ32"/>
  <c r="AP32"/>
  <c r="AM32"/>
  <c r="AL32"/>
  <c r="AN32" i="19" l="1"/>
  <c r="AM32"/>
  <c r="AI32"/>
  <c r="BX30" i="64" l="1"/>
  <c r="BT29" l="1"/>
  <c r="L81" i="63"/>
  <c r="F81"/>
  <c r="N42"/>
  <c r="L42"/>
  <c r="DA21" i="62"/>
  <c r="AP46" i="61"/>
  <c r="P20" i="53"/>
  <c r="AB6" i="52"/>
  <c r="X6"/>
  <c r="T6"/>
  <c r="R6"/>
  <c r="N6"/>
  <c r="CB33" i="51"/>
  <c r="AO33"/>
  <c r="R8" i="52"/>
  <c r="O8"/>
  <c r="DA21" i="49"/>
  <c r="AE25" i="45"/>
  <c r="T25"/>
  <c r="Q25"/>
  <c r="BH44"/>
  <c r="AW44"/>
  <c r="AS44"/>
  <c r="Y28"/>
  <c r="DJ42" i="44"/>
  <c r="Q18" i="41"/>
  <c r="IK46" i="39"/>
  <c r="GO46"/>
  <c r="EX46"/>
  <c r="EV46"/>
  <c r="EA46"/>
  <c r="CS109"/>
  <c r="AO109"/>
  <c r="CS117"/>
  <c r="AO117"/>
  <c r="M8" i="34"/>
  <c r="O8"/>
  <c r="BZ6"/>
  <c r="AQ6"/>
  <c r="Q6"/>
  <c r="O6"/>
  <c r="L6"/>
  <c r="AF40" i="35"/>
  <c r="BY40"/>
  <c r="F79" i="12"/>
  <c r="N79"/>
  <c r="C73" i="27"/>
  <c r="AT36" i="28"/>
  <c r="J37" i="27"/>
  <c r="N37"/>
  <c r="L73"/>
  <c r="BI32" i="23"/>
  <c r="AV7" i="24"/>
  <c r="H20" i="9"/>
  <c r="N21" s="1"/>
  <c r="L21"/>
  <c r="AT46" i="15"/>
  <c r="N42" i="12"/>
  <c r="R42"/>
  <c r="L42" i="8"/>
  <c r="N42"/>
  <c r="L79"/>
</calcChain>
</file>

<file path=xl/sharedStrings.xml><?xml version="1.0" encoding="utf-8"?>
<sst xmlns="http://schemas.openxmlformats.org/spreadsheetml/2006/main" count="4135" uniqueCount="895">
  <si>
    <t>Член_комиссии_nRec</t>
  </si>
  <si>
    <t>Член_комиссии_ФИО</t>
  </si>
  <si>
    <t>Член_комиссии_Табельный_Номер</t>
  </si>
  <si>
    <t>Член_комиссии_Должность</t>
  </si>
  <si>
    <t>номер</t>
  </si>
  <si>
    <t>счет</t>
  </si>
  <si>
    <t>характеристика</t>
  </si>
  <si>
    <t>код</t>
  </si>
  <si>
    <t>наименование</t>
  </si>
  <si>
    <t>цена</t>
  </si>
  <si>
    <t>Кол_изл</t>
  </si>
  <si>
    <t>Сумма_изл</t>
  </si>
  <si>
    <t>Кол_нед</t>
  </si>
  <si>
    <t>Сумма_нед</t>
  </si>
  <si>
    <t>инвентарный</t>
  </si>
  <si>
    <t>паспорта.</t>
  </si>
  <si>
    <t>ф_количество</t>
  </si>
  <si>
    <t>ф_сумма</t>
  </si>
  <si>
    <t>количество</t>
  </si>
  <si>
    <t>сумма</t>
  </si>
  <si>
    <t>Dei1</t>
  </si>
  <si>
    <t>Dei2</t>
  </si>
  <si>
    <t>Dei3</t>
  </si>
  <si>
    <t>Dei4</t>
  </si>
  <si>
    <t>Переменная</t>
  </si>
  <si>
    <t>Тип</t>
  </si>
  <si>
    <t>Значение</t>
  </si>
  <si>
    <t>Title</t>
  </si>
  <si>
    <t>String</t>
  </si>
  <si>
    <t>DateRep</t>
  </si>
  <si>
    <t>CommonFormHeader</t>
  </si>
  <si>
    <t>Дата_Инвентар</t>
  </si>
  <si>
    <t>Склад</t>
  </si>
  <si>
    <t>МОЛ</t>
  </si>
  <si>
    <t>номер_OKPO</t>
  </si>
  <si>
    <t>Name_org</t>
  </si>
  <si>
    <t>Тип_отчета</t>
  </si>
  <si>
    <t>Number</t>
  </si>
  <si>
    <t>Кол_симв</t>
  </si>
  <si>
    <t>vsego_zap</t>
  </si>
  <si>
    <t>vsego_sum</t>
  </si>
  <si>
    <t>vsego_kol</t>
  </si>
  <si>
    <t>vsego_fsum</t>
  </si>
  <si>
    <t>vsego_fkol</t>
  </si>
  <si>
    <t>TitlRus</t>
  </si>
  <si>
    <t>TitlRus1</t>
  </si>
  <si>
    <t>SimvVal</t>
  </si>
  <si>
    <t>SimvValR</t>
  </si>
  <si>
    <t>SimvValK</t>
  </si>
  <si>
    <t>сум_проп</t>
  </si>
  <si>
    <t>edin_prop</t>
  </si>
  <si>
    <t>poryad_nom</t>
  </si>
  <si>
    <t>Унифицированная форма № ИНВ-3</t>
  </si>
  <si>
    <t>titlrus</t>
  </si>
  <si>
    <t>titlrus1</t>
  </si>
  <si>
    <t>Код</t>
  </si>
  <si>
    <t>Форма по ОКУД</t>
  </si>
  <si>
    <t>по ОКПО</t>
  </si>
  <si>
    <t>(организация)</t>
  </si>
  <si>
    <t>(структурное подразделение)</t>
  </si>
  <si>
    <t>Вид деятельности</t>
  </si>
  <si>
    <t>Основание для проведения инвентаризации:</t>
  </si>
  <si>
    <t xml:space="preserve">                                        приказ, постановление, распоряжение</t>
  </si>
  <si>
    <t>(ненужное зачеркнуть)</t>
  </si>
  <si>
    <t>дата</t>
  </si>
  <si>
    <t>Дата начала инвентаризации</t>
  </si>
  <si>
    <t>Дата окончания инвентаризации</t>
  </si>
  <si>
    <t>Вид операции</t>
  </si>
  <si>
    <t xml:space="preserve"> Номер документа</t>
  </si>
  <si>
    <t>Дата составления</t>
  </si>
  <si>
    <t>И Н В Е Н Т А Р И З А Ц И О Н Н А Я   О П И С Ь</t>
  </si>
  <si>
    <t>товарно-материальных ценностей</t>
  </si>
  <si>
    <t>(вид товарно-материальных ценностей)</t>
  </si>
  <si>
    <t>находящиеся</t>
  </si>
  <si>
    <t>(в собственности организации, полученные для переработки)</t>
  </si>
  <si>
    <t>Р А С П И С К А</t>
  </si>
  <si>
    <t xml:space="preserve">К началу проведения инвентаризации все расходные и приходные документы на товарно-материальные ценности сданы в бухгалтерию и все </t>
  </si>
  <si>
    <t>товарно-материальные ценности, поступившие на мою (нашу) ответственность, оприходованы, а выбывшие списаны в расход.</t>
  </si>
  <si>
    <t>Материально ответственное(ые) лицо(а):</t>
  </si>
  <si>
    <t xml:space="preserve">        (должность)</t>
  </si>
  <si>
    <t>(подпись)</t>
  </si>
  <si>
    <t xml:space="preserve">        (расшифровка подписи)</t>
  </si>
  <si>
    <t xml:space="preserve"> Произведено снятие фактических остатков ценностей по состоянию на</t>
  </si>
  <si>
    <t>«</t>
  </si>
  <si>
    <t>»</t>
  </si>
  <si>
    <t>г.</t>
  </si>
  <si>
    <t xml:space="preserve">        Товарно-материальные</t>
  </si>
  <si>
    <t xml:space="preserve">           Единица</t>
  </si>
  <si>
    <t xml:space="preserve">             Номер</t>
  </si>
  <si>
    <t>Номер</t>
  </si>
  <si>
    <t>Счет,</t>
  </si>
  <si>
    <t xml:space="preserve">                     ценности</t>
  </si>
  <si>
    <t xml:space="preserve">         измерения</t>
  </si>
  <si>
    <t xml:space="preserve">          </t>
  </si>
  <si>
    <t xml:space="preserve">по по- </t>
  </si>
  <si>
    <t>субсчет</t>
  </si>
  <si>
    <t xml:space="preserve">   код (но-</t>
  </si>
  <si>
    <t xml:space="preserve"> Цена,</t>
  </si>
  <si>
    <t>рядку</t>
  </si>
  <si>
    <t xml:space="preserve">   менкла-</t>
  </si>
  <si>
    <t>наимено-</t>
  </si>
  <si>
    <t>simvval</t>
  </si>
  <si>
    <t>инвен-</t>
  </si>
  <si>
    <t>паспорта</t>
  </si>
  <si>
    <t>количе-</t>
  </si>
  <si>
    <t xml:space="preserve">          сумма,</t>
  </si>
  <si>
    <t xml:space="preserve">        сумма,</t>
  </si>
  <si>
    <t>(вид,сорт, группа)</t>
  </si>
  <si>
    <t xml:space="preserve">   турный</t>
  </si>
  <si>
    <t>по ОКЕИ</t>
  </si>
  <si>
    <t>вание</t>
  </si>
  <si>
    <t>тарный</t>
  </si>
  <si>
    <t>ство</t>
  </si>
  <si>
    <t xml:space="preserve">         </t>
  </si>
  <si>
    <t>номер)</t>
  </si>
  <si>
    <t xml:space="preserve">      </t>
  </si>
  <si>
    <t>Итого по странице :</t>
  </si>
  <si>
    <t>а) количество порядковых номеров:</t>
  </si>
  <si>
    <t>(прописью)</t>
  </si>
  <si>
    <t>б) общее количество единиц фактически:</t>
  </si>
  <si>
    <t>в) на сумму фактически:</t>
  </si>
  <si>
    <t>Всего по описи</t>
  </si>
  <si>
    <t>Итого по описи:</t>
  </si>
  <si>
    <t xml:space="preserve">      Все цены, подсчеты итогов по строкам, страницам и в целом по инвентаризационной описи товарно-материальных ценностей проверены.</t>
  </si>
  <si>
    <t>Председатель комиссии</t>
  </si>
  <si>
    <t>Председатель_комиссии_Должность</t>
  </si>
  <si>
    <t>Председатель_комиссии_ФИО</t>
  </si>
  <si>
    <t>Члены комиссии:</t>
  </si>
  <si>
    <t xml:space="preserve">      Все товарно-материальные ценности, поименованные в настоящей инвентаризационной описи с №</t>
  </si>
  <si>
    <t xml:space="preserve">   по   № </t>
  </si>
  <si>
    <t>,</t>
  </si>
  <si>
    <t xml:space="preserve">комиссией проверены в натуре в моем (нашем) присутствии и внесены в опись, в связи с чем претензий к инвентаризационной комиссии не имею </t>
  </si>
  <si>
    <t>(не имеем). Товарно-материальные ценности,  перечисленные в описи, находятся на моем (нашем) ответственном хранении.</t>
  </si>
  <si>
    <t>Лицо(а), ответственное(ые) за сохранность товарно-материальных ценностей:</t>
  </si>
  <si>
    <t>«____»</t>
  </si>
  <si>
    <t>______</t>
  </si>
  <si>
    <t>Указанные в настоящей описи данные и расчеты проверил</t>
  </si>
  <si>
    <t>Унифицированная форма № ИНВ-19</t>
  </si>
  <si>
    <t>0317017</t>
  </si>
  <si>
    <t>приказ, постановление, распоряжение</t>
  </si>
  <si>
    <t>Номер документа</t>
  </si>
  <si>
    <t>СЛИЧИТЕЛЬНАЯ ВЕДОМОСТЬ</t>
  </si>
  <si>
    <t>результатов инвентаризации товарно-материальных ценностей</t>
  </si>
  <si>
    <t>Проведена инвентаризация фактического наличия ценностей, находящихся на ответственном хранении</t>
  </si>
  <si>
    <t xml:space="preserve">                                                   (должность)</t>
  </si>
  <si>
    <t>(фамилия, имя, отчество)</t>
  </si>
  <si>
    <t>по состоянию на  «</t>
  </si>
  <si>
    <t xml:space="preserve"> г.</t>
  </si>
  <si>
    <t>При инвентаризации установлено следующее:</t>
  </si>
  <si>
    <t>2-я страница формы № ИНВ-19</t>
  </si>
  <si>
    <t>3-я страница формы № ИНВ-19</t>
  </si>
  <si>
    <t>Но-
мер
по по-
рядку</t>
  </si>
  <si>
    <t>Товарно-материальные ценности</t>
  </si>
  <si>
    <t>Единица
измерения</t>
  </si>
  <si>
    <t>Результаты инвентаризации</t>
  </si>
  <si>
    <t>Отрегулировано за счет уточнения записей в учете</t>
  </si>
  <si>
    <t>Пересортица</t>
  </si>
  <si>
    <t>Приходуются окончательные
излишки</t>
  </si>
  <si>
    <t>Окончательные недостачи</t>
  </si>
  <si>
    <t>наименование,
характеристика
(вид, сорт, группа)</t>
  </si>
  <si>
    <t>код по
ОКЕИ</t>
  </si>
  <si>
    <t>инвен-
тар-
ный</t>
  </si>
  <si>
    <t>паспорта (доку-мента о регистра-ции)</t>
  </si>
  <si>
    <t>излишек</t>
  </si>
  <si>
    <t>недостача</t>
  </si>
  <si>
    <t>излишки, зачтенные в покрытие
недостач</t>
  </si>
  <si>
    <t>недостачи, покрытые излишками</t>
  </si>
  <si>
    <t>количе-
ство</t>
  </si>
  <si>
    <t>сумма,
руб. коп.</t>
  </si>
  <si>
    <t>номер
счета</t>
  </si>
  <si>
    <t>коли-
чество</t>
  </si>
  <si>
    <t>номер
счета,
статьи,
заказа</t>
  </si>
  <si>
    <t>порядко-
вый номер
зачтенных
излишков</t>
  </si>
  <si>
    <t>порядковый
номер за-
чтенных
излишков</t>
  </si>
  <si>
    <t>сумма,
руб.коп.</t>
  </si>
  <si>
    <t xml:space="preserve">       </t>
  </si>
  <si>
    <t>Итого</t>
  </si>
  <si>
    <t>Х</t>
  </si>
  <si>
    <t>ВСЕГО</t>
  </si>
  <si>
    <t>С результатами сличения ознакомлен:</t>
  </si>
  <si>
    <t>Бухгалтер</t>
  </si>
  <si>
    <t>Материально ответственное(ые) лицо(а)</t>
  </si>
  <si>
    <t>(расшифровка подписи)</t>
  </si>
  <si>
    <t>(должность)</t>
  </si>
  <si>
    <t xml:space="preserve"> </t>
  </si>
  <si>
    <t>По данным бухгалтерского учета</t>
  </si>
  <si>
    <t>Фактическое  наличие</t>
  </si>
  <si>
    <t>сумма,</t>
  </si>
  <si>
    <t>ДЕИ1</t>
  </si>
  <si>
    <t>ДЕИ2</t>
  </si>
  <si>
    <t>код (но-</t>
  </si>
  <si>
    <t>менкла-</t>
  </si>
  <si>
    <t>турный</t>
  </si>
  <si>
    <t>по</t>
  </si>
  <si>
    <t>ОКЕИ</t>
  </si>
  <si>
    <t xml:space="preserve"> (должность)</t>
  </si>
  <si>
    <t>Произведено снятие фактических остатков ценностей по состоянию на</t>
  </si>
  <si>
    <t>«___» __________   20___ г.</t>
  </si>
  <si>
    <t>10</t>
  </si>
  <si>
    <t>11</t>
  </si>
  <si>
    <t>12</t>
  </si>
  <si>
    <t>13</t>
  </si>
  <si>
    <t>14</t>
  </si>
  <si>
    <t>15</t>
  </si>
  <si>
    <t>16</t>
  </si>
  <si>
    <t>17</t>
  </si>
  <si>
    <t>И Н В Е Н Т А Р И З А Ц И О Н Н А Я   В Е Д О М О С Т Ь.</t>
  </si>
  <si>
    <t>Склад:</t>
  </si>
  <si>
    <t>МОЛ  :</t>
  </si>
  <si>
    <t>Номенклатурный номер товара</t>
  </si>
  <si>
    <t>Наименование товара</t>
  </si>
  <si>
    <t>ЕдИзм</t>
  </si>
  <si>
    <t>Дата выявления остатков</t>
  </si>
  <si>
    <t>Кол-во</t>
  </si>
  <si>
    <t>Цена в НДЕ</t>
  </si>
  <si>
    <t>от</t>
  </si>
  <si>
    <t>ДЕИ 1</t>
  </si>
  <si>
    <t>ДЕИ 2</t>
  </si>
  <si>
    <t>Коды</t>
  </si>
  <si>
    <t>Приложение 11</t>
  </si>
  <si>
    <t>к Инструкции</t>
  </si>
  <si>
    <t>по инвентаризации</t>
  </si>
  <si>
    <t>активов и обязательств</t>
  </si>
  <si>
    <t>Минфина РБ</t>
  </si>
  <si>
    <t>от 30.11.2007 г. №180</t>
  </si>
  <si>
    <t>05015303</t>
  </si>
  <si>
    <t>по ОКЮЛП</t>
  </si>
  <si>
    <t>К началу  проведения  инвентаризации  все расходные и приходные документы на оборотные активы сданы  в  бухгалтерию  и все   оборотные активы,   поступившие  на  мою(нашу) ответственность, оприходованы, а выбывшие списаны в расход.</t>
  </si>
  <si>
    <t>Оборотные активы</t>
  </si>
  <si>
    <t>Наименование, вид,
сорт, группа</t>
  </si>
  <si>
    <t>номенклатурный
номер (при его наличии)</t>
  </si>
  <si>
    <t xml:space="preserve">  Все активы,   поименованные  в  настоящей  инвентаризационной описи с N ________ по  N _______,  комиссией проверены  в  натуре  в моем (нашем) присутствии и внесены в опись, в связи с чем претензий к  инвентаризационной  комиссии  не  имею  (не  имеем).   Активы, перечисленные  в  описи,  находятся  на  моем (нашем) ответственном хранении.</t>
  </si>
  <si>
    <t xml:space="preserve">   а) количество порядковых номеров:</t>
  </si>
  <si>
    <t xml:space="preserve">   б) общее количество единиц фактически:</t>
  </si>
  <si>
    <t xml:space="preserve">   в) на сумму фактически:</t>
  </si>
  <si>
    <t>Итого по странице</t>
  </si>
  <si>
    <t>2</t>
  </si>
  <si>
    <t>4</t>
  </si>
  <si>
    <t>5</t>
  </si>
  <si>
    <t>6</t>
  </si>
  <si>
    <t>7</t>
  </si>
  <si>
    <t>8</t>
  </si>
  <si>
    <t>9</t>
  </si>
  <si>
    <t>Указанные в настоящей описи данные и подсчеты проверил:</t>
  </si>
  <si>
    <t>_________________</t>
  </si>
  <si>
    <t>Приложение 21</t>
  </si>
  <si>
    <t xml:space="preserve">к Инструкции по инвентаризации </t>
  </si>
  <si>
    <t>Минфина РБ от 30.11.2007 г.№180</t>
  </si>
  <si>
    <t>05010901</t>
  </si>
  <si>
    <t>по ОКУД</t>
  </si>
  <si>
    <t>Форма 16-инв</t>
  </si>
  <si>
    <t>наименование, вид, сорт, группа</t>
  </si>
  <si>
    <t>номенклатур-ный номер
(при его наличии)</t>
  </si>
  <si>
    <t xml:space="preserve"> (ненужное зачеркнуть)</t>
  </si>
  <si>
    <t>2-я страница</t>
  </si>
  <si>
    <t>3-я страница</t>
  </si>
  <si>
    <t>результатов инвентаризации оборотных активов</t>
  </si>
  <si>
    <t>Окончательные недостатки</t>
  </si>
  <si>
    <t xml:space="preserve">ИНВЕНТАРИЗАЦИОННАЯ ОПИСЬ ОБОРОТНЫХ АКТИВОВ </t>
  </si>
  <si>
    <t>Наименование организации:</t>
  </si>
  <si>
    <t>Подразделение организации:</t>
  </si>
  <si>
    <t xml:space="preserve">               приказ, постановление, распоряжение</t>
  </si>
  <si>
    <t>код
(номенк-
латурный
номер)</t>
  </si>
  <si>
    <t>наиме-
нование</t>
  </si>
  <si>
    <t xml:space="preserve">ИНВЕНТАРИЗАЦИОННАЯ ОПИСЬ (СЛИЧИТЕЛЬНАЯ ВЕДОМОСТЬ) № </t>
  </si>
  <si>
    <t>по объектам нефинансовых активов</t>
  </si>
  <si>
    <t>КОДЫ</t>
  </si>
  <si>
    <t>0504087</t>
  </si>
  <si>
    <t xml:space="preserve">на </t>
  </si>
  <si>
    <t>Дата</t>
  </si>
  <si>
    <t>Учреждение</t>
  </si>
  <si>
    <t>Структурное подразделение</t>
  </si>
  <si>
    <t>Материально ответственное лицо</t>
  </si>
  <si>
    <t>Приказ (распоряжение)</t>
  </si>
  <si>
    <t>о проведении инвентаризации:</t>
  </si>
  <si>
    <t>Место проведения</t>
  </si>
  <si>
    <t>инвентаризации</t>
  </si>
  <si>
    <t>РАСПИСКА</t>
  </si>
  <si>
    <t>(оформляется до начала инвентаризации)</t>
  </si>
  <si>
    <t>"</t>
  </si>
  <si>
    <t>по №</t>
  </si>
  <si>
    <t>Заключение комиссии</t>
  </si>
  <si>
    <t>Форма 0504087 с. 2</t>
  </si>
  <si>
    <t>№
п/п</t>
  </si>
  <si>
    <t>Единица измерения</t>
  </si>
  <si>
    <t>Фактическое наличие</t>
  </si>
  <si>
    <t>коли-чество</t>
  </si>
  <si>
    <t>сумма, руб.</t>
  </si>
  <si>
    <t>Форма 0504087 с. 3</t>
  </si>
  <si>
    <t xml:space="preserve">
Примечание</t>
  </si>
  <si>
    <t>излишки</t>
  </si>
  <si>
    <t>МОЛ_Должн</t>
  </si>
  <si>
    <t>1</t>
  </si>
  <si>
    <t>Номер_Инвентар</t>
  </si>
  <si>
    <t>Дата_Инвентар1</t>
  </si>
  <si>
    <t>должность</t>
  </si>
  <si>
    <t>фамилия, имя, отчество</t>
  </si>
  <si>
    <t>"_____"</t>
  </si>
  <si>
    <t>_______________</t>
  </si>
  <si>
    <t>_________</t>
  </si>
  <si>
    <t>и окончить</t>
  </si>
  <si>
    <t>Материалы по инвентаризации сдать в бухгалтерию</t>
  </si>
  <si>
    <t>"______"</t>
  </si>
  <si>
    <t>Руководитель</t>
  </si>
  <si>
    <t>подпись</t>
  </si>
  <si>
    <t xml:space="preserve">       Унифицированная форма N ИНВ-22</t>
  </si>
  <si>
    <t xml:space="preserve">       Утверждена постановлением Госкомстата</t>
  </si>
  <si>
    <t xml:space="preserve">        России от 18.08.98 № 88</t>
  </si>
  <si>
    <t>КОД</t>
  </si>
  <si>
    <t xml:space="preserve">Форма по ОКУД </t>
  </si>
  <si>
    <t xml:space="preserve"> 0317018</t>
  </si>
  <si>
    <t xml:space="preserve">по ОКПО </t>
  </si>
  <si>
    <t>ОКПО</t>
  </si>
  <si>
    <t xml:space="preserve">oрганизация </t>
  </si>
  <si>
    <t>структурное подразделение</t>
  </si>
  <si>
    <t>П Р И К А З</t>
  </si>
  <si>
    <t>( постановление, распоряжение )</t>
  </si>
  <si>
    <t>о проведении инвентаризации</t>
  </si>
  <si>
    <t xml:space="preserve">Для проведения инвентаризации </t>
  </si>
  <si>
    <t>назначается рабочая инвентаризационная комиссия в составе:</t>
  </si>
  <si>
    <t xml:space="preserve">Председатель комиссии </t>
  </si>
  <si>
    <t xml:space="preserve">Члены комиссии: </t>
  </si>
  <si>
    <t xml:space="preserve">Инвентаризации подлежит </t>
  </si>
  <si>
    <t>наименование имущества, обязательства</t>
  </si>
  <si>
    <t>К инвентаризации приступить</t>
  </si>
  <si>
    <t xml:space="preserve">Причина инвентаризации </t>
  </si>
  <si>
    <t>контрольная проверка, смена материально-ответственных лиц, переоценка и т.д.</t>
  </si>
  <si>
    <t>не позднее</t>
  </si>
  <si>
    <t>Форма 6-инв</t>
  </si>
  <si>
    <t xml:space="preserve">  Все активы,   поименованные  в  настоящей  инвентаризационной описи с N ________ по  N _______,  комиссией проверены  в  натуре  в моем (нашем) присутствии и внесены в опись, в связи с чем претензий к  инвентаризационной  комиссии  не  имею  (не  имеем)</t>
  </si>
  <si>
    <t>Дата_Оконч_Инв</t>
  </si>
  <si>
    <t>Номер_Приказа</t>
  </si>
  <si>
    <t>Дата_Приказа</t>
  </si>
  <si>
    <t xml:space="preserve">№ 
</t>
  </si>
  <si>
    <t xml:space="preserve">№ </t>
  </si>
  <si>
    <t>tip_num</t>
  </si>
  <si>
    <t>код_ОКЕЙ</t>
  </si>
  <si>
    <t>Дата_Оконч_Инв_Тип_Дата</t>
  </si>
  <si>
    <t>Date</t>
  </si>
  <si>
    <t>Приложение 15</t>
  </si>
  <si>
    <t>к Методическим указаниям по инвентаризации</t>
  </si>
  <si>
    <t>имущества и финансовых обязательств</t>
  </si>
  <si>
    <t>ИНВЕНТАРИЗАЦИОННАЯ ОПИСЬ</t>
  </si>
  <si>
    <t>ценных бумаг и бланков документов строгой отчетности №</t>
  </si>
  <si>
    <t>Форма № инв-16 по ОКУД</t>
  </si>
  <si>
    <t>0309015</t>
  </si>
  <si>
    <t>Организация</t>
  </si>
  <si>
    <t>Структурная единица организации</t>
  </si>
  <si>
    <t xml:space="preserve">Основание для проведения инвентаризации: </t>
  </si>
  <si>
    <t>Номер счета бухгалтерского учета</t>
  </si>
  <si>
    <t xml:space="preserve">         К началу проведения инвентаризации все расходные и приходные документы на ценные бумаги сданы в бухгалтерию и все ценные бумаги и бланки документов строгой отчетности, поступившие на мою (нашу) ответственность, оприходованы, а выбывшие списаны в расход.</t>
  </si>
  <si>
    <t>форма 0309015 с. 2</t>
  </si>
  <si>
    <t>форма 0309015 с. 3</t>
  </si>
  <si>
    <t>Ценная бумага, бланк
строгой отчетности</t>
  </si>
  <si>
    <t>Числится по данным
бухгалтерского учета</t>
  </si>
  <si>
    <t>наимено-вание</t>
  </si>
  <si>
    <t>код
по СОЕИ</t>
  </si>
  <si>
    <t>номер(а)</t>
  </si>
  <si>
    <t>серия</t>
  </si>
  <si>
    <t>номинал,
руб.</t>
  </si>
  <si>
    <t>сумма,
руб.</t>
  </si>
  <si>
    <t>ИТОГО</t>
  </si>
  <si>
    <t>форма 0309015 с. 4</t>
  </si>
  <si>
    <t>Председатель комиссии:</t>
  </si>
  <si>
    <t>Все  ценные  бумаги  и  бланки  документов  строгой  отчетности,  поименованные в настоящей инвентаризационной</t>
  </si>
  <si>
    <t>описи с №</t>
  </si>
  <si>
    <t>,  комиссией проверены в натуре в моем (нашем) присутствии и внесены в опись,</t>
  </si>
  <si>
    <t>в связи с чем претензий к инвентаризационной комиссии не имею (не имеем). Ценные бумаги и бланки документов строгой отчетности, перечисленные в описи, находятся на моем (нашем) ответственном хранении.</t>
  </si>
  <si>
    <t>Объяснение причин излишков или недостач</t>
  </si>
  <si>
    <t>Решение руководителя организации</t>
  </si>
  <si>
    <t xml:space="preserve">номинал,
</t>
  </si>
  <si>
    <t>номер_БСО</t>
  </si>
  <si>
    <t xml:space="preserve">ИТОГО  </t>
  </si>
  <si>
    <t xml:space="preserve"> количество порядковых номеров</t>
  </si>
  <si>
    <t xml:space="preserve"> общее количество единиц фактически</t>
  </si>
  <si>
    <t xml:space="preserve"> на сумму, руб. фактически</t>
  </si>
  <si>
    <t>Приложение 18</t>
  </si>
  <si>
    <t>Постановление Минфина РБ от 30.11.2007 №180</t>
  </si>
  <si>
    <t>ценных бумаг, бланков строгой отчетности</t>
  </si>
  <si>
    <t>№</t>
  </si>
  <si>
    <t>Наименование организации</t>
  </si>
  <si>
    <t>Форма 13-инв</t>
  </si>
  <si>
    <t>05015305</t>
  </si>
  <si>
    <t>Подразделение организации</t>
  </si>
  <si>
    <t>Основание для проведения инвентаризации: приказ, постановление, распоряжение</t>
  </si>
  <si>
    <t>К  началу  проведения  инвентаризации  все  расходные  и  приходные  документы  на  ценные  бумаги,  бланки  строгой отчетности сданы в бухгалтерию и все наличные</t>
  </si>
  <si>
    <t>денежные средства, поступившие на мою (нашу) ответственность, оприходованы, а выбывшие списаны в расход.</t>
  </si>
  <si>
    <t>Лицо(а), ответственное(ые) за сохранность ценных бумаг, бланков строгой отчетности:</t>
  </si>
  <si>
    <t>Ценная бумага,    бланк строгой отчетности</t>
  </si>
  <si>
    <t>Числится по данным бухгалтерского учета</t>
  </si>
  <si>
    <t>общее количество единиц фактически</t>
  </si>
  <si>
    <t>на сумму, руб., фактически</t>
  </si>
  <si>
    <t>(дата)</t>
  </si>
  <si>
    <t xml:space="preserve">номинал, </t>
  </si>
  <si>
    <t xml:space="preserve">сумма, </t>
  </si>
  <si>
    <t>номер_серийный</t>
  </si>
  <si>
    <t>Все ценные бумаги и бланки документов строгой отчетности, поименованные в настоящей инвентаризационной описи с №</t>
  </si>
  <si>
    <t>CFH</t>
  </si>
  <si>
    <t>Унифицированная форма № ИНВ-5</t>
  </si>
  <si>
    <t>Утверждена постановлением Госкомстата</t>
  </si>
  <si>
    <t>России от 18.08.98 № 88</t>
  </si>
  <si>
    <t>0317006</t>
  </si>
  <si>
    <t>товарно-материальных ценностей, принятых на ответственное хранение</t>
  </si>
  <si>
    <t>К началу проведения инвентаризации все расходные и приходные документы на товарно-материальные ценности сданы в бухгалтерию</t>
  </si>
  <si>
    <t>и все товарно-материальные ценности, поступившие на мою (нашу) ответственность, оприходованы, а выбывшие списаны в расход.</t>
  </si>
  <si>
    <t xml:space="preserve">(должность) </t>
  </si>
  <si>
    <t>По состоянию на    "</t>
  </si>
  <si>
    <t>г.    произведено снятие фактических остатков ценностей, принятых (сданных) на</t>
  </si>
  <si>
    <t>ответственное хранение.</t>
  </si>
  <si>
    <t>2-я страница формы № ИНВ-5</t>
  </si>
  <si>
    <t>Номер по
поряд-ку</t>
  </si>
  <si>
    <t>Поставщик (получатель)</t>
  </si>
  <si>
    <t>Товарно-материальные ценно-
сти, принятые на ответственное хранение</t>
  </si>
  <si>
    <t>Место хранения</t>
  </si>
  <si>
    <t>Дата принятия груза на ответст-венное хранение</t>
  </si>
  <si>
    <t>Документы, подтверждающие кол-во товарно-матер. ценностей, принятых на ответственное хранение</t>
  </si>
  <si>
    <t>По данным бухгал- терского учета</t>
  </si>
  <si>
    <t>код по ОКПО</t>
  </si>
  <si>
    <t>наименование, характеристика (вид, сорт,
группа)</t>
  </si>
  <si>
    <t>код (номенк-
латурный но-
мер)</t>
  </si>
  <si>
    <t>наиме-нова-  ние</t>
  </si>
  <si>
    <t>наиме- нова-ние</t>
  </si>
  <si>
    <t>код по ОКЕИ</t>
  </si>
  <si>
    <t>коли-   чество</t>
  </si>
  <si>
    <t>стоимость товарно- материаль-  ных ценно-  стей,
руб. коп.</t>
  </si>
  <si>
    <t>стоимость товарно-  материаль-  ных ценно- стей,
руб. коп.</t>
  </si>
  <si>
    <t>ВСЕГО:</t>
  </si>
  <si>
    <t xml:space="preserve">Все подсчеты итогов по строкам, страницам и в целом по инвентаризационной описи товарно-материальных ценностей, принятых на ответственное </t>
  </si>
  <si>
    <t>хранение проверены.</t>
  </si>
  <si>
    <t>Всего по описи сумма</t>
  </si>
  <si>
    <t>Все ценности, поименованные в настоящей инвентаризационной описи с №</t>
  </si>
  <si>
    <t xml:space="preserve">  ,  комиссией проверены в нату- </t>
  </si>
  <si>
    <t>ре в моем (нашем) присутствии и внесены в опись, в связи с чем претензий к инвентаризационной комиссии не имею (не имеем).</t>
  </si>
  <si>
    <t>Ценности, перечисленные в описи, находятся на моем (нашем) ответственном хранении.</t>
  </si>
  <si>
    <t xml:space="preserve">Итого: </t>
  </si>
  <si>
    <t>data_d</t>
  </si>
  <si>
    <t>data_m</t>
  </si>
  <si>
    <t>data_y</t>
  </si>
  <si>
    <t>Data_d</t>
  </si>
  <si>
    <t>Data_m</t>
  </si>
  <si>
    <t>Data_y</t>
  </si>
  <si>
    <t>Приложение 5</t>
  </si>
  <si>
    <t>к Инструкции по инвентаризации активов и обязательств</t>
  </si>
  <si>
    <t>(сличительная ведомость)</t>
  </si>
  <si>
    <t>Форма 401</t>
  </si>
  <si>
    <t>Централизованная бухгалтерия</t>
  </si>
  <si>
    <t>050109016</t>
  </si>
  <si>
    <t>Отделение</t>
  </si>
  <si>
    <t>Контрольное число</t>
  </si>
  <si>
    <t>Комиссия в составе:</t>
  </si>
  <si>
    <t>(должность, фамилия, имя, отчество)</t>
  </si>
  <si>
    <t>на основании</t>
  </si>
  <si>
    <t>произвела проверку наличия</t>
  </si>
  <si>
    <t>Место проверки</t>
  </si>
  <si>
    <t>Фамилия, имя отчество, материально ответственного лица</t>
  </si>
  <si>
    <t>Заключение руководителя организации</t>
  </si>
  <si>
    <t>К  началу  проведения  инвентаризации  все  документы,  относящиеся  к  приходу  и расходу ценностей, сданы в бухгалтерию и никаких неоприходованных или списанных в расход ценностей не имеется.</t>
  </si>
  <si>
    <t xml:space="preserve">Материально </t>
  </si>
  <si>
    <t>ответственное(ые) лицо(а)</t>
  </si>
  <si>
    <t>Все ценности, поименованные в настоящей инвентаризационной описи с</t>
  </si>
  <si>
    <t>20</t>
  </si>
  <si>
    <t>Наименование ценностей</t>
  </si>
  <si>
    <t>Номенкла-
турный номер</t>
  </si>
  <si>
    <t>Единицы измерения по СОЕИ</t>
  </si>
  <si>
    <t>Цена, руб.</t>
  </si>
  <si>
    <t>Приме-чание</t>
  </si>
  <si>
    <t>сумма, рублей</t>
  </si>
  <si>
    <t>х</t>
  </si>
  <si>
    <t>инвентаризационной комиссии не имею (не имеем). Ценности, перечисленные в описи, находятся на моем (нашем) ответственном хранении.</t>
  </si>
  <si>
    <t>комиссией просчитаны в натуре в  моем (нашем)  присутствии  и  внесены в опись, в связи с чем претензий к</t>
  </si>
  <si>
    <t>FIODolg0</t>
  </si>
  <si>
    <t>FIODolg1</t>
  </si>
  <si>
    <t>FIODolg2</t>
  </si>
  <si>
    <t>FIODolg3</t>
  </si>
  <si>
    <t>FIODolg4</t>
  </si>
  <si>
    <t>FIODolg5</t>
  </si>
  <si>
    <t>МОЛ_ФИО_Долж</t>
  </si>
  <si>
    <t>Утв. приказом Минфина РФ</t>
  </si>
  <si>
    <t>от 15 декабря 2010 г. № 173н</t>
  </si>
  <si>
    <t>Утверждаю</t>
  </si>
  <si>
    <t>учреждения</t>
  </si>
  <si>
    <t>АКТ №</t>
  </si>
  <si>
    <t>о результатах инвентаризации</t>
  </si>
  <si>
    <t>0504835</t>
  </si>
  <si>
    <t>от «</t>
  </si>
  <si>
    <t>Комиссия в составе</t>
  </si>
  <si>
    <t>(должность, фамилия, инициалы)</t>
  </si>
  <si>
    <t>назначенная приказом (распоряжением) от</t>
  </si>
  <si>
    <t>г. №</t>
  </si>
  <si>
    <t>, составила настоящий</t>
  </si>
  <si>
    <t>акт в том, что за период с</t>
  </si>
  <si>
    <t>г. по</t>
  </si>
  <si>
    <t>г. была прове-</t>
  </si>
  <si>
    <t xml:space="preserve">дена инвентаризация   </t>
  </si>
  <si>
    <t>(нефинансовые активы, финансовые активы,  расчеты)</t>
  </si>
  <si>
    <t xml:space="preserve">находящихся на ответственном хранении у  </t>
  </si>
  <si>
    <t>.</t>
  </si>
  <si>
    <t>(должность, фамилия, имя, отчество материально ответственного лица)</t>
  </si>
  <si>
    <t>г.,</t>
  </si>
  <si>
    <t>была составлена Ведомость расхождений и установлено следующее:</t>
  </si>
  <si>
    <t>Ведомость расхождений по результатам инвентаризации №</t>
  </si>
  <si>
    <t xml:space="preserve">г. </t>
  </si>
  <si>
    <t>на</t>
  </si>
  <si>
    <t>листах прилагается.</t>
  </si>
  <si>
    <t>Председатель</t>
  </si>
  <si>
    <t>комиссии</t>
  </si>
  <si>
    <t>На основании инвентаризационных описей (сличительных ведомостей) №</t>
  </si>
  <si>
    <t>kol_list</t>
  </si>
  <si>
    <t>Boss</t>
  </si>
  <si>
    <t>data_d_prik</t>
  </si>
  <si>
    <t>data_m_prik</t>
  </si>
  <si>
    <t>data_y_prik</t>
  </si>
  <si>
    <t>data_d_end</t>
  </si>
  <si>
    <t>data_m_end</t>
  </si>
  <si>
    <t>data_y_end</t>
  </si>
  <si>
    <t>0504092</t>
  </si>
  <si>
    <t>от "</t>
  </si>
  <si>
    <t>Наименование учреждения (органа, организующего</t>
  </si>
  <si>
    <t>исполнение бюджета; органа, осуществляющего</t>
  </si>
  <si>
    <t>кассовое обслуживание)</t>
  </si>
  <si>
    <t>Материально
ответственное лицо, наименование
объекта учета</t>
  </si>
  <si>
    <t>Номер
объекта учета (инвентарный или иной)</t>
  </si>
  <si>
    <t>Номер счета
бухгалтерского учета</t>
  </si>
  <si>
    <t>Р е з у л ь т а т ы  и н в е н т а р и з а ц и и</t>
  </si>
  <si>
    <t>н   е   д   о   с   т   а   ч   а</t>
  </si>
  <si>
    <t>и з л и ш к и</t>
  </si>
  <si>
    <t>балансовая стоимость,
руб.</t>
  </si>
  <si>
    <t>в пределах норм
естественной убыли</t>
  </si>
  <si>
    <t>рыночная стоимость,
руб.</t>
  </si>
  <si>
    <t>сверх норм
естественной убыли</t>
  </si>
  <si>
    <t>разница между
рыночной и балансовой стоимостью (+, -), руб.</t>
  </si>
  <si>
    <t>Главный бухгалтер</t>
  </si>
  <si>
    <t>Исполнитель</t>
  </si>
  <si>
    <t>MainBuh</t>
  </si>
  <si>
    <t>Main_Buh</t>
  </si>
  <si>
    <t>Унифицированная форма № ИНВ-16</t>
  </si>
  <si>
    <t xml:space="preserve">Утверждена постановлением Госкомстата </t>
  </si>
  <si>
    <t>0317014</t>
  </si>
  <si>
    <t>ценных бумаг и бланков документов строгой отчетности</t>
  </si>
  <si>
    <t>Ценная бумага, бланк строгой отчетности</t>
  </si>
  <si>
    <t>по номер</t>
  </si>
  <si>
    <t>номер (с номера)</t>
  </si>
  <si>
    <t>4-я страница формы № ИНВ-16</t>
  </si>
  <si>
    <t>а) количество порядковых номеров</t>
  </si>
  <si>
    <t>б) общее количество единиц фактически</t>
  </si>
  <si>
    <t>в) на сумму фактически</t>
  </si>
  <si>
    <t>руб.</t>
  </si>
  <si>
    <t>коп.</t>
  </si>
  <si>
    <t>Все подсчеты итогов по строкам, страницам и в целом по инвентаризационной описи проверены.</t>
  </si>
  <si>
    <t>комиссией  проверены в натуре  в моем  (нашем)  присутствии  внесены  в опись,  в связи с чем претензий к инвентаризационной ко-</t>
  </si>
  <si>
    <t>миссии не имею (не имеем). Ценные бумаги и бланки документов строгой отчетности, перечисленные в описи, находятся на моем (нашем) ответственном хране-</t>
  </si>
  <si>
    <t>нии.</t>
  </si>
  <si>
    <t>Решение руководителя организации:</t>
  </si>
  <si>
    <t>2-я страница формы ИНВ-16</t>
  </si>
  <si>
    <t>3-я страница формы ИНВ-16</t>
  </si>
  <si>
    <t>наименование, вид, категория</t>
  </si>
  <si>
    <t>номер формы</t>
  </si>
  <si>
    <t>Но-мер по порядку</t>
  </si>
  <si>
    <t>номер  (с номера)</t>
  </si>
  <si>
    <t xml:space="preserve">номинальная стоимость,
</t>
  </si>
  <si>
    <t>номинальная стоимость,</t>
  </si>
  <si>
    <t>К началу проведения инвентаризации все расходные и приходные документы на ценные бумаги и бланки документов строгой отче-</t>
  </si>
  <si>
    <t>тности сданы в бухгалтерию и все ценные бумаги и бланки документов строгой  отчетности, поступившие на мою (нашу) отственность,</t>
  </si>
  <si>
    <t>оприходованы, а выбывшие списаны в расход.</t>
  </si>
  <si>
    <t xml:space="preserve">В результате проведения  инвентаризации  произведен  подсчет фактического наличия ценных бумаг и бланков документов строгой </t>
  </si>
  <si>
    <t>отчетности по состоянию на</t>
  </si>
  <si>
    <t>Унифицированная форма № ИНВ-6</t>
  </si>
  <si>
    <t>0317007</t>
  </si>
  <si>
    <t>АКТ</t>
  </si>
  <si>
    <t>По состоянию на «</t>
  </si>
  <si>
    <t>Акт составлен комиссией, которая установила следующее:</t>
  </si>
  <si>
    <t>Номер
по по-
рядку</t>
  </si>
  <si>
    <t>Товарно-материальные ценности, находящиеся в пути</t>
  </si>
  <si>
    <t>Единица изме-
рения</t>
  </si>
  <si>
    <t>Дата
от-
грузки</t>
  </si>
  <si>
    <t>Поставщик</t>
  </si>
  <si>
    <t>По данным</t>
  </si>
  <si>
    <t>Приме-
чание</t>
  </si>
  <si>
    <t>код (но-
менклатур-
ный номер)</t>
  </si>
  <si>
    <t>наиме-
нова-
ние</t>
  </si>
  <si>
    <t>код по
ОКПО</t>
  </si>
  <si>
    <t>товарно-транспортных или расчетно-
платежных документов</t>
  </si>
  <si>
    <t>бухгалтерского
учета</t>
  </si>
  <si>
    <t>сумма, руб. коп.</t>
  </si>
  <si>
    <t>Всего по акту</t>
  </si>
  <si>
    <t>Всего по акту (по данным товарно-транспортных или расчетно-платежных документов) сумма</t>
  </si>
  <si>
    <t>Указанные в настоящем акте данные и подсчеты проверил</t>
  </si>
  <si>
    <t>ячейка_ссылка</t>
  </si>
  <si>
    <t>ячейка</t>
  </si>
  <si>
    <t>datap</t>
  </si>
  <si>
    <t>mesto</t>
  </si>
  <si>
    <t>DateOtg</t>
  </si>
  <si>
    <t>OrgName</t>
  </si>
  <si>
    <t>OrgOKPO</t>
  </si>
  <si>
    <t>DocName</t>
  </si>
  <si>
    <t>DocNum</t>
  </si>
  <si>
    <t>DocDate</t>
  </si>
  <si>
    <t>DocKol</t>
  </si>
  <si>
    <t>DocSum</t>
  </si>
  <si>
    <t>barcode</t>
  </si>
  <si>
    <t>комиссией проверены в натуре в моем (нашем) присутствии и внесены в опись, в связи с чем претензий к инвентаризационной комиссии не имею (не имеем).</t>
  </si>
  <si>
    <t>Ценные бумаги и бланки документов строгой отчетности, перечисленные в описи, находятся на моем (нашем) ответственном хранении.</t>
  </si>
  <si>
    <t>количество порядковых номеров</t>
  </si>
  <si>
    <t>Итого по странице:</t>
  </si>
  <si>
    <t>Порядковый номер зачтенных излишков</t>
  </si>
  <si>
    <t xml:space="preserve">сумма,
руб. </t>
  </si>
  <si>
    <t>№ п/п</t>
  </si>
  <si>
    <t>порядковый номер зачтенных излишков</t>
  </si>
  <si>
    <t>номер счета, статьи, заказа</t>
  </si>
  <si>
    <t xml:space="preserve">К началу проведения инвентаризации все расходные и приходные документы на товарно-материальные ценности сданы в ООО "Транснефть </t>
  </si>
  <si>
    <t>Финанс" и все товарно-материальные ценности, поступившие на мою (нашу) ответственность, оприходованы, а выбывшие списаны в расход.</t>
  </si>
  <si>
    <t>форма № ИНВ-19</t>
  </si>
  <si>
    <t>(должность бухгалтера)</t>
  </si>
  <si>
    <t>форма № ИНВ-16</t>
  </si>
  <si>
    <t>UserReport</t>
  </si>
  <si>
    <t>Унифицированная форма № ОП-15</t>
  </si>
  <si>
    <t>России от 25.12.98 № 132</t>
  </si>
  <si>
    <t>0330515</t>
  </si>
  <si>
    <t>Вид деятельности по ОКДП</t>
  </si>
  <si>
    <t>А К Т</t>
  </si>
  <si>
    <t>О СНЯТИИ ОСТАТКОВ ПРОДУКТОВ, ПОЛУФАБРИКАТОВ И ГОТОВЫХ ИЗДЕЛИЙ КУХНИ</t>
  </si>
  <si>
    <t>Комиссия произвела снятие остатков продуктов, полуфабрикатов и готовых изделий кухни и установила:</t>
  </si>
  <si>
    <t>Полуфабрикаты и готовые изделия</t>
  </si>
  <si>
    <t>Всего продуктов</t>
  </si>
  <si>
    <t>единица
измере-
ния</t>
  </si>
  <si>
    <t>Но-
мер
по по-
ряд-
ку</t>
  </si>
  <si>
    <t>Продукты</t>
  </si>
  <si>
    <t>остаток
необрабо-
танных
продуктов</t>
  </si>
  <si>
    <t>норма</t>
  </si>
  <si>
    <t>цена,
руб. коп.</t>
  </si>
  <si>
    <t>на 1
пор-
цию</t>
  </si>
  <si>
    <t>на
общее
коли-
чество</t>
  </si>
  <si>
    <t>Всего на сумму:</t>
  </si>
  <si>
    <t>Акт проверил</t>
  </si>
  <si>
    <t xml:space="preserve">     </t>
  </si>
  <si>
    <t>PeresIzl_Kol</t>
  </si>
  <si>
    <t>PeresIzl_Sum</t>
  </si>
  <si>
    <t>PeresIzl_NPP</t>
  </si>
  <si>
    <t>PeresNed_Kol</t>
  </si>
  <si>
    <t>PeresNed_Sum</t>
  </si>
  <si>
    <t>PeresNed_NPP</t>
  </si>
  <si>
    <t>объем</t>
  </si>
  <si>
    <t>Объем МЦ</t>
  </si>
  <si>
    <t xml:space="preserve">Минфина РБ </t>
  </si>
  <si>
    <t>ИНВЕНТАРИЗАЦИОННАЯ ОПИСЬ АКТИВОВ,</t>
  </si>
  <si>
    <t xml:space="preserve">ПРИНЯТЫХ (СДАНЫХ) НА ОТВЕТСТВЕННОЕ ХРАНЕНИЕ № </t>
  </si>
  <si>
    <t>Форма 10-инв по ОКУД</t>
  </si>
  <si>
    <t>05010305</t>
  </si>
  <si>
    <t>К началу проведения инвентаризации все  расходные  и  приходные документы  на  активы сданы в бухгалтерию и все активы, поступившие на мою(нашу) ответственность, оприходованы, а выбывшие
списаны в расход.</t>
  </si>
  <si>
    <t>Активы</t>
  </si>
  <si>
    <t>Цена</t>
  </si>
  <si>
    <t>Дата принятия (сдачи) груза на хранение</t>
  </si>
  <si>
    <t>Товарно-транспортный
или расчетно-платежный документ</t>
  </si>
  <si>
    <t>наименование, вид, сорт,
группа</t>
  </si>
  <si>
    <t>номенклатурный номер (при его наличии)</t>
  </si>
  <si>
    <t>сумма, руб</t>
  </si>
  <si>
    <t>3</t>
  </si>
  <si>
    <t>Все активы, поименованные в настоящей инвентаризационной описи с №</t>
  </si>
  <si>
    <t xml:space="preserve">  ,  комиссией проверены в натуре </t>
  </si>
  <si>
    <t>в моем (нашем) присутствии и внесены в опись, в связи с чем претензий к инвентаризационной комиссии не имею (не имеем).</t>
  </si>
  <si>
    <t>Активы, перечисленные в описи, находятся на моем (нашем) ответственном хранении.</t>
  </si>
  <si>
    <t>Количество порядковых номеров:</t>
  </si>
  <si>
    <t xml:space="preserve">                    (расшифровка подписи)</t>
  </si>
  <si>
    <t>пас-</t>
  </si>
  <si>
    <t>порта</t>
  </si>
  <si>
    <t>ценности</t>
  </si>
  <si>
    <t>Товарно-материальные</t>
  </si>
  <si>
    <t>Объект ЦУ</t>
  </si>
  <si>
    <t>КАУ1-10</t>
  </si>
  <si>
    <t>KAU0</t>
  </si>
  <si>
    <t>KAU1</t>
  </si>
  <si>
    <t>KAU2</t>
  </si>
  <si>
    <t>KAU3</t>
  </si>
  <si>
    <t>KAU4</t>
  </si>
  <si>
    <t>KAU5</t>
  </si>
  <si>
    <t>KAU6</t>
  </si>
  <si>
    <t>KAU7</t>
  </si>
  <si>
    <t>KAU8</t>
  </si>
  <si>
    <t>KAU9</t>
  </si>
  <si>
    <t>KAU10</t>
  </si>
  <si>
    <t>KAUALL</t>
  </si>
  <si>
    <t>Факт_Кол</t>
  </si>
  <si>
    <t>BarKod2</t>
  </si>
  <si>
    <t>Кол_излА</t>
  </si>
  <si>
    <t>Сумма_излА</t>
  </si>
  <si>
    <t>Счет_излА</t>
  </si>
  <si>
    <t>Кол_недА</t>
  </si>
  <si>
    <t>Сумма_недА</t>
  </si>
  <si>
    <t>Сумма_излИ</t>
  </si>
  <si>
    <t>Сумма_недИ</t>
  </si>
  <si>
    <t>SklDate</t>
  </si>
  <si>
    <t>PlaceStor</t>
  </si>
  <si>
    <t>AktPriemk</t>
  </si>
  <si>
    <t>AktPrN</t>
  </si>
  <si>
    <t>AktPrD</t>
  </si>
  <si>
    <t>PeresIzl_NPP1</t>
  </si>
  <si>
    <t>PeresNed_NPP1</t>
  </si>
  <si>
    <t xml:space="preserve"> г.  проведена   инвентаризация   расчетов  за  товарно-материальные ценности,   </t>
  </si>
  <si>
    <t>находящиеся в пути</t>
  </si>
  <si>
    <t>Ответственное(-ые) лицо(-а)</t>
  </si>
  <si>
    <t>Утв. приказом Минфина России</t>
  </si>
  <si>
    <t>от 30 марта 2015 г. № 52н</t>
  </si>
  <si>
    <t>(в ред. от 17 ноября 2017 г.)</t>
  </si>
  <si>
    <t>К началу проведения инвентаризации все документы, относящиеся к приходу или</t>
  </si>
  <si>
    <t xml:space="preserve">расходу нефинансовых активов, сданы в бухгалтерию и никаких неоприходованных </t>
  </si>
  <si>
    <t>или списанных в расход нефинансовых активов не имеется.</t>
  </si>
  <si>
    <t>Форма 0504087 с. 4</t>
  </si>
  <si>
    <t>Все материальные ценности, поименованные в настоящей  инвентаризационной описи с №</t>
  </si>
  <si>
    <t>комиссией проверены в натуре в моем присутствии и внесены в настоящую опись, в связи с чем претензий</t>
  </si>
  <si>
    <t xml:space="preserve">к инвентаризационной комиссии не имею.  </t>
  </si>
  <si>
    <t>Материальные ценности, перечисленные в описи, находятся на моем ответственном хранении.</t>
  </si>
  <si>
    <t>Объяснение причин расхождений:</t>
  </si>
  <si>
    <t>Наименование</t>
  </si>
  <si>
    <t>объекта</t>
  </si>
  <si>
    <t>нефинансового</t>
  </si>
  <si>
    <t>актива</t>
  </si>
  <si>
    <t>Номер (код)</t>
  </si>
  <si>
    <t>объекта учета</t>
  </si>
  <si>
    <t>(инвентарный</t>
  </si>
  <si>
    <t>или иной)</t>
  </si>
  <si>
    <t>цена (оценоч-</t>
  </si>
  <si>
    <t>ная стои-</t>
  </si>
  <si>
    <t>мость), руб.</t>
  </si>
  <si>
    <t>статус</t>
  </si>
  <si>
    <t>учета</t>
  </si>
  <si>
    <t>целевая</t>
  </si>
  <si>
    <t>функция</t>
  </si>
  <si>
    <t>Едини-ца из-мере-ния</t>
  </si>
  <si>
    <t>коли-    чество</t>
  </si>
  <si>
    <t>По данным бухгалтерского
учета</t>
  </si>
  <si>
    <t>отклонение</t>
  </si>
  <si>
    <t>сумма,                 руб.</t>
  </si>
  <si>
    <t>сумма,                руб.</t>
  </si>
  <si>
    <t>балансовая стоимость,                 руб.</t>
  </si>
  <si>
    <t>номер (код) счета</t>
  </si>
  <si>
    <t>не соответствует условиям актива</t>
  </si>
  <si>
    <t>Форма № ИНВ-3 (ЭХД)</t>
  </si>
  <si>
    <t>товарно-материальных ценностей (ЭХД)</t>
  </si>
  <si>
    <t>[05/11/2018  08:20  Administrator]</t>
  </si>
  <si>
    <t>Приложение 1</t>
  </si>
  <si>
    <t>от 30.11.2007 г. № 180</t>
  </si>
  <si>
    <t>(наименование организации)</t>
  </si>
  <si>
    <t>ПРИКАЗ №</t>
  </si>
  <si>
    <t>(постановление, распоряжение)</t>
  </si>
  <si>
    <t>Дата_Приказа1</t>
  </si>
  <si>
    <t>Для проведения инвентаризации в</t>
  </si>
  <si>
    <t>назначается инвентаризационная комиссия (постоянно действующая центральная, рабочая) в составе:</t>
  </si>
  <si>
    <t>1. Председатель комиссии (должность, фамилия, имя, отчество):</t>
  </si>
  <si>
    <t xml:space="preserve">2. Члены комиссии (должность, фамилия, имя, отчество): </t>
  </si>
  <si>
    <t xml:space="preserve">Инвентаризации подлежат </t>
  </si>
  <si>
    <t>(активы и обязательства)</t>
  </si>
  <si>
    <t>контрольная проверка, смена</t>
  </si>
  <si>
    <t>материально ответственных лиц, переоценка и т.д.</t>
  </si>
  <si>
    <t xml:space="preserve"> не позднее</t>
  </si>
  <si>
    <t>Констр_обознач</t>
  </si>
  <si>
    <t/>
  </si>
  <si>
    <t>МОЛ_Должн1</t>
  </si>
  <si>
    <t>Дата_составления</t>
  </si>
  <si>
    <t>МОЛ1</t>
  </si>
  <si>
    <t>Склад_КОД</t>
  </si>
  <si>
    <t>Дата_начала_Инв</t>
  </si>
  <si>
    <t>По_состоянию_на</t>
  </si>
  <si>
    <t>Итог_по_стр</t>
  </si>
  <si>
    <t>Конструкторское обозначение</t>
  </si>
  <si>
    <t>3a</t>
  </si>
  <si>
    <t>3f</t>
  </si>
  <si>
    <t>конструкторское обозначение</t>
  </si>
  <si>
    <t xml:space="preserve"> по ОКУД</t>
  </si>
  <si>
    <t>Бланк КО-1(приход.кас.ордер)1х100,А5,серия ВФ/РБ (партия: 23/05/2017Издательство Белбланкавыд  РУП РБ00149449)</t>
  </si>
  <si>
    <t>1001009816</t>
  </si>
  <si>
    <t>шт</t>
  </si>
  <si>
    <t>-</t>
  </si>
  <si>
    <t>06/12/2021</t>
  </si>
  <si>
    <t>Бланк КО-1В  100 сер. ФР (партия: 27/09/2007Издательство Белбланкавыд  РУП РБ00049641)</t>
  </si>
  <si>
    <t>1001009817</t>
  </si>
  <si>
    <t>Вкладыш к трудовой  книжке (партия: 01/12/2018МЦ от ликвидации00162305)</t>
  </si>
  <si>
    <t>383350</t>
  </si>
  <si>
    <t>ПК</t>
  </si>
  <si>
    <t>1001010827</t>
  </si>
  <si>
    <t>Вкладыш к трудовой  книжке (партия: 12/09/2005РО "Белтелеком" РБ00038441)</t>
  </si>
  <si>
    <t>0699456-0699500</t>
  </si>
  <si>
    <t>Вкладыш к трудовой  книжке (партия: Ордер № 16 от 01.02.2004)</t>
  </si>
  <si>
    <t xml:space="preserve"> 16 от 01.02.2004</t>
  </si>
  <si>
    <t>383348-383349</t>
  </si>
  <si>
    <t>Вкладыш к трудовой книжке (партия: Ордер № 16 от 01.02.2004)</t>
  </si>
  <si>
    <t>0742503-0742524</t>
  </si>
  <si>
    <t>ВТ</t>
  </si>
  <si>
    <t>1001010830</t>
  </si>
  <si>
    <t>Вкладыш к трудовой книжке ПК № 603099 (партия: Ордер № 16 от 01.02.2004)</t>
  </si>
  <si>
    <t>603099</t>
  </si>
  <si>
    <t>1001010832</t>
  </si>
  <si>
    <t>Вкладыш к трудовой книжке ПК № 603100 (партия: Ордер № 16 от 01.02.2004)</t>
  </si>
  <si>
    <t>603100</t>
  </si>
  <si>
    <t>1001010833</t>
  </si>
  <si>
    <t>Вкладыш к трудовой книжке № 515874 (партия: Ордер № 16 от 01.02.2004)</t>
  </si>
  <si>
    <t>515874</t>
  </si>
  <si>
    <t>1001010834</t>
  </si>
  <si>
    <t>Вкладыш к трудовой книжке № 515875 (партия: Ордер № 16 от 01.02.2004)</t>
  </si>
  <si>
    <t>515875</t>
  </si>
  <si>
    <t>1001010835</t>
  </si>
  <si>
    <t>Вкладыш к трудовой книжке. (партия: Ордер № 16 от 01.02.2004)</t>
  </si>
  <si>
    <t>0742997</t>
  </si>
  <si>
    <t>1001010831</t>
  </si>
  <si>
    <t>0742995</t>
  </si>
  <si>
    <t>0381990</t>
  </si>
  <si>
    <t>0381987</t>
  </si>
  <si>
    <t>4500849</t>
  </si>
  <si>
    <t>БТ</t>
  </si>
  <si>
    <t>Вкладыш к трудовой книжке. (партия: Партия Мг00-005417 от 30.06.2016 23:59:59)</t>
  </si>
  <si>
    <t>0530739-0530740</t>
  </si>
  <si>
    <t>Вкладыш к трудовой книжке.. (партия: Ордер № 16 от 01.02.2004)</t>
  </si>
  <si>
    <t>0909673-0909675</t>
  </si>
  <si>
    <t>1001010836</t>
  </si>
  <si>
    <t>0870276-0870278</t>
  </si>
  <si>
    <t>0742599-0742600</t>
  </si>
  <si>
    <t>Книга приходно-расходная по учету БСО (партия: 27/09/2006ТЧУП "Жизнь" РБ00044414)</t>
  </si>
  <si>
    <t>100119021</t>
  </si>
  <si>
    <t>5m19021</t>
  </si>
  <si>
    <t>Книга учета блан.строг.от (партия: Ордер№13от 01.05.200420004833)</t>
  </si>
  <si>
    <t>13от 01.05.200420004833</t>
  </si>
  <si>
    <t>10011245</t>
  </si>
  <si>
    <t>2m1245</t>
  </si>
  <si>
    <t>Книга учета проверок (ревизий)РЦ(М)005/1-2007 с изм.и доп.инф.изд.центр по налог (партия: 22/01/2008Издательство Белбланкавыд  РУП РБ00051190)</t>
  </si>
  <si>
    <t>б/н</t>
  </si>
  <si>
    <t>1001010838</t>
  </si>
  <si>
    <t>0348249</t>
  </si>
  <si>
    <t>0348242</t>
  </si>
  <si>
    <t>0348238-0348240</t>
  </si>
  <si>
    <t>Прих.кас.ордера  КО-1в сер.ЕС 0026701-0026800 (партия: Партия Мн00-001330 от 30.06.2016 0:00:00)</t>
  </si>
  <si>
    <t>1001009818</t>
  </si>
  <si>
    <t>Трудовая  книжка (партия: Ордер № 16 от 01.02.2004)</t>
  </si>
  <si>
    <t>1424264-1424275</t>
  </si>
  <si>
    <t>1001010829</t>
  </si>
  <si>
    <t>Трудовая книжка (партия: Ордер № 16 от 01.02.2004)</t>
  </si>
  <si>
    <t>1424253-1424255</t>
  </si>
  <si>
    <t>1001010826</t>
  </si>
  <si>
    <t>0000050-0000055</t>
  </si>
  <si>
    <t>1001010839</t>
  </si>
  <si>
    <t>Трудовая книжка (партия: Партия Мг00-005422 от 30.06.2016 23:59:59)</t>
  </si>
  <si>
    <t>0000033</t>
  </si>
  <si>
    <t>Трудовая книжка 1424276-1424300 (партия: Ордер № 16 от 01.02.2004)</t>
  </si>
  <si>
    <t>1424285-1424299</t>
  </si>
  <si>
    <t>1001010828</t>
  </si>
  <si>
    <t>Трудовая книжка ПК № 2421438 (партия: Ордер № 16 от 01.02.2004)</t>
  </si>
  <si>
    <t>2421438</t>
  </si>
  <si>
    <t>1001010840</t>
  </si>
  <si>
    <t>Трудовая книжка ПК № 2421439 (партия: Ордер № 16 от 01.02.2004)</t>
  </si>
  <si>
    <t>2421439</t>
  </si>
  <si>
    <t>1001010841</t>
  </si>
  <si>
    <t>Трудовая книжка ПК № 2421440 (партия: Ордер № 16 от 01.02.2004)</t>
  </si>
  <si>
    <t>2421440</t>
  </si>
  <si>
    <t>1001010843</t>
  </si>
  <si>
    <t>Трудовая книжка ПК № 2421441 (партия: Ордер № 16 от 01.02.2004)</t>
  </si>
  <si>
    <t>2421441</t>
  </si>
  <si>
    <t>1001010844</t>
  </si>
  <si>
    <t>Трудовая книжка ПК № 2421442 (партия: Ордер № 16 от 01.02.2004)</t>
  </si>
  <si>
    <t>2421442</t>
  </si>
  <si>
    <t>1001010845</t>
  </si>
  <si>
    <t>Трудовая книжка ПК № 2421443 (партия: Ордер № 16 от 01.02.2004)</t>
  </si>
  <si>
    <t>2421443</t>
  </si>
  <si>
    <t>1001010846</t>
  </si>
  <si>
    <t>Трудовая книжка ПК № 2959797  (партия: Ордер № 16 от 01.02.2004)</t>
  </si>
  <si>
    <t>2959797</t>
  </si>
  <si>
    <t>1001010848</t>
  </si>
  <si>
    <t>Трудовая книжка ПК № 2959798 (партия: Ордер № 16 от 01.02.2004)</t>
  </si>
  <si>
    <t>2959798</t>
  </si>
  <si>
    <t>1001010847</t>
  </si>
  <si>
    <t>Трудовая книжка ПК № 2959799 (партия: Ордер № 16 от 01.02.2004)</t>
  </si>
  <si>
    <t>2959799</t>
  </si>
  <si>
    <t>1001010842</t>
  </si>
  <si>
    <t>Трудовая книжка ПК № 2959800 (партия: 24/12/2004МЦ по результатам инвентаризации009172)</t>
  </si>
  <si>
    <t>2959800</t>
  </si>
  <si>
    <t>1001010849</t>
  </si>
  <si>
    <t>Xls-Отчет</t>
  </si>
  <si>
    <t>[06/12/2021  16:28  shilin]</t>
  </si>
  <si>
    <t>06 декабря 2021 г.</t>
  </si>
  <si>
    <t>"06" декабря 2021 г.</t>
  </si>
  <si>
    <t>003773</t>
  </si>
  <si>
    <t>"____" ________________ г.</t>
  </si>
  <si>
    <t>*Касса</t>
  </si>
  <si>
    <t>836</t>
  </si>
  <si>
    <t>Горнак Ирина Андреевна</t>
  </si>
  <si>
    <t>37376608.5003</t>
  </si>
  <si>
    <t xml:space="preserve"> Филиал "Междугородная связь"   РУП "Белтелеком"   РБ</t>
  </si>
  <si>
    <t>bel</t>
  </si>
  <si>
    <t>руб РБ коп.</t>
  </si>
  <si>
    <t>руб РБ</t>
  </si>
  <si>
    <t>0</t>
  </si>
  <si>
    <t>Фурсевич Александр Николаевич</t>
  </si>
  <si>
    <t>Бондарович Елена Геннадьевна</t>
  </si>
  <si>
    <t>декабря</t>
  </si>
  <si>
    <t>Бухгалтер, Горнак Ирина Андреевна</t>
  </si>
  <si>
    <t>Сорок один</t>
  </si>
  <si>
    <t>Триста двадцать девять  целых,  ноль  десятых</t>
  </si>
  <si>
    <t>Двадцать три  руб. 40 коп.</t>
  </si>
</sst>
</file>

<file path=xl/styles.xml><?xml version="1.0" encoding="utf-8"?>
<styleSheet xmlns="http://schemas.openxmlformats.org/spreadsheetml/2006/main">
  <numFmts count="6">
    <numFmt numFmtId="164" formatCode="_-* #,##0_р_._-;\-* #,##0_р_._-;_-* &quot;-&quot;_р_._-;_-@_-"/>
    <numFmt numFmtId="165" formatCode="_-* #,##0.00&quot;р.&quot;_-;\-* #,##0.00&quot;р.&quot;_-;_-* &quot;-&quot;??&quot;р.&quot;_-;_-@_-"/>
    <numFmt numFmtId="166" formatCode="#,##0.000"/>
    <numFmt numFmtId="167" formatCode="0.000"/>
    <numFmt numFmtId="168" formatCode="#,##0.00_ ;\-#,##0.00\ "/>
    <numFmt numFmtId="169" formatCode="#,##0.000_ ;\-#,##0.000\ "/>
  </numFmts>
  <fonts count="118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9"/>
      <name val="Arial Cyr"/>
      <charset val="204"/>
    </font>
    <font>
      <i/>
      <sz val="10"/>
      <name val="Arial Cyr"/>
      <charset val="204"/>
    </font>
    <font>
      <sz val="6"/>
      <name val="Arial Cyr"/>
      <charset val="204"/>
    </font>
    <font>
      <sz val="10"/>
      <color indexed="10"/>
      <name val="Arial Cyr"/>
      <charset val="204"/>
    </font>
    <font>
      <sz val="7"/>
      <name val="Arial Cyr"/>
      <charset val="204"/>
    </font>
    <font>
      <b/>
      <sz val="12"/>
      <name val="Arial Cyr"/>
      <charset val="204"/>
    </font>
    <font>
      <b/>
      <sz val="11"/>
      <name val="Arial Cyr"/>
      <charset val="204"/>
    </font>
    <font>
      <sz val="12"/>
      <name val="Arial Cyr"/>
      <charset val="204"/>
    </font>
    <font>
      <sz val="10"/>
      <name val="Times New Roman"/>
      <family val="1"/>
      <charset val="204"/>
    </font>
    <font>
      <b/>
      <sz val="7"/>
      <name val="Arial Cyr"/>
      <charset val="204"/>
    </font>
    <font>
      <sz val="8"/>
      <name val="Arial Narrow"/>
      <family val="2"/>
      <charset val="204"/>
    </font>
    <font>
      <b/>
      <sz val="8"/>
      <name val="Arial Narrow"/>
      <family val="2"/>
      <charset val="204"/>
    </font>
    <font>
      <sz val="9"/>
      <name val="Arial Narrow"/>
      <family val="2"/>
      <charset val="204"/>
    </font>
    <font>
      <i/>
      <sz val="9"/>
      <name val="Arial Narrow"/>
      <family val="2"/>
      <charset val="204"/>
    </font>
    <font>
      <i/>
      <sz val="8"/>
      <name val="Arial Narrow"/>
      <family val="2"/>
      <charset val="204"/>
    </font>
    <font>
      <b/>
      <sz val="8"/>
      <name val="Arial Cyr"/>
      <charset val="204"/>
    </font>
    <font>
      <sz val="10"/>
      <name val="Arial"/>
      <family val="2"/>
      <charset val="204"/>
    </font>
    <font>
      <sz val="12"/>
      <name val="Arial"/>
      <family val="2"/>
      <charset val="204"/>
    </font>
    <font>
      <sz val="9"/>
      <name val="Arial"/>
      <family val="2"/>
      <charset val="204"/>
    </font>
    <font>
      <sz val="11"/>
      <name val="Arial"/>
      <family val="2"/>
      <charset val="204"/>
    </font>
    <font>
      <i/>
      <sz val="10"/>
      <name val="Arial"/>
      <family val="2"/>
      <charset val="204"/>
    </font>
    <font>
      <sz val="7"/>
      <name val="Arial"/>
      <family val="2"/>
      <charset val="204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.5"/>
      <name val="Arial"/>
      <family val="2"/>
      <charset val="204"/>
    </font>
    <font>
      <b/>
      <sz val="9"/>
      <name val="Arial"/>
      <family val="2"/>
      <charset val="204"/>
    </font>
    <font>
      <sz val="7"/>
      <name val="Arial Narrow"/>
      <family val="2"/>
      <charset val="204"/>
    </font>
    <font>
      <sz val="6"/>
      <name val="Arial"/>
      <family val="2"/>
      <charset val="204"/>
    </font>
    <font>
      <b/>
      <sz val="7"/>
      <name val="Arial Narrow"/>
      <family val="2"/>
      <charset val="204"/>
    </font>
    <font>
      <sz val="8"/>
      <name val="Arial"/>
      <family val="2"/>
      <charset val="204"/>
    </font>
    <font>
      <b/>
      <sz val="6"/>
      <name val="Arial"/>
      <family val="2"/>
      <charset val="204"/>
    </font>
    <font>
      <b/>
      <sz val="7"/>
      <name val="Arial"/>
      <family val="2"/>
      <charset val="204"/>
    </font>
    <font>
      <b/>
      <i/>
      <sz val="7"/>
      <name val="Arial"/>
      <family val="2"/>
      <charset val="204"/>
    </font>
    <font>
      <i/>
      <sz val="12"/>
      <name val="Arial"/>
      <family val="2"/>
      <charset val="204"/>
    </font>
    <font>
      <i/>
      <sz val="8"/>
      <name val="Arial"/>
      <family val="2"/>
      <charset val="204"/>
    </font>
    <font>
      <sz val="10"/>
      <name val="Arial Cyr"/>
      <charset val="204"/>
    </font>
    <font>
      <sz val="10"/>
      <name val="Arial Narrow"/>
      <family val="2"/>
      <charset val="204"/>
    </font>
    <font>
      <b/>
      <sz val="10"/>
      <name val="Arial Narrow"/>
      <family val="2"/>
      <charset val="204"/>
    </font>
    <font>
      <b/>
      <sz val="10"/>
      <name val="Arial"/>
      <family val="2"/>
      <charset val="204"/>
    </font>
    <font>
      <i/>
      <sz val="7"/>
      <name val="Arial Cyr"/>
      <charset val="204"/>
    </font>
    <font>
      <b/>
      <sz val="9"/>
      <name val="Arial Narrow"/>
      <family val="2"/>
      <charset val="204"/>
    </font>
    <font>
      <b/>
      <sz val="8"/>
      <name val="Arial"/>
      <family val="2"/>
      <charset val="204"/>
    </font>
    <font>
      <u/>
      <sz val="8"/>
      <name val="Arial"/>
      <family val="2"/>
      <charset val="204"/>
    </font>
    <font>
      <b/>
      <i/>
      <sz val="8"/>
      <name val="Arial"/>
      <family val="2"/>
      <charset val="204"/>
    </font>
    <font>
      <b/>
      <i/>
      <sz val="10"/>
      <name val="Arial"/>
      <family val="2"/>
      <charset val="204"/>
    </font>
    <font>
      <sz val="8"/>
      <name val="Times New Roman CYR"/>
      <family val="1"/>
      <charset val="204"/>
    </font>
    <font>
      <i/>
      <sz val="10"/>
      <name val="Gbinfo"/>
    </font>
    <font>
      <b/>
      <u/>
      <sz val="12"/>
      <name val="Arial"/>
      <family val="2"/>
      <charset val="204"/>
    </font>
    <font>
      <b/>
      <u/>
      <sz val="11"/>
      <name val="Arial Cyr"/>
      <charset val="204"/>
    </font>
    <font>
      <sz val="5"/>
      <name val="Arial Cyr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8"/>
      <name val="Times New Roman"/>
      <family val="1"/>
      <charset val="204"/>
    </font>
    <font>
      <sz val="9"/>
      <name val="Times New Roman"/>
      <family val="1"/>
      <charset val="204"/>
    </font>
    <font>
      <i/>
      <sz val="9"/>
      <name val="Times New Roman"/>
      <family val="1"/>
      <charset val="204"/>
    </font>
    <font>
      <i/>
      <sz val="8"/>
      <name val="Times New Roman"/>
      <family val="1"/>
      <charset val="204"/>
    </font>
    <font>
      <i/>
      <sz val="8"/>
      <name val="Times New Roman CYR"/>
      <family val="1"/>
      <charset val="204"/>
    </font>
    <font>
      <sz val="10"/>
      <name val="Times New Roman CYR"/>
      <family val="1"/>
      <charset val="204"/>
    </font>
    <font>
      <b/>
      <sz val="11"/>
      <name val="Times New Roman CYR"/>
      <family val="1"/>
      <charset val="204"/>
    </font>
    <font>
      <b/>
      <sz val="9"/>
      <name val="Times New Roman CYR"/>
      <family val="1"/>
      <charset val="204"/>
    </font>
    <font>
      <sz val="9"/>
      <name val="Times New Roman CYR"/>
      <family val="1"/>
      <charset val="204"/>
    </font>
    <font>
      <i/>
      <sz val="10"/>
      <name val="Times New Roman CYR"/>
      <charset val="204"/>
    </font>
    <font>
      <b/>
      <sz val="9"/>
      <name val="Times New Roman CYR"/>
      <charset val="204"/>
    </font>
    <font>
      <sz val="8"/>
      <name val="Times New Roman CYR"/>
      <charset val="204"/>
    </font>
    <font>
      <i/>
      <sz val="9"/>
      <name val="Times New Roman CYR"/>
      <charset val="204"/>
    </font>
    <font>
      <sz val="9"/>
      <name val="Times New Roman CYR"/>
      <charset val="204"/>
    </font>
    <font>
      <i/>
      <sz val="10"/>
      <name val="Times New Roman"/>
      <family val="1"/>
      <charset val="204"/>
    </font>
    <font>
      <b/>
      <sz val="8"/>
      <name val="Times New Roman CYR"/>
      <family val="1"/>
      <charset val="204"/>
    </font>
    <font>
      <sz val="11"/>
      <name val="Times New Roman"/>
      <family val="1"/>
      <charset val="204"/>
    </font>
    <font>
      <b/>
      <i/>
      <sz val="10"/>
      <name val="Times New Roman"/>
      <family val="1"/>
      <charset val="204"/>
    </font>
    <font>
      <sz val="7"/>
      <name val="Times New Roman"/>
      <family val="1"/>
      <charset val="204"/>
    </font>
    <font>
      <b/>
      <sz val="11"/>
      <name val="Times New Roman"/>
      <family val="1"/>
      <charset val="204"/>
    </font>
    <font>
      <i/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10"/>
      <name val="Times New Roman"/>
      <family val="1"/>
      <charset val="204"/>
    </font>
    <font>
      <sz val="10.5"/>
      <name val="Times New Roman"/>
      <family val="1"/>
      <charset val="204"/>
    </font>
    <font>
      <i/>
      <sz val="11"/>
      <name val="Times New Roman"/>
      <family val="1"/>
      <charset val="204"/>
    </font>
    <font>
      <sz val="6.5"/>
      <name val="Arial"/>
      <family val="2"/>
      <charset val="204"/>
    </font>
    <font>
      <sz val="12.5"/>
      <name val="Times New Roman"/>
      <family val="1"/>
      <charset val="204"/>
    </font>
    <font>
      <sz val="8.5"/>
      <name val="Times New Roman"/>
      <family val="1"/>
      <charset val="204"/>
    </font>
    <font>
      <b/>
      <sz val="10.5"/>
      <name val="Times New Roman"/>
      <family val="1"/>
      <charset val="204"/>
    </font>
    <font>
      <i/>
      <sz val="12.5"/>
      <name val="Times New Roman"/>
      <family val="1"/>
      <charset val="204"/>
    </font>
    <font>
      <i/>
      <sz val="10.5"/>
      <name val="Times New Roman"/>
      <family val="1"/>
      <charset val="204"/>
    </font>
    <font>
      <b/>
      <i/>
      <sz val="10.5"/>
      <name val="Times New Roman"/>
      <family val="1"/>
      <charset val="204"/>
    </font>
    <font>
      <sz val="9.5"/>
      <name val="Times New Roman"/>
      <family val="1"/>
      <charset val="204"/>
    </font>
    <font>
      <sz val="6.5"/>
      <name val="Times New Roman"/>
      <family val="1"/>
      <charset val="204"/>
    </font>
    <font>
      <sz val="5"/>
      <name val="Times New Roman"/>
      <family val="1"/>
      <charset val="204"/>
    </font>
    <font>
      <sz val="7.5"/>
      <name val="Times New Roman"/>
      <family val="1"/>
      <charset val="204"/>
    </font>
    <font>
      <sz val="11.5"/>
      <name val="Times New Roman"/>
      <family val="1"/>
      <charset val="204"/>
    </font>
    <font>
      <i/>
      <sz val="9.5"/>
      <name val="Times New Roman"/>
      <family val="1"/>
      <charset val="204"/>
    </font>
    <font>
      <sz val="22"/>
      <name val="EanGnivc"/>
    </font>
    <font>
      <b/>
      <sz val="10"/>
      <name val="Times New Roman CYR"/>
      <charset val="204"/>
    </font>
    <font>
      <b/>
      <sz val="8"/>
      <name val="Times New Roman CYR"/>
      <charset val="204"/>
    </font>
    <font>
      <b/>
      <i/>
      <sz val="8"/>
      <name val="Times New Roman CYR"/>
      <charset val="204"/>
    </font>
    <font>
      <b/>
      <sz val="12"/>
      <name val="Arial Narrow"/>
      <family val="2"/>
      <charset val="204"/>
    </font>
    <font>
      <b/>
      <i/>
      <sz val="12"/>
      <name val="Arial Narrow"/>
      <family val="2"/>
      <charset val="204"/>
    </font>
    <font>
      <sz val="11"/>
      <name val="Arial Narrow"/>
      <family val="2"/>
      <charset val="204"/>
    </font>
    <font>
      <b/>
      <i/>
      <sz val="10"/>
      <name val="Arial Narrow"/>
      <family val="2"/>
      <charset val="204"/>
    </font>
    <font>
      <sz val="12"/>
      <name val="Arial Narrow"/>
      <family val="2"/>
      <charset val="204"/>
    </font>
    <font>
      <i/>
      <sz val="12"/>
      <name val="Arial Narrow"/>
      <family val="2"/>
      <charset val="204"/>
    </font>
    <font>
      <b/>
      <sz val="11"/>
      <name val="Arial Narrow"/>
      <family val="2"/>
      <charset val="204"/>
    </font>
    <font>
      <sz val="10.5"/>
      <name val="Arial Narrow"/>
      <family val="2"/>
      <charset val="204"/>
    </font>
    <font>
      <i/>
      <sz val="10"/>
      <name val="Arial Narrow"/>
      <family val="2"/>
      <charset val="204"/>
    </font>
    <font>
      <b/>
      <i/>
      <sz val="9"/>
      <name val="Arial Narrow"/>
      <family val="2"/>
      <charset val="204"/>
    </font>
    <font>
      <sz val="22"/>
      <name val="EanGnivc"/>
    </font>
    <font>
      <sz val="6"/>
      <name val="Times New Roman"/>
      <family val="1"/>
      <charset val="204"/>
    </font>
    <font>
      <b/>
      <sz val="10"/>
      <name val="Gbinfo"/>
    </font>
    <font>
      <sz val="10"/>
      <color indexed="8"/>
      <name val="Gbinfo"/>
    </font>
    <font>
      <b/>
      <sz val="10"/>
      <color indexed="18"/>
      <name val="Arial Cyr"/>
      <charset val="204"/>
    </font>
    <font>
      <i/>
      <sz val="9"/>
      <name val="Arial"/>
      <family val="2"/>
      <charset val="204"/>
    </font>
    <font>
      <i/>
      <sz val="9"/>
      <name val="Arial Cyr"/>
      <charset val="204"/>
    </font>
    <font>
      <sz val="10"/>
      <name val="Gbinfo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62" fillId="0" borderId="0">
      <alignment horizontal="justify"/>
    </xf>
    <xf numFmtId="49" fontId="62" fillId="0" borderId="1">
      <alignment horizontal="left"/>
    </xf>
    <xf numFmtId="49" fontId="62" fillId="0" borderId="1">
      <alignment horizontal="center"/>
    </xf>
    <xf numFmtId="165" fontId="40" fillId="0" borderId="0" applyFont="0" applyFill="0" applyBorder="0" applyAlignment="0" applyProtection="0"/>
    <xf numFmtId="0" fontId="63" fillId="0" borderId="0">
      <alignment horizontal="center" vertical="top" wrapText="1"/>
    </xf>
    <xf numFmtId="0" fontId="64" fillId="0" borderId="1">
      <alignment horizontal="center" vertical="center" wrapText="1"/>
    </xf>
    <xf numFmtId="0" fontId="50" fillId="0" borderId="0">
      <alignment horizontal="right" vertical="top"/>
    </xf>
    <xf numFmtId="0" fontId="62" fillId="0" borderId="0">
      <alignment horizontal="left"/>
    </xf>
    <xf numFmtId="0" fontId="65" fillId="0" borderId="0">
      <alignment horizontal="left"/>
    </xf>
    <xf numFmtId="49" fontId="61" fillId="0" borderId="0">
      <alignment horizontal="center" vertical="top"/>
    </xf>
    <xf numFmtId="0" fontId="62" fillId="0" borderId="2">
      <alignment horizontal="center"/>
    </xf>
    <xf numFmtId="0" fontId="50" fillId="0" borderId="0">
      <alignment horizontal="right" vertical="top" wrapText="1"/>
    </xf>
    <xf numFmtId="0" fontId="62" fillId="0" borderId="1">
      <alignment horizontal="center"/>
    </xf>
    <xf numFmtId="0" fontId="62" fillId="0" borderId="1">
      <alignment horizontal="left" wrapText="1"/>
    </xf>
    <xf numFmtId="0" fontId="50" fillId="0" borderId="0">
      <alignment horizontal="justify"/>
    </xf>
    <xf numFmtId="49" fontId="61" fillId="0" borderId="0">
      <alignment horizontal="center" vertical="top"/>
    </xf>
    <xf numFmtId="0" fontId="1" fillId="0" borderId="0"/>
  </cellStyleXfs>
  <cellXfs count="2289">
    <xf numFmtId="0" fontId="0" fillId="0" borderId="0" xfId="0"/>
    <xf numFmtId="0" fontId="0" fillId="0" borderId="0" xfId="0" quotePrefix="1"/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right"/>
    </xf>
    <xf numFmtId="0" fontId="4" fillId="0" borderId="2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0" fillId="0" borderId="2" xfId="0" applyBorder="1"/>
    <xf numFmtId="0" fontId="1" fillId="0" borderId="2" xfId="0" applyFont="1" applyBorder="1" applyAlignment="1">
      <alignment horizontal="right"/>
    </xf>
    <xf numFmtId="0" fontId="6" fillId="0" borderId="3" xfId="0" applyFont="1" applyBorder="1" applyAlignment="1"/>
    <xf numFmtId="0" fontId="5" fillId="0" borderId="0" xfId="0" applyFont="1" applyAlignment="1">
      <alignment horizontal="left"/>
    </xf>
    <xf numFmtId="0" fontId="7" fillId="0" borderId="0" xfId="0" applyFont="1" applyAlignment="1">
      <alignment horizontal="center" vertical="top"/>
    </xf>
    <xf numFmtId="0" fontId="4" fillId="0" borderId="2" xfId="0" applyFont="1" applyBorder="1" applyAlignment="1"/>
    <xf numFmtId="0" fontId="6" fillId="0" borderId="2" xfId="0" applyFont="1" applyBorder="1" applyAlignment="1"/>
    <xf numFmtId="0" fontId="8" fillId="0" borderId="2" xfId="0" applyFont="1" applyBorder="1" applyAlignment="1">
      <alignment horizontal="left"/>
    </xf>
    <xf numFmtId="0" fontId="1" fillId="0" borderId="0" xfId="0" applyFont="1"/>
    <xf numFmtId="0" fontId="1" fillId="0" borderId="3" xfId="0" applyFont="1" applyBorder="1" applyAlignment="1">
      <alignment horizontal="right"/>
    </xf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1" fillId="0" borderId="4" xfId="0" applyFont="1" applyBorder="1" applyAlignment="1">
      <alignment horizontal="right"/>
    </xf>
    <xf numFmtId="0" fontId="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" fillId="0" borderId="5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1" fillId="0" borderId="6" xfId="0" applyFont="1" applyBorder="1"/>
    <xf numFmtId="0" fontId="2" fillId="0" borderId="7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8" xfId="0" applyBorder="1"/>
    <xf numFmtId="0" fontId="0" fillId="0" borderId="9" xfId="0" applyBorder="1"/>
    <xf numFmtId="0" fontId="11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6" fillId="0" borderId="2" xfId="0" applyFont="1" applyBorder="1"/>
    <xf numFmtId="0" fontId="0" fillId="0" borderId="2" xfId="0" applyBorder="1" applyAlignment="1">
      <alignment horizontal="left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13" fillId="0" borderId="0" xfId="0" applyFont="1" applyAlignment="1">
      <alignment horizontal="right"/>
    </xf>
    <xf numFmtId="0" fontId="13" fillId="0" borderId="2" xfId="0" applyFont="1" applyBorder="1" applyAlignment="1">
      <alignment horizontal="left"/>
    </xf>
    <xf numFmtId="0" fontId="13" fillId="0" borderId="0" xfId="0" applyFont="1" applyAlignment="1">
      <alignment horizontal="left"/>
    </xf>
    <xf numFmtId="0" fontId="2" fillId="0" borderId="10" xfId="0" applyFont="1" applyBorder="1"/>
    <xf numFmtId="0" fontId="2" fillId="0" borderId="11" xfId="0" applyFont="1" applyBorder="1"/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center"/>
    </xf>
    <xf numFmtId="0" fontId="2" fillId="0" borderId="13" xfId="0" applyFont="1" applyBorder="1"/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9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5" xfId="0" applyFont="1" applyBorder="1"/>
    <xf numFmtId="0" fontId="2" fillId="0" borderId="18" xfId="0" applyFont="1" applyBorder="1" applyAlignment="1">
      <alignment horizontal="center"/>
    </xf>
    <xf numFmtId="0" fontId="2" fillId="0" borderId="17" xfId="0" applyFont="1" applyBorder="1" applyAlignment="1">
      <alignment horizontal="left"/>
    </xf>
    <xf numFmtId="0" fontId="2" fillId="0" borderId="19" xfId="0" applyFont="1" applyBorder="1" applyAlignment="1">
      <alignment horizontal="center"/>
    </xf>
    <xf numFmtId="0" fontId="0" fillId="0" borderId="20" xfId="0" applyBorder="1"/>
    <xf numFmtId="0" fontId="2" fillId="0" borderId="0" xfId="0" applyFont="1" applyBorder="1"/>
    <xf numFmtId="0" fontId="2" fillId="0" borderId="21" xfId="0" applyFont="1" applyBorder="1"/>
    <xf numFmtId="0" fontId="2" fillId="0" borderId="20" xfId="0" applyFont="1" applyBorder="1" applyAlignment="1">
      <alignment horizontal="left"/>
    </xf>
    <xf numFmtId="0" fontId="0" fillId="0" borderId="22" xfId="0" applyBorder="1"/>
    <xf numFmtId="0" fontId="0" fillId="0" borderId="23" xfId="0" applyBorder="1"/>
    <xf numFmtId="0" fontId="2" fillId="0" borderId="20" xfId="0" applyFont="1" applyBorder="1" applyAlignment="1">
      <alignment horizontal="center"/>
    </xf>
    <xf numFmtId="0" fontId="0" fillId="0" borderId="24" xfId="0" applyBorder="1"/>
    <xf numFmtId="0" fontId="2" fillId="0" borderId="25" xfId="0" applyFont="1" applyBorder="1" applyAlignment="1">
      <alignment horizontal="center"/>
    </xf>
    <xf numFmtId="0" fontId="0" fillId="0" borderId="0" xfId="0" applyBorder="1"/>
    <xf numFmtId="0" fontId="0" fillId="0" borderId="17" xfId="0" applyBorder="1"/>
    <xf numFmtId="0" fontId="2" fillId="0" borderId="22" xfId="0" applyFont="1" applyBorder="1" applyAlignment="1">
      <alignment horizontal="left"/>
    </xf>
    <xf numFmtId="0" fontId="0" fillId="0" borderId="26" xfId="0" applyBorder="1"/>
    <xf numFmtId="0" fontId="2" fillId="0" borderId="0" xfId="0" applyFont="1" applyBorder="1" applyAlignment="1">
      <alignment horizontal="center"/>
    </xf>
    <xf numFmtId="0" fontId="9" fillId="0" borderId="16" xfId="0" applyFont="1" applyBorder="1"/>
    <xf numFmtId="0" fontId="2" fillId="0" borderId="20" xfId="0" applyFont="1" applyBorder="1"/>
    <xf numFmtId="0" fontId="0" fillId="0" borderId="27" xfId="0" applyBorder="1"/>
    <xf numFmtId="0" fontId="2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29" xfId="0" applyFont="1" applyBorder="1" applyAlignment="1">
      <alignment horizontal="left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49" fontId="14" fillId="0" borderId="13" xfId="0" applyNumberFormat="1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49" fontId="14" fillId="0" borderId="33" xfId="0" applyNumberFormat="1" applyFont="1" applyBorder="1" applyAlignment="1">
      <alignment horizontal="center"/>
    </xf>
    <xf numFmtId="49" fontId="14" fillId="0" borderId="12" xfId="0" applyNumberFormat="1" applyFont="1" applyBorder="1" applyAlignment="1">
      <alignment horizontal="center"/>
    </xf>
    <xf numFmtId="49" fontId="14" fillId="0" borderId="15" xfId="0" applyNumberFormat="1" applyFont="1" applyBorder="1" applyAlignment="1">
      <alignment horizontal="center"/>
    </xf>
    <xf numFmtId="0" fontId="15" fillId="0" borderId="1" xfId="0" applyFont="1" applyBorder="1" applyAlignment="1">
      <alignment horizontal="right" vertical="top" wrapText="1"/>
    </xf>
    <xf numFmtId="0" fontId="15" fillId="0" borderId="1" xfId="0" applyFont="1" applyBorder="1" applyAlignment="1">
      <alignment vertical="top" wrapText="1"/>
    </xf>
    <xf numFmtId="0" fontId="15" fillId="0" borderId="1" xfId="0" applyFont="1" applyBorder="1" applyAlignment="1">
      <alignment horizontal="left" vertical="top" wrapText="1"/>
    </xf>
    <xf numFmtId="4" fontId="15" fillId="0" borderId="1" xfId="0" applyNumberFormat="1" applyFont="1" applyBorder="1" applyAlignment="1">
      <alignment horizontal="right" vertical="top" wrapText="1"/>
    </xf>
    <xf numFmtId="4" fontId="15" fillId="0" borderId="34" xfId="0" applyNumberFormat="1" applyFont="1" applyBorder="1" applyAlignment="1">
      <alignment horizontal="right" vertical="top" wrapText="1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4" fontId="16" fillId="0" borderId="1" xfId="0" applyNumberFormat="1" applyFont="1" applyBorder="1" applyAlignment="1">
      <alignment horizontal="right"/>
    </xf>
    <xf numFmtId="49" fontId="5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left"/>
    </xf>
    <xf numFmtId="49" fontId="5" fillId="0" borderId="0" xfId="0" applyNumberFormat="1" applyFont="1"/>
    <xf numFmtId="49" fontId="2" fillId="0" borderId="0" xfId="0" applyNumberFormat="1" applyFont="1"/>
    <xf numFmtId="1" fontId="20" fillId="0" borderId="0" xfId="0" applyNumberFormat="1" applyFont="1" applyBorder="1"/>
    <xf numFmtId="4" fontId="20" fillId="0" borderId="0" xfId="0" applyNumberFormat="1" applyFont="1" applyBorder="1"/>
    <xf numFmtId="0" fontId="20" fillId="0" borderId="0" xfId="0" applyFont="1" applyBorder="1"/>
    <xf numFmtId="0" fontId="2" fillId="0" borderId="35" xfId="0" applyFont="1" applyBorder="1" applyAlignment="1">
      <alignment horizontal="right"/>
    </xf>
    <xf numFmtId="0" fontId="0" fillId="0" borderId="3" xfId="0" applyBorder="1"/>
    <xf numFmtId="0" fontId="1" fillId="0" borderId="3" xfId="0" applyFont="1" applyBorder="1"/>
    <xf numFmtId="0" fontId="3" fillId="0" borderId="3" xfId="0" applyFont="1" applyBorder="1" applyAlignment="1">
      <alignment horizontal="center"/>
    </xf>
    <xf numFmtId="0" fontId="20" fillId="0" borderId="36" xfId="0" applyFont="1" applyBorder="1" applyAlignment="1">
      <alignment horizontal="center"/>
    </xf>
    <xf numFmtId="4" fontId="16" fillId="0" borderId="37" xfId="0" applyNumberFormat="1" applyFont="1" applyBorder="1" applyAlignment="1">
      <alignment horizontal="right"/>
    </xf>
    <xf numFmtId="4" fontId="16" fillId="0" borderId="38" xfId="0" applyNumberFormat="1" applyFont="1" applyBorder="1" applyAlignment="1">
      <alignment horizontal="right"/>
    </xf>
    <xf numFmtId="0" fontId="6" fillId="0" borderId="0" xfId="0" applyFont="1"/>
    <xf numFmtId="0" fontId="6" fillId="0" borderId="2" xfId="0" applyFont="1" applyBorder="1" applyAlignment="1">
      <alignment horizontal="left"/>
    </xf>
    <xf numFmtId="0" fontId="9" fillId="0" borderId="0" xfId="0" applyFont="1"/>
    <xf numFmtId="0" fontId="0" fillId="0" borderId="2" xfId="0" applyBorder="1" applyAlignment="1">
      <alignment horizontal="center"/>
    </xf>
    <xf numFmtId="0" fontId="1" fillId="0" borderId="0" xfId="0" applyFont="1" applyBorder="1" applyAlignment="1">
      <alignment horizontal="left"/>
    </xf>
    <xf numFmtId="0" fontId="0" fillId="0" borderId="0" xfId="0" applyAlignment="1">
      <alignment horizontal="right"/>
    </xf>
    <xf numFmtId="0" fontId="0" fillId="0" borderId="0" xfId="0" applyBorder="1" applyAlignment="1">
      <alignment wrapText="1"/>
    </xf>
    <xf numFmtId="0" fontId="2" fillId="0" borderId="0" xfId="0" applyFont="1" applyBorder="1" applyAlignment="1"/>
    <xf numFmtId="0" fontId="21" fillId="0" borderId="0" xfId="0" applyFont="1" applyBorder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3" fillId="0" borderId="0" xfId="0" applyFont="1" applyAlignment="1">
      <alignment vertical="top"/>
    </xf>
    <xf numFmtId="0" fontId="24" fillId="0" borderId="0" xfId="0" applyFont="1"/>
    <xf numFmtId="0" fontId="21" fillId="0" borderId="0" xfId="0" applyFont="1" applyBorder="1" applyAlignment="1"/>
    <xf numFmtId="0" fontId="21" fillId="0" borderId="0" xfId="0" applyFont="1" applyAlignment="1">
      <alignment horizontal="right"/>
    </xf>
    <xf numFmtId="49" fontId="21" fillId="0" borderId="0" xfId="0" applyNumberFormat="1" applyFont="1" applyBorder="1" applyAlignment="1"/>
    <xf numFmtId="0" fontId="25" fillId="0" borderId="2" xfId="0" applyFont="1" applyBorder="1" applyAlignment="1"/>
    <xf numFmtId="0" fontId="21" fillId="0" borderId="0" xfId="0" applyFont="1" applyBorder="1" applyAlignment="1">
      <alignment horizontal="left"/>
    </xf>
    <xf numFmtId="0" fontId="24" fillId="0" borderId="0" xfId="0" applyFont="1" applyAlignment="1">
      <alignment horizontal="right"/>
    </xf>
    <xf numFmtId="0" fontId="25" fillId="0" borderId="3" xfId="0" applyFont="1" applyBorder="1" applyAlignment="1">
      <alignment horizontal="left"/>
    </xf>
    <xf numFmtId="0" fontId="26" fillId="0" borderId="3" xfId="0" applyFont="1" applyBorder="1" applyAlignment="1"/>
    <xf numFmtId="0" fontId="24" fillId="0" borderId="3" xfId="0" applyFont="1" applyBorder="1" applyAlignment="1"/>
    <xf numFmtId="49" fontId="24" fillId="0" borderId="0" xfId="0" applyNumberFormat="1" applyFont="1" applyBorder="1" applyAlignment="1"/>
    <xf numFmtId="0" fontId="24" fillId="0" borderId="2" xfId="0" applyFont="1" applyBorder="1" applyAlignment="1"/>
    <xf numFmtId="0" fontId="25" fillId="0" borderId="2" xfId="0" applyFont="1" applyBorder="1" applyAlignment="1">
      <alignment horizontal="left"/>
    </xf>
    <xf numFmtId="0" fontId="24" fillId="0" borderId="21" xfId="0" applyFont="1" applyBorder="1" applyAlignment="1"/>
    <xf numFmtId="0" fontId="24" fillId="0" borderId="3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49" fontId="23" fillId="0" borderId="39" xfId="0" applyNumberFormat="1" applyFont="1" applyBorder="1" applyAlignment="1"/>
    <xf numFmtId="49" fontId="23" fillId="0" borderId="3" xfId="0" applyNumberFormat="1" applyFont="1" applyBorder="1" applyAlignment="1"/>
    <xf numFmtId="49" fontId="23" fillId="0" borderId="36" xfId="0" applyNumberFormat="1" applyFont="1" applyBorder="1" applyAlignment="1"/>
    <xf numFmtId="0" fontId="24" fillId="0" borderId="0" xfId="0" applyFont="1" applyBorder="1" applyAlignment="1">
      <alignment horizontal="center"/>
    </xf>
    <xf numFmtId="49" fontId="23" fillId="0" borderId="40" xfId="0" applyNumberFormat="1" applyFont="1" applyBorder="1" applyAlignment="1"/>
    <xf numFmtId="49" fontId="23" fillId="0" borderId="2" xfId="0" applyNumberFormat="1" applyFont="1" applyBorder="1" applyAlignment="1"/>
    <xf numFmtId="49" fontId="23" fillId="0" borderId="21" xfId="0" applyNumberFormat="1" applyFont="1" applyBorder="1" applyAlignment="1"/>
    <xf numFmtId="0" fontId="24" fillId="0" borderId="0" xfId="0" applyFont="1" applyBorder="1"/>
    <xf numFmtId="49" fontId="24" fillId="0" borderId="41" xfId="0" applyNumberFormat="1" applyFont="1" applyBorder="1" applyAlignment="1"/>
    <xf numFmtId="49" fontId="24" fillId="0" borderId="42" xfId="0" applyNumberFormat="1" applyFont="1" applyBorder="1" applyAlignment="1"/>
    <xf numFmtId="49" fontId="24" fillId="0" borderId="43" xfId="0" applyNumberFormat="1" applyFont="1" applyBorder="1" applyAlignment="1"/>
    <xf numFmtId="0" fontId="24" fillId="0" borderId="0" xfId="0" applyFont="1" applyBorder="1" applyAlignment="1">
      <alignment horizontal="right"/>
    </xf>
    <xf numFmtId="49" fontId="24" fillId="0" borderId="0" xfId="0" applyNumberFormat="1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28" fillId="0" borderId="0" xfId="0" applyFont="1" applyBorder="1"/>
    <xf numFmtId="0" fontId="27" fillId="0" borderId="0" xfId="0" applyFont="1" applyBorder="1"/>
    <xf numFmtId="49" fontId="22" fillId="0" borderId="2" xfId="0" applyNumberFormat="1" applyFont="1" applyBorder="1" applyAlignment="1">
      <alignment horizontal="center"/>
    </xf>
    <xf numFmtId="49" fontId="22" fillId="0" borderId="0" xfId="0" applyNumberFormat="1" applyFont="1" applyBorder="1" applyAlignment="1">
      <alignment horizontal="center"/>
    </xf>
    <xf numFmtId="0" fontId="25" fillId="0" borderId="2" xfId="0" applyNumberFormat="1" applyFont="1" applyBorder="1" applyAlignment="1"/>
    <xf numFmtId="0" fontId="26" fillId="0" borderId="0" xfId="0" applyFont="1" applyBorder="1" applyAlignment="1">
      <alignment horizontal="center"/>
    </xf>
    <xf numFmtId="0" fontId="26" fillId="0" borderId="0" xfId="0" applyFont="1"/>
    <xf numFmtId="0" fontId="22" fillId="0" borderId="0" xfId="0" applyFont="1" applyAlignment="1">
      <alignment horizontal="right"/>
    </xf>
    <xf numFmtId="0" fontId="29" fillId="0" borderId="0" xfId="0" applyFont="1"/>
    <xf numFmtId="0" fontId="22" fillId="0" borderId="0" xfId="0" applyFont="1" applyAlignment="1">
      <alignment horizontal="center"/>
    </xf>
    <xf numFmtId="0" fontId="21" fillId="0" borderId="0" xfId="0" applyFont="1" applyAlignment="1"/>
    <xf numFmtId="0" fontId="26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right" vertical="top" wrapText="1"/>
    </xf>
    <xf numFmtId="49" fontId="31" fillId="0" borderId="1" xfId="0" applyNumberFormat="1" applyFont="1" applyBorder="1" applyAlignment="1">
      <alignment horizontal="right" vertical="top" wrapText="1"/>
    </xf>
    <xf numFmtId="4" fontId="31" fillId="0" borderId="1" xfId="0" applyNumberFormat="1" applyFont="1" applyBorder="1" applyAlignment="1">
      <alignment horizontal="right" vertical="top" wrapText="1"/>
    </xf>
    <xf numFmtId="0" fontId="23" fillId="0" borderId="1" xfId="0" applyFont="1" applyBorder="1" applyAlignment="1">
      <alignment horizontal="center" vertical="center"/>
    </xf>
    <xf numFmtId="49" fontId="23" fillId="0" borderId="0" xfId="0" applyNumberFormat="1" applyFont="1" applyBorder="1" applyAlignment="1">
      <alignment horizontal="left" vertical="top" wrapText="1"/>
    </xf>
    <xf numFmtId="0" fontId="16" fillId="0" borderId="0" xfId="0" applyFont="1" applyBorder="1" applyAlignment="1">
      <alignment horizontal="right"/>
    </xf>
    <xf numFmtId="4" fontId="33" fillId="0" borderId="1" xfId="0" applyNumberFormat="1" applyFont="1" applyBorder="1" applyAlignment="1">
      <alignment horizontal="right"/>
    </xf>
    <xf numFmtId="0" fontId="33" fillId="0" borderId="4" xfId="0" applyFont="1" applyBorder="1" applyAlignment="1"/>
    <xf numFmtId="0" fontId="33" fillId="0" borderId="44" xfId="0" applyFont="1" applyBorder="1" applyAlignment="1"/>
    <xf numFmtId="0" fontId="33" fillId="0" borderId="45" xfId="0" applyFont="1" applyBorder="1"/>
    <xf numFmtId="0" fontId="33" fillId="0" borderId="45" xfId="0" applyFont="1" applyBorder="1" applyAlignment="1">
      <alignment horizontal="center"/>
    </xf>
    <xf numFmtId="0" fontId="31" fillId="0" borderId="45" xfId="0" applyNumberFormat="1" applyFont="1" applyBorder="1" applyAlignment="1">
      <alignment horizontal="center"/>
    </xf>
    <xf numFmtId="0" fontId="26" fillId="0" borderId="45" xfId="0" applyNumberFormat="1" applyFont="1" applyBorder="1" applyAlignment="1">
      <alignment horizontal="center"/>
    </xf>
    <xf numFmtId="49" fontId="26" fillId="0" borderId="45" xfId="0" applyNumberFormat="1" applyFont="1" applyBorder="1" applyAlignment="1">
      <alignment horizontal="center"/>
    </xf>
    <xf numFmtId="0" fontId="34" fillId="0" borderId="45" xfId="0" applyNumberFormat="1" applyFont="1" applyBorder="1" applyAlignment="1">
      <alignment horizontal="center"/>
    </xf>
    <xf numFmtId="49" fontId="34" fillId="0" borderId="5" xfId="0" applyNumberFormat="1" applyFont="1" applyBorder="1" applyAlignment="1"/>
    <xf numFmtId="49" fontId="34" fillId="0" borderId="18" xfId="0" applyNumberFormat="1" applyFont="1" applyBorder="1" applyAlignment="1"/>
    <xf numFmtId="0" fontId="34" fillId="0" borderId="5" xfId="0" applyNumberFormat="1" applyFont="1" applyBorder="1" applyAlignment="1"/>
    <xf numFmtId="0" fontId="34" fillId="0" borderId="2" xfId="0" applyNumberFormat="1" applyFont="1" applyBorder="1" applyAlignment="1"/>
    <xf numFmtId="0" fontId="34" fillId="0" borderId="18" xfId="0" applyNumberFormat="1" applyFont="1" applyBorder="1" applyAlignment="1"/>
    <xf numFmtId="49" fontId="35" fillId="0" borderId="0" xfId="0" applyNumberFormat="1" applyFont="1" applyBorder="1" applyAlignment="1">
      <alignment horizontal="left" vertical="top" wrapText="1"/>
    </xf>
    <xf numFmtId="49" fontId="35" fillId="0" borderId="0" xfId="0" applyNumberFormat="1" applyFont="1" applyBorder="1" applyAlignment="1">
      <alignment horizontal="right" vertical="top" wrapText="1"/>
    </xf>
    <xf numFmtId="0" fontId="35" fillId="0" borderId="0" xfId="0" applyFont="1" applyBorder="1" applyAlignment="1">
      <alignment horizontal="center" vertical="top" wrapText="1"/>
    </xf>
    <xf numFmtId="49" fontId="16" fillId="0" borderId="0" xfId="0" applyNumberFormat="1" applyFont="1" applyBorder="1" applyAlignment="1">
      <alignment horizontal="right" vertical="top" wrapText="1"/>
    </xf>
    <xf numFmtId="166" fontId="33" fillId="0" borderId="1" xfId="0" applyNumberFormat="1" applyFont="1" applyBorder="1" applyAlignment="1">
      <alignment horizontal="right" vertical="center"/>
    </xf>
    <xf numFmtId="4" fontId="33" fillId="0" borderId="1" xfId="0" applyNumberFormat="1" applyFont="1" applyBorder="1" applyAlignment="1">
      <alignment horizontal="right" vertical="center"/>
    </xf>
    <xf numFmtId="0" fontId="36" fillId="0" borderId="4" xfId="0" applyFont="1" applyBorder="1" applyAlignment="1"/>
    <xf numFmtId="0" fontId="37" fillId="0" borderId="44" xfId="0" applyFont="1" applyBorder="1" applyAlignment="1"/>
    <xf numFmtId="0" fontId="36" fillId="0" borderId="45" xfId="0" applyFont="1" applyBorder="1"/>
    <xf numFmtId="0" fontId="36" fillId="0" borderId="45" xfId="0" applyFont="1" applyBorder="1" applyAlignment="1">
      <alignment horizontal="center"/>
    </xf>
    <xf numFmtId="0" fontId="24" fillId="0" borderId="0" xfId="0" applyFont="1" applyAlignment="1">
      <alignment vertical="top" wrapText="1"/>
    </xf>
    <xf numFmtId="0" fontId="21" fillId="0" borderId="0" xfId="0" applyFont="1" applyAlignment="1">
      <alignment vertical="top" wrapText="1"/>
    </xf>
    <xf numFmtId="0" fontId="24" fillId="0" borderId="0" xfId="0" applyNumberFormat="1" applyFont="1" applyBorder="1" applyAlignment="1">
      <alignment horizontal="center" vertical="top" wrapText="1"/>
    </xf>
    <xf numFmtId="0" fontId="24" fillId="0" borderId="0" xfId="0" applyNumberFormat="1" applyFont="1" applyBorder="1" applyAlignment="1">
      <alignment vertical="top" wrapText="1"/>
    </xf>
    <xf numFmtId="0" fontId="0" fillId="0" borderId="0" xfId="0" applyAlignment="1">
      <alignment vertical="top" wrapText="1"/>
    </xf>
    <xf numFmtId="0" fontId="24" fillId="0" borderId="0" xfId="0" applyNumberFormat="1" applyFont="1" applyBorder="1" applyAlignment="1">
      <alignment horizontal="center"/>
    </xf>
    <xf numFmtId="0" fontId="34" fillId="0" borderId="0" xfId="0" applyNumberFormat="1" applyFont="1" applyBorder="1" applyAlignment="1">
      <alignment horizontal="center"/>
    </xf>
    <xf numFmtId="49" fontId="22" fillId="0" borderId="2" xfId="0" applyNumberFormat="1" applyFont="1" applyBorder="1" applyAlignment="1"/>
    <xf numFmtId="0" fontId="23" fillId="0" borderId="0" xfId="0" applyFont="1" applyBorder="1"/>
    <xf numFmtId="0" fontId="21" fillId="0" borderId="0" xfId="0" applyFont="1" applyAlignment="1">
      <alignment horizontal="left" indent="2"/>
    </xf>
    <xf numFmtId="0" fontId="38" fillId="0" borderId="2" xfId="0" applyNumberFormat="1" applyFont="1" applyBorder="1" applyAlignment="1"/>
    <xf numFmtId="0" fontId="39" fillId="0" borderId="2" xfId="0" applyNumberFormat="1" applyFont="1" applyBorder="1" applyAlignment="1"/>
    <xf numFmtId="0" fontId="34" fillId="0" borderId="2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26" fillId="0" borderId="0" xfId="0" applyFont="1" applyAlignment="1">
      <alignment horizontal="center" vertical="top"/>
    </xf>
    <xf numFmtId="0" fontId="26" fillId="0" borderId="0" xfId="0" applyFont="1" applyBorder="1" applyAlignment="1">
      <alignment horizontal="center" vertical="top"/>
    </xf>
    <xf numFmtId="49" fontId="23" fillId="0" borderId="0" xfId="0" applyNumberFormat="1" applyFont="1" applyBorder="1" applyAlignment="1">
      <alignment horizontal="left" wrapText="1"/>
    </xf>
    <xf numFmtId="0" fontId="24" fillId="0" borderId="0" xfId="0" applyNumberFormat="1" applyFont="1" applyBorder="1" applyAlignment="1"/>
    <xf numFmtId="0" fontId="39" fillId="0" borderId="0" xfId="0" applyFont="1"/>
    <xf numFmtId="0" fontId="13" fillId="0" borderId="0" xfId="0" applyFont="1" applyBorder="1" applyAlignment="1">
      <alignment horizontal="left"/>
    </xf>
    <xf numFmtId="49" fontId="14" fillId="0" borderId="14" xfId="0" applyNumberFormat="1" applyFont="1" applyBorder="1" applyAlignment="1">
      <alignment horizontal="center"/>
    </xf>
    <xf numFmtId="0" fontId="2" fillId="0" borderId="8" xfId="0" applyFont="1" applyBorder="1"/>
    <xf numFmtId="0" fontId="2" fillId="0" borderId="8" xfId="0" applyFont="1" applyBorder="1" applyAlignment="1">
      <alignment horizontal="right"/>
    </xf>
    <xf numFmtId="0" fontId="2" fillId="0" borderId="24" xfId="0" applyFont="1" applyBorder="1" applyAlignment="1">
      <alignment horizontal="center"/>
    </xf>
    <xf numFmtId="0" fontId="3" fillId="0" borderId="36" xfId="0" applyFont="1" applyBorder="1" applyAlignment="1">
      <alignment horizontal="left"/>
    </xf>
    <xf numFmtId="0" fontId="0" fillId="0" borderId="46" xfId="0" applyBorder="1"/>
    <xf numFmtId="0" fontId="2" fillId="0" borderId="46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47" xfId="0" applyBorder="1"/>
    <xf numFmtId="0" fontId="3" fillId="0" borderId="8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5" fillId="0" borderId="0" xfId="0" applyFont="1"/>
    <xf numFmtId="0" fontId="0" fillId="0" borderId="0" xfId="0" applyBorder="1" applyAlignment="1">
      <alignment horizontal="right"/>
    </xf>
    <xf numFmtId="0" fontId="31" fillId="0" borderId="1" xfId="0" applyFont="1" applyBorder="1" applyAlignment="1">
      <alignment vertical="top" wrapText="1"/>
    </xf>
    <xf numFmtId="0" fontId="31" fillId="0" borderId="1" xfId="0" applyFont="1" applyBorder="1" applyAlignment="1">
      <alignment horizontal="left" vertical="top" wrapText="1"/>
    </xf>
    <xf numFmtId="4" fontId="31" fillId="0" borderId="34" xfId="0" applyNumberFormat="1" applyFont="1" applyBorder="1" applyAlignment="1">
      <alignment horizontal="right" vertical="top" wrapText="1"/>
    </xf>
    <xf numFmtId="4" fontId="31" fillId="0" borderId="44" xfId="0" applyNumberFormat="1" applyFont="1" applyBorder="1" applyAlignment="1">
      <alignment horizontal="right" vertical="top" wrapText="1"/>
    </xf>
    <xf numFmtId="166" fontId="31" fillId="0" borderId="1" xfId="0" applyNumberFormat="1" applyFont="1" applyBorder="1" applyAlignment="1">
      <alignment horizontal="right" vertical="top" wrapText="1"/>
    </xf>
    <xf numFmtId="4" fontId="33" fillId="0" borderId="34" xfId="0" applyNumberFormat="1" applyFont="1" applyBorder="1" applyAlignment="1">
      <alignment horizontal="right"/>
    </xf>
    <xf numFmtId="4" fontId="33" fillId="0" borderId="44" xfId="0" applyNumberFormat="1" applyFont="1" applyBorder="1" applyAlignment="1">
      <alignment horizontal="right"/>
    </xf>
    <xf numFmtId="4" fontId="33" fillId="0" borderId="37" xfId="0" applyNumberFormat="1" applyFont="1" applyBorder="1" applyAlignment="1">
      <alignment horizontal="right"/>
    </xf>
    <xf numFmtId="4" fontId="33" fillId="0" borderId="38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center"/>
    </xf>
    <xf numFmtId="4" fontId="16" fillId="0" borderId="0" xfId="0" applyNumberFormat="1" applyFont="1" applyBorder="1" applyAlignment="1">
      <alignment horizontal="right"/>
    </xf>
    <xf numFmtId="166" fontId="33" fillId="0" borderId="1" xfId="0" applyNumberFormat="1" applyFont="1" applyBorder="1" applyAlignment="1">
      <alignment horizontal="right"/>
    </xf>
    <xf numFmtId="4" fontId="33" fillId="0" borderId="48" xfId="0" applyNumberFormat="1" applyFont="1" applyBorder="1" applyAlignment="1">
      <alignment horizontal="center"/>
    </xf>
    <xf numFmtId="4" fontId="33" fillId="0" borderId="49" xfId="0" applyNumberFormat="1" applyFont="1" applyBorder="1" applyAlignment="1">
      <alignment horizontal="center"/>
    </xf>
    <xf numFmtId="4" fontId="33" fillId="0" borderId="44" xfId="0" applyNumberFormat="1" applyFont="1" applyBorder="1" applyAlignment="1">
      <alignment horizontal="left"/>
    </xf>
    <xf numFmtId="4" fontId="2" fillId="0" borderId="0" xfId="0" applyNumberFormat="1" applyFont="1" applyBorder="1" applyAlignment="1">
      <alignment horizontal="right"/>
    </xf>
    <xf numFmtId="4" fontId="2" fillId="0" borderId="0" xfId="0" applyNumberFormat="1" applyFont="1" applyBorder="1"/>
    <xf numFmtId="0" fontId="2" fillId="0" borderId="0" xfId="0" applyFont="1" applyBorder="1" applyAlignment="1">
      <alignment horizontal="right"/>
    </xf>
    <xf numFmtId="0" fontId="40" fillId="0" borderId="0" xfId="0" applyFont="1" applyAlignment="1">
      <alignment horizontal="right"/>
    </xf>
    <xf numFmtId="0" fontId="40" fillId="0" borderId="0" xfId="0" applyFont="1"/>
    <xf numFmtId="0" fontId="0" fillId="0" borderId="0" xfId="0" applyAlignment="1">
      <alignment horizontal="center" vertical="center" wrapText="1"/>
    </xf>
    <xf numFmtId="0" fontId="3" fillId="0" borderId="0" xfId="0" applyFont="1"/>
    <xf numFmtId="0" fontId="42" fillId="0" borderId="0" xfId="0" applyFont="1"/>
    <xf numFmtId="49" fontId="17" fillId="0" borderId="1" xfId="0" applyNumberFormat="1" applyFont="1" applyBorder="1" applyAlignment="1">
      <alignment horizontal="left"/>
    </xf>
    <xf numFmtId="0" fontId="17" fillId="0" borderId="1" xfId="0" applyFont="1" applyBorder="1" applyAlignment="1">
      <alignment horizontal="center"/>
    </xf>
    <xf numFmtId="4" fontId="17" fillId="0" borderId="1" xfId="0" applyNumberFormat="1" applyFont="1" applyBorder="1" applyAlignment="1">
      <alignment horizontal="right"/>
    </xf>
    <xf numFmtId="49" fontId="6" fillId="0" borderId="0" xfId="0" applyNumberFormat="1" applyFont="1"/>
    <xf numFmtId="49" fontId="17" fillId="0" borderId="1" xfId="0" applyNumberFormat="1" applyFont="1" applyBorder="1" applyAlignment="1">
      <alignment horizontal="left" wrapText="1"/>
    </xf>
    <xf numFmtId="0" fontId="21" fillId="0" borderId="0" xfId="0" applyFont="1" applyAlignment="1">
      <alignment horizontal="center"/>
    </xf>
    <xf numFmtId="0" fontId="26" fillId="0" borderId="1" xfId="0" applyFont="1" applyBorder="1" applyAlignment="1">
      <alignment horizontal="center" vertical="center" wrapText="1"/>
    </xf>
    <xf numFmtId="0" fontId="25" fillId="0" borderId="0" xfId="0" applyNumberFormat="1" applyFont="1" applyBorder="1" applyAlignment="1"/>
    <xf numFmtId="0" fontId="21" fillId="0" borderId="0" xfId="0" applyFont="1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49" fontId="23" fillId="0" borderId="0" xfId="0" applyNumberFormat="1" applyFont="1" applyBorder="1" applyAlignment="1"/>
    <xf numFmtId="0" fontId="23" fillId="0" borderId="50" xfId="0" applyFont="1" applyBorder="1" applyAlignment="1">
      <alignment vertical="center"/>
    </xf>
    <xf numFmtId="0" fontId="23" fillId="0" borderId="42" xfId="0" applyFont="1" applyBorder="1" applyAlignment="1">
      <alignment vertical="center"/>
    </xf>
    <xf numFmtId="0" fontId="23" fillId="0" borderId="51" xfId="0" applyFont="1" applyBorder="1" applyAlignment="1">
      <alignment vertical="center"/>
    </xf>
    <xf numFmtId="0" fontId="4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6" fontId="31" fillId="0" borderId="1" xfId="0" applyNumberFormat="1" applyFont="1" applyBorder="1" applyAlignment="1">
      <alignment horizontal="right" vertical="top"/>
    </xf>
    <xf numFmtId="166" fontId="33" fillId="0" borderId="1" xfId="0" applyNumberFormat="1" applyFont="1" applyBorder="1"/>
    <xf numFmtId="0" fontId="23" fillId="0" borderId="4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31" fillId="0" borderId="1" xfId="0" applyNumberFormat="1" applyFont="1" applyBorder="1" applyAlignment="1">
      <alignment horizontal="center"/>
    </xf>
    <xf numFmtId="0" fontId="26" fillId="0" borderId="1" xfId="0" applyNumberFormat="1" applyFont="1" applyBorder="1" applyAlignment="1">
      <alignment horizontal="center"/>
    </xf>
    <xf numFmtId="49" fontId="26" fillId="0" borderId="1" xfId="0" applyNumberFormat="1" applyFont="1" applyBorder="1" applyAlignment="1">
      <alignment horizontal="center"/>
    </xf>
    <xf numFmtId="0" fontId="34" fillId="0" borderId="1" xfId="0" applyNumberFormat="1" applyFont="1" applyBorder="1" applyAlignment="1">
      <alignment horizontal="center"/>
    </xf>
    <xf numFmtId="0" fontId="23" fillId="0" borderId="52" xfId="0" applyFont="1" applyBorder="1" applyAlignment="1">
      <alignment horizontal="center" vertical="center"/>
    </xf>
    <xf numFmtId="49" fontId="34" fillId="0" borderId="4" xfId="0" applyNumberFormat="1" applyFont="1" applyBorder="1" applyAlignment="1"/>
    <xf numFmtId="49" fontId="34" fillId="0" borderId="44" xfId="0" applyNumberFormat="1" applyFont="1" applyBorder="1" applyAlignment="1"/>
    <xf numFmtId="0" fontId="34" fillId="0" borderId="4" xfId="0" applyNumberFormat="1" applyFont="1" applyBorder="1" applyAlignment="1"/>
    <xf numFmtId="0" fontId="34" fillId="0" borderId="52" xfId="0" applyNumberFormat="1" applyFont="1" applyBorder="1" applyAlignment="1"/>
    <xf numFmtId="0" fontId="34" fillId="0" borderId="44" xfId="0" applyNumberFormat="1" applyFont="1" applyBorder="1" applyAlignment="1"/>
    <xf numFmtId="0" fontId="9" fillId="0" borderId="0" xfId="0" applyFont="1" applyBorder="1" applyAlignment="1"/>
    <xf numFmtId="0" fontId="33" fillId="0" borderId="1" xfId="0" applyFont="1" applyBorder="1"/>
    <xf numFmtId="0" fontId="33" fillId="0" borderId="1" xfId="0" applyFont="1" applyBorder="1" applyAlignment="1">
      <alignment horizontal="center"/>
    </xf>
    <xf numFmtId="0" fontId="15" fillId="0" borderId="13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41" fillId="0" borderId="20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41" fillId="0" borderId="0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41" fillId="0" borderId="2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46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/>
    </xf>
    <xf numFmtId="49" fontId="33" fillId="0" borderId="13" xfId="0" applyNumberFormat="1" applyFont="1" applyBorder="1" applyAlignment="1">
      <alignment horizontal="center"/>
    </xf>
    <xf numFmtId="0" fontId="33" fillId="0" borderId="13" xfId="0" applyFont="1" applyBorder="1" applyAlignment="1">
      <alignment horizontal="center"/>
    </xf>
    <xf numFmtId="49" fontId="33" fillId="0" borderId="12" xfId="0" applyNumberFormat="1" applyFont="1" applyBorder="1" applyAlignment="1">
      <alignment horizontal="center"/>
    </xf>
    <xf numFmtId="49" fontId="33" fillId="0" borderId="15" xfId="0" applyNumberFormat="1" applyFont="1" applyBorder="1" applyAlignment="1">
      <alignment horizontal="center"/>
    </xf>
    <xf numFmtId="0" fontId="3" fillId="0" borderId="3" xfId="0" applyFont="1" applyBorder="1" applyAlignment="1">
      <alignment horizontal="right"/>
    </xf>
    <xf numFmtId="0" fontId="3" fillId="0" borderId="0" xfId="0" applyFont="1" applyAlignment="1">
      <alignment horizontal="left"/>
    </xf>
    <xf numFmtId="0" fontId="41" fillId="0" borderId="0" xfId="0" applyFont="1"/>
    <xf numFmtId="49" fontId="41" fillId="0" borderId="0" xfId="0" applyNumberFormat="1" applyFont="1" applyAlignment="1">
      <alignment horizontal="left"/>
    </xf>
    <xf numFmtId="49" fontId="41" fillId="0" borderId="0" xfId="0" applyNumberFormat="1" applyFont="1"/>
    <xf numFmtId="0" fontId="3" fillId="0" borderId="0" xfId="0" applyFont="1" applyBorder="1" applyAlignment="1">
      <alignment horizontal="right"/>
    </xf>
    <xf numFmtId="0" fontId="18" fillId="0" borderId="2" xfId="0" applyFont="1" applyBorder="1" applyAlignment="1">
      <alignment horizontal="left" wrapText="1"/>
    </xf>
    <xf numFmtId="0" fontId="34" fillId="0" borderId="1" xfId="0" applyFont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34" fillId="0" borderId="0" xfId="0" applyFont="1" applyAlignment="1">
      <alignment horizontal="right"/>
    </xf>
    <xf numFmtId="0" fontId="34" fillId="0" borderId="0" xfId="0" applyFont="1"/>
    <xf numFmtId="0" fontId="2" fillId="0" borderId="0" xfId="0" applyFont="1" applyBorder="1" applyAlignment="1">
      <alignment wrapText="1"/>
    </xf>
    <xf numFmtId="0" fontId="34" fillId="0" borderId="0" xfId="0" applyFont="1" applyBorder="1"/>
    <xf numFmtId="0" fontId="44" fillId="0" borderId="0" xfId="0" applyFont="1" applyBorder="1" applyAlignment="1"/>
    <xf numFmtId="0" fontId="21" fillId="0" borderId="2" xfId="0" applyFont="1" applyBorder="1" applyAlignment="1"/>
    <xf numFmtId="49" fontId="16" fillId="0" borderId="0" xfId="0" applyNumberFormat="1" applyFont="1" applyBorder="1" applyAlignment="1">
      <alignment horizontal="right" vertical="top"/>
    </xf>
    <xf numFmtId="0" fontId="45" fillId="0" borderId="23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/>
    </xf>
    <xf numFmtId="0" fontId="23" fillId="0" borderId="23" xfId="0" quotePrefix="1" applyFont="1" applyBorder="1" applyAlignment="1">
      <alignment horizontal="center" vertical="center"/>
    </xf>
    <xf numFmtId="0" fontId="23" fillId="0" borderId="22" xfId="0" quotePrefix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right"/>
    </xf>
    <xf numFmtId="0" fontId="26" fillId="0" borderId="3" xfId="0" applyFont="1" applyBorder="1" applyAlignment="1">
      <alignment horizontal="center" vertical="top"/>
    </xf>
    <xf numFmtId="0" fontId="5" fillId="0" borderId="0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15" fillId="0" borderId="1" xfId="0" applyNumberFormat="1" applyFont="1" applyBorder="1" applyAlignment="1">
      <alignment horizontal="right" vertical="top" wrapText="1"/>
    </xf>
    <xf numFmtId="0" fontId="15" fillId="0" borderId="44" xfId="0" applyNumberFormat="1" applyFont="1" applyBorder="1" applyAlignment="1">
      <alignment horizontal="right" vertical="top" wrapText="1"/>
    </xf>
    <xf numFmtId="0" fontId="31" fillId="0" borderId="44" xfId="0" applyNumberFormat="1" applyFont="1" applyBorder="1" applyAlignment="1">
      <alignment horizontal="right" vertical="top" wrapText="1"/>
    </xf>
    <xf numFmtId="0" fontId="31" fillId="0" borderId="1" xfId="0" applyNumberFormat="1" applyFont="1" applyBorder="1" applyAlignment="1">
      <alignment horizontal="right" vertical="top" wrapText="1"/>
    </xf>
    <xf numFmtId="0" fontId="16" fillId="0" borderId="48" xfId="0" applyNumberFormat="1" applyFont="1" applyBorder="1" applyAlignment="1">
      <alignment horizontal="right"/>
    </xf>
    <xf numFmtId="0" fontId="16" fillId="0" borderId="37" xfId="0" applyNumberFormat="1" applyFont="1" applyBorder="1" applyAlignment="1">
      <alignment horizontal="right"/>
    </xf>
    <xf numFmtId="0" fontId="33" fillId="0" borderId="49" xfId="0" applyNumberFormat="1" applyFont="1" applyBorder="1" applyAlignment="1">
      <alignment horizontal="right"/>
    </xf>
    <xf numFmtId="0" fontId="33" fillId="0" borderId="37" xfId="0" applyNumberFormat="1" applyFont="1" applyBorder="1" applyAlignment="1">
      <alignment horizontal="right"/>
    </xf>
    <xf numFmtId="0" fontId="33" fillId="0" borderId="1" xfId="0" applyNumberFormat="1" applyFont="1" applyBorder="1" applyAlignment="1">
      <alignment horizontal="right"/>
    </xf>
    <xf numFmtId="0" fontId="16" fillId="0" borderId="1" xfId="0" applyNumberFormat="1" applyFont="1" applyBorder="1" applyAlignment="1">
      <alignment horizontal="right"/>
    </xf>
    <xf numFmtId="0" fontId="43" fillId="0" borderId="0" xfId="0" applyFont="1"/>
    <xf numFmtId="0" fontId="43" fillId="0" borderId="0" xfId="0" applyFont="1" applyAlignment="1">
      <alignment horizontal="right"/>
    </xf>
    <xf numFmtId="0" fontId="43" fillId="0" borderId="19" xfId="0" applyFont="1" applyBorder="1" applyAlignment="1">
      <alignment horizontal="center"/>
    </xf>
    <xf numFmtId="0" fontId="34" fillId="0" borderId="0" xfId="0" applyFont="1" applyBorder="1" applyAlignment="1">
      <alignment horizontal="right"/>
    </xf>
    <xf numFmtId="0" fontId="34" fillId="0" borderId="0" xfId="0" applyFont="1" applyBorder="1" applyAlignment="1">
      <alignment horizontal="center"/>
    </xf>
    <xf numFmtId="49" fontId="34" fillId="0" borderId="0" xfId="0" applyNumberFormat="1" applyFont="1" applyBorder="1" applyAlignment="1">
      <alignment horizontal="center"/>
    </xf>
    <xf numFmtId="0" fontId="34" fillId="0" borderId="0" xfId="0" applyFont="1" applyAlignment="1">
      <alignment horizontal="left"/>
    </xf>
    <xf numFmtId="0" fontId="46" fillId="0" borderId="0" xfId="0" applyFont="1"/>
    <xf numFmtId="49" fontId="46" fillId="0" borderId="0" xfId="0" applyNumberFormat="1" applyFont="1" applyBorder="1" applyAlignment="1">
      <alignment horizontal="center"/>
    </xf>
    <xf numFmtId="0" fontId="32" fillId="0" borderId="0" xfId="0" applyFont="1"/>
    <xf numFmtId="0" fontId="32" fillId="0" borderId="0" xfId="0" applyFont="1" applyBorder="1" applyAlignment="1">
      <alignment horizontal="center"/>
    </xf>
    <xf numFmtId="49" fontId="32" fillId="0" borderId="0" xfId="0" applyNumberFormat="1" applyFont="1" applyBorder="1" applyAlignment="1">
      <alignment horizontal="center"/>
    </xf>
    <xf numFmtId="0" fontId="34" fillId="0" borderId="17" xfId="0" applyFont="1" applyBorder="1"/>
    <xf numFmtId="0" fontId="34" fillId="0" borderId="19" xfId="0" applyFont="1" applyBorder="1"/>
    <xf numFmtId="49" fontId="34" fillId="0" borderId="19" xfId="0" applyNumberFormat="1" applyFont="1" applyBorder="1" applyAlignment="1">
      <alignment horizontal="center"/>
    </xf>
    <xf numFmtId="0" fontId="32" fillId="0" borderId="0" xfId="0" applyFont="1" applyBorder="1"/>
    <xf numFmtId="0" fontId="34" fillId="0" borderId="5" xfId="0" applyFont="1" applyBorder="1"/>
    <xf numFmtId="0" fontId="34" fillId="0" borderId="2" xfId="0" applyFont="1" applyBorder="1"/>
    <xf numFmtId="0" fontId="32" fillId="0" borderId="2" xfId="0" applyFont="1" applyBorder="1" applyAlignment="1">
      <alignment horizontal="center"/>
    </xf>
    <xf numFmtId="0" fontId="32" fillId="0" borderId="2" xfId="0" applyFont="1" applyBorder="1"/>
    <xf numFmtId="0" fontId="34" fillId="0" borderId="18" xfId="0" applyFont="1" applyBorder="1"/>
    <xf numFmtId="0" fontId="47" fillId="0" borderId="0" xfId="0" applyFont="1" applyAlignment="1">
      <alignment horizontal="justify" vertical="top" wrapText="1"/>
    </xf>
    <xf numFmtId="0" fontId="34" fillId="0" borderId="0" xfId="0" applyFont="1" applyAlignment="1"/>
    <xf numFmtId="0" fontId="34" fillId="0" borderId="0" xfId="0" applyFont="1" applyFill="1"/>
    <xf numFmtId="0" fontId="32" fillId="0" borderId="0" xfId="0" applyFont="1" applyFill="1" applyBorder="1" applyAlignment="1">
      <alignment horizontal="center"/>
    </xf>
    <xf numFmtId="0" fontId="32" fillId="0" borderId="0" xfId="0" applyFont="1" applyFill="1"/>
    <xf numFmtId="0" fontId="34" fillId="0" borderId="0" xfId="0" applyFont="1" applyFill="1" applyAlignment="1">
      <alignment horizontal="right"/>
    </xf>
    <xf numFmtId="0" fontId="34" fillId="0" borderId="2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0" fontId="39" fillId="0" borderId="2" xfId="0" applyFont="1" applyBorder="1" applyAlignment="1"/>
    <xf numFmtId="0" fontId="39" fillId="0" borderId="52" xfId="0" applyFont="1" applyBorder="1" applyAlignment="1"/>
    <xf numFmtId="0" fontId="48" fillId="0" borderId="2" xfId="0" applyFont="1" applyBorder="1" applyAlignment="1"/>
    <xf numFmtId="0" fontId="48" fillId="0" borderId="52" xfId="0" applyFont="1" applyBorder="1" applyAlignment="1"/>
    <xf numFmtId="49" fontId="43" fillId="0" borderId="2" xfId="0" applyNumberFormat="1" applyFont="1" applyBorder="1" applyAlignment="1"/>
    <xf numFmtId="49" fontId="49" fillId="0" borderId="2" xfId="0" applyNumberFormat="1" applyFont="1" applyBorder="1" applyAlignment="1"/>
    <xf numFmtId="0" fontId="34" fillId="0" borderId="0" xfId="0" applyFont="1" applyBorder="1" applyAlignment="1">
      <alignment horizontal="left" wrapText="1"/>
    </xf>
    <xf numFmtId="49" fontId="34" fillId="0" borderId="0" xfId="0" applyNumberFormat="1" applyFont="1" applyFill="1" applyBorder="1" applyAlignment="1">
      <alignment horizontal="center"/>
    </xf>
    <xf numFmtId="0" fontId="34" fillId="0" borderId="1" xfId="0" applyNumberFormat="1" applyFont="1" applyBorder="1" applyAlignment="1">
      <alignment horizontal="right" vertical="top" wrapText="1"/>
    </xf>
    <xf numFmtId="0" fontId="34" fillId="0" borderId="1" xfId="0" applyFont="1" applyBorder="1" applyAlignment="1">
      <alignment vertical="top" wrapText="1"/>
    </xf>
    <xf numFmtId="0" fontId="34" fillId="0" borderId="1" xfId="0" applyFont="1" applyBorder="1" applyAlignment="1">
      <alignment horizontal="left" vertical="top" wrapText="1"/>
    </xf>
    <xf numFmtId="0" fontId="34" fillId="0" borderId="1" xfId="0" applyNumberFormat="1" applyFont="1" applyFill="1" applyBorder="1" applyAlignment="1">
      <alignment horizontal="right" vertical="top" wrapText="1"/>
    </xf>
    <xf numFmtId="0" fontId="9" fillId="0" borderId="0" xfId="0" applyFont="1" applyBorder="1" applyAlignment="1">
      <alignment horizontal="center" vertical="top"/>
    </xf>
    <xf numFmtId="0" fontId="0" fillId="0" borderId="23" xfId="0" applyBorder="1" applyAlignment="1">
      <alignment horizontal="center"/>
    </xf>
    <xf numFmtId="49" fontId="0" fillId="0" borderId="53" xfId="0" applyNumberFormat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2" xfId="0" applyBorder="1" applyAlignment="1">
      <alignment horizontal="right"/>
    </xf>
    <xf numFmtId="0" fontId="34" fillId="0" borderId="2" xfId="0" applyFont="1" applyBorder="1" applyAlignment="1"/>
    <xf numFmtId="0" fontId="34" fillId="0" borderId="0" xfId="0" applyFont="1" applyBorder="1" applyAlignment="1"/>
    <xf numFmtId="0" fontId="4" fillId="0" borderId="2" xfId="0" applyFont="1" applyBorder="1"/>
    <xf numFmtId="49" fontId="15" fillId="0" borderId="1" xfId="0" applyNumberFormat="1" applyFont="1" applyBorder="1" applyAlignment="1">
      <alignment horizontal="left" vertical="top" wrapText="1"/>
    </xf>
    <xf numFmtId="0" fontId="21" fillId="0" borderId="19" xfId="0" applyFont="1" applyBorder="1" applyAlignment="1"/>
    <xf numFmtId="0" fontId="26" fillId="0" borderId="0" xfId="0" applyFont="1" applyBorder="1" applyAlignment="1"/>
    <xf numFmtId="0" fontId="51" fillId="0" borderId="0" xfId="0" applyFont="1" applyAlignment="1">
      <alignment horizontal="right"/>
    </xf>
    <xf numFmtId="4" fontId="15" fillId="0" borderId="44" xfId="0" applyNumberFormat="1" applyFont="1" applyBorder="1" applyAlignment="1">
      <alignment horizontal="right" vertical="top" wrapText="1"/>
    </xf>
    <xf numFmtId="49" fontId="33" fillId="0" borderId="19" xfId="0" applyNumberFormat="1" applyFont="1" applyBorder="1" applyAlignment="1">
      <alignment horizontal="center"/>
    </xf>
    <xf numFmtId="0" fontId="15" fillId="0" borderId="20" xfId="0" applyFont="1" applyBorder="1" applyAlignment="1">
      <alignment vertical="center"/>
    </xf>
    <xf numFmtId="0" fontId="15" fillId="0" borderId="30" xfId="0" applyFont="1" applyBorder="1" applyAlignment="1">
      <alignment vertical="center"/>
    </xf>
    <xf numFmtId="49" fontId="33" fillId="0" borderId="20" xfId="0" applyNumberFormat="1" applyFont="1" applyBorder="1" applyAlignment="1">
      <alignment horizontal="center"/>
    </xf>
    <xf numFmtId="0" fontId="24" fillId="0" borderId="0" xfId="0" applyFont="1" applyBorder="1" applyAlignment="1"/>
    <xf numFmtId="0" fontId="0" fillId="0" borderId="0" xfId="0" applyBorder="1" applyAlignment="1">
      <alignment horizontal="left"/>
    </xf>
    <xf numFmtId="0" fontId="24" fillId="0" borderId="18" xfId="0" applyFont="1" applyBorder="1" applyAlignment="1"/>
    <xf numFmtId="0" fontId="21" fillId="0" borderId="0" xfId="0" applyFont="1" applyAlignment="1">
      <alignment horizontal="left"/>
    </xf>
    <xf numFmtId="0" fontId="26" fillId="0" borderId="19" xfId="0" applyFont="1" applyBorder="1" applyAlignment="1"/>
    <xf numFmtId="49" fontId="19" fillId="0" borderId="0" xfId="0" applyNumberFormat="1" applyFont="1" applyBorder="1" applyAlignment="1"/>
    <xf numFmtId="49" fontId="14" fillId="0" borderId="19" xfId="0" applyNumberFormat="1" applyFont="1" applyBorder="1" applyAlignment="1">
      <alignment horizontal="center"/>
    </xf>
    <xf numFmtId="4" fontId="16" fillId="0" borderId="48" xfId="0" applyNumberFormat="1" applyFont="1" applyBorder="1" applyAlignment="1">
      <alignment horizontal="right"/>
    </xf>
    <xf numFmtId="4" fontId="16" fillId="0" borderId="56" xfId="0" applyNumberFormat="1" applyFont="1" applyBorder="1" applyAlignment="1">
      <alignment horizontal="right"/>
    </xf>
    <xf numFmtId="0" fontId="3" fillId="0" borderId="0" xfId="0" applyFont="1" applyAlignment="1">
      <alignment horizontal="right"/>
    </xf>
    <xf numFmtId="49" fontId="22" fillId="0" borderId="0" xfId="0" applyNumberFormat="1" applyFont="1" applyBorder="1" applyAlignment="1"/>
    <xf numFmtId="0" fontId="30" fillId="0" borderId="1" xfId="0" applyFont="1" applyBorder="1" applyAlignment="1">
      <alignment horizontal="center"/>
    </xf>
    <xf numFmtId="167" fontId="15" fillId="0" borderId="1" xfId="0" applyNumberFormat="1" applyFont="1" applyBorder="1" applyAlignment="1">
      <alignment horizontal="right" vertical="top" wrapText="1"/>
    </xf>
    <xf numFmtId="0" fontId="41" fillId="0" borderId="46" xfId="0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0" xfId="0" applyFont="1" applyBorder="1" applyAlignment="1"/>
    <xf numFmtId="0" fontId="27" fillId="0" borderId="0" xfId="0" applyFont="1" applyBorder="1" applyAlignment="1">
      <alignment horizontal="right" wrapText="1"/>
    </xf>
    <xf numFmtId="0" fontId="11" fillId="0" borderId="0" xfId="0" applyFont="1" applyAlignment="1"/>
    <xf numFmtId="0" fontId="11" fillId="0" borderId="0" xfId="0" applyFont="1" applyAlignment="1">
      <alignment horizontal="right"/>
    </xf>
    <xf numFmtId="0" fontId="21" fillId="0" borderId="0" xfId="0" applyFont="1" applyAlignment="1">
      <alignment horizontal="left" indent="1"/>
    </xf>
    <xf numFmtId="49" fontId="5" fillId="0" borderId="1" xfId="0" applyNumberFormat="1" applyFont="1" applyBorder="1" applyAlignment="1">
      <alignment horizontal="center"/>
    </xf>
    <xf numFmtId="49" fontId="53" fillId="0" borderId="0" xfId="0" applyNumberFormat="1" applyFont="1" applyAlignment="1">
      <alignment horizontal="left"/>
    </xf>
    <xf numFmtId="49" fontId="52" fillId="0" borderId="0" xfId="0" applyNumberFormat="1" applyFont="1" applyBorder="1" applyAlignment="1">
      <alignment horizontal="left"/>
    </xf>
    <xf numFmtId="49" fontId="6" fillId="0" borderId="2" xfId="0" applyNumberFormat="1" applyFont="1" applyBorder="1"/>
    <xf numFmtId="49" fontId="6" fillId="0" borderId="2" xfId="0" applyNumberFormat="1" applyFont="1" applyBorder="1" applyAlignment="1">
      <alignment horizontal="left"/>
    </xf>
    <xf numFmtId="49" fontId="15" fillId="0" borderId="1" xfId="0" applyNumberFormat="1" applyFont="1" applyBorder="1" applyAlignment="1">
      <alignment vertical="top" wrapText="1"/>
    </xf>
    <xf numFmtId="49" fontId="15" fillId="0" borderId="34" xfId="0" applyNumberFormat="1" applyFont="1" applyBorder="1" applyAlignment="1">
      <alignment vertical="top" wrapText="1"/>
    </xf>
    <xf numFmtId="49" fontId="15" fillId="0" borderId="1" xfId="0" applyNumberFormat="1" applyFont="1" applyBorder="1" applyAlignment="1">
      <alignment horizontal="right" vertical="top" wrapText="1"/>
    </xf>
    <xf numFmtId="49" fontId="31" fillId="0" borderId="1" xfId="0" applyNumberFormat="1" applyFont="1" applyBorder="1" applyAlignment="1">
      <alignment horizontal="left" vertical="top" wrapText="1"/>
    </xf>
    <xf numFmtId="49" fontId="31" fillId="0" borderId="1" xfId="0" applyNumberFormat="1" applyFont="1" applyBorder="1" applyAlignment="1">
      <alignment vertical="top" wrapText="1"/>
    </xf>
    <xf numFmtId="49" fontId="31" fillId="0" borderId="34" xfId="0" applyNumberFormat="1" applyFont="1" applyBorder="1" applyAlignment="1">
      <alignment vertical="top" wrapText="1"/>
    </xf>
    <xf numFmtId="0" fontId="54" fillId="0" borderId="0" xfId="0" applyFont="1" applyBorder="1" applyAlignment="1">
      <alignment wrapText="1"/>
    </xf>
    <xf numFmtId="0" fontId="13" fillId="0" borderId="0" xfId="0" applyFont="1"/>
    <xf numFmtId="0" fontId="13" fillId="0" borderId="0" xfId="0" applyFont="1" applyAlignment="1">
      <alignment horizontal="justify"/>
    </xf>
    <xf numFmtId="0" fontId="57" fillId="0" borderId="0" xfId="0" applyFont="1"/>
    <xf numFmtId="0" fontId="13" fillId="0" borderId="0" xfId="0" applyFont="1" applyBorder="1"/>
    <xf numFmtId="0" fontId="13" fillId="0" borderId="0" xfId="0" applyFont="1" applyBorder="1" applyAlignment="1"/>
    <xf numFmtId="0" fontId="57" fillId="0" borderId="0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3" fillId="4" borderId="0" xfId="0" applyFont="1" applyFill="1"/>
    <xf numFmtId="0" fontId="13" fillId="0" borderId="1" xfId="0" applyFont="1" applyBorder="1" applyAlignment="1">
      <alignment horizontal="center"/>
    </xf>
    <xf numFmtId="0" fontId="13" fillId="0" borderId="0" xfId="0" applyFont="1" applyAlignment="1">
      <alignment vertical="top"/>
    </xf>
    <xf numFmtId="49" fontId="58" fillId="0" borderId="1" xfId="0" applyNumberFormat="1" applyFont="1" applyBorder="1" applyAlignment="1">
      <alignment vertical="top" wrapText="1"/>
    </xf>
    <xf numFmtId="49" fontId="57" fillId="0" borderId="4" xfId="0" applyNumberFormat="1" applyFont="1" applyBorder="1" applyAlignment="1">
      <alignment horizontal="right" vertical="top" wrapText="1"/>
    </xf>
    <xf numFmtId="0" fontId="57" fillId="0" borderId="4" xfId="0" applyFont="1" applyBorder="1" applyAlignment="1">
      <alignment horizontal="left" vertical="top" wrapText="1"/>
    </xf>
    <xf numFmtId="49" fontId="57" fillId="0" borderId="1" xfId="0" applyNumberFormat="1" applyFont="1" applyBorder="1" applyAlignment="1">
      <alignment horizontal="right" vertical="top" wrapText="1"/>
    </xf>
    <xf numFmtId="0" fontId="57" fillId="0" borderId="0" xfId="0" applyFont="1" applyAlignment="1">
      <alignment vertical="top"/>
    </xf>
    <xf numFmtId="0" fontId="57" fillId="0" borderId="0" xfId="0" applyFont="1" applyAlignment="1">
      <alignment horizontal="right" vertical="top"/>
    </xf>
    <xf numFmtId="2" fontId="13" fillId="0" borderId="0" xfId="0" applyNumberFormat="1" applyFont="1" applyBorder="1" applyAlignment="1"/>
    <xf numFmtId="0" fontId="13" fillId="0" borderId="52" xfId="0" applyFont="1" applyBorder="1" applyAlignment="1">
      <alignment horizontal="center"/>
    </xf>
    <xf numFmtId="0" fontId="13" fillId="0" borderId="22" xfId="0" applyFont="1" applyBorder="1" applyAlignment="1">
      <alignment horizontal="center" vertical="top" wrapText="1"/>
    </xf>
    <xf numFmtId="0" fontId="13" fillId="0" borderId="3" xfId="0" applyFont="1" applyBorder="1" applyAlignment="1">
      <alignment horizontal="center" vertical="top" wrapText="1"/>
    </xf>
    <xf numFmtId="0" fontId="13" fillId="0" borderId="24" xfId="0" applyFont="1" applyBorder="1" applyAlignment="1">
      <alignment horizontal="center" vertical="top" wrapText="1"/>
    </xf>
    <xf numFmtId="0" fontId="57" fillId="0" borderId="4" xfId="0" applyFont="1" applyBorder="1" applyAlignment="1">
      <alignment horizontal="center" vertical="top"/>
    </xf>
    <xf numFmtId="49" fontId="57" fillId="0" borderId="4" xfId="0" applyNumberFormat="1" applyFont="1" applyBorder="1" applyAlignment="1">
      <alignment horizontal="center" vertical="top"/>
    </xf>
    <xf numFmtId="0" fontId="13" fillId="0" borderId="44" xfId="0" applyFont="1" applyBorder="1" applyAlignment="1">
      <alignment horizontal="center"/>
    </xf>
    <xf numFmtId="49" fontId="13" fillId="0" borderId="2" xfId="0" applyNumberFormat="1" applyFont="1" applyBorder="1" applyAlignment="1">
      <alignment horizontal="center" vertical="top" wrapText="1"/>
    </xf>
    <xf numFmtId="49" fontId="13" fillId="0" borderId="5" xfId="0" applyNumberFormat="1" applyFont="1" applyBorder="1" applyAlignment="1">
      <alignment horizontal="center" vertical="top" wrapText="1"/>
    </xf>
    <xf numFmtId="49" fontId="13" fillId="0" borderId="18" xfId="0" applyNumberFormat="1" applyFont="1" applyBorder="1" applyAlignment="1">
      <alignment horizontal="center" vertical="top" wrapText="1"/>
    </xf>
    <xf numFmtId="0" fontId="13" fillId="0" borderId="23" xfId="0" applyFont="1" applyBorder="1" applyAlignment="1">
      <alignment horizontal="center" vertical="top" wrapText="1"/>
    </xf>
    <xf numFmtId="49" fontId="13" fillId="0" borderId="45" xfId="0" applyNumberFormat="1" applyFont="1" applyBorder="1" applyAlignment="1">
      <alignment horizontal="center" vertical="top" wrapText="1"/>
    </xf>
    <xf numFmtId="166" fontId="57" fillId="0" borderId="1" xfId="0" applyNumberFormat="1" applyFont="1" applyBorder="1" applyAlignment="1">
      <alignment vertical="top"/>
    </xf>
    <xf numFmtId="4" fontId="57" fillId="0" borderId="1" xfId="0" applyNumberFormat="1" applyFont="1" applyBorder="1" applyAlignment="1">
      <alignment vertical="top"/>
    </xf>
    <xf numFmtId="166" fontId="57" fillId="0" borderId="4" xfId="0" applyNumberFormat="1" applyFont="1" applyBorder="1" applyAlignment="1">
      <alignment horizontal="center" vertical="top"/>
    </xf>
    <xf numFmtId="4" fontId="57" fillId="0" borderId="4" xfId="0" applyNumberFormat="1" applyFont="1" applyBorder="1" applyAlignment="1">
      <alignment horizontal="center" vertical="top"/>
    </xf>
    <xf numFmtId="0" fontId="58" fillId="0" borderId="4" xfId="0" applyFont="1" applyBorder="1" applyAlignment="1">
      <alignment vertical="top" wrapText="1"/>
    </xf>
    <xf numFmtId="49" fontId="57" fillId="0" borderId="4" xfId="0" applyNumberFormat="1" applyFont="1" applyBorder="1" applyAlignment="1">
      <alignment vertical="top" wrapText="1"/>
    </xf>
    <xf numFmtId="4" fontId="57" fillId="0" borderId="4" xfId="0" applyNumberFormat="1" applyFont="1" applyBorder="1" applyAlignment="1">
      <alignment horizontal="right" vertical="top" wrapText="1"/>
    </xf>
    <xf numFmtId="4" fontId="57" fillId="0" borderId="52" xfId="0" applyNumberFormat="1" applyFont="1" applyBorder="1" applyAlignment="1">
      <alignment vertical="top" wrapText="1"/>
    </xf>
    <xf numFmtId="4" fontId="57" fillId="0" borderId="44" xfId="0" applyNumberFormat="1" applyFont="1" applyBorder="1" applyAlignment="1">
      <alignment vertical="top" wrapText="1"/>
    </xf>
    <xf numFmtId="166" fontId="57" fillId="0" borderId="4" xfId="0" applyNumberFormat="1" applyFont="1" applyBorder="1" applyAlignment="1">
      <alignment horizontal="right" vertical="top" wrapText="1"/>
    </xf>
    <xf numFmtId="4" fontId="57" fillId="0" borderId="1" xfId="0" applyNumberFormat="1" applyFont="1" applyBorder="1" applyAlignment="1">
      <alignment horizontal="right" vertical="top" wrapText="1"/>
    </xf>
    <xf numFmtId="0" fontId="57" fillId="0" borderId="4" xfId="0" applyNumberFormat="1" applyFont="1" applyBorder="1" applyAlignment="1">
      <alignment horizontal="right" vertical="top" wrapText="1"/>
    </xf>
    <xf numFmtId="49" fontId="57" fillId="0" borderId="1" xfId="0" applyNumberFormat="1" applyFont="1" applyBorder="1" applyAlignment="1">
      <alignment horizontal="center" vertical="top"/>
    </xf>
    <xf numFmtId="49" fontId="61" fillId="3" borderId="0" xfId="10" applyFill="1">
      <alignment horizontal="center" vertical="top"/>
    </xf>
    <xf numFmtId="0" fontId="62" fillId="3" borderId="0" xfId="8" applyFill="1">
      <alignment horizontal="left"/>
    </xf>
    <xf numFmtId="0" fontId="62" fillId="2" borderId="0" xfId="8" applyFill="1">
      <alignment horizontal="left"/>
    </xf>
    <xf numFmtId="0" fontId="63" fillId="3" borderId="0" xfId="5" applyFill="1">
      <alignment horizontal="center" vertical="top" wrapText="1"/>
    </xf>
    <xf numFmtId="0" fontId="62" fillId="3" borderId="0" xfId="8" applyFill="1" applyAlignment="1"/>
    <xf numFmtId="0" fontId="62" fillId="3" borderId="0" xfId="11" applyFill="1" applyBorder="1" applyAlignment="1"/>
    <xf numFmtId="0" fontId="62" fillId="3" borderId="0" xfId="8" applyFill="1" applyAlignment="1">
      <alignment horizontal="center"/>
    </xf>
    <xf numFmtId="0" fontId="62" fillId="3" borderId="2" xfId="8" applyFill="1" applyBorder="1">
      <alignment horizontal="left"/>
    </xf>
    <xf numFmtId="0" fontId="62" fillId="3" borderId="0" xfId="8" applyFill="1" applyBorder="1" applyAlignment="1"/>
    <xf numFmtId="0" fontId="62" fillId="5" borderId="0" xfId="8" applyFill="1">
      <alignment horizontal="left"/>
    </xf>
    <xf numFmtId="0" fontId="62" fillId="5" borderId="0" xfId="11" applyFill="1" applyBorder="1" applyAlignment="1"/>
    <xf numFmtId="0" fontId="62" fillId="5" borderId="0" xfId="8" applyFill="1" applyAlignment="1"/>
    <xf numFmtId="0" fontId="62" fillId="5" borderId="0" xfId="8" applyFill="1" applyBorder="1" applyAlignment="1"/>
    <xf numFmtId="0" fontId="64" fillId="3" borderId="23" xfId="6" applyFont="1" applyFill="1" applyBorder="1" applyAlignment="1">
      <alignment horizontal="center" vertical="top" wrapText="1"/>
    </xf>
    <xf numFmtId="0" fontId="67" fillId="5" borderId="1" xfId="8" applyFont="1" applyFill="1" applyBorder="1" applyAlignment="1">
      <alignment horizontal="center"/>
    </xf>
    <xf numFmtId="4" fontId="68" fillId="5" borderId="1" xfId="8" applyNumberFormat="1" applyFont="1" applyFill="1" applyBorder="1" applyAlignment="1">
      <alignment horizontal="right" vertical="top"/>
    </xf>
    <xf numFmtId="4" fontId="68" fillId="3" borderId="1" xfId="13" applyNumberFormat="1" applyFont="1" applyFill="1" applyBorder="1" applyAlignment="1">
      <alignment horizontal="right" vertical="top"/>
    </xf>
    <xf numFmtId="0" fontId="62" fillId="5" borderId="0" xfId="8" applyFill="1" applyBorder="1" applyAlignment="1">
      <alignment horizontal="center"/>
    </xf>
    <xf numFmtId="0" fontId="62" fillId="3" borderId="0" xfId="13" applyFill="1" applyBorder="1" applyAlignment="1">
      <alignment horizontal="center" vertical="center"/>
    </xf>
    <xf numFmtId="0" fontId="50" fillId="3" borderId="0" xfId="13" applyFont="1" applyFill="1" applyBorder="1" applyAlignment="1">
      <alignment vertical="top" wrapText="1"/>
    </xf>
    <xf numFmtId="0" fontId="50" fillId="3" borderId="0" xfId="13" applyFont="1" applyFill="1" applyBorder="1" applyAlignment="1">
      <alignment horizontal="left" vertical="top"/>
    </xf>
    <xf numFmtId="4" fontId="50" fillId="3" borderId="0" xfId="13" applyNumberFormat="1" applyFont="1" applyFill="1" applyBorder="1" applyAlignment="1">
      <alignment horizontal="right" vertical="top"/>
    </xf>
    <xf numFmtId="0" fontId="67" fillId="5" borderId="0" xfId="8" applyFont="1" applyFill="1" applyBorder="1" applyAlignment="1">
      <alignment horizontal="center"/>
    </xf>
    <xf numFmtId="4" fontId="68" fillId="5" borderId="0" xfId="8" applyNumberFormat="1" applyFont="1" applyFill="1" applyBorder="1" applyAlignment="1">
      <alignment horizontal="right" vertical="top"/>
    </xf>
    <xf numFmtId="4" fontId="68" fillId="3" borderId="0" xfId="13" applyNumberFormat="1" applyFont="1" applyFill="1" applyBorder="1" applyAlignment="1">
      <alignment horizontal="right" vertical="top"/>
    </xf>
    <xf numFmtId="4" fontId="50" fillId="5" borderId="0" xfId="13" applyNumberFormat="1" applyFont="1" applyFill="1" applyBorder="1" applyAlignment="1">
      <alignment horizontal="right" vertical="top"/>
    </xf>
    <xf numFmtId="0" fontId="50" fillId="3" borderId="0" xfId="13" applyFont="1" applyFill="1" applyBorder="1" applyAlignment="1">
      <alignment horizontal="center" vertical="top"/>
    </xf>
    <xf numFmtId="49" fontId="61" fillId="5" borderId="0" xfId="10" applyFill="1">
      <alignment horizontal="center" vertical="top"/>
    </xf>
    <xf numFmtId="0" fontId="0" fillId="3" borderId="0" xfId="0" applyFill="1" applyAlignment="1">
      <alignment horizontal="left"/>
    </xf>
    <xf numFmtId="0" fontId="0" fillId="2" borderId="0" xfId="0" applyFill="1" applyAlignment="1">
      <alignment horizontal="left"/>
    </xf>
    <xf numFmtId="0" fontId="0" fillId="5" borderId="0" xfId="0" applyFill="1" applyAlignment="1"/>
    <xf numFmtId="0" fontId="0" fillId="5" borderId="0" xfId="0" applyFill="1" applyAlignment="1">
      <alignment horizontal="left"/>
    </xf>
    <xf numFmtId="0" fontId="62" fillId="5" borderId="2" xfId="11" applyFill="1" applyAlignment="1"/>
    <xf numFmtId="0" fontId="0" fillId="5" borderId="0" xfId="0" applyFill="1" applyBorder="1" applyAlignment="1">
      <alignment horizontal="left"/>
    </xf>
    <xf numFmtId="0" fontId="13" fillId="5" borderId="0" xfId="0" applyFont="1" applyFill="1" applyAlignment="1"/>
    <xf numFmtId="0" fontId="13" fillId="5" borderId="0" xfId="0" applyFont="1" applyFill="1" applyAlignment="1">
      <alignment horizontal="left"/>
    </xf>
    <xf numFmtId="0" fontId="13" fillId="5" borderId="0" xfId="11" applyFont="1" applyFill="1" applyBorder="1" applyAlignment="1"/>
    <xf numFmtId="0" fontId="13" fillId="5" borderId="2" xfId="11" applyFont="1" applyFill="1" applyAlignment="1"/>
    <xf numFmtId="0" fontId="62" fillId="5" borderId="2" xfId="11" applyFill="1">
      <alignment horizontal="center"/>
    </xf>
    <xf numFmtId="0" fontId="62" fillId="5" borderId="0" xfId="11" applyFill="1" applyBorder="1">
      <alignment horizontal="center"/>
    </xf>
    <xf numFmtId="0" fontId="0" fillId="5" borderId="2" xfId="0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left"/>
    </xf>
    <xf numFmtId="49" fontId="61" fillId="5" borderId="0" xfId="10" applyFill="1" applyAlignment="1">
      <alignment vertical="top"/>
    </xf>
    <xf numFmtId="49" fontId="66" fillId="5" borderId="0" xfId="11" applyNumberFormat="1" applyFont="1" applyFill="1" applyBorder="1" applyAlignment="1"/>
    <xf numFmtId="4" fontId="70" fillId="5" borderId="1" xfId="8" applyNumberFormat="1" applyFont="1" applyFill="1" applyBorder="1" applyAlignment="1">
      <alignment horizontal="right" vertical="top"/>
    </xf>
    <xf numFmtId="0" fontId="62" fillId="3" borderId="52" xfId="13" applyFill="1" applyBorder="1" applyAlignment="1"/>
    <xf numFmtId="0" fontId="62" fillId="3" borderId="44" xfId="13" applyFill="1" applyBorder="1" applyAlignment="1"/>
    <xf numFmtId="0" fontId="62" fillId="6" borderId="0" xfId="13" applyFont="1" applyFill="1" applyBorder="1" applyAlignment="1">
      <alignment vertical="center"/>
    </xf>
    <xf numFmtId="0" fontId="68" fillId="5" borderId="1" xfId="8" applyNumberFormat="1" applyFont="1" applyFill="1" applyBorder="1" applyAlignment="1">
      <alignment horizontal="left" vertical="top" wrapText="1"/>
    </xf>
    <xf numFmtId="0" fontId="62" fillId="5" borderId="0" xfId="8" applyFill="1">
      <alignment horizontal="left"/>
    </xf>
    <xf numFmtId="0" fontId="72" fillId="3" borderId="45" xfId="6" applyFont="1" applyFill="1" applyBorder="1" applyAlignment="1">
      <alignment horizontal="center" vertical="top" wrapText="1"/>
    </xf>
    <xf numFmtId="0" fontId="73" fillId="0" borderId="0" xfId="0" applyFont="1" applyAlignment="1">
      <alignment horizontal="right"/>
    </xf>
    <xf numFmtId="49" fontId="13" fillId="0" borderId="0" xfId="0" applyNumberFormat="1" applyFont="1"/>
    <xf numFmtId="49" fontId="73" fillId="0" borderId="0" xfId="0" applyNumberFormat="1" applyFont="1" applyAlignment="1">
      <alignment horizontal="right"/>
    </xf>
    <xf numFmtId="49" fontId="0" fillId="0" borderId="0" xfId="0" applyNumberFormat="1"/>
    <xf numFmtId="49" fontId="75" fillId="0" borderId="3" xfId="0" applyNumberFormat="1" applyFont="1" applyBorder="1" applyAlignment="1">
      <alignment vertical="center"/>
    </xf>
    <xf numFmtId="0" fontId="56" fillId="0" borderId="0" xfId="0" applyFont="1"/>
    <xf numFmtId="0" fontId="13" fillId="0" borderId="52" xfId="0" applyFont="1" applyBorder="1"/>
    <xf numFmtId="0" fontId="75" fillId="0" borderId="0" xfId="0" applyFont="1" applyBorder="1" applyAlignment="1">
      <alignment horizontal="center" vertical="top"/>
    </xf>
    <xf numFmtId="0" fontId="73" fillId="0" borderId="0" xfId="0" applyFont="1" applyBorder="1" applyAlignment="1">
      <alignment horizontal="right"/>
    </xf>
    <xf numFmtId="0" fontId="76" fillId="0" borderId="0" xfId="0" applyFont="1" applyAlignment="1">
      <alignment horizontal="left" indent="3"/>
    </xf>
    <xf numFmtId="49" fontId="56" fillId="0" borderId="2" xfId="0" applyNumberFormat="1" applyFont="1" applyBorder="1" applyAlignment="1">
      <alignment horizontal="center"/>
    </xf>
    <xf numFmtId="0" fontId="75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49" fontId="56" fillId="0" borderId="0" xfId="0" applyNumberFormat="1" applyFont="1"/>
    <xf numFmtId="0" fontId="58" fillId="0" borderId="0" xfId="0" applyFont="1"/>
    <xf numFmtId="0" fontId="21" fillId="0" borderId="0" xfId="0" applyFont="1" applyAlignment="1">
      <alignment horizontal="right" vertical="top"/>
    </xf>
    <xf numFmtId="0" fontId="78" fillId="0" borderId="44" xfId="0" applyFont="1" applyBorder="1" applyAlignment="1">
      <alignment horizontal="center" vertical="center" wrapText="1"/>
    </xf>
    <xf numFmtId="0" fontId="78" fillId="0" borderId="1" xfId="0" applyFont="1" applyBorder="1" applyAlignment="1">
      <alignment horizontal="center" vertical="center" wrapText="1"/>
    </xf>
    <xf numFmtId="49" fontId="78" fillId="0" borderId="23" xfId="0" applyNumberFormat="1" applyFont="1" applyBorder="1" applyAlignment="1">
      <alignment horizontal="center" vertical="top"/>
    </xf>
    <xf numFmtId="0" fontId="2" fillId="0" borderId="0" xfId="0" applyFont="1" applyAlignment="1">
      <alignment vertical="top"/>
    </xf>
    <xf numFmtId="49" fontId="80" fillId="0" borderId="0" xfId="0" applyNumberFormat="1" applyFont="1" applyBorder="1" applyAlignment="1">
      <alignment horizontal="right" vertical="top"/>
    </xf>
    <xf numFmtId="0" fontId="81" fillId="0" borderId="0" xfId="0" applyFont="1"/>
    <xf numFmtId="49" fontId="81" fillId="0" borderId="2" xfId="0" applyNumberFormat="1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49" fontId="81" fillId="0" borderId="0" xfId="0" applyNumberFormat="1" applyFont="1"/>
    <xf numFmtId="49" fontId="13" fillId="0" borderId="0" xfId="0" applyNumberFormat="1" applyFont="1" applyBorder="1" applyAlignment="1">
      <alignment vertical="top"/>
    </xf>
    <xf numFmtId="49" fontId="0" fillId="0" borderId="0" xfId="0" applyNumberFormat="1" applyBorder="1" applyAlignment="1">
      <alignment vertical="top"/>
    </xf>
    <xf numFmtId="0" fontId="0" fillId="0" borderId="0" xfId="0" applyAlignment="1">
      <alignment vertical="top"/>
    </xf>
    <xf numFmtId="49" fontId="76" fillId="0" borderId="0" xfId="0" applyNumberFormat="1" applyFont="1" applyBorder="1" applyAlignment="1">
      <alignment horizontal="right" vertical="top"/>
    </xf>
    <xf numFmtId="49" fontId="56" fillId="0" borderId="0" xfId="0" applyNumberFormat="1" applyFont="1" applyAlignment="1">
      <alignment horizontal="left"/>
    </xf>
    <xf numFmtId="49" fontId="73" fillId="0" borderId="0" xfId="0" applyNumberFormat="1" applyFont="1" applyBorder="1" applyAlignment="1">
      <alignment horizontal="center" vertical="center"/>
    </xf>
    <xf numFmtId="49" fontId="74" fillId="0" borderId="2" xfId="0" applyNumberFormat="1" applyFont="1" applyBorder="1" applyAlignment="1"/>
    <xf numFmtId="49" fontId="74" fillId="0" borderId="2" xfId="0" applyNumberFormat="1" applyFont="1" applyBorder="1" applyAlignment="1">
      <alignment horizontal="left"/>
    </xf>
    <xf numFmtId="49" fontId="74" fillId="0" borderId="21" xfId="0" applyNumberFormat="1" applyFont="1" applyBorder="1" applyAlignment="1">
      <alignment horizontal="left"/>
    </xf>
    <xf numFmtId="0" fontId="77" fillId="0" borderId="0" xfId="0" applyFont="1"/>
    <xf numFmtId="49" fontId="77" fillId="0" borderId="2" xfId="0" applyNumberFormat="1" applyFont="1" applyBorder="1" applyAlignment="1">
      <alignment vertical="center"/>
    </xf>
    <xf numFmtId="49" fontId="15" fillId="0" borderId="0" xfId="0" applyNumberFormat="1" applyFont="1" applyBorder="1" applyAlignment="1">
      <alignment horizontal="center"/>
    </xf>
    <xf numFmtId="49" fontId="57" fillId="0" borderId="0" xfId="0" applyNumberFormat="1" applyFont="1" applyBorder="1" applyAlignment="1">
      <alignment horizontal="left" wrapText="1"/>
    </xf>
    <xf numFmtId="49" fontId="57" fillId="0" borderId="0" xfId="0" applyNumberFormat="1" applyFont="1" applyBorder="1" applyAlignment="1">
      <alignment horizontal="left"/>
    </xf>
    <xf numFmtId="49" fontId="34" fillId="0" borderId="0" xfId="0" applyNumberFormat="1" applyFont="1" applyBorder="1" applyAlignment="1">
      <alignment horizontal="left" wrapText="1"/>
    </xf>
    <xf numFmtId="49" fontId="34" fillId="0" borderId="0" xfId="0" applyNumberFormat="1" applyFont="1" applyBorder="1" applyAlignment="1">
      <alignment horizontal="left"/>
    </xf>
    <xf numFmtId="49" fontId="57" fillId="0" borderId="0" xfId="0" applyNumberFormat="1" applyFont="1" applyBorder="1" applyAlignment="1">
      <alignment horizontal="center"/>
    </xf>
    <xf numFmtId="49" fontId="59" fillId="0" borderId="2" xfId="0" applyNumberFormat="1" applyFont="1" applyBorder="1" applyAlignment="1">
      <alignment horizontal="center"/>
    </xf>
    <xf numFmtId="49" fontId="61" fillId="3" borderId="0" xfId="10" applyFill="1" applyProtection="1">
      <alignment horizontal="center" vertical="top"/>
      <protection locked="0"/>
    </xf>
    <xf numFmtId="0" fontId="62" fillId="3" borderId="0" xfId="8" applyFill="1" applyProtection="1">
      <alignment horizontal="left"/>
      <protection locked="0"/>
    </xf>
    <xf numFmtId="0" fontId="62" fillId="3" borderId="0" xfId="8" applyFill="1" applyAlignment="1" applyProtection="1">
      <alignment horizontal="center" vertical="center"/>
      <protection locked="0"/>
    </xf>
    <xf numFmtId="49" fontId="62" fillId="3" borderId="2" xfId="11" applyNumberFormat="1" applyFill="1" applyAlignment="1" applyProtection="1">
      <alignment horizontal="center" shrinkToFit="1"/>
      <protection locked="0"/>
    </xf>
    <xf numFmtId="0" fontId="62" fillId="3" borderId="0" xfId="8" applyFill="1" applyAlignment="1" applyProtection="1">
      <alignment horizontal="left" vertical="top"/>
      <protection locked="0"/>
    </xf>
    <xf numFmtId="0" fontId="62" fillId="3" borderId="0" xfId="8" applyFill="1" applyAlignment="1" applyProtection="1">
      <protection locked="0"/>
    </xf>
    <xf numFmtId="49" fontId="62" fillId="3" borderId="2" xfId="11" applyNumberFormat="1" applyFill="1" applyAlignment="1" applyProtection="1">
      <alignment shrinkToFit="1"/>
      <protection locked="0"/>
    </xf>
    <xf numFmtId="49" fontId="62" fillId="3" borderId="0" xfId="11" applyNumberFormat="1" applyFill="1" applyBorder="1" applyAlignment="1" applyProtection="1">
      <alignment shrinkToFit="1"/>
      <protection locked="0"/>
    </xf>
    <xf numFmtId="49" fontId="62" fillId="3" borderId="0" xfId="11" applyNumberFormat="1" applyFill="1" applyBorder="1" applyAlignment="1" applyProtection="1">
      <alignment horizontal="center" shrinkToFit="1"/>
      <protection locked="0"/>
    </xf>
    <xf numFmtId="0" fontId="62" fillId="5" borderId="0" xfId="8" applyFill="1">
      <alignment horizontal="left"/>
    </xf>
    <xf numFmtId="0" fontId="62" fillId="5" borderId="0" xfId="8" applyFill="1" applyAlignment="1" applyProtection="1">
      <protection locked="0"/>
    </xf>
    <xf numFmtId="0" fontId="66" fillId="3" borderId="52" xfId="11" applyNumberFormat="1" applyFont="1" applyFill="1" applyBorder="1" applyAlignment="1" applyProtection="1">
      <alignment shrinkToFit="1"/>
      <protection locked="0"/>
    </xf>
    <xf numFmtId="0" fontId="62" fillId="5" borderId="0" xfId="8" applyFill="1">
      <alignment horizontal="left"/>
    </xf>
    <xf numFmtId="0" fontId="59" fillId="0" borderId="52" xfId="0" applyFont="1" applyBorder="1"/>
    <xf numFmtId="49" fontId="69" fillId="3" borderId="0" xfId="11" applyNumberFormat="1" applyFont="1" applyFill="1" applyBorder="1" applyAlignment="1" applyProtection="1">
      <alignment horizontal="left" shrinkToFit="1"/>
      <protection locked="0"/>
    </xf>
    <xf numFmtId="0" fontId="57" fillId="0" borderId="0" xfId="0" applyNumberFormat="1" applyFont="1" applyAlignment="1"/>
    <xf numFmtId="0" fontId="57" fillId="0" borderId="0" xfId="0" applyNumberFormat="1" applyFont="1" applyFill="1" applyAlignment="1">
      <alignment horizontal="right"/>
    </xf>
    <xf numFmtId="0" fontId="57" fillId="0" borderId="0" xfId="0" applyNumberFormat="1" applyFont="1" applyFill="1" applyAlignment="1">
      <alignment horizontal="right" vertical="top"/>
    </xf>
    <xf numFmtId="0" fontId="57" fillId="0" borderId="0" xfId="0" applyNumberFormat="1" applyFont="1" applyFill="1" applyAlignment="1">
      <alignment vertical="center"/>
    </xf>
    <xf numFmtId="0" fontId="57" fillId="0" borderId="0" xfId="0" applyNumberFormat="1" applyFont="1" applyFill="1" applyAlignment="1"/>
    <xf numFmtId="0" fontId="13" fillId="0" borderId="0" xfId="0" applyNumberFormat="1" applyFont="1" applyAlignment="1">
      <alignment horizontal="left" vertical="center"/>
    </xf>
    <xf numFmtId="0" fontId="13" fillId="0" borderId="0" xfId="0" applyNumberFormat="1" applyFont="1" applyAlignment="1"/>
    <xf numFmtId="0" fontId="75" fillId="0" borderId="0" xfId="0" applyNumberFormat="1" applyFont="1" applyAlignment="1">
      <alignment horizontal="center" vertical="top"/>
    </xf>
    <xf numFmtId="0" fontId="75" fillId="0" borderId="0" xfId="0" applyNumberFormat="1" applyFont="1" applyAlignment="1"/>
    <xf numFmtId="0" fontId="60" fillId="0" borderId="0" xfId="0" applyNumberFormat="1" applyFont="1" applyAlignment="1">
      <alignment vertical="center"/>
    </xf>
    <xf numFmtId="0" fontId="57" fillId="0" borderId="0" xfId="0" applyNumberFormat="1" applyFont="1" applyAlignment="1">
      <alignment vertical="center"/>
    </xf>
    <xf numFmtId="0" fontId="13" fillId="0" borderId="0" xfId="0" applyNumberFormat="1" applyFont="1" applyAlignment="1">
      <alignment vertical="center"/>
    </xf>
    <xf numFmtId="49" fontId="13" fillId="0" borderId="0" xfId="0" applyNumberFormat="1" applyFont="1" applyAlignment="1"/>
    <xf numFmtId="49" fontId="13" fillId="0" borderId="0" xfId="0" applyNumberFormat="1" applyFont="1" applyAlignment="1">
      <alignment horizontal="right"/>
    </xf>
    <xf numFmtId="0" fontId="55" fillId="0" borderId="0" xfId="0" applyNumberFormat="1" applyFont="1" applyAlignment="1"/>
    <xf numFmtId="0" fontId="55" fillId="0" borderId="0" xfId="0" applyNumberFormat="1" applyFont="1" applyAlignment="1">
      <alignment horizontal="right"/>
    </xf>
    <xf numFmtId="0" fontId="55" fillId="0" borderId="0" xfId="0" applyNumberFormat="1" applyFont="1" applyAlignment="1">
      <alignment horizontal="center"/>
    </xf>
    <xf numFmtId="0" fontId="80" fillId="0" borderId="0" xfId="0" applyNumberFormat="1" applyFont="1" applyAlignment="1"/>
    <xf numFmtId="0" fontId="13" fillId="0" borderId="0" xfId="0" applyNumberFormat="1" applyFont="1" applyAlignment="1">
      <alignment horizontal="right"/>
    </xf>
    <xf numFmtId="0" fontId="13" fillId="0" borderId="0" xfId="0" applyNumberFormat="1" applyFont="1" applyAlignment="1">
      <alignment horizontal="left"/>
    </xf>
    <xf numFmtId="0" fontId="13" fillId="0" borderId="0" xfId="0" applyNumberFormat="1" applyFont="1" applyBorder="1" applyAlignment="1"/>
    <xf numFmtId="0" fontId="75" fillId="0" borderId="0" xfId="0" applyNumberFormat="1" applyFont="1" applyAlignment="1">
      <alignment vertical="center"/>
    </xf>
    <xf numFmtId="0" fontId="75" fillId="0" borderId="0" xfId="0" applyNumberFormat="1" applyFont="1" applyBorder="1" applyAlignment="1">
      <alignment vertical="center"/>
    </xf>
    <xf numFmtId="0" fontId="75" fillId="0" borderId="0" xfId="0" applyNumberFormat="1" applyFont="1" applyBorder="1" applyAlignment="1">
      <alignment horizontal="center" vertical="center"/>
    </xf>
    <xf numFmtId="0" fontId="13" fillId="0" borderId="0" xfId="0" applyNumberFormat="1" applyFont="1" applyBorder="1" applyAlignment="1">
      <alignment horizontal="center"/>
    </xf>
    <xf numFmtId="0" fontId="75" fillId="0" borderId="0" xfId="0" applyNumberFormat="1" applyFont="1" applyBorder="1" applyAlignment="1">
      <alignment horizontal="center"/>
    </xf>
    <xf numFmtId="0" fontId="13" fillId="0" borderId="0" xfId="0" applyNumberFormat="1" applyFont="1" applyBorder="1" applyAlignment="1">
      <alignment horizontal="left"/>
    </xf>
    <xf numFmtId="0" fontId="75" fillId="0" borderId="0" xfId="0" applyNumberFormat="1" applyFont="1" applyAlignment="1">
      <alignment horizontal="center" vertical="center"/>
    </xf>
    <xf numFmtId="0" fontId="13" fillId="0" borderId="0" xfId="0" applyNumberFormat="1" applyFont="1" applyBorder="1" applyAlignment="1">
      <alignment horizontal="right"/>
    </xf>
    <xf numFmtId="0" fontId="13" fillId="0" borderId="0" xfId="0" applyNumberFormat="1" applyFont="1" applyAlignment="1">
      <alignment horizontal="left" vertical="top"/>
    </xf>
    <xf numFmtId="0" fontId="75" fillId="0" borderId="0" xfId="0" applyNumberFormat="1" applyFont="1" applyBorder="1" applyAlignment="1">
      <alignment horizontal="center" vertical="top"/>
    </xf>
    <xf numFmtId="0" fontId="13" fillId="0" borderId="0" xfId="0" applyNumberFormat="1" applyFont="1" applyAlignment="1">
      <alignment horizontal="center" vertical="center"/>
    </xf>
    <xf numFmtId="0" fontId="13" fillId="0" borderId="0" xfId="0" applyNumberFormat="1" applyFont="1" applyBorder="1" applyAlignment="1">
      <alignment horizontal="center" vertical="center"/>
    </xf>
    <xf numFmtId="0" fontId="13" fillId="0" borderId="0" xfId="0" applyNumberFormat="1" applyFont="1" applyBorder="1" applyAlignment="1">
      <alignment vertical="center"/>
    </xf>
    <xf numFmtId="0" fontId="71" fillId="0" borderId="3" xfId="0" applyNumberFormat="1" applyFont="1" applyBorder="1" applyAlignment="1">
      <alignment horizontal="left"/>
    </xf>
    <xf numFmtId="49" fontId="13" fillId="0" borderId="0" xfId="0" applyNumberFormat="1" applyFont="1" applyBorder="1" applyAlignment="1"/>
    <xf numFmtId="0" fontId="83" fillId="0" borderId="0" xfId="0" applyFont="1" applyAlignment="1">
      <alignment vertical="top"/>
    </xf>
    <xf numFmtId="0" fontId="43" fillId="0" borderId="0" xfId="0" applyFont="1" applyAlignment="1">
      <alignment horizontal="left"/>
    </xf>
    <xf numFmtId="0" fontId="34" fillId="0" borderId="2" xfId="0" applyFont="1" applyBorder="1" applyAlignment="1">
      <alignment horizontal="center"/>
    </xf>
    <xf numFmtId="0" fontId="34" fillId="0" borderId="4" xfId="0" applyFont="1" applyBorder="1" applyAlignment="1">
      <alignment horizontal="center" vertical="top"/>
    </xf>
    <xf numFmtId="0" fontId="34" fillId="0" borderId="4" xfId="0" applyFont="1" applyBorder="1" applyAlignment="1">
      <alignment horizontal="left" vertical="top" wrapText="1"/>
    </xf>
    <xf numFmtId="0" fontId="56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49" fontId="56" fillId="0" borderId="0" xfId="0" applyNumberFormat="1" applyFont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73" fillId="0" borderId="0" xfId="0" applyFont="1" applyBorder="1"/>
    <xf numFmtId="0" fontId="84" fillId="0" borderId="0" xfId="0" applyFont="1" applyBorder="1" applyAlignment="1"/>
    <xf numFmtId="0" fontId="56" fillId="0" borderId="0" xfId="0" applyFont="1" applyBorder="1" applyAlignment="1">
      <alignment horizontal="center" vertical="center" wrapText="1"/>
    </xf>
    <xf numFmtId="0" fontId="56" fillId="0" borderId="0" xfId="0" applyFont="1" applyBorder="1" applyAlignment="1">
      <alignment horizontal="left"/>
    </xf>
    <xf numFmtId="0" fontId="56" fillId="0" borderId="0" xfId="0" applyFont="1" applyAlignment="1">
      <alignment horizontal="center" vertical="center" wrapText="1"/>
    </xf>
    <xf numFmtId="0" fontId="56" fillId="0" borderId="0" xfId="0" applyFont="1" applyBorder="1" applyAlignment="1">
      <alignment horizontal="center" wrapText="1"/>
    </xf>
    <xf numFmtId="0" fontId="56" fillId="0" borderId="0" xfId="0" applyFont="1" applyBorder="1" applyAlignment="1">
      <alignment horizontal="center" vertical="center"/>
    </xf>
    <xf numFmtId="0" fontId="56" fillId="0" borderId="0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85" fillId="0" borderId="0" xfId="0" applyFont="1" applyBorder="1" applyAlignment="1">
      <alignment horizontal="center" vertical="center" wrapText="1"/>
    </xf>
    <xf numFmtId="0" fontId="85" fillId="0" borderId="0" xfId="0" applyFont="1" applyBorder="1" applyAlignment="1">
      <alignment horizontal="right"/>
    </xf>
    <xf numFmtId="0" fontId="85" fillId="0" borderId="0" xfId="0" applyFont="1" applyBorder="1" applyAlignment="1">
      <alignment horizontal="center"/>
    </xf>
    <xf numFmtId="0" fontId="85" fillId="0" borderId="0" xfId="0" applyFont="1" applyBorder="1" applyAlignment="1">
      <alignment horizontal="center" wrapText="1"/>
    </xf>
    <xf numFmtId="0" fontId="85" fillId="0" borderId="0" xfId="0" applyFont="1" applyBorder="1" applyAlignment="1">
      <alignment horizontal="center" vertical="center"/>
    </xf>
    <xf numFmtId="0" fontId="58" fillId="0" borderId="0" xfId="0" applyFont="1" applyAlignment="1">
      <alignment horizontal="center"/>
    </xf>
    <xf numFmtId="0" fontId="58" fillId="0" borderId="0" xfId="0" applyFont="1" applyBorder="1" applyAlignment="1">
      <alignment horizontal="center"/>
    </xf>
    <xf numFmtId="0" fontId="84" fillId="0" borderId="0" xfId="0" applyFont="1" applyBorder="1" applyAlignment="1">
      <alignment horizontal="center"/>
    </xf>
    <xf numFmtId="0" fontId="84" fillId="0" borderId="0" xfId="0" applyFont="1" applyBorder="1" applyAlignment="1">
      <alignment horizontal="center" vertical="center" wrapText="1"/>
    </xf>
    <xf numFmtId="0" fontId="58" fillId="0" borderId="0" xfId="0" applyFont="1" applyBorder="1" applyAlignment="1">
      <alignment horizontal="center" vertical="center" wrapText="1"/>
    </xf>
    <xf numFmtId="0" fontId="75" fillId="0" borderId="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0" fontId="81" fillId="0" borderId="0" xfId="0" applyFont="1" applyBorder="1"/>
    <xf numFmtId="0" fontId="81" fillId="0" borderId="0" xfId="0" applyFont="1" applyBorder="1" applyAlignment="1">
      <alignment horizontal="center"/>
    </xf>
    <xf numFmtId="0" fontId="86" fillId="0" borderId="0" xfId="0" applyFont="1" applyBorder="1"/>
    <xf numFmtId="0" fontId="76" fillId="0" borderId="0" xfId="0" applyFont="1" applyBorder="1"/>
    <xf numFmtId="0" fontId="73" fillId="0" borderId="0" xfId="0" applyFont="1"/>
    <xf numFmtId="0" fontId="75" fillId="0" borderId="0" xfId="0" applyFont="1"/>
    <xf numFmtId="0" fontId="81" fillId="0" borderId="0" xfId="0" applyFont="1" applyAlignment="1">
      <alignment horizontal="right"/>
    </xf>
    <xf numFmtId="0" fontId="13" fillId="5" borderId="0" xfId="0" applyFont="1" applyFill="1"/>
    <xf numFmtId="0" fontId="13" fillId="5" borderId="0" xfId="0" applyFont="1" applyFill="1" applyBorder="1"/>
    <xf numFmtId="0" fontId="73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73" fillId="5" borderId="0" xfId="0" applyFont="1" applyFill="1" applyAlignment="1">
      <alignment horizontal="left"/>
    </xf>
    <xf numFmtId="0" fontId="73" fillId="5" borderId="3" xfId="0" applyFont="1" applyFill="1" applyBorder="1" applyAlignment="1">
      <alignment horizontal="right"/>
    </xf>
    <xf numFmtId="0" fontId="58" fillId="5" borderId="0" xfId="0" applyFont="1" applyFill="1" applyBorder="1" applyAlignment="1"/>
    <xf numFmtId="0" fontId="75" fillId="5" borderId="0" xfId="0" applyFont="1" applyFill="1" applyAlignment="1"/>
    <xf numFmtId="0" fontId="73" fillId="5" borderId="0" xfId="0" applyFont="1" applyFill="1" applyBorder="1" applyAlignment="1">
      <alignment horizontal="right"/>
    </xf>
    <xf numFmtId="0" fontId="56" fillId="5" borderId="0" xfId="0" applyFont="1" applyFill="1"/>
    <xf numFmtId="0" fontId="73" fillId="5" borderId="52" xfId="0" applyFont="1" applyFill="1" applyBorder="1" applyAlignment="1">
      <alignment horizontal="center"/>
    </xf>
    <xf numFmtId="0" fontId="58" fillId="5" borderId="0" xfId="0" applyFont="1" applyFill="1" applyAlignment="1"/>
    <xf numFmtId="0" fontId="73" fillId="5" borderId="3" xfId="0" applyFont="1" applyFill="1" applyBorder="1" applyAlignment="1">
      <alignment horizontal="center"/>
    </xf>
    <xf numFmtId="0" fontId="13" fillId="5" borderId="0" xfId="0" applyFont="1" applyFill="1" applyBorder="1" applyAlignment="1">
      <alignment horizontal="left"/>
    </xf>
    <xf numFmtId="0" fontId="75" fillId="5" borderId="0" xfId="0" applyFont="1" applyFill="1" applyBorder="1" applyAlignment="1"/>
    <xf numFmtId="0" fontId="13" fillId="5" borderId="0" xfId="0" applyFont="1" applyFill="1" applyBorder="1" applyAlignment="1">
      <alignment horizontal="right"/>
    </xf>
    <xf numFmtId="0" fontId="73" fillId="5" borderId="2" xfId="0" applyFont="1" applyFill="1" applyBorder="1" applyAlignment="1">
      <alignment horizontal="center"/>
    </xf>
    <xf numFmtId="0" fontId="57" fillId="5" borderId="0" xfId="0" applyFont="1" applyFill="1" applyBorder="1" applyAlignment="1">
      <alignment horizontal="left"/>
    </xf>
    <xf numFmtId="0" fontId="13" fillId="5" borderId="0" xfId="0" applyFont="1" applyFill="1" applyBorder="1" applyAlignment="1">
      <alignment horizontal="center"/>
    </xf>
    <xf numFmtId="0" fontId="55" fillId="5" borderId="0" xfId="0" applyFont="1" applyFill="1" applyAlignment="1">
      <alignment horizontal="right"/>
    </xf>
    <xf numFmtId="0" fontId="76" fillId="5" borderId="0" xfId="0" applyFont="1" applyFill="1" applyAlignment="1">
      <alignment horizontal="right"/>
    </xf>
    <xf numFmtId="0" fontId="13" fillId="5" borderId="0" xfId="0" applyFont="1" applyFill="1" applyBorder="1" applyAlignment="1">
      <alignment horizontal="center" vertical="center"/>
    </xf>
    <xf numFmtId="0" fontId="57" fillId="5" borderId="0" xfId="0" applyFont="1" applyFill="1" applyBorder="1" applyAlignment="1">
      <alignment horizontal="center" vertical="top"/>
    </xf>
    <xf numFmtId="0" fontId="55" fillId="5" borderId="0" xfId="0" applyFont="1" applyFill="1"/>
    <xf numFmtId="0" fontId="76" fillId="5" borderId="0" xfId="0" applyFont="1" applyFill="1"/>
    <xf numFmtId="0" fontId="56" fillId="5" borderId="0" xfId="0" applyFont="1" applyFill="1" applyBorder="1" applyAlignment="1">
      <alignment horizontal="center"/>
    </xf>
    <xf numFmtId="0" fontId="58" fillId="5" borderId="0" xfId="0" applyFont="1" applyFill="1" applyBorder="1" applyAlignment="1">
      <alignment horizontal="center"/>
    </xf>
    <xf numFmtId="0" fontId="58" fillId="5" borderId="0" xfId="0" applyFont="1" applyFill="1" applyAlignment="1">
      <alignment horizontal="center"/>
    </xf>
    <xf numFmtId="0" fontId="84" fillId="5" borderId="0" xfId="0" applyFont="1" applyFill="1" applyBorder="1" applyAlignment="1">
      <alignment horizontal="center"/>
    </xf>
    <xf numFmtId="0" fontId="84" fillId="5" borderId="0" xfId="0" applyFont="1" applyFill="1" applyBorder="1" applyAlignment="1">
      <alignment horizontal="center" vertical="center" wrapText="1"/>
    </xf>
    <xf numFmtId="0" fontId="58" fillId="5" borderId="0" xfId="0" applyFont="1" applyFill="1" applyBorder="1" applyAlignment="1">
      <alignment horizontal="center" vertical="center" wrapText="1"/>
    </xf>
    <xf numFmtId="0" fontId="75" fillId="5" borderId="0" xfId="0" applyFont="1" applyFill="1" applyBorder="1" applyAlignment="1">
      <alignment horizontal="center"/>
    </xf>
    <xf numFmtId="0" fontId="84" fillId="5" borderId="0" xfId="0" applyFont="1" applyFill="1" applyBorder="1" applyAlignment="1">
      <alignment horizontal="left"/>
    </xf>
    <xf numFmtId="0" fontId="84" fillId="5" borderId="0" xfId="0" applyFont="1" applyFill="1" applyBorder="1" applyAlignment="1"/>
    <xf numFmtId="0" fontId="84" fillId="5" borderId="0" xfId="0" applyFont="1" applyFill="1" applyBorder="1" applyAlignment="1">
      <alignment horizontal="right"/>
    </xf>
    <xf numFmtId="0" fontId="56" fillId="5" borderId="0" xfId="0" applyFont="1" applyFill="1" applyAlignment="1">
      <alignment horizontal="center"/>
    </xf>
    <xf numFmtId="0" fontId="73" fillId="5" borderId="0" xfId="0" applyFont="1" applyFill="1" applyBorder="1"/>
    <xf numFmtId="0" fontId="73" fillId="5" borderId="0" xfId="0" applyFont="1" applyFill="1" applyBorder="1" applyAlignment="1">
      <alignment horizontal="center"/>
    </xf>
    <xf numFmtId="0" fontId="81" fillId="5" borderId="0" xfId="0" applyFont="1" applyFill="1"/>
    <xf numFmtId="0" fontId="75" fillId="5" borderId="0" xfId="0" applyFont="1" applyFill="1"/>
    <xf numFmtId="0" fontId="81" fillId="5" borderId="0" xfId="0" applyFont="1" applyFill="1" applyAlignment="1">
      <alignment horizontal="right"/>
    </xf>
    <xf numFmtId="49" fontId="81" fillId="5" borderId="0" xfId="0" applyNumberFormat="1" applyFont="1" applyFill="1" applyAlignment="1">
      <alignment horizontal="left"/>
    </xf>
    <xf numFmtId="49" fontId="81" fillId="5" borderId="0" xfId="0" applyNumberFormat="1" applyFont="1" applyFill="1"/>
    <xf numFmtId="49" fontId="81" fillId="5" borderId="0" xfId="0" applyNumberFormat="1" applyFont="1" applyFill="1" applyBorder="1" applyAlignment="1">
      <alignment horizontal="center"/>
    </xf>
    <xf numFmtId="0" fontId="81" fillId="5" borderId="0" xfId="0" applyFont="1" applyFill="1" applyBorder="1"/>
    <xf numFmtId="49" fontId="81" fillId="5" borderId="0" xfId="0" applyNumberFormat="1" applyFont="1" applyFill="1" applyAlignment="1">
      <alignment horizontal="center"/>
    </xf>
    <xf numFmtId="0" fontId="73" fillId="0" borderId="4" xfId="0" applyFont="1" applyBorder="1" applyAlignment="1">
      <alignment horizontal="center"/>
    </xf>
    <xf numFmtId="0" fontId="73" fillId="0" borderId="52" xfId="0" applyFont="1" applyBorder="1" applyAlignment="1">
      <alignment horizontal="center"/>
    </xf>
    <xf numFmtId="0" fontId="73" fillId="0" borderId="44" xfId="0" applyFont="1" applyBorder="1" applyAlignment="1">
      <alignment horizontal="center"/>
    </xf>
    <xf numFmtId="0" fontId="73" fillId="0" borderId="1" xfId="0" applyFont="1" applyBorder="1" applyAlignment="1">
      <alignment horizontal="center"/>
    </xf>
    <xf numFmtId="49" fontId="58" fillId="0" borderId="4" xfId="0" applyNumberFormat="1" applyFont="1" applyBorder="1" applyAlignment="1">
      <alignment vertical="top" wrapText="1"/>
    </xf>
    <xf numFmtId="0" fontId="73" fillId="0" borderId="23" xfId="0" applyFont="1" applyBorder="1" applyAlignment="1">
      <alignment horizontal="center" vertical="center" wrapText="1"/>
    </xf>
    <xf numFmtId="0" fontId="73" fillId="0" borderId="22" xfId="0" applyFont="1" applyBorder="1" applyAlignment="1">
      <alignment horizontal="center" vertical="center" wrapText="1"/>
    </xf>
    <xf numFmtId="0" fontId="73" fillId="0" borderId="3" xfId="0" applyFont="1" applyBorder="1" applyAlignment="1">
      <alignment horizontal="center" vertical="center" wrapText="1"/>
    </xf>
    <xf numFmtId="0" fontId="73" fillId="0" borderId="24" xfId="0" applyFont="1" applyBorder="1" applyAlignment="1">
      <alignment horizontal="center" vertical="center" wrapText="1"/>
    </xf>
    <xf numFmtId="49" fontId="73" fillId="0" borderId="2" xfId="0" applyNumberFormat="1" applyFont="1" applyBorder="1" applyAlignment="1">
      <alignment horizontal="center" vertical="center" wrapText="1"/>
    </xf>
    <xf numFmtId="49" fontId="73" fillId="0" borderId="18" xfId="0" applyNumberFormat="1" applyFont="1" applyBorder="1" applyAlignment="1">
      <alignment horizontal="center" vertical="center" wrapText="1"/>
    </xf>
    <xf numFmtId="0" fontId="73" fillId="0" borderId="22" xfId="0" applyFont="1" applyBorder="1" applyAlignment="1">
      <alignment horizontal="center" vertical="top" wrapText="1"/>
    </xf>
    <xf numFmtId="0" fontId="73" fillId="0" borderId="0" xfId="0" applyFont="1" applyAlignment="1">
      <alignment horizontal="right" indent="1"/>
    </xf>
    <xf numFmtId="49" fontId="58" fillId="0" borderId="1" xfId="0" applyNumberFormat="1" applyFont="1" applyBorder="1" applyAlignment="1">
      <alignment horizontal="center" vertical="top"/>
    </xf>
    <xf numFmtId="49" fontId="58" fillId="0" borderId="4" xfId="0" applyNumberFormat="1" applyFont="1" applyBorder="1" applyAlignment="1">
      <alignment horizontal="center" vertical="top"/>
    </xf>
    <xf numFmtId="0" fontId="58" fillId="0" borderId="4" xfId="0" applyFont="1" applyBorder="1" applyAlignment="1">
      <alignment horizontal="center" vertical="top"/>
    </xf>
    <xf numFmtId="166" fontId="58" fillId="0" borderId="4" xfId="0" applyNumberFormat="1" applyFont="1" applyBorder="1" applyAlignment="1">
      <alignment horizontal="center" vertical="top"/>
    </xf>
    <xf numFmtId="166" fontId="58" fillId="0" borderId="4" xfId="0" applyNumberFormat="1" applyFont="1" applyBorder="1" applyAlignment="1">
      <alignment horizontal="right" vertical="top" wrapText="1"/>
    </xf>
    <xf numFmtId="49" fontId="58" fillId="0" borderId="4" xfId="0" applyNumberFormat="1" applyFont="1" applyBorder="1" applyAlignment="1">
      <alignment horizontal="right" vertical="top" wrapText="1"/>
    </xf>
    <xf numFmtId="0" fontId="58" fillId="0" borderId="4" xfId="0" applyFont="1" applyBorder="1" applyAlignment="1">
      <alignment horizontal="left" vertical="top" wrapText="1"/>
    </xf>
    <xf numFmtId="49" fontId="58" fillId="0" borderId="1" xfId="0" applyNumberFormat="1" applyFont="1" applyBorder="1" applyAlignment="1">
      <alignment horizontal="right" vertical="top" wrapText="1"/>
    </xf>
    <xf numFmtId="4" fontId="58" fillId="0" borderId="4" xfId="0" applyNumberFormat="1" applyFont="1" applyBorder="1" applyAlignment="1">
      <alignment horizontal="right" vertical="top" wrapText="1"/>
    </xf>
    <xf numFmtId="4" fontId="58" fillId="0" borderId="52" xfId="0" applyNumberFormat="1" applyFont="1" applyBorder="1" applyAlignment="1">
      <alignment vertical="top" wrapText="1"/>
    </xf>
    <xf numFmtId="4" fontId="58" fillId="0" borderId="44" xfId="0" applyNumberFormat="1" applyFont="1" applyBorder="1" applyAlignment="1">
      <alignment vertical="top" wrapText="1"/>
    </xf>
    <xf numFmtId="4" fontId="58" fillId="0" borderId="1" xfId="0" applyNumberFormat="1" applyFont="1" applyBorder="1" applyAlignment="1">
      <alignment horizontal="right" vertical="top" wrapText="1"/>
    </xf>
    <xf numFmtId="49" fontId="58" fillId="0" borderId="4" xfId="0" applyNumberFormat="1" applyFont="1" applyBorder="1" applyAlignment="1">
      <alignment horizontal="right" vertical="top"/>
    </xf>
    <xf numFmtId="166" fontId="58" fillId="0" borderId="4" xfId="0" applyNumberFormat="1" applyFont="1" applyBorder="1" applyAlignment="1">
      <alignment horizontal="right" vertical="top"/>
    </xf>
    <xf numFmtId="4" fontId="58" fillId="0" borderId="4" xfId="0" applyNumberFormat="1" applyFont="1" applyBorder="1" applyAlignment="1">
      <alignment horizontal="right" vertical="top"/>
    </xf>
    <xf numFmtId="4" fontId="58" fillId="0" borderId="1" xfId="0" applyNumberFormat="1" applyFont="1" applyBorder="1" applyAlignment="1">
      <alignment horizontal="right" vertical="top"/>
    </xf>
    <xf numFmtId="0" fontId="58" fillId="0" borderId="1" xfId="0" applyFont="1" applyBorder="1" applyAlignment="1">
      <alignment horizontal="center" vertical="top"/>
    </xf>
    <xf numFmtId="166" fontId="58" fillId="0" borderId="1" xfId="0" applyNumberFormat="1" applyFont="1" applyBorder="1" applyAlignment="1">
      <alignment horizontal="right" vertical="top"/>
    </xf>
    <xf numFmtId="0" fontId="13" fillId="0" borderId="0" xfId="0" applyFont="1" applyAlignment="1">
      <alignment horizontal="right" vertical="top"/>
    </xf>
    <xf numFmtId="166" fontId="13" fillId="0" borderId="1" xfId="0" applyNumberFormat="1" applyFont="1" applyBorder="1" applyAlignment="1">
      <alignment horizontal="right" vertical="top"/>
    </xf>
    <xf numFmtId="4" fontId="13" fillId="0" borderId="1" xfId="0" applyNumberFormat="1" applyFont="1" applyBorder="1" applyAlignment="1">
      <alignment horizontal="right" vertical="top"/>
    </xf>
    <xf numFmtId="49" fontId="81" fillId="5" borderId="2" xfId="0" applyNumberFormat="1" applyFont="1" applyFill="1" applyBorder="1" applyAlignment="1"/>
    <xf numFmtId="49" fontId="81" fillId="5" borderId="52" xfId="0" applyNumberFormat="1" applyFont="1" applyFill="1" applyBorder="1" applyAlignment="1"/>
    <xf numFmtId="49" fontId="81" fillId="5" borderId="0" xfId="0" applyNumberFormat="1" applyFont="1" applyFill="1" applyBorder="1" applyAlignment="1"/>
    <xf numFmtId="0" fontId="73" fillId="0" borderId="0" xfId="0" applyFont="1" applyBorder="1" applyAlignment="1"/>
    <xf numFmtId="49" fontId="24" fillId="5" borderId="40" xfId="0" applyNumberFormat="1" applyFont="1" applyFill="1" applyBorder="1" applyAlignment="1"/>
    <xf numFmtId="49" fontId="24" fillId="5" borderId="2" xfId="0" applyNumberFormat="1" applyFont="1" applyFill="1" applyBorder="1" applyAlignment="1"/>
    <xf numFmtId="49" fontId="24" fillId="5" borderId="21" xfId="0" applyNumberFormat="1" applyFont="1" applyFill="1" applyBorder="1" applyAlignment="1"/>
    <xf numFmtId="49" fontId="24" fillId="5" borderId="39" xfId="0" applyNumberFormat="1" applyFont="1" applyFill="1" applyBorder="1" applyAlignment="1"/>
    <xf numFmtId="49" fontId="24" fillId="5" borderId="3" xfId="0" applyNumberFormat="1" applyFont="1" applyFill="1" applyBorder="1" applyAlignment="1"/>
    <xf numFmtId="49" fontId="24" fillId="5" borderId="36" xfId="0" applyNumberFormat="1" applyFont="1" applyFill="1" applyBorder="1" applyAlignment="1"/>
    <xf numFmtId="49" fontId="24" fillId="5" borderId="41" xfId="0" applyNumberFormat="1" applyFont="1" applyFill="1" applyBorder="1" applyAlignment="1"/>
    <xf numFmtId="49" fontId="24" fillId="5" borderId="42" xfId="0" applyNumberFormat="1" applyFont="1" applyFill="1" applyBorder="1" applyAlignment="1"/>
    <xf numFmtId="49" fontId="24" fillId="5" borderId="43" xfId="0" applyNumberFormat="1" applyFont="1" applyFill="1" applyBorder="1" applyAlignment="1"/>
    <xf numFmtId="0" fontId="73" fillId="0" borderId="2" xfId="0" applyFont="1" applyBorder="1" applyAlignment="1">
      <alignment horizontal="center" vertical="center" wrapText="1"/>
    </xf>
    <xf numFmtId="0" fontId="73" fillId="0" borderId="45" xfId="0" applyNumberFormat="1" applyFont="1" applyBorder="1" applyAlignment="1">
      <alignment horizontal="center" vertical="center" wrapText="1"/>
    </xf>
    <xf numFmtId="0" fontId="73" fillId="0" borderId="5" xfId="0" applyNumberFormat="1" applyFont="1" applyBorder="1" applyAlignment="1">
      <alignment horizontal="center" vertical="center" wrapText="1"/>
    </xf>
    <xf numFmtId="0" fontId="73" fillId="0" borderId="3" xfId="0" applyFont="1" applyBorder="1" applyAlignment="1">
      <alignment horizontal="center" vertical="center"/>
    </xf>
    <xf numFmtId="0" fontId="56" fillId="0" borderId="0" xfId="0" applyFont="1" applyAlignment="1">
      <alignment horizontal="left"/>
    </xf>
    <xf numFmtId="0" fontId="58" fillId="0" borderId="4" xfId="0" applyNumberFormat="1" applyFont="1" applyBorder="1" applyAlignment="1">
      <alignment horizontal="left" vertical="top" wrapText="1"/>
    </xf>
    <xf numFmtId="0" fontId="90" fillId="0" borderId="0" xfId="0" applyFont="1"/>
    <xf numFmtId="0" fontId="73" fillId="0" borderId="0" xfId="0" applyFont="1" applyBorder="1" applyAlignment="1">
      <alignment horizontal="left" indent="2"/>
    </xf>
    <xf numFmtId="0" fontId="90" fillId="0" borderId="2" xfId="0" applyFont="1" applyBorder="1" applyAlignment="1">
      <alignment horizontal="left"/>
    </xf>
    <xf numFmtId="0" fontId="92" fillId="0" borderId="3" xfId="0" applyFont="1" applyBorder="1" applyAlignment="1">
      <alignment horizontal="right"/>
    </xf>
    <xf numFmtId="0" fontId="92" fillId="0" borderId="3" xfId="0" applyFont="1" applyBorder="1" applyAlignment="1">
      <alignment horizontal="center"/>
    </xf>
    <xf numFmtId="0" fontId="73" fillId="0" borderId="0" xfId="0" applyFont="1" applyBorder="1" applyAlignment="1">
      <alignment horizontal="center" vertical="center"/>
    </xf>
    <xf numFmtId="0" fontId="56" fillId="0" borderId="0" xfId="0" applyFont="1" applyAlignment="1">
      <alignment horizontal="left" indent="3"/>
    </xf>
    <xf numFmtId="0" fontId="73" fillId="0" borderId="57" xfId="0" applyFont="1" applyBorder="1" applyAlignment="1">
      <alignment horizontal="left" vertical="center" indent="2"/>
    </xf>
    <xf numFmtId="0" fontId="73" fillId="0" borderId="36" xfId="0" applyFont="1" applyBorder="1" applyAlignment="1">
      <alignment horizontal="left" vertical="center" indent="3"/>
    </xf>
    <xf numFmtId="0" fontId="73" fillId="0" borderId="21" xfId="0" applyFont="1" applyBorder="1" applyAlignment="1">
      <alignment horizontal="left" vertical="center" indent="3"/>
    </xf>
    <xf numFmtId="0" fontId="90" fillId="0" borderId="0" xfId="0" applyFont="1" applyBorder="1" applyAlignment="1">
      <alignment vertical="center"/>
    </xf>
    <xf numFmtId="0" fontId="90" fillId="0" borderId="0" xfId="0" applyFont="1" applyBorder="1"/>
    <xf numFmtId="0" fontId="73" fillId="0" borderId="0" xfId="0" applyFont="1" applyBorder="1" applyAlignment="1">
      <alignment horizontal="left" indent="3"/>
    </xf>
    <xf numFmtId="0" fontId="90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49" fontId="56" fillId="0" borderId="0" xfId="0" applyNumberFormat="1" applyFont="1" applyBorder="1" applyAlignment="1">
      <alignment horizontal="center" vertical="center"/>
    </xf>
    <xf numFmtId="0" fontId="76" fillId="0" borderId="0" xfId="0" applyFont="1"/>
    <xf numFmtId="0" fontId="55" fillId="0" borderId="0" xfId="0" applyFont="1"/>
    <xf numFmtId="49" fontId="56" fillId="0" borderId="0" xfId="0" applyNumberFormat="1" applyFont="1" applyAlignment="1">
      <alignment horizontal="center"/>
    </xf>
    <xf numFmtId="0" fontId="90" fillId="0" borderId="1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/>
    </xf>
    <xf numFmtId="0" fontId="90" fillId="0" borderId="1" xfId="0" applyFont="1" applyBorder="1" applyAlignment="1">
      <alignment horizontal="center" vertical="top"/>
    </xf>
    <xf numFmtId="0" fontId="90" fillId="0" borderId="23" xfId="0" applyFont="1" applyBorder="1" applyAlignment="1">
      <alignment horizontal="center" vertical="top"/>
    </xf>
    <xf numFmtId="0" fontId="90" fillId="0" borderId="0" xfId="0" applyFont="1" applyAlignment="1">
      <alignment vertical="top"/>
    </xf>
    <xf numFmtId="0" fontId="73" fillId="0" borderId="0" xfId="0" applyFont="1" applyAlignment="1">
      <alignment horizontal="left" indent="1"/>
    </xf>
    <xf numFmtId="49" fontId="73" fillId="0" borderId="2" xfId="0" applyNumberFormat="1" applyFont="1" applyBorder="1" applyAlignment="1">
      <alignment horizontal="center"/>
    </xf>
    <xf numFmtId="0" fontId="93" fillId="0" borderId="0" xfId="0" applyFont="1" applyAlignment="1">
      <alignment horizontal="center"/>
    </xf>
    <xf numFmtId="0" fontId="94" fillId="0" borderId="0" xfId="0" applyFont="1"/>
    <xf numFmtId="49" fontId="73" fillId="0" borderId="0" xfId="0" applyNumberFormat="1" applyFont="1"/>
    <xf numFmtId="0" fontId="56" fillId="0" borderId="0" xfId="0" applyFont="1" applyBorder="1" applyAlignment="1">
      <alignment horizontal="center" vertical="top"/>
    </xf>
    <xf numFmtId="0" fontId="90" fillId="0" borderId="0" xfId="0" applyFont="1" applyAlignment="1">
      <alignment horizontal="left" indent="2"/>
    </xf>
    <xf numFmtId="0" fontId="13" fillId="0" borderId="0" xfId="0" applyFont="1" applyAlignment="1">
      <alignment horizontal="left" indent="2"/>
    </xf>
    <xf numFmtId="0" fontId="81" fillId="0" borderId="0" xfId="0" applyFont="1" applyAlignment="1"/>
    <xf numFmtId="0" fontId="90" fillId="0" borderId="2" xfId="0" applyFont="1" applyBorder="1"/>
    <xf numFmtId="0" fontId="56" fillId="0" borderId="0" xfId="0" applyFont="1" applyBorder="1" applyAlignment="1">
      <alignment vertical="top"/>
    </xf>
    <xf numFmtId="49" fontId="81" fillId="0" borderId="2" xfId="0" applyNumberFormat="1" applyFont="1" applyBorder="1" applyAlignment="1"/>
    <xf numFmtId="0" fontId="93" fillId="0" borderId="0" xfId="0" applyFont="1" applyBorder="1" applyAlignment="1"/>
    <xf numFmtId="49" fontId="81" fillId="0" borderId="0" xfId="0" applyNumberFormat="1" applyFont="1" applyBorder="1" applyAlignment="1"/>
    <xf numFmtId="0" fontId="73" fillId="0" borderId="0" xfId="0" applyFont="1" applyAlignment="1"/>
    <xf numFmtId="49" fontId="73" fillId="0" borderId="0" xfId="0" applyNumberFormat="1" applyFont="1" applyBorder="1" applyAlignment="1"/>
    <xf numFmtId="0" fontId="94" fillId="0" borderId="0" xfId="0" applyFont="1" applyBorder="1" applyAlignment="1"/>
    <xf numFmtId="0" fontId="93" fillId="0" borderId="0" xfId="0" applyFont="1" applyBorder="1" applyAlignment="1">
      <alignment horizontal="center"/>
    </xf>
    <xf numFmtId="4" fontId="13" fillId="0" borderId="0" xfId="0" applyNumberFormat="1" applyFont="1" applyBorder="1" applyAlignment="1">
      <alignment horizontal="right" vertical="top"/>
    </xf>
    <xf numFmtId="49" fontId="82" fillId="0" borderId="2" xfId="0" applyNumberFormat="1" applyFont="1" applyBorder="1" applyAlignment="1">
      <alignment horizontal="center"/>
    </xf>
    <xf numFmtId="0" fontId="58" fillId="0" borderId="0" xfId="0" applyFont="1" applyAlignment="1">
      <alignment vertical="top"/>
    </xf>
    <xf numFmtId="0" fontId="94" fillId="0" borderId="2" xfId="0" applyFont="1" applyBorder="1" applyAlignment="1"/>
    <xf numFmtId="49" fontId="75" fillId="0" borderId="1" xfId="0" applyNumberFormat="1" applyFont="1" applyBorder="1" applyAlignment="1">
      <alignment horizontal="center" vertical="top" wrapText="1"/>
    </xf>
    <xf numFmtId="0" fontId="90" fillId="0" borderId="0" xfId="0" applyFont="1" applyAlignment="1">
      <alignment horizontal="left" indent="3"/>
    </xf>
    <xf numFmtId="0" fontId="13" fillId="5" borderId="0" xfId="0" applyFont="1" applyFill="1" applyAlignment="1">
      <alignment horizontal="left"/>
    </xf>
    <xf numFmtId="0" fontId="71" fillId="5" borderId="0" xfId="11" applyFont="1" applyFill="1" applyBorder="1" applyAlignment="1"/>
    <xf numFmtId="0" fontId="13" fillId="5" borderId="0" xfId="0" applyFont="1" applyFill="1" applyAlignment="1">
      <alignment horizontal="left"/>
    </xf>
    <xf numFmtId="0" fontId="50" fillId="5" borderId="0" xfId="11" applyFont="1" applyFill="1" applyBorder="1" applyAlignment="1"/>
    <xf numFmtId="0" fontId="60" fillId="5" borderId="0" xfId="11" applyFont="1" applyFill="1" applyBorder="1" applyAlignment="1"/>
    <xf numFmtId="0" fontId="80" fillId="5" borderId="0" xfId="0" applyFont="1" applyFill="1" applyAlignment="1"/>
    <xf numFmtId="0" fontId="97" fillId="3" borderId="4" xfId="13" applyFont="1" applyFill="1" applyBorder="1" applyAlignment="1"/>
    <xf numFmtId="0" fontId="97" fillId="3" borderId="1" xfId="13" applyFont="1" applyFill="1" applyBorder="1" applyAlignment="1">
      <alignment horizontal="center" vertical="top"/>
    </xf>
    <xf numFmtId="166" fontId="98" fillId="3" borderId="1" xfId="13" applyNumberFormat="1" applyFont="1" applyFill="1" applyBorder="1" applyAlignment="1">
      <alignment horizontal="right" vertical="top"/>
    </xf>
    <xf numFmtId="4" fontId="98" fillId="5" borderId="1" xfId="8" applyNumberFormat="1" applyFont="1" applyFill="1" applyBorder="1" applyAlignment="1">
      <alignment horizontal="right" vertical="top"/>
    </xf>
    <xf numFmtId="0" fontId="71" fillId="5" borderId="2" xfId="11" applyFont="1" applyFill="1" applyAlignment="1"/>
    <xf numFmtId="0" fontId="40" fillId="5" borderId="2" xfId="0" applyFont="1" applyFill="1" applyBorder="1" applyAlignment="1">
      <alignment horizontal="left"/>
    </xf>
    <xf numFmtId="49" fontId="61" fillId="5" borderId="0" xfId="10" applyFill="1" applyBorder="1" applyAlignment="1">
      <alignment vertical="top"/>
    </xf>
    <xf numFmtId="0" fontId="74" fillId="5" borderId="2" xfId="11" applyFont="1" applyFill="1" applyAlignment="1"/>
    <xf numFmtId="0" fontId="93" fillId="0" borderId="3" xfId="0" applyFont="1" applyBorder="1" applyAlignment="1"/>
    <xf numFmtId="49" fontId="73" fillId="0" borderId="2" xfId="0" applyNumberFormat="1" applyFont="1" applyBorder="1" applyAlignment="1"/>
    <xf numFmtId="0" fontId="90" fillId="0" borderId="0" xfId="0" applyFont="1" applyAlignment="1">
      <alignment horizontal="center"/>
    </xf>
    <xf numFmtId="0" fontId="90" fillId="0" borderId="3" xfId="0" applyFont="1" applyBorder="1" applyAlignment="1"/>
    <xf numFmtId="0" fontId="90" fillId="0" borderId="0" xfId="0" applyFont="1" applyAlignment="1"/>
    <xf numFmtId="0" fontId="90" fillId="0" borderId="0" xfId="0" applyFont="1" applyBorder="1" applyAlignment="1">
      <alignment vertical="top"/>
    </xf>
    <xf numFmtId="49" fontId="57" fillId="0" borderId="1" xfId="0" applyNumberFormat="1" applyFont="1" applyBorder="1" applyAlignment="1">
      <alignment horizontal="left" vertical="top" wrapText="1"/>
    </xf>
    <xf numFmtId="49" fontId="39" fillId="0" borderId="2" xfId="0" applyNumberFormat="1" applyFont="1" applyBorder="1" applyAlignment="1">
      <alignment horizontal="left"/>
    </xf>
    <xf numFmtId="0" fontId="45" fillId="0" borderId="52" xfId="0" applyFont="1" applyBorder="1" applyAlignment="1">
      <alignment vertical="center"/>
    </xf>
    <xf numFmtId="0" fontId="45" fillId="0" borderId="0" xfId="0" applyFont="1" applyBorder="1" applyAlignment="1">
      <alignment vertical="center"/>
    </xf>
    <xf numFmtId="0" fontId="45" fillId="0" borderId="2" xfId="0" applyFont="1" applyBorder="1" applyAlignment="1">
      <alignment vertical="top" wrapText="1"/>
    </xf>
    <xf numFmtId="0" fontId="45" fillId="0" borderId="0" xfId="0" applyFont="1" applyBorder="1" applyAlignment="1">
      <alignment vertical="top" wrapText="1"/>
    </xf>
    <xf numFmtId="0" fontId="45" fillId="0" borderId="2" xfId="0" applyFont="1" applyBorder="1" applyAlignment="1">
      <alignment vertical="center" wrapText="1"/>
    </xf>
    <xf numFmtId="0" fontId="23" fillId="0" borderId="52" xfId="0" applyFont="1" applyBorder="1" applyAlignment="1">
      <alignment vertical="center"/>
    </xf>
    <xf numFmtId="0" fontId="45" fillId="0" borderId="0" xfId="0" applyFont="1" applyBorder="1" applyAlignment="1">
      <alignment vertical="center" wrapText="1"/>
    </xf>
    <xf numFmtId="0" fontId="23" fillId="0" borderId="0" xfId="0" applyFont="1" applyBorder="1" applyAlignment="1">
      <alignment vertical="center"/>
    </xf>
    <xf numFmtId="0" fontId="34" fillId="0" borderId="0" xfId="0" applyFont="1" applyBorder="1" applyAlignment="1">
      <alignment horizontal="center" vertical="center"/>
    </xf>
    <xf numFmtId="0" fontId="34" fillId="0" borderId="0" xfId="0" applyNumberFormat="1" applyFont="1" applyBorder="1" applyAlignment="1"/>
    <xf numFmtId="0" fontId="21" fillId="0" borderId="2" xfId="0" applyFont="1" applyBorder="1"/>
    <xf numFmtId="0" fontId="38" fillId="0" borderId="0" xfId="0" applyNumberFormat="1" applyFont="1" applyBorder="1" applyAlignment="1"/>
    <xf numFmtId="0" fontId="26" fillId="0" borderId="0" xfId="0" applyFont="1" applyBorder="1" applyAlignment="1">
      <alignment vertical="top"/>
    </xf>
    <xf numFmtId="0" fontId="22" fillId="0" borderId="2" xfId="0" applyFont="1" applyBorder="1"/>
    <xf numFmtId="0" fontId="23" fillId="0" borderId="2" xfId="0" applyFont="1" applyBorder="1"/>
    <xf numFmtId="0" fontId="26" fillId="0" borderId="2" xfId="0" applyFont="1" applyBorder="1" applyAlignment="1">
      <alignment horizontal="center"/>
    </xf>
    <xf numFmtId="0" fontId="73" fillId="5" borderId="2" xfId="0" applyFont="1" applyFill="1" applyBorder="1" applyAlignment="1">
      <alignment horizontal="center"/>
    </xf>
    <xf numFmtId="0" fontId="73" fillId="5" borderId="3" xfId="0" applyFont="1" applyFill="1" applyBorder="1" applyAlignment="1">
      <alignment horizontal="right"/>
    </xf>
    <xf numFmtId="0" fontId="75" fillId="5" borderId="0" xfId="0" applyFont="1" applyFill="1" applyBorder="1" applyAlignment="1">
      <alignment horizontal="center"/>
    </xf>
    <xf numFmtId="0" fontId="0" fillId="0" borderId="0" xfId="0" applyFont="1"/>
    <xf numFmtId="49" fontId="96" fillId="0" borderId="0" xfId="0" applyNumberFormat="1" applyFont="1" applyAlignment="1">
      <alignment horizontal="left" vertical="top"/>
    </xf>
    <xf numFmtId="0" fontId="21" fillId="0" borderId="3" xfId="0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24" fillId="5" borderId="0" xfId="0" applyNumberFormat="1" applyFont="1" applyFill="1" applyBorder="1" applyAlignment="1">
      <alignment horizontal="center"/>
    </xf>
    <xf numFmtId="49" fontId="13" fillId="0" borderId="2" xfId="0" applyNumberFormat="1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0" xfId="0" applyFont="1"/>
    <xf numFmtId="0" fontId="58" fillId="0" borderId="0" xfId="0" applyFont="1" applyAlignment="1">
      <alignment horizontal="left"/>
    </xf>
    <xf numFmtId="0" fontId="13" fillId="0" borderId="0" xfId="0" applyFont="1" applyBorder="1" applyAlignment="1">
      <alignment horizontal="right"/>
    </xf>
    <xf numFmtId="0" fontId="13" fillId="0" borderId="3" xfId="0" applyFont="1" applyBorder="1"/>
    <xf numFmtId="0" fontId="75" fillId="0" borderId="3" xfId="0" applyFont="1" applyBorder="1" applyAlignment="1">
      <alignment horizontal="left" vertical="center"/>
    </xf>
    <xf numFmtId="0" fontId="57" fillId="0" borderId="0" xfId="0" applyFont="1" applyBorder="1"/>
    <xf numFmtId="0" fontId="0" fillId="0" borderId="0" xfId="0" applyBorder="1" applyAlignment="1">
      <alignment vertical="top"/>
    </xf>
    <xf numFmtId="0" fontId="13" fillId="0" borderId="0" xfId="0" applyFont="1" applyBorder="1" applyAlignment="1">
      <alignment vertical="top"/>
    </xf>
    <xf numFmtId="0" fontId="75" fillId="0" borderId="0" xfId="0" applyFont="1" applyBorder="1" applyAlignment="1">
      <alignment vertical="top"/>
    </xf>
    <xf numFmtId="0" fontId="57" fillId="0" borderId="0" xfId="0" applyFont="1" applyBorder="1" applyAlignment="1">
      <alignment horizontal="center" vertical="top"/>
    </xf>
    <xf numFmtId="0" fontId="57" fillId="0" borderId="0" xfId="0" applyFont="1" applyBorder="1" applyAlignment="1">
      <alignment vertical="top"/>
    </xf>
    <xf numFmtId="0" fontId="58" fillId="0" borderId="0" xfId="0" applyFont="1" applyBorder="1" applyAlignment="1">
      <alignment horizontal="center" vertical="center"/>
    </xf>
    <xf numFmtId="0" fontId="80" fillId="0" borderId="0" xfId="0" applyFont="1"/>
    <xf numFmtId="0" fontId="58" fillId="0" borderId="0" xfId="0" applyFont="1" applyBorder="1"/>
    <xf numFmtId="0" fontId="58" fillId="0" borderId="0" xfId="0" applyFont="1" applyBorder="1" applyAlignment="1">
      <alignment horizontal="left" vertical="center"/>
    </xf>
    <xf numFmtId="49" fontId="13" fillId="0" borderId="0" xfId="0" applyNumberFormat="1" applyFont="1" applyBorder="1" applyAlignment="1">
      <alignment horizontal="center"/>
    </xf>
    <xf numFmtId="0" fontId="75" fillId="0" borderId="0" xfId="0" applyFont="1" applyBorder="1"/>
    <xf numFmtId="0" fontId="13" fillId="0" borderId="0" xfId="0" applyFont="1" applyBorder="1" applyAlignment="1">
      <alignment horizontal="center"/>
    </xf>
    <xf numFmtId="49" fontId="13" fillId="0" borderId="2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3" fillId="0" borderId="0" xfId="0" applyFont="1"/>
    <xf numFmtId="0" fontId="13" fillId="0" borderId="0" xfId="0" applyFont="1"/>
    <xf numFmtId="0" fontId="75" fillId="0" borderId="0" xfId="0" applyFont="1" applyBorder="1" applyAlignment="1"/>
    <xf numFmtId="0" fontId="13" fillId="0" borderId="0" xfId="0" applyFont="1"/>
    <xf numFmtId="0" fontId="13" fillId="0" borderId="0" xfId="0" applyFont="1" applyAlignment="1"/>
    <xf numFmtId="166" fontId="34" fillId="0" borderId="1" xfId="0" applyNumberFormat="1" applyFont="1" applyBorder="1" applyAlignment="1">
      <alignment horizontal="right" vertical="center"/>
    </xf>
    <xf numFmtId="4" fontId="34" fillId="0" borderId="1" xfId="0" applyNumberFormat="1" applyFont="1" applyBorder="1" applyAlignment="1">
      <alignment horizontal="right" vertical="center"/>
    </xf>
    <xf numFmtId="49" fontId="34" fillId="0" borderId="1" xfId="0" applyNumberFormat="1" applyFont="1" applyBorder="1" applyAlignment="1">
      <alignment horizontal="right" vertical="center"/>
    </xf>
    <xf numFmtId="0" fontId="34" fillId="0" borderId="4" xfId="0" applyFont="1" applyBorder="1" applyAlignment="1">
      <alignment horizontal="right" vertical="center"/>
    </xf>
    <xf numFmtId="0" fontId="34" fillId="0" borderId="44" xfId="0" applyFont="1" applyBorder="1" applyAlignment="1">
      <alignment horizontal="right" vertical="center"/>
    </xf>
    <xf numFmtId="4" fontId="34" fillId="0" borderId="4" xfId="0" applyNumberFormat="1" applyFont="1" applyBorder="1" applyAlignment="1">
      <alignment horizontal="right" vertical="center"/>
    </xf>
    <xf numFmtId="4" fontId="34" fillId="0" borderId="44" xfId="0" applyNumberFormat="1" applyFont="1" applyBorder="1" applyAlignment="1">
      <alignment horizontal="right" vertical="center"/>
    </xf>
    <xf numFmtId="2" fontId="33" fillId="0" borderId="1" xfId="0" applyNumberFormat="1" applyFont="1" applyBorder="1" applyAlignment="1">
      <alignment horizontal="right"/>
    </xf>
    <xf numFmtId="2" fontId="36" fillId="0" borderId="1" xfId="0" applyNumberFormat="1" applyFont="1" applyBorder="1" applyAlignment="1">
      <alignment horizontal="right"/>
    </xf>
    <xf numFmtId="2" fontId="36" fillId="0" borderId="45" xfId="0" applyNumberFormat="1" applyFont="1" applyBorder="1" applyAlignment="1">
      <alignment horizontal="right"/>
    </xf>
    <xf numFmtId="4" fontId="34" fillId="0" borderId="52" xfId="0" applyNumberFormat="1" applyFont="1" applyBorder="1" applyAlignment="1">
      <alignment horizontal="right" vertical="center"/>
    </xf>
    <xf numFmtId="4" fontId="33" fillId="0" borderId="4" xfId="0" applyNumberFormat="1" applyFont="1" applyBorder="1" applyAlignment="1">
      <alignment horizontal="right"/>
    </xf>
    <xf numFmtId="4" fontId="33" fillId="0" borderId="45" xfId="0" applyNumberFormat="1" applyFont="1" applyBorder="1" applyAlignment="1">
      <alignment horizontal="right"/>
    </xf>
    <xf numFmtId="4" fontId="36" fillId="0" borderId="4" xfId="0" applyNumberFormat="1" applyFont="1" applyBorder="1" applyAlignment="1">
      <alignment horizontal="right"/>
    </xf>
    <xf numFmtId="4" fontId="37" fillId="0" borderId="44" xfId="0" applyNumberFormat="1" applyFont="1" applyBorder="1" applyAlignment="1">
      <alignment horizontal="right"/>
    </xf>
    <xf numFmtId="4" fontId="36" fillId="0" borderId="45" xfId="0" applyNumberFormat="1" applyFont="1" applyBorder="1" applyAlignment="1">
      <alignment horizontal="right"/>
    </xf>
    <xf numFmtId="4" fontId="33" fillId="0" borderId="45" xfId="0" applyNumberFormat="1" applyFont="1" applyBorder="1" applyAlignment="1">
      <alignment horizontal="center"/>
    </xf>
    <xf numFmtId="4" fontId="36" fillId="0" borderId="45" xfId="0" applyNumberFormat="1" applyFont="1" applyBorder="1" applyAlignment="1">
      <alignment horizontal="center"/>
    </xf>
    <xf numFmtId="166" fontId="33" fillId="0" borderId="45" xfId="0" applyNumberFormat="1" applyFont="1" applyBorder="1" applyAlignment="1">
      <alignment horizontal="right"/>
    </xf>
    <xf numFmtId="4" fontId="31" fillId="0" borderId="1" xfId="0" applyNumberFormat="1" applyFont="1" applyBorder="1" applyAlignment="1">
      <alignment horizontal="center"/>
    </xf>
    <xf numFmtId="4" fontId="31" fillId="0" borderId="4" xfId="0" applyNumberFormat="1" applyFont="1" applyBorder="1" applyAlignment="1"/>
    <xf numFmtId="4" fontId="31" fillId="0" borderId="44" xfId="0" applyNumberFormat="1" applyFont="1" applyBorder="1" applyAlignment="1"/>
    <xf numFmtId="4" fontId="15" fillId="0" borderId="1" xfId="0" applyNumberFormat="1" applyFont="1" applyBorder="1" applyAlignment="1">
      <alignment horizontal="center"/>
    </xf>
    <xf numFmtId="4" fontId="15" fillId="0" borderId="4" xfId="0" applyNumberFormat="1" applyFont="1" applyBorder="1" applyAlignment="1"/>
    <xf numFmtId="4" fontId="15" fillId="0" borderId="44" xfId="0" applyNumberFormat="1" applyFont="1" applyBorder="1" applyAlignment="1"/>
    <xf numFmtId="4" fontId="15" fillId="0" borderId="52" xfId="0" applyNumberFormat="1" applyFont="1" applyBorder="1" applyAlignment="1"/>
    <xf numFmtId="4" fontId="31" fillId="0" borderId="45" xfId="0" applyNumberFormat="1" applyFont="1" applyBorder="1" applyAlignment="1">
      <alignment horizontal="right"/>
    </xf>
    <xf numFmtId="4" fontId="15" fillId="0" borderId="45" xfId="0" applyNumberFormat="1" applyFont="1" applyBorder="1" applyAlignment="1">
      <alignment horizontal="right"/>
    </xf>
    <xf numFmtId="4" fontId="15" fillId="0" borderId="18" xfId="0" applyNumberFormat="1" applyFont="1" applyBorder="1" applyAlignment="1">
      <alignment horizontal="right"/>
    </xf>
    <xf numFmtId="4" fontId="31" fillId="0" borderId="1" xfId="0" applyNumberFormat="1" applyFont="1" applyBorder="1" applyAlignment="1">
      <alignment horizontal="right"/>
    </xf>
    <xf numFmtId="4" fontId="31" fillId="0" borderId="44" xfId="0" applyNumberFormat="1" applyFont="1" applyBorder="1" applyAlignment="1">
      <alignment horizontal="right"/>
    </xf>
    <xf numFmtId="4" fontId="33" fillId="0" borderId="18" xfId="0" applyNumberFormat="1" applyFont="1" applyBorder="1" applyAlignment="1">
      <alignment horizontal="right"/>
    </xf>
    <xf numFmtId="4" fontId="33" fillId="0" borderId="45" xfId="0" applyNumberFormat="1" applyFont="1" applyBorder="1" applyAlignment="1">
      <alignment horizontal="right"/>
    </xf>
    <xf numFmtId="166" fontId="31" fillId="0" borderId="45" xfId="0" applyNumberFormat="1" applyFont="1" applyBorder="1" applyAlignment="1">
      <alignment horizontal="right"/>
    </xf>
    <xf numFmtId="166" fontId="15" fillId="0" borderId="45" xfId="0" applyNumberFormat="1" applyFont="1" applyBorder="1" applyAlignment="1">
      <alignment horizontal="right"/>
    </xf>
    <xf numFmtId="166" fontId="31" fillId="0" borderId="1" xfId="0" applyNumberFormat="1" applyFont="1" applyBorder="1" applyAlignment="1">
      <alignment horizontal="right"/>
    </xf>
    <xf numFmtId="4" fontId="33" fillId="0" borderId="5" xfId="0" applyNumberFormat="1" applyFont="1" applyBorder="1" applyAlignment="1">
      <alignment horizontal="right"/>
    </xf>
    <xf numFmtId="4" fontId="33" fillId="0" borderId="2" xfId="0" applyNumberFormat="1" applyFont="1" applyBorder="1" applyAlignment="1">
      <alignment horizontal="right"/>
    </xf>
    <xf numFmtId="4" fontId="33" fillId="0" borderId="52" xfId="0" applyNumberFormat="1" applyFont="1" applyBorder="1" applyAlignment="1">
      <alignment horizontal="right"/>
    </xf>
    <xf numFmtId="49" fontId="61" fillId="5" borderId="0" xfId="10" applyFill="1">
      <alignment horizontal="center" vertical="top"/>
    </xf>
    <xf numFmtId="0" fontId="64" fillId="3" borderId="1" xfId="6" applyFill="1">
      <alignment horizontal="center" vertical="center" wrapText="1"/>
    </xf>
    <xf numFmtId="0" fontId="97" fillId="3" borderId="1" xfId="13" applyFont="1" applyFill="1" applyBorder="1" applyAlignment="1">
      <alignment horizontal="center" vertical="top"/>
    </xf>
    <xf numFmtId="0" fontId="63" fillId="3" borderId="0" xfId="5" applyFill="1">
      <alignment horizontal="center" vertical="top" wrapText="1"/>
    </xf>
    <xf numFmtId="0" fontId="62" fillId="5" borderId="0" xfId="8" applyFill="1">
      <alignment horizontal="left"/>
    </xf>
    <xf numFmtId="0" fontId="62" fillId="3" borderId="0" xfId="8" applyFill="1" applyAlignment="1">
      <alignment horizontal="center"/>
    </xf>
    <xf numFmtId="0" fontId="62" fillId="5" borderId="2" xfId="11" applyFill="1">
      <alignment horizontal="center"/>
    </xf>
    <xf numFmtId="0" fontId="13" fillId="5" borderId="0" xfId="0" applyFont="1" applyFill="1" applyAlignment="1">
      <alignment horizontal="left"/>
    </xf>
    <xf numFmtId="166" fontId="50" fillId="3" borderId="52" xfId="13" applyNumberFormat="1" applyFont="1" applyFill="1" applyBorder="1" applyAlignment="1">
      <alignment horizontal="right" vertical="top"/>
    </xf>
    <xf numFmtId="0" fontId="66" fillId="5" borderId="0" xfId="11" applyFont="1" applyFill="1" applyBorder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left"/>
    </xf>
    <xf numFmtId="0" fontId="41" fillId="0" borderId="0" xfId="0" applyFont="1" applyAlignment="1">
      <alignment horizontal="left"/>
    </xf>
    <xf numFmtId="0" fontId="100" fillId="0" borderId="0" xfId="0" applyFont="1" applyAlignment="1"/>
    <xf numFmtId="0" fontId="100" fillId="0" borderId="0" xfId="0" applyFont="1" applyAlignment="1">
      <alignment horizontal="right"/>
    </xf>
    <xf numFmtId="0" fontId="100" fillId="0" borderId="0" xfId="0" applyFont="1" applyAlignment="1">
      <alignment horizontal="center"/>
    </xf>
    <xf numFmtId="0" fontId="102" fillId="0" borderId="0" xfId="0" applyFont="1" applyAlignment="1">
      <alignment horizontal="right"/>
    </xf>
    <xf numFmtId="0" fontId="102" fillId="0" borderId="0" xfId="0" applyFont="1" applyBorder="1"/>
    <xf numFmtId="49" fontId="103" fillId="0" borderId="0" xfId="0" applyNumberFormat="1" applyFont="1" applyBorder="1" applyAlignment="1"/>
    <xf numFmtId="0" fontId="41" fillId="0" borderId="0" xfId="0" applyFont="1" applyBorder="1"/>
    <xf numFmtId="49" fontId="103" fillId="0" borderId="2" xfId="0" applyNumberFormat="1" applyFont="1" applyBorder="1" applyAlignment="1"/>
    <xf numFmtId="49" fontId="41" fillId="0" borderId="2" xfId="0" applyNumberFormat="1" applyFont="1" applyBorder="1"/>
    <xf numFmtId="49" fontId="102" fillId="0" borderId="2" xfId="0" applyNumberFormat="1" applyFont="1" applyBorder="1" applyAlignment="1">
      <alignment horizontal="right"/>
    </xf>
    <xf numFmtId="49" fontId="41" fillId="0" borderId="21" xfId="0" applyNumberFormat="1" applyFont="1" applyBorder="1"/>
    <xf numFmtId="49" fontId="103" fillId="0" borderId="21" xfId="0" applyNumberFormat="1" applyFont="1" applyBorder="1" applyAlignment="1"/>
    <xf numFmtId="0" fontId="104" fillId="0" borderId="0" xfId="0" applyFont="1"/>
    <xf numFmtId="0" fontId="41" fillId="0" borderId="52" xfId="0" applyFont="1" applyBorder="1"/>
    <xf numFmtId="0" fontId="31" fillId="0" borderId="0" xfId="0" applyFont="1" applyBorder="1" applyAlignment="1">
      <alignment horizontal="center" vertical="top"/>
    </xf>
    <xf numFmtId="0" fontId="102" fillId="0" borderId="0" xfId="0" applyFont="1" applyBorder="1" applyAlignment="1">
      <alignment horizontal="right"/>
    </xf>
    <xf numFmtId="0" fontId="31" fillId="0" borderId="0" xfId="0" applyFont="1" applyAlignment="1">
      <alignment horizontal="center" vertical="top"/>
    </xf>
    <xf numFmtId="0" fontId="41" fillId="0" borderId="0" xfId="0" applyFont="1" applyAlignment="1">
      <alignment horizontal="center" vertical="top"/>
    </xf>
    <xf numFmtId="0" fontId="17" fillId="0" borderId="0" xfId="0" applyFont="1"/>
    <xf numFmtId="0" fontId="41" fillId="0" borderId="0" xfId="0" applyFont="1" applyAlignment="1">
      <alignment horizontal="right" vertical="top"/>
    </xf>
    <xf numFmtId="49" fontId="45" fillId="0" borderId="23" xfId="0" applyNumberFormat="1" applyFont="1" applyBorder="1" applyAlignment="1">
      <alignment horizontal="center"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07" fillId="0" borderId="0" xfId="0" applyFont="1"/>
    <xf numFmtId="0" fontId="107" fillId="0" borderId="0" xfId="0" applyFont="1" applyAlignment="1">
      <alignment horizontal="left"/>
    </xf>
    <xf numFmtId="0" fontId="31" fillId="0" borderId="0" xfId="0" applyFont="1" applyBorder="1" applyAlignment="1">
      <alignment vertical="center"/>
    </xf>
    <xf numFmtId="49" fontId="108" fillId="0" borderId="2" xfId="0" applyNumberFormat="1" applyFont="1" applyBorder="1" applyAlignment="1"/>
    <xf numFmtId="49" fontId="107" fillId="0" borderId="2" xfId="0" applyNumberFormat="1" applyFont="1" applyBorder="1" applyAlignment="1"/>
    <xf numFmtId="49" fontId="18" fillId="0" borderId="2" xfId="0" applyNumberFormat="1" applyFont="1" applyBorder="1" applyAlignment="1">
      <alignment horizontal="left"/>
    </xf>
    <xf numFmtId="49" fontId="18" fillId="0" borderId="2" xfId="0" applyNumberFormat="1" applyFont="1" applyBorder="1" applyAlignment="1"/>
    <xf numFmtId="49" fontId="41" fillId="0" borderId="2" xfId="0" applyNumberFormat="1" applyFont="1" applyBorder="1" applyAlignment="1"/>
    <xf numFmtId="0" fontId="31" fillId="0" borderId="0" xfId="0" applyFont="1" applyAlignment="1">
      <alignment horizontal="center" vertical="center"/>
    </xf>
    <xf numFmtId="49" fontId="16" fillId="0" borderId="0" xfId="0" applyNumberFormat="1" applyFont="1" applyAlignment="1">
      <alignment vertical="top"/>
    </xf>
    <xf numFmtId="0" fontId="41" fillId="0" borderId="0" xfId="0" applyFont="1" applyAlignment="1">
      <alignment vertical="top"/>
    </xf>
    <xf numFmtId="0" fontId="41" fillId="0" borderId="0" xfId="0" applyFont="1" applyAlignment="1">
      <alignment horizontal="right"/>
    </xf>
    <xf numFmtId="0" fontId="41" fillId="0" borderId="0" xfId="0" applyFont="1"/>
    <xf numFmtId="49" fontId="103" fillId="0" borderId="2" xfId="0" applyNumberFormat="1" applyFont="1" applyBorder="1" applyAlignment="1">
      <alignment vertical="center"/>
    </xf>
    <xf numFmtId="0" fontId="103" fillId="0" borderId="2" xfId="0" applyFont="1" applyBorder="1" applyAlignment="1">
      <alignment vertical="center"/>
    </xf>
    <xf numFmtId="0" fontId="45" fillId="0" borderId="1" xfId="0" applyFont="1" applyBorder="1" applyAlignment="1">
      <alignment horizontal="center" vertical="center" wrapText="1"/>
    </xf>
    <xf numFmtId="0" fontId="45" fillId="0" borderId="4" xfId="0" applyFont="1" applyBorder="1" applyAlignment="1">
      <alignment horizontal="center" vertical="center" wrapText="1"/>
    </xf>
    <xf numFmtId="0" fontId="41" fillId="0" borderId="0" xfId="0" applyFont="1"/>
    <xf numFmtId="49" fontId="108" fillId="0" borderId="0" xfId="0" applyNumberFormat="1" applyFont="1" applyBorder="1" applyAlignment="1"/>
    <xf numFmtId="0" fontId="41" fillId="0" borderId="2" xfId="0" applyFont="1" applyBorder="1"/>
    <xf numFmtId="0" fontId="107" fillId="0" borderId="2" xfId="0" applyFont="1" applyBorder="1" applyAlignment="1">
      <alignment horizontal="left"/>
    </xf>
    <xf numFmtId="49" fontId="107" fillId="0" borderId="2" xfId="0" applyNumberFormat="1" applyFont="1" applyBorder="1" applyAlignment="1">
      <alignment horizontal="center"/>
    </xf>
    <xf numFmtId="49" fontId="41" fillId="0" borderId="0" xfId="0" applyNumberFormat="1" applyFont="1" applyAlignment="1">
      <alignment horizontal="center"/>
    </xf>
    <xf numFmtId="0" fontId="41" fillId="0" borderId="0" xfId="0" applyFont="1"/>
    <xf numFmtId="0" fontId="109" fillId="0" borderId="2" xfId="0" applyFont="1" applyBorder="1" applyAlignment="1">
      <alignment horizontal="left"/>
    </xf>
    <xf numFmtId="49" fontId="107" fillId="0" borderId="2" xfId="0" applyNumberFormat="1" applyFont="1" applyBorder="1" applyAlignment="1">
      <alignment horizontal="center"/>
    </xf>
    <xf numFmtId="0" fontId="18" fillId="0" borderId="2" xfId="0" applyFont="1" applyBorder="1" applyAlignment="1">
      <alignment horizontal="left"/>
    </xf>
    <xf numFmtId="0" fontId="103" fillId="0" borderId="2" xfId="0" applyFont="1" applyBorder="1"/>
    <xf numFmtId="49" fontId="17" fillId="0" borderId="0" xfId="0" applyNumberFormat="1" applyFont="1" applyBorder="1" applyAlignment="1"/>
    <xf numFmtId="49" fontId="17" fillId="0" borderId="2" xfId="0" applyNumberFormat="1" applyFont="1" applyBorder="1" applyAlignment="1"/>
    <xf numFmtId="0" fontId="0" fillId="0" borderId="0" xfId="0" applyAlignment="1">
      <alignment horizontal="center"/>
    </xf>
    <xf numFmtId="166" fontId="15" fillId="0" borderId="44" xfId="0" applyNumberFormat="1" applyFont="1" applyBorder="1" applyAlignment="1">
      <alignment horizontal="right" vertical="top" wrapText="1"/>
    </xf>
    <xf numFmtId="166" fontId="15" fillId="0" borderId="1" xfId="0" applyNumberFormat="1" applyFont="1" applyBorder="1" applyAlignment="1">
      <alignment horizontal="right" vertical="top" wrapText="1"/>
    </xf>
    <xf numFmtId="166" fontId="15" fillId="0" borderId="34" xfId="0" applyNumberFormat="1" applyFont="1" applyBorder="1" applyAlignment="1">
      <alignment horizontal="right" vertical="top" wrapText="1"/>
    </xf>
    <xf numFmtId="49" fontId="0" fillId="0" borderId="2" xfId="0" applyNumberFormat="1" applyBorder="1"/>
    <xf numFmtId="0" fontId="0" fillId="0" borderId="0" xfId="0" applyFont="1" applyAlignment="1">
      <alignment horizontal="left"/>
    </xf>
    <xf numFmtId="0" fontId="0" fillId="0" borderId="0" xfId="0" applyBorder="1" applyAlignment="1">
      <alignment horizontal="center"/>
    </xf>
    <xf numFmtId="0" fontId="110" fillId="0" borderId="0" xfId="0" applyFont="1"/>
    <xf numFmtId="49" fontId="15" fillId="0" borderId="1" xfId="0" applyNumberFormat="1" applyFont="1" applyBorder="1" applyAlignment="1">
      <alignment horizontal="center" vertical="top" wrapText="1"/>
    </xf>
    <xf numFmtId="49" fontId="15" fillId="0" borderId="34" xfId="0" applyNumberFormat="1" applyFont="1" applyBorder="1" applyAlignment="1">
      <alignment horizontal="center" vertical="top" wrapText="1"/>
    </xf>
    <xf numFmtId="49" fontId="2" fillId="0" borderId="2" xfId="0" applyNumberFormat="1" applyFont="1" applyBorder="1" applyAlignment="1">
      <alignment horizontal="left"/>
    </xf>
    <xf numFmtId="49" fontId="2" fillId="0" borderId="2" xfId="0" applyNumberFormat="1" applyFont="1" applyBorder="1"/>
    <xf numFmtId="0" fontId="57" fillId="0" borderId="1" xfId="0" applyFont="1" applyBorder="1" applyAlignment="1">
      <alignment horizontal="left" vertical="top" wrapText="1"/>
    </xf>
    <xf numFmtId="0" fontId="0" fillId="0" borderId="0" xfId="0" applyBorder="1" applyAlignment="1"/>
    <xf numFmtId="49" fontId="17" fillId="0" borderId="1" xfId="0" applyNumberFormat="1" applyFont="1" applyBorder="1" applyAlignment="1">
      <alignment horizontal="left" vertical="top" wrapText="1"/>
    </xf>
    <xf numFmtId="49" fontId="17" fillId="0" borderId="1" xfId="0" applyNumberFormat="1" applyFont="1" applyBorder="1" applyAlignment="1">
      <alignment horizontal="left" vertical="top"/>
    </xf>
    <xf numFmtId="0" fontId="17" fillId="0" borderId="1" xfId="0" applyFont="1" applyBorder="1" applyAlignment="1">
      <alignment horizontal="center" vertical="top"/>
    </xf>
    <xf numFmtId="4" fontId="17" fillId="0" borderId="1" xfId="0" applyNumberFormat="1" applyFont="1" applyBorder="1" applyAlignment="1">
      <alignment horizontal="right" vertical="top"/>
    </xf>
    <xf numFmtId="0" fontId="17" fillId="0" borderId="1" xfId="0" applyFont="1" applyBorder="1" applyAlignment="1">
      <alignment vertical="top" wrapText="1"/>
    </xf>
    <xf numFmtId="0" fontId="17" fillId="0" borderId="1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right"/>
    </xf>
    <xf numFmtId="49" fontId="81" fillId="0" borderId="2" xfId="0" applyNumberFormat="1" applyFont="1" applyBorder="1" applyAlignment="1">
      <alignment horizontal="center"/>
    </xf>
    <xf numFmtId="49" fontId="66" fillId="0" borderId="2" xfId="0" applyNumberFormat="1" applyFont="1" applyBorder="1" applyAlignment="1">
      <alignment horizontal="center"/>
    </xf>
    <xf numFmtId="49" fontId="81" fillId="0" borderId="2" xfId="0" applyNumberFormat="1" applyFont="1" applyBorder="1" applyAlignment="1">
      <alignment horizontal="center"/>
    </xf>
    <xf numFmtId="49" fontId="81" fillId="0" borderId="2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 vertical="top"/>
    </xf>
    <xf numFmtId="49" fontId="59" fillId="0" borderId="2" xfId="0" applyNumberFormat="1" applyFont="1" applyBorder="1" applyAlignment="1">
      <alignment horizontal="left"/>
    </xf>
    <xf numFmtId="49" fontId="81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vertical="center"/>
    </xf>
    <xf numFmtId="0" fontId="81" fillId="0" borderId="2" xfId="0" applyFont="1" applyBorder="1"/>
    <xf numFmtId="49" fontId="59" fillId="0" borderId="0" xfId="0" applyNumberFormat="1" applyFont="1" applyBorder="1" applyAlignment="1">
      <alignment horizontal="left"/>
    </xf>
    <xf numFmtId="0" fontId="13" fillId="0" borderId="2" xfId="0" applyFont="1" applyBorder="1"/>
    <xf numFmtId="49" fontId="59" fillId="0" borderId="2" xfId="0" applyNumberFormat="1" applyFont="1" applyBorder="1" applyAlignment="1"/>
    <xf numFmtId="49" fontId="59" fillId="0" borderId="0" xfId="0" applyNumberFormat="1" applyFont="1" applyBorder="1" applyAlignment="1"/>
    <xf numFmtId="0" fontId="13" fillId="0" borderId="0" xfId="0" applyFont="1"/>
    <xf numFmtId="0" fontId="90" fillId="0" borderId="1" xfId="0" applyFont="1" applyBorder="1" applyAlignment="1">
      <alignment horizontal="center" vertical="top" wrapText="1"/>
    </xf>
    <xf numFmtId="0" fontId="13" fillId="0" borderId="0" xfId="0" applyNumberFormat="1" applyFont="1" applyBorder="1" applyAlignment="1">
      <alignment horizontal="right" vertical="top"/>
    </xf>
    <xf numFmtId="0" fontId="13" fillId="0" borderId="0" xfId="0" applyFont="1"/>
    <xf numFmtId="49" fontId="58" fillId="0" borderId="1" xfId="0" applyNumberFormat="1" applyFont="1" applyBorder="1" applyAlignment="1">
      <alignment horizontal="left" vertical="top" wrapText="1"/>
    </xf>
    <xf numFmtId="0" fontId="90" fillId="0" borderId="4" xfId="0" applyFont="1" applyBorder="1" applyAlignment="1">
      <alignment horizontal="center" vertical="top"/>
    </xf>
    <xf numFmtId="0" fontId="55" fillId="0" borderId="0" xfId="0" applyFont="1"/>
    <xf numFmtId="4" fontId="57" fillId="0" borderId="23" xfId="0" applyNumberFormat="1" applyFont="1" applyBorder="1" applyAlignment="1">
      <alignment horizontal="right" vertical="top" wrapText="1"/>
    </xf>
    <xf numFmtId="49" fontId="57" fillId="0" borderId="23" xfId="0" applyNumberFormat="1" applyFont="1" applyBorder="1" applyAlignment="1">
      <alignment horizontal="right" vertical="top" wrapText="1"/>
    </xf>
    <xf numFmtId="0" fontId="13" fillId="0" borderId="0" xfId="0" applyFont="1" applyBorder="1" applyAlignment="1">
      <alignment horizontal="right" vertical="top"/>
    </xf>
    <xf numFmtId="0" fontId="13" fillId="0" borderId="1" xfId="0" applyNumberFormat="1" applyFont="1" applyBorder="1" applyAlignment="1">
      <alignment horizontal="center" vertical="top" wrapText="1"/>
    </xf>
    <xf numFmtId="4" fontId="13" fillId="0" borderId="1" xfId="0" applyNumberFormat="1" applyFont="1" applyBorder="1" applyAlignment="1">
      <alignment horizontal="right" vertical="center"/>
    </xf>
    <xf numFmtId="4" fontId="13" fillId="0" borderId="1" xfId="0" applyNumberFormat="1" applyFont="1" applyBorder="1" applyAlignment="1">
      <alignment vertical="center"/>
    </xf>
    <xf numFmtId="0" fontId="13" fillId="0" borderId="1" xfId="0" applyNumberFormat="1" applyFont="1" applyBorder="1" applyAlignment="1">
      <alignment horizontal="center" vertical="center" wrapText="1"/>
    </xf>
    <xf numFmtId="0" fontId="93" fillId="0" borderId="2" xfId="0" applyFont="1" applyBorder="1" applyAlignment="1"/>
    <xf numFmtId="0" fontId="34" fillId="0" borderId="2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2" fillId="0" borderId="17" xfId="0" applyFont="1" applyBorder="1" applyAlignment="1">
      <alignment horizontal="center"/>
    </xf>
    <xf numFmtId="0" fontId="32" fillId="0" borderId="19" xfId="0" applyFont="1" applyBorder="1" applyAlignment="1">
      <alignment horizontal="center"/>
    </xf>
    <xf numFmtId="49" fontId="34" fillId="0" borderId="0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 vertical="center"/>
    </xf>
    <xf numFmtId="0" fontId="34" fillId="0" borderId="0" xfId="0" applyNumberFormat="1" applyFont="1" applyFill="1" applyBorder="1" applyAlignment="1">
      <alignment horizontal="center"/>
    </xf>
    <xf numFmtId="0" fontId="34" fillId="0" borderId="24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4" fontId="34" fillId="0" borderId="1" xfId="0" applyNumberFormat="1" applyFont="1" applyFill="1" applyBorder="1" applyAlignment="1">
      <alignment horizontal="right" vertical="top" wrapText="1"/>
    </xf>
    <xf numFmtId="0" fontId="34" fillId="0" borderId="0" xfId="0" applyNumberFormat="1" applyFont="1" applyBorder="1" applyAlignment="1">
      <alignment horizontal="center"/>
    </xf>
    <xf numFmtId="0" fontId="34" fillId="0" borderId="1" xfId="0" applyFont="1" applyFill="1" applyBorder="1" applyAlignment="1">
      <alignment horizontal="center" vertical="center" wrapText="1"/>
    </xf>
    <xf numFmtId="0" fontId="34" fillId="0" borderId="4" xfId="0" applyFont="1" applyFill="1" applyBorder="1" applyAlignment="1">
      <alignment horizontal="center" vertical="center" wrapText="1"/>
    </xf>
    <xf numFmtId="0" fontId="34" fillId="0" borderId="44" xfId="0" applyFont="1" applyFill="1" applyBorder="1" applyAlignment="1">
      <alignment horizontal="center" vertical="center" wrapText="1"/>
    </xf>
    <xf numFmtId="4" fontId="34" fillId="0" borderId="1" xfId="0" applyNumberFormat="1" applyFont="1" applyBorder="1" applyAlignment="1">
      <alignment horizontal="right" vertical="top" wrapText="1"/>
    </xf>
    <xf numFmtId="0" fontId="34" fillId="0" borderId="22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0" fontId="57" fillId="0" borderId="0" xfId="0" applyFont="1" applyAlignment="1">
      <alignment horizontal="right"/>
    </xf>
    <xf numFmtId="0" fontId="60" fillId="0" borderId="0" xfId="0" applyFont="1" applyAlignment="1">
      <alignment horizontal="right"/>
    </xf>
    <xf numFmtId="0" fontId="32" fillId="0" borderId="0" xfId="0" applyFont="1" applyBorder="1" applyAlignment="1"/>
    <xf numFmtId="1" fontId="47" fillId="0" borderId="0" xfId="0" applyNumberFormat="1" applyFont="1" applyBorder="1" applyAlignment="1">
      <alignment horizontal="center"/>
    </xf>
    <xf numFmtId="0" fontId="13" fillId="0" borderId="0" xfId="0" applyNumberFormat="1" applyFont="1" applyAlignment="1">
      <alignment horizontal="left" indent="1"/>
    </xf>
    <xf numFmtId="49" fontId="13" fillId="0" borderId="0" xfId="0" applyNumberFormat="1" applyFont="1" applyBorder="1" applyAlignment="1">
      <alignment horizontal="right"/>
    </xf>
    <xf numFmtId="0" fontId="57" fillId="0" borderId="0" xfId="0" applyFont="1" applyBorder="1" applyAlignment="1">
      <alignment horizontal="left"/>
    </xf>
    <xf numFmtId="0" fontId="111" fillId="0" borderId="0" xfId="0" applyFont="1" applyBorder="1" applyAlignment="1">
      <alignment horizontal="left"/>
    </xf>
    <xf numFmtId="0" fontId="111" fillId="0" borderId="0" xfId="0" applyFont="1"/>
    <xf numFmtId="0" fontId="111" fillId="0" borderId="0" xfId="0" applyFont="1" applyBorder="1"/>
    <xf numFmtId="0" fontId="13" fillId="0" borderId="2" xfId="0" applyNumberFormat="1" applyFont="1" applyBorder="1" applyAlignment="1"/>
    <xf numFmtId="0" fontId="58" fillId="0" borderId="20" xfId="0" applyNumberFormat="1" applyFont="1" applyBorder="1" applyAlignment="1">
      <alignment vertical="center"/>
    </xf>
    <xf numFmtId="0" fontId="58" fillId="0" borderId="22" xfId="0" applyNumberFormat="1" applyFont="1" applyBorder="1" applyAlignment="1">
      <alignment horizontal="center" vertical="center"/>
    </xf>
    <xf numFmtId="0" fontId="58" fillId="0" borderId="20" xfId="0" applyNumberFormat="1" applyFont="1" applyBorder="1" applyAlignment="1">
      <alignment horizontal="center" vertical="center"/>
    </xf>
    <xf numFmtId="0" fontId="58" fillId="0" borderId="45" xfId="0" applyNumberFormat="1" applyFont="1" applyBorder="1" applyAlignment="1">
      <alignment horizontal="center" vertical="center"/>
    </xf>
    <xf numFmtId="0" fontId="58" fillId="0" borderId="17" xfId="0" applyNumberFormat="1" applyFont="1" applyBorder="1" applyAlignment="1">
      <alignment horizontal="center" vertical="center"/>
    </xf>
    <xf numFmtId="0" fontId="58" fillId="0" borderId="23" xfId="0" applyNumberFormat="1" applyFont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13" fillId="0" borderId="2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Border="1" applyAlignment="1">
      <alignment horizontal="center"/>
    </xf>
    <xf numFmtId="0" fontId="75" fillId="0" borderId="0" xfId="0" applyNumberFormat="1" applyFont="1" applyAlignment="1">
      <alignment horizontal="center" vertical="top"/>
    </xf>
    <xf numFmtId="0" fontId="13" fillId="0" borderId="0" xfId="0" applyNumberFormat="1" applyFont="1" applyAlignment="1">
      <alignment horizontal="center"/>
    </xf>
    <xf numFmtId="0" fontId="111" fillId="0" borderId="0" xfId="0" applyFont="1" applyBorder="1" applyAlignment="1">
      <alignment horizontal="center"/>
    </xf>
    <xf numFmtId="0" fontId="57" fillId="0" borderId="0" xfId="0" applyFont="1" applyBorder="1" applyAlignment="1">
      <alignment horizontal="right"/>
    </xf>
    <xf numFmtId="49" fontId="60" fillId="0" borderId="0" xfId="0" applyNumberFormat="1" applyFont="1" applyBorder="1" applyAlignment="1">
      <alignment horizontal="center"/>
    </xf>
    <xf numFmtId="0" fontId="34" fillId="0" borderId="0" xfId="0" applyFont="1" applyAlignment="1">
      <alignment horizontal="right" indent="1"/>
    </xf>
    <xf numFmtId="0" fontId="58" fillId="0" borderId="45" xfId="0" applyNumberFormat="1" applyFont="1" applyBorder="1" applyAlignment="1">
      <alignment horizontal="center" vertical="top"/>
    </xf>
    <xf numFmtId="0" fontId="58" fillId="0" borderId="5" xfId="0" applyNumberFormat="1" applyFont="1" applyBorder="1" applyAlignment="1">
      <alignment horizontal="center" vertical="top"/>
    </xf>
    <xf numFmtId="0" fontId="22" fillId="0" borderId="0" xfId="0" applyFont="1"/>
    <xf numFmtId="0" fontId="39" fillId="0" borderId="2" xfId="0" applyFont="1" applyBorder="1"/>
    <xf numFmtId="49" fontId="22" fillId="0" borderId="2" xfId="0" applyNumberFormat="1" applyFont="1" applyBorder="1" applyAlignment="1">
      <alignment horizontal="center"/>
    </xf>
    <xf numFmtId="4" fontId="33" fillId="0" borderId="4" xfId="0" applyNumberFormat="1" applyFont="1" applyBorder="1" applyAlignment="1">
      <alignment horizontal="right"/>
    </xf>
    <xf numFmtId="4" fontId="33" fillId="0" borderId="1" xfId="0" applyNumberFormat="1" applyFont="1" applyBorder="1" applyAlignment="1">
      <alignment horizontal="center"/>
    </xf>
    <xf numFmtId="0" fontId="9" fillId="0" borderId="0" xfId="17" applyFont="1" applyAlignment="1">
      <alignment horizontal="left"/>
    </xf>
    <xf numFmtId="0" fontId="1" fillId="0" borderId="0" xfId="17"/>
    <xf numFmtId="0" fontId="21" fillId="0" borderId="0" xfId="17" applyFont="1" applyAlignment="1">
      <alignment horizontal="left"/>
    </xf>
    <xf numFmtId="0" fontId="21" fillId="0" borderId="0" xfId="17" applyFont="1"/>
    <xf numFmtId="0" fontId="1" fillId="0" borderId="0" xfId="17" applyBorder="1"/>
    <xf numFmtId="0" fontId="1" fillId="0" borderId="0" xfId="17" applyBorder="1" applyAlignment="1">
      <alignment horizontal="right"/>
    </xf>
    <xf numFmtId="0" fontId="21" fillId="0" borderId="0" xfId="17" applyFont="1" applyBorder="1" applyAlignment="1">
      <alignment horizontal="left"/>
    </xf>
    <xf numFmtId="0" fontId="1" fillId="0" borderId="0" xfId="17" applyBorder="1" applyAlignment="1">
      <alignment horizontal="center"/>
    </xf>
    <xf numFmtId="0" fontId="112" fillId="0" borderId="0" xfId="17" applyFont="1" applyAlignment="1">
      <alignment horizontal="center"/>
    </xf>
    <xf numFmtId="0" fontId="4" fillId="0" borderId="2" xfId="17" applyFont="1" applyBorder="1" applyAlignment="1">
      <alignment horizontal="center"/>
    </xf>
    <xf numFmtId="0" fontId="1" fillId="0" borderId="0" xfId="17" applyFont="1" applyAlignment="1">
      <alignment horizontal="left"/>
    </xf>
    <xf numFmtId="0" fontId="1" fillId="0" borderId="0" xfId="17" applyFont="1" applyAlignment="1">
      <alignment horizontal="center"/>
    </xf>
    <xf numFmtId="0" fontId="113" fillId="0" borderId="0" xfId="17" applyFont="1"/>
    <xf numFmtId="0" fontId="1" fillId="0" borderId="2" xfId="17" applyBorder="1"/>
    <xf numFmtId="0" fontId="6" fillId="0" borderId="2" xfId="17" applyFont="1" applyBorder="1" applyAlignment="1">
      <alignment horizontal="center"/>
    </xf>
    <xf numFmtId="0" fontId="1" fillId="0" borderId="0" xfId="17" applyAlignment="1">
      <alignment horizontal="left"/>
    </xf>
    <xf numFmtId="0" fontId="9" fillId="0" borderId="0" xfId="17" applyFont="1" applyAlignment="1">
      <alignment horizontal="center" vertical="top"/>
    </xf>
    <xf numFmtId="0" fontId="9" fillId="0" borderId="2" xfId="17" applyFont="1" applyBorder="1" applyAlignment="1">
      <alignment vertical="top"/>
    </xf>
    <xf numFmtId="0" fontId="1" fillId="0" borderId="52" xfId="17" applyBorder="1"/>
    <xf numFmtId="0" fontId="9" fillId="0" borderId="52" xfId="17" applyFont="1" applyBorder="1" applyAlignment="1">
      <alignment horizontal="center" vertical="top"/>
    </xf>
    <xf numFmtId="0" fontId="9" fillId="0" borderId="2" xfId="17" applyFont="1" applyBorder="1" applyAlignment="1">
      <alignment horizontal="center"/>
    </xf>
    <xf numFmtId="0" fontId="1" fillId="0" borderId="2" xfId="17" applyBorder="1" applyAlignment="1">
      <alignment horizontal="center"/>
    </xf>
    <xf numFmtId="0" fontId="9" fillId="0" borderId="2" xfId="17" applyFont="1" applyBorder="1" applyAlignment="1">
      <alignment horizontal="center" vertical="top"/>
    </xf>
    <xf numFmtId="0" fontId="1" fillId="0" borderId="3" xfId="17" applyBorder="1"/>
    <xf numFmtId="0" fontId="1" fillId="0" borderId="52" xfId="17" applyBorder="1" applyAlignment="1">
      <alignment horizontal="center"/>
    </xf>
    <xf numFmtId="0" fontId="114" fillId="0" borderId="0" xfId="17" applyFont="1"/>
    <xf numFmtId="0" fontId="26" fillId="0" borderId="3" xfId="0" applyFont="1" applyBorder="1" applyAlignment="1">
      <alignment horizontal="center"/>
    </xf>
    <xf numFmtId="0" fontId="21" fillId="0" borderId="0" xfId="0" applyFont="1" applyAlignment="1">
      <alignment horizontal="right"/>
    </xf>
    <xf numFmtId="0" fontId="26" fillId="0" borderId="0" xfId="0" applyFont="1" applyBorder="1" applyAlignment="1">
      <alignment horizontal="center"/>
    </xf>
    <xf numFmtId="49" fontId="22" fillId="0" borderId="2" xfId="0" applyNumberFormat="1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6" fillId="0" borderId="23" xfId="0" applyFont="1" applyBorder="1" applyAlignment="1">
      <alignment horizontal="center" vertical="center" wrapText="1"/>
    </xf>
    <xf numFmtId="0" fontId="22" fillId="0" borderId="0" xfId="0" applyFont="1"/>
    <xf numFmtId="0" fontId="30" fillId="0" borderId="23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23" fillId="0" borderId="52" xfId="0" applyFont="1" applyBorder="1" applyAlignment="1">
      <alignment horizontal="center" vertical="center"/>
    </xf>
    <xf numFmtId="0" fontId="34" fillId="0" borderId="52" xfId="0" applyNumberFormat="1" applyFont="1" applyBorder="1" applyAlignment="1"/>
    <xf numFmtId="0" fontId="24" fillId="0" borderId="0" xfId="0" applyFont="1" applyBorder="1" applyAlignment="1">
      <alignment horizontal="right"/>
    </xf>
    <xf numFmtId="0" fontId="26" fillId="0" borderId="0" xfId="0" applyFont="1" applyBorder="1" applyAlignment="1">
      <alignment horizontal="center" vertical="top"/>
    </xf>
    <xf numFmtId="0" fontId="34" fillId="0" borderId="0" xfId="0" applyNumberFormat="1" applyFont="1" applyBorder="1" applyAlignment="1">
      <alignment horizontal="center"/>
    </xf>
    <xf numFmtId="0" fontId="18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vertical="top"/>
    </xf>
    <xf numFmtId="0" fontId="11" fillId="0" borderId="0" xfId="0" applyFont="1" applyAlignment="1">
      <alignment horizontal="center"/>
    </xf>
    <xf numFmtId="0" fontId="15" fillId="0" borderId="20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8" fillId="0" borderId="2" xfId="0" applyFont="1" applyBorder="1" applyAlignment="1">
      <alignment horizontal="left" wrapText="1"/>
    </xf>
    <xf numFmtId="0" fontId="15" fillId="0" borderId="13" xfId="0" applyFont="1" applyBorder="1" applyAlignment="1">
      <alignment horizontal="center" vertical="center"/>
    </xf>
    <xf numFmtId="4" fontId="16" fillId="0" borderId="4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26" fillId="0" borderId="3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49" fontId="22" fillId="0" borderId="2" xfId="0" applyNumberFormat="1" applyFont="1" applyBorder="1" applyAlignment="1">
      <alignment horizontal="center"/>
    </xf>
    <xf numFmtId="0" fontId="22" fillId="0" borderId="0" xfId="0" applyFont="1"/>
    <xf numFmtId="49" fontId="39" fillId="0" borderId="2" xfId="0" applyNumberFormat="1" applyFont="1" applyBorder="1" applyAlignment="1">
      <alignment horizontal="left"/>
    </xf>
    <xf numFmtId="0" fontId="26" fillId="0" borderId="3" xfId="0" applyFont="1" applyBorder="1" applyAlignment="1">
      <alignment horizontal="center" vertical="top"/>
    </xf>
    <xf numFmtId="0" fontId="33" fillId="0" borderId="4" xfId="0" applyFont="1" applyBorder="1" applyAlignment="1"/>
    <xf numFmtId="0" fontId="33" fillId="0" borderId="44" xfId="0" applyFont="1" applyBorder="1" applyAlignment="1"/>
    <xf numFmtId="0" fontId="26" fillId="0" borderId="0" xfId="0" applyFont="1" applyBorder="1" applyAlignment="1">
      <alignment horizontal="center" vertical="top"/>
    </xf>
    <xf numFmtId="4" fontId="31" fillId="0" borderId="4" xfId="0" applyNumberFormat="1" applyFont="1" applyBorder="1" applyAlignment="1">
      <alignment horizontal="right"/>
    </xf>
    <xf numFmtId="4" fontId="31" fillId="0" borderId="52" xfId="0" applyNumberFormat="1" applyFont="1" applyBorder="1" applyAlignment="1">
      <alignment horizontal="right"/>
    </xf>
    <xf numFmtId="4" fontId="15" fillId="0" borderId="5" xfId="0" applyNumberFormat="1" applyFont="1" applyBorder="1" applyAlignment="1">
      <alignment horizontal="right"/>
    </xf>
    <xf numFmtId="4" fontId="15" fillId="0" borderId="2" xfId="0" applyNumberFormat="1" applyFont="1" applyBorder="1" applyAlignment="1">
      <alignment horizontal="right"/>
    </xf>
    <xf numFmtId="0" fontId="34" fillId="0" borderId="0" xfId="0" applyNumberFormat="1" applyFont="1" applyBorder="1" applyAlignment="1">
      <alignment horizontal="center"/>
    </xf>
    <xf numFmtId="0" fontId="31" fillId="0" borderId="0" xfId="0" applyFont="1" applyAlignment="1">
      <alignment horizontal="left"/>
    </xf>
    <xf numFmtId="49" fontId="33" fillId="0" borderId="0" xfId="0" applyNumberFormat="1" applyFont="1" applyBorder="1" applyAlignment="1">
      <alignment horizontal="right"/>
    </xf>
    <xf numFmtId="0" fontId="33" fillId="0" borderId="4" xfId="0" applyFont="1" applyBorder="1" applyAlignment="1">
      <alignment horizontal="right"/>
    </xf>
    <xf numFmtId="0" fontId="33" fillId="0" borderId="44" xfId="0" applyFont="1" applyBorder="1" applyAlignment="1">
      <alignment horizontal="right"/>
    </xf>
    <xf numFmtId="0" fontId="33" fillId="0" borderId="1" xfId="0" applyFont="1" applyBorder="1" applyAlignment="1">
      <alignment horizontal="right"/>
    </xf>
    <xf numFmtId="0" fontId="115" fillId="0" borderId="2" xfId="0" applyFont="1" applyBorder="1"/>
    <xf numFmtId="0" fontId="39" fillId="0" borderId="0" xfId="0" applyFont="1" applyBorder="1"/>
    <xf numFmtId="0" fontId="115" fillId="0" borderId="0" xfId="0" applyNumberFormat="1" applyFont="1" applyBorder="1" applyAlignment="1"/>
    <xf numFmtId="0" fontId="26" fillId="0" borderId="3" xfId="0" applyFont="1" applyBorder="1" applyAlignment="1">
      <alignment horizontal="left"/>
    </xf>
    <xf numFmtId="0" fontId="26" fillId="0" borderId="3" xfId="0" applyFont="1" applyBorder="1" applyAlignment="1">
      <alignment horizontal="left" vertical="top"/>
    </xf>
    <xf numFmtId="0" fontId="39" fillId="0" borderId="2" xfId="0" applyNumberFormat="1" applyFont="1" applyBorder="1" applyAlignment="1">
      <alignment horizontal="right"/>
    </xf>
    <xf numFmtId="49" fontId="21" fillId="0" borderId="0" xfId="0" applyNumberFormat="1" applyFont="1" applyAlignment="1">
      <alignment horizontal="left"/>
    </xf>
    <xf numFmtId="0" fontId="116" fillId="0" borderId="2" xfId="0" applyFont="1" applyBorder="1"/>
    <xf numFmtId="0" fontId="116" fillId="0" borderId="2" xfId="0" applyFont="1" applyBorder="1" applyAlignment="1">
      <alignment horizontal="left"/>
    </xf>
    <xf numFmtId="49" fontId="116" fillId="0" borderId="2" xfId="0" applyNumberFormat="1" applyFont="1" applyBorder="1"/>
    <xf numFmtId="0" fontId="45" fillId="0" borderId="52" xfId="0" applyFont="1" applyBorder="1" applyAlignment="1">
      <alignment horizontal="center" vertical="center" wrapText="1"/>
    </xf>
    <xf numFmtId="49" fontId="45" fillId="0" borderId="3" xfId="0" applyNumberFormat="1" applyFont="1" applyBorder="1" applyAlignment="1">
      <alignment horizontal="center" vertical="top"/>
    </xf>
    <xf numFmtId="49" fontId="45" fillId="0" borderId="0" xfId="0" applyNumberFormat="1" applyFont="1" applyAlignment="1">
      <alignment horizontal="right" vertical="top" indent="1"/>
    </xf>
    <xf numFmtId="49" fontId="17" fillId="0" borderId="52" xfId="0" applyNumberFormat="1" applyFont="1" applyBorder="1" applyAlignment="1">
      <alignment horizontal="left" vertical="top" wrapText="1"/>
    </xf>
    <xf numFmtId="49" fontId="45" fillId="0" borderId="3" xfId="0" applyNumberFormat="1" applyFont="1" applyBorder="1" applyAlignment="1">
      <alignment horizontal="center" vertical="top"/>
    </xf>
    <xf numFmtId="49" fontId="45" fillId="0" borderId="0" xfId="0" applyNumberFormat="1" applyFont="1" applyAlignment="1">
      <alignment horizontal="right" vertical="top" indent="1"/>
    </xf>
    <xf numFmtId="0" fontId="0" fillId="0" borderId="0" xfId="0" applyFont="1" applyAlignment="1">
      <alignment horizontal="right"/>
    </xf>
    <xf numFmtId="0" fontId="117" fillId="0" borderId="0" xfId="0" applyFont="1" applyAlignment="1">
      <alignment horizontal="right"/>
    </xf>
    <xf numFmtId="0" fontId="19" fillId="0" borderId="2" xfId="0" applyFont="1" applyBorder="1" applyAlignment="1">
      <alignment horizontal="left"/>
    </xf>
    <xf numFmtId="0" fontId="19" fillId="0" borderId="2" xfId="0" applyFont="1" applyBorder="1" applyAlignment="1">
      <alignment horizontal="left" wrapText="1"/>
    </xf>
    <xf numFmtId="49" fontId="0" fillId="0" borderId="41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0" fontId="2" fillId="0" borderId="11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58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/>
    </xf>
    <xf numFmtId="167" fontId="19" fillId="0" borderId="2" xfId="0" applyNumberFormat="1" applyFont="1" applyBorder="1" applyAlignment="1">
      <alignment horizontal="left"/>
    </xf>
    <xf numFmtId="49" fontId="5" fillId="0" borderId="40" xfId="0" applyNumberFormat="1" applyFont="1" applyBorder="1" applyAlignment="1">
      <alignment horizontal="center"/>
    </xf>
    <xf numFmtId="49" fontId="5" fillId="0" borderId="21" xfId="0" applyNumberFormat="1" applyFont="1" applyBorder="1" applyAlignment="1">
      <alignment horizontal="center"/>
    </xf>
    <xf numFmtId="49" fontId="5" fillId="0" borderId="39" xfId="0" applyNumberFormat="1" applyFont="1" applyBorder="1" applyAlignment="1">
      <alignment horizontal="center"/>
    </xf>
    <xf numFmtId="49" fontId="5" fillId="0" borderId="36" xfId="0" applyNumberFormat="1" applyFont="1" applyBorder="1" applyAlignment="1">
      <alignment horizontal="center"/>
    </xf>
    <xf numFmtId="49" fontId="5" fillId="0" borderId="65" xfId="0" applyNumberFormat="1" applyFont="1" applyBorder="1" applyAlignment="1">
      <alignment horizontal="center"/>
    </xf>
    <xf numFmtId="49" fontId="5" fillId="0" borderId="66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49" fontId="96" fillId="0" borderId="0" xfId="0" applyNumberFormat="1" applyFont="1" applyAlignment="1">
      <alignment horizontal="left" vertical="top"/>
    </xf>
    <xf numFmtId="49" fontId="1" fillId="0" borderId="63" xfId="0" applyNumberFormat="1" applyFont="1" applyBorder="1" applyAlignment="1">
      <alignment horizontal="center"/>
    </xf>
    <xf numFmtId="49" fontId="1" fillId="0" borderId="64" xfId="0" applyNumberFormat="1" applyFont="1" applyBorder="1" applyAlignment="1">
      <alignment horizontal="center"/>
    </xf>
    <xf numFmtId="49" fontId="5" fillId="0" borderId="59" xfId="0" applyNumberFormat="1" applyFont="1" applyBorder="1" applyAlignment="1">
      <alignment horizontal="center"/>
    </xf>
    <xf numFmtId="49" fontId="5" fillId="0" borderId="34" xfId="0" applyNumberFormat="1" applyFont="1" applyBorder="1" applyAlignment="1">
      <alignment horizontal="center"/>
    </xf>
    <xf numFmtId="49" fontId="1" fillId="0" borderId="59" xfId="0" applyNumberFormat="1" applyFont="1" applyBorder="1" applyAlignment="1">
      <alignment horizontal="center"/>
    </xf>
    <xf numFmtId="49" fontId="1" fillId="0" borderId="34" xfId="0" applyNumberFormat="1" applyFont="1" applyBorder="1" applyAlignment="1">
      <alignment horizontal="center"/>
    </xf>
    <xf numFmtId="49" fontId="1" fillId="0" borderId="47" xfId="0" applyNumberFormat="1" applyFont="1" applyBorder="1" applyAlignment="1">
      <alignment horizontal="center"/>
    </xf>
    <xf numFmtId="49" fontId="1" fillId="0" borderId="26" xfId="0" applyNumberFormat="1" applyFont="1" applyBorder="1" applyAlignment="1">
      <alignment horizontal="center"/>
    </xf>
    <xf numFmtId="49" fontId="5" fillId="0" borderId="39" xfId="0" applyNumberFormat="1" applyFont="1" applyBorder="1" applyAlignment="1">
      <alignment horizontal="center" vertical="center"/>
    </xf>
    <xf numFmtId="49" fontId="5" fillId="0" borderId="36" xfId="0" applyNumberFormat="1" applyFont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21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6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 wrapText="1"/>
    </xf>
    <xf numFmtId="0" fontId="2" fillId="0" borderId="5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49" fontId="5" fillId="0" borderId="60" xfId="0" applyNumberFormat="1" applyFont="1" applyBorder="1" applyAlignment="1">
      <alignment horizontal="center"/>
    </xf>
    <xf numFmtId="49" fontId="5" fillId="0" borderId="57" xfId="0" applyNumberFormat="1" applyFon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65" xfId="0" applyNumberFormat="1" applyBorder="1" applyAlignment="1">
      <alignment horizontal="center"/>
    </xf>
    <xf numFmtId="49" fontId="0" fillId="0" borderId="66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9" xfId="0" applyFont="1" applyBorder="1" applyAlignment="1">
      <alignment horizontal="center"/>
    </xf>
    <xf numFmtId="49" fontId="6" fillId="0" borderId="2" xfId="0" applyNumberFormat="1" applyFont="1" applyBorder="1" applyAlignment="1">
      <alignment horizontal="left"/>
    </xf>
    <xf numFmtId="0" fontId="9" fillId="0" borderId="0" xfId="0" applyFont="1" applyAlignment="1">
      <alignment horizontal="center" vertical="top"/>
    </xf>
    <xf numFmtId="0" fontId="9" fillId="0" borderId="3" xfId="0" applyFont="1" applyBorder="1" applyAlignment="1">
      <alignment horizontal="center" vertical="top"/>
    </xf>
    <xf numFmtId="0" fontId="15" fillId="0" borderId="13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9" fillId="0" borderId="3" xfId="0" applyFont="1" applyBorder="1" applyAlignment="1">
      <alignment horizontal="center" vertical="justify"/>
    </xf>
    <xf numFmtId="0" fontId="9" fillId="0" borderId="24" xfId="0" applyFont="1" applyBorder="1" applyAlignment="1">
      <alignment horizontal="center" vertical="justify"/>
    </xf>
    <xf numFmtId="0" fontId="15" fillId="0" borderId="12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 wrapText="1"/>
    </xf>
    <xf numFmtId="0" fontId="0" fillId="0" borderId="0" xfId="0" applyAlignment="1">
      <alignment horizontal="left" wrapText="1"/>
    </xf>
    <xf numFmtId="0" fontId="9" fillId="0" borderId="3" xfId="0" applyFont="1" applyBorder="1" applyAlignment="1">
      <alignment horizontal="center"/>
    </xf>
    <xf numFmtId="0" fontId="11" fillId="0" borderId="0" xfId="0" applyFont="1" applyAlignment="1">
      <alignment horizontal="center"/>
    </xf>
    <xf numFmtId="49" fontId="1" fillId="0" borderId="0" xfId="0" applyNumberFormat="1" applyFont="1" applyAlignment="1">
      <alignment horizontal="left" wrapText="1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15" fillId="0" borderId="13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40" xfId="0" applyFont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/>
    </xf>
    <xf numFmtId="49" fontId="1" fillId="0" borderId="69" xfId="0" applyNumberFormat="1" applyFont="1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4" xfId="0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2" fillId="0" borderId="14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68" xfId="0" applyBorder="1" applyAlignment="1">
      <alignment horizontal="center"/>
    </xf>
    <xf numFmtId="49" fontId="19" fillId="0" borderId="2" xfId="0" applyNumberFormat="1" applyFont="1" applyBorder="1" applyAlignment="1">
      <alignment horizontal="center"/>
    </xf>
    <xf numFmtId="49" fontId="19" fillId="0" borderId="2" xfId="0" applyNumberFormat="1" applyFont="1" applyBorder="1" applyAlignment="1">
      <alignment horizontal="left"/>
    </xf>
    <xf numFmtId="0" fontId="26" fillId="0" borderId="3" xfId="0" applyFont="1" applyBorder="1" applyAlignment="1">
      <alignment horizontal="center"/>
    </xf>
    <xf numFmtId="49" fontId="22" fillId="0" borderId="2" xfId="0" applyNumberFormat="1" applyFont="1" applyBorder="1" applyAlignment="1">
      <alignment horizontal="center"/>
    </xf>
    <xf numFmtId="0" fontId="26" fillId="0" borderId="3" xfId="0" applyFont="1" applyBorder="1" applyAlignment="1">
      <alignment horizontal="center" vertical="top"/>
    </xf>
    <xf numFmtId="49" fontId="39" fillId="0" borderId="2" xfId="0" applyNumberFormat="1" applyFont="1" applyBorder="1" applyAlignment="1">
      <alignment horizontal="left"/>
    </xf>
    <xf numFmtId="0" fontId="23" fillId="0" borderId="4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33" fillId="0" borderId="18" xfId="0" applyNumberFormat="1" applyFont="1" applyBorder="1" applyAlignment="1">
      <alignment horizontal="center"/>
    </xf>
    <xf numFmtId="0" fontId="33" fillId="0" borderId="45" xfId="0" applyNumberFormat="1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6" fillId="0" borderId="18" xfId="0" applyNumberFormat="1" applyFont="1" applyBorder="1" applyAlignment="1">
      <alignment horizontal="center"/>
    </xf>
    <xf numFmtId="0" fontId="36" fillId="0" borderId="45" xfId="0" applyNumberFormat="1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18" xfId="0" applyFont="1" applyBorder="1" applyAlignment="1">
      <alignment horizontal="center"/>
    </xf>
    <xf numFmtId="0" fontId="23" fillId="0" borderId="2" xfId="0" applyFont="1" applyBorder="1" applyAlignment="1">
      <alignment horizontal="center"/>
    </xf>
    <xf numFmtId="0" fontId="30" fillId="0" borderId="23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0" fillId="0" borderId="44" xfId="0" applyFont="1" applyBorder="1" applyAlignment="1">
      <alignment horizontal="center" vertical="center"/>
    </xf>
    <xf numFmtId="0" fontId="30" fillId="0" borderId="52" xfId="0" applyFont="1" applyBorder="1" applyAlignment="1">
      <alignment horizontal="center" vertical="center"/>
    </xf>
    <xf numFmtId="49" fontId="31" fillId="0" borderId="4" xfId="0" applyNumberFormat="1" applyFont="1" applyBorder="1" applyAlignment="1">
      <alignment horizontal="left" vertical="top" wrapText="1"/>
    </xf>
    <xf numFmtId="49" fontId="31" fillId="0" borderId="52" xfId="0" applyNumberFormat="1" applyFont="1" applyBorder="1" applyAlignment="1">
      <alignment horizontal="left" vertical="top" wrapText="1"/>
    </xf>
    <xf numFmtId="49" fontId="31" fillId="0" borderId="44" xfId="0" applyNumberFormat="1" applyFont="1" applyBorder="1" applyAlignment="1">
      <alignment horizontal="left" vertical="top" wrapText="1"/>
    </xf>
    <xf numFmtId="49" fontId="31" fillId="0" borderId="4" xfId="0" applyNumberFormat="1" applyFont="1" applyBorder="1" applyAlignment="1">
      <alignment horizontal="right" vertical="top" wrapText="1"/>
    </xf>
    <xf numFmtId="49" fontId="31" fillId="0" borderId="44" xfId="0" applyNumberFormat="1" applyFont="1" applyBorder="1" applyAlignment="1">
      <alignment horizontal="right" vertical="top" wrapText="1"/>
    </xf>
    <xf numFmtId="0" fontId="32" fillId="0" borderId="4" xfId="0" applyFont="1" applyBorder="1" applyAlignment="1">
      <alignment horizontal="center" vertical="center"/>
    </xf>
    <xf numFmtId="0" fontId="32" fillId="0" borderId="44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30" fillId="0" borderId="24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 wrapText="1"/>
    </xf>
    <xf numFmtId="0" fontId="26" fillId="0" borderId="23" xfId="0" applyFont="1" applyBorder="1" applyAlignment="1">
      <alignment horizontal="center" vertical="center" wrapText="1"/>
    </xf>
    <xf numFmtId="0" fontId="26" fillId="0" borderId="22" xfId="0" applyFont="1" applyBorder="1" applyAlignment="1">
      <alignment horizontal="center" vertical="top" wrapText="1"/>
    </xf>
    <xf numFmtId="0" fontId="26" fillId="0" borderId="3" xfId="0" applyFont="1" applyBorder="1" applyAlignment="1">
      <alignment horizontal="center" vertical="top" wrapText="1"/>
    </xf>
    <xf numFmtId="0" fontId="26" fillId="0" borderId="22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26" fillId="0" borderId="52" xfId="0" applyFont="1" applyBorder="1" applyAlignment="1">
      <alignment horizontal="center" vertical="center" wrapText="1"/>
    </xf>
    <xf numFmtId="0" fontId="26" fillId="0" borderId="44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/>
    </xf>
    <xf numFmtId="0" fontId="26" fillId="0" borderId="52" xfId="0" applyFont="1" applyBorder="1" applyAlignment="1">
      <alignment horizontal="center" vertical="center"/>
    </xf>
    <xf numFmtId="0" fontId="26" fillId="0" borderId="44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top" wrapText="1"/>
    </xf>
    <xf numFmtId="0" fontId="26" fillId="0" borderId="52" xfId="0" applyFont="1" applyBorder="1" applyAlignment="1">
      <alignment horizontal="center" vertical="top" wrapText="1"/>
    </xf>
    <xf numFmtId="0" fontId="26" fillId="0" borderId="44" xfId="0" applyFont="1" applyBorder="1" applyAlignment="1">
      <alignment horizontal="center" vertical="top" wrapText="1"/>
    </xf>
    <xf numFmtId="0" fontId="26" fillId="0" borderId="45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26" fillId="0" borderId="23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2" fillId="0" borderId="0" xfId="0" applyFont="1"/>
    <xf numFmtId="0" fontId="23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Font="1" applyBorder="1" applyAlignment="1">
      <alignment horizontal="right"/>
    </xf>
    <xf numFmtId="49" fontId="5" fillId="0" borderId="52" xfId="0" applyNumberFormat="1" applyFont="1" applyBorder="1" applyAlignment="1">
      <alignment horizontal="center"/>
    </xf>
    <xf numFmtId="0" fontId="21" fillId="0" borderId="25" xfId="0" applyFont="1" applyBorder="1" applyAlignment="1">
      <alignment horizontal="right"/>
    </xf>
    <xf numFmtId="49" fontId="23" fillId="0" borderId="60" xfId="0" applyNumberFormat="1" applyFont="1" applyBorder="1" applyAlignment="1">
      <alignment horizontal="center"/>
    </xf>
    <xf numFmtId="49" fontId="23" fillId="0" borderId="52" xfId="0" applyNumberFormat="1" applyFont="1" applyBorder="1" applyAlignment="1">
      <alignment horizontal="center"/>
    </xf>
    <xf numFmtId="49" fontId="23" fillId="0" borderId="57" xfId="0" applyNumberFormat="1" applyFont="1" applyBorder="1" applyAlignment="1">
      <alignment horizontal="center"/>
    </xf>
    <xf numFmtId="0" fontId="23" fillId="0" borderId="50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49" fontId="21" fillId="0" borderId="70" xfId="0" applyNumberFormat="1" applyFont="1" applyBorder="1" applyAlignment="1">
      <alignment horizontal="center" vertical="top"/>
    </xf>
    <xf numFmtId="49" fontId="21" fillId="0" borderId="49" xfId="0" applyNumberFormat="1" applyFont="1" applyBorder="1" applyAlignment="1">
      <alignment horizontal="center" vertical="top"/>
    </xf>
    <xf numFmtId="49" fontId="28" fillId="0" borderId="71" xfId="0" applyNumberFormat="1" applyFont="1" applyBorder="1" applyAlignment="1">
      <alignment horizontal="center" vertical="top"/>
    </xf>
    <xf numFmtId="49" fontId="28" fillId="0" borderId="56" xfId="0" applyNumberFormat="1" applyFont="1" applyBorder="1" applyAlignment="1">
      <alignment horizontal="center" vertical="top"/>
    </xf>
    <xf numFmtId="49" fontId="28" fillId="0" borderId="72" xfId="0" applyNumberFormat="1" applyFont="1" applyBorder="1" applyAlignment="1">
      <alignment horizontal="center" vertical="top"/>
    </xf>
    <xf numFmtId="0" fontId="27" fillId="0" borderId="0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1" fillId="0" borderId="52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49" fontId="23" fillId="0" borderId="22" xfId="0" applyNumberFormat="1" applyFont="1" applyBorder="1" applyAlignment="1">
      <alignment horizontal="center"/>
    </xf>
    <xf numFmtId="49" fontId="23" fillId="0" borderId="3" xfId="0" applyNumberFormat="1" applyFont="1" applyBorder="1" applyAlignment="1">
      <alignment horizontal="center"/>
    </xf>
    <xf numFmtId="49" fontId="23" fillId="0" borderId="36" xfId="0" applyNumberFormat="1" applyFont="1" applyBorder="1" applyAlignment="1">
      <alignment horizontal="center"/>
    </xf>
    <xf numFmtId="49" fontId="23" fillId="0" borderId="5" xfId="0" applyNumberFormat="1" applyFont="1" applyBorder="1" applyAlignment="1">
      <alignment horizontal="center"/>
    </xf>
    <xf numFmtId="49" fontId="23" fillId="0" borderId="2" xfId="0" applyNumberFormat="1" applyFont="1" applyBorder="1" applyAlignment="1">
      <alignment horizontal="center"/>
    </xf>
    <xf numFmtId="49" fontId="23" fillId="0" borderId="21" xfId="0" applyNumberFormat="1" applyFont="1" applyBorder="1" applyAlignment="1">
      <alignment horizontal="center"/>
    </xf>
    <xf numFmtId="0" fontId="21" fillId="0" borderId="50" xfId="0" applyFont="1" applyBorder="1" applyAlignment="1">
      <alignment horizontal="center"/>
    </xf>
    <xf numFmtId="0" fontId="21" fillId="0" borderId="42" xfId="0" applyFont="1" applyBorder="1" applyAlignment="1">
      <alignment horizontal="center"/>
    </xf>
    <xf numFmtId="0" fontId="21" fillId="0" borderId="51" xfId="0" applyFont="1" applyBorder="1" applyAlignment="1">
      <alignment horizontal="center"/>
    </xf>
    <xf numFmtId="49" fontId="23" fillId="0" borderId="39" xfId="0" applyNumberFormat="1" applyFont="1" applyBorder="1" applyAlignment="1">
      <alignment horizontal="center"/>
    </xf>
    <xf numFmtId="49" fontId="23" fillId="0" borderId="40" xfId="0" applyNumberFormat="1" applyFont="1" applyBorder="1" applyAlignment="1">
      <alignment horizontal="center"/>
    </xf>
    <xf numFmtId="0" fontId="21" fillId="0" borderId="3" xfId="0" applyFont="1" applyBorder="1" applyAlignment="1">
      <alignment horizontal="right"/>
    </xf>
    <xf numFmtId="0" fontId="21" fillId="0" borderId="0" xfId="0" applyFont="1" applyAlignment="1">
      <alignment horizontal="right"/>
    </xf>
    <xf numFmtId="49" fontId="23" fillId="0" borderId="6" xfId="0" applyNumberFormat="1" applyFont="1" applyBorder="1" applyAlignment="1">
      <alignment horizontal="center"/>
    </xf>
    <xf numFmtId="49" fontId="23" fillId="0" borderId="68" xfId="0" applyNumberFormat="1" applyFont="1" applyBorder="1" applyAlignment="1">
      <alignment horizontal="center"/>
    </xf>
    <xf numFmtId="49" fontId="23" fillId="0" borderId="62" xfId="0" applyNumberFormat="1" applyFont="1" applyBorder="1" applyAlignment="1">
      <alignment horizontal="center"/>
    </xf>
    <xf numFmtId="49" fontId="21" fillId="0" borderId="71" xfId="0" applyNumberFormat="1" applyFont="1" applyBorder="1" applyAlignment="1">
      <alignment horizontal="center" vertical="top"/>
    </xf>
    <xf numFmtId="49" fontId="21" fillId="0" borderId="56" xfId="0" applyNumberFormat="1" applyFont="1" applyBorder="1" applyAlignment="1">
      <alignment horizontal="center" vertical="top"/>
    </xf>
    <xf numFmtId="49" fontId="21" fillId="0" borderId="72" xfId="0" applyNumberFormat="1" applyFont="1" applyBorder="1" applyAlignment="1">
      <alignment horizontal="center" vertical="top"/>
    </xf>
    <xf numFmtId="49" fontId="25" fillId="0" borderId="2" xfId="0" applyNumberFormat="1" applyFont="1" applyBorder="1" applyAlignment="1">
      <alignment horizontal="center"/>
    </xf>
    <xf numFmtId="0" fontId="25" fillId="0" borderId="2" xfId="0" applyNumberFormat="1" applyFont="1" applyBorder="1" applyAlignment="1">
      <alignment horizontal="center"/>
    </xf>
    <xf numFmtId="0" fontId="34" fillId="0" borderId="4" xfId="0" applyNumberFormat="1" applyFont="1" applyBorder="1" applyAlignment="1"/>
    <xf numFmtId="0" fontId="34" fillId="0" borderId="52" xfId="0" applyNumberFormat="1" applyFont="1" applyBorder="1" applyAlignment="1"/>
    <xf numFmtId="0" fontId="36" fillId="0" borderId="4" xfId="0" applyFont="1" applyBorder="1" applyAlignment="1"/>
    <xf numFmtId="0" fontId="36" fillId="0" borderId="44" xfId="0" applyFont="1" applyBorder="1" applyAlignment="1"/>
    <xf numFmtId="49" fontId="34" fillId="0" borderId="4" xfId="0" applyNumberFormat="1" applyFont="1" applyBorder="1" applyAlignment="1"/>
    <xf numFmtId="49" fontId="34" fillId="0" borderId="44" xfId="0" applyNumberFormat="1" applyFont="1" applyBorder="1" applyAlignment="1"/>
    <xf numFmtId="0" fontId="23" fillId="0" borderId="52" xfId="0" applyFont="1" applyBorder="1" applyAlignment="1">
      <alignment horizontal="center" vertical="center"/>
    </xf>
    <xf numFmtId="0" fontId="33" fillId="0" borderId="4" xfId="0" applyFont="1" applyBorder="1" applyAlignment="1"/>
    <xf numFmtId="0" fontId="33" fillId="0" borderId="44" xfId="0" applyFont="1" applyBorder="1" applyAlignment="1"/>
    <xf numFmtId="49" fontId="34" fillId="0" borderId="4" xfId="0" applyNumberFormat="1" applyFont="1" applyBorder="1" applyAlignment="1">
      <alignment horizontal="right" vertical="center"/>
    </xf>
    <xf numFmtId="49" fontId="34" fillId="0" borderId="44" xfId="0" applyNumberFormat="1" applyFont="1" applyBorder="1" applyAlignment="1">
      <alignment horizontal="right" vertical="center"/>
    </xf>
    <xf numFmtId="4" fontId="34" fillId="0" borderId="4" xfId="0" applyNumberFormat="1" applyFont="1" applyBorder="1" applyAlignment="1">
      <alignment horizontal="right" vertical="center"/>
    </xf>
    <xf numFmtId="4" fontId="34" fillId="0" borderId="52" xfId="0" applyNumberFormat="1" applyFont="1" applyBorder="1" applyAlignment="1">
      <alignment horizontal="right" vertical="center"/>
    </xf>
    <xf numFmtId="0" fontId="23" fillId="0" borderId="23" xfId="0" applyFont="1" applyBorder="1" applyAlignment="1">
      <alignment horizontal="center" vertical="center"/>
    </xf>
    <xf numFmtId="0" fontId="45" fillId="0" borderId="4" xfId="0" applyFont="1" applyBorder="1" applyAlignment="1">
      <alignment horizontal="center" vertical="center"/>
    </xf>
    <xf numFmtId="0" fontId="45" fillId="0" borderId="52" xfId="0" applyFont="1" applyBorder="1" applyAlignment="1">
      <alignment horizontal="center" vertical="center"/>
    </xf>
    <xf numFmtId="0" fontId="45" fillId="0" borderId="44" xfId="0" applyFont="1" applyBorder="1" applyAlignment="1">
      <alignment horizontal="center" vertical="center"/>
    </xf>
    <xf numFmtId="0" fontId="45" fillId="0" borderId="23" xfId="0" applyFont="1" applyBorder="1" applyAlignment="1">
      <alignment horizontal="center" vertical="center" wrapText="1"/>
    </xf>
    <xf numFmtId="0" fontId="45" fillId="0" borderId="20" xfId="0" applyFont="1" applyBorder="1" applyAlignment="1">
      <alignment horizontal="center" vertical="center" wrapText="1"/>
    </xf>
    <xf numFmtId="4" fontId="34" fillId="0" borderId="44" xfId="0" applyNumberFormat="1" applyFont="1" applyBorder="1" applyAlignment="1">
      <alignment horizontal="right" vertical="center"/>
    </xf>
    <xf numFmtId="49" fontId="15" fillId="0" borderId="4" xfId="0" applyNumberFormat="1" applyFont="1" applyBorder="1" applyAlignment="1">
      <alignment horizontal="left" vertical="top" wrapText="1"/>
    </xf>
    <xf numFmtId="49" fontId="15" fillId="0" borderId="52" xfId="0" applyNumberFormat="1" applyFont="1" applyBorder="1" applyAlignment="1">
      <alignment horizontal="left" vertical="top" wrapText="1"/>
    </xf>
    <xf numFmtId="49" fontId="15" fillId="0" borderId="44" xfId="0" applyNumberFormat="1" applyFont="1" applyBorder="1" applyAlignment="1">
      <alignment horizontal="left" vertical="top" wrapText="1"/>
    </xf>
    <xf numFmtId="4" fontId="33" fillId="0" borderId="5" xfId="0" applyNumberFormat="1" applyFont="1" applyBorder="1" applyAlignment="1">
      <alignment horizontal="center"/>
    </xf>
    <xf numFmtId="4" fontId="33" fillId="0" borderId="18" xfId="0" applyNumberFormat="1" applyFont="1" applyBorder="1" applyAlignment="1">
      <alignment horizontal="center"/>
    </xf>
    <xf numFmtId="4" fontId="36" fillId="0" borderId="18" xfId="0" applyNumberFormat="1" applyFont="1" applyBorder="1" applyAlignment="1">
      <alignment horizontal="right"/>
    </xf>
    <xf numFmtId="4" fontId="36" fillId="0" borderId="45" xfId="0" applyNumberFormat="1" applyFont="1" applyBorder="1" applyAlignment="1">
      <alignment horizontal="right"/>
    </xf>
    <xf numFmtId="4" fontId="36" fillId="0" borderId="5" xfId="0" applyNumberFormat="1" applyFont="1" applyBorder="1" applyAlignment="1">
      <alignment horizontal="center"/>
    </xf>
    <xf numFmtId="4" fontId="36" fillId="0" borderId="18" xfId="0" applyNumberFormat="1" applyFont="1" applyBorder="1" applyAlignment="1">
      <alignment horizontal="center"/>
    </xf>
    <xf numFmtId="4" fontId="33" fillId="0" borderId="4" xfId="0" applyNumberFormat="1" applyFont="1" applyBorder="1" applyAlignment="1">
      <alignment horizontal="right"/>
    </xf>
    <xf numFmtId="4" fontId="33" fillId="0" borderId="52" xfId="0" applyNumberFormat="1" applyFont="1" applyBorder="1" applyAlignment="1">
      <alignment horizontal="right"/>
    </xf>
    <xf numFmtId="4" fontId="33" fillId="0" borderId="18" xfId="0" applyNumberFormat="1" applyFont="1" applyBorder="1" applyAlignment="1">
      <alignment horizontal="right"/>
    </xf>
    <xf numFmtId="4" fontId="33" fillId="0" borderId="45" xfId="0" applyNumberFormat="1" applyFont="1" applyBorder="1" applyAlignment="1">
      <alignment horizontal="right"/>
    </xf>
    <xf numFmtId="49" fontId="23" fillId="0" borderId="4" xfId="0" applyNumberFormat="1" applyFont="1" applyBorder="1" applyAlignment="1">
      <alignment horizontal="center"/>
    </xf>
    <xf numFmtId="49" fontId="23" fillId="0" borderId="44" xfId="0" applyNumberFormat="1" applyFont="1" applyBorder="1" applyAlignment="1">
      <alignment horizontal="center"/>
    </xf>
    <xf numFmtId="49" fontId="23" fillId="0" borderId="24" xfId="0" applyNumberFormat="1" applyFont="1" applyBorder="1" applyAlignment="1">
      <alignment horizontal="center"/>
    </xf>
    <xf numFmtId="49" fontId="23" fillId="0" borderId="18" xfId="0" applyNumberFormat="1" applyFont="1" applyBorder="1" applyAlignment="1">
      <alignment horizontal="center"/>
    </xf>
    <xf numFmtId="49" fontId="5" fillId="0" borderId="4" xfId="0" applyNumberFormat="1" applyFont="1" applyBorder="1" applyAlignment="1">
      <alignment horizontal="center"/>
    </xf>
    <xf numFmtId="49" fontId="5" fillId="0" borderId="44" xfId="0" applyNumberFormat="1" applyFont="1" applyBorder="1" applyAlignment="1">
      <alignment horizontal="center"/>
    </xf>
    <xf numFmtId="0" fontId="24" fillId="0" borderId="2" xfId="0" applyFont="1" applyBorder="1" applyAlignment="1">
      <alignment horizontal="center"/>
    </xf>
    <xf numFmtId="0" fontId="45" fillId="0" borderId="23" xfId="0" applyFont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17" xfId="0" applyFont="1" applyBorder="1" applyAlignment="1">
      <alignment horizontal="center" vertical="center" wrapText="1"/>
    </xf>
    <xf numFmtId="0" fontId="45" fillId="0" borderId="19" xfId="0" applyFont="1" applyBorder="1" applyAlignment="1">
      <alignment horizontal="center" vertical="center" wrapText="1"/>
    </xf>
    <xf numFmtId="0" fontId="45" fillId="0" borderId="22" xfId="0" applyFont="1" applyBorder="1" applyAlignment="1">
      <alignment horizontal="center" vertical="top" wrapText="1"/>
    </xf>
    <xf numFmtId="0" fontId="45" fillId="0" borderId="3" xfId="0" applyFont="1" applyBorder="1" applyAlignment="1">
      <alignment horizontal="center" vertical="top" wrapText="1"/>
    </xf>
    <xf numFmtId="0" fontId="45" fillId="0" borderId="4" xfId="0" applyFont="1" applyBorder="1" applyAlignment="1">
      <alignment horizontal="center" vertical="center" wrapText="1"/>
    </xf>
    <xf numFmtId="0" fontId="45" fillId="0" borderId="52" xfId="0" applyFont="1" applyBorder="1" applyAlignment="1">
      <alignment horizontal="center" vertical="center" wrapText="1"/>
    </xf>
    <xf numFmtId="0" fontId="45" fillId="0" borderId="44" xfId="0" applyFont="1" applyBorder="1" applyAlignment="1">
      <alignment horizontal="center" vertical="center" wrapText="1"/>
    </xf>
    <xf numFmtId="0" fontId="45" fillId="0" borderId="3" xfId="0" applyFont="1" applyBorder="1" applyAlignment="1">
      <alignment horizontal="center" vertical="center" wrapText="1"/>
    </xf>
    <xf numFmtId="0" fontId="45" fillId="0" borderId="4" xfId="0" applyFont="1" applyBorder="1" applyAlignment="1">
      <alignment horizontal="center" vertical="top" wrapText="1"/>
    </xf>
    <xf numFmtId="0" fontId="45" fillId="0" borderId="44" xfId="0" applyFont="1" applyBorder="1" applyAlignment="1">
      <alignment horizontal="center" vertical="top" wrapText="1"/>
    </xf>
    <xf numFmtId="0" fontId="45" fillId="0" borderId="52" xfId="0" applyFont="1" applyBorder="1" applyAlignment="1">
      <alignment horizontal="center" vertical="top" wrapText="1"/>
    </xf>
    <xf numFmtId="0" fontId="45" fillId="0" borderId="45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right"/>
    </xf>
    <xf numFmtId="0" fontId="45" fillId="0" borderId="0" xfId="0" applyFont="1" applyBorder="1" applyAlignment="1">
      <alignment horizontal="center" vertical="center" wrapText="1"/>
    </xf>
    <xf numFmtId="0" fontId="45" fillId="0" borderId="5" xfId="0" applyFont="1" applyBorder="1" applyAlignment="1">
      <alignment horizontal="center" vertical="center" wrapText="1"/>
    </xf>
    <xf numFmtId="0" fontId="45" fillId="0" borderId="2" xfId="0" applyFont="1" applyBorder="1" applyAlignment="1">
      <alignment horizontal="center" vertical="center" wrapText="1"/>
    </xf>
    <xf numFmtId="0" fontId="45" fillId="0" borderId="18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39" fillId="0" borderId="2" xfId="0" applyNumberFormat="1" applyFont="1" applyBorder="1" applyAlignment="1">
      <alignment horizontal="center"/>
    </xf>
    <xf numFmtId="0" fontId="34" fillId="0" borderId="4" xfId="0" applyFont="1" applyBorder="1" applyAlignment="1">
      <alignment horizontal="center" vertical="center"/>
    </xf>
    <xf numFmtId="0" fontId="34" fillId="0" borderId="44" xfId="0" applyFont="1" applyBorder="1" applyAlignment="1">
      <alignment horizontal="center" vertical="center"/>
    </xf>
    <xf numFmtId="2" fontId="36" fillId="0" borderId="4" xfId="0" applyNumberFormat="1" applyFont="1" applyBorder="1" applyAlignment="1">
      <alignment horizontal="right"/>
    </xf>
    <xf numFmtId="2" fontId="36" fillId="0" borderId="44" xfId="0" applyNumberFormat="1" applyFont="1" applyBorder="1" applyAlignment="1">
      <alignment horizontal="right"/>
    </xf>
    <xf numFmtId="0" fontId="24" fillId="0" borderId="18" xfId="0" applyFont="1" applyBorder="1" applyAlignment="1">
      <alignment horizontal="center"/>
    </xf>
    <xf numFmtId="0" fontId="26" fillId="0" borderId="24" xfId="0" applyFont="1" applyBorder="1" applyAlignment="1">
      <alignment horizontal="center"/>
    </xf>
    <xf numFmtId="0" fontId="26" fillId="0" borderId="0" xfId="0" applyFont="1" applyBorder="1" applyAlignment="1">
      <alignment horizontal="center" vertical="top"/>
    </xf>
    <xf numFmtId="0" fontId="34" fillId="0" borderId="23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49" fontId="28" fillId="0" borderId="70" xfId="0" applyNumberFormat="1" applyFont="1" applyBorder="1" applyAlignment="1">
      <alignment horizontal="center" vertical="top"/>
    </xf>
    <xf numFmtId="0" fontId="23" fillId="0" borderId="42" xfId="0" applyFont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33" fillId="0" borderId="44" xfId="0" applyNumberFormat="1" applyFont="1" applyBorder="1" applyAlignment="1">
      <alignment horizontal="center"/>
    </xf>
    <xf numFmtId="0" fontId="33" fillId="0" borderId="1" xfId="0" applyNumberFormat="1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44" xfId="0" applyFont="1" applyBorder="1" applyAlignment="1">
      <alignment horizontal="center"/>
    </xf>
    <xf numFmtId="4" fontId="31" fillId="0" borderId="4" xfId="0" applyNumberFormat="1" applyFont="1" applyBorder="1" applyAlignment="1">
      <alignment horizontal="right"/>
    </xf>
    <xf numFmtId="4" fontId="31" fillId="0" borderId="52" xfId="0" applyNumberFormat="1" applyFont="1" applyBorder="1" applyAlignment="1">
      <alignment horizontal="right"/>
    </xf>
    <xf numFmtId="4" fontId="16" fillId="0" borderId="4" xfId="0" applyNumberFormat="1" applyFont="1" applyBorder="1" applyAlignment="1">
      <alignment horizontal="right"/>
    </xf>
    <xf numFmtId="4" fontId="16" fillId="0" borderId="52" xfId="0" applyNumberFormat="1" applyFont="1" applyBorder="1" applyAlignment="1">
      <alignment horizontal="right"/>
    </xf>
    <xf numFmtId="4" fontId="16" fillId="0" borderId="44" xfId="0" applyNumberFormat="1" applyFont="1" applyBorder="1" applyAlignment="1">
      <alignment horizontal="right"/>
    </xf>
    <xf numFmtId="4" fontId="33" fillId="0" borderId="44" xfId="0" applyNumberFormat="1" applyFont="1" applyBorder="1" applyAlignment="1">
      <alignment horizontal="right"/>
    </xf>
    <xf numFmtId="4" fontId="15" fillId="0" borderId="5" xfId="0" applyNumberFormat="1" applyFont="1" applyBorder="1" applyAlignment="1">
      <alignment horizontal="right"/>
    </xf>
    <xf numFmtId="4" fontId="15" fillId="0" borderId="2" xfId="0" applyNumberFormat="1" applyFont="1" applyBorder="1" applyAlignment="1">
      <alignment horizontal="right"/>
    </xf>
    <xf numFmtId="4" fontId="31" fillId="0" borderId="44" xfId="0" applyNumberFormat="1" applyFont="1" applyBorder="1" applyAlignment="1">
      <alignment horizontal="right"/>
    </xf>
    <xf numFmtId="0" fontId="33" fillId="0" borderId="44" xfId="0" applyNumberFormat="1" applyFont="1" applyBorder="1" applyAlignment="1">
      <alignment horizontal="right"/>
    </xf>
    <xf numFmtId="0" fontId="33" fillId="0" borderId="1" xfId="0" applyNumberFormat="1" applyFont="1" applyBorder="1" applyAlignment="1">
      <alignment horizontal="right"/>
    </xf>
    <xf numFmtId="0" fontId="0" fillId="0" borderId="0" xfId="0" applyAlignment="1">
      <alignment horizontal="center"/>
    </xf>
    <xf numFmtId="0" fontId="41" fillId="0" borderId="1" xfId="0" applyFont="1" applyBorder="1" applyAlignment="1">
      <alignment horizontal="center" vertical="center" wrapText="1"/>
    </xf>
    <xf numFmtId="49" fontId="17" fillId="0" borderId="1" xfId="0" applyNumberFormat="1" applyFont="1" applyBorder="1" applyAlignment="1">
      <alignment horizontal="left"/>
    </xf>
    <xf numFmtId="49" fontId="17" fillId="0" borderId="1" xfId="0" applyNumberFormat="1" applyFont="1" applyBorder="1" applyAlignment="1">
      <alignment horizontal="left" vertical="top"/>
    </xf>
    <xf numFmtId="0" fontId="0" fillId="0" borderId="23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17" fillId="0" borderId="23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17" fillId="0" borderId="45" xfId="0" applyFont="1" applyBorder="1" applyAlignment="1">
      <alignment horizontal="center" vertical="center" wrapText="1"/>
    </xf>
    <xf numFmtId="0" fontId="32" fillId="0" borderId="17" xfId="0" applyFont="1" applyBorder="1" applyAlignment="1">
      <alignment horizontal="center" vertical="top"/>
    </xf>
    <xf numFmtId="0" fontId="32" fillId="0" borderId="0" xfId="0" applyFont="1" applyBorder="1" applyAlignment="1">
      <alignment horizontal="center" vertical="top"/>
    </xf>
    <xf numFmtId="0" fontId="32" fillId="0" borderId="19" xfId="0" applyFont="1" applyBorder="1" applyAlignment="1">
      <alignment horizontal="center" vertical="top"/>
    </xf>
    <xf numFmtId="0" fontId="34" fillId="0" borderId="0" xfId="0" applyFont="1" applyBorder="1" applyAlignment="1">
      <alignment horizontal="center"/>
    </xf>
    <xf numFmtId="49" fontId="39" fillId="0" borderId="2" xfId="0" applyNumberFormat="1" applyFont="1" applyBorder="1" applyAlignment="1">
      <alignment horizontal="left" wrapText="1"/>
    </xf>
    <xf numFmtId="0" fontId="32" fillId="0" borderId="0" xfId="0" applyFont="1" applyBorder="1" applyAlignment="1">
      <alignment horizontal="center"/>
    </xf>
    <xf numFmtId="0" fontId="32" fillId="0" borderId="3" xfId="0" applyFont="1" applyBorder="1" applyAlignment="1">
      <alignment horizontal="center"/>
    </xf>
    <xf numFmtId="0" fontId="39" fillId="0" borderId="2" xfId="0" applyFont="1" applyBorder="1" applyAlignment="1">
      <alignment horizontal="left"/>
    </xf>
    <xf numFmtId="49" fontId="34" fillId="0" borderId="2" xfId="0" applyNumberFormat="1" applyFont="1" applyBorder="1" applyAlignment="1">
      <alignment horizontal="center"/>
    </xf>
    <xf numFmtId="0" fontId="34" fillId="0" borderId="2" xfId="0" applyFont="1" applyBorder="1" applyAlignment="1">
      <alignment horizontal="center"/>
    </xf>
    <xf numFmtId="49" fontId="34" fillId="0" borderId="6" xfId="0" applyNumberFormat="1" applyFont="1" applyBorder="1" applyAlignment="1">
      <alignment horizontal="center"/>
    </xf>
    <xf numFmtId="49" fontId="34" fillId="0" borderId="68" xfId="0" applyNumberFormat="1" applyFont="1" applyBorder="1" applyAlignment="1">
      <alignment horizontal="center"/>
    </xf>
    <xf numFmtId="49" fontId="34" fillId="0" borderId="62" xfId="0" applyNumberFormat="1" applyFont="1" applyBorder="1" applyAlignment="1">
      <alignment horizontal="center"/>
    </xf>
    <xf numFmtId="49" fontId="34" fillId="0" borderId="60" xfId="0" applyNumberFormat="1" applyFont="1" applyBorder="1" applyAlignment="1">
      <alignment horizontal="center"/>
    </xf>
    <xf numFmtId="49" fontId="34" fillId="0" borderId="52" xfId="0" applyNumberFormat="1" applyFont="1" applyBorder="1" applyAlignment="1">
      <alignment horizontal="center"/>
    </xf>
    <xf numFmtId="49" fontId="34" fillId="0" borderId="57" xfId="0" applyNumberFormat="1" applyFont="1" applyBorder="1" applyAlignment="1">
      <alignment horizontal="center"/>
    </xf>
    <xf numFmtId="0" fontId="43" fillId="0" borderId="0" xfId="0" applyFont="1" applyAlignment="1">
      <alignment horizontal="center"/>
    </xf>
    <xf numFmtId="49" fontId="34" fillId="0" borderId="70" xfId="0" applyNumberFormat="1" applyFont="1" applyBorder="1" applyAlignment="1">
      <alignment horizontal="center"/>
    </xf>
    <xf numFmtId="49" fontId="34" fillId="0" borderId="56" xfId="0" applyNumberFormat="1" applyFont="1" applyBorder="1" applyAlignment="1">
      <alignment horizontal="center"/>
    </xf>
    <xf numFmtId="49" fontId="34" fillId="0" borderId="72" xfId="0" applyNumberFormat="1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24" xfId="0" applyFont="1" applyBorder="1" applyAlignment="1">
      <alignment horizontal="center"/>
    </xf>
    <xf numFmtId="49" fontId="34" fillId="0" borderId="41" xfId="0" applyNumberFormat="1" applyFont="1" applyBorder="1" applyAlignment="1">
      <alignment horizontal="center"/>
    </xf>
    <xf numFmtId="49" fontId="34" fillId="0" borderId="42" xfId="0" applyNumberFormat="1" applyFont="1" applyBorder="1" applyAlignment="1">
      <alignment horizontal="center"/>
    </xf>
    <xf numFmtId="49" fontId="34" fillId="0" borderId="43" xfId="0" applyNumberFormat="1" applyFont="1" applyBorder="1" applyAlignment="1">
      <alignment horizontal="center"/>
    </xf>
    <xf numFmtId="49" fontId="34" fillId="0" borderId="0" xfId="0" applyNumberFormat="1" applyFont="1" applyBorder="1" applyAlignment="1">
      <alignment horizontal="center"/>
    </xf>
    <xf numFmtId="0" fontId="58" fillId="0" borderId="22" xfId="0" applyNumberFormat="1" applyFont="1" applyBorder="1" applyAlignment="1">
      <alignment horizontal="center" vertical="center"/>
    </xf>
    <xf numFmtId="0" fontId="58" fillId="0" borderId="3" xfId="0" applyNumberFormat="1" applyFont="1" applyBorder="1" applyAlignment="1">
      <alignment horizontal="center" vertical="center"/>
    </xf>
    <xf numFmtId="0" fontId="58" fillId="0" borderId="24" xfId="0" applyNumberFormat="1" applyFont="1" applyBorder="1" applyAlignment="1">
      <alignment horizontal="center" vertical="center"/>
    </xf>
    <xf numFmtId="0" fontId="58" fillId="0" borderId="17" xfId="0" applyNumberFormat="1" applyFont="1" applyBorder="1" applyAlignment="1">
      <alignment horizontal="center" vertical="center"/>
    </xf>
    <xf numFmtId="0" fontId="58" fillId="0" borderId="0" xfId="0" applyNumberFormat="1" applyFont="1" applyBorder="1" applyAlignment="1">
      <alignment horizontal="center" vertical="center"/>
    </xf>
    <xf numFmtId="0" fontId="58" fillId="0" borderId="19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right" vertical="top" wrapText="1"/>
    </xf>
    <xf numFmtId="0" fontId="34" fillId="0" borderId="0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 vertical="center" wrapText="1"/>
    </xf>
    <xf numFmtId="0" fontId="34" fillId="0" borderId="45" xfId="0" applyFont="1" applyBorder="1" applyAlignment="1">
      <alignment horizontal="center" vertical="center" wrapText="1"/>
    </xf>
    <xf numFmtId="166" fontId="34" fillId="0" borderId="1" xfId="0" applyNumberFormat="1" applyFont="1" applyBorder="1" applyAlignment="1">
      <alignment horizontal="right" vertical="top" wrapText="1"/>
    </xf>
    <xf numFmtId="4" fontId="34" fillId="0" borderId="1" xfId="0" applyNumberFormat="1" applyFont="1" applyBorder="1" applyAlignment="1">
      <alignment horizontal="right" vertical="top" wrapText="1"/>
    </xf>
    <xf numFmtId="0" fontId="34" fillId="0" borderId="22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49" fontId="34" fillId="0" borderId="1" xfId="0" applyNumberFormat="1" applyFont="1" applyBorder="1" applyAlignment="1">
      <alignment horizontal="left" vertical="top" wrapText="1"/>
    </xf>
    <xf numFmtId="0" fontId="34" fillId="0" borderId="1" xfId="0" applyFont="1" applyFill="1" applyBorder="1" applyAlignment="1">
      <alignment horizontal="center" vertical="top" wrapText="1"/>
    </xf>
    <xf numFmtId="0" fontId="34" fillId="0" borderId="4" xfId="0" applyFont="1" applyFill="1" applyBorder="1" applyAlignment="1">
      <alignment horizontal="center" vertical="center" wrapText="1"/>
    </xf>
    <xf numFmtId="0" fontId="34" fillId="0" borderId="52" xfId="0" applyFont="1" applyFill="1" applyBorder="1" applyAlignment="1">
      <alignment horizontal="center" vertical="center" wrapText="1"/>
    </xf>
    <xf numFmtId="0" fontId="34" fillId="0" borderId="44" xfId="0" applyFont="1" applyFill="1" applyBorder="1" applyAlignment="1">
      <alignment horizontal="center" vertical="center" wrapText="1"/>
    </xf>
    <xf numFmtId="0" fontId="34" fillId="0" borderId="1" xfId="0" applyFont="1" applyFill="1" applyBorder="1" applyAlignment="1">
      <alignment horizontal="center" vertical="center" wrapText="1"/>
    </xf>
    <xf numFmtId="0" fontId="34" fillId="0" borderId="4" xfId="0" applyFont="1" applyFill="1" applyBorder="1" applyAlignment="1">
      <alignment horizontal="center" vertical="top" wrapText="1"/>
    </xf>
    <xf numFmtId="0" fontId="34" fillId="0" borderId="52" xfId="0" applyFont="1" applyFill="1" applyBorder="1" applyAlignment="1">
      <alignment horizontal="center" vertical="top" wrapText="1"/>
    </xf>
    <xf numFmtId="0" fontId="34" fillId="0" borderId="44" xfId="0" applyFont="1" applyFill="1" applyBorder="1" applyAlignment="1">
      <alignment horizontal="center" vertical="top" wrapText="1"/>
    </xf>
    <xf numFmtId="0" fontId="34" fillId="0" borderId="22" xfId="0" applyFont="1" applyFill="1" applyBorder="1" applyAlignment="1">
      <alignment horizontal="center" vertical="center"/>
    </xf>
    <xf numFmtId="0" fontId="34" fillId="0" borderId="3" xfId="0" applyFont="1" applyFill="1" applyBorder="1" applyAlignment="1">
      <alignment horizontal="center" vertical="center"/>
    </xf>
    <xf numFmtId="0" fontId="34" fillId="0" borderId="24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4" fontId="34" fillId="0" borderId="1" xfId="0" applyNumberFormat="1" applyFont="1" applyFill="1" applyBorder="1" applyAlignment="1">
      <alignment horizontal="right" vertical="top" wrapText="1"/>
    </xf>
    <xf numFmtId="166" fontId="34" fillId="0" borderId="1" xfId="0" applyNumberFormat="1" applyFont="1" applyFill="1" applyBorder="1" applyAlignment="1">
      <alignment horizontal="right" vertical="top" wrapText="1"/>
    </xf>
    <xf numFmtId="0" fontId="34" fillId="0" borderId="1" xfId="0" applyNumberFormat="1" applyFont="1" applyFill="1" applyBorder="1" applyAlignment="1">
      <alignment horizontal="left" wrapText="1"/>
    </xf>
    <xf numFmtId="0" fontId="34" fillId="0" borderId="0" xfId="0" applyNumberFormat="1" applyFont="1" applyFill="1" applyBorder="1" applyAlignment="1">
      <alignment horizontal="center"/>
    </xf>
    <xf numFmtId="0" fontId="34" fillId="0" borderId="0" xfId="0" applyNumberFormat="1" applyFont="1" applyFill="1" applyBorder="1" applyAlignment="1">
      <alignment horizontal="left" wrapText="1"/>
    </xf>
    <xf numFmtId="0" fontId="34" fillId="0" borderId="1" xfId="0" applyFont="1" applyBorder="1" applyAlignment="1">
      <alignment horizontal="center" vertical="top"/>
    </xf>
    <xf numFmtId="0" fontId="34" fillId="0" borderId="45" xfId="0" applyFont="1" applyFill="1" applyBorder="1" applyAlignment="1">
      <alignment horizontal="center" vertical="top" wrapText="1"/>
    </xf>
    <xf numFmtId="0" fontId="34" fillId="0" borderId="22" xfId="0" applyFont="1" applyFill="1" applyBorder="1" applyAlignment="1">
      <alignment horizontal="center" vertical="top" wrapText="1"/>
    </xf>
    <xf numFmtId="0" fontId="34" fillId="0" borderId="3" xfId="0" applyFont="1" applyFill="1" applyBorder="1" applyAlignment="1">
      <alignment horizontal="center" vertical="top" wrapText="1"/>
    </xf>
    <xf numFmtId="0" fontId="34" fillId="0" borderId="24" xfId="0" applyFont="1" applyFill="1" applyBorder="1" applyAlignment="1">
      <alignment horizontal="center" vertical="top" wrapText="1"/>
    </xf>
    <xf numFmtId="0" fontId="34" fillId="0" borderId="17" xfId="0" applyFont="1" applyFill="1" applyBorder="1" applyAlignment="1">
      <alignment horizontal="center" vertical="top" wrapText="1"/>
    </xf>
    <xf numFmtId="0" fontId="34" fillId="0" borderId="0" xfId="0" applyFont="1" applyFill="1" applyBorder="1" applyAlignment="1">
      <alignment horizontal="center" vertical="top" wrapText="1"/>
    </xf>
    <xf numFmtId="0" fontId="34" fillId="0" borderId="19" xfId="0" applyFont="1" applyFill="1" applyBorder="1" applyAlignment="1">
      <alignment horizontal="center" vertical="top" wrapText="1"/>
    </xf>
    <xf numFmtId="0" fontId="34" fillId="0" borderId="5" xfId="0" applyFont="1" applyFill="1" applyBorder="1" applyAlignment="1">
      <alignment horizontal="center" vertical="top" wrapText="1"/>
    </xf>
    <xf numFmtId="0" fontId="34" fillId="0" borderId="2" xfId="0" applyFont="1" applyFill="1" applyBorder="1" applyAlignment="1">
      <alignment horizontal="center" vertical="top" wrapText="1"/>
    </xf>
    <xf numFmtId="0" fontId="34" fillId="0" borderId="18" xfId="0" applyFont="1" applyFill="1" applyBorder="1" applyAlignment="1">
      <alignment horizontal="center" vertical="top" wrapText="1"/>
    </xf>
    <xf numFmtId="0" fontId="58" fillId="0" borderId="5" xfId="0" applyNumberFormat="1" applyFont="1" applyBorder="1" applyAlignment="1">
      <alignment horizontal="center" vertical="top"/>
    </xf>
    <xf numFmtId="0" fontId="58" fillId="0" borderId="2" xfId="0" applyNumberFormat="1" applyFont="1" applyBorder="1" applyAlignment="1">
      <alignment horizontal="center" vertical="top"/>
    </xf>
    <xf numFmtId="0" fontId="58" fillId="0" borderId="18" xfId="0" applyNumberFormat="1" applyFont="1" applyBorder="1" applyAlignment="1">
      <alignment horizontal="center" vertical="top"/>
    </xf>
    <xf numFmtId="0" fontId="34" fillId="0" borderId="22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13" fillId="0" borderId="52" xfId="0" applyNumberFormat="1" applyFont="1" applyBorder="1" applyAlignment="1">
      <alignment horizontal="center"/>
    </xf>
    <xf numFmtId="49" fontId="60" fillId="0" borderId="2" xfId="0" applyNumberFormat="1" applyFont="1" applyBorder="1" applyAlignment="1">
      <alignment horizontal="center"/>
    </xf>
    <xf numFmtId="0" fontId="60" fillId="0" borderId="2" xfId="0" applyFont="1" applyBorder="1" applyAlignment="1">
      <alignment horizontal="center"/>
    </xf>
    <xf numFmtId="0" fontId="111" fillId="0" borderId="3" xfId="0" applyFont="1" applyBorder="1" applyAlignment="1">
      <alignment horizontal="center"/>
    </xf>
    <xf numFmtId="0" fontId="111" fillId="0" borderId="0" xfId="0" applyFont="1" applyBorder="1" applyAlignment="1">
      <alignment horizontal="center"/>
    </xf>
    <xf numFmtId="49" fontId="13" fillId="0" borderId="2" xfId="0" applyNumberFormat="1" applyFont="1" applyBorder="1" applyAlignment="1">
      <alignment horizontal="center"/>
    </xf>
    <xf numFmtId="49" fontId="13" fillId="0" borderId="2" xfId="0" applyNumberFormat="1" applyFont="1" applyBorder="1" applyAlignment="1">
      <alignment horizontal="left"/>
    </xf>
    <xf numFmtId="0" fontId="13" fillId="0" borderId="2" xfId="0" applyNumberFormat="1" applyFont="1" applyBorder="1" applyAlignment="1">
      <alignment horizontal="center"/>
    </xf>
    <xf numFmtId="1" fontId="39" fillId="0" borderId="2" xfId="0" applyNumberFormat="1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4" fillId="0" borderId="2" xfId="0" applyFont="1" applyBorder="1" applyAlignment="1">
      <alignment horizontal="left"/>
    </xf>
    <xf numFmtId="0" fontId="57" fillId="0" borderId="2" xfId="0" applyFont="1" applyBorder="1" applyAlignment="1">
      <alignment horizontal="center"/>
    </xf>
    <xf numFmtId="0" fontId="60" fillId="0" borderId="2" xfId="0" applyFont="1" applyBorder="1" applyAlignment="1">
      <alignment horizontal="left"/>
    </xf>
    <xf numFmtId="49" fontId="57" fillId="0" borderId="2" xfId="0" applyNumberFormat="1" applyFont="1" applyBorder="1" applyAlignment="1">
      <alignment horizontal="center"/>
    </xf>
    <xf numFmtId="0" fontId="57" fillId="0" borderId="0" xfId="0" applyFont="1" applyAlignment="1">
      <alignment horizontal="center"/>
    </xf>
    <xf numFmtId="0" fontId="39" fillId="0" borderId="2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13" fillId="0" borderId="4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49" fontId="13" fillId="0" borderId="4" xfId="0" applyNumberFormat="1" applyFont="1" applyBorder="1" applyAlignment="1">
      <alignment horizontal="center"/>
    </xf>
    <xf numFmtId="49" fontId="13" fillId="0" borderId="52" xfId="0" applyNumberFormat="1" applyFont="1" applyBorder="1" applyAlignment="1">
      <alignment horizontal="center"/>
    </xf>
    <xf numFmtId="49" fontId="13" fillId="0" borderId="44" xfId="0" applyNumberFormat="1" applyFont="1" applyBorder="1" applyAlignment="1">
      <alignment horizontal="center"/>
    </xf>
    <xf numFmtId="0" fontId="59" fillId="0" borderId="2" xfId="0" applyFont="1" applyBorder="1" applyAlignment="1">
      <alignment horizontal="left"/>
    </xf>
    <xf numFmtId="49" fontId="56" fillId="0" borderId="0" xfId="0" applyNumberFormat="1" applyFont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justify" wrapText="1"/>
    </xf>
    <xf numFmtId="0" fontId="13" fillId="0" borderId="52" xfId="0" applyFont="1" applyBorder="1" applyAlignment="1">
      <alignment horizontal="center"/>
    </xf>
    <xf numFmtId="0" fontId="57" fillId="0" borderId="0" xfId="0" applyFont="1" applyAlignment="1">
      <alignment horizontal="center" vertical="top"/>
    </xf>
    <xf numFmtId="0" fontId="59" fillId="0" borderId="52" xfId="0" applyFont="1" applyBorder="1" applyAlignment="1">
      <alignment horizontal="left"/>
    </xf>
    <xf numFmtId="0" fontId="57" fillId="0" borderId="0" xfId="0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56" fillId="0" borderId="0" xfId="0" applyFont="1" applyAlignment="1">
      <alignment horizontal="center"/>
    </xf>
    <xf numFmtId="0" fontId="13" fillId="0" borderId="2" xfId="0" applyFont="1" applyBorder="1" applyAlignment="1">
      <alignment horizontal="center"/>
    </xf>
    <xf numFmtId="0" fontId="59" fillId="0" borderId="2" xfId="0" applyFont="1" applyBorder="1" applyAlignment="1">
      <alignment horizontal="center"/>
    </xf>
    <xf numFmtId="0" fontId="13" fillId="0" borderId="22" xfId="0" applyFont="1" applyBorder="1" applyAlignment="1">
      <alignment horizontal="center" vertical="top" wrapText="1"/>
    </xf>
    <xf numFmtId="0" fontId="13" fillId="0" borderId="3" xfId="0" applyFont="1" applyBorder="1" applyAlignment="1">
      <alignment horizontal="center" vertical="top" wrapText="1"/>
    </xf>
    <xf numFmtId="0" fontId="13" fillId="0" borderId="24" xfId="0" applyFont="1" applyBorder="1" applyAlignment="1">
      <alignment horizontal="center" vertical="top" wrapText="1"/>
    </xf>
    <xf numFmtId="0" fontId="13" fillId="0" borderId="5" xfId="0" applyFont="1" applyBorder="1" applyAlignment="1">
      <alignment horizontal="center" vertical="top" wrapText="1"/>
    </xf>
    <xf numFmtId="0" fontId="13" fillId="0" borderId="2" xfId="0" applyFont="1" applyBorder="1" applyAlignment="1">
      <alignment horizontal="center" vertical="top" wrapText="1"/>
    </xf>
    <xf numFmtId="0" fontId="13" fillId="0" borderId="18" xfId="0" applyFont="1" applyBorder="1" applyAlignment="1">
      <alignment horizontal="center" vertical="top" wrapText="1"/>
    </xf>
    <xf numFmtId="0" fontId="13" fillId="0" borderId="4" xfId="0" applyFont="1" applyBorder="1" applyAlignment="1">
      <alignment horizontal="center"/>
    </xf>
    <xf numFmtId="0" fontId="13" fillId="0" borderId="44" xfId="0" applyFont="1" applyBorder="1" applyAlignment="1">
      <alignment horizontal="center"/>
    </xf>
    <xf numFmtId="49" fontId="13" fillId="0" borderId="2" xfId="0" applyNumberFormat="1" applyFont="1" applyBorder="1" applyAlignment="1">
      <alignment horizontal="center" vertical="top" wrapText="1"/>
    </xf>
    <xf numFmtId="0" fontId="13" fillId="0" borderId="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49" fontId="57" fillId="0" borderId="4" xfId="0" applyNumberFormat="1" applyFont="1" applyBorder="1" applyAlignment="1">
      <alignment horizontal="right" vertical="top"/>
    </xf>
    <xf numFmtId="49" fontId="57" fillId="0" borderId="52" xfId="0" applyNumberFormat="1" applyFont="1" applyBorder="1" applyAlignment="1">
      <alignment horizontal="right" vertical="top"/>
    </xf>
    <xf numFmtId="49" fontId="57" fillId="0" borderId="44" xfId="0" applyNumberFormat="1" applyFont="1" applyBorder="1" applyAlignment="1">
      <alignment horizontal="right" vertical="top"/>
    </xf>
    <xf numFmtId="0" fontId="13" fillId="0" borderId="23" xfId="0" applyFont="1" applyBorder="1" applyAlignment="1">
      <alignment horizontal="center" vertical="top" wrapText="1"/>
    </xf>
    <xf numFmtId="0" fontId="13" fillId="0" borderId="45" xfId="0" applyFont="1" applyBorder="1" applyAlignment="1">
      <alignment horizontal="center" vertical="top" wrapText="1"/>
    </xf>
    <xf numFmtId="4" fontId="57" fillId="0" borderId="4" xfId="0" applyNumberFormat="1" applyFont="1" applyBorder="1" applyAlignment="1">
      <alignment horizontal="right" vertical="top"/>
    </xf>
    <xf numFmtId="4" fontId="57" fillId="0" borderId="52" xfId="0" applyNumberFormat="1" applyFont="1" applyBorder="1" applyAlignment="1">
      <alignment horizontal="right" vertical="top"/>
    </xf>
    <xf numFmtId="4" fontId="57" fillId="0" borderId="44" xfId="0" applyNumberFormat="1" applyFont="1" applyBorder="1" applyAlignment="1">
      <alignment horizontal="right" vertical="top"/>
    </xf>
    <xf numFmtId="166" fontId="57" fillId="0" borderId="4" xfId="0" applyNumberFormat="1" applyFont="1" applyBorder="1" applyAlignment="1">
      <alignment horizontal="right" vertical="top"/>
    </xf>
    <xf numFmtId="166" fontId="57" fillId="0" borderId="52" xfId="0" applyNumberFormat="1" applyFont="1" applyBorder="1" applyAlignment="1">
      <alignment horizontal="right" vertical="top"/>
    </xf>
    <xf numFmtId="166" fontId="57" fillId="0" borderId="44" xfId="0" applyNumberFormat="1" applyFont="1" applyBorder="1" applyAlignment="1">
      <alignment horizontal="right" vertical="top"/>
    </xf>
    <xf numFmtId="0" fontId="57" fillId="0" borderId="4" xfId="0" applyFont="1" applyBorder="1" applyAlignment="1">
      <alignment horizontal="center"/>
    </xf>
    <xf numFmtId="0" fontId="57" fillId="0" borderId="52" xfId="0" applyFont="1" applyBorder="1" applyAlignment="1">
      <alignment horizontal="center"/>
    </xf>
    <xf numFmtId="0" fontId="57" fillId="0" borderId="44" xfId="0" applyFont="1" applyBorder="1" applyAlignment="1">
      <alignment horizontal="center"/>
    </xf>
    <xf numFmtId="49" fontId="57" fillId="0" borderId="4" xfId="0" applyNumberFormat="1" applyFont="1" applyBorder="1" applyAlignment="1">
      <alignment horizontal="center"/>
    </xf>
    <xf numFmtId="49" fontId="57" fillId="0" borderId="52" xfId="0" applyNumberFormat="1" applyFont="1" applyBorder="1" applyAlignment="1">
      <alignment horizontal="center"/>
    </xf>
    <xf numFmtId="49" fontId="57" fillId="0" borderId="44" xfId="0" applyNumberFormat="1" applyFont="1" applyBorder="1" applyAlignment="1">
      <alignment horizontal="center"/>
    </xf>
    <xf numFmtId="0" fontId="57" fillId="0" borderId="4" xfId="0" applyFont="1" applyBorder="1" applyAlignment="1">
      <alignment horizontal="center" vertical="top"/>
    </xf>
    <xf numFmtId="0" fontId="57" fillId="0" borderId="52" xfId="0" applyFont="1" applyBorder="1" applyAlignment="1">
      <alignment horizontal="center" vertical="top"/>
    </xf>
    <xf numFmtId="0" fontId="57" fillId="0" borderId="44" xfId="0" applyFont="1" applyBorder="1" applyAlignment="1">
      <alignment horizontal="center" vertical="top"/>
    </xf>
    <xf numFmtId="0" fontId="13" fillId="0" borderId="20" xfId="0" applyFont="1" applyBorder="1" applyAlignment="1">
      <alignment horizontal="center" vertical="top" wrapText="1"/>
    </xf>
    <xf numFmtId="0" fontId="13" fillId="0" borderId="1" xfId="0" applyFont="1" applyBorder="1" applyAlignment="1">
      <alignment horizontal="center" vertical="top"/>
    </xf>
    <xf numFmtId="0" fontId="13" fillId="0" borderId="23" xfId="0" applyFont="1" applyBorder="1" applyAlignment="1">
      <alignment horizontal="center" vertical="top"/>
    </xf>
    <xf numFmtId="0" fontId="13" fillId="0" borderId="45" xfId="0" applyFont="1" applyBorder="1" applyAlignment="1">
      <alignment horizontal="center" vertical="top"/>
    </xf>
    <xf numFmtId="0" fontId="13" fillId="0" borderId="22" xfId="0" applyFont="1" applyBorder="1" applyAlignment="1">
      <alignment horizontal="center" wrapText="1"/>
    </xf>
    <xf numFmtId="0" fontId="13" fillId="0" borderId="24" xfId="0" applyFont="1" applyBorder="1" applyAlignment="1">
      <alignment horizontal="center" wrapText="1"/>
    </xf>
    <xf numFmtId="0" fontId="13" fillId="0" borderId="5" xfId="0" applyFont="1" applyBorder="1" applyAlignment="1">
      <alignment horizontal="center" wrapText="1"/>
    </xf>
    <xf numFmtId="0" fontId="13" fillId="0" borderId="18" xfId="0" applyFont="1" applyBorder="1" applyAlignment="1">
      <alignment horizontal="center" wrapText="1"/>
    </xf>
    <xf numFmtId="0" fontId="13" fillId="0" borderId="1" xfId="0" applyFont="1" applyBorder="1" applyAlignment="1">
      <alignment horizontal="center" vertical="top" wrapText="1"/>
    </xf>
    <xf numFmtId="0" fontId="13" fillId="0" borderId="1" xfId="0" applyFont="1" applyBorder="1" applyAlignment="1">
      <alignment horizontal="center" wrapText="1"/>
    </xf>
    <xf numFmtId="0" fontId="13" fillId="0" borderId="22" xfId="0" applyFont="1" applyBorder="1" applyAlignment="1">
      <alignment horizontal="center" vertical="top"/>
    </xf>
    <xf numFmtId="0" fontId="13" fillId="0" borderId="3" xfId="0" applyFont="1" applyBorder="1" applyAlignment="1">
      <alignment horizontal="center" vertical="top"/>
    </xf>
    <xf numFmtId="0" fontId="13" fillId="0" borderId="24" xfId="0" applyFont="1" applyBorder="1" applyAlignment="1">
      <alignment horizontal="center" vertical="top"/>
    </xf>
    <xf numFmtId="0" fontId="13" fillId="0" borderId="5" xfId="0" applyFont="1" applyBorder="1" applyAlignment="1">
      <alignment horizontal="center" vertical="top"/>
    </xf>
    <xf numFmtId="0" fontId="13" fillId="0" borderId="2" xfId="0" applyFont="1" applyBorder="1" applyAlignment="1">
      <alignment horizontal="center" vertical="top"/>
    </xf>
    <xf numFmtId="0" fontId="13" fillId="0" borderId="18" xfId="0" applyFont="1" applyBorder="1" applyAlignment="1">
      <alignment horizontal="center" vertical="top"/>
    </xf>
    <xf numFmtId="0" fontId="13" fillId="0" borderId="0" xfId="0" applyFont="1" applyBorder="1" applyAlignment="1">
      <alignment horizontal="center"/>
    </xf>
    <xf numFmtId="49" fontId="59" fillId="0" borderId="2" xfId="0" applyNumberFormat="1" applyFont="1" applyBorder="1" applyAlignment="1">
      <alignment horizontal="center"/>
    </xf>
    <xf numFmtId="49" fontId="84" fillId="5" borderId="2" xfId="0" applyNumberFormat="1" applyFont="1" applyFill="1" applyBorder="1" applyAlignment="1">
      <alignment horizontal="center"/>
    </xf>
    <xf numFmtId="49" fontId="56" fillId="5" borderId="0" xfId="0" applyNumberFormat="1" applyFont="1" applyFill="1" applyBorder="1" applyAlignment="1">
      <alignment horizontal="left"/>
    </xf>
    <xf numFmtId="0" fontId="84" fillId="5" borderId="2" xfId="0" applyFont="1" applyFill="1" applyBorder="1" applyAlignment="1">
      <alignment horizontal="center"/>
    </xf>
    <xf numFmtId="49" fontId="84" fillId="5" borderId="2" xfId="0" applyNumberFormat="1" applyFont="1" applyFill="1" applyBorder="1" applyAlignment="1">
      <alignment horizontal="center" wrapText="1"/>
    </xf>
    <xf numFmtId="0" fontId="75" fillId="5" borderId="3" xfId="0" applyFont="1" applyFill="1" applyBorder="1" applyAlignment="1">
      <alignment horizontal="center"/>
    </xf>
    <xf numFmtId="0" fontId="87" fillId="0" borderId="2" xfId="0" applyFont="1" applyBorder="1" applyAlignment="1">
      <alignment horizontal="center"/>
    </xf>
    <xf numFmtId="49" fontId="84" fillId="0" borderId="2" xfId="0" applyNumberFormat="1" applyFont="1" applyBorder="1" applyAlignment="1">
      <alignment horizontal="center"/>
    </xf>
    <xf numFmtId="49" fontId="87" fillId="0" borderId="2" xfId="0" applyNumberFormat="1" applyFont="1" applyBorder="1" applyAlignment="1">
      <alignment horizontal="center" wrapText="1"/>
    </xf>
    <xf numFmtId="0" fontId="75" fillId="0" borderId="3" xfId="0" applyFont="1" applyBorder="1" applyAlignment="1">
      <alignment horizontal="center"/>
    </xf>
    <xf numFmtId="49" fontId="24" fillId="5" borderId="60" xfId="0" applyNumberFormat="1" applyFont="1" applyFill="1" applyBorder="1" applyAlignment="1">
      <alignment horizontal="center"/>
    </xf>
    <xf numFmtId="49" fontId="24" fillId="5" borderId="52" xfId="0" applyNumberFormat="1" applyFont="1" applyFill="1" applyBorder="1" applyAlignment="1">
      <alignment horizontal="center"/>
    </xf>
    <xf numFmtId="49" fontId="24" fillId="5" borderId="57" xfId="0" applyNumberFormat="1" applyFont="1" applyFill="1" applyBorder="1" applyAlignment="1">
      <alignment horizontal="center"/>
    </xf>
    <xf numFmtId="0" fontId="73" fillId="5" borderId="23" xfId="0" applyFont="1" applyFill="1" applyBorder="1" applyAlignment="1">
      <alignment horizontal="center" vertical="center" wrapText="1"/>
    </xf>
    <xf numFmtId="0" fontId="73" fillId="5" borderId="3" xfId="0" applyFont="1" applyFill="1" applyBorder="1" applyAlignment="1">
      <alignment horizontal="center" vertical="center" wrapText="1"/>
    </xf>
    <xf numFmtId="0" fontId="73" fillId="5" borderId="24" xfId="0" applyFont="1" applyFill="1" applyBorder="1" applyAlignment="1">
      <alignment horizontal="center" vertical="center" wrapText="1"/>
    </xf>
    <xf numFmtId="49" fontId="55" fillId="5" borderId="48" xfId="0" applyNumberFormat="1" applyFont="1" applyFill="1" applyBorder="1" applyAlignment="1">
      <alignment horizontal="center" vertical="center"/>
    </xf>
    <xf numFmtId="49" fontId="55" fillId="5" borderId="37" xfId="0" applyNumberFormat="1" applyFont="1" applyFill="1" applyBorder="1" applyAlignment="1">
      <alignment horizontal="center" vertical="center"/>
    </xf>
    <xf numFmtId="49" fontId="55" fillId="5" borderId="56" xfId="0" applyNumberFormat="1" applyFont="1" applyFill="1" applyBorder="1" applyAlignment="1">
      <alignment horizontal="center" vertical="center"/>
    </xf>
    <xf numFmtId="0" fontId="55" fillId="5" borderId="56" xfId="0" applyNumberFormat="1" applyFont="1" applyFill="1" applyBorder="1" applyAlignment="1">
      <alignment horizontal="center" vertical="center"/>
    </xf>
    <xf numFmtId="0" fontId="55" fillId="5" borderId="72" xfId="0" applyNumberFormat="1" applyFont="1" applyFill="1" applyBorder="1" applyAlignment="1">
      <alignment horizontal="center" vertical="center"/>
    </xf>
    <xf numFmtId="0" fontId="75" fillId="5" borderId="24" xfId="0" applyFont="1" applyFill="1" applyBorder="1" applyAlignment="1">
      <alignment horizontal="center"/>
    </xf>
    <xf numFmtId="0" fontId="73" fillId="5" borderId="22" xfId="0" applyFont="1" applyFill="1" applyBorder="1" applyAlignment="1">
      <alignment horizontal="right"/>
    </xf>
    <xf numFmtId="0" fontId="73" fillId="5" borderId="3" xfId="0" applyFont="1" applyFill="1" applyBorder="1" applyAlignment="1">
      <alignment horizontal="right"/>
    </xf>
    <xf numFmtId="0" fontId="73" fillId="5" borderId="5" xfId="0" applyFont="1" applyFill="1" applyBorder="1" applyAlignment="1">
      <alignment horizontal="right"/>
    </xf>
    <xf numFmtId="0" fontId="73" fillId="5" borderId="2" xfId="0" applyFont="1" applyFill="1" applyBorder="1" applyAlignment="1">
      <alignment horizontal="right"/>
    </xf>
    <xf numFmtId="49" fontId="24" fillId="5" borderId="39" xfId="0" applyNumberFormat="1" applyFont="1" applyFill="1" applyBorder="1" applyAlignment="1">
      <alignment horizontal="center"/>
    </xf>
    <xf numFmtId="49" fontId="24" fillId="5" borderId="3" xfId="0" applyNumberFormat="1" applyFont="1" applyFill="1" applyBorder="1" applyAlignment="1">
      <alignment horizontal="center"/>
    </xf>
    <xf numFmtId="49" fontId="24" fillId="5" borderId="36" xfId="0" applyNumberFormat="1" applyFont="1" applyFill="1" applyBorder="1" applyAlignment="1">
      <alignment horizontal="center"/>
    </xf>
    <xf numFmtId="49" fontId="24" fillId="5" borderId="40" xfId="0" applyNumberFormat="1" applyFont="1" applyFill="1" applyBorder="1" applyAlignment="1">
      <alignment horizontal="center"/>
    </xf>
    <xf numFmtId="49" fontId="24" fillId="5" borderId="2" xfId="0" applyNumberFormat="1" applyFont="1" applyFill="1" applyBorder="1" applyAlignment="1">
      <alignment horizontal="center"/>
    </xf>
    <xf numFmtId="49" fontId="24" fillId="5" borderId="21" xfId="0" applyNumberFormat="1" applyFont="1" applyFill="1" applyBorder="1" applyAlignment="1">
      <alignment horizontal="center"/>
    </xf>
    <xf numFmtId="0" fontId="73" fillId="0" borderId="22" xfId="0" applyFont="1" applyBorder="1" applyAlignment="1">
      <alignment horizontal="center"/>
    </xf>
    <xf numFmtId="0" fontId="73" fillId="0" borderId="3" xfId="0" applyFont="1" applyBorder="1" applyAlignment="1">
      <alignment horizontal="center"/>
    </xf>
    <xf numFmtId="0" fontId="73" fillId="0" borderId="24" xfId="0" applyFont="1" applyBorder="1" applyAlignment="1">
      <alignment horizontal="center"/>
    </xf>
    <xf numFmtId="0" fontId="71" fillId="0" borderId="2" xfId="0" applyFont="1" applyBorder="1" applyAlignment="1">
      <alignment horizontal="left"/>
    </xf>
    <xf numFmtId="0" fontId="75" fillId="5" borderId="0" xfId="0" applyFont="1" applyFill="1" applyBorder="1" applyAlignment="1">
      <alignment horizontal="center"/>
    </xf>
    <xf numFmtId="0" fontId="82" fillId="5" borderId="2" xfId="0" applyFont="1" applyFill="1" applyBorder="1"/>
    <xf numFmtId="0" fontId="73" fillId="5" borderId="3" xfId="0" applyFont="1" applyFill="1" applyBorder="1" applyAlignment="1">
      <alignment horizontal="right" vertical="center"/>
    </xf>
    <xf numFmtId="0" fontId="73" fillId="5" borderId="0" xfId="0" applyFont="1" applyFill="1" applyBorder="1" applyAlignment="1">
      <alignment horizontal="right" vertical="center"/>
    </xf>
    <xf numFmtId="0" fontId="73" fillId="5" borderId="2" xfId="0" applyFont="1" applyFill="1" applyBorder="1" applyAlignment="1">
      <alignment horizontal="center"/>
    </xf>
    <xf numFmtId="0" fontId="73" fillId="5" borderId="18" xfId="0" applyFont="1" applyFill="1" applyBorder="1" applyAlignment="1">
      <alignment horizontal="center"/>
    </xf>
    <xf numFmtId="0" fontId="73" fillId="5" borderId="4" xfId="0" applyFont="1" applyFill="1" applyBorder="1" applyAlignment="1">
      <alignment horizontal="right"/>
    </xf>
    <xf numFmtId="0" fontId="73" fillId="5" borderId="52" xfId="0" applyFont="1" applyFill="1" applyBorder="1" applyAlignment="1">
      <alignment horizontal="right"/>
    </xf>
    <xf numFmtId="49" fontId="24" fillId="5" borderId="6" xfId="0" applyNumberFormat="1" applyFont="1" applyFill="1" applyBorder="1" applyAlignment="1">
      <alignment horizontal="center"/>
    </xf>
    <xf numFmtId="49" fontId="24" fillId="5" borderId="68" xfId="0" applyNumberFormat="1" applyFont="1" applyFill="1" applyBorder="1" applyAlignment="1">
      <alignment horizontal="center"/>
    </xf>
    <xf numFmtId="49" fontId="24" fillId="5" borderId="62" xfId="0" applyNumberFormat="1" applyFont="1" applyFill="1" applyBorder="1" applyAlignment="1">
      <alignment horizontal="center"/>
    </xf>
    <xf numFmtId="0" fontId="73" fillId="0" borderId="23" xfId="0" applyFont="1" applyBorder="1" applyAlignment="1">
      <alignment horizontal="center" vertical="center" wrapText="1"/>
    </xf>
    <xf numFmtId="0" fontId="73" fillId="0" borderId="20" xfId="0" applyFont="1" applyBorder="1" applyAlignment="1">
      <alignment horizontal="center" vertical="center" wrapText="1"/>
    </xf>
    <xf numFmtId="0" fontId="73" fillId="0" borderId="45" xfId="0" applyFont="1" applyBorder="1" applyAlignment="1">
      <alignment horizontal="center" vertical="center" wrapText="1"/>
    </xf>
    <xf numFmtId="0" fontId="73" fillId="0" borderId="22" xfId="0" applyFont="1" applyBorder="1" applyAlignment="1">
      <alignment horizontal="center" vertical="center" wrapText="1"/>
    </xf>
    <xf numFmtId="0" fontId="73" fillId="0" borderId="3" xfId="0" applyFont="1" applyBorder="1" applyAlignment="1">
      <alignment horizontal="center" vertical="center" wrapText="1"/>
    </xf>
    <xf numFmtId="0" fontId="73" fillId="0" borderId="24" xfId="0" applyFont="1" applyBorder="1" applyAlignment="1">
      <alignment horizontal="center" vertical="center" wrapText="1"/>
    </xf>
    <xf numFmtId="0" fontId="73" fillId="0" borderId="5" xfId="0" applyFont="1" applyBorder="1" applyAlignment="1">
      <alignment horizontal="center" vertical="center" wrapText="1"/>
    </xf>
    <xf numFmtId="0" fontId="73" fillId="0" borderId="2" xfId="0" applyFont="1" applyBorder="1" applyAlignment="1">
      <alignment horizontal="center" vertical="center" wrapText="1"/>
    </xf>
    <xf numFmtId="0" fontId="73" fillId="0" borderId="18" xfId="0" applyFont="1" applyBorder="1" applyAlignment="1">
      <alignment horizontal="center" vertical="center" wrapText="1"/>
    </xf>
    <xf numFmtId="0" fontId="73" fillId="0" borderId="1" xfId="0" applyFont="1" applyBorder="1" applyAlignment="1">
      <alignment horizontal="center" vertical="center" wrapText="1"/>
    </xf>
    <xf numFmtId="0" fontId="73" fillId="0" borderId="22" xfId="0" applyFont="1" applyBorder="1" applyAlignment="1">
      <alignment horizontal="center" vertical="center"/>
    </xf>
    <xf numFmtId="0" fontId="73" fillId="0" borderId="3" xfId="0" applyFont="1" applyBorder="1" applyAlignment="1">
      <alignment horizontal="center" vertical="center"/>
    </xf>
    <xf numFmtId="0" fontId="73" fillId="0" borderId="24" xfId="0" applyFont="1" applyBorder="1" applyAlignment="1">
      <alignment horizontal="center" vertical="center"/>
    </xf>
    <xf numFmtId="0" fontId="73" fillId="0" borderId="5" xfId="0" applyFont="1" applyBorder="1" applyAlignment="1">
      <alignment horizontal="center" vertical="center"/>
    </xf>
    <xf numFmtId="0" fontId="73" fillId="0" borderId="2" xfId="0" applyFont="1" applyBorder="1" applyAlignment="1">
      <alignment horizontal="center" vertical="center"/>
    </xf>
    <xf numFmtId="0" fontId="73" fillId="0" borderId="18" xfId="0" applyFont="1" applyBorder="1" applyAlignment="1">
      <alignment horizontal="center" vertical="center"/>
    </xf>
    <xf numFmtId="0" fontId="73" fillId="0" borderId="4" xfId="0" applyFont="1" applyBorder="1" applyAlignment="1">
      <alignment horizontal="center" vertical="center"/>
    </xf>
    <xf numFmtId="0" fontId="73" fillId="0" borderId="52" xfId="0" applyFont="1" applyBorder="1" applyAlignment="1">
      <alignment horizontal="center" vertical="center"/>
    </xf>
    <xf numFmtId="0" fontId="73" fillId="0" borderId="23" xfId="0" applyFont="1" applyBorder="1" applyAlignment="1">
      <alignment horizontal="center" vertical="center"/>
    </xf>
    <xf numFmtId="0" fontId="73" fillId="0" borderId="45" xfId="0" applyFont="1" applyBorder="1" applyAlignment="1">
      <alignment horizontal="center" vertical="center"/>
    </xf>
    <xf numFmtId="0" fontId="75" fillId="0" borderId="0" xfId="0" applyFont="1" applyBorder="1" applyAlignment="1">
      <alignment horizontal="center"/>
    </xf>
    <xf numFmtId="49" fontId="88" fillId="0" borderId="2" xfId="0" applyNumberFormat="1" applyFont="1" applyBorder="1" applyAlignment="1">
      <alignment horizontal="left"/>
    </xf>
    <xf numFmtId="49" fontId="81" fillId="0" borderId="2" xfId="0" applyNumberFormat="1" applyFont="1" applyBorder="1" applyAlignment="1">
      <alignment horizontal="left"/>
    </xf>
    <xf numFmtId="49" fontId="81" fillId="0" borderId="2" xfId="0" applyNumberFormat="1" applyFont="1" applyBorder="1" applyAlignment="1">
      <alignment horizontal="center"/>
    </xf>
    <xf numFmtId="49" fontId="88" fillId="0" borderId="2" xfId="0" applyNumberFormat="1" applyFont="1" applyBorder="1" applyAlignment="1">
      <alignment horizontal="center"/>
    </xf>
    <xf numFmtId="49" fontId="89" fillId="0" borderId="2" xfId="0" applyNumberFormat="1" applyFont="1" applyBorder="1" applyAlignment="1">
      <alignment horizontal="center"/>
    </xf>
    <xf numFmtId="49" fontId="81" fillId="5" borderId="2" xfId="0" applyNumberFormat="1" applyFont="1" applyFill="1" applyBorder="1" applyAlignment="1">
      <alignment horizontal="center"/>
    </xf>
    <xf numFmtId="49" fontId="81" fillId="5" borderId="2" xfId="0" applyNumberFormat="1" applyFont="1" applyFill="1" applyBorder="1"/>
    <xf numFmtId="49" fontId="81" fillId="5" borderId="2" xfId="0" applyNumberFormat="1" applyFont="1" applyFill="1" applyBorder="1" applyAlignment="1">
      <alignment horizontal="left"/>
    </xf>
    <xf numFmtId="49" fontId="81" fillId="5" borderId="52" xfId="0" applyNumberFormat="1" applyFont="1" applyFill="1" applyBorder="1" applyAlignment="1">
      <alignment horizontal="left"/>
    </xf>
    <xf numFmtId="49" fontId="88" fillId="5" borderId="2" xfId="0" applyNumberFormat="1" applyFont="1" applyFill="1" applyBorder="1" applyAlignment="1">
      <alignment horizontal="center"/>
    </xf>
    <xf numFmtId="0" fontId="88" fillId="5" borderId="2" xfId="0" applyNumberFormat="1" applyFont="1" applyFill="1" applyBorder="1" applyAlignment="1">
      <alignment horizontal="center"/>
    </xf>
    <xf numFmtId="0" fontId="99" fillId="5" borderId="2" xfId="11" applyFont="1" applyFill="1" applyAlignment="1">
      <alignment horizontal="left"/>
    </xf>
    <xf numFmtId="49" fontId="61" fillId="5" borderId="0" xfId="10" applyFill="1">
      <alignment horizontal="center" vertical="top"/>
    </xf>
    <xf numFmtId="0" fontId="64" fillId="3" borderId="1" xfId="6" applyFill="1">
      <alignment horizontal="center" vertical="center" wrapText="1"/>
    </xf>
    <xf numFmtId="0" fontId="62" fillId="5" borderId="2" xfId="11" applyFill="1">
      <alignment horizontal="center"/>
    </xf>
    <xf numFmtId="49" fontId="61" fillId="5" borderId="3" xfId="10" applyFill="1" applyBorder="1" applyAlignment="1">
      <alignment horizontal="center" vertical="top"/>
    </xf>
    <xf numFmtId="49" fontId="61" fillId="5" borderId="3" xfId="10" applyFill="1" applyBorder="1">
      <alignment horizontal="center" vertical="top"/>
    </xf>
    <xf numFmtId="0" fontId="64" fillId="3" borderId="23" xfId="6" applyFont="1" applyFill="1" applyBorder="1" applyAlignment="1">
      <alignment horizontal="center" vertical="center" wrapText="1"/>
    </xf>
    <xf numFmtId="0" fontId="64" fillId="3" borderId="20" xfId="6" applyFont="1" applyFill="1" applyBorder="1" applyAlignment="1">
      <alignment horizontal="center" vertical="center" wrapText="1"/>
    </xf>
    <xf numFmtId="0" fontId="64" fillId="3" borderId="45" xfId="6" applyFont="1" applyFill="1" applyBorder="1" applyAlignment="1">
      <alignment horizontal="center" vertical="center" wrapText="1"/>
    </xf>
    <xf numFmtId="49" fontId="61" fillId="5" borderId="0" xfId="10" applyFill="1" applyBorder="1" applyAlignment="1">
      <alignment horizontal="center" vertical="top"/>
    </xf>
    <xf numFmtId="49" fontId="61" fillId="5" borderId="0" xfId="10" applyFill="1" applyAlignment="1">
      <alignment horizontal="center" vertical="top"/>
    </xf>
    <xf numFmtId="49" fontId="66" fillId="5" borderId="2" xfId="11" applyNumberFormat="1" applyFont="1" applyFill="1" applyBorder="1" applyAlignment="1">
      <alignment horizontal="center"/>
    </xf>
    <xf numFmtId="0" fontId="62" fillId="5" borderId="2" xfId="11" applyFill="1" applyBorder="1" applyAlignment="1">
      <alignment horizontal="center"/>
    </xf>
    <xf numFmtId="0" fontId="13" fillId="5" borderId="0" xfId="0" applyFont="1" applyFill="1" applyAlignment="1">
      <alignment horizontal="left"/>
    </xf>
    <xf numFmtId="0" fontId="66" fillId="5" borderId="2" xfId="11" applyFont="1" applyFill="1" applyAlignment="1">
      <alignment horizontal="center"/>
    </xf>
    <xf numFmtId="0" fontId="13" fillId="5" borderId="0" xfId="0" applyFont="1" applyFill="1" applyBorder="1" applyAlignment="1">
      <alignment horizontal="justify" vertical="top" wrapText="1"/>
    </xf>
    <xf numFmtId="0" fontId="65" fillId="5" borderId="0" xfId="9" applyFill="1" applyAlignment="1">
      <alignment horizontal="left"/>
    </xf>
    <xf numFmtId="0" fontId="69" fillId="5" borderId="2" xfId="11" applyFont="1" applyFill="1" applyBorder="1" applyAlignment="1">
      <alignment horizontal="center"/>
    </xf>
    <xf numFmtId="0" fontId="59" fillId="5" borderId="2" xfId="0" applyFont="1" applyFill="1" applyBorder="1" applyAlignment="1">
      <alignment horizontal="center"/>
    </xf>
    <xf numFmtId="0" fontId="65" fillId="5" borderId="0" xfId="9" applyFill="1">
      <alignment horizontal="left"/>
    </xf>
    <xf numFmtId="0" fontId="97" fillId="5" borderId="1" xfId="8" applyFont="1" applyFill="1" applyBorder="1" applyAlignment="1">
      <alignment horizontal="center" vertical="top"/>
    </xf>
    <xf numFmtId="0" fontId="97" fillId="3" borderId="1" xfId="13" applyFont="1" applyFill="1" applyBorder="1" applyAlignment="1">
      <alignment horizontal="center" vertical="top"/>
    </xf>
    <xf numFmtId="0" fontId="74" fillId="5" borderId="2" xfId="11" applyFont="1" applyFill="1" applyAlignment="1">
      <alignment horizontal="left"/>
    </xf>
    <xf numFmtId="166" fontId="98" fillId="5" borderId="4" xfId="13" applyNumberFormat="1" applyFont="1" applyFill="1" applyBorder="1" applyAlignment="1">
      <alignment horizontal="right" vertical="top"/>
    </xf>
    <xf numFmtId="166" fontId="98" fillId="5" borderId="52" xfId="13" applyNumberFormat="1" applyFont="1" applyFill="1" applyBorder="1" applyAlignment="1">
      <alignment horizontal="right" vertical="top"/>
    </xf>
    <xf numFmtId="166" fontId="98" fillId="5" borderId="44" xfId="13" applyNumberFormat="1" applyFont="1" applyFill="1" applyBorder="1" applyAlignment="1">
      <alignment horizontal="right" vertical="top"/>
    </xf>
    <xf numFmtId="4" fontId="98" fillId="5" borderId="4" xfId="13" applyNumberFormat="1" applyFont="1" applyFill="1" applyBorder="1" applyAlignment="1">
      <alignment horizontal="right" vertical="top"/>
    </xf>
    <xf numFmtId="4" fontId="98" fillId="5" borderId="52" xfId="13" applyNumberFormat="1" applyFont="1" applyFill="1" applyBorder="1" applyAlignment="1">
      <alignment horizontal="right" vertical="top"/>
    </xf>
    <xf numFmtId="4" fontId="98" fillId="5" borderId="44" xfId="13" applyNumberFormat="1" applyFont="1" applyFill="1" applyBorder="1" applyAlignment="1">
      <alignment horizontal="right" vertical="top"/>
    </xf>
    <xf numFmtId="0" fontId="97" fillId="3" borderId="1" xfId="13" applyFont="1" applyFill="1" applyBorder="1" applyAlignment="1">
      <alignment horizontal="left" vertical="top" wrapText="1"/>
    </xf>
    <xf numFmtId="166" fontId="50" fillId="5" borderId="4" xfId="13" applyNumberFormat="1" applyFont="1" applyFill="1" applyBorder="1" applyAlignment="1">
      <alignment horizontal="right" vertical="top"/>
    </xf>
    <xf numFmtId="166" fontId="50" fillId="5" borderId="52" xfId="13" applyNumberFormat="1" applyFont="1" applyFill="1" applyBorder="1" applyAlignment="1">
      <alignment horizontal="right" vertical="top"/>
    </xf>
    <xf numFmtId="166" fontId="50" fillId="5" borderId="44" xfId="13" applyNumberFormat="1" applyFont="1" applyFill="1" applyBorder="1" applyAlignment="1">
      <alignment horizontal="right" vertical="top"/>
    </xf>
    <xf numFmtId="4" fontId="50" fillId="5" borderId="1" xfId="13" applyNumberFormat="1" applyFont="1" applyFill="1" applyBorder="1" applyAlignment="1">
      <alignment horizontal="right" vertical="top"/>
    </xf>
    <xf numFmtId="0" fontId="62" fillId="5" borderId="1" xfId="8" applyFill="1" applyBorder="1" applyAlignment="1">
      <alignment horizontal="center" vertical="top"/>
    </xf>
    <xf numFmtId="0" fontId="62" fillId="5" borderId="4" xfId="8" applyFill="1" applyBorder="1" applyAlignment="1">
      <alignment horizontal="center" vertical="top"/>
    </xf>
    <xf numFmtId="0" fontId="62" fillId="5" borderId="52" xfId="8" applyFill="1" applyBorder="1" applyAlignment="1">
      <alignment horizontal="center" vertical="top"/>
    </xf>
    <xf numFmtId="0" fontId="62" fillId="5" borderId="44" xfId="8" applyFill="1" applyBorder="1" applyAlignment="1">
      <alignment horizontal="center" vertical="top"/>
    </xf>
    <xf numFmtId="166" fontId="50" fillId="5" borderId="1" xfId="13" applyNumberFormat="1" applyFont="1" applyFill="1" applyBorder="1" applyAlignment="1">
      <alignment horizontal="right" vertical="top"/>
    </xf>
    <xf numFmtId="4" fontId="50" fillId="5" borderId="4" xfId="13" applyNumberFormat="1" applyFont="1" applyFill="1" applyBorder="1" applyAlignment="1">
      <alignment horizontal="right" vertical="top"/>
    </xf>
    <xf numFmtId="4" fontId="50" fillId="5" borderId="52" xfId="13" applyNumberFormat="1" applyFont="1" applyFill="1" applyBorder="1" applyAlignment="1">
      <alignment horizontal="right" vertical="top"/>
    </xf>
    <xf numFmtId="4" fontId="50" fillId="5" borderId="44" xfId="13" applyNumberFormat="1" applyFont="1" applyFill="1" applyBorder="1" applyAlignment="1">
      <alignment horizontal="right" vertical="top"/>
    </xf>
    <xf numFmtId="49" fontId="50" fillId="3" borderId="4" xfId="13" applyNumberFormat="1" applyFont="1" applyFill="1" applyBorder="1" applyAlignment="1">
      <alignment horizontal="left" vertical="top" wrapText="1"/>
    </xf>
    <xf numFmtId="49" fontId="50" fillId="3" borderId="52" xfId="13" applyNumberFormat="1" applyFont="1" applyFill="1" applyBorder="1" applyAlignment="1">
      <alignment horizontal="left" vertical="top" wrapText="1"/>
    </xf>
    <xf numFmtId="49" fontId="50" fillId="3" borderId="44" xfId="13" applyNumberFormat="1" applyFont="1" applyFill="1" applyBorder="1" applyAlignment="1">
      <alignment horizontal="left" vertical="top" wrapText="1"/>
    </xf>
    <xf numFmtId="0" fontId="62" fillId="3" borderId="1" xfId="13" applyFill="1" applyBorder="1" applyAlignment="1">
      <alignment horizontal="center" vertical="top"/>
    </xf>
    <xf numFmtId="0" fontId="50" fillId="3" borderId="1" xfId="13" applyFont="1" applyFill="1" applyAlignment="1">
      <alignment horizontal="center" vertical="top"/>
    </xf>
    <xf numFmtId="0" fontId="50" fillId="3" borderId="4" xfId="13" applyFont="1" applyFill="1" applyBorder="1" applyAlignment="1">
      <alignment vertical="top" wrapText="1"/>
    </xf>
    <xf numFmtId="0" fontId="50" fillId="3" borderId="52" xfId="13" applyFont="1" applyFill="1" applyBorder="1" applyAlignment="1">
      <alignment vertical="top" wrapText="1"/>
    </xf>
    <xf numFmtId="0" fontId="50" fillId="3" borderId="44" xfId="13" applyFont="1" applyFill="1" applyBorder="1" applyAlignment="1">
      <alignment vertical="top" wrapText="1"/>
    </xf>
    <xf numFmtId="0" fontId="50" fillId="3" borderId="4" xfId="13" applyFont="1" applyFill="1" applyBorder="1" applyAlignment="1">
      <alignment horizontal="left" vertical="top"/>
    </xf>
    <xf numFmtId="0" fontId="50" fillId="3" borderId="52" xfId="13" applyFont="1" applyFill="1" applyBorder="1" applyAlignment="1">
      <alignment horizontal="left" vertical="top"/>
    </xf>
    <xf numFmtId="0" fontId="50" fillId="3" borderId="44" xfId="13" applyFont="1" applyFill="1" applyBorder="1" applyAlignment="1">
      <alignment horizontal="left" vertical="top"/>
    </xf>
    <xf numFmtId="0" fontId="64" fillId="3" borderId="4" xfId="6" applyFont="1" applyFill="1" applyBorder="1" applyAlignment="1">
      <alignment horizontal="center" vertical="center" wrapText="1"/>
    </xf>
    <xf numFmtId="0" fontId="64" fillId="3" borderId="52" xfId="6" applyFont="1" applyFill="1" applyBorder="1" applyAlignment="1">
      <alignment horizontal="center" vertical="center" wrapText="1"/>
    </xf>
    <xf numFmtId="0" fontId="64" fillId="3" borderId="44" xfId="6" applyFont="1" applyFill="1" applyBorder="1" applyAlignment="1">
      <alignment horizontal="center" vertical="center" wrapText="1"/>
    </xf>
    <xf numFmtId="0" fontId="64" fillId="3" borderId="4" xfId="6" applyFont="1" applyFill="1" applyBorder="1">
      <alignment horizontal="center" vertical="center" wrapText="1"/>
    </xf>
    <xf numFmtId="0" fontId="0" fillId="0" borderId="52" xfId="0" applyBorder="1"/>
    <xf numFmtId="0" fontId="0" fillId="0" borderId="44" xfId="0" applyBorder="1"/>
    <xf numFmtId="0" fontId="64" fillId="3" borderId="22" xfId="6" applyFont="1" applyFill="1" applyBorder="1" applyAlignment="1">
      <alignment horizontal="center" vertical="center" wrapText="1"/>
    </xf>
    <xf numFmtId="0" fontId="64" fillId="3" borderId="3" xfId="6" applyFont="1" applyFill="1" applyBorder="1" applyAlignment="1">
      <alignment horizontal="center" vertical="center" wrapText="1"/>
    </xf>
    <xf numFmtId="0" fontId="64" fillId="3" borderId="24" xfId="6" applyFont="1" applyFill="1" applyBorder="1" applyAlignment="1">
      <alignment horizontal="center" vertical="center" wrapText="1"/>
    </xf>
    <xf numFmtId="0" fontId="64" fillId="3" borderId="5" xfId="6" applyFont="1" applyFill="1" applyBorder="1" applyAlignment="1">
      <alignment horizontal="center" vertical="center" wrapText="1"/>
    </xf>
    <xf numFmtId="0" fontId="64" fillId="3" borderId="2" xfId="6" applyFont="1" applyFill="1" applyBorder="1" applyAlignment="1">
      <alignment horizontal="center" vertical="center" wrapText="1"/>
    </xf>
    <xf numFmtId="0" fontId="64" fillId="3" borderId="18" xfId="6" applyFont="1" applyFill="1" applyBorder="1" applyAlignment="1">
      <alignment horizontal="center" vertical="center" wrapText="1"/>
    </xf>
    <xf numFmtId="0" fontId="64" fillId="3" borderId="17" xfId="6" applyFont="1" applyFill="1" applyBorder="1" applyAlignment="1">
      <alignment horizontal="center" vertical="center" wrapText="1"/>
    </xf>
    <xf numFmtId="0" fontId="64" fillId="3" borderId="0" xfId="6" applyFont="1" applyFill="1" applyBorder="1" applyAlignment="1">
      <alignment horizontal="center" vertical="center" wrapText="1"/>
    </xf>
    <xf numFmtId="0" fontId="64" fillId="3" borderId="19" xfId="6" applyFont="1" applyFill="1" applyBorder="1" applyAlignment="1">
      <alignment horizontal="center" vertical="center" wrapText="1"/>
    </xf>
    <xf numFmtId="0" fontId="64" fillId="3" borderId="1" xfId="6" applyFont="1" applyFill="1">
      <alignment horizontal="center" vertical="center" wrapText="1"/>
    </xf>
    <xf numFmtId="0" fontId="72" fillId="3" borderId="5" xfId="6" applyFont="1" applyFill="1" applyBorder="1" applyAlignment="1">
      <alignment horizontal="center" vertical="center" wrapText="1"/>
    </xf>
    <xf numFmtId="0" fontId="72" fillId="3" borderId="2" xfId="6" applyFont="1" applyFill="1" applyBorder="1" applyAlignment="1">
      <alignment horizontal="center" vertical="center" wrapText="1"/>
    </xf>
    <xf numFmtId="0" fontId="72" fillId="3" borderId="18" xfId="6" applyFont="1" applyFill="1" applyBorder="1" applyAlignment="1">
      <alignment horizontal="center" vertical="center" wrapText="1"/>
    </xf>
    <xf numFmtId="0" fontId="64" fillId="3" borderId="4" xfId="6" applyFont="1" applyFill="1" applyBorder="1" applyAlignment="1">
      <alignment horizontal="center" vertical="top" wrapText="1"/>
    </xf>
    <xf numFmtId="0" fontId="64" fillId="3" borderId="52" xfId="6" applyFont="1" applyFill="1" applyBorder="1" applyAlignment="1">
      <alignment horizontal="center" vertical="top" wrapText="1"/>
    </xf>
    <xf numFmtId="0" fontId="72" fillId="3" borderId="52" xfId="6" applyFont="1" applyFill="1" applyBorder="1" applyAlignment="1">
      <alignment horizontal="center" vertical="top" wrapText="1"/>
    </xf>
    <xf numFmtId="0" fontId="72" fillId="3" borderId="44" xfId="6" applyFont="1" applyFill="1" applyBorder="1" applyAlignment="1">
      <alignment horizontal="center" vertical="top" wrapText="1"/>
    </xf>
    <xf numFmtId="0" fontId="64" fillId="3" borderId="4" xfId="6" applyFill="1" applyBorder="1">
      <alignment horizontal="center" vertical="center" wrapText="1"/>
    </xf>
    <xf numFmtId="0" fontId="64" fillId="3" borderId="52" xfId="6" applyFill="1" applyBorder="1">
      <alignment horizontal="center" vertical="center" wrapText="1"/>
    </xf>
    <xf numFmtId="0" fontId="64" fillId="3" borderId="44" xfId="6" applyFill="1" applyBorder="1">
      <alignment horizontal="center" vertical="center" wrapText="1"/>
    </xf>
    <xf numFmtId="0" fontId="64" fillId="3" borderId="1" xfId="6" applyFont="1" applyFill="1" applyBorder="1" applyAlignment="1">
      <alignment horizontal="center" vertical="top" wrapText="1"/>
    </xf>
    <xf numFmtId="0" fontId="72" fillId="3" borderId="52" xfId="6" applyFont="1" applyFill="1" applyBorder="1" applyAlignment="1">
      <alignment horizontal="left" vertical="top" wrapText="1"/>
    </xf>
    <xf numFmtId="0" fontId="72" fillId="3" borderId="44" xfId="6" applyFont="1" applyFill="1" applyBorder="1" applyAlignment="1">
      <alignment horizontal="left" vertical="top" wrapText="1"/>
    </xf>
    <xf numFmtId="0" fontId="62" fillId="5" borderId="0" xfId="8" applyFill="1">
      <alignment horizontal="left"/>
    </xf>
    <xf numFmtId="49" fontId="66" fillId="5" borderId="2" xfId="11" applyNumberFormat="1" applyFont="1" applyFill="1">
      <alignment horizontal="center"/>
    </xf>
    <xf numFmtId="0" fontId="62" fillId="3" borderId="0" xfId="8" applyFill="1" applyAlignment="1">
      <alignment horizontal="right" vertical="center" wrapText="1"/>
    </xf>
    <xf numFmtId="49" fontId="62" fillId="3" borderId="1" xfId="13" applyNumberFormat="1" applyFill="1">
      <alignment horizontal="center"/>
    </xf>
    <xf numFmtId="0" fontId="63" fillId="3" borderId="0" xfId="5" applyFill="1">
      <alignment horizontal="center" vertical="top" wrapText="1"/>
    </xf>
    <xf numFmtId="0" fontId="62" fillId="3" borderId="0" xfId="8" applyFill="1" applyAlignment="1">
      <alignment horizontal="right" vertical="center"/>
    </xf>
    <xf numFmtId="49" fontId="61" fillId="3" borderId="0" xfId="10" applyFont="1" applyFill="1">
      <alignment horizontal="center" vertical="top"/>
    </xf>
    <xf numFmtId="0" fontId="62" fillId="3" borderId="0" xfId="8" applyFill="1" applyBorder="1" applyAlignment="1">
      <alignment horizontal="right" vertical="center"/>
    </xf>
    <xf numFmtId="0" fontId="62" fillId="3" borderId="0" xfId="8" applyFill="1" applyAlignment="1">
      <alignment horizontal="center"/>
    </xf>
    <xf numFmtId="0" fontId="62" fillId="3" borderId="0" xfId="8" applyFill="1" applyAlignment="1">
      <alignment horizontal="left"/>
    </xf>
    <xf numFmtId="0" fontId="66" fillId="3" borderId="2" xfId="11" applyFont="1" applyFill="1" applyBorder="1" applyAlignment="1">
      <alignment horizontal="left" wrapText="1"/>
    </xf>
    <xf numFmtId="0" fontId="62" fillId="3" borderId="0" xfId="8" applyFill="1" applyAlignment="1">
      <alignment horizontal="right"/>
    </xf>
    <xf numFmtId="0" fontId="62" fillId="3" borderId="22" xfId="13" applyFill="1" applyBorder="1">
      <alignment horizontal="center"/>
    </xf>
    <xf numFmtId="0" fontId="62" fillId="3" borderId="3" xfId="13" applyFill="1" applyBorder="1">
      <alignment horizontal="center"/>
    </xf>
    <xf numFmtId="0" fontId="62" fillId="3" borderId="24" xfId="13" applyFill="1" applyBorder="1">
      <alignment horizontal="center"/>
    </xf>
    <xf numFmtId="0" fontId="62" fillId="3" borderId="5" xfId="13" applyFill="1" applyBorder="1">
      <alignment horizontal="center"/>
    </xf>
    <xf numFmtId="0" fontId="62" fillId="3" borderId="2" xfId="13" applyFill="1" applyBorder="1">
      <alignment horizontal="center"/>
    </xf>
    <xf numFmtId="0" fontId="62" fillId="3" borderId="18" xfId="13" applyFill="1" applyBorder="1">
      <alignment horizontal="center"/>
    </xf>
    <xf numFmtId="0" fontId="50" fillId="3" borderId="0" xfId="12" applyFont="1" applyFill="1">
      <alignment horizontal="right" vertical="top" wrapText="1"/>
    </xf>
    <xf numFmtId="0" fontId="50" fillId="3" borderId="0" xfId="12" applyFill="1">
      <alignment horizontal="right" vertical="top" wrapText="1"/>
    </xf>
    <xf numFmtId="0" fontId="66" fillId="3" borderId="2" xfId="8" applyFont="1" applyFill="1" applyBorder="1" applyAlignment="1">
      <alignment horizontal="left" wrapText="1"/>
    </xf>
    <xf numFmtId="49" fontId="13" fillId="0" borderId="39" xfId="0" applyNumberFormat="1" applyFont="1" applyBorder="1" applyAlignment="1">
      <alignment horizontal="center" vertical="center"/>
    </xf>
    <xf numFmtId="49" fontId="13" fillId="0" borderId="36" xfId="0" applyNumberFormat="1" applyFont="1" applyBorder="1" applyAlignment="1">
      <alignment horizontal="center" vertical="center"/>
    </xf>
    <xf numFmtId="49" fontId="13" fillId="0" borderId="40" xfId="0" applyNumberFormat="1" applyFont="1" applyBorder="1" applyAlignment="1">
      <alignment horizontal="center" vertical="center"/>
    </xf>
    <xf numFmtId="49" fontId="13" fillId="0" borderId="21" xfId="0" applyNumberFormat="1" applyFont="1" applyBorder="1" applyAlignment="1">
      <alignment horizontal="center" vertical="center"/>
    </xf>
    <xf numFmtId="49" fontId="13" fillId="0" borderId="60" xfId="0" applyNumberFormat="1" applyFont="1" applyBorder="1" applyAlignment="1">
      <alignment horizontal="center" vertical="center"/>
    </xf>
    <xf numFmtId="49" fontId="13" fillId="0" borderId="57" xfId="0" applyNumberFormat="1" applyFont="1" applyBorder="1" applyAlignment="1">
      <alignment horizontal="center" vertical="center"/>
    </xf>
    <xf numFmtId="0" fontId="75" fillId="0" borderId="3" xfId="0" applyFont="1" applyBorder="1" applyAlignment="1">
      <alignment horizontal="center" vertical="top"/>
    </xf>
    <xf numFmtId="0" fontId="75" fillId="0" borderId="24" xfId="0" applyFont="1" applyBorder="1" applyAlignment="1">
      <alignment horizontal="center" vertical="top"/>
    </xf>
    <xf numFmtId="0" fontId="73" fillId="0" borderId="4" xfId="0" applyFont="1" applyBorder="1" applyAlignment="1">
      <alignment horizontal="right"/>
    </xf>
    <xf numFmtId="0" fontId="73" fillId="0" borderId="52" xfId="0" applyFont="1" applyBorder="1" applyAlignment="1">
      <alignment horizontal="right"/>
    </xf>
    <xf numFmtId="49" fontId="73" fillId="0" borderId="22" xfId="0" applyNumberFormat="1" applyFont="1" applyBorder="1" applyAlignment="1">
      <alignment horizontal="center" vertical="center"/>
    </xf>
    <xf numFmtId="49" fontId="73" fillId="0" borderId="24" xfId="0" applyNumberFormat="1" applyFont="1" applyBorder="1" applyAlignment="1">
      <alignment horizontal="center" vertical="center"/>
    </xf>
    <xf numFmtId="49" fontId="13" fillId="0" borderId="6" xfId="0" applyNumberFormat="1" applyFont="1" applyBorder="1" applyAlignment="1">
      <alignment horizontal="center" vertical="center"/>
    </xf>
    <xf numFmtId="49" fontId="13" fillId="0" borderId="62" xfId="0" applyNumberFormat="1" applyFont="1" applyBorder="1" applyAlignment="1">
      <alignment horizontal="center" vertical="center"/>
    </xf>
    <xf numFmtId="0" fontId="56" fillId="0" borderId="0" xfId="0" applyFont="1" applyAlignment="1">
      <alignment horizontal="left"/>
    </xf>
    <xf numFmtId="0" fontId="76" fillId="0" borderId="0" xfId="0" applyFont="1" applyAlignment="1">
      <alignment horizontal="left" indent="4"/>
    </xf>
    <xf numFmtId="0" fontId="76" fillId="0" borderId="25" xfId="0" applyFont="1" applyBorder="1" applyAlignment="1">
      <alignment horizontal="left" indent="4"/>
    </xf>
    <xf numFmtId="49" fontId="82" fillId="0" borderId="70" xfId="0" applyNumberFormat="1" applyFont="1" applyBorder="1" applyAlignment="1">
      <alignment horizontal="center"/>
    </xf>
    <xf numFmtId="49" fontId="82" fillId="0" borderId="56" xfId="0" applyNumberFormat="1" applyFont="1" applyBorder="1" applyAlignment="1">
      <alignment horizontal="center"/>
    </xf>
    <xf numFmtId="0" fontId="21" fillId="0" borderId="0" xfId="0" applyFont="1" applyAlignment="1">
      <alignment horizontal="left" indent="3"/>
    </xf>
    <xf numFmtId="49" fontId="56" fillId="0" borderId="2" xfId="0" applyNumberFormat="1" applyFont="1" applyBorder="1" applyAlignment="1">
      <alignment horizontal="center"/>
    </xf>
    <xf numFmtId="49" fontId="82" fillId="0" borderId="72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 vertical="top"/>
    </xf>
    <xf numFmtId="49" fontId="75" fillId="0" borderId="3" xfId="0" applyNumberFormat="1" applyFont="1" applyBorder="1" applyAlignment="1">
      <alignment horizontal="center" vertical="center"/>
    </xf>
    <xf numFmtId="49" fontId="24" fillId="0" borderId="41" xfId="0" applyNumberFormat="1" applyFont="1" applyBorder="1" applyAlignment="1">
      <alignment horizontal="center" vertical="center"/>
    </xf>
    <xf numFmtId="49" fontId="24" fillId="0" borderId="43" xfId="0" applyNumberFormat="1" applyFont="1" applyBorder="1" applyAlignment="1">
      <alignment horizontal="center" vertical="center"/>
    </xf>
    <xf numFmtId="49" fontId="73" fillId="0" borderId="3" xfId="0" applyNumberFormat="1" applyFont="1" applyBorder="1" applyAlignment="1">
      <alignment horizontal="center" vertical="center"/>
    </xf>
    <xf numFmtId="0" fontId="73" fillId="0" borderId="2" xfId="0" applyFont="1" applyBorder="1" applyAlignment="1">
      <alignment horizontal="center"/>
    </xf>
    <xf numFmtId="0" fontId="73" fillId="0" borderId="18" xfId="0" applyFont="1" applyBorder="1" applyAlignment="1">
      <alignment horizontal="center"/>
    </xf>
    <xf numFmtId="49" fontId="24" fillId="0" borderId="60" xfId="0" applyNumberFormat="1" applyFont="1" applyBorder="1" applyAlignment="1">
      <alignment horizontal="center" vertical="center"/>
    </xf>
    <xf numFmtId="49" fontId="24" fillId="0" borderId="57" xfId="0" applyNumberFormat="1" applyFont="1" applyBorder="1" applyAlignment="1">
      <alignment horizontal="center" vertical="center"/>
    </xf>
    <xf numFmtId="0" fontId="75" fillId="0" borderId="3" xfId="0" applyFont="1" applyBorder="1" applyAlignment="1">
      <alignment horizontal="center" vertical="center"/>
    </xf>
    <xf numFmtId="0" fontId="75" fillId="0" borderId="0" xfId="0" applyFont="1" applyBorder="1" applyAlignment="1">
      <alignment horizontal="center" vertical="center"/>
    </xf>
    <xf numFmtId="0" fontId="78" fillId="0" borderId="4" xfId="0" applyFont="1" applyBorder="1" applyAlignment="1">
      <alignment horizontal="center" vertical="center" wrapText="1"/>
    </xf>
    <xf numFmtId="0" fontId="78" fillId="0" borderId="52" xfId="0" applyFont="1" applyBorder="1" applyAlignment="1">
      <alignment horizontal="center" vertical="center" wrapText="1"/>
    </xf>
    <xf numFmtId="0" fontId="78" fillId="0" borderId="44" xfId="0" applyFont="1" applyBorder="1" applyAlignment="1">
      <alignment horizontal="center" vertical="center" wrapText="1"/>
    </xf>
    <xf numFmtId="0" fontId="78" fillId="0" borderId="22" xfId="0" applyFont="1" applyBorder="1" applyAlignment="1">
      <alignment horizontal="center" vertical="center" wrapText="1"/>
    </xf>
    <xf numFmtId="0" fontId="78" fillId="0" borderId="24" xfId="0" applyFont="1" applyBorder="1" applyAlignment="1">
      <alignment horizontal="center" vertical="center" wrapText="1"/>
    </xf>
    <xf numFmtId="0" fontId="78" fillId="0" borderId="5" xfId="0" applyFont="1" applyBorder="1" applyAlignment="1">
      <alignment horizontal="center" vertical="center" wrapText="1"/>
    </xf>
    <xf numFmtId="0" fontId="78" fillId="0" borderId="18" xfId="0" applyFont="1" applyBorder="1" applyAlignment="1">
      <alignment horizontal="center" vertical="center" wrapText="1"/>
    </xf>
    <xf numFmtId="0" fontId="78" fillId="0" borderId="3" xfId="0" applyFont="1" applyBorder="1" applyAlignment="1">
      <alignment horizontal="center" vertical="center" wrapText="1"/>
    </xf>
    <xf numFmtId="0" fontId="78" fillId="0" borderId="2" xfId="0" applyFont="1" applyBorder="1" applyAlignment="1">
      <alignment horizontal="center" vertical="center" wrapText="1"/>
    </xf>
    <xf numFmtId="0" fontId="79" fillId="0" borderId="4" xfId="0" applyFont="1" applyBorder="1" applyAlignment="1">
      <alignment horizontal="center" vertical="center" wrapText="1"/>
    </xf>
    <xf numFmtId="0" fontId="79" fillId="0" borderId="52" xfId="0" applyFont="1" applyBorder="1" applyAlignment="1">
      <alignment horizontal="center" vertical="center" wrapText="1"/>
    </xf>
    <xf numFmtId="0" fontId="79" fillId="0" borderId="44" xfId="0" applyFont="1" applyBorder="1" applyAlignment="1">
      <alignment horizontal="center" vertical="center" wrapText="1"/>
    </xf>
    <xf numFmtId="49" fontId="78" fillId="0" borderId="22" xfId="0" applyNumberFormat="1" applyFont="1" applyBorder="1" applyAlignment="1">
      <alignment horizontal="center" vertical="top"/>
    </xf>
    <xf numFmtId="49" fontId="78" fillId="0" borderId="24" xfId="0" applyNumberFormat="1" applyFont="1" applyBorder="1" applyAlignment="1">
      <alignment horizontal="center" vertical="top"/>
    </xf>
    <xf numFmtId="49" fontId="78" fillId="0" borderId="3" xfId="0" applyNumberFormat="1" applyFont="1" applyBorder="1" applyAlignment="1">
      <alignment horizontal="center" vertical="top"/>
    </xf>
    <xf numFmtId="49" fontId="57" fillId="0" borderId="4" xfId="0" applyNumberFormat="1" applyFont="1" applyBorder="1" applyAlignment="1">
      <alignment horizontal="center" vertical="top"/>
    </xf>
    <xf numFmtId="49" fontId="57" fillId="0" borderId="44" xfId="0" applyNumberFormat="1" applyFont="1" applyBorder="1" applyAlignment="1">
      <alignment horizontal="center" vertical="top"/>
    </xf>
    <xf numFmtId="49" fontId="57" fillId="0" borderId="4" xfId="0" applyNumberFormat="1" applyFont="1" applyBorder="1" applyAlignment="1">
      <alignment horizontal="left" vertical="top" wrapText="1"/>
    </xf>
    <xf numFmtId="49" fontId="57" fillId="0" borderId="44" xfId="0" applyNumberFormat="1" applyFont="1" applyBorder="1" applyAlignment="1">
      <alignment horizontal="left" vertical="top" wrapText="1"/>
    </xf>
    <xf numFmtId="49" fontId="57" fillId="0" borderId="4" xfId="0" applyNumberFormat="1" applyFont="1" applyBorder="1" applyAlignment="1">
      <alignment horizontal="left" vertical="top"/>
    </xf>
    <xf numFmtId="49" fontId="57" fillId="0" borderId="44" xfId="0" applyNumberFormat="1" applyFont="1" applyBorder="1" applyAlignment="1">
      <alignment horizontal="left" vertical="top"/>
    </xf>
    <xf numFmtId="0" fontId="57" fillId="0" borderId="1" xfId="0" applyFont="1" applyBorder="1" applyAlignment="1">
      <alignment horizontal="left" vertical="top"/>
    </xf>
    <xf numFmtId="49" fontId="57" fillId="0" borderId="52" xfId="0" applyNumberFormat="1" applyFont="1" applyBorder="1" applyAlignment="1">
      <alignment horizontal="center" vertical="top"/>
    </xf>
    <xf numFmtId="49" fontId="66" fillId="0" borderId="2" xfId="0" applyNumberFormat="1" applyFont="1" applyBorder="1" applyAlignment="1">
      <alignment horizontal="center"/>
    </xf>
    <xf numFmtId="0" fontId="13" fillId="0" borderId="0" xfId="0" applyFont="1"/>
    <xf numFmtId="49" fontId="59" fillId="0" borderId="2" xfId="0" applyNumberFormat="1" applyFont="1" applyBorder="1" applyAlignment="1">
      <alignment horizontal="left"/>
    </xf>
    <xf numFmtId="0" fontId="57" fillId="0" borderId="1" xfId="0" applyFont="1" applyBorder="1" applyAlignment="1">
      <alignment horizontal="center"/>
    </xf>
    <xf numFmtId="166" fontId="79" fillId="0" borderId="4" xfId="0" applyNumberFormat="1" applyFont="1" applyBorder="1" applyAlignment="1">
      <alignment horizontal="right"/>
    </xf>
    <xf numFmtId="166" fontId="79" fillId="0" borderId="44" xfId="0" applyNumberFormat="1" applyFont="1" applyBorder="1" applyAlignment="1">
      <alignment horizontal="right"/>
    </xf>
    <xf numFmtId="4" fontId="79" fillId="0" borderId="4" xfId="0" applyNumberFormat="1" applyFont="1" applyBorder="1" applyAlignment="1">
      <alignment horizontal="right"/>
    </xf>
    <xf numFmtId="4" fontId="79" fillId="0" borderId="52" xfId="0" applyNumberFormat="1" applyFont="1" applyBorder="1" applyAlignment="1">
      <alignment horizontal="right"/>
    </xf>
    <xf numFmtId="4" fontId="79" fillId="0" borderId="44" xfId="0" applyNumberFormat="1" applyFont="1" applyBorder="1" applyAlignment="1">
      <alignment horizontal="right"/>
    </xf>
    <xf numFmtId="49" fontId="13" fillId="0" borderId="0" xfId="0" applyNumberFormat="1" applyFont="1" applyAlignment="1">
      <alignment horizontal="center"/>
    </xf>
    <xf numFmtId="4" fontId="79" fillId="0" borderId="5" xfId="0" applyNumberFormat="1" applyFont="1" applyBorder="1" applyAlignment="1">
      <alignment horizontal="right"/>
    </xf>
    <xf numFmtId="4" fontId="79" fillId="0" borderId="18" xfId="0" applyNumberFormat="1" applyFont="1" applyBorder="1" applyAlignment="1">
      <alignment horizontal="right"/>
    </xf>
    <xf numFmtId="4" fontId="79" fillId="0" borderId="2" xfId="0" applyNumberFormat="1" applyFont="1" applyBorder="1" applyAlignment="1">
      <alignment horizontal="right"/>
    </xf>
    <xf numFmtId="166" fontId="79" fillId="0" borderId="5" xfId="0" applyNumberFormat="1" applyFont="1" applyBorder="1" applyAlignment="1">
      <alignment horizontal="right"/>
    </xf>
    <xf numFmtId="166" fontId="79" fillId="0" borderId="18" xfId="0" applyNumberFormat="1" applyFont="1" applyBorder="1" applyAlignment="1">
      <alignment horizontal="right"/>
    </xf>
    <xf numFmtId="49" fontId="62" fillId="3" borderId="2" xfId="11" applyNumberFormat="1" applyFill="1" applyAlignment="1" applyProtection="1">
      <alignment horizontal="center" shrinkToFit="1"/>
      <protection locked="0"/>
    </xf>
    <xf numFmtId="0" fontId="62" fillId="3" borderId="0" xfId="8" applyFill="1" applyProtection="1">
      <alignment horizontal="left"/>
      <protection locked="0"/>
    </xf>
    <xf numFmtId="0" fontId="62" fillId="3" borderId="1" xfId="14" applyNumberFormat="1" applyFill="1" applyAlignment="1" applyProtection="1">
      <alignment horizontal="center" vertical="center" shrinkToFit="1"/>
      <protection locked="0"/>
    </xf>
    <xf numFmtId="164" fontId="62" fillId="3" borderId="1" xfId="14" applyNumberFormat="1" applyFont="1" applyFill="1" applyAlignment="1" applyProtection="1">
      <alignment horizontal="center" vertical="center" shrinkToFit="1"/>
      <protection locked="0"/>
    </xf>
    <xf numFmtId="164" fontId="62" fillId="3" borderId="1" xfId="14" applyNumberFormat="1" applyFill="1" applyAlignment="1" applyProtection="1">
      <alignment horizontal="center" vertical="center" shrinkToFit="1"/>
      <protection locked="0"/>
    </xf>
    <xf numFmtId="168" fontId="50" fillId="3" borderId="1" xfId="14" applyNumberFormat="1" applyFont="1" applyFill="1" applyAlignment="1" applyProtection="1">
      <alignment horizontal="right" vertical="top" shrinkToFit="1"/>
    </xf>
    <xf numFmtId="49" fontId="66" fillId="5" borderId="2" xfId="11" applyNumberFormat="1" applyFont="1" applyFill="1" applyBorder="1" applyAlignment="1" applyProtection="1">
      <alignment horizontal="left" shrinkToFit="1"/>
      <protection locked="0"/>
    </xf>
    <xf numFmtId="169" fontId="50" fillId="3" borderId="4" xfId="14" applyNumberFormat="1" applyFont="1" applyFill="1" applyBorder="1" applyAlignment="1" applyProtection="1">
      <alignment horizontal="right" vertical="top" shrinkToFit="1"/>
      <protection locked="0"/>
    </xf>
    <xf numFmtId="169" fontId="50" fillId="3" borderId="52" xfId="14" applyNumberFormat="1" applyFont="1" applyFill="1" applyBorder="1" applyAlignment="1" applyProtection="1">
      <alignment horizontal="right" vertical="top" shrinkToFit="1"/>
      <protection locked="0"/>
    </xf>
    <xf numFmtId="169" fontId="50" fillId="3" borderId="44" xfId="14" applyNumberFormat="1" applyFont="1" applyFill="1" applyBorder="1" applyAlignment="1" applyProtection="1">
      <alignment horizontal="right" vertical="top" shrinkToFit="1"/>
      <protection locked="0"/>
    </xf>
    <xf numFmtId="0" fontId="50" fillId="3" borderId="4" xfId="14" applyFont="1" applyFill="1" applyBorder="1" applyAlignment="1" applyProtection="1">
      <alignment horizontal="right" vertical="top"/>
      <protection locked="0"/>
    </xf>
    <xf numFmtId="0" fontId="50" fillId="3" borderId="52" xfId="14" applyFont="1" applyFill="1" applyBorder="1" applyAlignment="1" applyProtection="1">
      <alignment horizontal="right" vertical="top"/>
      <protection locked="0"/>
    </xf>
    <xf numFmtId="0" fontId="50" fillId="3" borderId="44" xfId="14" applyFont="1" applyFill="1" applyBorder="1" applyAlignment="1" applyProtection="1">
      <alignment horizontal="right" vertical="top"/>
      <protection locked="0"/>
    </xf>
    <xf numFmtId="49" fontId="50" fillId="3" borderId="4" xfId="14" applyNumberFormat="1" applyFont="1" applyFill="1" applyBorder="1" applyAlignment="1" applyProtection="1">
      <alignment vertical="top" wrapText="1"/>
      <protection locked="0"/>
    </xf>
    <xf numFmtId="49" fontId="50" fillId="3" borderId="52" xfId="14" applyNumberFormat="1" applyFont="1" applyFill="1" applyBorder="1" applyAlignment="1" applyProtection="1">
      <alignment vertical="top" wrapText="1"/>
      <protection locked="0"/>
    </xf>
    <xf numFmtId="49" fontId="50" fillId="3" borderId="44" xfId="14" applyNumberFormat="1" applyFont="1" applyFill="1" applyBorder="1" applyAlignment="1" applyProtection="1">
      <alignment vertical="top" wrapText="1"/>
      <protection locked="0"/>
    </xf>
    <xf numFmtId="49" fontId="50" fillId="3" borderId="4" xfId="14" applyNumberFormat="1" applyFont="1" applyFill="1" applyBorder="1" applyAlignment="1" applyProtection="1">
      <alignment horizontal="left" vertical="top" wrapText="1"/>
      <protection locked="0"/>
    </xf>
    <xf numFmtId="49" fontId="50" fillId="3" borderId="52" xfId="14" applyNumberFormat="1" applyFont="1" applyFill="1" applyBorder="1" applyAlignment="1" applyProtection="1">
      <alignment horizontal="left" vertical="top" wrapText="1"/>
      <protection locked="0"/>
    </xf>
    <xf numFmtId="49" fontId="50" fillId="3" borderId="44" xfId="14" applyNumberFormat="1" applyFont="1" applyFill="1" applyBorder="1" applyAlignment="1" applyProtection="1">
      <alignment horizontal="left" vertical="top" wrapText="1"/>
      <protection locked="0"/>
    </xf>
    <xf numFmtId="49" fontId="50" fillId="3" borderId="4" xfId="14" applyNumberFormat="1" applyFont="1" applyFill="1" applyBorder="1" applyAlignment="1" applyProtection="1">
      <alignment horizontal="left" vertical="top" shrinkToFit="1"/>
      <protection locked="0"/>
    </xf>
    <xf numFmtId="49" fontId="50" fillId="3" borderId="52" xfId="14" applyNumberFormat="1" applyFont="1" applyFill="1" applyBorder="1" applyAlignment="1" applyProtection="1">
      <alignment horizontal="left" vertical="top" shrinkToFit="1"/>
      <protection locked="0"/>
    </xf>
    <xf numFmtId="49" fontId="50" fillId="3" borderId="44" xfId="14" applyNumberFormat="1" applyFont="1" applyFill="1" applyBorder="1" applyAlignment="1" applyProtection="1">
      <alignment horizontal="left" vertical="top" shrinkToFit="1"/>
      <protection locked="0"/>
    </xf>
    <xf numFmtId="168" fontId="50" fillId="3" borderId="4" xfId="14" applyNumberFormat="1" applyFont="1" applyFill="1" applyBorder="1" applyAlignment="1" applyProtection="1">
      <alignment horizontal="right" vertical="top" shrinkToFit="1"/>
      <protection locked="0"/>
    </xf>
    <xf numFmtId="168" fontId="50" fillId="3" borderId="52" xfId="14" applyNumberFormat="1" applyFont="1" applyFill="1" applyBorder="1" applyAlignment="1" applyProtection="1">
      <alignment horizontal="right" vertical="top" shrinkToFit="1"/>
      <protection locked="0"/>
    </xf>
    <xf numFmtId="168" fontId="50" fillId="3" borderId="44" xfId="14" applyNumberFormat="1" applyFont="1" applyFill="1" applyBorder="1" applyAlignment="1" applyProtection="1">
      <alignment horizontal="right" vertical="top" shrinkToFit="1"/>
      <protection locked="0"/>
    </xf>
    <xf numFmtId="169" fontId="50" fillId="3" borderId="1" xfId="14" applyNumberFormat="1" applyFont="1" applyFill="1" applyAlignment="1" applyProtection="1">
      <alignment horizontal="right" vertical="top" shrinkToFit="1"/>
      <protection locked="0"/>
    </xf>
    <xf numFmtId="0" fontId="64" fillId="3" borderId="1" xfId="6" applyFill="1" applyProtection="1">
      <alignment horizontal="center" vertical="center" wrapText="1"/>
      <protection locked="0"/>
    </xf>
    <xf numFmtId="49" fontId="61" fillId="3" borderId="0" xfId="10" applyFill="1" applyProtection="1">
      <alignment horizontal="center" vertical="top"/>
      <protection locked="0"/>
    </xf>
    <xf numFmtId="0" fontId="62" fillId="3" borderId="0" xfId="8" applyFill="1" applyAlignment="1" applyProtection="1">
      <alignment horizontal="justify" vertical="top" wrapText="1"/>
      <protection locked="0"/>
    </xf>
    <xf numFmtId="0" fontId="62" fillId="3" borderId="0" xfId="8" applyFill="1" applyAlignment="1" applyProtection="1">
      <alignment horizontal="right"/>
      <protection locked="0"/>
    </xf>
    <xf numFmtId="0" fontId="62" fillId="3" borderId="0" xfId="8" applyFill="1" applyAlignment="1" applyProtection="1">
      <alignment horizontal="left"/>
      <protection locked="0"/>
    </xf>
    <xf numFmtId="49" fontId="62" fillId="3" borderId="0" xfId="8" applyNumberFormat="1" applyFill="1" applyProtection="1">
      <alignment horizontal="left"/>
      <protection locked="0"/>
    </xf>
    <xf numFmtId="0" fontId="62" fillId="3" borderId="1" xfId="14" applyFill="1" applyProtection="1">
      <alignment horizontal="left" wrapText="1"/>
      <protection locked="0"/>
    </xf>
    <xf numFmtId="164" fontId="62" fillId="3" borderId="1" xfId="14" applyNumberFormat="1" applyFill="1" applyAlignment="1" applyProtection="1">
      <alignment horizontal="center" vertical="center" shrinkToFit="1"/>
    </xf>
    <xf numFmtId="168" fontId="50" fillId="3" borderId="4" xfId="14" applyNumberFormat="1" applyFont="1" applyFill="1" applyBorder="1" applyAlignment="1" applyProtection="1">
      <alignment horizontal="right" vertical="top" shrinkToFit="1"/>
    </xf>
    <xf numFmtId="168" fontId="50" fillId="3" borderId="52" xfId="14" applyNumberFormat="1" applyFont="1" applyFill="1" applyBorder="1" applyAlignment="1" applyProtection="1">
      <alignment horizontal="right" vertical="top" shrinkToFit="1"/>
    </xf>
    <xf numFmtId="168" fontId="50" fillId="3" borderId="44" xfId="14" applyNumberFormat="1" applyFont="1" applyFill="1" applyBorder="1" applyAlignment="1" applyProtection="1">
      <alignment horizontal="right" vertical="top" shrinkToFit="1"/>
    </xf>
    <xf numFmtId="169" fontId="50" fillId="3" borderId="1" xfId="14" applyNumberFormat="1" applyFont="1" applyFill="1" applyAlignment="1" applyProtection="1">
      <alignment horizontal="right" vertical="top" shrinkToFit="1"/>
    </xf>
    <xf numFmtId="164" fontId="62" fillId="3" borderId="1" xfId="14" applyNumberFormat="1" applyFill="1" applyAlignment="1" applyProtection="1">
      <alignment horizontal="center" shrinkToFit="1"/>
    </xf>
    <xf numFmtId="0" fontId="50" fillId="3" borderId="1" xfId="14" applyFont="1" applyFill="1" applyAlignment="1" applyProtection="1">
      <alignment horizontal="left" vertical="top" wrapText="1"/>
      <protection locked="0"/>
    </xf>
    <xf numFmtId="0" fontId="62" fillId="3" borderId="2" xfId="11" applyFill="1" applyProtection="1">
      <alignment horizontal="center"/>
      <protection locked="0"/>
    </xf>
    <xf numFmtId="0" fontId="62" fillId="3" borderId="1" xfId="14" applyFill="1" applyAlignment="1" applyProtection="1">
      <alignment horizontal="center" vertical="center"/>
      <protection locked="0"/>
    </xf>
    <xf numFmtId="0" fontId="62" fillId="3" borderId="1" xfId="14" applyFont="1" applyFill="1" applyAlignment="1" applyProtection="1">
      <alignment horizontal="left" vertical="top" wrapText="1"/>
      <protection locked="0"/>
    </xf>
    <xf numFmtId="0" fontId="62" fillId="3" borderId="1" xfId="14" applyFill="1" applyAlignment="1" applyProtection="1">
      <alignment horizontal="left" vertical="top" wrapText="1"/>
      <protection locked="0"/>
    </xf>
    <xf numFmtId="0" fontId="62" fillId="3" borderId="1" xfId="14" applyFill="1" applyAlignment="1" applyProtection="1">
      <alignment horizontal="center" vertical="center" shrinkToFit="1"/>
      <protection locked="0"/>
    </xf>
    <xf numFmtId="0" fontId="64" fillId="3" borderId="1" xfId="6" applyFont="1" applyFill="1" applyProtection="1">
      <alignment horizontal="center" vertical="center" wrapText="1"/>
      <protection locked="0"/>
    </xf>
    <xf numFmtId="0" fontId="62" fillId="5" borderId="0" xfId="8" applyFill="1" applyProtection="1">
      <alignment horizontal="left"/>
      <protection locked="0"/>
    </xf>
    <xf numFmtId="0" fontId="66" fillId="3" borderId="2" xfId="11" applyNumberFormat="1" applyFont="1" applyFill="1" applyBorder="1" applyAlignment="1" applyProtection="1">
      <alignment horizontal="left" shrinkToFit="1"/>
      <protection locked="0"/>
    </xf>
    <xf numFmtId="49" fontId="61" fillId="3" borderId="3" xfId="10" applyFill="1" applyBorder="1" applyProtection="1">
      <alignment horizontal="center" vertical="top"/>
      <protection locked="0"/>
    </xf>
    <xf numFmtId="0" fontId="62" fillId="3" borderId="0" xfId="8" applyFill="1" applyAlignment="1" applyProtection="1">
      <alignment horizontal="center"/>
      <protection locked="0"/>
    </xf>
    <xf numFmtId="49" fontId="62" fillId="3" borderId="2" xfId="11" applyNumberFormat="1" applyFill="1" applyProtection="1">
      <alignment horizontal="center"/>
      <protection locked="0"/>
    </xf>
    <xf numFmtId="0" fontId="63" fillId="3" borderId="3" xfId="5" applyFill="1" applyBorder="1" applyProtection="1">
      <alignment horizontal="center" vertical="top" wrapText="1"/>
      <protection locked="0"/>
    </xf>
    <xf numFmtId="0" fontId="62" fillId="3" borderId="0" xfId="1" applyFill="1" applyProtection="1">
      <alignment horizontal="justify"/>
      <protection locked="0"/>
    </xf>
    <xf numFmtId="0" fontId="62" fillId="3" borderId="0" xfId="8" applyFill="1" applyAlignment="1" applyProtection="1">
      <alignment horizontal="center" vertical="center"/>
      <protection locked="0"/>
    </xf>
    <xf numFmtId="49" fontId="62" fillId="3" borderId="1" xfId="14" applyNumberFormat="1" applyFill="1" applyAlignment="1" applyProtection="1">
      <alignment horizontal="center" shrinkToFit="1"/>
      <protection locked="0"/>
    </xf>
    <xf numFmtId="49" fontId="69" fillId="3" borderId="2" xfId="11" applyNumberFormat="1" applyFont="1" applyFill="1" applyAlignment="1" applyProtection="1">
      <alignment horizontal="left" shrinkToFit="1"/>
      <protection locked="0"/>
    </xf>
    <xf numFmtId="49" fontId="66" fillId="3" borderId="2" xfId="11" applyNumberFormat="1" applyFont="1" applyFill="1" applyAlignment="1" applyProtection="1">
      <alignment horizontal="center" shrinkToFit="1"/>
      <protection locked="0"/>
    </xf>
    <xf numFmtId="0" fontId="66" fillId="3" borderId="2" xfId="11" applyNumberFormat="1" applyFont="1" applyFill="1" applyAlignment="1" applyProtection="1">
      <alignment horizontal="center" shrinkToFit="1"/>
      <protection locked="0"/>
    </xf>
    <xf numFmtId="0" fontId="69" fillId="3" borderId="52" xfId="8" applyFont="1" applyFill="1" applyBorder="1" applyAlignment="1" applyProtection="1">
      <alignment horizontal="left"/>
      <protection locked="0"/>
    </xf>
    <xf numFmtId="49" fontId="69" fillId="3" borderId="52" xfId="11" applyNumberFormat="1" applyFont="1" applyFill="1" applyBorder="1" applyAlignment="1" applyProtection="1">
      <alignment horizontal="left" shrinkToFit="1"/>
      <protection locked="0"/>
    </xf>
    <xf numFmtId="0" fontId="50" fillId="3" borderId="0" xfId="12" applyFill="1" applyProtection="1">
      <alignment horizontal="right" vertical="top" wrapText="1"/>
      <protection locked="0"/>
    </xf>
    <xf numFmtId="0" fontId="63" fillId="3" borderId="0" xfId="5" applyFill="1" applyProtection="1">
      <alignment horizontal="center" vertical="top" wrapText="1"/>
      <protection locked="0"/>
    </xf>
    <xf numFmtId="0" fontId="62" fillId="3" borderId="0" xfId="8" applyFill="1" applyAlignment="1" applyProtection="1">
      <alignment horizontal="right" vertical="center"/>
      <protection locked="0"/>
    </xf>
    <xf numFmtId="0" fontId="64" fillId="3" borderId="0" xfId="6" applyFill="1" applyBorder="1" applyProtection="1">
      <alignment horizontal="center" vertical="center" wrapText="1"/>
      <protection locked="0"/>
    </xf>
    <xf numFmtId="49" fontId="62" fillId="3" borderId="1" xfId="14" applyNumberFormat="1" applyFont="1" applyFill="1" applyAlignment="1" applyProtection="1">
      <alignment horizontal="center" wrapText="1"/>
      <protection locked="0"/>
    </xf>
    <xf numFmtId="49" fontId="62" fillId="3" borderId="1" xfId="14" applyNumberFormat="1" applyFill="1" applyAlignment="1" applyProtection="1">
      <alignment horizontal="center" wrapText="1"/>
      <protection locked="0"/>
    </xf>
    <xf numFmtId="49" fontId="69" fillId="5" borderId="2" xfId="11" applyNumberFormat="1" applyFont="1" applyFill="1" applyBorder="1" applyAlignment="1" applyProtection="1">
      <alignment horizontal="left" shrinkToFit="1"/>
      <protection locked="0"/>
    </xf>
    <xf numFmtId="49" fontId="62" fillId="3" borderId="22" xfId="14" applyNumberFormat="1" applyFill="1" applyBorder="1" applyAlignment="1" applyProtection="1">
      <alignment horizontal="center" shrinkToFit="1"/>
      <protection locked="0"/>
    </xf>
    <xf numFmtId="49" fontId="62" fillId="3" borderId="3" xfId="14" applyNumberFormat="1" applyFill="1" applyBorder="1" applyAlignment="1" applyProtection="1">
      <alignment horizontal="center" shrinkToFit="1"/>
      <protection locked="0"/>
    </xf>
    <xf numFmtId="49" fontId="62" fillId="3" borderId="24" xfId="14" applyNumberFormat="1" applyFill="1" applyBorder="1" applyAlignment="1" applyProtection="1">
      <alignment horizontal="center" shrinkToFit="1"/>
      <protection locked="0"/>
    </xf>
    <xf numFmtId="49" fontId="62" fillId="3" borderId="5" xfId="14" applyNumberFormat="1" applyFill="1" applyBorder="1" applyAlignment="1" applyProtection="1">
      <alignment horizontal="center" shrinkToFit="1"/>
      <protection locked="0"/>
    </xf>
    <xf numFmtId="49" fontId="62" fillId="3" borderId="2" xfId="14" applyNumberFormat="1" applyFill="1" applyBorder="1" applyAlignment="1" applyProtection="1">
      <alignment horizontal="center" shrinkToFit="1"/>
      <protection locked="0"/>
    </xf>
    <xf numFmtId="49" fontId="62" fillId="3" borderId="18" xfId="14" applyNumberFormat="1" applyFill="1" applyBorder="1" applyAlignment="1" applyProtection="1">
      <alignment horizontal="center" shrinkToFit="1"/>
      <protection locked="0"/>
    </xf>
    <xf numFmtId="0" fontId="75" fillId="0" borderId="0" xfId="0" applyNumberFormat="1" applyFont="1" applyAlignment="1">
      <alignment horizontal="center" vertical="top"/>
    </xf>
    <xf numFmtId="0" fontId="59" fillId="0" borderId="2" xfId="0" applyNumberFormat="1" applyFont="1" applyBorder="1" applyAlignment="1">
      <alignment horizontal="center"/>
    </xf>
    <xf numFmtId="0" fontId="71" fillId="0" borderId="2" xfId="0" applyNumberFormat="1" applyFont="1" applyBorder="1" applyAlignment="1">
      <alignment horizontal="center"/>
    </xf>
    <xf numFmtId="49" fontId="71" fillId="0" borderId="2" xfId="0" applyNumberFormat="1" applyFont="1" applyBorder="1" applyAlignment="1">
      <alignment horizontal="center"/>
    </xf>
    <xf numFmtId="49" fontId="71" fillId="0" borderId="2" xfId="0" applyNumberFormat="1" applyFont="1" applyBorder="1" applyAlignment="1">
      <alignment horizontal="left"/>
    </xf>
    <xf numFmtId="0" fontId="13" fillId="0" borderId="0" xfId="0" applyNumberFormat="1" applyFont="1" applyAlignment="1">
      <alignment horizontal="center"/>
    </xf>
    <xf numFmtId="0" fontId="71" fillId="0" borderId="2" xfId="0" applyNumberFormat="1" applyFont="1" applyBorder="1" applyAlignment="1">
      <alignment horizontal="left"/>
    </xf>
    <xf numFmtId="0" fontId="75" fillId="0" borderId="3" xfId="0" applyNumberFormat="1" applyFont="1" applyBorder="1" applyAlignment="1">
      <alignment horizontal="center" vertical="top"/>
    </xf>
    <xf numFmtId="0" fontId="71" fillId="0" borderId="52" xfId="0" applyNumberFormat="1" applyFont="1" applyBorder="1" applyAlignment="1">
      <alignment horizontal="left"/>
    </xf>
    <xf numFmtId="49" fontId="59" fillId="0" borderId="52" xfId="0" applyNumberFormat="1" applyFont="1" applyBorder="1" applyAlignment="1">
      <alignment horizontal="left"/>
    </xf>
    <xf numFmtId="49" fontId="59" fillId="0" borderId="52" xfId="0" applyNumberFormat="1" applyFont="1" applyBorder="1" applyAlignment="1">
      <alignment horizontal="center"/>
    </xf>
    <xf numFmtId="0" fontId="59" fillId="0" borderId="52" xfId="0" applyNumberFormat="1" applyFont="1" applyBorder="1" applyAlignment="1">
      <alignment horizontal="center"/>
    </xf>
    <xf numFmtId="49" fontId="55" fillId="0" borderId="2" xfId="0" applyNumberFormat="1" applyFont="1" applyBorder="1" applyAlignment="1">
      <alignment horizontal="center"/>
    </xf>
    <xf numFmtId="49" fontId="13" fillId="0" borderId="59" xfId="0" applyNumberFormat="1" applyFont="1" applyBorder="1" applyAlignment="1">
      <alignment horizontal="center"/>
    </xf>
    <xf numFmtId="49" fontId="13" fillId="0" borderId="1" xfId="0" applyNumberFormat="1" applyFont="1" applyBorder="1" applyAlignment="1">
      <alignment horizontal="center"/>
    </xf>
    <xf numFmtId="49" fontId="13" fillId="0" borderId="34" xfId="0" applyNumberFormat="1" applyFont="1" applyBorder="1" applyAlignment="1">
      <alignment horizontal="center"/>
    </xf>
    <xf numFmtId="49" fontId="13" fillId="0" borderId="65" xfId="0" applyNumberFormat="1" applyFont="1" applyBorder="1" applyAlignment="1">
      <alignment horizontal="center"/>
    </xf>
    <xf numFmtId="49" fontId="13" fillId="0" borderId="67" xfId="0" applyNumberFormat="1" applyFont="1" applyBorder="1" applyAlignment="1">
      <alignment horizontal="center"/>
    </xf>
    <xf numFmtId="49" fontId="13" fillId="0" borderId="66" xfId="0" applyNumberFormat="1" applyFont="1" applyBorder="1" applyAlignment="1">
      <alignment horizontal="center"/>
    </xf>
    <xf numFmtId="0" fontId="55" fillId="0" borderId="0" xfId="0" applyNumberFormat="1" applyFont="1" applyAlignment="1">
      <alignment horizontal="center"/>
    </xf>
    <xf numFmtId="0" fontId="13" fillId="0" borderId="23" xfId="0" applyNumberFormat="1" applyFont="1" applyBorder="1" applyAlignment="1">
      <alignment horizontal="center"/>
    </xf>
    <xf numFmtId="0" fontId="13" fillId="0" borderId="63" xfId="0" applyNumberFormat="1" applyFont="1" applyBorder="1" applyAlignment="1">
      <alignment horizontal="center"/>
    </xf>
    <xf numFmtId="0" fontId="13" fillId="0" borderId="69" xfId="0" applyNumberFormat="1" applyFont="1" applyBorder="1" applyAlignment="1">
      <alignment horizontal="center"/>
    </xf>
    <xf numFmtId="0" fontId="13" fillId="0" borderId="64" xfId="0" applyNumberFormat="1" applyFont="1" applyBorder="1" applyAlignment="1">
      <alignment horizontal="center"/>
    </xf>
    <xf numFmtId="49" fontId="13" fillId="0" borderId="2" xfId="0" applyNumberFormat="1" applyFont="1" applyBorder="1" applyAlignment="1">
      <alignment horizontal="left" vertical="center"/>
    </xf>
    <xf numFmtId="49" fontId="13" fillId="0" borderId="2" xfId="0" applyNumberFormat="1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top"/>
    </xf>
    <xf numFmtId="0" fontId="34" fillId="0" borderId="52" xfId="0" applyFont="1" applyBorder="1" applyAlignment="1">
      <alignment horizontal="center" vertical="top"/>
    </xf>
    <xf numFmtId="0" fontId="34" fillId="0" borderId="44" xfId="0" applyFont="1" applyBorder="1" applyAlignment="1">
      <alignment horizontal="center" vertical="top"/>
    </xf>
    <xf numFmtId="0" fontId="34" fillId="0" borderId="4" xfId="0" applyFont="1" applyBorder="1" applyAlignment="1">
      <alignment horizontal="center" vertical="top" wrapText="1"/>
    </xf>
    <xf numFmtId="0" fontId="34" fillId="0" borderId="52" xfId="0" applyFont="1" applyBorder="1" applyAlignment="1">
      <alignment horizontal="center" vertical="top" wrapText="1"/>
    </xf>
    <xf numFmtId="0" fontId="34" fillId="0" borderId="44" xfId="0" applyFont="1" applyBorder="1" applyAlignment="1">
      <alignment horizontal="center" vertical="top" wrapText="1"/>
    </xf>
    <xf numFmtId="0" fontId="83" fillId="0" borderId="3" xfId="0" applyFont="1" applyBorder="1" applyAlignment="1">
      <alignment horizontal="center" vertical="top"/>
    </xf>
    <xf numFmtId="166" fontId="34" fillId="0" borderId="4" xfId="0" applyNumberFormat="1" applyFont="1" applyBorder="1" applyAlignment="1">
      <alignment horizontal="right" vertical="top"/>
    </xf>
    <xf numFmtId="166" fontId="34" fillId="0" borderId="52" xfId="0" applyNumberFormat="1" applyFont="1" applyBorder="1" applyAlignment="1">
      <alignment horizontal="right" vertical="top"/>
    </xf>
    <xf numFmtId="166" fontId="34" fillId="0" borderId="44" xfId="0" applyNumberFormat="1" applyFont="1" applyBorder="1" applyAlignment="1">
      <alignment horizontal="right" vertical="top"/>
    </xf>
    <xf numFmtId="0" fontId="83" fillId="0" borderId="0" xfId="0" applyFont="1" applyBorder="1" applyAlignment="1">
      <alignment horizontal="center" vertical="top"/>
    </xf>
    <xf numFmtId="4" fontId="34" fillId="0" borderId="4" xfId="0" applyNumberFormat="1" applyFont="1" applyBorder="1" applyAlignment="1">
      <alignment horizontal="right" vertical="top"/>
    </xf>
    <xf numFmtId="4" fontId="34" fillId="0" borderId="52" xfId="0" applyNumberFormat="1" applyFont="1" applyBorder="1" applyAlignment="1">
      <alignment horizontal="right" vertical="top"/>
    </xf>
    <xf numFmtId="4" fontId="34" fillId="0" borderId="44" xfId="0" applyNumberFormat="1" applyFont="1" applyBorder="1" applyAlignment="1">
      <alignment horizontal="right" vertical="top"/>
    </xf>
    <xf numFmtId="0" fontId="34" fillId="0" borderId="4" xfId="0" applyFont="1" applyBorder="1" applyAlignment="1">
      <alignment horizontal="left" vertical="top"/>
    </xf>
    <xf numFmtId="0" fontId="34" fillId="0" borderId="52" xfId="0" applyFont="1" applyBorder="1" applyAlignment="1">
      <alignment horizontal="left" vertical="top"/>
    </xf>
    <xf numFmtId="0" fontId="34" fillId="0" borderId="44" xfId="0" applyFont="1" applyBorder="1" applyAlignment="1">
      <alignment horizontal="left" vertical="top"/>
    </xf>
    <xf numFmtId="4" fontId="34" fillId="0" borderId="4" xfId="0" applyNumberFormat="1" applyFont="1" applyBorder="1" applyAlignment="1">
      <alignment horizontal="center" vertical="top"/>
    </xf>
    <xf numFmtId="4" fontId="34" fillId="0" borderId="52" xfId="0" applyNumberFormat="1" applyFont="1" applyBorder="1" applyAlignment="1">
      <alignment horizontal="center" vertical="top"/>
    </xf>
    <xf numFmtId="4" fontId="34" fillId="0" borderId="44" xfId="0" applyNumberFormat="1" applyFont="1" applyBorder="1" applyAlignment="1">
      <alignment horizontal="center" vertical="top"/>
    </xf>
    <xf numFmtId="49" fontId="34" fillId="0" borderId="4" xfId="0" applyNumberFormat="1" applyFont="1" applyBorder="1" applyAlignment="1">
      <alignment horizontal="right" vertical="top"/>
    </xf>
    <xf numFmtId="49" fontId="34" fillId="0" borderId="52" xfId="0" applyNumberFormat="1" applyFont="1" applyBorder="1" applyAlignment="1">
      <alignment horizontal="right" vertical="top"/>
    </xf>
    <xf numFmtId="49" fontId="34" fillId="0" borderId="44" xfId="0" applyNumberFormat="1" applyFont="1" applyBorder="1" applyAlignment="1">
      <alignment horizontal="right" vertical="top"/>
    </xf>
    <xf numFmtId="49" fontId="34" fillId="0" borderId="4" xfId="0" applyNumberFormat="1" applyFont="1" applyBorder="1" applyAlignment="1">
      <alignment horizontal="left" vertical="top"/>
    </xf>
    <xf numFmtId="49" fontId="34" fillId="0" borderId="52" xfId="0" applyNumberFormat="1" applyFont="1" applyBorder="1" applyAlignment="1">
      <alignment horizontal="left" vertical="top"/>
    </xf>
    <xf numFmtId="0" fontId="34" fillId="0" borderId="4" xfId="0" applyFont="1" applyBorder="1" applyAlignment="1">
      <alignment horizontal="left" vertical="top" wrapText="1"/>
    </xf>
    <xf numFmtId="0" fontId="34" fillId="0" borderId="52" xfId="0" applyFont="1" applyBorder="1" applyAlignment="1">
      <alignment horizontal="left" vertical="top" wrapText="1"/>
    </xf>
    <xf numFmtId="0" fontId="34" fillId="0" borderId="44" xfId="0" applyFont="1" applyBorder="1" applyAlignment="1">
      <alignment horizontal="left" vertical="top" wrapText="1"/>
    </xf>
    <xf numFmtId="49" fontId="34" fillId="0" borderId="44" xfId="0" applyNumberFormat="1" applyFont="1" applyBorder="1" applyAlignment="1">
      <alignment horizontal="left" vertical="top"/>
    </xf>
    <xf numFmtId="0" fontId="34" fillId="0" borderId="50" xfId="0" applyFont="1" applyBorder="1" applyAlignment="1">
      <alignment horizontal="center" vertical="center"/>
    </xf>
    <xf numFmtId="0" fontId="34" fillId="0" borderId="42" xfId="0" applyFont="1" applyBorder="1" applyAlignment="1">
      <alignment horizontal="center" vertical="center"/>
    </xf>
    <xf numFmtId="0" fontId="34" fillId="0" borderId="51" xfId="0" applyFont="1" applyBorder="1" applyAlignment="1">
      <alignment horizontal="center" vertical="center"/>
    </xf>
    <xf numFmtId="49" fontId="49" fillId="0" borderId="2" xfId="4" applyNumberFormat="1" applyFont="1" applyBorder="1" applyAlignment="1">
      <alignment horizontal="center"/>
    </xf>
    <xf numFmtId="49" fontId="39" fillId="0" borderId="2" xfId="0" applyNumberFormat="1" applyFont="1" applyBorder="1" applyAlignment="1">
      <alignment horizontal="center"/>
    </xf>
    <xf numFmtId="49" fontId="34" fillId="0" borderId="39" xfId="0" applyNumberFormat="1" applyFont="1" applyBorder="1" applyAlignment="1">
      <alignment horizontal="center"/>
    </xf>
    <xf numFmtId="49" fontId="34" fillId="0" borderId="3" xfId="0" applyNumberFormat="1" applyFont="1" applyBorder="1" applyAlignment="1">
      <alignment horizontal="center"/>
    </xf>
    <xf numFmtId="49" fontId="34" fillId="0" borderId="36" xfId="0" applyNumberFormat="1" applyFont="1" applyBorder="1" applyAlignment="1">
      <alignment horizontal="center"/>
    </xf>
    <xf numFmtId="49" fontId="34" fillId="0" borderId="40" xfId="0" applyNumberFormat="1" applyFont="1" applyBorder="1" applyAlignment="1">
      <alignment horizontal="center"/>
    </xf>
    <xf numFmtId="49" fontId="34" fillId="0" borderId="21" xfId="0" applyNumberFormat="1" applyFont="1" applyBorder="1" applyAlignment="1">
      <alignment horizontal="center"/>
    </xf>
    <xf numFmtId="0" fontId="34" fillId="0" borderId="22" xfId="0" applyFont="1" applyBorder="1" applyAlignment="1">
      <alignment horizontal="center" vertical="top" wrapText="1"/>
    </xf>
    <xf numFmtId="0" fontId="34" fillId="0" borderId="3" xfId="0" applyFont="1" applyBorder="1" applyAlignment="1">
      <alignment horizontal="center" vertical="top" wrapText="1"/>
    </xf>
    <xf numFmtId="0" fontId="34" fillId="0" borderId="24" xfId="0" applyFont="1" applyBorder="1" applyAlignment="1">
      <alignment horizontal="center" vertical="top" wrapText="1"/>
    </xf>
    <xf numFmtId="0" fontId="34" fillId="0" borderId="5" xfId="0" applyFont="1" applyBorder="1" applyAlignment="1">
      <alignment horizontal="center" vertical="top" wrapText="1"/>
    </xf>
    <xf numFmtId="0" fontId="34" fillId="0" borderId="2" xfId="0" applyFont="1" applyBorder="1" applyAlignment="1">
      <alignment horizontal="center" vertical="top" wrapText="1"/>
    </xf>
    <xf numFmtId="0" fontId="34" fillId="0" borderId="18" xfId="0" applyFont="1" applyBorder="1" applyAlignment="1">
      <alignment horizontal="center" vertical="top" wrapText="1"/>
    </xf>
    <xf numFmtId="0" fontId="34" fillId="0" borderId="17" xfId="0" applyFont="1" applyBorder="1" applyAlignment="1">
      <alignment horizontal="center" vertical="top" wrapText="1"/>
    </xf>
    <xf numFmtId="0" fontId="34" fillId="0" borderId="0" xfId="0" applyFont="1" applyBorder="1" applyAlignment="1">
      <alignment horizontal="center" vertical="top" wrapText="1"/>
    </xf>
    <xf numFmtId="0" fontId="34" fillId="0" borderId="19" xfId="0" applyFont="1" applyBorder="1" applyAlignment="1">
      <alignment horizontal="center" vertical="top" wrapText="1"/>
    </xf>
    <xf numFmtId="0" fontId="91" fillId="0" borderId="3" xfId="0" applyFont="1" applyBorder="1" applyAlignment="1">
      <alignment horizontal="center" vertical="top"/>
    </xf>
    <xf numFmtId="0" fontId="91" fillId="0" borderId="24" xfId="0" applyFont="1" applyBorder="1" applyAlignment="1">
      <alignment horizontal="center" vertical="top"/>
    </xf>
    <xf numFmtId="0" fontId="91" fillId="0" borderId="0" xfId="0" applyFont="1" applyBorder="1" applyAlignment="1">
      <alignment horizontal="center" vertical="top"/>
    </xf>
    <xf numFmtId="0" fontId="91" fillId="0" borderId="19" xfId="0" applyFont="1" applyBorder="1" applyAlignment="1">
      <alignment horizontal="center" vertical="top"/>
    </xf>
    <xf numFmtId="0" fontId="73" fillId="0" borderId="22" xfId="0" applyFont="1" applyBorder="1" applyAlignment="1">
      <alignment horizontal="right" vertical="center"/>
    </xf>
    <xf numFmtId="0" fontId="73" fillId="0" borderId="3" xfId="0" applyFont="1" applyBorder="1" applyAlignment="1">
      <alignment horizontal="right" vertical="center"/>
    </xf>
    <xf numFmtId="0" fontId="73" fillId="0" borderId="5" xfId="0" applyFont="1" applyBorder="1" applyAlignment="1">
      <alignment horizontal="right" vertical="center"/>
    </xf>
    <xf numFmtId="0" fontId="73" fillId="0" borderId="2" xfId="0" applyFont="1" applyBorder="1" applyAlignment="1">
      <alignment horizontal="right" vertical="center"/>
    </xf>
    <xf numFmtId="49" fontId="24" fillId="0" borderId="39" xfId="0" applyNumberFormat="1" applyFont="1" applyBorder="1" applyAlignment="1">
      <alignment horizontal="center"/>
    </xf>
    <xf numFmtId="49" fontId="24" fillId="0" borderId="3" xfId="0" applyNumberFormat="1" applyFont="1" applyBorder="1" applyAlignment="1">
      <alignment horizontal="center"/>
    </xf>
    <xf numFmtId="49" fontId="24" fillId="0" borderId="36" xfId="0" applyNumberFormat="1" applyFont="1" applyBorder="1" applyAlignment="1">
      <alignment horizontal="center"/>
    </xf>
    <xf numFmtId="49" fontId="24" fillId="0" borderId="40" xfId="0" applyNumberFormat="1" applyFont="1" applyBorder="1" applyAlignment="1">
      <alignment horizontal="center"/>
    </xf>
    <xf numFmtId="49" fontId="24" fillId="0" borderId="2" xfId="0" applyNumberFormat="1" applyFont="1" applyBorder="1" applyAlignment="1">
      <alignment horizontal="center"/>
    </xf>
    <xf numFmtId="49" fontId="24" fillId="0" borderId="21" xfId="0" applyNumberFormat="1" applyFont="1" applyBorder="1" applyAlignment="1">
      <alignment horizontal="center"/>
    </xf>
    <xf numFmtId="0" fontId="90" fillId="0" borderId="22" xfId="0" applyFont="1" applyBorder="1" applyAlignment="1">
      <alignment horizontal="center" vertical="top"/>
    </xf>
    <xf numFmtId="0" fontId="90" fillId="0" borderId="24" xfId="0" applyFont="1" applyBorder="1" applyAlignment="1">
      <alignment horizontal="center" vertical="top"/>
    </xf>
    <xf numFmtId="0" fontId="90" fillId="0" borderId="4" xfId="0" applyFont="1" applyBorder="1" applyAlignment="1">
      <alignment horizontal="center" vertical="top"/>
    </xf>
    <xf numFmtId="0" fontId="90" fillId="0" borderId="44" xfId="0" applyFont="1" applyBorder="1" applyAlignment="1">
      <alignment horizontal="center" vertical="top"/>
    </xf>
    <xf numFmtId="0" fontId="90" fillId="0" borderId="3" xfId="0" applyFont="1" applyBorder="1" applyAlignment="1">
      <alignment horizontal="center" vertical="top"/>
    </xf>
    <xf numFmtId="0" fontId="90" fillId="0" borderId="23" xfId="0" applyFont="1" applyBorder="1" applyAlignment="1">
      <alignment horizontal="center" vertical="center" wrapText="1"/>
    </xf>
    <xf numFmtId="0" fontId="90" fillId="0" borderId="20" xfId="0" applyFont="1" applyBorder="1" applyAlignment="1">
      <alignment horizontal="center" vertical="center" wrapText="1"/>
    </xf>
    <xf numFmtId="0" fontId="90" fillId="0" borderId="45" xfId="0" applyFont="1" applyBorder="1" applyAlignment="1">
      <alignment horizontal="center" vertical="center" wrapText="1"/>
    </xf>
    <xf numFmtId="0" fontId="90" fillId="0" borderId="52" xfId="0" applyFont="1" applyBorder="1" applyAlignment="1">
      <alignment horizontal="center" vertical="top"/>
    </xf>
    <xf numFmtId="0" fontId="90" fillId="0" borderId="4" xfId="0" applyFont="1" applyBorder="1" applyAlignment="1">
      <alignment horizontal="center" vertical="center"/>
    </xf>
    <xf numFmtId="0" fontId="90" fillId="0" borderId="44" xfId="0" applyFont="1" applyBorder="1" applyAlignment="1">
      <alignment horizontal="center" vertical="center"/>
    </xf>
    <xf numFmtId="0" fontId="90" fillId="0" borderId="4" xfId="0" applyFont="1" applyBorder="1" applyAlignment="1">
      <alignment horizontal="center" vertical="center" wrapText="1"/>
    </xf>
    <xf numFmtId="0" fontId="90" fillId="0" borderId="52" xfId="0" applyFont="1" applyBorder="1" applyAlignment="1">
      <alignment horizontal="center" vertical="center" wrapText="1"/>
    </xf>
    <xf numFmtId="0" fontId="90" fillId="0" borderId="44" xfId="0" applyFont="1" applyBorder="1" applyAlignment="1">
      <alignment horizontal="center" vertical="center" wrapText="1"/>
    </xf>
    <xf numFmtId="0" fontId="90" fillId="0" borderId="52" xfId="0" applyFont="1" applyBorder="1" applyAlignment="1">
      <alignment horizontal="center" vertical="center"/>
    </xf>
    <xf numFmtId="0" fontId="91" fillId="0" borderId="3" xfId="0" applyFont="1" applyBorder="1" applyAlignment="1">
      <alignment horizontal="center"/>
    </xf>
    <xf numFmtId="0" fontId="73" fillId="0" borderId="0" xfId="0" applyFont="1" applyBorder="1" applyAlignment="1">
      <alignment horizontal="right" vertical="center"/>
    </xf>
    <xf numFmtId="0" fontId="73" fillId="0" borderId="4" xfId="0" applyFont="1" applyBorder="1" applyAlignment="1">
      <alignment horizontal="right" vertical="center"/>
    </xf>
    <xf numFmtId="0" fontId="73" fillId="0" borderId="52" xfId="0" applyFont="1" applyBorder="1" applyAlignment="1">
      <alignment horizontal="right" vertical="center"/>
    </xf>
    <xf numFmtId="49" fontId="24" fillId="0" borderId="60" xfId="0" applyNumberFormat="1" applyFont="1" applyBorder="1" applyAlignment="1">
      <alignment horizontal="center"/>
    </xf>
    <xf numFmtId="49" fontId="24" fillId="0" borderId="52" xfId="0" applyNumberFormat="1" applyFont="1" applyBorder="1" applyAlignment="1">
      <alignment horizontal="center"/>
    </xf>
    <xf numFmtId="49" fontId="24" fillId="0" borderId="57" xfId="0" applyNumberFormat="1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49" fontId="24" fillId="0" borderId="6" xfId="0" applyNumberFormat="1" applyFont="1" applyBorder="1" applyAlignment="1">
      <alignment horizontal="center"/>
    </xf>
    <xf numFmtId="49" fontId="24" fillId="0" borderId="68" xfId="0" applyNumberFormat="1" applyFont="1" applyBorder="1" applyAlignment="1">
      <alignment horizontal="center"/>
    </xf>
    <xf numFmtId="49" fontId="24" fillId="0" borderId="62" xfId="0" applyNumberFormat="1" applyFont="1" applyBorder="1" applyAlignment="1">
      <alignment horizontal="center"/>
    </xf>
    <xf numFmtId="49" fontId="95" fillId="0" borderId="2" xfId="0" applyNumberFormat="1" applyFont="1" applyBorder="1" applyAlignment="1">
      <alignment horizontal="left"/>
    </xf>
    <xf numFmtId="0" fontId="56" fillId="0" borderId="0" xfId="0" applyFont="1" applyAlignment="1">
      <alignment horizontal="right"/>
    </xf>
    <xf numFmtId="49" fontId="77" fillId="0" borderId="2" xfId="0" applyNumberFormat="1" applyFont="1" applyBorder="1" applyAlignment="1">
      <alignment horizontal="center"/>
    </xf>
    <xf numFmtId="0" fontId="73" fillId="0" borderId="0" xfId="0" applyFont="1" applyAlignment="1">
      <alignment horizontal="right" vertical="center"/>
    </xf>
    <xf numFmtId="0" fontId="90" fillId="0" borderId="22" xfId="0" applyFont="1" applyBorder="1" applyAlignment="1">
      <alignment horizontal="center" vertical="center"/>
    </xf>
    <xf numFmtId="0" fontId="90" fillId="0" borderId="3" xfId="0" applyFont="1" applyBorder="1" applyAlignment="1">
      <alignment horizontal="center" vertical="center"/>
    </xf>
    <xf numFmtId="0" fontId="90" fillId="0" borderId="24" xfId="0" applyFont="1" applyBorder="1" applyAlignment="1">
      <alignment horizontal="center" vertical="center"/>
    </xf>
    <xf numFmtId="49" fontId="82" fillId="0" borderId="70" xfId="0" applyNumberFormat="1" applyFont="1" applyBorder="1" applyAlignment="1">
      <alignment horizontal="center" vertical="center"/>
    </xf>
    <xf numFmtId="49" fontId="82" fillId="0" borderId="56" xfId="0" applyNumberFormat="1" applyFont="1" applyBorder="1" applyAlignment="1">
      <alignment horizontal="center" vertical="center"/>
    </xf>
    <xf numFmtId="49" fontId="82" fillId="0" borderId="49" xfId="0" applyNumberFormat="1" applyFont="1" applyBorder="1" applyAlignment="1">
      <alignment horizontal="center" vertical="center"/>
    </xf>
    <xf numFmtId="49" fontId="82" fillId="0" borderId="71" xfId="0" applyNumberFormat="1" applyFont="1" applyBorder="1" applyAlignment="1">
      <alignment horizontal="center" vertical="center"/>
    </xf>
    <xf numFmtId="0" fontId="82" fillId="0" borderId="56" xfId="0" applyNumberFormat="1" applyFont="1" applyBorder="1" applyAlignment="1">
      <alignment horizontal="center" vertical="center"/>
    </xf>
    <xf numFmtId="0" fontId="82" fillId="0" borderId="72" xfId="0" applyNumberFormat="1" applyFont="1" applyBorder="1" applyAlignment="1">
      <alignment horizontal="center" vertical="center"/>
    </xf>
    <xf numFmtId="0" fontId="55" fillId="0" borderId="0" xfId="0" applyFont="1"/>
    <xf numFmtId="0" fontId="73" fillId="0" borderId="0" xfId="0" applyFont="1" applyBorder="1" applyAlignment="1">
      <alignment horizontal="center" vertical="center"/>
    </xf>
    <xf numFmtId="0" fontId="73" fillId="0" borderId="25" xfId="0" applyFont="1" applyBorder="1" applyAlignment="1">
      <alignment horizontal="center" vertical="center"/>
    </xf>
    <xf numFmtId="49" fontId="24" fillId="0" borderId="41" xfId="0" applyNumberFormat="1" applyFont="1" applyBorder="1" applyAlignment="1">
      <alignment horizontal="center"/>
    </xf>
    <xf numFmtId="49" fontId="24" fillId="0" borderId="42" xfId="0" applyNumberFormat="1" applyFont="1" applyBorder="1" applyAlignment="1">
      <alignment horizontal="center"/>
    </xf>
    <xf numFmtId="49" fontId="24" fillId="0" borderId="43" xfId="0" applyNumberFormat="1" applyFont="1" applyBorder="1" applyAlignment="1">
      <alignment horizontal="center"/>
    </xf>
    <xf numFmtId="0" fontId="71" fillId="0" borderId="2" xfId="0" applyFont="1" applyBorder="1" applyAlignment="1">
      <alignment horizontal="center"/>
    </xf>
    <xf numFmtId="0" fontId="90" fillId="0" borderId="17" xfId="0" applyFont="1" applyBorder="1" applyAlignment="1">
      <alignment horizontal="center" vertical="center" wrapText="1"/>
    </xf>
    <xf numFmtId="0" fontId="90" fillId="0" borderId="5" xfId="0" applyFont="1" applyBorder="1" applyAlignment="1">
      <alignment horizontal="center" vertical="center" wrapText="1"/>
    </xf>
    <xf numFmtId="49" fontId="57" fillId="0" borderId="1" xfId="0" applyNumberFormat="1" applyFont="1" applyBorder="1" applyAlignment="1">
      <alignment horizontal="left" vertical="top" wrapText="1"/>
    </xf>
    <xf numFmtId="0" fontId="90" fillId="0" borderId="22" xfId="0" applyFont="1" applyBorder="1" applyAlignment="1">
      <alignment horizontal="center" vertical="center" wrapText="1"/>
    </xf>
    <xf numFmtId="0" fontId="90" fillId="0" borderId="24" xfId="0" applyFont="1" applyBorder="1" applyAlignment="1">
      <alignment horizontal="center" vertical="center" wrapText="1"/>
    </xf>
    <xf numFmtId="0" fontId="90" fillId="0" borderId="18" xfId="0" applyFont="1" applyBorder="1" applyAlignment="1">
      <alignment horizontal="center" vertical="center" wrapText="1"/>
    </xf>
    <xf numFmtId="49" fontId="58" fillId="0" borderId="1" xfId="0" applyNumberFormat="1" applyFont="1" applyBorder="1" applyAlignment="1">
      <alignment horizontal="left" vertical="top" wrapText="1"/>
    </xf>
    <xf numFmtId="0" fontId="90" fillId="0" borderId="3" xfId="0" applyFont="1" applyBorder="1" applyAlignment="1">
      <alignment horizontal="center" vertical="center" wrapText="1"/>
    </xf>
    <xf numFmtId="0" fontId="90" fillId="0" borderId="2" xfId="0" applyFont="1" applyBorder="1" applyAlignment="1">
      <alignment horizontal="center" vertical="center" wrapText="1"/>
    </xf>
    <xf numFmtId="166" fontId="57" fillId="0" borderId="52" xfId="0" applyNumberFormat="1" applyFont="1" applyBorder="1" applyAlignment="1">
      <alignment horizontal="right" vertical="top" wrapText="1"/>
    </xf>
    <xf numFmtId="166" fontId="57" fillId="0" borderId="44" xfId="0" applyNumberFormat="1" applyFont="1" applyBorder="1" applyAlignment="1">
      <alignment horizontal="right" vertical="top" wrapText="1"/>
    </xf>
    <xf numFmtId="4" fontId="57" fillId="0" borderId="1" xfId="0" applyNumberFormat="1" applyFont="1" applyBorder="1" applyAlignment="1">
      <alignment horizontal="right" vertical="top" wrapText="1"/>
    </xf>
    <xf numFmtId="4" fontId="13" fillId="0" borderId="1" xfId="0" applyNumberFormat="1" applyFont="1" applyBorder="1" applyAlignment="1">
      <alignment horizontal="right" vertical="top"/>
    </xf>
    <xf numFmtId="4" fontId="13" fillId="0" borderId="44" xfId="0" applyNumberFormat="1" applyFont="1" applyBorder="1" applyAlignment="1">
      <alignment horizontal="right" vertical="top"/>
    </xf>
    <xf numFmtId="49" fontId="75" fillId="0" borderId="1" xfId="0" applyNumberFormat="1" applyFont="1" applyBorder="1" applyAlignment="1">
      <alignment horizontal="left" vertical="top" wrapText="1"/>
    </xf>
    <xf numFmtId="49" fontId="73" fillId="0" borderId="2" xfId="0" applyNumberFormat="1" applyFont="1" applyBorder="1" applyAlignment="1">
      <alignment horizontal="center"/>
    </xf>
    <xf numFmtId="0" fontId="94" fillId="0" borderId="2" xfId="0" applyFont="1" applyBorder="1" applyAlignment="1">
      <alignment horizontal="center"/>
    </xf>
    <xf numFmtId="0" fontId="13" fillId="0" borderId="3" xfId="0" applyFont="1" applyBorder="1" applyAlignment="1">
      <alignment horizontal="right" vertical="center"/>
    </xf>
    <xf numFmtId="4" fontId="13" fillId="0" borderId="4" xfId="0" applyNumberFormat="1" applyFont="1" applyBorder="1" applyAlignment="1">
      <alignment horizontal="right" vertical="center"/>
    </xf>
    <xf numFmtId="4" fontId="13" fillId="0" borderId="52" xfId="0" applyNumberFormat="1" applyFont="1" applyBorder="1" applyAlignment="1">
      <alignment horizontal="right" vertical="center"/>
    </xf>
    <xf numFmtId="4" fontId="13" fillId="0" borderId="44" xfId="0" applyNumberFormat="1" applyFont="1" applyBorder="1" applyAlignment="1">
      <alignment horizontal="right" vertical="center"/>
    </xf>
    <xf numFmtId="0" fontId="90" fillId="0" borderId="1" xfId="0" applyFont="1" applyBorder="1" applyAlignment="1">
      <alignment horizontal="center" vertical="center"/>
    </xf>
    <xf numFmtId="0" fontId="90" fillId="0" borderId="1" xfId="0" applyFont="1" applyBorder="1" applyAlignment="1">
      <alignment horizontal="center" vertical="top"/>
    </xf>
    <xf numFmtId="0" fontId="90" fillId="0" borderId="1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left"/>
    </xf>
    <xf numFmtId="0" fontId="44" fillId="0" borderId="2" xfId="0" applyFont="1" applyBorder="1" applyAlignment="1">
      <alignment horizontal="center"/>
    </xf>
    <xf numFmtId="4" fontId="57" fillId="0" borderId="61" xfId="0" applyNumberFormat="1" applyFont="1" applyBorder="1" applyAlignment="1">
      <alignment horizontal="right" vertical="top"/>
    </xf>
    <xf numFmtId="4" fontId="57" fillId="0" borderId="68" xfId="0" applyNumberFormat="1" applyFont="1" applyBorder="1" applyAlignment="1">
      <alignment horizontal="right" vertical="top"/>
    </xf>
    <xf numFmtId="4" fontId="57" fillId="0" borderId="62" xfId="0" applyNumberFormat="1" applyFont="1" applyBorder="1" applyAlignment="1">
      <alignment horizontal="right" vertical="top"/>
    </xf>
    <xf numFmtId="0" fontId="57" fillId="0" borderId="69" xfId="0" applyFont="1" applyBorder="1" applyAlignment="1">
      <alignment horizontal="center" vertical="top"/>
    </xf>
    <xf numFmtId="0" fontId="57" fillId="0" borderId="61" xfId="0" applyFont="1" applyBorder="1" applyAlignment="1">
      <alignment horizontal="center" vertical="top"/>
    </xf>
    <xf numFmtId="0" fontId="57" fillId="0" borderId="68" xfId="0" applyFont="1" applyBorder="1" applyAlignment="1">
      <alignment horizontal="center" vertical="top"/>
    </xf>
    <xf numFmtId="0" fontId="57" fillId="0" borderId="7" xfId="0" applyFont="1" applyBorder="1" applyAlignment="1">
      <alignment horizontal="center" vertical="top"/>
    </xf>
    <xf numFmtId="4" fontId="57" fillId="0" borderId="7" xfId="0" applyNumberFormat="1" applyFont="1" applyBorder="1" applyAlignment="1">
      <alignment horizontal="right" vertical="top"/>
    </xf>
    <xf numFmtId="166" fontId="57" fillId="0" borderId="61" xfId="0" applyNumberFormat="1" applyFont="1" applyBorder="1" applyAlignment="1">
      <alignment horizontal="right" vertical="top"/>
    </xf>
    <xf numFmtId="166" fontId="57" fillId="0" borderId="68" xfId="0" applyNumberFormat="1" applyFont="1" applyBorder="1" applyAlignment="1">
      <alignment horizontal="right" vertical="top"/>
    </xf>
    <xf numFmtId="166" fontId="57" fillId="0" borderId="7" xfId="0" applyNumberFormat="1" applyFont="1" applyBorder="1" applyAlignment="1">
      <alignment horizontal="right" vertical="top"/>
    </xf>
    <xf numFmtId="49" fontId="57" fillId="0" borderId="1" xfId="0" applyNumberFormat="1" applyFont="1" applyBorder="1" applyAlignment="1">
      <alignment horizontal="center" vertical="top" wrapText="1"/>
    </xf>
    <xf numFmtId="0" fontId="57" fillId="0" borderId="4" xfId="0" applyFont="1" applyBorder="1" applyAlignment="1">
      <alignment horizontal="left" vertical="top" wrapText="1"/>
    </xf>
    <xf numFmtId="0" fontId="57" fillId="0" borderId="52" xfId="0" applyFont="1" applyBorder="1" applyAlignment="1">
      <alignment horizontal="left" vertical="top" wrapText="1"/>
    </xf>
    <xf numFmtId="0" fontId="57" fillId="0" borderId="57" xfId="0" applyFont="1" applyBorder="1" applyAlignment="1">
      <alignment horizontal="left" vertical="top" wrapText="1"/>
    </xf>
    <xf numFmtId="49" fontId="57" fillId="0" borderId="6" xfId="0" applyNumberFormat="1" applyFont="1" applyBorder="1" applyAlignment="1">
      <alignment horizontal="left" vertical="top" wrapText="1"/>
    </xf>
    <xf numFmtId="49" fontId="57" fillId="0" borderId="68" xfId="0" applyNumberFormat="1" applyFont="1" applyBorder="1" applyAlignment="1">
      <alignment horizontal="left" vertical="top" wrapText="1"/>
    </xf>
    <xf numFmtId="49" fontId="57" fillId="0" borderId="62" xfId="0" applyNumberFormat="1" applyFont="1" applyBorder="1" applyAlignment="1">
      <alignment horizontal="left" vertical="top" wrapText="1"/>
    </xf>
    <xf numFmtId="0" fontId="57" fillId="0" borderId="60" xfId="0" applyFont="1" applyBorder="1" applyAlignment="1">
      <alignment horizontal="left" vertical="top" wrapText="1"/>
    </xf>
    <xf numFmtId="49" fontId="57" fillId="0" borderId="7" xfId="0" applyNumberFormat="1" applyFont="1" applyBorder="1" applyAlignment="1">
      <alignment horizontal="left" vertical="top" wrapText="1"/>
    </xf>
    <xf numFmtId="166" fontId="57" fillId="0" borderId="61" xfId="0" applyNumberFormat="1" applyFont="1" applyBorder="1" applyAlignment="1">
      <alignment horizontal="right" vertical="top" wrapText="1"/>
    </xf>
    <xf numFmtId="166" fontId="57" fillId="0" borderId="68" xfId="0" applyNumberFormat="1" applyFont="1" applyBorder="1" applyAlignment="1">
      <alignment horizontal="right" vertical="top" wrapText="1"/>
    </xf>
    <xf numFmtId="166" fontId="57" fillId="0" borderId="7" xfId="0" applyNumberFormat="1" applyFont="1" applyBorder="1" applyAlignment="1">
      <alignment horizontal="right" vertical="top" wrapText="1"/>
    </xf>
    <xf numFmtId="0" fontId="57" fillId="0" borderId="0" xfId="0" applyFont="1" applyBorder="1" applyAlignment="1">
      <alignment horizontal="right"/>
    </xf>
    <xf numFmtId="0" fontId="57" fillId="0" borderId="45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57" fillId="0" borderId="1" xfId="0" applyFont="1" applyBorder="1" applyAlignment="1">
      <alignment horizontal="center" vertical="top" wrapText="1"/>
    </xf>
    <xf numFmtId="0" fontId="57" fillId="0" borderId="23" xfId="0" applyFont="1" applyBorder="1" applyAlignment="1">
      <alignment horizontal="center" vertical="top" wrapText="1"/>
    </xf>
    <xf numFmtId="0" fontId="57" fillId="0" borderId="45" xfId="0" applyFont="1" applyBorder="1" applyAlignment="1">
      <alignment horizontal="center" vertical="top" wrapText="1"/>
    </xf>
    <xf numFmtId="49" fontId="57" fillId="0" borderId="67" xfId="0" applyNumberFormat="1" applyFont="1" applyBorder="1" applyAlignment="1">
      <alignment horizontal="center" vertical="center"/>
    </xf>
    <xf numFmtId="49" fontId="57" fillId="0" borderId="50" xfId="0" applyNumberFormat="1" applyFont="1" applyBorder="1" applyAlignment="1">
      <alignment horizontal="center" vertical="center"/>
    </xf>
    <xf numFmtId="49" fontId="57" fillId="0" borderId="66" xfId="0" applyNumberFormat="1" applyFont="1" applyBorder="1" applyAlignment="1">
      <alignment horizontal="center" vertical="center"/>
    </xf>
    <xf numFmtId="0" fontId="57" fillId="0" borderId="22" xfId="0" applyFont="1" applyBorder="1" applyAlignment="1">
      <alignment horizontal="center" vertical="center"/>
    </xf>
    <xf numFmtId="0" fontId="57" fillId="0" borderId="3" xfId="0" applyFont="1" applyBorder="1" applyAlignment="1">
      <alignment horizontal="center" vertical="center"/>
    </xf>
    <xf numFmtId="0" fontId="57" fillId="0" borderId="24" xfId="0" applyFont="1" applyBorder="1" applyAlignment="1">
      <alignment horizontal="center" vertical="center"/>
    </xf>
    <xf numFmtId="0" fontId="57" fillId="0" borderId="17" xfId="0" applyFont="1" applyBorder="1" applyAlignment="1">
      <alignment horizontal="center" vertical="center"/>
    </xf>
    <xf numFmtId="0" fontId="57" fillId="0" borderId="0" xfId="0" applyFont="1" applyBorder="1" applyAlignment="1">
      <alignment horizontal="center" vertical="center"/>
    </xf>
    <xf numFmtId="0" fontId="57" fillId="0" borderId="19" xfId="0" applyFont="1" applyBorder="1" applyAlignment="1">
      <alignment horizontal="center" vertical="center"/>
    </xf>
    <xf numFmtId="49" fontId="57" fillId="0" borderId="71" xfId="0" applyNumberFormat="1" applyFont="1" applyBorder="1" applyAlignment="1">
      <alignment horizontal="center" vertical="center"/>
    </xf>
    <xf numFmtId="49" fontId="57" fillId="0" borderId="56" xfId="0" applyNumberFormat="1" applyFont="1" applyBorder="1" applyAlignment="1">
      <alignment horizontal="center" vertical="center"/>
    </xf>
    <xf numFmtId="49" fontId="57" fillId="0" borderId="49" xfId="0" applyNumberFormat="1" applyFont="1" applyBorder="1" applyAlignment="1">
      <alignment horizontal="center" vertical="center"/>
    </xf>
    <xf numFmtId="49" fontId="57" fillId="0" borderId="45" xfId="0" applyNumberFormat="1" applyFont="1" applyBorder="1" applyAlignment="1">
      <alignment horizontal="center" vertical="center"/>
    </xf>
    <xf numFmtId="49" fontId="57" fillId="0" borderId="5" xfId="0" applyNumberFormat="1" applyFont="1" applyBorder="1" applyAlignment="1">
      <alignment horizontal="center" vertical="center"/>
    </xf>
    <xf numFmtId="0" fontId="57" fillId="0" borderId="22" xfId="0" applyFont="1" applyBorder="1" applyAlignment="1">
      <alignment horizontal="center" vertical="center" wrapText="1"/>
    </xf>
    <xf numFmtId="0" fontId="57" fillId="0" borderId="3" xfId="0" applyFont="1" applyBorder="1" applyAlignment="1">
      <alignment horizontal="center" vertical="center" wrapText="1"/>
    </xf>
    <xf numFmtId="0" fontId="57" fillId="0" borderId="24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57" fillId="0" borderId="4" xfId="0" applyFont="1" applyBorder="1" applyAlignment="1">
      <alignment horizontal="center" vertical="center"/>
    </xf>
    <xf numFmtId="49" fontId="57" fillId="0" borderId="6" xfId="0" applyNumberFormat="1" applyFont="1" applyBorder="1" applyAlignment="1">
      <alignment horizontal="center" vertical="center"/>
    </xf>
    <xf numFmtId="49" fontId="57" fillId="0" borderId="68" xfId="0" applyNumberFormat="1" applyFont="1" applyBorder="1" applyAlignment="1">
      <alignment horizontal="center" vertical="center"/>
    </xf>
    <xf numFmtId="49" fontId="57" fillId="0" borderId="7" xfId="0" applyNumberFormat="1" applyFont="1" applyBorder="1" applyAlignment="1">
      <alignment horizontal="center" vertical="center"/>
    </xf>
    <xf numFmtId="49" fontId="57" fillId="0" borderId="69" xfId="0" applyNumberFormat="1" applyFont="1" applyBorder="1" applyAlignment="1">
      <alignment horizontal="center" vertical="center"/>
    </xf>
    <xf numFmtId="49" fontId="57" fillId="0" borderId="61" xfId="0" applyNumberFormat="1" applyFont="1" applyBorder="1" applyAlignment="1">
      <alignment horizontal="center" vertical="center"/>
    </xf>
    <xf numFmtId="49" fontId="57" fillId="0" borderId="64" xfId="0" applyNumberFormat="1" applyFont="1" applyBorder="1" applyAlignment="1">
      <alignment horizontal="center" vertical="center"/>
    </xf>
    <xf numFmtId="49" fontId="57" fillId="0" borderId="23" xfId="0" applyNumberFormat="1" applyFont="1" applyBorder="1" applyAlignment="1">
      <alignment horizontal="center" vertical="center"/>
    </xf>
    <xf numFmtId="49" fontId="57" fillId="0" borderId="22" xfId="0" applyNumberFormat="1" applyFont="1" applyBorder="1" applyAlignment="1">
      <alignment horizontal="center" vertical="center"/>
    </xf>
    <xf numFmtId="49" fontId="57" fillId="0" borderId="48" xfId="0" applyNumberFormat="1" applyFont="1" applyBorder="1" applyAlignment="1">
      <alignment horizontal="center" vertical="center"/>
    </xf>
    <xf numFmtId="49" fontId="57" fillId="0" borderId="37" xfId="0" applyNumberFormat="1" applyFont="1" applyBorder="1" applyAlignment="1">
      <alignment horizontal="center" vertical="center"/>
    </xf>
    <xf numFmtId="0" fontId="57" fillId="0" borderId="23" xfId="0" applyFont="1" applyBorder="1" applyAlignment="1">
      <alignment horizontal="center" vertical="center"/>
    </xf>
    <xf numFmtId="49" fontId="57" fillId="0" borderId="65" xfId="0" applyNumberFormat="1" applyFont="1" applyBorder="1" applyAlignment="1">
      <alignment horizontal="center" vertical="center"/>
    </xf>
    <xf numFmtId="49" fontId="57" fillId="0" borderId="38" xfId="0" applyNumberFormat="1" applyFont="1" applyBorder="1" applyAlignment="1">
      <alignment horizontal="center" vertical="center"/>
    </xf>
    <xf numFmtId="0" fontId="57" fillId="0" borderId="1" xfId="0" applyFont="1" applyBorder="1" applyAlignment="1">
      <alignment horizontal="center" vertical="center" wrapText="1"/>
    </xf>
    <xf numFmtId="49" fontId="21" fillId="0" borderId="59" xfId="0" applyNumberFormat="1" applyFont="1" applyBorder="1" applyAlignment="1">
      <alignment horizontal="center"/>
    </xf>
    <xf numFmtId="49" fontId="21" fillId="0" borderId="1" xfId="0" applyNumberFormat="1" applyFont="1" applyBorder="1" applyAlignment="1">
      <alignment horizontal="center"/>
    </xf>
    <xf numFmtId="49" fontId="21" fillId="0" borderId="34" xfId="0" applyNumberFormat="1" applyFont="1" applyBorder="1" applyAlignment="1">
      <alignment horizontal="center"/>
    </xf>
    <xf numFmtId="49" fontId="21" fillId="0" borderId="41" xfId="0" applyNumberFormat="1" applyFont="1" applyBorder="1" applyAlignment="1">
      <alignment horizontal="center"/>
    </xf>
    <xf numFmtId="49" fontId="21" fillId="0" borderId="42" xfId="0" applyNumberFormat="1" applyFont="1" applyBorder="1" applyAlignment="1">
      <alignment horizontal="center"/>
    </xf>
    <xf numFmtId="49" fontId="21" fillId="0" borderId="43" xfId="0" applyNumberFormat="1" applyFont="1" applyBorder="1" applyAlignment="1">
      <alignment horizontal="center"/>
    </xf>
    <xf numFmtId="0" fontId="58" fillId="0" borderId="23" xfId="0" applyFont="1" applyBorder="1" applyAlignment="1">
      <alignment horizontal="center" vertical="center" wrapText="1"/>
    </xf>
    <xf numFmtId="49" fontId="76" fillId="0" borderId="48" xfId="0" applyNumberFormat="1" applyFont="1" applyBorder="1" applyAlignment="1">
      <alignment horizontal="center" vertical="center"/>
    </xf>
    <xf numFmtId="49" fontId="76" fillId="0" borderId="37" xfId="0" applyNumberFormat="1" applyFont="1" applyBorder="1" applyAlignment="1">
      <alignment horizontal="center" vertical="center"/>
    </xf>
    <xf numFmtId="49" fontId="76" fillId="0" borderId="38" xfId="0" applyNumberFormat="1" applyFont="1" applyBorder="1" applyAlignment="1">
      <alignment horizontal="center" vertical="center"/>
    </xf>
    <xf numFmtId="49" fontId="21" fillId="0" borderId="63" xfId="0" applyNumberFormat="1" applyFont="1" applyBorder="1" applyAlignment="1">
      <alignment horizontal="center"/>
    </xf>
    <xf numFmtId="49" fontId="21" fillId="0" borderId="69" xfId="0" applyNumberFormat="1" applyFont="1" applyBorder="1" applyAlignment="1">
      <alignment horizontal="center"/>
    </xf>
    <xf numFmtId="49" fontId="21" fillId="0" borderId="64" xfId="0" applyNumberFormat="1" applyFont="1" applyBorder="1" applyAlignment="1">
      <alignment horizontal="center"/>
    </xf>
    <xf numFmtId="49" fontId="23" fillId="0" borderId="59" xfId="0" applyNumberFormat="1" applyFont="1" applyBorder="1" applyAlignment="1">
      <alignment horizontal="center"/>
    </xf>
    <xf numFmtId="49" fontId="23" fillId="0" borderId="1" xfId="0" applyNumberFormat="1" applyFont="1" applyBorder="1" applyAlignment="1">
      <alignment horizontal="center"/>
    </xf>
    <xf numFmtId="49" fontId="23" fillId="0" borderId="34" xfId="0" applyNumberFormat="1" applyFont="1" applyBorder="1" applyAlignment="1">
      <alignment horizontal="center"/>
    </xf>
    <xf numFmtId="49" fontId="21" fillId="0" borderId="39" xfId="0" applyNumberFormat="1" applyFont="1" applyBorder="1" applyAlignment="1">
      <alignment horizontal="center"/>
    </xf>
    <xf numFmtId="49" fontId="21" fillId="0" borderId="3" xfId="0" applyNumberFormat="1" applyFont="1" applyBorder="1" applyAlignment="1">
      <alignment horizontal="center"/>
    </xf>
    <xf numFmtId="49" fontId="21" fillId="0" borderId="36" xfId="0" applyNumberFormat="1" applyFont="1" applyBorder="1" applyAlignment="1">
      <alignment horizontal="center"/>
    </xf>
    <xf numFmtId="49" fontId="21" fillId="0" borderId="40" xfId="0" applyNumberFormat="1" applyFont="1" applyBorder="1" applyAlignment="1">
      <alignment horizontal="center"/>
    </xf>
    <xf numFmtId="49" fontId="21" fillId="0" borderId="2" xfId="0" applyNumberFormat="1" applyFont="1" applyBorder="1" applyAlignment="1">
      <alignment horizontal="center"/>
    </xf>
    <xf numFmtId="49" fontId="21" fillId="0" borderId="21" xfId="0" applyNumberFormat="1" applyFont="1" applyBorder="1" applyAlignment="1">
      <alignment horizontal="center"/>
    </xf>
    <xf numFmtId="0" fontId="74" fillId="0" borderId="2" xfId="0" applyFont="1" applyBorder="1"/>
    <xf numFmtId="0" fontId="74" fillId="0" borderId="21" xfId="0" applyFont="1" applyBorder="1"/>
    <xf numFmtId="0" fontId="74" fillId="0" borderId="0" xfId="0" applyFont="1" applyBorder="1" applyAlignment="1">
      <alignment horizontal="left" wrapText="1"/>
    </xf>
    <xf numFmtId="0" fontId="74" fillId="0" borderId="2" xfId="0" applyFont="1" applyBorder="1" applyAlignment="1">
      <alignment horizontal="left" wrapText="1"/>
    </xf>
    <xf numFmtId="49" fontId="102" fillId="0" borderId="40" xfId="0" applyNumberFormat="1" applyFont="1" applyBorder="1" applyAlignment="1">
      <alignment horizontal="center" vertical="center"/>
    </xf>
    <xf numFmtId="49" fontId="102" fillId="0" borderId="21" xfId="0" applyNumberFormat="1" applyFont="1" applyBorder="1" applyAlignment="1">
      <alignment horizontal="center" vertical="center"/>
    </xf>
    <xf numFmtId="0" fontId="100" fillId="0" borderId="0" xfId="0" applyFont="1" applyAlignment="1">
      <alignment horizontal="center"/>
    </xf>
    <xf numFmtId="49" fontId="101" fillId="0" borderId="2" xfId="0" applyNumberFormat="1" applyFont="1" applyBorder="1" applyAlignment="1">
      <alignment horizontal="left"/>
    </xf>
    <xf numFmtId="49" fontId="102" fillId="0" borderId="22" xfId="0" applyNumberFormat="1" applyFont="1" applyBorder="1" applyAlignment="1">
      <alignment horizontal="center" vertical="center"/>
    </xf>
    <xf numFmtId="49" fontId="102" fillId="0" borderId="24" xfId="0" applyNumberFormat="1" applyFont="1" applyBorder="1" applyAlignment="1">
      <alignment horizontal="center" vertical="center"/>
    </xf>
    <xf numFmtId="49" fontId="102" fillId="0" borderId="6" xfId="0" applyNumberFormat="1" applyFont="1" applyBorder="1" applyAlignment="1">
      <alignment horizontal="center" vertical="center"/>
    </xf>
    <xf numFmtId="49" fontId="102" fillId="0" borderId="62" xfId="0" applyNumberFormat="1" applyFont="1" applyBorder="1" applyAlignment="1">
      <alignment horizontal="center" vertical="center"/>
    </xf>
    <xf numFmtId="49" fontId="102" fillId="0" borderId="60" xfId="0" applyNumberFormat="1" applyFont="1" applyBorder="1" applyAlignment="1">
      <alignment horizontal="center" vertical="center"/>
    </xf>
    <xf numFmtId="49" fontId="102" fillId="0" borderId="57" xfId="0" applyNumberFormat="1" applyFont="1" applyBorder="1" applyAlignment="1">
      <alignment horizontal="center" vertical="center"/>
    </xf>
    <xf numFmtId="0" fontId="102" fillId="0" borderId="2" xfId="0" applyFont="1" applyBorder="1" applyAlignment="1">
      <alignment horizontal="center"/>
    </xf>
    <xf numFmtId="0" fontId="102" fillId="0" borderId="18" xfId="0" applyFont="1" applyBorder="1" applyAlignment="1">
      <alignment horizontal="center"/>
    </xf>
    <xf numFmtId="0" fontId="102" fillId="0" borderId="4" xfId="0" applyFont="1" applyBorder="1" applyAlignment="1">
      <alignment horizontal="right"/>
    </xf>
    <xf numFmtId="0" fontId="102" fillId="0" borderId="52" xfId="0" applyFont="1" applyBorder="1" applyAlignment="1">
      <alignment horizontal="right"/>
    </xf>
    <xf numFmtId="0" fontId="31" fillId="0" borderId="3" xfId="0" applyFont="1" applyBorder="1" applyAlignment="1">
      <alignment horizontal="center" vertical="top"/>
    </xf>
    <xf numFmtId="0" fontId="31" fillId="0" borderId="24" xfId="0" applyFont="1" applyBorder="1" applyAlignment="1">
      <alignment horizontal="center" vertical="top"/>
    </xf>
    <xf numFmtId="49" fontId="102" fillId="0" borderId="41" xfId="0" applyNumberFormat="1" applyFont="1" applyBorder="1" applyAlignment="1">
      <alignment horizontal="center" vertical="center"/>
    </xf>
    <xf numFmtId="49" fontId="102" fillId="0" borderId="43" xfId="0" applyNumberFormat="1" applyFont="1" applyBorder="1" applyAlignment="1">
      <alignment horizontal="center" vertical="center"/>
    </xf>
    <xf numFmtId="0" fontId="41" fillId="0" borderId="0" xfId="0" applyFont="1" applyAlignment="1">
      <alignment horizontal="left" indent="3"/>
    </xf>
    <xf numFmtId="0" fontId="104" fillId="0" borderId="0" xfId="0" applyFont="1" applyAlignment="1">
      <alignment horizontal="left" wrapText="1"/>
    </xf>
    <xf numFmtId="0" fontId="104" fillId="0" borderId="0" xfId="0" applyFont="1" applyAlignment="1">
      <alignment horizontal="left"/>
    </xf>
    <xf numFmtId="49" fontId="105" fillId="0" borderId="2" xfId="0" applyNumberFormat="1" applyFont="1" applyBorder="1" applyAlignment="1">
      <alignment horizontal="left"/>
    </xf>
    <xf numFmtId="49" fontId="104" fillId="0" borderId="2" xfId="0" applyNumberFormat="1" applyFont="1" applyBorder="1" applyAlignment="1">
      <alignment horizontal="center"/>
    </xf>
    <xf numFmtId="0" fontId="31" fillId="0" borderId="3" xfId="0" applyFont="1" applyBorder="1" applyAlignment="1">
      <alignment horizontal="center" vertical="center"/>
    </xf>
    <xf numFmtId="49" fontId="17" fillId="0" borderId="4" xfId="0" applyNumberFormat="1" applyFont="1" applyBorder="1" applyAlignment="1">
      <alignment horizontal="center" vertical="top" wrapText="1"/>
    </xf>
    <xf numFmtId="49" fontId="17" fillId="0" borderId="52" xfId="0" applyNumberFormat="1" applyFont="1" applyBorder="1" applyAlignment="1">
      <alignment horizontal="center" vertical="top" wrapText="1"/>
    </xf>
    <xf numFmtId="49" fontId="17" fillId="0" borderId="44" xfId="0" applyNumberFormat="1" applyFont="1" applyBorder="1" applyAlignment="1">
      <alignment horizontal="center" vertical="top" wrapText="1"/>
    </xf>
    <xf numFmtId="49" fontId="15" fillId="0" borderId="4" xfId="0" applyNumberFormat="1" applyFont="1" applyBorder="1" applyAlignment="1">
      <alignment horizontal="center" vertical="top" wrapText="1"/>
    </xf>
    <xf numFmtId="49" fontId="15" fillId="0" borderId="52" xfId="0" applyNumberFormat="1" applyFont="1" applyBorder="1" applyAlignment="1">
      <alignment horizontal="center" vertical="top" wrapText="1"/>
    </xf>
    <xf numFmtId="49" fontId="15" fillId="0" borderId="44" xfId="0" applyNumberFormat="1" applyFont="1" applyBorder="1" applyAlignment="1">
      <alignment horizontal="center" vertical="top" wrapText="1"/>
    </xf>
    <xf numFmtId="49" fontId="17" fillId="0" borderId="4" xfId="0" applyNumberFormat="1" applyFont="1" applyBorder="1" applyAlignment="1">
      <alignment horizontal="left" vertical="top" wrapText="1"/>
    </xf>
    <xf numFmtId="49" fontId="17" fillId="0" borderId="52" xfId="0" applyNumberFormat="1" applyFont="1" applyBorder="1" applyAlignment="1">
      <alignment horizontal="left" vertical="top" wrapText="1"/>
    </xf>
    <xf numFmtId="49" fontId="17" fillId="0" borderId="44" xfId="0" applyNumberFormat="1" applyFont="1" applyBorder="1" applyAlignment="1">
      <alignment horizontal="left" vertical="top" wrapText="1"/>
    </xf>
    <xf numFmtId="0" fontId="16" fillId="0" borderId="4" xfId="0" applyFont="1" applyBorder="1" applyAlignment="1">
      <alignment horizontal="center" vertical="center" wrapText="1"/>
    </xf>
    <xf numFmtId="0" fontId="16" fillId="0" borderId="52" xfId="0" applyFont="1" applyBorder="1" applyAlignment="1">
      <alignment horizontal="center" vertical="center" wrapText="1"/>
    </xf>
    <xf numFmtId="0" fontId="16" fillId="0" borderId="44" xfId="0" applyFont="1" applyBorder="1" applyAlignment="1">
      <alignment horizontal="center" vertical="center" wrapText="1"/>
    </xf>
    <xf numFmtId="49" fontId="45" fillId="0" borderId="22" xfId="0" applyNumberFormat="1" applyFont="1" applyBorder="1" applyAlignment="1">
      <alignment horizontal="center" vertical="top"/>
    </xf>
    <xf numFmtId="49" fontId="45" fillId="0" borderId="3" xfId="0" applyNumberFormat="1" applyFont="1" applyBorder="1" applyAlignment="1">
      <alignment horizontal="center" vertical="top"/>
    </xf>
    <xf numFmtId="49" fontId="45" fillId="0" borderId="24" xfId="0" applyNumberFormat="1" applyFont="1" applyBorder="1" applyAlignment="1">
      <alignment horizontal="center" vertical="top"/>
    </xf>
    <xf numFmtId="166" fontId="17" fillId="0" borderId="4" xfId="0" applyNumberFormat="1" applyFont="1" applyBorder="1" applyAlignment="1">
      <alignment horizontal="right" vertical="top" wrapText="1"/>
    </xf>
    <xf numFmtId="166" fontId="17" fillId="0" borderId="44" xfId="0" applyNumberFormat="1" applyFont="1" applyBorder="1" applyAlignment="1">
      <alignment horizontal="right" vertical="top" wrapText="1"/>
    </xf>
    <xf numFmtId="4" fontId="17" fillId="0" borderId="4" xfId="0" applyNumberFormat="1" applyFont="1" applyBorder="1" applyAlignment="1">
      <alignment horizontal="right" vertical="top" wrapText="1"/>
    </xf>
    <xf numFmtId="4" fontId="17" fillId="0" borderId="52" xfId="0" applyNumberFormat="1" applyFont="1" applyBorder="1" applyAlignment="1">
      <alignment horizontal="right" vertical="top" wrapText="1"/>
    </xf>
    <xf numFmtId="4" fontId="17" fillId="0" borderId="44" xfId="0" applyNumberFormat="1" applyFont="1" applyBorder="1" applyAlignment="1">
      <alignment horizontal="right" vertical="top" wrapText="1"/>
    </xf>
    <xf numFmtId="49" fontId="17" fillId="0" borderId="4" xfId="0" applyNumberFormat="1" applyFont="1" applyBorder="1" applyAlignment="1">
      <alignment horizontal="right" vertical="top" wrapText="1"/>
    </xf>
    <xf numFmtId="49" fontId="17" fillId="0" borderId="44" xfId="0" applyNumberFormat="1" applyFont="1" applyBorder="1" applyAlignment="1">
      <alignment horizontal="right" vertical="top" wrapText="1"/>
    </xf>
    <xf numFmtId="0" fontId="41" fillId="0" borderId="2" xfId="0" applyFont="1" applyBorder="1" applyAlignment="1">
      <alignment horizontal="center"/>
    </xf>
    <xf numFmtId="49" fontId="45" fillId="0" borderId="0" xfId="0" applyNumberFormat="1" applyFont="1" applyAlignment="1">
      <alignment horizontal="right" vertical="top" indent="1"/>
    </xf>
    <xf numFmtId="166" fontId="16" fillId="0" borderId="4" xfId="0" applyNumberFormat="1" applyFont="1" applyBorder="1" applyAlignment="1">
      <alignment horizontal="right"/>
    </xf>
    <xf numFmtId="166" fontId="16" fillId="0" borderId="44" xfId="0" applyNumberFormat="1" applyFont="1" applyBorder="1" applyAlignment="1">
      <alignment horizontal="right"/>
    </xf>
    <xf numFmtId="0" fontId="106" fillId="0" borderId="22" xfId="0" applyFont="1" applyBorder="1" applyAlignment="1">
      <alignment horizontal="center" vertical="center" wrapText="1"/>
    </xf>
    <xf numFmtId="0" fontId="106" fillId="0" borderId="24" xfId="0" applyFont="1" applyBorder="1" applyAlignment="1">
      <alignment horizontal="center" vertical="center" wrapText="1"/>
    </xf>
    <xf numFmtId="0" fontId="106" fillId="0" borderId="5" xfId="0" applyFont="1" applyBorder="1" applyAlignment="1">
      <alignment horizontal="center" vertical="center" wrapText="1"/>
    </xf>
    <xf numFmtId="0" fontId="106" fillId="0" borderId="18" xfId="0" applyFont="1" applyBorder="1" applyAlignment="1">
      <alignment horizontal="center" vertical="center" wrapText="1"/>
    </xf>
    <xf numFmtId="166" fontId="16" fillId="0" borderId="5" xfId="0" applyNumberFormat="1" applyFont="1" applyBorder="1" applyAlignment="1">
      <alignment horizontal="right"/>
    </xf>
    <xf numFmtId="166" fontId="16" fillId="0" borderId="18" xfId="0" applyNumberFormat="1" applyFont="1" applyBorder="1" applyAlignment="1">
      <alignment horizontal="right"/>
    </xf>
    <xf numFmtId="4" fontId="16" fillId="0" borderId="5" xfId="0" applyNumberFormat="1" applyFont="1" applyBorder="1" applyAlignment="1">
      <alignment horizontal="right"/>
    </xf>
    <xf numFmtId="4" fontId="16" fillId="0" borderId="2" xfId="0" applyNumberFormat="1" applyFont="1" applyBorder="1" applyAlignment="1">
      <alignment horizontal="right"/>
    </xf>
    <xf numFmtId="4" fontId="16" fillId="0" borderId="18" xfId="0" applyNumberFormat="1" applyFont="1" applyBorder="1" applyAlignment="1">
      <alignment horizontal="right"/>
    </xf>
    <xf numFmtId="166" fontId="16" fillId="0" borderId="45" xfId="0" applyNumberFormat="1" applyFont="1" applyBorder="1" applyAlignment="1">
      <alignment horizontal="right"/>
    </xf>
    <xf numFmtId="4" fontId="16" fillId="0" borderId="45" xfId="0" applyNumberFormat="1" applyFont="1" applyBorder="1" applyAlignment="1">
      <alignment horizontal="right"/>
    </xf>
    <xf numFmtId="49" fontId="45" fillId="0" borderId="4" xfId="0" applyNumberFormat="1" applyFont="1" applyBorder="1" applyAlignment="1">
      <alignment horizontal="center" vertical="top"/>
    </xf>
    <xf numFmtId="49" fontId="45" fillId="0" borderId="52" xfId="0" applyNumberFormat="1" applyFont="1" applyBorder="1" applyAlignment="1">
      <alignment horizontal="center" vertical="top"/>
    </xf>
    <xf numFmtId="49" fontId="45" fillId="0" borderId="44" xfId="0" applyNumberFormat="1" applyFont="1" applyBorder="1" applyAlignment="1">
      <alignment horizontal="center" vertical="top"/>
    </xf>
    <xf numFmtId="0" fontId="9" fillId="0" borderId="3" xfId="17" applyFont="1" applyBorder="1" applyAlignment="1">
      <alignment horizontal="center"/>
    </xf>
    <xf numFmtId="0" fontId="4" fillId="0" borderId="2" xfId="17" applyFont="1" applyBorder="1" applyAlignment="1">
      <alignment horizontal="center"/>
    </xf>
    <xf numFmtId="0" fontId="6" fillId="0" borderId="2" xfId="17" applyFont="1" applyBorder="1" applyAlignment="1">
      <alignment horizontal="center"/>
    </xf>
    <xf numFmtId="0" fontId="6" fillId="0" borderId="2" xfId="17" applyFont="1" applyBorder="1" applyAlignment="1">
      <alignment horizontal="left"/>
    </xf>
    <xf numFmtId="0" fontId="6" fillId="0" borderId="52" xfId="0" applyFont="1" applyBorder="1" applyAlignment="1">
      <alignment horizontal="left"/>
    </xf>
    <xf numFmtId="49" fontId="68" fillId="5" borderId="1" xfId="8" applyNumberFormat="1" applyFont="1" applyFill="1" applyBorder="1" applyAlignment="1">
      <alignment horizontal="left" vertical="top" wrapText="1"/>
    </xf>
  </cellXfs>
  <cellStyles count="18">
    <cellStyle name="Абзац" xfId="1"/>
    <cellStyle name="Блок" xfId="2"/>
    <cellStyle name="Дата" xfId="3"/>
    <cellStyle name="Денежный 2" xfId="4"/>
    <cellStyle name="ЗаголовокБланка" xfId="5"/>
    <cellStyle name="ЗаголовокТаблицы" xfId="6"/>
    <cellStyle name="ЗвездочкаСноски" xfId="7"/>
    <cellStyle name="Обычный" xfId="0" builtinId="0"/>
    <cellStyle name="Обычный 2" xfId="8"/>
    <cellStyle name="Обычный 2 2" xfId="17"/>
    <cellStyle name="Подпись" xfId="9"/>
    <cellStyle name="Подстрочный" xfId="10"/>
    <cellStyle name="Подстрочный 2" xfId="16"/>
    <cellStyle name="ПоляЗаполнения" xfId="11"/>
    <cellStyle name="Приложение" xfId="12"/>
    <cellStyle name="Табличный" xfId="13"/>
    <cellStyle name="Табличный 2" xfId="14"/>
    <cellStyle name="ТекстСноски" xf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1.bin"/><Relationship Id="rId4" Type="http://schemas.openxmlformats.org/officeDocument/2006/relationships/control" Target="../activeX/activeX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51"/>
  <dimension ref="A1:BS45"/>
  <sheetViews>
    <sheetView topLeftCell="INB1" workbookViewId="0">
      <selection activeCell="C11" sqref="C11"/>
    </sheetView>
  </sheetViews>
  <sheetFormatPr defaultRowHeight="12.75"/>
  <cols>
    <col min="3" max="3" width="48.140625" customWidth="1"/>
    <col min="4" max="4" width="16.140625" customWidth="1"/>
    <col min="5" max="5" width="14.5703125" customWidth="1"/>
    <col min="6" max="6" width="11.5703125" customWidth="1"/>
  </cols>
  <sheetData>
    <row r="1" spans="1:71">
      <c r="A1" s="444" t="s">
        <v>0</v>
      </c>
      <c r="B1" s="444" t="s">
        <v>1</v>
      </c>
      <c r="C1" s="444" t="s">
        <v>2</v>
      </c>
      <c r="D1" s="444" t="s">
        <v>3</v>
      </c>
    </row>
    <row r="2" spans="1:71">
      <c r="A2">
        <v>0</v>
      </c>
      <c r="B2" s="1" t="s">
        <v>755</v>
      </c>
      <c r="C2" s="1" t="s">
        <v>755</v>
      </c>
      <c r="D2" s="1" t="s">
        <v>755</v>
      </c>
    </row>
    <row r="4" spans="1:71">
      <c r="A4" s="444" t="s">
        <v>4</v>
      </c>
      <c r="B4" s="444" t="s">
        <v>5</v>
      </c>
      <c r="C4" s="444" t="s">
        <v>6</v>
      </c>
      <c r="D4" s="444" t="s">
        <v>754</v>
      </c>
      <c r="E4" s="444" t="s">
        <v>641</v>
      </c>
      <c r="F4" s="444" t="s">
        <v>587</v>
      </c>
      <c r="G4" s="444" t="s">
        <v>588</v>
      </c>
      <c r="H4" s="444" t="s">
        <v>371</v>
      </c>
      <c r="I4" s="444" t="s">
        <v>395</v>
      </c>
      <c r="J4" s="444" t="s">
        <v>358</v>
      </c>
      <c r="K4" s="444" t="s">
        <v>7</v>
      </c>
      <c r="L4" s="444" t="s">
        <v>682</v>
      </c>
      <c r="M4" s="444" t="s">
        <v>336</v>
      </c>
      <c r="N4" s="444" t="s">
        <v>8</v>
      </c>
      <c r="O4" s="444" t="s">
        <v>9</v>
      </c>
      <c r="P4" s="444" t="s">
        <v>10</v>
      </c>
      <c r="Q4" s="444" t="s">
        <v>11</v>
      </c>
      <c r="R4" s="444" t="s">
        <v>12</v>
      </c>
      <c r="S4" s="444" t="s">
        <v>13</v>
      </c>
      <c r="T4" s="444" t="s">
        <v>683</v>
      </c>
      <c r="U4" s="444" t="s">
        <v>684</v>
      </c>
      <c r="V4" s="444" t="s">
        <v>685</v>
      </c>
      <c r="W4" s="444" t="s">
        <v>686</v>
      </c>
      <c r="X4" s="444" t="s">
        <v>687</v>
      </c>
      <c r="Y4" s="444" t="s">
        <v>688</v>
      </c>
      <c r="Z4" s="444" t="s">
        <v>689</v>
      </c>
      <c r="AA4" s="444" t="s">
        <v>14</v>
      </c>
      <c r="AB4" s="444" t="s">
        <v>15</v>
      </c>
      <c r="AC4" s="444" t="s">
        <v>16</v>
      </c>
      <c r="AD4" s="444" t="s">
        <v>17</v>
      </c>
      <c r="AE4" s="444" t="s">
        <v>18</v>
      </c>
      <c r="AF4" s="444" t="s">
        <v>19</v>
      </c>
      <c r="AG4" s="444" t="s">
        <v>589</v>
      </c>
      <c r="AH4" s="444" t="s">
        <v>590</v>
      </c>
      <c r="AI4" s="444" t="s">
        <v>591</v>
      </c>
      <c r="AJ4" s="444" t="s">
        <v>592</v>
      </c>
      <c r="AK4" s="444" t="s">
        <v>593</v>
      </c>
      <c r="AL4" s="444" t="s">
        <v>690</v>
      </c>
      <c r="AM4" s="444" t="s">
        <v>691</v>
      </c>
      <c r="AN4" s="444" t="s">
        <v>692</v>
      </c>
      <c r="AO4" s="444" t="s">
        <v>693</v>
      </c>
      <c r="AP4" s="444" t="s">
        <v>694</v>
      </c>
      <c r="AQ4" s="444" t="s">
        <v>594</v>
      </c>
      <c r="AR4" s="444" t="s">
        <v>595</v>
      </c>
      <c r="AS4" s="444" t="s">
        <v>596</v>
      </c>
      <c r="AT4" s="444" t="s">
        <v>597</v>
      </c>
      <c r="AU4" s="444" t="s">
        <v>598</v>
      </c>
      <c r="AV4" s="444" t="s">
        <v>635</v>
      </c>
      <c r="AW4" s="444" t="s">
        <v>636</v>
      </c>
      <c r="AX4" s="444" t="s">
        <v>637</v>
      </c>
      <c r="AY4" s="444" t="s">
        <v>695</v>
      </c>
      <c r="AZ4" s="444" t="s">
        <v>638</v>
      </c>
      <c r="BA4" s="444" t="s">
        <v>639</v>
      </c>
      <c r="BB4" s="444" t="s">
        <v>640</v>
      </c>
      <c r="BC4" s="444" t="s">
        <v>696</v>
      </c>
      <c r="BD4" s="444" t="s">
        <v>669</v>
      </c>
      <c r="BE4" s="444" t="s">
        <v>670</v>
      </c>
      <c r="BF4" s="444" t="s">
        <v>671</v>
      </c>
      <c r="BG4" s="444" t="s">
        <v>672</v>
      </c>
      <c r="BH4" s="444" t="s">
        <v>673</v>
      </c>
      <c r="BI4" s="444" t="s">
        <v>674</v>
      </c>
      <c r="BJ4" s="444" t="s">
        <v>675</v>
      </c>
      <c r="BK4" s="444" t="s">
        <v>676</v>
      </c>
      <c r="BL4" s="444" t="s">
        <v>677</v>
      </c>
      <c r="BM4" s="444" t="s">
        <v>678</v>
      </c>
      <c r="BN4" s="444" t="s">
        <v>679</v>
      </c>
      <c r="BO4" s="444" t="s">
        <v>680</v>
      </c>
      <c r="BP4" s="444" t="s">
        <v>20</v>
      </c>
      <c r="BQ4" s="444" t="s">
        <v>21</v>
      </c>
      <c r="BR4" s="444" t="s">
        <v>22</v>
      </c>
      <c r="BS4" s="444" t="s">
        <v>23</v>
      </c>
    </row>
    <row r="5" spans="1:71">
      <c r="A5">
        <v>1</v>
      </c>
      <c r="C5" s="1" t="s">
        <v>768</v>
      </c>
      <c r="D5" s="1" t="s">
        <v>755</v>
      </c>
      <c r="E5">
        <v>0</v>
      </c>
      <c r="F5">
        <v>0</v>
      </c>
      <c r="H5" s="1" t="s">
        <v>755</v>
      </c>
      <c r="I5" s="1" t="s">
        <v>755</v>
      </c>
      <c r="J5" s="1" t="s">
        <v>755</v>
      </c>
      <c r="K5" s="1" t="s">
        <v>769</v>
      </c>
      <c r="L5" s="1" t="s">
        <v>755</v>
      </c>
      <c r="M5" s="1" t="s">
        <v>755</v>
      </c>
      <c r="N5" s="1" t="s">
        <v>770</v>
      </c>
      <c r="O5">
        <v>0.04</v>
      </c>
      <c r="AA5" s="1" t="s">
        <v>771</v>
      </c>
      <c r="AB5" s="1" t="s">
        <v>771</v>
      </c>
      <c r="AC5">
        <v>98</v>
      </c>
      <c r="AD5">
        <v>3.92</v>
      </c>
      <c r="AE5">
        <v>98</v>
      </c>
      <c r="AF5">
        <v>3.92</v>
      </c>
      <c r="AG5" s="1" t="s">
        <v>772</v>
      </c>
      <c r="AH5" s="1" t="s">
        <v>755</v>
      </c>
    </row>
    <row r="6" spans="1:71">
      <c r="A6">
        <v>2</v>
      </c>
      <c r="C6" s="1" t="s">
        <v>773</v>
      </c>
      <c r="D6" s="1" t="s">
        <v>755</v>
      </c>
      <c r="E6">
        <v>0</v>
      </c>
      <c r="F6">
        <v>0</v>
      </c>
      <c r="H6" s="1" t="s">
        <v>755</v>
      </c>
      <c r="I6" s="1" t="s">
        <v>755</v>
      </c>
      <c r="J6" s="1" t="s">
        <v>755</v>
      </c>
      <c r="K6" s="1" t="s">
        <v>774</v>
      </c>
      <c r="L6" s="1" t="s">
        <v>755</v>
      </c>
      <c r="M6" s="1" t="s">
        <v>755</v>
      </c>
      <c r="N6" s="1" t="s">
        <v>770</v>
      </c>
      <c r="O6">
        <v>0.01</v>
      </c>
      <c r="AA6" s="1" t="s">
        <v>771</v>
      </c>
      <c r="AB6" s="1" t="s">
        <v>771</v>
      </c>
      <c r="AC6">
        <v>1</v>
      </c>
      <c r="AD6">
        <v>0.01</v>
      </c>
      <c r="AE6">
        <v>1</v>
      </c>
      <c r="AF6">
        <v>0.01</v>
      </c>
      <c r="AG6" s="1" t="s">
        <v>772</v>
      </c>
      <c r="AH6" s="1" t="s">
        <v>755</v>
      </c>
    </row>
    <row r="7" spans="1:71">
      <c r="A7">
        <v>3</v>
      </c>
      <c r="C7" s="1" t="s">
        <v>775</v>
      </c>
      <c r="D7" s="1" t="s">
        <v>755</v>
      </c>
      <c r="E7">
        <v>0</v>
      </c>
      <c r="F7">
        <v>0</v>
      </c>
      <c r="H7" s="1" t="s">
        <v>755</v>
      </c>
      <c r="I7" s="1" t="s">
        <v>776</v>
      </c>
      <c r="J7" s="1" t="s">
        <v>777</v>
      </c>
      <c r="K7" s="1" t="s">
        <v>778</v>
      </c>
      <c r="L7" s="1" t="s">
        <v>755</v>
      </c>
      <c r="M7" s="1" t="s">
        <v>755</v>
      </c>
      <c r="N7" s="1" t="s">
        <v>770</v>
      </c>
      <c r="O7">
        <v>0</v>
      </c>
      <c r="AA7" s="1" t="s">
        <v>771</v>
      </c>
      <c r="AB7" s="1" t="s">
        <v>771</v>
      </c>
      <c r="AC7">
        <v>1</v>
      </c>
      <c r="AD7">
        <v>0</v>
      </c>
      <c r="AE7">
        <v>1</v>
      </c>
      <c r="AF7">
        <v>0</v>
      </c>
      <c r="AG7" s="1" t="s">
        <v>772</v>
      </c>
      <c r="AH7" s="1" t="s">
        <v>755</v>
      </c>
    </row>
    <row r="8" spans="1:71">
      <c r="A8">
        <v>4</v>
      </c>
      <c r="C8" s="1" t="s">
        <v>779</v>
      </c>
      <c r="D8" s="1" t="s">
        <v>755</v>
      </c>
      <c r="E8">
        <v>0</v>
      </c>
      <c r="F8">
        <v>0</v>
      </c>
      <c r="H8" s="1" t="s">
        <v>755</v>
      </c>
      <c r="I8" s="1" t="s">
        <v>780</v>
      </c>
      <c r="J8" s="1" t="s">
        <v>777</v>
      </c>
      <c r="K8" s="1" t="s">
        <v>778</v>
      </c>
      <c r="L8" s="1" t="s">
        <v>755</v>
      </c>
      <c r="M8" s="1" t="s">
        <v>755</v>
      </c>
      <c r="N8" s="1" t="s">
        <v>770</v>
      </c>
      <c r="O8">
        <v>0.13</v>
      </c>
      <c r="AA8" s="1" t="s">
        <v>771</v>
      </c>
      <c r="AB8" s="1" t="s">
        <v>771</v>
      </c>
      <c r="AC8">
        <v>45</v>
      </c>
      <c r="AD8">
        <v>5.85</v>
      </c>
      <c r="AE8">
        <v>45</v>
      </c>
      <c r="AF8">
        <v>5.85</v>
      </c>
      <c r="AG8" s="1" t="s">
        <v>772</v>
      </c>
      <c r="AH8" s="1" t="s">
        <v>755</v>
      </c>
    </row>
    <row r="9" spans="1:71">
      <c r="A9">
        <v>5</v>
      </c>
      <c r="C9" s="1" t="s">
        <v>781</v>
      </c>
      <c r="D9" s="1" t="s">
        <v>755</v>
      </c>
      <c r="E9">
        <v>0</v>
      </c>
      <c r="F9">
        <v>0</v>
      </c>
      <c r="H9" s="1" t="s">
        <v>782</v>
      </c>
      <c r="I9" s="1" t="s">
        <v>783</v>
      </c>
      <c r="J9" s="1" t="s">
        <v>777</v>
      </c>
      <c r="K9" s="1" t="s">
        <v>778</v>
      </c>
      <c r="L9" s="1" t="s">
        <v>755</v>
      </c>
      <c r="M9" s="1" t="s">
        <v>755</v>
      </c>
      <c r="N9" s="1" t="s">
        <v>770</v>
      </c>
      <c r="O9">
        <v>0.01</v>
      </c>
      <c r="AA9" s="1" t="s">
        <v>771</v>
      </c>
      <c r="AB9" s="1" t="s">
        <v>771</v>
      </c>
      <c r="AC9">
        <v>2</v>
      </c>
      <c r="AD9">
        <v>0.02</v>
      </c>
      <c r="AE9">
        <v>2</v>
      </c>
      <c r="AF9">
        <v>0.02</v>
      </c>
      <c r="AG9" s="1" t="s">
        <v>772</v>
      </c>
      <c r="AH9" s="1" t="s">
        <v>755</v>
      </c>
    </row>
    <row r="10" spans="1:71">
      <c r="A10">
        <v>6</v>
      </c>
      <c r="C10" s="1" t="s">
        <v>784</v>
      </c>
      <c r="D10" s="1" t="s">
        <v>755</v>
      </c>
      <c r="E10">
        <v>0</v>
      </c>
      <c r="F10">
        <v>0</v>
      </c>
      <c r="H10" s="1" t="s">
        <v>782</v>
      </c>
      <c r="I10" s="1" t="s">
        <v>785</v>
      </c>
      <c r="J10" s="1" t="s">
        <v>786</v>
      </c>
      <c r="K10" s="1" t="s">
        <v>787</v>
      </c>
      <c r="L10" s="1" t="s">
        <v>755</v>
      </c>
      <c r="M10" s="1" t="s">
        <v>755</v>
      </c>
      <c r="N10" s="1" t="s">
        <v>770</v>
      </c>
      <c r="O10">
        <v>0</v>
      </c>
      <c r="AA10" s="1" t="s">
        <v>771</v>
      </c>
      <c r="AB10" s="1" t="s">
        <v>771</v>
      </c>
      <c r="AC10">
        <v>22</v>
      </c>
      <c r="AD10">
        <v>0</v>
      </c>
      <c r="AE10">
        <v>22</v>
      </c>
      <c r="AF10">
        <v>0</v>
      </c>
      <c r="AG10" s="1" t="s">
        <v>772</v>
      </c>
      <c r="AH10" s="1" t="s">
        <v>755</v>
      </c>
    </row>
    <row r="11" spans="1:71">
      <c r="A11">
        <v>7</v>
      </c>
      <c r="C11" s="1" t="s">
        <v>788</v>
      </c>
      <c r="D11" s="1" t="s">
        <v>755</v>
      </c>
      <c r="E11">
        <v>0</v>
      </c>
      <c r="F11">
        <v>0</v>
      </c>
      <c r="H11" s="1" t="s">
        <v>782</v>
      </c>
      <c r="I11" s="1" t="s">
        <v>789</v>
      </c>
      <c r="J11" s="1" t="s">
        <v>777</v>
      </c>
      <c r="K11" s="1" t="s">
        <v>790</v>
      </c>
      <c r="L11" s="1" t="s">
        <v>755</v>
      </c>
      <c r="M11" s="1" t="s">
        <v>755</v>
      </c>
      <c r="N11" s="1" t="s">
        <v>770</v>
      </c>
      <c r="O11">
        <v>0</v>
      </c>
      <c r="AA11" s="1" t="s">
        <v>771</v>
      </c>
      <c r="AB11" s="1" t="s">
        <v>771</v>
      </c>
      <c r="AC11">
        <v>1</v>
      </c>
      <c r="AD11">
        <v>0</v>
      </c>
      <c r="AE11">
        <v>1</v>
      </c>
      <c r="AF11">
        <v>0</v>
      </c>
      <c r="AG11" s="1" t="s">
        <v>772</v>
      </c>
      <c r="AH11" s="1" t="s">
        <v>755</v>
      </c>
    </row>
    <row r="12" spans="1:71">
      <c r="A12">
        <v>8</v>
      </c>
      <c r="C12" s="1" t="s">
        <v>791</v>
      </c>
      <c r="D12" s="1" t="s">
        <v>755</v>
      </c>
      <c r="E12">
        <v>0</v>
      </c>
      <c r="F12">
        <v>0</v>
      </c>
      <c r="H12" s="1" t="s">
        <v>782</v>
      </c>
      <c r="I12" s="1" t="s">
        <v>792</v>
      </c>
      <c r="J12" s="1" t="s">
        <v>777</v>
      </c>
      <c r="K12" s="1" t="s">
        <v>793</v>
      </c>
      <c r="L12" s="1" t="s">
        <v>755</v>
      </c>
      <c r="M12" s="1" t="s">
        <v>755</v>
      </c>
      <c r="N12" s="1" t="s">
        <v>770</v>
      </c>
      <c r="O12">
        <v>0</v>
      </c>
      <c r="AA12" s="1" t="s">
        <v>771</v>
      </c>
      <c r="AB12" s="1" t="s">
        <v>771</v>
      </c>
      <c r="AC12">
        <v>1</v>
      </c>
      <c r="AD12">
        <v>0</v>
      </c>
      <c r="AE12">
        <v>1</v>
      </c>
      <c r="AF12">
        <v>0</v>
      </c>
      <c r="AG12" s="1" t="s">
        <v>772</v>
      </c>
      <c r="AH12" s="1" t="s">
        <v>755</v>
      </c>
    </row>
    <row r="13" spans="1:71">
      <c r="A13">
        <v>9</v>
      </c>
      <c r="C13" s="1" t="s">
        <v>794</v>
      </c>
      <c r="D13" s="1" t="s">
        <v>755</v>
      </c>
      <c r="E13">
        <v>0</v>
      </c>
      <c r="F13">
        <v>0</v>
      </c>
      <c r="H13" s="1" t="s">
        <v>782</v>
      </c>
      <c r="I13" s="1" t="s">
        <v>795</v>
      </c>
      <c r="J13" s="1" t="s">
        <v>777</v>
      </c>
      <c r="K13" s="1" t="s">
        <v>796</v>
      </c>
      <c r="L13" s="1" t="s">
        <v>755</v>
      </c>
      <c r="M13" s="1" t="s">
        <v>755</v>
      </c>
      <c r="N13" s="1" t="s">
        <v>770</v>
      </c>
      <c r="O13">
        <v>0.01</v>
      </c>
      <c r="AA13" s="1" t="s">
        <v>771</v>
      </c>
      <c r="AB13" s="1" t="s">
        <v>771</v>
      </c>
      <c r="AC13">
        <v>1</v>
      </c>
      <c r="AD13">
        <v>0.01</v>
      </c>
      <c r="AE13">
        <v>1</v>
      </c>
      <c r="AF13">
        <v>0.01</v>
      </c>
      <c r="AG13" s="1" t="s">
        <v>772</v>
      </c>
      <c r="AH13" s="1" t="s">
        <v>755</v>
      </c>
    </row>
    <row r="14" spans="1:71">
      <c r="A14">
        <v>10</v>
      </c>
      <c r="C14" s="1" t="s">
        <v>797</v>
      </c>
      <c r="D14" s="1" t="s">
        <v>755</v>
      </c>
      <c r="E14">
        <v>0</v>
      </c>
      <c r="F14">
        <v>0</v>
      </c>
      <c r="H14" s="1" t="s">
        <v>782</v>
      </c>
      <c r="I14" s="1" t="s">
        <v>798</v>
      </c>
      <c r="J14" s="1" t="s">
        <v>777</v>
      </c>
      <c r="K14" s="1" t="s">
        <v>799</v>
      </c>
      <c r="L14" s="1" t="s">
        <v>755</v>
      </c>
      <c r="M14" s="1" t="s">
        <v>755</v>
      </c>
      <c r="N14" s="1" t="s">
        <v>770</v>
      </c>
      <c r="O14">
        <v>0.01</v>
      </c>
      <c r="AA14" s="1" t="s">
        <v>771</v>
      </c>
      <c r="AB14" s="1" t="s">
        <v>771</v>
      </c>
      <c r="AC14">
        <v>1</v>
      </c>
      <c r="AD14">
        <v>0.01</v>
      </c>
      <c r="AE14">
        <v>1</v>
      </c>
      <c r="AF14">
        <v>0.01</v>
      </c>
      <c r="AG14" s="1" t="s">
        <v>772</v>
      </c>
      <c r="AH14" s="1" t="s">
        <v>755</v>
      </c>
    </row>
    <row r="15" spans="1:71">
      <c r="A15">
        <v>11</v>
      </c>
      <c r="C15" s="1" t="s">
        <v>800</v>
      </c>
      <c r="D15" s="1" t="s">
        <v>755</v>
      </c>
      <c r="E15">
        <v>0</v>
      </c>
      <c r="F15">
        <v>0</v>
      </c>
      <c r="H15" s="1" t="s">
        <v>782</v>
      </c>
      <c r="I15" s="1" t="s">
        <v>801</v>
      </c>
      <c r="J15" s="1" t="s">
        <v>786</v>
      </c>
      <c r="K15" s="1" t="s">
        <v>802</v>
      </c>
      <c r="L15" s="1" t="s">
        <v>755</v>
      </c>
      <c r="M15" s="1" t="s">
        <v>755</v>
      </c>
      <c r="N15" s="1" t="s">
        <v>770</v>
      </c>
      <c r="O15">
        <v>4.0000000000000001E-3</v>
      </c>
      <c r="AA15" s="1" t="s">
        <v>771</v>
      </c>
      <c r="AB15" s="1" t="s">
        <v>771</v>
      </c>
      <c r="AC15">
        <v>1</v>
      </c>
      <c r="AD15">
        <v>0</v>
      </c>
      <c r="AE15">
        <v>1</v>
      </c>
      <c r="AF15">
        <v>0</v>
      </c>
      <c r="AG15" s="1" t="s">
        <v>772</v>
      </c>
      <c r="AH15" s="1" t="s">
        <v>755</v>
      </c>
    </row>
    <row r="16" spans="1:71">
      <c r="A16">
        <v>12</v>
      </c>
      <c r="C16" s="1" t="s">
        <v>800</v>
      </c>
      <c r="D16" s="1" t="s">
        <v>755</v>
      </c>
      <c r="E16">
        <v>0</v>
      </c>
      <c r="F16">
        <v>0</v>
      </c>
      <c r="H16" s="1" t="s">
        <v>782</v>
      </c>
      <c r="I16" s="1" t="s">
        <v>803</v>
      </c>
      <c r="J16" s="1" t="s">
        <v>786</v>
      </c>
      <c r="K16" s="1" t="s">
        <v>802</v>
      </c>
      <c r="L16" s="1" t="s">
        <v>755</v>
      </c>
      <c r="M16" s="1" t="s">
        <v>755</v>
      </c>
      <c r="N16" s="1" t="s">
        <v>770</v>
      </c>
      <c r="O16">
        <v>4.0000000000000001E-3</v>
      </c>
      <c r="AA16" s="1" t="s">
        <v>771</v>
      </c>
      <c r="AB16" s="1" t="s">
        <v>771</v>
      </c>
      <c r="AC16">
        <v>1</v>
      </c>
      <c r="AD16">
        <v>0</v>
      </c>
      <c r="AE16">
        <v>1</v>
      </c>
      <c r="AF16">
        <v>0</v>
      </c>
      <c r="AG16" s="1" t="s">
        <v>772</v>
      </c>
      <c r="AH16" s="1" t="s">
        <v>755</v>
      </c>
    </row>
    <row r="17" spans="1:34">
      <c r="A17">
        <v>13</v>
      </c>
      <c r="C17" s="1" t="s">
        <v>800</v>
      </c>
      <c r="D17" s="1" t="s">
        <v>755</v>
      </c>
      <c r="E17">
        <v>0</v>
      </c>
      <c r="F17">
        <v>0</v>
      </c>
      <c r="H17" s="1" t="s">
        <v>782</v>
      </c>
      <c r="I17" s="1" t="s">
        <v>804</v>
      </c>
      <c r="J17" s="1" t="s">
        <v>786</v>
      </c>
      <c r="K17" s="1" t="s">
        <v>802</v>
      </c>
      <c r="L17" s="1" t="s">
        <v>755</v>
      </c>
      <c r="M17" s="1" t="s">
        <v>755</v>
      </c>
      <c r="N17" s="1" t="s">
        <v>770</v>
      </c>
      <c r="O17">
        <v>4.0000000000000001E-3</v>
      </c>
      <c r="AA17" s="1" t="s">
        <v>771</v>
      </c>
      <c r="AB17" s="1" t="s">
        <v>771</v>
      </c>
      <c r="AC17">
        <v>1</v>
      </c>
      <c r="AD17">
        <v>0</v>
      </c>
      <c r="AE17">
        <v>1</v>
      </c>
      <c r="AF17">
        <v>0</v>
      </c>
      <c r="AG17" s="1" t="s">
        <v>772</v>
      </c>
      <c r="AH17" s="1" t="s">
        <v>755</v>
      </c>
    </row>
    <row r="18" spans="1:34">
      <c r="A18">
        <v>14</v>
      </c>
      <c r="C18" s="1" t="s">
        <v>800</v>
      </c>
      <c r="D18" s="1" t="s">
        <v>755</v>
      </c>
      <c r="E18">
        <v>0</v>
      </c>
      <c r="F18">
        <v>0</v>
      </c>
      <c r="H18" s="1" t="s">
        <v>782</v>
      </c>
      <c r="I18" s="1" t="s">
        <v>805</v>
      </c>
      <c r="J18" s="1" t="s">
        <v>786</v>
      </c>
      <c r="K18" s="1" t="s">
        <v>802</v>
      </c>
      <c r="L18" s="1" t="s">
        <v>755</v>
      </c>
      <c r="M18" s="1" t="s">
        <v>755</v>
      </c>
      <c r="N18" s="1" t="s">
        <v>770</v>
      </c>
      <c r="O18">
        <v>4.0000000000000001E-3</v>
      </c>
      <c r="AA18" s="1" t="s">
        <v>771</v>
      </c>
      <c r="AB18" s="1" t="s">
        <v>771</v>
      </c>
      <c r="AC18">
        <v>1</v>
      </c>
      <c r="AD18">
        <v>0</v>
      </c>
      <c r="AE18">
        <v>1</v>
      </c>
      <c r="AF18">
        <v>0</v>
      </c>
      <c r="AG18" s="1" t="s">
        <v>772</v>
      </c>
      <c r="AH18" s="1" t="s">
        <v>755</v>
      </c>
    </row>
    <row r="19" spans="1:34">
      <c r="A19">
        <v>15</v>
      </c>
      <c r="C19" s="1" t="s">
        <v>800</v>
      </c>
      <c r="D19" s="1" t="s">
        <v>755</v>
      </c>
      <c r="E19">
        <v>0</v>
      </c>
      <c r="F19">
        <v>0</v>
      </c>
      <c r="H19" s="1" t="s">
        <v>782</v>
      </c>
      <c r="I19" s="1" t="s">
        <v>806</v>
      </c>
      <c r="J19" s="1" t="s">
        <v>807</v>
      </c>
      <c r="K19" s="1" t="s">
        <v>802</v>
      </c>
      <c r="L19" s="1" t="s">
        <v>755</v>
      </c>
      <c r="M19" s="1" t="s">
        <v>755</v>
      </c>
      <c r="N19" s="1" t="s">
        <v>770</v>
      </c>
      <c r="O19">
        <v>4.0000000000000001E-3</v>
      </c>
      <c r="AA19" s="1" t="s">
        <v>771</v>
      </c>
      <c r="AB19" s="1" t="s">
        <v>771</v>
      </c>
      <c r="AC19">
        <v>1</v>
      </c>
      <c r="AD19">
        <v>0</v>
      </c>
      <c r="AE19">
        <v>1</v>
      </c>
      <c r="AF19">
        <v>0</v>
      </c>
      <c r="AG19" s="1" t="s">
        <v>772</v>
      </c>
      <c r="AH19" s="1" t="s">
        <v>755</v>
      </c>
    </row>
    <row r="20" spans="1:34">
      <c r="A20">
        <v>16</v>
      </c>
      <c r="C20" s="1" t="s">
        <v>808</v>
      </c>
      <c r="D20" s="1" t="s">
        <v>755</v>
      </c>
      <c r="E20">
        <v>0</v>
      </c>
      <c r="F20">
        <v>0</v>
      </c>
      <c r="H20" s="1" t="s">
        <v>755</v>
      </c>
      <c r="I20" s="1" t="s">
        <v>809</v>
      </c>
      <c r="J20" s="1" t="s">
        <v>786</v>
      </c>
      <c r="K20" s="1" t="s">
        <v>802</v>
      </c>
      <c r="L20" s="1" t="s">
        <v>755</v>
      </c>
      <c r="M20" s="1" t="s">
        <v>755</v>
      </c>
      <c r="N20" s="1" t="s">
        <v>770</v>
      </c>
      <c r="O20">
        <v>0.02</v>
      </c>
      <c r="AA20" s="1" t="s">
        <v>771</v>
      </c>
      <c r="AB20" s="1" t="s">
        <v>771</v>
      </c>
      <c r="AC20">
        <v>2</v>
      </c>
      <c r="AD20">
        <v>0.04</v>
      </c>
      <c r="AE20">
        <v>2</v>
      </c>
      <c r="AF20">
        <v>0.04</v>
      </c>
      <c r="AG20" s="1" t="s">
        <v>772</v>
      </c>
      <c r="AH20" s="1" t="s">
        <v>755</v>
      </c>
    </row>
    <row r="21" spans="1:34">
      <c r="A21">
        <v>17</v>
      </c>
      <c r="C21" s="1" t="s">
        <v>810</v>
      </c>
      <c r="D21" s="1" t="s">
        <v>755</v>
      </c>
      <c r="E21">
        <v>0</v>
      </c>
      <c r="F21">
        <v>0</v>
      </c>
      <c r="H21" s="1" t="s">
        <v>782</v>
      </c>
      <c r="I21" s="1" t="s">
        <v>811</v>
      </c>
      <c r="J21" s="1" t="s">
        <v>786</v>
      </c>
      <c r="K21" s="1" t="s">
        <v>812</v>
      </c>
      <c r="L21" s="1" t="s">
        <v>755</v>
      </c>
      <c r="M21" s="1" t="s">
        <v>755</v>
      </c>
      <c r="N21" s="1" t="s">
        <v>770</v>
      </c>
      <c r="O21">
        <v>0.01</v>
      </c>
      <c r="AA21" s="1" t="s">
        <v>771</v>
      </c>
      <c r="AB21" s="1" t="s">
        <v>771</v>
      </c>
      <c r="AC21">
        <v>3</v>
      </c>
      <c r="AD21">
        <v>0.03</v>
      </c>
      <c r="AE21">
        <v>3</v>
      </c>
      <c r="AF21">
        <v>0.03</v>
      </c>
      <c r="AG21" s="1" t="s">
        <v>772</v>
      </c>
      <c r="AH21" s="1" t="s">
        <v>755</v>
      </c>
    </row>
    <row r="22" spans="1:34">
      <c r="A22">
        <v>18</v>
      </c>
      <c r="C22" s="1" t="s">
        <v>810</v>
      </c>
      <c r="D22" s="1" t="s">
        <v>755</v>
      </c>
      <c r="E22">
        <v>0</v>
      </c>
      <c r="F22">
        <v>0</v>
      </c>
      <c r="H22" s="1" t="s">
        <v>782</v>
      </c>
      <c r="I22" s="1" t="s">
        <v>813</v>
      </c>
      <c r="J22" s="1" t="s">
        <v>786</v>
      </c>
      <c r="K22" s="1" t="s">
        <v>812</v>
      </c>
      <c r="L22" s="1" t="s">
        <v>755</v>
      </c>
      <c r="M22" s="1" t="s">
        <v>755</v>
      </c>
      <c r="N22" s="1" t="s">
        <v>770</v>
      </c>
      <c r="O22">
        <v>0.01</v>
      </c>
      <c r="AA22" s="1" t="s">
        <v>771</v>
      </c>
      <c r="AB22" s="1" t="s">
        <v>771</v>
      </c>
      <c r="AC22">
        <v>3</v>
      </c>
      <c r="AD22">
        <v>0.03</v>
      </c>
      <c r="AE22">
        <v>3</v>
      </c>
      <c r="AF22">
        <v>0.03</v>
      </c>
      <c r="AG22" s="1" t="s">
        <v>772</v>
      </c>
      <c r="AH22" s="1" t="s">
        <v>755</v>
      </c>
    </row>
    <row r="23" spans="1:34">
      <c r="A23">
        <v>19</v>
      </c>
      <c r="C23" s="1" t="s">
        <v>810</v>
      </c>
      <c r="D23" s="1" t="s">
        <v>755</v>
      </c>
      <c r="E23">
        <v>0</v>
      </c>
      <c r="F23">
        <v>0</v>
      </c>
      <c r="H23" s="1" t="s">
        <v>782</v>
      </c>
      <c r="I23" s="1" t="s">
        <v>814</v>
      </c>
      <c r="J23" s="1" t="s">
        <v>786</v>
      </c>
      <c r="K23" s="1" t="s">
        <v>812</v>
      </c>
      <c r="L23" s="1" t="s">
        <v>755</v>
      </c>
      <c r="M23" s="1" t="s">
        <v>755</v>
      </c>
      <c r="N23" s="1" t="s">
        <v>770</v>
      </c>
      <c r="O23">
        <v>0.01</v>
      </c>
      <c r="AA23" s="1" t="s">
        <v>771</v>
      </c>
      <c r="AB23" s="1" t="s">
        <v>771</v>
      </c>
      <c r="AC23">
        <v>2</v>
      </c>
      <c r="AD23">
        <v>0.02</v>
      </c>
      <c r="AE23">
        <v>2</v>
      </c>
      <c r="AF23">
        <v>0.02</v>
      </c>
      <c r="AG23" s="1" t="s">
        <v>772</v>
      </c>
      <c r="AH23" s="1" t="s">
        <v>755</v>
      </c>
    </row>
    <row r="24" spans="1:34">
      <c r="A24">
        <v>20</v>
      </c>
      <c r="C24" s="1" t="s">
        <v>815</v>
      </c>
      <c r="D24" s="1" t="s">
        <v>755</v>
      </c>
      <c r="E24">
        <v>0</v>
      </c>
      <c r="F24">
        <v>0</v>
      </c>
      <c r="H24" s="1" t="s">
        <v>755</v>
      </c>
      <c r="I24" s="1" t="s">
        <v>755</v>
      </c>
      <c r="J24" s="1" t="s">
        <v>755</v>
      </c>
      <c r="K24" s="1" t="s">
        <v>816</v>
      </c>
      <c r="L24" s="1" t="s">
        <v>817</v>
      </c>
      <c r="M24" s="1" t="s">
        <v>755</v>
      </c>
      <c r="N24" s="1" t="s">
        <v>770</v>
      </c>
      <c r="O24">
        <v>0.26</v>
      </c>
      <c r="AA24" s="1" t="s">
        <v>771</v>
      </c>
      <c r="AB24" s="1" t="s">
        <v>771</v>
      </c>
      <c r="AC24">
        <v>1</v>
      </c>
      <c r="AD24">
        <v>0.26</v>
      </c>
      <c r="AE24">
        <v>1</v>
      </c>
      <c r="AF24">
        <v>0.26</v>
      </c>
      <c r="AG24" s="1" t="s">
        <v>772</v>
      </c>
      <c r="AH24" s="1" t="s">
        <v>755</v>
      </c>
    </row>
    <row r="25" spans="1:34">
      <c r="A25">
        <v>21</v>
      </c>
      <c r="C25" s="1" t="s">
        <v>818</v>
      </c>
      <c r="D25" s="1" t="s">
        <v>755</v>
      </c>
      <c r="E25">
        <v>0</v>
      </c>
      <c r="F25">
        <v>0</v>
      </c>
      <c r="H25" s="1" t="s">
        <v>819</v>
      </c>
      <c r="I25" s="1" t="s">
        <v>755</v>
      </c>
      <c r="J25" s="1" t="s">
        <v>755</v>
      </c>
      <c r="K25" s="1" t="s">
        <v>820</v>
      </c>
      <c r="L25" s="1" t="s">
        <v>821</v>
      </c>
      <c r="M25" s="1" t="s">
        <v>755</v>
      </c>
      <c r="N25" s="1" t="s">
        <v>770</v>
      </c>
      <c r="O25">
        <v>0.19</v>
      </c>
      <c r="AA25" s="1" t="s">
        <v>771</v>
      </c>
      <c r="AB25" s="1" t="s">
        <v>771</v>
      </c>
      <c r="AC25">
        <v>1</v>
      </c>
      <c r="AD25">
        <v>0.19</v>
      </c>
      <c r="AE25">
        <v>1</v>
      </c>
      <c r="AF25">
        <v>0.19</v>
      </c>
      <c r="AG25" s="1" t="s">
        <v>772</v>
      </c>
      <c r="AH25" s="1" t="s">
        <v>755</v>
      </c>
    </row>
    <row r="26" spans="1:34">
      <c r="A26">
        <v>22</v>
      </c>
      <c r="C26" s="1" t="s">
        <v>822</v>
      </c>
      <c r="D26" s="1" t="s">
        <v>755</v>
      </c>
      <c r="E26">
        <v>0</v>
      </c>
      <c r="F26">
        <v>0</v>
      </c>
      <c r="H26" s="1" t="s">
        <v>755</v>
      </c>
      <c r="I26" s="1" t="s">
        <v>823</v>
      </c>
      <c r="J26" s="1" t="s">
        <v>755</v>
      </c>
      <c r="K26" s="1" t="s">
        <v>824</v>
      </c>
      <c r="L26" s="1" t="s">
        <v>755</v>
      </c>
      <c r="M26" s="1" t="s">
        <v>755</v>
      </c>
      <c r="N26" s="1" t="s">
        <v>770</v>
      </c>
      <c r="O26">
        <v>0.22</v>
      </c>
      <c r="AA26" s="1" t="s">
        <v>771</v>
      </c>
      <c r="AB26" s="1" t="s">
        <v>771</v>
      </c>
      <c r="AC26">
        <v>1</v>
      </c>
      <c r="AD26">
        <v>0.22</v>
      </c>
      <c r="AE26">
        <v>1</v>
      </c>
      <c r="AF26">
        <v>0.22</v>
      </c>
      <c r="AG26" s="1" t="s">
        <v>772</v>
      </c>
      <c r="AH26" s="1" t="s">
        <v>755</v>
      </c>
    </row>
    <row r="27" spans="1:34">
      <c r="A27">
        <v>23</v>
      </c>
      <c r="C27" s="1" t="s">
        <v>822</v>
      </c>
      <c r="D27" s="1" t="s">
        <v>755</v>
      </c>
      <c r="E27">
        <v>0</v>
      </c>
      <c r="F27">
        <v>0</v>
      </c>
      <c r="H27" s="1" t="s">
        <v>755</v>
      </c>
      <c r="I27" s="1" t="s">
        <v>825</v>
      </c>
      <c r="J27" s="1" t="s">
        <v>755</v>
      </c>
      <c r="K27" s="1" t="s">
        <v>824</v>
      </c>
      <c r="L27" s="1" t="s">
        <v>755</v>
      </c>
      <c r="M27" s="1" t="s">
        <v>755</v>
      </c>
      <c r="N27" s="1" t="s">
        <v>770</v>
      </c>
      <c r="O27">
        <v>0.22</v>
      </c>
      <c r="AA27" s="1" t="s">
        <v>771</v>
      </c>
      <c r="AB27" s="1" t="s">
        <v>771</v>
      </c>
      <c r="AC27">
        <v>1</v>
      </c>
      <c r="AD27">
        <v>0.22</v>
      </c>
      <c r="AE27">
        <v>1</v>
      </c>
      <c r="AF27">
        <v>0.22</v>
      </c>
      <c r="AG27" s="1" t="s">
        <v>772</v>
      </c>
      <c r="AH27" s="1" t="s">
        <v>755</v>
      </c>
    </row>
    <row r="28" spans="1:34">
      <c r="A28">
        <v>24</v>
      </c>
      <c r="C28" s="1" t="s">
        <v>822</v>
      </c>
      <c r="D28" s="1" t="s">
        <v>755</v>
      </c>
      <c r="E28">
        <v>0</v>
      </c>
      <c r="F28">
        <v>0</v>
      </c>
      <c r="H28" s="1" t="s">
        <v>755</v>
      </c>
      <c r="I28" s="1" t="s">
        <v>826</v>
      </c>
      <c r="J28" s="1" t="s">
        <v>755</v>
      </c>
      <c r="K28" s="1" t="s">
        <v>824</v>
      </c>
      <c r="L28" s="1" t="s">
        <v>755</v>
      </c>
      <c r="M28" s="1" t="s">
        <v>755</v>
      </c>
      <c r="N28" s="1" t="s">
        <v>770</v>
      </c>
      <c r="O28">
        <v>0.22</v>
      </c>
      <c r="AA28" s="1" t="s">
        <v>771</v>
      </c>
      <c r="AB28" s="1" t="s">
        <v>771</v>
      </c>
      <c r="AC28">
        <v>1</v>
      </c>
      <c r="AD28">
        <v>0.22</v>
      </c>
      <c r="AE28">
        <v>1</v>
      </c>
      <c r="AF28">
        <v>0.22</v>
      </c>
      <c r="AG28" s="1" t="s">
        <v>772</v>
      </c>
      <c r="AH28" s="1" t="s">
        <v>755</v>
      </c>
    </row>
    <row r="29" spans="1:34">
      <c r="A29">
        <v>25</v>
      </c>
      <c r="C29" s="1" t="s">
        <v>822</v>
      </c>
      <c r="D29" s="1" t="s">
        <v>755</v>
      </c>
      <c r="E29">
        <v>0</v>
      </c>
      <c r="F29">
        <v>0</v>
      </c>
      <c r="H29" s="1" t="s">
        <v>755</v>
      </c>
      <c r="I29" s="1" t="s">
        <v>827</v>
      </c>
      <c r="J29" s="1" t="s">
        <v>755</v>
      </c>
      <c r="K29" s="1" t="s">
        <v>824</v>
      </c>
      <c r="L29" s="1" t="s">
        <v>755</v>
      </c>
      <c r="M29" s="1" t="s">
        <v>755</v>
      </c>
      <c r="N29" s="1" t="s">
        <v>770</v>
      </c>
      <c r="O29">
        <v>0.22</v>
      </c>
      <c r="AA29" s="1" t="s">
        <v>771</v>
      </c>
      <c r="AB29" s="1" t="s">
        <v>771</v>
      </c>
      <c r="AC29">
        <v>3</v>
      </c>
      <c r="AD29">
        <v>0.66</v>
      </c>
      <c r="AE29">
        <v>3</v>
      </c>
      <c r="AF29">
        <v>0.66</v>
      </c>
      <c r="AG29" s="1" t="s">
        <v>772</v>
      </c>
      <c r="AH29" s="1" t="s">
        <v>755</v>
      </c>
    </row>
    <row r="30" spans="1:34">
      <c r="A30">
        <v>26</v>
      </c>
      <c r="C30" s="1" t="s">
        <v>828</v>
      </c>
      <c r="D30" s="1" t="s">
        <v>755</v>
      </c>
      <c r="E30">
        <v>0</v>
      </c>
      <c r="F30">
        <v>0</v>
      </c>
      <c r="H30" s="1" t="s">
        <v>755</v>
      </c>
      <c r="I30" s="1" t="s">
        <v>755</v>
      </c>
      <c r="J30" s="1" t="s">
        <v>755</v>
      </c>
      <c r="K30" s="1" t="s">
        <v>829</v>
      </c>
      <c r="L30" s="1" t="s">
        <v>755</v>
      </c>
      <c r="M30" s="1" t="s">
        <v>755</v>
      </c>
      <c r="N30" s="1" t="s">
        <v>770</v>
      </c>
      <c r="O30">
        <v>0.01</v>
      </c>
      <c r="AA30" s="1" t="s">
        <v>771</v>
      </c>
      <c r="AB30" s="1" t="s">
        <v>771</v>
      </c>
      <c r="AC30">
        <v>86</v>
      </c>
      <c r="AD30">
        <v>0.86</v>
      </c>
      <c r="AE30">
        <v>86</v>
      </c>
      <c r="AF30">
        <v>0.86</v>
      </c>
      <c r="AG30" s="1" t="s">
        <v>772</v>
      </c>
      <c r="AH30" s="1" t="s">
        <v>755</v>
      </c>
    </row>
    <row r="31" spans="1:34">
      <c r="A31">
        <v>27</v>
      </c>
      <c r="C31" s="1" t="s">
        <v>830</v>
      </c>
      <c r="D31" s="1" t="s">
        <v>755</v>
      </c>
      <c r="E31">
        <v>0</v>
      </c>
      <c r="F31">
        <v>0</v>
      </c>
      <c r="H31" s="1" t="s">
        <v>782</v>
      </c>
      <c r="I31" s="1" t="s">
        <v>831</v>
      </c>
      <c r="J31" s="1" t="s">
        <v>777</v>
      </c>
      <c r="K31" s="1" t="s">
        <v>832</v>
      </c>
      <c r="L31" s="1" t="s">
        <v>755</v>
      </c>
      <c r="M31" s="1" t="s">
        <v>755</v>
      </c>
      <c r="N31" s="1" t="s">
        <v>770</v>
      </c>
      <c r="O31">
        <v>0.19</v>
      </c>
      <c r="AA31" s="1" t="s">
        <v>771</v>
      </c>
      <c r="AB31" s="1" t="s">
        <v>771</v>
      </c>
      <c r="AC31">
        <v>12</v>
      </c>
      <c r="AD31">
        <v>2.2799999999999998</v>
      </c>
      <c r="AE31">
        <v>12</v>
      </c>
      <c r="AF31">
        <v>2.2799999999999998</v>
      </c>
      <c r="AG31" s="1" t="s">
        <v>772</v>
      </c>
      <c r="AH31" s="1" t="s">
        <v>755</v>
      </c>
    </row>
    <row r="32" spans="1:34">
      <c r="A32">
        <v>28</v>
      </c>
      <c r="C32" s="1" t="s">
        <v>833</v>
      </c>
      <c r="D32" s="1" t="s">
        <v>755</v>
      </c>
      <c r="E32">
        <v>0</v>
      </c>
      <c r="F32">
        <v>0</v>
      </c>
      <c r="H32" s="1" t="s">
        <v>782</v>
      </c>
      <c r="I32" s="1" t="s">
        <v>834</v>
      </c>
      <c r="J32" s="1" t="s">
        <v>777</v>
      </c>
      <c r="K32" s="1" t="s">
        <v>835</v>
      </c>
      <c r="L32" s="1" t="s">
        <v>755</v>
      </c>
      <c r="M32" s="1" t="s">
        <v>755</v>
      </c>
      <c r="N32" s="1" t="s">
        <v>770</v>
      </c>
      <c r="O32">
        <v>0.19</v>
      </c>
      <c r="AA32" s="1" t="s">
        <v>771</v>
      </c>
      <c r="AB32" s="1" t="s">
        <v>771</v>
      </c>
      <c r="AC32">
        <v>3</v>
      </c>
      <c r="AD32">
        <v>0.56999999999999995</v>
      </c>
      <c r="AE32">
        <v>3</v>
      </c>
      <c r="AF32">
        <v>0.56999999999999995</v>
      </c>
      <c r="AG32" s="1" t="s">
        <v>772</v>
      </c>
      <c r="AH32" s="1" t="s">
        <v>755</v>
      </c>
    </row>
    <row r="33" spans="1:34">
      <c r="A33">
        <v>29</v>
      </c>
      <c r="C33" s="1" t="s">
        <v>833</v>
      </c>
      <c r="D33" s="1" t="s">
        <v>755</v>
      </c>
      <c r="E33">
        <v>0</v>
      </c>
      <c r="F33">
        <v>0</v>
      </c>
      <c r="H33" s="1" t="s">
        <v>782</v>
      </c>
      <c r="I33" s="1" t="s">
        <v>836</v>
      </c>
      <c r="J33" s="1" t="s">
        <v>777</v>
      </c>
      <c r="K33" s="1" t="s">
        <v>837</v>
      </c>
      <c r="L33" s="1" t="s">
        <v>755</v>
      </c>
      <c r="M33" s="1" t="s">
        <v>755</v>
      </c>
      <c r="N33" s="1" t="s">
        <v>770</v>
      </c>
      <c r="O33">
        <v>0.03</v>
      </c>
      <c r="AA33" s="1" t="s">
        <v>771</v>
      </c>
      <c r="AB33" s="1" t="s">
        <v>771</v>
      </c>
      <c r="AC33">
        <v>6</v>
      </c>
      <c r="AD33">
        <v>0.18</v>
      </c>
      <c r="AE33">
        <v>6</v>
      </c>
      <c r="AF33">
        <v>0.18</v>
      </c>
      <c r="AG33" s="1" t="s">
        <v>772</v>
      </c>
      <c r="AH33" s="1" t="s">
        <v>755</v>
      </c>
    </row>
    <row r="34" spans="1:34">
      <c r="A34">
        <v>30</v>
      </c>
      <c r="C34" s="1" t="s">
        <v>838</v>
      </c>
      <c r="D34" s="1" t="s">
        <v>755</v>
      </c>
      <c r="E34">
        <v>0</v>
      </c>
      <c r="F34">
        <v>0</v>
      </c>
      <c r="H34" s="1" t="s">
        <v>755</v>
      </c>
      <c r="I34" s="1" t="s">
        <v>839</v>
      </c>
      <c r="J34" s="1" t="s">
        <v>777</v>
      </c>
      <c r="K34" s="1" t="s">
        <v>837</v>
      </c>
      <c r="L34" s="1" t="s">
        <v>755</v>
      </c>
      <c r="M34" s="1" t="s">
        <v>755</v>
      </c>
      <c r="N34" s="1" t="s">
        <v>770</v>
      </c>
      <c r="O34">
        <v>0.03</v>
      </c>
      <c r="AA34" s="1" t="s">
        <v>771</v>
      </c>
      <c r="AB34" s="1" t="s">
        <v>771</v>
      </c>
      <c r="AC34">
        <v>1</v>
      </c>
      <c r="AD34">
        <v>0.03</v>
      </c>
      <c r="AE34">
        <v>1</v>
      </c>
      <c r="AF34">
        <v>0.03</v>
      </c>
      <c r="AG34" s="1" t="s">
        <v>772</v>
      </c>
      <c r="AH34" s="1" t="s">
        <v>755</v>
      </c>
    </row>
    <row r="35" spans="1:34">
      <c r="A35">
        <v>31</v>
      </c>
      <c r="C35" s="1" t="s">
        <v>840</v>
      </c>
      <c r="D35" s="1" t="s">
        <v>755</v>
      </c>
      <c r="E35">
        <v>0</v>
      </c>
      <c r="F35">
        <v>0</v>
      </c>
      <c r="H35" s="1" t="s">
        <v>782</v>
      </c>
      <c r="I35" s="1" t="s">
        <v>841</v>
      </c>
      <c r="J35" s="1" t="s">
        <v>777</v>
      </c>
      <c r="K35" s="1" t="s">
        <v>842</v>
      </c>
      <c r="L35" s="1" t="s">
        <v>755</v>
      </c>
      <c r="M35" s="1" t="s">
        <v>755</v>
      </c>
      <c r="N35" s="1" t="s">
        <v>770</v>
      </c>
      <c r="O35">
        <v>0.19</v>
      </c>
      <c r="AA35" s="1" t="s">
        <v>771</v>
      </c>
      <c r="AB35" s="1" t="s">
        <v>771</v>
      </c>
      <c r="AC35">
        <v>15</v>
      </c>
      <c r="AD35">
        <v>2.85</v>
      </c>
      <c r="AE35">
        <v>15</v>
      </c>
      <c r="AF35">
        <v>2.85</v>
      </c>
      <c r="AG35" s="1" t="s">
        <v>772</v>
      </c>
      <c r="AH35" s="1" t="s">
        <v>755</v>
      </c>
    </row>
    <row r="36" spans="1:34">
      <c r="A36">
        <v>32</v>
      </c>
      <c r="C36" s="1" t="s">
        <v>843</v>
      </c>
      <c r="D36" s="1" t="s">
        <v>755</v>
      </c>
      <c r="E36">
        <v>0</v>
      </c>
      <c r="F36">
        <v>0</v>
      </c>
      <c r="H36" s="1" t="s">
        <v>782</v>
      </c>
      <c r="I36" s="1" t="s">
        <v>844</v>
      </c>
      <c r="J36" s="1" t="s">
        <v>777</v>
      </c>
      <c r="K36" s="1" t="s">
        <v>845</v>
      </c>
      <c r="L36" s="1" t="s">
        <v>755</v>
      </c>
      <c r="M36" s="1" t="s">
        <v>755</v>
      </c>
      <c r="N36" s="1" t="s">
        <v>770</v>
      </c>
      <c r="O36">
        <v>0</v>
      </c>
      <c r="AA36" s="1" t="s">
        <v>771</v>
      </c>
      <c r="AB36" s="1" t="s">
        <v>771</v>
      </c>
      <c r="AC36">
        <v>1</v>
      </c>
      <c r="AD36">
        <v>0</v>
      </c>
      <c r="AE36">
        <v>1</v>
      </c>
      <c r="AF36">
        <v>0</v>
      </c>
      <c r="AG36" s="1" t="s">
        <v>772</v>
      </c>
      <c r="AH36" s="1" t="s">
        <v>755</v>
      </c>
    </row>
    <row r="37" spans="1:34">
      <c r="A37">
        <v>33</v>
      </c>
      <c r="C37" s="1" t="s">
        <v>846</v>
      </c>
      <c r="D37" s="1" t="s">
        <v>755</v>
      </c>
      <c r="E37">
        <v>0</v>
      </c>
      <c r="F37">
        <v>0</v>
      </c>
      <c r="H37" s="1" t="s">
        <v>782</v>
      </c>
      <c r="I37" s="1" t="s">
        <v>847</v>
      </c>
      <c r="J37" s="1" t="s">
        <v>777</v>
      </c>
      <c r="K37" s="1" t="s">
        <v>848</v>
      </c>
      <c r="L37" s="1" t="s">
        <v>755</v>
      </c>
      <c r="M37" s="1" t="s">
        <v>755</v>
      </c>
      <c r="N37" s="1" t="s">
        <v>770</v>
      </c>
      <c r="O37">
        <v>0</v>
      </c>
      <c r="AA37" s="1" t="s">
        <v>771</v>
      </c>
      <c r="AB37" s="1" t="s">
        <v>771</v>
      </c>
      <c r="AC37">
        <v>1</v>
      </c>
      <c r="AD37">
        <v>0</v>
      </c>
      <c r="AE37">
        <v>1</v>
      </c>
      <c r="AF37">
        <v>0</v>
      </c>
      <c r="AG37" s="1" t="s">
        <v>772</v>
      </c>
      <c r="AH37" s="1" t="s">
        <v>755</v>
      </c>
    </row>
    <row r="38" spans="1:34">
      <c r="A38">
        <v>34</v>
      </c>
      <c r="C38" s="1" t="s">
        <v>849</v>
      </c>
      <c r="D38" s="1" t="s">
        <v>755</v>
      </c>
      <c r="E38">
        <v>0</v>
      </c>
      <c r="F38">
        <v>0</v>
      </c>
      <c r="H38" s="1" t="s">
        <v>782</v>
      </c>
      <c r="I38" s="1" t="s">
        <v>850</v>
      </c>
      <c r="J38" s="1" t="s">
        <v>777</v>
      </c>
      <c r="K38" s="1" t="s">
        <v>851</v>
      </c>
      <c r="L38" s="1" t="s">
        <v>755</v>
      </c>
      <c r="M38" s="1" t="s">
        <v>755</v>
      </c>
      <c r="N38" s="1" t="s">
        <v>770</v>
      </c>
      <c r="O38">
        <v>0</v>
      </c>
      <c r="AA38" s="1" t="s">
        <v>771</v>
      </c>
      <c r="AB38" s="1" t="s">
        <v>771</v>
      </c>
      <c r="AC38">
        <v>1</v>
      </c>
      <c r="AD38">
        <v>0</v>
      </c>
      <c r="AE38">
        <v>1</v>
      </c>
      <c r="AF38">
        <v>0</v>
      </c>
      <c r="AG38" s="1" t="s">
        <v>772</v>
      </c>
      <c r="AH38" s="1" t="s">
        <v>755</v>
      </c>
    </row>
    <row r="39" spans="1:34">
      <c r="A39">
        <v>35</v>
      </c>
      <c r="C39" s="1" t="s">
        <v>852</v>
      </c>
      <c r="D39" s="1" t="s">
        <v>755</v>
      </c>
      <c r="E39">
        <v>0</v>
      </c>
      <c r="F39">
        <v>0</v>
      </c>
      <c r="H39" s="1" t="s">
        <v>782</v>
      </c>
      <c r="I39" s="1" t="s">
        <v>853</v>
      </c>
      <c r="J39" s="1" t="s">
        <v>777</v>
      </c>
      <c r="K39" s="1" t="s">
        <v>854</v>
      </c>
      <c r="L39" s="1" t="s">
        <v>755</v>
      </c>
      <c r="M39" s="1" t="s">
        <v>755</v>
      </c>
      <c r="N39" s="1" t="s">
        <v>770</v>
      </c>
      <c r="O39">
        <v>0</v>
      </c>
      <c r="AA39" s="1" t="s">
        <v>771</v>
      </c>
      <c r="AB39" s="1" t="s">
        <v>771</v>
      </c>
      <c r="AC39">
        <v>1</v>
      </c>
      <c r="AD39">
        <v>0</v>
      </c>
      <c r="AE39">
        <v>1</v>
      </c>
      <c r="AF39">
        <v>0</v>
      </c>
      <c r="AG39" s="1" t="s">
        <v>772</v>
      </c>
      <c r="AH39" s="1" t="s">
        <v>755</v>
      </c>
    </row>
    <row r="40" spans="1:34">
      <c r="A40">
        <v>36</v>
      </c>
      <c r="C40" s="1" t="s">
        <v>855</v>
      </c>
      <c r="D40" s="1" t="s">
        <v>755</v>
      </c>
      <c r="E40">
        <v>0</v>
      </c>
      <c r="F40">
        <v>0</v>
      </c>
      <c r="H40" s="1" t="s">
        <v>782</v>
      </c>
      <c r="I40" s="1" t="s">
        <v>856</v>
      </c>
      <c r="J40" s="1" t="s">
        <v>777</v>
      </c>
      <c r="K40" s="1" t="s">
        <v>857</v>
      </c>
      <c r="L40" s="1" t="s">
        <v>755</v>
      </c>
      <c r="M40" s="1" t="s">
        <v>755</v>
      </c>
      <c r="N40" s="1" t="s">
        <v>770</v>
      </c>
      <c r="O40">
        <v>0</v>
      </c>
      <c r="AA40" s="1" t="s">
        <v>771</v>
      </c>
      <c r="AB40" s="1" t="s">
        <v>771</v>
      </c>
      <c r="AC40">
        <v>1</v>
      </c>
      <c r="AD40">
        <v>0</v>
      </c>
      <c r="AE40">
        <v>1</v>
      </c>
      <c r="AF40">
        <v>0</v>
      </c>
      <c r="AG40" s="1" t="s">
        <v>772</v>
      </c>
      <c r="AH40" s="1" t="s">
        <v>755</v>
      </c>
    </row>
    <row r="41" spans="1:34">
      <c r="A41">
        <v>37</v>
      </c>
      <c r="C41" s="1" t="s">
        <v>858</v>
      </c>
      <c r="D41" s="1" t="s">
        <v>755</v>
      </c>
      <c r="E41">
        <v>0</v>
      </c>
      <c r="F41">
        <v>0</v>
      </c>
      <c r="H41" s="1" t="s">
        <v>782</v>
      </c>
      <c r="I41" s="1" t="s">
        <v>859</v>
      </c>
      <c r="J41" s="1" t="s">
        <v>777</v>
      </c>
      <c r="K41" s="1" t="s">
        <v>860</v>
      </c>
      <c r="L41" s="1" t="s">
        <v>755</v>
      </c>
      <c r="M41" s="1" t="s">
        <v>755</v>
      </c>
      <c r="N41" s="1" t="s">
        <v>770</v>
      </c>
      <c r="O41">
        <v>0</v>
      </c>
      <c r="AA41" s="1" t="s">
        <v>771</v>
      </c>
      <c r="AB41" s="1" t="s">
        <v>771</v>
      </c>
      <c r="AC41">
        <v>1</v>
      </c>
      <c r="AD41">
        <v>0</v>
      </c>
      <c r="AE41">
        <v>1</v>
      </c>
      <c r="AF41">
        <v>0</v>
      </c>
      <c r="AG41" s="1" t="s">
        <v>772</v>
      </c>
      <c r="AH41" s="1" t="s">
        <v>755</v>
      </c>
    </row>
    <row r="42" spans="1:34">
      <c r="A42">
        <v>38</v>
      </c>
      <c r="C42" s="1" t="s">
        <v>861</v>
      </c>
      <c r="D42" s="1" t="s">
        <v>755</v>
      </c>
      <c r="E42">
        <v>0</v>
      </c>
      <c r="F42">
        <v>0</v>
      </c>
      <c r="H42" s="1" t="s">
        <v>782</v>
      </c>
      <c r="I42" s="1" t="s">
        <v>862</v>
      </c>
      <c r="J42" s="1" t="s">
        <v>777</v>
      </c>
      <c r="K42" s="1" t="s">
        <v>863</v>
      </c>
      <c r="L42" s="1" t="s">
        <v>755</v>
      </c>
      <c r="M42" s="1" t="s">
        <v>755</v>
      </c>
      <c r="N42" s="1" t="s">
        <v>770</v>
      </c>
      <c r="O42">
        <v>1.23</v>
      </c>
      <c r="AA42" s="1" t="s">
        <v>771</v>
      </c>
      <c r="AB42" s="1" t="s">
        <v>771</v>
      </c>
      <c r="AC42">
        <v>1</v>
      </c>
      <c r="AD42">
        <v>1.23</v>
      </c>
      <c r="AE42">
        <v>1</v>
      </c>
      <c r="AF42">
        <v>1.23</v>
      </c>
      <c r="AG42" s="1" t="s">
        <v>772</v>
      </c>
      <c r="AH42" s="1" t="s">
        <v>755</v>
      </c>
    </row>
    <row r="43" spans="1:34">
      <c r="A43">
        <v>39</v>
      </c>
      <c r="C43" s="1" t="s">
        <v>864</v>
      </c>
      <c r="D43" s="1" t="s">
        <v>755</v>
      </c>
      <c r="E43">
        <v>0</v>
      </c>
      <c r="F43">
        <v>0</v>
      </c>
      <c r="H43" s="1" t="s">
        <v>782</v>
      </c>
      <c r="I43" s="1" t="s">
        <v>865</v>
      </c>
      <c r="J43" s="1" t="s">
        <v>777</v>
      </c>
      <c r="K43" s="1" t="s">
        <v>866</v>
      </c>
      <c r="L43" s="1" t="s">
        <v>755</v>
      </c>
      <c r="M43" s="1" t="s">
        <v>755</v>
      </c>
      <c r="N43" s="1" t="s">
        <v>770</v>
      </c>
      <c r="O43">
        <v>1.23</v>
      </c>
      <c r="AA43" s="1" t="s">
        <v>771</v>
      </c>
      <c r="AB43" s="1" t="s">
        <v>771</v>
      </c>
      <c r="AC43">
        <v>1</v>
      </c>
      <c r="AD43">
        <v>1.23</v>
      </c>
      <c r="AE43">
        <v>1</v>
      </c>
      <c r="AF43">
        <v>1.23</v>
      </c>
      <c r="AG43" s="1" t="s">
        <v>772</v>
      </c>
      <c r="AH43" s="1" t="s">
        <v>755</v>
      </c>
    </row>
    <row r="44" spans="1:34">
      <c r="A44">
        <v>40</v>
      </c>
      <c r="C44" s="1" t="s">
        <v>867</v>
      </c>
      <c r="D44" s="1" t="s">
        <v>755</v>
      </c>
      <c r="E44">
        <v>0</v>
      </c>
      <c r="F44">
        <v>0</v>
      </c>
      <c r="H44" s="1" t="s">
        <v>782</v>
      </c>
      <c r="I44" s="1" t="s">
        <v>868</v>
      </c>
      <c r="J44" s="1" t="s">
        <v>777</v>
      </c>
      <c r="K44" s="1" t="s">
        <v>869</v>
      </c>
      <c r="L44" s="1" t="s">
        <v>755</v>
      </c>
      <c r="M44" s="1" t="s">
        <v>755</v>
      </c>
      <c r="N44" s="1" t="s">
        <v>770</v>
      </c>
      <c r="O44">
        <v>1.23</v>
      </c>
      <c r="AA44" s="1" t="s">
        <v>771</v>
      </c>
      <c r="AB44" s="1" t="s">
        <v>771</v>
      </c>
      <c r="AC44">
        <v>1</v>
      </c>
      <c r="AD44">
        <v>1.23</v>
      </c>
      <c r="AE44">
        <v>1</v>
      </c>
      <c r="AF44">
        <v>1.23</v>
      </c>
      <c r="AG44" s="1" t="s">
        <v>772</v>
      </c>
      <c r="AH44" s="1" t="s">
        <v>755</v>
      </c>
    </row>
    <row r="45" spans="1:34">
      <c r="A45">
        <v>41</v>
      </c>
      <c r="C45" s="1" t="s">
        <v>870</v>
      </c>
      <c r="D45" s="1" t="s">
        <v>755</v>
      </c>
      <c r="E45">
        <v>0</v>
      </c>
      <c r="F45">
        <v>0</v>
      </c>
      <c r="H45" s="1" t="s">
        <v>755</v>
      </c>
      <c r="I45" s="1" t="s">
        <v>871</v>
      </c>
      <c r="J45" s="1" t="s">
        <v>777</v>
      </c>
      <c r="K45" s="1" t="s">
        <v>872</v>
      </c>
      <c r="L45" s="1" t="s">
        <v>755</v>
      </c>
      <c r="M45" s="1" t="s">
        <v>755</v>
      </c>
      <c r="N45" s="1" t="s">
        <v>770</v>
      </c>
      <c r="O45">
        <v>1.23</v>
      </c>
      <c r="AA45" s="1" t="s">
        <v>771</v>
      </c>
      <c r="AB45" s="1" t="s">
        <v>771</v>
      </c>
      <c r="AC45">
        <v>1</v>
      </c>
      <c r="AD45">
        <v>1.23</v>
      </c>
      <c r="AE45">
        <v>1</v>
      </c>
      <c r="AF45">
        <v>1.23</v>
      </c>
      <c r="AG45" s="1" t="s">
        <v>772</v>
      </c>
      <c r="AH45" s="1" t="s">
        <v>755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3"/>
  <dimension ref="A1:C56"/>
  <sheetViews>
    <sheetView topLeftCell="A22" workbookViewId="0">
      <selection activeCell="C25" sqref="C25"/>
    </sheetView>
  </sheetViews>
  <sheetFormatPr defaultRowHeight="12.75"/>
  <cols>
    <col min="1" max="1" width="40.28515625" bestFit="1" customWidth="1"/>
  </cols>
  <sheetData>
    <row r="1" spans="1:3">
      <c r="A1" s="444" t="s">
        <v>24</v>
      </c>
      <c r="B1" s="444" t="s">
        <v>25</v>
      </c>
      <c r="C1" s="444" t="s">
        <v>26</v>
      </c>
    </row>
    <row r="2" spans="1:3">
      <c r="A2" t="s">
        <v>27</v>
      </c>
      <c r="B2" t="s">
        <v>28</v>
      </c>
      <c r="C2" s="1" t="s">
        <v>873</v>
      </c>
    </row>
    <row r="3" spans="1:3">
      <c r="A3" t="s">
        <v>681</v>
      </c>
      <c r="B3" t="s">
        <v>37</v>
      </c>
      <c r="C3">
        <v>0</v>
      </c>
    </row>
    <row r="4" spans="1:3">
      <c r="A4" t="s">
        <v>762</v>
      </c>
      <c r="B4" t="s">
        <v>37</v>
      </c>
      <c r="C4">
        <v>2</v>
      </c>
    </row>
    <row r="5" spans="1:3">
      <c r="A5" t="s">
        <v>29</v>
      </c>
      <c r="B5" t="s">
        <v>28</v>
      </c>
      <c r="C5" s="1" t="s">
        <v>772</v>
      </c>
    </row>
    <row r="6" spans="1:3">
      <c r="A6" t="s">
        <v>30</v>
      </c>
      <c r="B6" t="s">
        <v>28</v>
      </c>
      <c r="C6" s="1" t="s">
        <v>874</v>
      </c>
    </row>
    <row r="7" spans="1:3">
      <c r="A7" t="s">
        <v>31</v>
      </c>
      <c r="B7" t="s">
        <v>28</v>
      </c>
      <c r="C7" s="1" t="s">
        <v>772</v>
      </c>
    </row>
    <row r="8" spans="1:3">
      <c r="A8" t="s">
        <v>294</v>
      </c>
      <c r="B8" t="s">
        <v>28</v>
      </c>
      <c r="C8" s="1" t="s">
        <v>875</v>
      </c>
    </row>
    <row r="9" spans="1:3">
      <c r="A9" t="s">
        <v>761</v>
      </c>
      <c r="B9" t="s">
        <v>28</v>
      </c>
      <c r="C9" s="1" t="s">
        <v>876</v>
      </c>
    </row>
    <row r="10" spans="1:3">
      <c r="A10" t="s">
        <v>760</v>
      </c>
      <c r="B10" t="s">
        <v>28</v>
      </c>
      <c r="C10" s="1" t="s">
        <v>755</v>
      </c>
    </row>
    <row r="11" spans="1:3">
      <c r="A11" t="s">
        <v>293</v>
      </c>
      <c r="B11" t="s">
        <v>28</v>
      </c>
      <c r="C11" s="1" t="s">
        <v>877</v>
      </c>
    </row>
    <row r="12" spans="1:3">
      <c r="A12" t="s">
        <v>330</v>
      </c>
      <c r="B12" t="s">
        <v>28</v>
      </c>
      <c r="C12" s="1" t="s">
        <v>755</v>
      </c>
    </row>
    <row r="13" spans="1:3">
      <c r="A13" t="s">
        <v>337</v>
      </c>
      <c r="B13" t="s">
        <v>338</v>
      </c>
    </row>
    <row r="14" spans="1:3">
      <c r="A14" t="s">
        <v>331</v>
      </c>
      <c r="B14" t="s">
        <v>28</v>
      </c>
      <c r="C14" s="1" t="s">
        <v>755</v>
      </c>
    </row>
    <row r="15" spans="1:3">
      <c r="A15" t="s">
        <v>332</v>
      </c>
      <c r="B15" t="s">
        <v>28</v>
      </c>
      <c r="C15" s="1" t="s">
        <v>755</v>
      </c>
    </row>
    <row r="16" spans="1:3">
      <c r="A16" t="s">
        <v>744</v>
      </c>
      <c r="B16" t="s">
        <v>28</v>
      </c>
      <c r="C16" s="1" t="s">
        <v>878</v>
      </c>
    </row>
    <row r="17" spans="1:3">
      <c r="A17" t="s">
        <v>32</v>
      </c>
      <c r="B17" t="s">
        <v>28</v>
      </c>
      <c r="C17" s="1" t="s">
        <v>879</v>
      </c>
    </row>
    <row r="18" spans="1:3">
      <c r="A18" t="s">
        <v>759</v>
      </c>
      <c r="B18" t="s">
        <v>28</v>
      </c>
      <c r="C18" s="1" t="s">
        <v>880</v>
      </c>
    </row>
    <row r="19" spans="1:3">
      <c r="A19" t="s">
        <v>758</v>
      </c>
      <c r="B19" t="s">
        <v>28</v>
      </c>
      <c r="C19" s="1" t="s">
        <v>881</v>
      </c>
    </row>
    <row r="20" spans="1:3">
      <c r="A20" t="s">
        <v>33</v>
      </c>
      <c r="B20" t="s">
        <v>28</v>
      </c>
      <c r="C20" s="1" t="s">
        <v>881</v>
      </c>
    </row>
    <row r="21" spans="1:3">
      <c r="A21" t="s">
        <v>291</v>
      </c>
      <c r="B21" t="s">
        <v>28</v>
      </c>
      <c r="C21" s="1" t="s">
        <v>180</v>
      </c>
    </row>
    <row r="22" spans="1:3">
      <c r="A22" t="s">
        <v>34</v>
      </c>
      <c r="B22" t="s">
        <v>28</v>
      </c>
      <c r="C22" s="1" t="s">
        <v>882</v>
      </c>
    </row>
    <row r="23" spans="1:3">
      <c r="A23" t="s">
        <v>35</v>
      </c>
      <c r="B23" t="s">
        <v>28</v>
      </c>
      <c r="C23" s="1" t="s">
        <v>883</v>
      </c>
    </row>
    <row r="24" spans="1:3">
      <c r="A24" t="s">
        <v>36</v>
      </c>
      <c r="B24" t="s">
        <v>37</v>
      </c>
      <c r="C24">
        <v>3</v>
      </c>
    </row>
    <row r="25" spans="1:3">
      <c r="A25" t="s">
        <v>38</v>
      </c>
      <c r="B25" t="s">
        <v>37</v>
      </c>
      <c r="C25">
        <v>3</v>
      </c>
    </row>
    <row r="26" spans="1:3">
      <c r="A26" t="s">
        <v>39</v>
      </c>
      <c r="B26" t="s">
        <v>37</v>
      </c>
      <c r="C26">
        <v>41</v>
      </c>
    </row>
    <row r="27" spans="1:3">
      <c r="A27" t="s">
        <v>40</v>
      </c>
      <c r="B27" t="s">
        <v>37</v>
      </c>
      <c r="C27">
        <v>0</v>
      </c>
    </row>
    <row r="28" spans="1:3">
      <c r="A28" t="s">
        <v>41</v>
      </c>
      <c r="B28" t="s">
        <v>37</v>
      </c>
      <c r="C28">
        <v>0</v>
      </c>
    </row>
    <row r="29" spans="1:3">
      <c r="A29" t="s">
        <v>42</v>
      </c>
      <c r="B29" t="s">
        <v>37</v>
      </c>
      <c r="C29">
        <v>0</v>
      </c>
    </row>
    <row r="30" spans="1:3">
      <c r="A30" t="s">
        <v>43</v>
      </c>
      <c r="B30" t="s">
        <v>37</v>
      </c>
      <c r="C30">
        <v>0</v>
      </c>
    </row>
    <row r="31" spans="1:3">
      <c r="A31" t="s">
        <v>44</v>
      </c>
      <c r="B31" t="s">
        <v>28</v>
      </c>
      <c r="C31" s="1" t="s">
        <v>884</v>
      </c>
    </row>
    <row r="32" spans="1:3">
      <c r="A32" t="s">
        <v>45</v>
      </c>
      <c r="B32" t="s">
        <v>28</v>
      </c>
      <c r="C32" s="1" t="s">
        <v>184</v>
      </c>
    </row>
    <row r="33" spans="1:3">
      <c r="A33" t="s">
        <v>46</v>
      </c>
      <c r="B33" t="s">
        <v>28</v>
      </c>
      <c r="C33" s="1" t="s">
        <v>885</v>
      </c>
    </row>
    <row r="34" spans="1:3">
      <c r="A34" t="s">
        <v>47</v>
      </c>
      <c r="B34" t="s">
        <v>28</v>
      </c>
      <c r="C34" s="1" t="s">
        <v>886</v>
      </c>
    </row>
    <row r="35" spans="1:3">
      <c r="A35" t="s">
        <v>48</v>
      </c>
      <c r="B35" t="s">
        <v>28</v>
      </c>
      <c r="C35" s="1" t="s">
        <v>547</v>
      </c>
    </row>
    <row r="36" spans="1:3">
      <c r="A36" t="s">
        <v>49</v>
      </c>
      <c r="B36" t="s">
        <v>28</v>
      </c>
      <c r="C36" s="1" t="s">
        <v>755</v>
      </c>
    </row>
    <row r="37" spans="1:3">
      <c r="A37" t="s">
        <v>50</v>
      </c>
      <c r="B37" t="s">
        <v>28</v>
      </c>
      <c r="C37" s="1" t="s">
        <v>887</v>
      </c>
    </row>
    <row r="38" spans="1:3">
      <c r="A38" t="s">
        <v>335</v>
      </c>
      <c r="B38" t="s">
        <v>37</v>
      </c>
      <c r="C38">
        <v>1</v>
      </c>
    </row>
    <row r="39" spans="1:3">
      <c r="A39" t="s">
        <v>507</v>
      </c>
      <c r="B39" t="s">
        <v>28</v>
      </c>
      <c r="C39" s="1" t="s">
        <v>755</v>
      </c>
    </row>
    <row r="40" spans="1:3">
      <c r="A40" t="s">
        <v>508</v>
      </c>
      <c r="B40" t="s">
        <v>28</v>
      </c>
      <c r="C40" s="1" t="s">
        <v>888</v>
      </c>
    </row>
    <row r="41" spans="1:3">
      <c r="A41" t="s">
        <v>533</v>
      </c>
      <c r="B41" t="s">
        <v>28</v>
      </c>
      <c r="C41" s="1" t="s">
        <v>889</v>
      </c>
    </row>
    <row r="42" spans="1:3">
      <c r="A42" t="s">
        <v>435</v>
      </c>
      <c r="B42" t="s">
        <v>37</v>
      </c>
      <c r="C42">
        <v>6</v>
      </c>
    </row>
    <row r="43" spans="1:3">
      <c r="A43" t="s">
        <v>436</v>
      </c>
      <c r="B43" t="s">
        <v>28</v>
      </c>
      <c r="C43" s="1" t="s">
        <v>890</v>
      </c>
    </row>
    <row r="44" spans="1:3">
      <c r="A44" t="s">
        <v>437</v>
      </c>
      <c r="B44" t="s">
        <v>37</v>
      </c>
      <c r="C44">
        <v>2021</v>
      </c>
    </row>
    <row r="45" spans="1:3">
      <c r="A45" t="s">
        <v>509</v>
      </c>
      <c r="B45" t="s">
        <v>28</v>
      </c>
      <c r="C45" s="1" t="s">
        <v>755</v>
      </c>
    </row>
    <row r="46" spans="1:3">
      <c r="A46" t="s">
        <v>510</v>
      </c>
      <c r="B46" t="s">
        <v>28</v>
      </c>
      <c r="C46" s="1" t="s">
        <v>755</v>
      </c>
    </row>
    <row r="47" spans="1:3">
      <c r="A47" t="s">
        <v>511</v>
      </c>
      <c r="B47" t="s">
        <v>37</v>
      </c>
      <c r="C47">
        <v>20</v>
      </c>
    </row>
    <row r="48" spans="1:3">
      <c r="A48" t="s">
        <v>512</v>
      </c>
      <c r="B48" t="s">
        <v>28</v>
      </c>
      <c r="C48" s="1" t="s">
        <v>755</v>
      </c>
    </row>
    <row r="49" spans="1:3">
      <c r="A49" t="s">
        <v>513</v>
      </c>
      <c r="B49" t="s">
        <v>28</v>
      </c>
      <c r="C49" s="1" t="s">
        <v>755</v>
      </c>
    </row>
    <row r="50" spans="1:3">
      <c r="A50" t="s">
        <v>514</v>
      </c>
      <c r="B50" t="s">
        <v>37</v>
      </c>
      <c r="C50">
        <v>20</v>
      </c>
    </row>
    <row r="51" spans="1:3">
      <c r="A51" t="s">
        <v>476</v>
      </c>
      <c r="B51" t="s">
        <v>28</v>
      </c>
      <c r="C51" s="1" t="s">
        <v>891</v>
      </c>
    </row>
    <row r="52" spans="1:3">
      <c r="A52" t="s">
        <v>614</v>
      </c>
      <c r="B52" t="s">
        <v>28</v>
      </c>
      <c r="C52" s="1" t="s">
        <v>755</v>
      </c>
    </row>
    <row r="53" spans="1:3">
      <c r="A53" t="s">
        <v>51</v>
      </c>
      <c r="B53" t="s">
        <v>28</v>
      </c>
      <c r="C53" s="1" t="s">
        <v>892</v>
      </c>
    </row>
    <row r="54" spans="1:3">
      <c r="A54" t="s">
        <v>599</v>
      </c>
      <c r="B54" t="s">
        <v>28</v>
      </c>
      <c r="C54" s="1" t="s">
        <v>755</v>
      </c>
    </row>
    <row r="55" spans="1:3">
      <c r="A55" t="s">
        <v>757</v>
      </c>
      <c r="B55" t="s">
        <v>28</v>
      </c>
      <c r="C55" s="1" t="s">
        <v>772</v>
      </c>
    </row>
    <row r="56" spans="1:3">
      <c r="A56" t="s">
        <v>756</v>
      </c>
      <c r="B56" t="s">
        <v>28</v>
      </c>
      <c r="C56" s="1" t="s">
        <v>180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1"/>
  <dimension ref="A1:O90"/>
  <sheetViews>
    <sheetView view="pageBreakPreview" zoomScaleNormal="115" zoomScaleSheetLayoutView="100" workbookViewId="0">
      <selection activeCell="D41" sqref="D41"/>
    </sheetView>
  </sheetViews>
  <sheetFormatPr defaultRowHeight="12.75"/>
  <cols>
    <col min="1" max="1" width="0.42578125" customWidth="1"/>
    <col min="2" max="2" width="4.7109375" customWidth="1"/>
    <col min="3" max="3" width="7.85546875" customWidth="1"/>
    <col min="4" max="4" width="31.28515625" customWidth="1"/>
    <col min="5" max="5" width="8" customWidth="1"/>
    <col min="6" max="6" width="7.140625" customWidth="1"/>
    <col min="7" max="7" width="8.7109375" customWidth="1"/>
    <col min="9" max="9" width="6.85546875" customWidth="1"/>
    <col min="10" max="10" width="7.7109375" customWidth="1"/>
    <col min="11" max="11" width="9.7109375" customWidth="1"/>
    <col min="12" max="12" width="12.28515625" customWidth="1"/>
    <col min="13" max="13" width="9.7109375" customWidth="1"/>
    <col min="14" max="14" width="12.28515625" customWidth="1"/>
    <col min="15" max="17" width="1.140625" customWidth="1"/>
  </cols>
  <sheetData>
    <row r="1" spans="2:15" ht="6" customHeight="1"/>
    <row r="2" spans="2:15" ht="11.25" customHeight="1">
      <c r="B2" s="1201" t="s">
        <v>599</v>
      </c>
      <c r="C2" s="1201"/>
      <c r="D2" s="1201"/>
      <c r="M2" s="2" t="s">
        <v>736</v>
      </c>
    </row>
    <row r="3" spans="2:15" ht="12.2" customHeight="1">
      <c r="B3" s="1201"/>
      <c r="C3" s="1201"/>
      <c r="D3" s="1201"/>
      <c r="I3" s="3"/>
      <c r="M3" s="3"/>
    </row>
    <row r="4" spans="2:15" ht="12.2" customHeight="1">
      <c r="B4" s="1201"/>
      <c r="C4" s="1201"/>
      <c r="D4" s="1201"/>
      <c r="I4" s="3"/>
      <c r="M4" s="3"/>
    </row>
    <row r="5" spans="2:15" ht="3.75" customHeight="1" thickBot="1">
      <c r="B5" s="851"/>
      <c r="C5" s="851"/>
      <c r="D5" s="851"/>
      <c r="I5" s="3"/>
      <c r="M5" s="3"/>
    </row>
    <row r="6" spans="2:15" ht="14.25" customHeight="1">
      <c r="N6" s="1202" t="s">
        <v>55</v>
      </c>
      <c r="O6" s="1203"/>
    </row>
    <row r="7" spans="2:15" ht="14.25" customHeight="1">
      <c r="B7" s="6" t="s">
        <v>35</v>
      </c>
      <c r="C7" s="7"/>
      <c r="D7" s="8"/>
      <c r="E7" s="9"/>
      <c r="F7" s="8"/>
      <c r="G7" s="8"/>
      <c r="H7" s="8"/>
      <c r="I7" s="8"/>
      <c r="J7" s="8"/>
      <c r="K7" s="8"/>
      <c r="L7" s="8"/>
      <c r="M7" s="10" t="s">
        <v>57</v>
      </c>
      <c r="N7" s="1204" t="s">
        <v>34</v>
      </c>
      <c r="O7" s="1205"/>
    </row>
    <row r="8" spans="2:15" ht="8.4499999999999993" customHeight="1">
      <c r="C8" s="11"/>
      <c r="D8" s="12"/>
      <c r="F8" s="12"/>
      <c r="G8" s="13" t="s">
        <v>58</v>
      </c>
      <c r="H8" s="12"/>
      <c r="I8" s="12"/>
      <c r="J8" s="12"/>
      <c r="K8" s="12"/>
      <c r="L8" s="12"/>
      <c r="M8" s="5"/>
      <c r="N8" s="1206"/>
      <c r="O8" s="1207"/>
    </row>
    <row r="9" spans="2:15" ht="13.7" customHeight="1">
      <c r="B9" s="14" t="s">
        <v>32</v>
      </c>
      <c r="C9" s="15"/>
      <c r="D9" s="9"/>
      <c r="E9" s="9"/>
      <c r="F9" s="7"/>
      <c r="G9" s="7"/>
      <c r="H9" s="16"/>
      <c r="I9" s="7"/>
      <c r="J9" s="9"/>
      <c r="K9" s="7"/>
      <c r="L9" s="7"/>
      <c r="M9" s="7"/>
      <c r="N9" s="1208"/>
      <c r="O9" s="1209"/>
    </row>
    <row r="10" spans="2:15">
      <c r="B10" s="17"/>
      <c r="C10" s="17"/>
      <c r="F10" s="4"/>
      <c r="G10" s="13" t="s">
        <v>59</v>
      </c>
      <c r="H10" s="4"/>
      <c r="I10" s="4"/>
      <c r="K10" s="4"/>
      <c r="L10" s="4"/>
      <c r="M10" s="18"/>
      <c r="N10" s="1210" t="s">
        <v>331</v>
      </c>
      <c r="O10" s="1211"/>
    </row>
    <row r="11" spans="2:15">
      <c r="B11" s="17" t="s">
        <v>61</v>
      </c>
      <c r="D11" s="4"/>
      <c r="E11" s="4"/>
      <c r="F11" s="4"/>
      <c r="G11" s="19" t="s">
        <v>62</v>
      </c>
      <c r="H11" s="20"/>
      <c r="I11" s="20"/>
      <c r="J11" s="20"/>
      <c r="K11" s="20"/>
      <c r="L11" s="20"/>
      <c r="M11" s="21" t="s">
        <v>4</v>
      </c>
      <c r="N11" s="1212"/>
      <c r="O11" s="1213"/>
    </row>
    <row r="12" spans="2:15" ht="15.75" customHeight="1">
      <c r="F12" s="4"/>
      <c r="G12" s="22"/>
      <c r="H12" s="22"/>
      <c r="I12" s="22"/>
      <c r="J12" s="23" t="s">
        <v>63</v>
      </c>
      <c r="K12" s="22"/>
      <c r="L12" s="22"/>
      <c r="M12" s="24" t="s">
        <v>64</v>
      </c>
      <c r="N12" s="1191" t="s">
        <v>332</v>
      </c>
      <c r="O12" s="1192"/>
    </row>
    <row r="13" spans="2:15" ht="15.75" customHeight="1">
      <c r="F13" s="4"/>
      <c r="G13" s="4"/>
      <c r="H13" s="4"/>
      <c r="I13" s="4"/>
      <c r="J13" s="4"/>
      <c r="K13" s="4"/>
      <c r="L13" s="25"/>
      <c r="M13" s="5" t="s">
        <v>65</v>
      </c>
      <c r="N13" s="1193" t="s">
        <v>31</v>
      </c>
      <c r="O13" s="1194"/>
    </row>
    <row r="14" spans="2:15" ht="15.75" customHeight="1" thickBot="1">
      <c r="F14" s="4"/>
      <c r="G14" s="4"/>
      <c r="H14" s="4"/>
      <c r="I14" s="4"/>
      <c r="J14" s="4"/>
      <c r="K14" s="25"/>
      <c r="L14" s="25"/>
      <c r="M14" s="5" t="s">
        <v>66</v>
      </c>
      <c r="N14" s="1195" t="s">
        <v>330</v>
      </c>
      <c r="O14" s="1196"/>
    </row>
    <row r="15" spans="2:15" ht="0.75" customHeight="1">
      <c r="F15" s="4"/>
      <c r="G15" s="4"/>
      <c r="H15" s="4"/>
      <c r="I15" s="4"/>
      <c r="J15" s="4"/>
      <c r="K15" s="25"/>
      <c r="L15" s="25"/>
      <c r="M15" s="5"/>
      <c r="N15" s="853"/>
      <c r="O15" s="853"/>
    </row>
    <row r="16" spans="2:15" ht="13.5" thickBot="1"/>
    <row r="17" spans="2:15">
      <c r="J17" s="4"/>
      <c r="K17" s="1197" t="s">
        <v>68</v>
      </c>
      <c r="L17" s="1198"/>
      <c r="M17" s="1199" t="s">
        <v>69</v>
      </c>
      <c r="N17" s="1200"/>
    </row>
    <row r="18" spans="2:15" ht="16.5" thickBot="1">
      <c r="F18" s="3"/>
      <c r="G18" s="28" t="s">
        <v>70</v>
      </c>
      <c r="I18" s="3"/>
      <c r="J18" s="4"/>
      <c r="K18" s="1179" t="s">
        <v>293</v>
      </c>
      <c r="L18" s="1180"/>
      <c r="M18" s="29"/>
      <c r="N18" s="30"/>
    </row>
    <row r="19" spans="2:15" ht="15">
      <c r="F19" s="3"/>
      <c r="G19" s="31" t="s">
        <v>737</v>
      </c>
      <c r="I19" s="3"/>
    </row>
    <row r="20" spans="2:15" ht="15.75" customHeight="1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2:15" ht="11.25" customHeight="1">
      <c r="F21" s="32"/>
      <c r="G21" s="33" t="s">
        <v>72</v>
      </c>
      <c r="I21" s="32"/>
    </row>
    <row r="22" spans="2:15" ht="15.75" customHeight="1">
      <c r="B22" s="34" t="s">
        <v>73</v>
      </c>
      <c r="C22" s="3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2:15" ht="11.25" customHeight="1">
      <c r="E23" s="3"/>
      <c r="F23" s="3"/>
      <c r="G23" s="23" t="s">
        <v>74</v>
      </c>
      <c r="I23" s="3"/>
      <c r="J23" s="3"/>
    </row>
    <row r="25" spans="2:15" ht="15">
      <c r="F25" s="3"/>
      <c r="G25" s="35" t="s">
        <v>75</v>
      </c>
      <c r="I25" s="3"/>
    </row>
    <row r="26" spans="2:15" ht="9.75" customHeight="1"/>
    <row r="27" spans="2:15">
      <c r="C27" s="850" t="s">
        <v>609</v>
      </c>
      <c r="D27" s="17"/>
      <c r="E27" s="17"/>
      <c r="F27" s="17"/>
      <c r="G27" s="17"/>
    </row>
    <row r="28" spans="2:15">
      <c r="B28" s="850" t="s">
        <v>610</v>
      </c>
      <c r="C28" s="17"/>
      <c r="D28" s="17"/>
      <c r="E28" s="17"/>
      <c r="F28" s="17"/>
      <c r="G28" s="17"/>
    </row>
    <row r="29" spans="2:15">
      <c r="B29" s="17"/>
      <c r="C29" s="17"/>
      <c r="D29" s="17"/>
      <c r="E29" s="17"/>
      <c r="F29" s="17"/>
      <c r="G29" s="17"/>
      <c r="M29" s="36"/>
    </row>
    <row r="30" spans="2:15">
      <c r="B30" s="17" t="s">
        <v>78</v>
      </c>
      <c r="L30" s="36"/>
      <c r="M30" s="36"/>
      <c r="N30" s="36"/>
    </row>
    <row r="31" spans="2:15">
      <c r="B31" s="4"/>
      <c r="F31" s="428" t="s">
        <v>291</v>
      </c>
      <c r="G31" s="9"/>
      <c r="H31" s="9"/>
      <c r="J31" s="9"/>
      <c r="L31" s="428" t="s">
        <v>33</v>
      </c>
      <c r="M31" s="38"/>
    </row>
    <row r="32" spans="2:15">
      <c r="E32" s="4"/>
      <c r="F32" s="3"/>
      <c r="G32" s="39" t="s">
        <v>79</v>
      </c>
      <c r="I32" s="3"/>
      <c r="J32" s="40" t="s">
        <v>80</v>
      </c>
      <c r="L32" s="39" t="s">
        <v>81</v>
      </c>
      <c r="M32" s="3"/>
    </row>
    <row r="33" spans="1:15">
      <c r="B33" s="4"/>
      <c r="F33" s="9"/>
      <c r="G33" s="9"/>
      <c r="H33" s="9"/>
      <c r="J33" s="9"/>
      <c r="L33" s="7"/>
      <c r="M33" s="38"/>
      <c r="N33" s="36"/>
    </row>
    <row r="34" spans="1:15">
      <c r="E34" s="4"/>
      <c r="F34" s="3"/>
      <c r="G34" s="39" t="s">
        <v>79</v>
      </c>
      <c r="I34" s="3"/>
      <c r="J34" s="40" t="s">
        <v>80</v>
      </c>
      <c r="L34" s="39" t="s">
        <v>81</v>
      </c>
      <c r="M34" s="3"/>
    </row>
    <row r="35" spans="1:15">
      <c r="B35" s="17" t="s">
        <v>82</v>
      </c>
      <c r="I35" s="41" t="s">
        <v>83</v>
      </c>
      <c r="J35" s="42"/>
      <c r="K35" s="43" t="s">
        <v>84</v>
      </c>
      <c r="L35" s="9"/>
      <c r="M35" s="9"/>
      <c r="N35" t="s">
        <v>85</v>
      </c>
    </row>
    <row r="36" spans="1:1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22"/>
      <c r="N36" s="25"/>
    </row>
    <row r="37" spans="1:15" ht="13.5" thickBot="1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22"/>
      <c r="N37" s="25"/>
    </row>
    <row r="38" spans="1:15">
      <c r="B38" s="44"/>
      <c r="C38" s="45"/>
      <c r="D38" s="46" t="s">
        <v>86</v>
      </c>
      <c r="E38" s="47"/>
      <c r="F38" s="46" t="s">
        <v>87</v>
      </c>
      <c r="G38" s="47"/>
      <c r="H38" s="48"/>
      <c r="I38" s="1181" t="s">
        <v>89</v>
      </c>
      <c r="J38" s="1182"/>
      <c r="K38" s="1185" t="s">
        <v>186</v>
      </c>
      <c r="L38" s="1186"/>
      <c r="M38" s="1181" t="s">
        <v>185</v>
      </c>
      <c r="N38" s="1182"/>
    </row>
    <row r="39" spans="1:15">
      <c r="B39" s="51" t="s">
        <v>89</v>
      </c>
      <c r="C39" s="52" t="s">
        <v>90</v>
      </c>
      <c r="D39" s="53" t="s">
        <v>91</v>
      </c>
      <c r="E39" s="54"/>
      <c r="F39" s="55" t="s">
        <v>92</v>
      </c>
      <c r="G39" s="56"/>
      <c r="H39" s="57"/>
      <c r="I39" s="1183"/>
      <c r="J39" s="1184"/>
      <c r="K39" s="1187"/>
      <c r="L39" s="1188"/>
      <c r="M39" s="1183"/>
      <c r="N39" s="1184"/>
    </row>
    <row r="40" spans="1:15">
      <c r="B40" s="51" t="s">
        <v>94</v>
      </c>
      <c r="C40" s="52" t="s">
        <v>95</v>
      </c>
      <c r="D40" s="52" t="s">
        <v>8</v>
      </c>
      <c r="E40" s="60" t="s">
        <v>96</v>
      </c>
      <c r="F40" s="61"/>
      <c r="G40" s="62"/>
      <c r="H40" s="63" t="s">
        <v>97</v>
      </c>
      <c r="I40" s="64"/>
      <c r="J40" s="65"/>
      <c r="K40" s="66"/>
      <c r="L40" s="67"/>
      <c r="M40" s="68"/>
      <c r="N40" s="69"/>
    </row>
    <row r="41" spans="1:15">
      <c r="B41" s="51" t="s">
        <v>98</v>
      </c>
      <c r="C41" s="52"/>
      <c r="D41" s="52" t="s">
        <v>6</v>
      </c>
      <c r="E41" s="60" t="s">
        <v>99</v>
      </c>
      <c r="F41" s="52" t="s">
        <v>7</v>
      </c>
      <c r="G41" s="63" t="s">
        <v>100</v>
      </c>
      <c r="H41" s="63" t="s">
        <v>101</v>
      </c>
      <c r="I41" s="56" t="s">
        <v>102</v>
      </c>
      <c r="J41" s="65" t="s">
        <v>103</v>
      </c>
      <c r="K41" s="70" t="s">
        <v>104</v>
      </c>
      <c r="L41" s="52" t="s">
        <v>187</v>
      </c>
      <c r="M41" s="52" t="s">
        <v>104</v>
      </c>
      <c r="N41" s="225" t="s">
        <v>187</v>
      </c>
    </row>
    <row r="42" spans="1:15">
      <c r="B42" s="71"/>
      <c r="C42" s="52"/>
      <c r="D42" s="52" t="s">
        <v>107</v>
      </c>
      <c r="E42" s="60" t="s">
        <v>108</v>
      </c>
      <c r="F42" s="52" t="s">
        <v>109</v>
      </c>
      <c r="G42" s="63" t="s">
        <v>110</v>
      </c>
      <c r="H42" s="72"/>
      <c r="I42" s="56" t="s">
        <v>111</v>
      </c>
      <c r="J42" s="65"/>
      <c r="K42" s="70" t="s">
        <v>112</v>
      </c>
      <c r="L42" s="63" t="str">
        <f>H41</f>
        <v>simvval</v>
      </c>
      <c r="M42" s="52" t="s">
        <v>112</v>
      </c>
      <c r="N42" s="52" t="str">
        <f>H41</f>
        <v>simvval</v>
      </c>
      <c r="O42" s="73"/>
    </row>
    <row r="43" spans="1:15" ht="13.5" thickBot="1">
      <c r="B43" s="74"/>
      <c r="C43" s="75"/>
      <c r="D43" s="76" t="s">
        <v>113</v>
      </c>
      <c r="E43" s="77" t="s">
        <v>114</v>
      </c>
      <c r="F43" s="75"/>
      <c r="G43" s="77"/>
      <c r="H43" s="77"/>
      <c r="I43" s="78"/>
      <c r="J43" s="79"/>
      <c r="K43" s="80"/>
      <c r="L43" s="75"/>
      <c r="M43" s="75"/>
      <c r="N43" s="81"/>
    </row>
    <row r="44" spans="1:15">
      <c r="B44" s="82">
        <v>1</v>
      </c>
      <c r="C44" s="83">
        <v>2</v>
      </c>
      <c r="D44" s="83">
        <v>3</v>
      </c>
      <c r="E44" s="84">
        <v>4</v>
      </c>
      <c r="F44" s="83">
        <v>5</v>
      </c>
      <c r="G44" s="83">
        <v>6</v>
      </c>
      <c r="H44" s="83">
        <v>7</v>
      </c>
      <c r="I44" s="83">
        <v>8</v>
      </c>
      <c r="J44" s="85">
        <v>9</v>
      </c>
      <c r="K44" s="86">
        <v>10</v>
      </c>
      <c r="L44" s="83">
        <v>11</v>
      </c>
      <c r="M44" s="83">
        <v>12</v>
      </c>
      <c r="N44" s="87">
        <v>13</v>
      </c>
    </row>
    <row r="45" spans="1:15" ht="25.5">
      <c r="A45" s="66"/>
      <c r="B45" s="432" t="s">
        <v>4</v>
      </c>
      <c r="C45" s="430" t="s">
        <v>5</v>
      </c>
      <c r="D45" s="430" t="s">
        <v>6</v>
      </c>
      <c r="E45" s="396" t="s">
        <v>7</v>
      </c>
      <c r="F45" s="396" t="s">
        <v>336</v>
      </c>
      <c r="G45" s="396" t="s">
        <v>8</v>
      </c>
      <c r="H45" s="91" t="s">
        <v>9</v>
      </c>
      <c r="I45" s="430" t="s">
        <v>14</v>
      </c>
      <c r="J45" s="431" t="s">
        <v>15</v>
      </c>
      <c r="K45" s="336" t="s">
        <v>16</v>
      </c>
      <c r="L45" s="91" t="s">
        <v>17</v>
      </c>
      <c r="M45" s="335" t="s">
        <v>18</v>
      </c>
      <c r="N45" s="92" t="s">
        <v>19</v>
      </c>
    </row>
    <row r="46" spans="1:15" ht="13.5">
      <c r="A46" s="66"/>
      <c r="B46" s="66" t="s">
        <v>115</v>
      </c>
      <c r="C46" s="66"/>
      <c r="D46" s="93"/>
      <c r="E46" s="93"/>
      <c r="F46" s="66"/>
      <c r="G46" s="66"/>
      <c r="H46" s="66"/>
      <c r="I46" s="66"/>
      <c r="J46" s="94" t="s">
        <v>176</v>
      </c>
      <c r="K46" s="344"/>
      <c r="L46" s="95"/>
      <c r="M46" s="344"/>
      <c r="N46" s="95"/>
    </row>
    <row r="47" spans="1:15">
      <c r="A47" s="66"/>
      <c r="B47" s="34" t="s">
        <v>116</v>
      </c>
      <c r="C47" s="3"/>
      <c r="D47" s="3"/>
    </row>
    <row r="48" spans="1:15">
      <c r="A48" s="66"/>
      <c r="B48" s="2"/>
      <c r="C48" s="3"/>
      <c r="D48" s="3"/>
    </row>
    <row r="49" spans="1:14" ht="13.5">
      <c r="A49" s="66"/>
      <c r="C49" s="96" t="s">
        <v>117</v>
      </c>
      <c r="E49" s="97"/>
      <c r="F49" s="1189"/>
      <c r="G49" s="1189"/>
      <c r="H49" s="1189"/>
      <c r="I49" s="1189"/>
      <c r="J49" s="1189"/>
      <c r="K49" s="1189"/>
      <c r="L49" s="1189"/>
      <c r="M49" s="1189"/>
      <c r="N49" s="1189"/>
    </row>
    <row r="50" spans="1:14">
      <c r="A50" s="66"/>
      <c r="D50" s="97"/>
      <c r="E50" s="97"/>
      <c r="F50" s="4"/>
      <c r="H50" s="22"/>
      <c r="I50" s="22"/>
      <c r="K50" s="23" t="s">
        <v>118</v>
      </c>
      <c r="M50" s="22"/>
      <c r="N50" s="22"/>
    </row>
    <row r="51" spans="1:14" ht="13.5">
      <c r="A51" s="66"/>
      <c r="C51" s="98" t="s">
        <v>119</v>
      </c>
      <c r="E51" s="99"/>
      <c r="F51" s="1190"/>
      <c r="G51" s="1190"/>
      <c r="H51" s="1190"/>
      <c r="I51" s="1190"/>
      <c r="J51" s="1190"/>
      <c r="K51" s="1190"/>
      <c r="L51" s="1190"/>
      <c r="M51" s="1190"/>
      <c r="N51" s="1190"/>
    </row>
    <row r="52" spans="1:14">
      <c r="A52" s="66"/>
      <c r="D52" s="97"/>
      <c r="E52" s="97"/>
      <c r="H52" s="22"/>
      <c r="I52" s="22"/>
      <c r="K52" s="23" t="s">
        <v>118</v>
      </c>
      <c r="M52" s="22"/>
      <c r="N52" s="22"/>
    </row>
    <row r="53" spans="1:14" ht="13.5">
      <c r="A53" s="66"/>
      <c r="C53" s="96" t="s">
        <v>120</v>
      </c>
      <c r="E53" s="97"/>
      <c r="F53" s="1177"/>
      <c r="G53" s="1177"/>
      <c r="H53" s="1177"/>
      <c r="I53" s="1177"/>
      <c r="J53" s="1177"/>
      <c r="K53" s="1177"/>
      <c r="L53" s="1177"/>
      <c r="M53" s="1177"/>
      <c r="N53" s="1177"/>
    </row>
    <row r="54" spans="1:14">
      <c r="A54" s="66"/>
      <c r="K54" s="23" t="s">
        <v>118</v>
      </c>
    </row>
    <row r="55" spans="1:14" ht="13.5" thickBot="1">
      <c r="A55" s="66"/>
      <c r="D55" s="93"/>
      <c r="E55" s="93"/>
      <c r="F55" s="66"/>
      <c r="G55" s="66"/>
      <c r="H55" s="66"/>
      <c r="I55" s="66"/>
      <c r="J55" s="94"/>
      <c r="K55" s="100"/>
      <c r="L55" s="101"/>
      <c r="M55" s="102"/>
      <c r="N55" s="101"/>
    </row>
    <row r="56" spans="1:14" ht="14.25" thickBot="1">
      <c r="B56" s="103" t="s">
        <v>39</v>
      </c>
      <c r="C56" s="104"/>
      <c r="D56" s="104"/>
      <c r="E56" s="104"/>
      <c r="F56" s="104"/>
      <c r="G56" s="104"/>
      <c r="H56" s="105"/>
      <c r="I56" s="106" t="s">
        <v>121</v>
      </c>
      <c r="J56" s="107"/>
      <c r="K56" s="339"/>
      <c r="L56" s="108"/>
      <c r="M56" s="340"/>
      <c r="N56" s="109"/>
    </row>
    <row r="57" spans="1:14">
      <c r="B57" s="34" t="s">
        <v>122</v>
      </c>
    </row>
    <row r="58" spans="1:14" ht="13.5">
      <c r="C58" s="96" t="s">
        <v>117</v>
      </c>
      <c r="E58" s="97"/>
      <c r="F58" s="1177" t="s">
        <v>51</v>
      </c>
      <c r="G58" s="1177"/>
      <c r="H58" s="1177"/>
      <c r="I58" s="1177"/>
      <c r="J58" s="1177"/>
      <c r="K58" s="1177"/>
      <c r="L58" s="1177"/>
      <c r="M58" s="1177"/>
      <c r="N58" s="1177"/>
    </row>
    <row r="59" spans="1:14">
      <c r="D59" s="97"/>
      <c r="E59" s="97"/>
      <c r="F59" s="4"/>
      <c r="H59" s="22"/>
      <c r="I59" s="22"/>
      <c r="K59" s="23" t="s">
        <v>118</v>
      </c>
      <c r="M59" s="22"/>
      <c r="N59" s="22"/>
    </row>
    <row r="60" spans="1:14" ht="13.5">
      <c r="C60" s="98" t="s">
        <v>119</v>
      </c>
      <c r="E60" s="99"/>
      <c r="F60" s="1178"/>
      <c r="G60" s="1178"/>
      <c r="H60" s="1178"/>
      <c r="I60" s="1178"/>
      <c r="J60" s="1178"/>
      <c r="K60" s="1178"/>
      <c r="L60" s="1178"/>
      <c r="M60" s="1178"/>
      <c r="N60" s="1178"/>
    </row>
    <row r="61" spans="1:14">
      <c r="D61" s="97"/>
      <c r="E61" s="97"/>
      <c r="F61" s="4"/>
      <c r="G61" s="110"/>
      <c r="H61" s="22"/>
      <c r="I61" s="22"/>
      <c r="K61" s="23" t="s">
        <v>118</v>
      </c>
      <c r="M61" s="22"/>
      <c r="N61" s="22"/>
    </row>
    <row r="62" spans="1:14" ht="13.5">
      <c r="C62" s="96" t="s">
        <v>120</v>
      </c>
      <c r="E62" s="97"/>
      <c r="F62" s="1178"/>
      <c r="G62" s="1178"/>
      <c r="H62" s="1178"/>
      <c r="I62" s="1178"/>
      <c r="J62" s="1178"/>
      <c r="K62" s="1178"/>
      <c r="L62" s="1178"/>
      <c r="M62" s="1178"/>
      <c r="N62" s="1178"/>
    </row>
    <row r="63" spans="1:14">
      <c r="D63" s="4"/>
      <c r="E63" s="4"/>
      <c r="F63" s="4"/>
      <c r="H63" s="22"/>
      <c r="I63" s="22"/>
      <c r="J63" s="22"/>
      <c r="K63" s="23" t="s">
        <v>118</v>
      </c>
      <c r="M63" s="22"/>
      <c r="N63" s="22"/>
    </row>
    <row r="64" spans="1:14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</row>
    <row r="66" spans="2:15">
      <c r="B66" s="34" t="s">
        <v>123</v>
      </c>
      <c r="D66" s="36"/>
      <c r="E66" s="36"/>
      <c r="F66" s="36"/>
      <c r="G66" s="36"/>
      <c r="H66" s="36"/>
      <c r="I66" s="36"/>
      <c r="J66" s="36"/>
      <c r="K66" s="36"/>
      <c r="L66" s="36"/>
      <c r="M66" s="36"/>
    </row>
    <row r="67" spans="2:15">
      <c r="C67" s="34"/>
      <c r="D67" s="36"/>
      <c r="E67" s="36"/>
      <c r="F67" s="36"/>
      <c r="G67" s="36"/>
      <c r="H67" s="36"/>
      <c r="I67" s="36"/>
      <c r="J67" s="36"/>
      <c r="K67" s="36"/>
      <c r="L67" s="36"/>
      <c r="M67" s="36"/>
    </row>
    <row r="68" spans="2:15">
      <c r="B68" s="34" t="s">
        <v>124</v>
      </c>
      <c r="C68" s="2"/>
      <c r="D68" s="36"/>
      <c r="E68" s="36"/>
      <c r="F68" s="37" t="s">
        <v>125</v>
      </c>
      <c r="G68" s="9"/>
      <c r="H68" s="9"/>
      <c r="J68" s="9"/>
      <c r="L68" s="111" t="s">
        <v>126</v>
      </c>
      <c r="M68" s="38"/>
      <c r="N68" s="36"/>
    </row>
    <row r="69" spans="2:15">
      <c r="C69" s="36"/>
      <c r="D69" s="36"/>
      <c r="E69" s="3"/>
      <c r="F69" s="3"/>
      <c r="G69" s="112" t="s">
        <v>79</v>
      </c>
      <c r="I69" s="3"/>
      <c r="J69" s="23" t="s">
        <v>80</v>
      </c>
      <c r="L69" s="112" t="s">
        <v>81</v>
      </c>
      <c r="M69" s="3"/>
    </row>
    <row r="70" spans="2:15">
      <c r="B70" s="34" t="s">
        <v>127</v>
      </c>
      <c r="C70" s="36"/>
      <c r="D70" s="36"/>
      <c r="E70" s="3"/>
      <c r="F70" s="36"/>
    </row>
    <row r="71" spans="2:15">
      <c r="E71" s="3"/>
      <c r="F71" s="37" t="s">
        <v>3</v>
      </c>
      <c r="G71" s="9"/>
      <c r="H71" s="9"/>
      <c r="J71" s="9"/>
      <c r="L71" s="111" t="s">
        <v>1</v>
      </c>
      <c r="M71" s="38"/>
      <c r="N71" s="3"/>
    </row>
    <row r="72" spans="2:15">
      <c r="F72" s="3"/>
      <c r="G72" s="112" t="s">
        <v>79</v>
      </c>
      <c r="I72" s="3"/>
      <c r="J72" s="23" t="s">
        <v>80</v>
      </c>
      <c r="L72" s="112" t="s">
        <v>81</v>
      </c>
      <c r="M72" s="3"/>
    </row>
    <row r="73" spans="2:15">
      <c r="E73" s="3"/>
      <c r="F73" s="9"/>
      <c r="G73" s="9"/>
      <c r="H73" s="9"/>
      <c r="J73" s="9"/>
      <c r="L73" s="7"/>
      <c r="M73" s="38"/>
      <c r="N73" s="3"/>
    </row>
    <row r="74" spans="2:15">
      <c r="E74" s="3"/>
      <c r="F74" s="3"/>
      <c r="G74" s="112" t="s">
        <v>79</v>
      </c>
      <c r="I74" s="3"/>
      <c r="J74" s="23" t="s">
        <v>80</v>
      </c>
      <c r="L74" s="112" t="s">
        <v>81</v>
      </c>
      <c r="M74" s="3"/>
      <c r="N74" s="3"/>
    </row>
    <row r="75" spans="2:15">
      <c r="E75" s="3"/>
      <c r="G75" s="23"/>
      <c r="H75" s="3"/>
      <c r="K75" s="3"/>
      <c r="L75" s="3"/>
      <c r="M75" s="3"/>
      <c r="N75" s="3"/>
    </row>
    <row r="76" spans="2:15">
      <c r="B76" t="s">
        <v>128</v>
      </c>
      <c r="E76" s="3"/>
      <c r="G76" s="23"/>
      <c r="H76" s="3"/>
      <c r="K76" s="3"/>
      <c r="L76" s="113"/>
      <c r="M76" s="36" t="s">
        <v>129</v>
      </c>
      <c r="N76" s="113"/>
      <c r="O76" t="s">
        <v>130</v>
      </c>
    </row>
    <row r="77" spans="2:15">
      <c r="B77" t="s">
        <v>131</v>
      </c>
      <c r="E77" s="3"/>
      <c r="G77" s="23"/>
      <c r="H77" s="3"/>
      <c r="K77" s="3"/>
      <c r="L77" s="3"/>
      <c r="M77" s="36"/>
      <c r="N77" s="3"/>
    </row>
    <row r="78" spans="2:15">
      <c r="B78" s="34" t="s">
        <v>132</v>
      </c>
      <c r="E78" s="3"/>
      <c r="G78" s="3"/>
      <c r="H78" s="3"/>
      <c r="J78" s="3"/>
      <c r="K78" s="3"/>
      <c r="L78" s="3"/>
      <c r="M78" s="3"/>
      <c r="N78" s="3"/>
    </row>
    <row r="79" spans="2:15">
      <c r="E79" s="3"/>
      <c r="G79" s="3"/>
      <c r="H79" s="3"/>
      <c r="J79" s="3"/>
      <c r="K79" s="3"/>
      <c r="L79" s="3"/>
      <c r="M79" s="3"/>
      <c r="N79" s="3"/>
    </row>
    <row r="80" spans="2:15">
      <c r="C80" s="36" t="s">
        <v>133</v>
      </c>
      <c r="D80" s="36"/>
      <c r="E80" s="36"/>
      <c r="F80" s="36"/>
      <c r="G80" s="36"/>
      <c r="H80" s="36"/>
    </row>
    <row r="81" spans="2:14">
      <c r="F81" s="428" t="str">
        <f>F31</f>
        <v>МОЛ_Должн</v>
      </c>
      <c r="G81" s="9"/>
      <c r="H81" s="9"/>
      <c r="J81" s="9"/>
      <c r="L81" s="428" t="str">
        <f>GalRepVar_МОЛ</f>
        <v>МОЛ</v>
      </c>
      <c r="M81" s="9"/>
    </row>
    <row r="82" spans="2:14">
      <c r="E82" s="3"/>
      <c r="F82" s="3"/>
      <c r="G82" s="112" t="s">
        <v>79</v>
      </c>
      <c r="I82" s="3"/>
      <c r="J82" s="23" t="s">
        <v>80</v>
      </c>
      <c r="L82" s="112" t="s">
        <v>81</v>
      </c>
      <c r="M82" s="3"/>
      <c r="N82" s="3"/>
    </row>
    <row r="83" spans="2:14">
      <c r="F83" s="9"/>
      <c r="G83" s="9"/>
      <c r="H83" s="9"/>
      <c r="J83" s="9"/>
      <c r="L83" s="7"/>
      <c r="M83" s="38"/>
    </row>
    <row r="84" spans="2:14">
      <c r="E84" s="3"/>
      <c r="F84" s="3"/>
      <c r="G84" s="112" t="s">
        <v>79</v>
      </c>
      <c r="I84" s="3"/>
      <c r="J84" s="23" t="s">
        <v>80</v>
      </c>
      <c r="L84" s="112" t="s">
        <v>81</v>
      </c>
      <c r="M84" s="3"/>
      <c r="N84" s="3"/>
    </row>
    <row r="85" spans="2:14">
      <c r="B85" s="3"/>
      <c r="E85" s="3"/>
      <c r="F85" s="9"/>
      <c r="G85" s="9"/>
      <c r="H85" s="9"/>
      <c r="J85" s="9"/>
      <c r="L85" s="7"/>
      <c r="M85" s="38"/>
      <c r="N85" s="3"/>
    </row>
    <row r="86" spans="2:14">
      <c r="F86" s="3"/>
      <c r="G86" s="112" t="s">
        <v>79</v>
      </c>
      <c r="I86" s="3"/>
      <c r="J86" s="23" t="s">
        <v>80</v>
      </c>
      <c r="L86" s="112" t="s">
        <v>81</v>
      </c>
      <c r="M86" s="3"/>
    </row>
    <row r="87" spans="2:14">
      <c r="E87" s="3"/>
      <c r="G87" s="3"/>
      <c r="H87" s="3"/>
      <c r="J87" s="3"/>
      <c r="K87" s="3"/>
      <c r="L87" s="3"/>
      <c r="M87" s="3"/>
      <c r="N87" s="3"/>
    </row>
    <row r="88" spans="2:14">
      <c r="E88" s="41"/>
      <c r="F88" s="114"/>
      <c r="G88" s="41" t="s">
        <v>134</v>
      </c>
      <c r="H88" s="9"/>
      <c r="I88" s="113"/>
      <c r="J88" s="115" t="s">
        <v>135</v>
      </c>
      <c r="K88" t="s">
        <v>85</v>
      </c>
    </row>
    <row r="90" spans="2:14">
      <c r="G90" s="41"/>
    </row>
  </sheetData>
  <mergeCells count="20">
    <mergeCell ref="B2:D4"/>
    <mergeCell ref="N6:O6"/>
    <mergeCell ref="N7:O7"/>
    <mergeCell ref="N8:O9"/>
    <mergeCell ref="N10:O11"/>
    <mergeCell ref="N12:O12"/>
    <mergeCell ref="N13:O13"/>
    <mergeCell ref="N14:O14"/>
    <mergeCell ref="K17:L17"/>
    <mergeCell ref="M17:N17"/>
    <mergeCell ref="F58:N58"/>
    <mergeCell ref="F60:N60"/>
    <mergeCell ref="F62:N62"/>
    <mergeCell ref="K18:L18"/>
    <mergeCell ref="I38:J39"/>
    <mergeCell ref="K38:L39"/>
    <mergeCell ref="M38:N39"/>
    <mergeCell ref="F49:N49"/>
    <mergeCell ref="F51:N51"/>
    <mergeCell ref="F53:N53"/>
  </mergeCells>
  <pageMargins left="0.78740157480314965" right="0.35433070866141736" top="0.34" bottom="0.36" header="0.19" footer="0.28000000000000003"/>
  <pageSetup paperSize="9" orientation="landscape" horizontalDpi="300" verticalDpi="300" r:id="rId1"/>
  <headerFooter alignWithMargins="0"/>
  <rowBreaks count="1" manualBreakCount="1">
    <brk id="3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O91"/>
  <sheetViews>
    <sheetView view="pageBreakPreview" topLeftCell="A34" zoomScaleNormal="115" zoomScaleSheetLayoutView="100" workbookViewId="0">
      <selection activeCell="M74" sqref="M74:N74"/>
    </sheetView>
  </sheetViews>
  <sheetFormatPr defaultRowHeight="12.75"/>
  <cols>
    <col min="1" max="1" width="0.42578125" customWidth="1"/>
    <col min="2" max="2" width="4.7109375" customWidth="1"/>
    <col min="3" max="3" width="7.140625" customWidth="1"/>
    <col min="4" max="4" width="44.42578125" customWidth="1"/>
    <col min="5" max="5" width="8" customWidth="1"/>
    <col min="6" max="6" width="7.140625" customWidth="1"/>
    <col min="7" max="7" width="7.85546875" customWidth="1"/>
    <col min="8" max="8" width="8.85546875" customWidth="1"/>
    <col min="9" max="9" width="6.28515625" customWidth="1"/>
    <col min="10" max="10" width="6.5703125" customWidth="1"/>
    <col min="11" max="11" width="9.140625" customWidth="1"/>
    <col min="12" max="12" width="11.28515625" customWidth="1"/>
    <col min="13" max="13" width="9.28515625" customWidth="1"/>
    <col min="14" max="14" width="10.140625" customWidth="1"/>
    <col min="15" max="17" width="1.140625" customWidth="1"/>
  </cols>
  <sheetData>
    <row r="1" spans="2:15" ht="6" customHeight="1"/>
    <row r="2" spans="2:15" ht="11.25" customHeight="1">
      <c r="B2" s="1201" t="s">
        <v>599</v>
      </c>
      <c r="C2" s="1201"/>
      <c r="D2" s="1201"/>
      <c r="L2" s="2" t="s">
        <v>52</v>
      </c>
      <c r="M2" s="3"/>
    </row>
    <row r="3" spans="2:15" ht="12.2" customHeight="1">
      <c r="B3" s="1201"/>
      <c r="C3" s="1201"/>
      <c r="D3" s="1201"/>
      <c r="I3" s="3"/>
      <c r="L3" s="2" t="s">
        <v>53</v>
      </c>
      <c r="N3" s="3"/>
    </row>
    <row r="4" spans="2:15" ht="12.2" customHeight="1" thickBot="1">
      <c r="B4" s="1201"/>
      <c r="C4" s="1201"/>
      <c r="D4" s="1201"/>
      <c r="I4" s="3"/>
      <c r="L4" s="2" t="s">
        <v>54</v>
      </c>
      <c r="N4" s="3"/>
    </row>
    <row r="5" spans="2:15" ht="14.25" customHeight="1">
      <c r="N5" s="1202" t="s">
        <v>55</v>
      </c>
      <c r="O5" s="1203"/>
    </row>
    <row r="6" spans="2:15" ht="14.25" customHeight="1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5" t="s">
        <v>56</v>
      </c>
      <c r="N6" s="1206">
        <v>317004</v>
      </c>
      <c r="O6" s="1207"/>
    </row>
    <row r="7" spans="2:15" ht="14.25" customHeight="1">
      <c r="B7" s="6" t="s">
        <v>35</v>
      </c>
      <c r="C7" s="7"/>
      <c r="D7" s="8"/>
      <c r="E7" s="9"/>
      <c r="F7" s="8"/>
      <c r="G7" s="8"/>
      <c r="H7" s="8"/>
      <c r="I7" s="8"/>
      <c r="J7" s="8"/>
      <c r="K7" s="8"/>
      <c r="L7" s="8"/>
      <c r="M7" s="10" t="s">
        <v>57</v>
      </c>
      <c r="N7" s="1204" t="s">
        <v>34</v>
      </c>
      <c r="O7" s="1205"/>
    </row>
    <row r="8" spans="2:15" ht="8.4499999999999993" customHeight="1">
      <c r="C8" s="11"/>
      <c r="D8" s="12"/>
      <c r="F8" s="12"/>
      <c r="G8" s="13" t="s">
        <v>58</v>
      </c>
      <c r="H8" s="12"/>
      <c r="I8" s="12"/>
      <c r="J8" s="12"/>
      <c r="K8" s="12"/>
      <c r="L8" s="12"/>
      <c r="M8" s="5"/>
      <c r="N8" s="1206"/>
      <c r="O8" s="1207"/>
    </row>
    <row r="9" spans="2:15" ht="13.7" customHeight="1">
      <c r="B9" s="14" t="s">
        <v>32</v>
      </c>
      <c r="C9" s="15"/>
      <c r="D9" s="9"/>
      <c r="E9" s="9"/>
      <c r="F9" s="7"/>
      <c r="G9" s="7"/>
      <c r="H9" s="16"/>
      <c r="I9" s="7"/>
      <c r="J9" s="9"/>
      <c r="K9" s="7"/>
      <c r="L9" s="7"/>
      <c r="M9" s="7"/>
      <c r="N9" s="1206"/>
      <c r="O9" s="1207"/>
    </row>
    <row r="10" spans="2:15" ht="15.75" customHeight="1">
      <c r="B10" s="17"/>
      <c r="C10" s="17"/>
      <c r="F10" s="4"/>
      <c r="G10" s="13" t="s">
        <v>59</v>
      </c>
      <c r="H10" s="4"/>
      <c r="I10" s="4"/>
      <c r="K10" s="4"/>
      <c r="L10" s="4"/>
      <c r="M10" s="18" t="s">
        <v>60</v>
      </c>
      <c r="N10" s="1225"/>
      <c r="O10" s="1226"/>
    </row>
    <row r="11" spans="2:15" ht="15.75" customHeight="1">
      <c r="B11" s="17" t="s">
        <v>61</v>
      </c>
      <c r="D11" s="4"/>
      <c r="E11" s="1229" t="s">
        <v>139</v>
      </c>
      <c r="F11" s="1229"/>
      <c r="G11" s="1229"/>
      <c r="H11" s="1229"/>
      <c r="I11" s="1229"/>
      <c r="J11" s="1229"/>
      <c r="K11" s="1229"/>
      <c r="L11" s="1220"/>
      <c r="M11" s="21" t="s">
        <v>4</v>
      </c>
      <c r="N11" s="1204" t="s">
        <v>331</v>
      </c>
      <c r="O11" s="1205"/>
    </row>
    <row r="12" spans="2:15" ht="15.75" customHeight="1">
      <c r="E12" s="1230" t="s">
        <v>63</v>
      </c>
      <c r="F12" s="1230"/>
      <c r="G12" s="1230"/>
      <c r="H12" s="1230"/>
      <c r="I12" s="1230"/>
      <c r="J12" s="1230"/>
      <c r="K12" s="1230"/>
      <c r="L12" s="1231"/>
      <c r="M12" s="24" t="s">
        <v>64</v>
      </c>
      <c r="N12" s="1204" t="s">
        <v>332</v>
      </c>
      <c r="O12" s="1205"/>
    </row>
    <row r="13" spans="2:15" ht="15.75" customHeight="1">
      <c r="F13" s="4"/>
      <c r="G13" s="4"/>
      <c r="H13" s="4"/>
      <c r="I13" s="4"/>
      <c r="J13" s="4"/>
      <c r="K13" s="4"/>
      <c r="L13" s="25"/>
      <c r="M13" s="5" t="s">
        <v>65</v>
      </c>
      <c r="N13" s="1223" t="s">
        <v>31</v>
      </c>
      <c r="O13" s="1224"/>
    </row>
    <row r="14" spans="2:15" ht="15.75" customHeight="1">
      <c r="F14" s="4"/>
      <c r="G14" s="4"/>
      <c r="H14" s="4"/>
      <c r="I14" s="4"/>
      <c r="J14" s="4"/>
      <c r="K14" s="25"/>
      <c r="L14" s="25"/>
      <c r="M14" s="5" t="s">
        <v>66</v>
      </c>
      <c r="N14" s="1204" t="s">
        <v>330</v>
      </c>
      <c r="O14" s="1205"/>
    </row>
    <row r="15" spans="2:15" ht="15.75" customHeight="1" thickBot="1">
      <c r="F15" s="4"/>
      <c r="G15" s="4"/>
      <c r="H15" s="4"/>
      <c r="I15" s="4"/>
      <c r="J15" s="4"/>
      <c r="K15" s="4"/>
      <c r="L15" s="4"/>
      <c r="M15" s="5" t="s">
        <v>67</v>
      </c>
      <c r="N15" s="1227"/>
      <c r="O15" s="1228"/>
    </row>
    <row r="16" spans="2:15" ht="13.5" thickBot="1"/>
    <row r="17" spans="2:15">
      <c r="J17" s="4"/>
      <c r="K17" s="1197" t="s">
        <v>68</v>
      </c>
      <c r="L17" s="1198"/>
      <c r="M17" s="1199" t="s">
        <v>69</v>
      </c>
      <c r="N17" s="1200"/>
    </row>
    <row r="18" spans="2:15" ht="16.5" thickBot="1">
      <c r="F18" s="3"/>
      <c r="G18" s="28" t="s">
        <v>70</v>
      </c>
      <c r="I18" s="3"/>
      <c r="J18" s="4"/>
      <c r="K18" s="1179" t="s">
        <v>293</v>
      </c>
      <c r="L18" s="1180"/>
      <c r="M18" s="1215" t="str">
        <f>N13</f>
        <v>Дата_Инвентар</v>
      </c>
      <c r="N18" s="1216"/>
    </row>
    <row r="19" spans="2:15" ht="15">
      <c r="F19" s="3"/>
      <c r="G19" s="31" t="s">
        <v>71</v>
      </c>
      <c r="I19" s="3"/>
    </row>
    <row r="20" spans="2:15" ht="15.75" customHeight="1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2:15" ht="11.25" customHeight="1">
      <c r="F21" s="32"/>
      <c r="G21" s="33" t="s">
        <v>72</v>
      </c>
      <c r="I21" s="32"/>
    </row>
    <row r="22" spans="2:15" ht="15.75" customHeight="1">
      <c r="B22" s="34" t="s">
        <v>73</v>
      </c>
      <c r="C22" s="3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2:15" ht="11.25" customHeight="1">
      <c r="E23" s="3"/>
      <c r="F23" s="3"/>
      <c r="G23" s="23" t="s">
        <v>74</v>
      </c>
      <c r="I23" s="3"/>
      <c r="J23" s="3"/>
    </row>
    <row r="25" spans="2:15" ht="15">
      <c r="F25" s="3"/>
      <c r="G25" s="35" t="s">
        <v>75</v>
      </c>
      <c r="I25" s="3"/>
    </row>
    <row r="26" spans="2:15" ht="9.75" customHeight="1"/>
    <row r="27" spans="2:15">
      <c r="C27" s="17" t="s">
        <v>76</v>
      </c>
      <c r="D27" s="17"/>
      <c r="E27" s="17"/>
      <c r="F27" s="17"/>
      <c r="G27" s="17"/>
    </row>
    <row r="28" spans="2:15">
      <c r="B28" s="17" t="s">
        <v>77</v>
      </c>
      <c r="C28" s="17"/>
      <c r="D28" s="17"/>
      <c r="E28" s="17"/>
      <c r="F28" s="17"/>
      <c r="G28" s="17"/>
    </row>
    <row r="29" spans="2:15">
      <c r="B29" s="17"/>
      <c r="C29" s="17"/>
      <c r="D29" s="17"/>
      <c r="E29" s="17"/>
      <c r="F29" s="17"/>
      <c r="G29" s="17"/>
      <c r="M29" s="36"/>
    </row>
    <row r="30" spans="2:15">
      <c r="B30" s="17" t="s">
        <v>78</v>
      </c>
      <c r="L30" s="36"/>
      <c r="M30" s="36"/>
      <c r="N30" s="36"/>
    </row>
    <row r="31" spans="2:15">
      <c r="B31" s="4"/>
      <c r="E31" s="1232" t="s">
        <v>291</v>
      </c>
      <c r="F31" s="1232"/>
      <c r="G31" s="1232"/>
      <c r="H31" s="1232"/>
      <c r="J31" s="9"/>
      <c r="L31" s="428" t="s">
        <v>33</v>
      </c>
      <c r="M31" s="38"/>
      <c r="N31" s="9"/>
    </row>
    <row r="32" spans="2:15">
      <c r="E32" s="1233" t="s">
        <v>79</v>
      </c>
      <c r="F32" s="1233"/>
      <c r="G32" s="1233"/>
      <c r="H32" s="1233"/>
      <c r="I32" s="3"/>
      <c r="J32" s="40" t="s">
        <v>80</v>
      </c>
      <c r="L32" s="39" t="s">
        <v>662</v>
      </c>
      <c r="M32" s="3"/>
    </row>
    <row r="33" spans="1:15">
      <c r="B33" s="4"/>
      <c r="E33" s="9"/>
      <c r="F33" s="9"/>
      <c r="G33" s="9"/>
      <c r="H33" s="9"/>
      <c r="J33" s="9"/>
      <c r="L33" s="7"/>
      <c r="M33" s="38"/>
      <c r="N33" s="38"/>
    </row>
    <row r="34" spans="1:15">
      <c r="E34" s="1234" t="s">
        <v>79</v>
      </c>
      <c r="F34" s="1234"/>
      <c r="G34" s="1234"/>
      <c r="H34" s="1234"/>
      <c r="I34" s="3"/>
      <c r="J34" s="40" t="s">
        <v>80</v>
      </c>
      <c r="L34" s="39" t="s">
        <v>662</v>
      </c>
      <c r="M34" s="3"/>
    </row>
    <row r="35" spans="1:15">
      <c r="B35" s="17" t="s">
        <v>82</v>
      </c>
      <c r="G35" s="41" t="s">
        <v>83</v>
      </c>
      <c r="H35" s="135" t="s">
        <v>435</v>
      </c>
      <c r="I35" s="43" t="s">
        <v>84</v>
      </c>
      <c r="J35" s="1217" t="s">
        <v>436</v>
      </c>
      <c r="K35" s="1217"/>
      <c r="L35" s="1217"/>
      <c r="M35" s="1007" t="s">
        <v>437</v>
      </c>
      <c r="N35" t="s">
        <v>85</v>
      </c>
    </row>
    <row r="36" spans="1:1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22"/>
      <c r="N36" s="25"/>
    </row>
    <row r="37" spans="1:15" ht="13.5" thickBot="1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22"/>
      <c r="N37" s="25"/>
    </row>
    <row r="38" spans="1:15">
      <c r="B38" s="44"/>
      <c r="C38" s="45"/>
      <c r="D38" s="1221" t="s">
        <v>666</v>
      </c>
      <c r="E38" s="1222"/>
      <c r="F38" s="46" t="s">
        <v>87</v>
      </c>
      <c r="G38" s="47"/>
      <c r="H38" s="48"/>
      <c r="I38" s="1181" t="s">
        <v>89</v>
      </c>
      <c r="J38" s="1182"/>
      <c r="K38" s="1185" t="s">
        <v>186</v>
      </c>
      <c r="L38" s="1186"/>
      <c r="M38" s="1181" t="s">
        <v>185</v>
      </c>
      <c r="N38" s="1182"/>
    </row>
    <row r="39" spans="1:15">
      <c r="B39" s="51" t="s">
        <v>89</v>
      </c>
      <c r="C39" s="52" t="s">
        <v>90</v>
      </c>
      <c r="D39" s="1219" t="s">
        <v>665</v>
      </c>
      <c r="E39" s="1220"/>
      <c r="F39" s="55" t="s">
        <v>92</v>
      </c>
      <c r="G39" s="56"/>
      <c r="H39" s="57"/>
      <c r="I39" s="1183"/>
      <c r="J39" s="1184"/>
      <c r="K39" s="1187"/>
      <c r="L39" s="1188"/>
      <c r="M39" s="1183"/>
      <c r="N39" s="1184"/>
    </row>
    <row r="40" spans="1:15">
      <c r="B40" s="51" t="s">
        <v>94</v>
      </c>
      <c r="C40" s="52" t="s">
        <v>95</v>
      </c>
      <c r="D40" s="52" t="s">
        <v>8</v>
      </c>
      <c r="E40" s="60" t="s">
        <v>96</v>
      </c>
      <c r="F40" s="61"/>
      <c r="G40" s="62"/>
      <c r="H40" s="63" t="s">
        <v>97</v>
      </c>
      <c r="I40" s="64"/>
      <c r="J40" s="65"/>
      <c r="K40" s="66"/>
      <c r="L40" s="67"/>
      <c r="M40" s="68"/>
      <c r="N40" s="69"/>
    </row>
    <row r="41" spans="1:15">
      <c r="B41" s="51" t="s">
        <v>98</v>
      </c>
      <c r="C41" s="52"/>
      <c r="D41" s="52" t="s">
        <v>6</v>
      </c>
      <c r="E41" s="60" t="s">
        <v>99</v>
      </c>
      <c r="F41" s="52" t="s">
        <v>7</v>
      </c>
      <c r="G41" s="63" t="s">
        <v>100</v>
      </c>
      <c r="H41" s="63" t="s">
        <v>101</v>
      </c>
      <c r="I41" s="56" t="s">
        <v>102</v>
      </c>
      <c r="J41" s="65" t="s">
        <v>663</v>
      </c>
      <c r="K41" s="70" t="s">
        <v>104</v>
      </c>
      <c r="L41" s="52" t="s">
        <v>187</v>
      </c>
      <c r="M41" s="52" t="s">
        <v>104</v>
      </c>
      <c r="N41" s="225" t="s">
        <v>187</v>
      </c>
    </row>
    <row r="42" spans="1:15">
      <c r="B42" s="71"/>
      <c r="C42" s="52"/>
      <c r="D42" s="52" t="s">
        <v>107</v>
      </c>
      <c r="E42" s="60" t="s">
        <v>108</v>
      </c>
      <c r="F42" s="52" t="s">
        <v>109</v>
      </c>
      <c r="G42" s="63" t="s">
        <v>110</v>
      </c>
      <c r="H42" s="72"/>
      <c r="I42" s="56" t="s">
        <v>111</v>
      </c>
      <c r="J42" s="65" t="s">
        <v>664</v>
      </c>
      <c r="K42" s="70" t="s">
        <v>112</v>
      </c>
      <c r="L42" s="63" t="str">
        <f>H41</f>
        <v>simvval</v>
      </c>
      <c r="M42" s="52" t="s">
        <v>112</v>
      </c>
      <c r="N42" s="52" t="str">
        <f>H41</f>
        <v>simvval</v>
      </c>
      <c r="O42" s="73"/>
    </row>
    <row r="43" spans="1:15" ht="13.5" thickBot="1">
      <c r="B43" s="74"/>
      <c r="C43" s="75"/>
      <c r="D43" s="76" t="s">
        <v>113</v>
      </c>
      <c r="E43" s="77" t="s">
        <v>114</v>
      </c>
      <c r="F43" s="75"/>
      <c r="G43" s="77"/>
      <c r="H43" s="77"/>
      <c r="I43" s="78"/>
      <c r="J43" s="79"/>
      <c r="K43" s="80"/>
      <c r="L43" s="75"/>
      <c r="M43" s="75"/>
      <c r="N43" s="81"/>
    </row>
    <row r="44" spans="1:15">
      <c r="B44" s="82">
        <v>1</v>
      </c>
      <c r="C44" s="83">
        <v>2</v>
      </c>
      <c r="D44" s="83">
        <v>3</v>
      </c>
      <c r="E44" s="84">
        <v>4</v>
      </c>
      <c r="F44" s="83">
        <v>5</v>
      </c>
      <c r="G44" s="83">
        <v>6</v>
      </c>
      <c r="H44" s="83">
        <v>7</v>
      </c>
      <c r="I44" s="83">
        <v>8</v>
      </c>
      <c r="J44" s="85">
        <v>9</v>
      </c>
      <c r="K44" s="86">
        <v>10</v>
      </c>
      <c r="L44" s="83">
        <v>11</v>
      </c>
      <c r="M44" s="83">
        <v>12</v>
      </c>
      <c r="N44" s="87">
        <v>13</v>
      </c>
    </row>
    <row r="45" spans="1:15" ht="25.5">
      <c r="A45" s="66"/>
      <c r="B45" s="432" t="s">
        <v>4</v>
      </c>
      <c r="C45" s="430" t="s">
        <v>5</v>
      </c>
      <c r="D45" s="430" t="s">
        <v>6</v>
      </c>
      <c r="E45" s="396" t="s">
        <v>7</v>
      </c>
      <c r="F45" s="396" t="s">
        <v>336</v>
      </c>
      <c r="G45" s="396" t="s">
        <v>8</v>
      </c>
      <c r="H45" s="91" t="s">
        <v>9</v>
      </c>
      <c r="I45" s="995" t="s">
        <v>14</v>
      </c>
      <c r="J45" s="996" t="s">
        <v>15</v>
      </c>
      <c r="K45" s="988" t="s">
        <v>16</v>
      </c>
      <c r="L45" s="989" t="s">
        <v>17</v>
      </c>
      <c r="M45" s="989" t="s">
        <v>18</v>
      </c>
      <c r="N45" s="990" t="s">
        <v>19</v>
      </c>
    </row>
    <row r="46" spans="1:15" ht="13.5">
      <c r="A46" s="66"/>
      <c r="B46" s="66" t="s">
        <v>115</v>
      </c>
      <c r="C46" s="66"/>
      <c r="D46" s="93"/>
      <c r="E46" s="93"/>
      <c r="F46" s="66"/>
      <c r="G46" s="66"/>
      <c r="H46" s="66"/>
      <c r="I46" s="66"/>
      <c r="J46" s="94"/>
      <c r="K46" s="344"/>
      <c r="L46" s="95"/>
      <c r="M46" s="344"/>
      <c r="N46" s="95"/>
    </row>
    <row r="47" spans="1:15">
      <c r="A47" s="66"/>
      <c r="B47" s="34" t="s">
        <v>116</v>
      </c>
      <c r="C47" s="3"/>
      <c r="D47" s="3"/>
    </row>
    <row r="48" spans="1:15">
      <c r="A48" s="66"/>
      <c r="B48" s="2"/>
      <c r="C48" s="3"/>
      <c r="D48" s="3"/>
    </row>
    <row r="49" spans="1:14" ht="13.5">
      <c r="A49" s="66"/>
      <c r="C49" s="96" t="s">
        <v>117</v>
      </c>
      <c r="E49" s="997"/>
      <c r="F49" s="1189"/>
      <c r="G49" s="1189"/>
      <c r="H49" s="1189"/>
      <c r="I49" s="1189"/>
      <c r="J49" s="1189"/>
      <c r="K49" s="1189"/>
      <c r="L49" s="1189"/>
      <c r="M49" s="1189"/>
      <c r="N49" s="1189"/>
    </row>
    <row r="50" spans="1:14">
      <c r="A50" s="66"/>
      <c r="D50" s="97"/>
      <c r="E50" s="97"/>
      <c r="F50" s="4"/>
      <c r="H50" s="22"/>
      <c r="I50" s="22"/>
      <c r="K50" s="23" t="s">
        <v>118</v>
      </c>
      <c r="M50" s="22"/>
      <c r="N50" s="22"/>
    </row>
    <row r="51" spans="1:14" ht="13.5">
      <c r="A51" s="66"/>
      <c r="C51" s="98" t="s">
        <v>119</v>
      </c>
      <c r="E51" s="998"/>
      <c r="F51" s="1190"/>
      <c r="G51" s="1190"/>
      <c r="H51" s="1190"/>
      <c r="I51" s="1190"/>
      <c r="J51" s="1190"/>
      <c r="K51" s="1190"/>
      <c r="L51" s="1190"/>
      <c r="M51" s="1190"/>
      <c r="N51" s="1190"/>
    </row>
    <row r="52" spans="1:14">
      <c r="A52" s="66"/>
      <c r="D52" s="97"/>
      <c r="E52" s="97"/>
      <c r="H52" s="22"/>
      <c r="I52" s="22"/>
      <c r="K52" s="23" t="s">
        <v>118</v>
      </c>
      <c r="M52" s="22"/>
      <c r="N52" s="22"/>
    </row>
    <row r="53" spans="1:14" ht="13.5">
      <c r="A53" s="66"/>
      <c r="C53" s="96" t="s">
        <v>120</v>
      </c>
      <c r="E53" s="997"/>
      <c r="F53" s="1177"/>
      <c r="G53" s="1177"/>
      <c r="H53" s="1177"/>
      <c r="I53" s="1177"/>
      <c r="J53" s="1177"/>
      <c r="K53" s="1177"/>
      <c r="L53" s="1177"/>
      <c r="M53" s="1177"/>
      <c r="N53" s="1177"/>
    </row>
    <row r="54" spans="1:14">
      <c r="A54" s="66"/>
      <c r="K54" s="23" t="s">
        <v>118</v>
      </c>
    </row>
    <row r="55" spans="1:14" ht="13.5" thickBot="1">
      <c r="A55" s="66"/>
      <c r="D55" s="93"/>
      <c r="E55" s="93"/>
      <c r="F55" s="66"/>
      <c r="G55" s="66"/>
      <c r="H55" s="66"/>
      <c r="I55" s="66"/>
      <c r="J55" s="94"/>
      <c r="K55" s="100"/>
      <c r="L55" s="101"/>
      <c r="M55" s="102"/>
      <c r="N55" s="101"/>
    </row>
    <row r="56" spans="1:14" ht="14.25" thickBot="1">
      <c r="B56" s="103" t="s">
        <v>39</v>
      </c>
      <c r="C56" s="104"/>
      <c r="D56" s="104"/>
      <c r="E56" s="104"/>
      <c r="F56" s="104"/>
      <c r="G56" s="104"/>
      <c r="H56" s="105"/>
      <c r="I56" s="106" t="s">
        <v>121</v>
      </c>
      <c r="J56" s="107"/>
      <c r="K56" s="339"/>
      <c r="L56" s="108"/>
      <c r="M56" s="340"/>
      <c r="N56" s="109"/>
    </row>
    <row r="57" spans="1:14">
      <c r="B57" s="34" t="s">
        <v>122</v>
      </c>
    </row>
    <row r="58" spans="1:14" ht="13.5">
      <c r="C58" s="96" t="s">
        <v>117</v>
      </c>
      <c r="E58" s="1177" t="s">
        <v>51</v>
      </c>
      <c r="F58" s="1177"/>
      <c r="G58" s="1177"/>
      <c r="H58" s="1177"/>
      <c r="I58" s="1177"/>
      <c r="J58" s="1177"/>
      <c r="K58" s="1177"/>
      <c r="L58" s="1177"/>
      <c r="M58" s="1177"/>
      <c r="N58" s="1177"/>
    </row>
    <row r="59" spans="1:14">
      <c r="D59" s="97"/>
      <c r="E59" s="97"/>
      <c r="F59" s="4"/>
      <c r="H59" s="22"/>
      <c r="I59" s="22"/>
      <c r="K59" s="23" t="s">
        <v>118</v>
      </c>
      <c r="M59" s="22"/>
      <c r="N59" s="22"/>
    </row>
    <row r="60" spans="1:14" ht="13.5">
      <c r="C60" s="98" t="s">
        <v>119</v>
      </c>
      <c r="E60" s="998"/>
      <c r="F60" s="1178"/>
      <c r="G60" s="1178"/>
      <c r="H60" s="1178"/>
      <c r="I60" s="1178"/>
      <c r="J60" s="1178"/>
      <c r="K60" s="1178"/>
      <c r="L60" s="1178"/>
      <c r="M60" s="1178"/>
      <c r="N60" s="1178"/>
    </row>
    <row r="61" spans="1:14">
      <c r="D61" s="97"/>
      <c r="E61" s="97"/>
      <c r="F61" s="4"/>
      <c r="G61" s="110"/>
      <c r="H61" s="22"/>
      <c r="I61" s="22"/>
      <c r="K61" s="23" t="s">
        <v>118</v>
      </c>
      <c r="M61" s="22"/>
      <c r="N61" s="22"/>
    </row>
    <row r="62" spans="1:14" ht="13.5">
      <c r="C62" s="96" t="s">
        <v>120</v>
      </c>
      <c r="E62" s="997"/>
      <c r="F62" s="1178"/>
      <c r="G62" s="1178"/>
      <c r="H62" s="1178"/>
      <c r="I62" s="1178"/>
      <c r="J62" s="1178"/>
      <c r="K62" s="1178"/>
      <c r="L62" s="1178"/>
      <c r="M62" s="1178"/>
      <c r="N62" s="1178"/>
    </row>
    <row r="63" spans="1:14">
      <c r="D63" s="4"/>
      <c r="E63" s="4"/>
      <c r="F63" s="4"/>
      <c r="H63" s="22"/>
      <c r="I63" s="22"/>
      <c r="J63" s="22"/>
      <c r="K63" s="23" t="s">
        <v>118</v>
      </c>
      <c r="M63" s="22"/>
      <c r="N63" s="22"/>
    </row>
    <row r="64" spans="1:14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</row>
    <row r="66" spans="2:15">
      <c r="B66" s="34" t="s">
        <v>123</v>
      </c>
      <c r="D66" s="36"/>
      <c r="E66" s="36"/>
      <c r="F66" s="36"/>
      <c r="G66" s="36"/>
      <c r="H66" s="36"/>
      <c r="I66" s="36"/>
      <c r="J66" s="36"/>
      <c r="K66" s="36"/>
      <c r="L66" s="36"/>
      <c r="M66" s="36"/>
    </row>
    <row r="67" spans="2:15">
      <c r="C67" s="34"/>
      <c r="D67" s="36"/>
      <c r="E67" s="36"/>
      <c r="F67" s="36"/>
      <c r="G67" s="36"/>
      <c r="H67" s="36"/>
      <c r="I67" s="36"/>
      <c r="J67" s="36"/>
      <c r="K67" s="36"/>
      <c r="L67" s="36"/>
      <c r="M67" s="36"/>
    </row>
    <row r="68" spans="2:15">
      <c r="B68" s="992" t="s">
        <v>124</v>
      </c>
      <c r="C68" s="2"/>
      <c r="D68" s="36"/>
      <c r="E68" s="1218" t="s">
        <v>125</v>
      </c>
      <c r="F68" s="1218"/>
      <c r="G68" s="1218"/>
      <c r="H68" s="1218"/>
      <c r="J68" s="9"/>
      <c r="L68" s="111" t="s">
        <v>126</v>
      </c>
      <c r="M68" s="38"/>
      <c r="N68" s="38"/>
    </row>
    <row r="69" spans="2:15">
      <c r="C69" s="36"/>
      <c r="D69" s="36"/>
      <c r="E69" s="3"/>
      <c r="F69" s="987"/>
      <c r="G69" s="112" t="s">
        <v>195</v>
      </c>
      <c r="I69" s="3"/>
      <c r="J69" s="23" t="s">
        <v>80</v>
      </c>
      <c r="L69" s="112" t="s">
        <v>662</v>
      </c>
      <c r="M69" s="987"/>
    </row>
    <row r="70" spans="2:15">
      <c r="B70" s="34" t="s">
        <v>127</v>
      </c>
      <c r="C70" s="36"/>
      <c r="D70" s="36"/>
      <c r="E70" s="3"/>
      <c r="F70" s="36"/>
    </row>
    <row r="71" spans="2:15">
      <c r="E71" s="1218" t="s">
        <v>3</v>
      </c>
      <c r="F71" s="1218"/>
      <c r="G71" s="1218"/>
      <c r="H71" s="1218"/>
      <c r="J71" s="9"/>
      <c r="L71" s="111" t="s">
        <v>1</v>
      </c>
      <c r="M71" s="38"/>
      <c r="N71" s="113"/>
    </row>
    <row r="72" spans="2:15">
      <c r="F72" s="3"/>
      <c r="G72" s="112" t="s">
        <v>183</v>
      </c>
      <c r="I72" s="3"/>
      <c r="J72" s="23" t="s">
        <v>80</v>
      </c>
      <c r="L72" s="112" t="s">
        <v>662</v>
      </c>
      <c r="M72" s="3"/>
    </row>
    <row r="73" spans="2:15">
      <c r="E73" s="66"/>
      <c r="F73" s="66"/>
      <c r="G73" s="66"/>
      <c r="H73" s="66"/>
      <c r="I73" s="66"/>
      <c r="J73" s="66"/>
      <c r="K73" s="66"/>
      <c r="L73" s="114"/>
      <c r="M73" s="406"/>
      <c r="N73" s="993"/>
    </row>
    <row r="74" spans="2:15">
      <c r="B74" t="s">
        <v>128</v>
      </c>
      <c r="E74" s="3"/>
      <c r="G74" s="23"/>
      <c r="H74" s="3"/>
      <c r="J74" s="1214">
        <v>1</v>
      </c>
      <c r="K74" s="1214"/>
      <c r="L74" s="36" t="s">
        <v>129</v>
      </c>
      <c r="M74" s="1214" t="str">
        <f>B56</f>
        <v>vsego_zap</v>
      </c>
      <c r="N74" s="1214"/>
      <c r="O74" t="s">
        <v>130</v>
      </c>
    </row>
    <row r="75" spans="2:15">
      <c r="B75" t="s">
        <v>131</v>
      </c>
      <c r="E75" s="3"/>
      <c r="G75" s="23"/>
      <c r="H75" s="3"/>
      <c r="K75" s="3"/>
      <c r="L75" s="3"/>
      <c r="M75" s="36"/>
      <c r="N75" s="3"/>
    </row>
    <row r="76" spans="2:15">
      <c r="B76" s="34" t="s">
        <v>132</v>
      </c>
      <c r="E76" s="3"/>
      <c r="G76" s="3"/>
      <c r="H76" s="3"/>
      <c r="J76" s="3"/>
      <c r="K76" s="3"/>
      <c r="L76" s="3"/>
      <c r="M76" s="3"/>
      <c r="N76" s="3"/>
    </row>
    <row r="77" spans="2:15">
      <c r="E77" s="3"/>
      <c r="G77" s="3"/>
      <c r="H77" s="3"/>
      <c r="J77" s="3"/>
      <c r="K77" s="3"/>
      <c r="L77" s="3"/>
      <c r="M77" s="3"/>
      <c r="N77" s="3"/>
    </row>
    <row r="78" spans="2:15">
      <c r="C78" s="36" t="s">
        <v>133</v>
      </c>
      <c r="D78" s="36"/>
      <c r="E78" s="36"/>
      <c r="F78" s="36"/>
      <c r="G78" s="36"/>
      <c r="H78" s="36"/>
    </row>
    <row r="79" spans="2:15">
      <c r="D79" s="991" t="str">
        <f>E31</f>
        <v>МОЛ_Должн</v>
      </c>
      <c r="E79" s="9"/>
      <c r="F79" s="428"/>
      <c r="G79" s="9"/>
      <c r="H79" s="9"/>
      <c r="J79" s="9"/>
      <c r="L79" s="428" t="str">
        <f>GalRepVar_МОЛ</f>
        <v>МОЛ</v>
      </c>
      <c r="M79" s="9"/>
      <c r="N79" s="9"/>
    </row>
    <row r="80" spans="2:15">
      <c r="E80" s="112" t="s">
        <v>79</v>
      </c>
      <c r="F80" s="3"/>
      <c r="I80" s="3"/>
      <c r="J80" s="23" t="s">
        <v>80</v>
      </c>
      <c r="L80" s="112" t="s">
        <v>662</v>
      </c>
      <c r="M80" s="3"/>
      <c r="N80" s="3"/>
    </row>
    <row r="81" spans="2:14">
      <c r="D81" s="9"/>
      <c r="E81" s="9"/>
      <c r="F81" s="9"/>
      <c r="G81" s="9"/>
      <c r="H81" s="9"/>
      <c r="J81" s="9"/>
      <c r="L81" s="7"/>
      <c r="M81" s="38"/>
      <c r="N81" s="9"/>
    </row>
    <row r="82" spans="2:14">
      <c r="E82" s="112" t="s">
        <v>79</v>
      </c>
      <c r="F82" s="3"/>
      <c r="I82" s="3"/>
      <c r="J82" s="23" t="s">
        <v>80</v>
      </c>
      <c r="L82" s="112" t="s">
        <v>662</v>
      </c>
      <c r="M82" s="3"/>
      <c r="N82" s="3"/>
    </row>
    <row r="83" spans="2:14">
      <c r="B83" s="3"/>
      <c r="D83" s="9"/>
      <c r="E83" s="113"/>
      <c r="F83" s="9"/>
      <c r="G83" s="9"/>
      <c r="H83" s="9"/>
      <c r="J83" s="9"/>
      <c r="L83" s="7"/>
      <c r="M83" s="38"/>
      <c r="N83" s="113"/>
    </row>
    <row r="84" spans="2:14">
      <c r="E84" s="112" t="s">
        <v>79</v>
      </c>
      <c r="F84" s="3"/>
      <c r="I84" s="3"/>
      <c r="J84" s="23" t="s">
        <v>80</v>
      </c>
      <c r="L84" s="112" t="s">
        <v>662</v>
      </c>
      <c r="M84" s="3"/>
    </row>
    <row r="85" spans="2:14">
      <c r="E85" s="3"/>
      <c r="G85" s="3"/>
      <c r="H85" s="3"/>
      <c r="J85" s="3"/>
      <c r="K85" s="3"/>
      <c r="L85" s="3"/>
      <c r="M85" s="3"/>
      <c r="N85" s="3"/>
    </row>
    <row r="86" spans="2:14">
      <c r="E86" s="41"/>
      <c r="F86" s="114"/>
      <c r="G86" s="41" t="s">
        <v>134</v>
      </c>
      <c r="H86" s="9"/>
      <c r="I86" s="113"/>
      <c r="J86" s="115" t="s">
        <v>135</v>
      </c>
      <c r="K86" t="s">
        <v>85</v>
      </c>
    </row>
    <row r="88" spans="2:14">
      <c r="B88" s="4" t="s">
        <v>136</v>
      </c>
      <c r="E88" s="3"/>
      <c r="G88" s="9"/>
      <c r="H88" s="9"/>
      <c r="I88" s="9"/>
      <c r="K88" s="9"/>
      <c r="M88" s="7"/>
      <c r="N88" s="38"/>
    </row>
    <row r="89" spans="2:14">
      <c r="E89" s="3"/>
      <c r="G89" s="3"/>
      <c r="H89" s="112" t="s">
        <v>79</v>
      </c>
      <c r="J89" s="3"/>
      <c r="K89" s="23" t="s">
        <v>80</v>
      </c>
      <c r="M89" s="112" t="s">
        <v>81</v>
      </c>
      <c r="N89" s="3"/>
    </row>
    <row r="90" spans="2:14">
      <c r="B90" s="115"/>
      <c r="D90" s="36"/>
      <c r="E90" s="41"/>
      <c r="F90" s="114"/>
      <c r="G90" s="41" t="s">
        <v>134</v>
      </c>
      <c r="H90" s="9"/>
      <c r="I90" s="113"/>
      <c r="J90" s="115" t="s">
        <v>135</v>
      </c>
      <c r="K90" t="s">
        <v>85</v>
      </c>
    </row>
    <row r="91" spans="2:14">
      <c r="G91" s="41"/>
    </row>
  </sheetData>
  <mergeCells count="36">
    <mergeCell ref="N11:O11"/>
    <mergeCell ref="N14:O14"/>
    <mergeCell ref="N15:O15"/>
    <mergeCell ref="F49:N49"/>
    <mergeCell ref="F51:N51"/>
    <mergeCell ref="E11:L11"/>
    <mergeCell ref="E12:L12"/>
    <mergeCell ref="E31:H31"/>
    <mergeCell ref="E32:H32"/>
    <mergeCell ref="E34:H34"/>
    <mergeCell ref="B2:D4"/>
    <mergeCell ref="F60:N60"/>
    <mergeCell ref="K38:L39"/>
    <mergeCell ref="K17:L17"/>
    <mergeCell ref="M17:N17"/>
    <mergeCell ref="K18:L18"/>
    <mergeCell ref="N13:O13"/>
    <mergeCell ref="N10:O10"/>
    <mergeCell ref="N12:O12"/>
    <mergeCell ref="N5:O5"/>
    <mergeCell ref="N6:O6"/>
    <mergeCell ref="N7:O7"/>
    <mergeCell ref="F53:N53"/>
    <mergeCell ref="M38:N39"/>
    <mergeCell ref="I38:J39"/>
    <mergeCell ref="N8:O9"/>
    <mergeCell ref="J74:K74"/>
    <mergeCell ref="M74:N74"/>
    <mergeCell ref="M18:N18"/>
    <mergeCell ref="J35:L35"/>
    <mergeCell ref="E68:H68"/>
    <mergeCell ref="E71:H71"/>
    <mergeCell ref="F62:N62"/>
    <mergeCell ref="E58:N58"/>
    <mergeCell ref="D39:E39"/>
    <mergeCell ref="D38:E38"/>
  </mergeCells>
  <phoneticPr fontId="2" type="noConversion"/>
  <pageMargins left="0.39370078740157483" right="0.35433070866141736" top="0.35433070866141736" bottom="0.35433070866141736" header="0" footer="0"/>
  <pageSetup paperSize="9" orientation="landscape" horizontalDpi="300" verticalDpi="300" r:id="rId1"/>
  <headerFooter alignWithMargins="0"/>
  <rowBreaks count="1" manualBreakCount="1">
    <brk id="36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18"/>
  <dimension ref="A1:O83"/>
  <sheetViews>
    <sheetView topLeftCell="INB1" zoomScaleNormal="115" zoomScaleSheetLayoutView="100" workbookViewId="0">
      <selection activeCell="D53" sqref="D53"/>
    </sheetView>
  </sheetViews>
  <sheetFormatPr defaultRowHeight="12.75"/>
  <cols>
    <col min="1" max="1" width="0.42578125" hidden="1" customWidth="1"/>
    <col min="2" max="2" width="3.5703125" customWidth="1"/>
    <col min="3" max="3" width="16.42578125" customWidth="1"/>
    <col min="4" max="4" width="11.140625" customWidth="1"/>
    <col min="5" max="5" width="7.85546875" customWidth="1"/>
    <col min="6" max="6" width="9.85546875" customWidth="1"/>
    <col min="8" max="8" width="9.28515625" customWidth="1"/>
    <col min="9" max="9" width="10.7109375" customWidth="1"/>
    <col min="10" max="10" width="12.28515625" customWidth="1"/>
    <col min="12" max="12" width="9.28515625" customWidth="1"/>
    <col min="13" max="13" width="10.7109375" customWidth="1"/>
    <col min="14" max="14" width="12.28515625" customWidth="1"/>
    <col min="15" max="17" width="1.140625" customWidth="1"/>
  </cols>
  <sheetData>
    <row r="1" spans="2:15">
      <c r="M1" s="119" t="s">
        <v>219</v>
      </c>
    </row>
    <row r="2" spans="2:15">
      <c r="M2" s="119" t="s">
        <v>220</v>
      </c>
    </row>
    <row r="3" spans="2:15">
      <c r="M3" s="119" t="s">
        <v>221</v>
      </c>
    </row>
    <row r="4" spans="2:15">
      <c r="M4" s="119" t="s">
        <v>222</v>
      </c>
    </row>
    <row r="5" spans="2:15">
      <c r="M5" s="119" t="s">
        <v>223</v>
      </c>
    </row>
    <row r="6" spans="2:15">
      <c r="M6" s="119" t="s">
        <v>224</v>
      </c>
    </row>
    <row r="7" spans="2:15">
      <c r="M7" s="119"/>
    </row>
    <row r="8" spans="2:15">
      <c r="M8" s="119"/>
    </row>
    <row r="9" spans="2:15" ht="15">
      <c r="C9" s="1253" t="s">
        <v>258</v>
      </c>
      <c r="D9" s="1253"/>
      <c r="E9" s="1253"/>
      <c r="F9" s="1253"/>
      <c r="G9" s="1253"/>
      <c r="H9" s="1253"/>
      <c r="I9" s="1253"/>
      <c r="J9" s="1253"/>
      <c r="K9" s="1253"/>
      <c r="L9" s="1253"/>
      <c r="M9" s="1253"/>
      <c r="N9" s="1253"/>
    </row>
    <row r="10" spans="2:15" ht="15">
      <c r="E10" s="422"/>
      <c r="F10" s="422"/>
      <c r="G10" s="422"/>
      <c r="H10" s="423" t="s">
        <v>334</v>
      </c>
      <c r="I10" s="426" t="s">
        <v>293</v>
      </c>
      <c r="J10" s="422"/>
      <c r="K10" s="31"/>
      <c r="L10" s="31"/>
      <c r="M10" s="119"/>
      <c r="N10" s="399" t="s">
        <v>328</v>
      </c>
    </row>
    <row r="11" spans="2:15" ht="6" customHeight="1" thickBot="1">
      <c r="D11" s="31"/>
      <c r="E11" s="31"/>
      <c r="F11" s="31"/>
      <c r="G11" s="31"/>
      <c r="H11" s="31"/>
      <c r="I11" s="31"/>
      <c r="J11" s="31"/>
      <c r="K11" s="31"/>
      <c r="L11" s="31"/>
      <c r="M11" s="119"/>
    </row>
    <row r="12" spans="2:15" ht="14.25" customHeight="1">
      <c r="N12" s="1202" t="s">
        <v>218</v>
      </c>
      <c r="O12" s="1203"/>
    </row>
    <row r="13" spans="2:15" ht="14.25" customHeight="1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5" t="s">
        <v>56</v>
      </c>
      <c r="N13" s="1206" t="s">
        <v>225</v>
      </c>
      <c r="O13" s="1207"/>
    </row>
    <row r="14" spans="2:15" ht="14.25" customHeight="1">
      <c r="B14" s="66" t="s">
        <v>259</v>
      </c>
      <c r="D14" s="6" t="s">
        <v>35</v>
      </c>
      <c r="E14" s="8"/>
      <c r="F14" s="8"/>
      <c r="G14" s="8"/>
      <c r="H14" s="8"/>
      <c r="I14" s="8"/>
      <c r="J14" s="8"/>
      <c r="K14" s="8"/>
      <c r="L14" s="8"/>
      <c r="M14" s="10" t="s">
        <v>226</v>
      </c>
      <c r="N14" s="1204" t="s">
        <v>34</v>
      </c>
      <c r="O14" s="1205"/>
    </row>
    <row r="15" spans="2:15" ht="3.2" customHeight="1">
      <c r="B15" s="66"/>
      <c r="C15" s="333"/>
      <c r="E15" s="13"/>
      <c r="F15" s="12"/>
      <c r="G15" s="12"/>
      <c r="H15" s="12"/>
      <c r="I15" s="12"/>
      <c r="J15" s="12"/>
      <c r="K15" s="12"/>
      <c r="L15" s="12"/>
      <c r="M15" s="5"/>
      <c r="N15" s="1206"/>
      <c r="O15" s="1207"/>
    </row>
    <row r="16" spans="2:15" ht="13.7" customHeight="1">
      <c r="B16" s="66" t="s">
        <v>260</v>
      </c>
      <c r="D16" s="6" t="s">
        <v>32</v>
      </c>
      <c r="E16" s="7"/>
      <c r="F16" s="16"/>
      <c r="G16" s="16"/>
      <c r="H16" s="16"/>
      <c r="I16" s="7"/>
      <c r="J16" s="7"/>
      <c r="K16" s="7"/>
      <c r="L16" s="7"/>
      <c r="M16" s="7"/>
      <c r="N16" s="1206"/>
      <c r="O16" s="1207"/>
    </row>
    <row r="17" spans="2:15" ht="15.75" customHeight="1">
      <c r="B17" s="17" t="s">
        <v>61</v>
      </c>
      <c r="D17" s="4"/>
      <c r="E17" s="36"/>
      <c r="F17" s="1244" t="s">
        <v>139</v>
      </c>
      <c r="G17" s="1244"/>
      <c r="H17" s="1244"/>
      <c r="I17" s="1244"/>
      <c r="J17" s="1244"/>
      <c r="K17" s="1244"/>
      <c r="L17" s="1245"/>
      <c r="M17" s="21" t="s">
        <v>4</v>
      </c>
      <c r="N17" s="1204" t="s">
        <v>331</v>
      </c>
      <c r="O17" s="1205"/>
    </row>
    <row r="18" spans="2:15" ht="15.75" customHeight="1">
      <c r="F18" s="1246" t="s">
        <v>63</v>
      </c>
      <c r="G18" s="1246"/>
      <c r="H18" s="1246"/>
      <c r="I18" s="1246"/>
      <c r="J18" s="1246"/>
      <c r="K18" s="1246"/>
      <c r="L18" s="1247"/>
      <c r="M18" s="24" t="s">
        <v>64</v>
      </c>
      <c r="N18" s="1204" t="s">
        <v>332</v>
      </c>
      <c r="O18" s="1205"/>
    </row>
    <row r="19" spans="2:15" ht="15.75" customHeight="1">
      <c r="E19" s="4"/>
      <c r="F19" s="4"/>
      <c r="G19" s="4"/>
      <c r="H19" s="4"/>
      <c r="I19" s="4"/>
      <c r="J19" s="25"/>
      <c r="K19" s="25"/>
      <c r="L19" s="25"/>
      <c r="M19" s="5" t="s">
        <v>65</v>
      </c>
      <c r="N19" s="1223" t="s">
        <v>31</v>
      </c>
      <c r="O19" s="1224"/>
    </row>
    <row r="20" spans="2:15" ht="15.75" customHeight="1">
      <c r="E20" s="4"/>
      <c r="F20" s="4"/>
      <c r="G20" s="4"/>
      <c r="H20" s="4"/>
      <c r="I20" s="25"/>
      <c r="J20" s="25"/>
      <c r="K20" s="25"/>
      <c r="L20" s="25"/>
      <c r="M20" s="5" t="s">
        <v>66</v>
      </c>
      <c r="N20" s="1204" t="s">
        <v>330</v>
      </c>
      <c r="O20" s="1205"/>
    </row>
    <row r="22" spans="2:15" ht="15">
      <c r="F22" s="35" t="s">
        <v>75</v>
      </c>
      <c r="G22" s="35"/>
      <c r="H22" s="35"/>
    </row>
    <row r="24" spans="2:15">
      <c r="B24" s="1254" t="s">
        <v>227</v>
      </c>
      <c r="C24" s="1254"/>
      <c r="D24" s="1254"/>
      <c r="E24" s="1254"/>
      <c r="F24" s="1254"/>
      <c r="G24" s="1254"/>
      <c r="H24" s="1254"/>
      <c r="I24" s="1254"/>
      <c r="J24" s="1254"/>
      <c r="K24" s="1254"/>
      <c r="L24" s="1254"/>
      <c r="M24" s="1254"/>
      <c r="N24" s="1254"/>
    </row>
    <row r="25" spans="2:15">
      <c r="B25" s="1254"/>
      <c r="C25" s="1254"/>
      <c r="D25" s="1254"/>
      <c r="E25" s="1254"/>
      <c r="F25" s="1254"/>
      <c r="G25" s="1254"/>
      <c r="H25" s="1254"/>
      <c r="I25" s="1254"/>
      <c r="J25" s="1254"/>
      <c r="K25" s="1254"/>
      <c r="L25" s="1254"/>
      <c r="M25" s="1254"/>
      <c r="N25" s="1254"/>
    </row>
    <row r="26" spans="2:15">
      <c r="B26" s="17"/>
      <c r="C26" s="17"/>
      <c r="D26" s="17"/>
      <c r="E26" s="17"/>
      <c r="M26" s="36"/>
    </row>
    <row r="27" spans="2:15">
      <c r="B27" s="17" t="s">
        <v>78</v>
      </c>
      <c r="J27" s="36"/>
      <c r="K27" s="36"/>
      <c r="L27" s="36"/>
      <c r="M27" s="36"/>
      <c r="N27" s="36"/>
    </row>
    <row r="28" spans="2:15">
      <c r="D28" s="428" t="s">
        <v>291</v>
      </c>
      <c r="E28" s="9"/>
      <c r="I28" s="9"/>
      <c r="M28" s="428" t="s">
        <v>33</v>
      </c>
      <c r="N28" s="38"/>
    </row>
    <row r="29" spans="2:15">
      <c r="D29" s="1234" t="s">
        <v>183</v>
      </c>
      <c r="E29" s="1234"/>
      <c r="I29" s="40" t="s">
        <v>80</v>
      </c>
      <c r="M29" s="39" t="s">
        <v>81</v>
      </c>
      <c r="N29" s="3"/>
    </row>
    <row r="30" spans="2:15">
      <c r="D30" s="9"/>
      <c r="E30" s="9"/>
      <c r="I30" s="9"/>
      <c r="M30" s="7"/>
      <c r="N30" s="38"/>
      <c r="O30" s="36"/>
    </row>
    <row r="31" spans="2:15">
      <c r="D31" s="1234" t="s">
        <v>183</v>
      </c>
      <c r="E31" s="1234"/>
      <c r="I31" s="40" t="s">
        <v>80</v>
      </c>
      <c r="M31" s="39" t="s">
        <v>81</v>
      </c>
      <c r="N31" s="3"/>
    </row>
    <row r="32" spans="2:15" ht="13.5" thickBot="1">
      <c r="B32" s="4"/>
      <c r="C32" s="4"/>
      <c r="D32" s="4"/>
      <c r="E32" s="4"/>
      <c r="F32" s="4"/>
      <c r="G32" s="220"/>
      <c r="H32" s="220"/>
      <c r="I32" s="4"/>
      <c r="J32" s="4"/>
      <c r="K32" s="220"/>
      <c r="L32" s="220"/>
      <c r="M32" s="22"/>
      <c r="N32" s="25"/>
    </row>
    <row r="33" spans="1:15" ht="12.75" customHeight="1">
      <c r="B33" s="290"/>
      <c r="C33" s="1255" t="s">
        <v>228</v>
      </c>
      <c r="D33" s="1256"/>
      <c r="E33" s="1235" t="s">
        <v>211</v>
      </c>
      <c r="F33" s="289"/>
      <c r="G33" s="1238" t="s">
        <v>186</v>
      </c>
      <c r="H33" s="1239"/>
      <c r="I33" s="1239"/>
      <c r="J33" s="1248"/>
      <c r="K33" s="1238" t="s">
        <v>185</v>
      </c>
      <c r="L33" s="1239"/>
      <c r="M33" s="1239"/>
      <c r="N33" s="1240"/>
    </row>
    <row r="34" spans="1:15">
      <c r="B34" s="291" t="s">
        <v>89</v>
      </c>
      <c r="C34" s="1257"/>
      <c r="D34" s="1258"/>
      <c r="E34" s="1236"/>
      <c r="F34" s="293"/>
      <c r="G34" s="1241"/>
      <c r="H34" s="1242"/>
      <c r="I34" s="1242"/>
      <c r="J34" s="1249"/>
      <c r="K34" s="1241"/>
      <c r="L34" s="1242"/>
      <c r="M34" s="1242"/>
      <c r="N34" s="1243"/>
    </row>
    <row r="35" spans="1:15">
      <c r="B35" s="291" t="s">
        <v>94</v>
      </c>
      <c r="C35" s="1259" t="s">
        <v>229</v>
      </c>
      <c r="D35" s="1259" t="s">
        <v>230</v>
      </c>
      <c r="E35" s="1236"/>
      <c r="F35" s="294" t="s">
        <v>97</v>
      </c>
      <c r="G35" s="62"/>
      <c r="H35" s="62"/>
      <c r="I35" s="296"/>
      <c r="J35" s="297"/>
      <c r="K35" s="62"/>
      <c r="L35" s="62"/>
      <c r="M35" s="300"/>
      <c r="N35" s="418"/>
    </row>
    <row r="36" spans="1:15">
      <c r="B36" s="291" t="s">
        <v>98</v>
      </c>
      <c r="C36" s="1260"/>
      <c r="D36" s="1236"/>
      <c r="E36" s="1236"/>
      <c r="F36" s="294" t="s">
        <v>101</v>
      </c>
      <c r="G36" s="294" t="s">
        <v>188</v>
      </c>
      <c r="H36" s="294" t="s">
        <v>189</v>
      </c>
      <c r="I36" s="300" t="s">
        <v>104</v>
      </c>
      <c r="J36" s="292" t="s">
        <v>187</v>
      </c>
      <c r="K36" s="297" t="s">
        <v>188</v>
      </c>
      <c r="L36" s="293" t="s">
        <v>189</v>
      </c>
      <c r="M36" s="300" t="s">
        <v>104</v>
      </c>
      <c r="N36" s="301" t="s">
        <v>187</v>
      </c>
    </row>
    <row r="37" spans="1:15">
      <c r="B37" s="291"/>
      <c r="C37" s="1260"/>
      <c r="D37" s="1236"/>
      <c r="E37" s="1236"/>
      <c r="F37" s="294"/>
      <c r="G37" s="402"/>
      <c r="H37" s="294"/>
      <c r="I37" s="300" t="s">
        <v>112</v>
      </c>
      <c r="J37" s="292" t="str">
        <f>F36</f>
        <v>simvval</v>
      </c>
      <c r="K37" s="292"/>
      <c r="L37" s="294"/>
      <c r="M37" s="300" t="s">
        <v>112</v>
      </c>
      <c r="N37" s="292" t="str">
        <f>F36</f>
        <v>simvval</v>
      </c>
      <c r="O37" s="73"/>
    </row>
    <row r="38" spans="1:15" ht="13.5" thickBot="1">
      <c r="B38" s="302"/>
      <c r="C38" s="1261"/>
      <c r="D38" s="1237"/>
      <c r="E38" s="1237"/>
      <c r="F38" s="295"/>
      <c r="G38" s="403"/>
      <c r="H38" s="295"/>
      <c r="I38" s="304"/>
      <c r="J38" s="303"/>
      <c r="K38" s="303"/>
      <c r="L38" s="295"/>
      <c r="M38" s="304"/>
      <c r="N38" s="305"/>
    </row>
    <row r="39" spans="1:15" ht="13.5">
      <c r="B39" s="306">
        <v>1</v>
      </c>
      <c r="C39" s="307" t="s">
        <v>236</v>
      </c>
      <c r="D39" s="308">
        <v>3</v>
      </c>
      <c r="E39" s="307" t="s">
        <v>237</v>
      </c>
      <c r="F39" s="307" t="s">
        <v>238</v>
      </c>
      <c r="G39" s="401" t="s">
        <v>239</v>
      </c>
      <c r="H39" s="401" t="s">
        <v>240</v>
      </c>
      <c r="I39" s="309" t="s">
        <v>241</v>
      </c>
      <c r="J39" s="307" t="s">
        <v>242</v>
      </c>
      <c r="K39" s="404" t="s">
        <v>198</v>
      </c>
      <c r="L39" s="404" t="s">
        <v>199</v>
      </c>
      <c r="M39" s="307" t="s">
        <v>200</v>
      </c>
      <c r="N39" s="310" t="s">
        <v>201</v>
      </c>
    </row>
    <row r="40" spans="1:15" ht="25.5">
      <c r="A40" s="66"/>
      <c r="B40" s="88" t="s">
        <v>4</v>
      </c>
      <c r="C40" s="89" t="s">
        <v>6</v>
      </c>
      <c r="D40" s="396" t="s">
        <v>7</v>
      </c>
      <c r="E40" s="90" t="s">
        <v>8</v>
      </c>
      <c r="F40" s="91" t="s">
        <v>9</v>
      </c>
      <c r="G40" s="400" t="s">
        <v>20</v>
      </c>
      <c r="H40" s="400" t="s">
        <v>21</v>
      </c>
      <c r="I40" s="336" t="s">
        <v>16</v>
      </c>
      <c r="J40" s="91" t="s">
        <v>17</v>
      </c>
      <c r="K40" s="91" t="s">
        <v>22</v>
      </c>
      <c r="L40" s="91" t="s">
        <v>23</v>
      </c>
      <c r="M40" s="335" t="s">
        <v>18</v>
      </c>
      <c r="N40" s="92" t="s">
        <v>19</v>
      </c>
    </row>
    <row r="41" spans="1:15" ht="13.7" customHeight="1">
      <c r="A41" s="66"/>
      <c r="B41" s="66" t="s">
        <v>115</v>
      </c>
      <c r="C41" s="93"/>
      <c r="D41" s="93"/>
      <c r="E41" s="66"/>
      <c r="F41" s="316" t="s">
        <v>235</v>
      </c>
      <c r="G41" s="95"/>
      <c r="H41" s="95"/>
      <c r="I41" s="344"/>
      <c r="J41" s="95"/>
      <c r="K41" s="95"/>
      <c r="L41" s="95"/>
      <c r="M41" s="344"/>
      <c r="N41" s="95"/>
    </row>
    <row r="42" spans="1:15" ht="13.7" customHeight="1">
      <c r="A42" s="66"/>
      <c r="B42" s="312" t="s">
        <v>116</v>
      </c>
      <c r="C42" s="3"/>
    </row>
    <row r="43" spans="1:15" ht="13.7" customHeight="1">
      <c r="A43" s="66"/>
      <c r="B43" s="2"/>
      <c r="C43" s="3"/>
    </row>
    <row r="44" spans="1:15" ht="13.7" customHeight="1">
      <c r="A44" s="66"/>
      <c r="B44" s="314" t="s">
        <v>232</v>
      </c>
      <c r="D44" s="1189"/>
      <c r="E44" s="1189"/>
      <c r="F44" s="1189"/>
      <c r="G44" s="1189"/>
      <c r="H44" s="1189"/>
      <c r="I44" s="1189"/>
      <c r="J44" s="1189"/>
      <c r="K44" s="1189"/>
      <c r="L44" s="1189"/>
      <c r="M44" s="1189"/>
      <c r="N44" s="1189"/>
    </row>
    <row r="45" spans="1:15" ht="13.7" customHeight="1">
      <c r="A45" s="66"/>
      <c r="B45" s="313"/>
      <c r="C45" s="97"/>
      <c r="D45" s="1230" t="s">
        <v>118</v>
      </c>
      <c r="E45" s="1230"/>
      <c r="F45" s="1230"/>
      <c r="G45" s="1230"/>
      <c r="H45" s="1230"/>
      <c r="I45" s="1230"/>
      <c r="J45" s="1230"/>
      <c r="K45" s="1230"/>
      <c r="L45" s="1230"/>
      <c r="M45" s="1230"/>
      <c r="N45" s="1230"/>
    </row>
    <row r="46" spans="1:15" ht="13.7" customHeight="1">
      <c r="A46" s="66"/>
      <c r="B46" s="315" t="s">
        <v>233</v>
      </c>
      <c r="D46" s="1189"/>
      <c r="E46" s="1189"/>
      <c r="F46" s="1189"/>
      <c r="G46" s="1189"/>
      <c r="H46" s="1189"/>
      <c r="I46" s="1189"/>
      <c r="J46" s="1189"/>
      <c r="K46" s="1189"/>
      <c r="L46" s="1189"/>
      <c r="M46" s="1189"/>
      <c r="N46" s="1189"/>
    </row>
    <row r="47" spans="1:15" ht="13.7" customHeight="1">
      <c r="A47" s="66"/>
      <c r="B47" s="313"/>
      <c r="C47" s="97"/>
      <c r="D47" s="1230" t="s">
        <v>118</v>
      </c>
      <c r="E47" s="1230"/>
      <c r="F47" s="1230"/>
      <c r="G47" s="1230"/>
      <c r="H47" s="1230"/>
      <c r="I47" s="1230"/>
      <c r="J47" s="1230"/>
      <c r="K47" s="1230"/>
      <c r="L47" s="1230"/>
      <c r="M47" s="1230"/>
      <c r="N47" s="1230"/>
    </row>
    <row r="48" spans="1:15" ht="13.7" customHeight="1">
      <c r="A48" s="66"/>
      <c r="B48" s="314" t="s">
        <v>234</v>
      </c>
      <c r="D48" s="1189"/>
      <c r="E48" s="1189"/>
      <c r="F48" s="1189"/>
      <c r="G48" s="1189"/>
      <c r="H48" s="1189"/>
      <c r="I48" s="1189"/>
      <c r="J48" s="1189"/>
      <c r="K48" s="1189"/>
      <c r="L48" s="1189"/>
      <c r="M48" s="1189"/>
      <c r="N48" s="1189"/>
    </row>
    <row r="49" spans="1:14" ht="13.7" customHeight="1">
      <c r="A49" s="66"/>
      <c r="D49" s="1230" t="s">
        <v>118</v>
      </c>
      <c r="E49" s="1230"/>
      <c r="F49" s="1230"/>
      <c r="G49" s="1230"/>
      <c r="H49" s="1230"/>
      <c r="I49" s="1230"/>
      <c r="J49" s="1230"/>
      <c r="K49" s="1230"/>
      <c r="L49" s="1230"/>
      <c r="M49" s="1230"/>
      <c r="N49" s="1230"/>
    </row>
    <row r="50" spans="1:14" ht="13.5" thickBot="1">
      <c r="A50" s="66"/>
      <c r="C50" s="93"/>
      <c r="D50" s="93"/>
      <c r="E50" s="66"/>
      <c r="F50" s="66"/>
      <c r="G50" s="66"/>
      <c r="H50" s="66"/>
      <c r="I50" s="100"/>
      <c r="J50" s="101"/>
      <c r="K50" s="101"/>
      <c r="L50" s="101"/>
      <c r="M50" s="102"/>
      <c r="N50" s="101"/>
    </row>
    <row r="51" spans="1:14" ht="14.25" thickBot="1">
      <c r="B51" s="103" t="s">
        <v>39</v>
      </c>
      <c r="C51" s="104"/>
      <c r="D51" s="104"/>
      <c r="E51" s="104"/>
      <c r="F51" s="311" t="s">
        <v>121</v>
      </c>
      <c r="G51" s="412"/>
      <c r="H51" s="413"/>
      <c r="I51" s="340"/>
      <c r="J51" s="108"/>
      <c r="K51" s="108"/>
      <c r="L51" s="108"/>
      <c r="M51" s="340"/>
      <c r="N51" s="109"/>
    </row>
    <row r="52" spans="1:14">
      <c r="B52" s="312" t="s">
        <v>122</v>
      </c>
    </row>
    <row r="53" spans="1:14" ht="13.5">
      <c r="B53" s="314" t="s">
        <v>232</v>
      </c>
      <c r="D53" s="317" t="s">
        <v>51</v>
      </c>
      <c r="E53" s="9"/>
      <c r="F53" s="9"/>
      <c r="G53" s="9"/>
      <c r="H53" s="9"/>
      <c r="I53" s="19"/>
      <c r="J53" s="19"/>
      <c r="K53" s="19"/>
      <c r="L53" s="19"/>
      <c r="M53" s="19"/>
      <c r="N53" s="19"/>
    </row>
    <row r="54" spans="1:14">
      <c r="B54" s="313"/>
      <c r="C54" s="97"/>
      <c r="D54" s="97"/>
      <c r="F54" s="22"/>
      <c r="G54" s="22"/>
      <c r="H54" s="22"/>
      <c r="I54" s="23" t="s">
        <v>118</v>
      </c>
      <c r="M54" s="22"/>
      <c r="N54" s="22"/>
    </row>
    <row r="55" spans="1:14" ht="13.5">
      <c r="B55" s="315" t="s">
        <v>233</v>
      </c>
      <c r="D55" s="1250"/>
      <c r="E55" s="1250"/>
      <c r="F55" s="1250"/>
      <c r="G55" s="1250"/>
      <c r="H55" s="1250"/>
      <c r="I55" s="1250"/>
      <c r="J55" s="1250"/>
      <c r="K55" s="1250"/>
      <c r="L55" s="1250"/>
      <c r="M55" s="1250"/>
      <c r="N55" s="1250"/>
    </row>
    <row r="56" spans="1:14">
      <c r="B56" s="313"/>
      <c r="C56" s="97"/>
      <c r="D56" s="97"/>
      <c r="E56" s="110"/>
      <c r="F56" s="22"/>
      <c r="G56" s="22"/>
      <c r="H56" s="22"/>
      <c r="I56" s="23" t="s">
        <v>118</v>
      </c>
      <c r="M56" s="22"/>
      <c r="N56" s="22"/>
    </row>
    <row r="57" spans="1:14" ht="13.5">
      <c r="B57" s="314" t="s">
        <v>234</v>
      </c>
      <c r="D57" s="1250"/>
      <c r="E57" s="1250"/>
      <c r="F57" s="1250"/>
      <c r="G57" s="1250"/>
      <c r="H57" s="1250"/>
      <c r="I57" s="1250"/>
      <c r="J57" s="1250"/>
      <c r="K57" s="1250"/>
      <c r="L57" s="1250"/>
      <c r="M57" s="1250"/>
      <c r="N57" s="1250"/>
    </row>
    <row r="58" spans="1:14">
      <c r="C58" s="4"/>
      <c r="D58" s="4"/>
      <c r="F58" s="22"/>
      <c r="G58" s="22"/>
      <c r="H58" s="22"/>
      <c r="I58" s="23" t="s">
        <v>118</v>
      </c>
      <c r="M58" s="22"/>
      <c r="N58" s="22"/>
    </row>
    <row r="59" spans="1:14"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</row>
    <row r="60" spans="1:14">
      <c r="B60" s="34" t="s">
        <v>124</v>
      </c>
      <c r="C60" s="36"/>
      <c r="D60" s="37" t="s">
        <v>125</v>
      </c>
      <c r="E60" s="9"/>
      <c r="F60" s="9"/>
      <c r="G60" s="66"/>
      <c r="H60" s="66"/>
      <c r="I60" s="1262" t="s">
        <v>244</v>
      </c>
      <c r="J60" s="1262"/>
      <c r="K60" s="93"/>
      <c r="L60" s="111" t="s">
        <v>126</v>
      </c>
      <c r="M60" s="38"/>
      <c r="N60" s="93"/>
    </row>
    <row r="61" spans="1:14">
      <c r="C61" s="36"/>
      <c r="D61" s="3"/>
      <c r="E61" s="112" t="s">
        <v>79</v>
      </c>
      <c r="I61" s="1230" t="s">
        <v>80</v>
      </c>
      <c r="J61" s="1230"/>
      <c r="K61" s="23"/>
      <c r="L61" s="1252" t="s">
        <v>182</v>
      </c>
      <c r="M61" s="1252"/>
      <c r="N61" s="23"/>
    </row>
    <row r="62" spans="1:14">
      <c r="B62" s="34" t="s">
        <v>127</v>
      </c>
      <c r="C62" s="36"/>
      <c r="D62" s="3"/>
    </row>
    <row r="63" spans="1:14">
      <c r="D63" s="37" t="s">
        <v>3</v>
      </c>
      <c r="E63" s="9"/>
      <c r="F63" s="9"/>
      <c r="G63" s="66"/>
      <c r="H63" s="66"/>
      <c r="I63" s="1262" t="s">
        <v>244</v>
      </c>
      <c r="J63" s="1262"/>
      <c r="K63" s="93"/>
      <c r="L63" s="111" t="s">
        <v>1</v>
      </c>
      <c r="M63" s="38"/>
      <c r="N63" s="93"/>
    </row>
    <row r="64" spans="1:14">
      <c r="E64" s="112" t="s">
        <v>79</v>
      </c>
      <c r="I64" s="1230" t="s">
        <v>80</v>
      </c>
      <c r="J64" s="1230"/>
      <c r="K64" s="23"/>
      <c r="L64" s="1252" t="s">
        <v>182</v>
      </c>
      <c r="M64" s="1252"/>
      <c r="N64" s="23"/>
    </row>
    <row r="65" spans="2:14">
      <c r="D65" s="113"/>
      <c r="E65" s="9"/>
      <c r="F65" s="9"/>
      <c r="G65" s="66"/>
      <c r="H65" s="66"/>
      <c r="I65" s="1262" t="s">
        <v>244</v>
      </c>
      <c r="J65" s="1262"/>
      <c r="K65" s="93"/>
      <c r="L65" s="7"/>
      <c r="M65" s="38"/>
      <c r="N65" s="93"/>
    </row>
    <row r="66" spans="2:14">
      <c r="D66" s="3"/>
      <c r="E66" s="112" t="s">
        <v>79</v>
      </c>
      <c r="I66" s="1230" t="s">
        <v>80</v>
      </c>
      <c r="J66" s="1230"/>
      <c r="K66" s="23"/>
      <c r="L66" s="1252" t="s">
        <v>182</v>
      </c>
      <c r="M66" s="1252"/>
      <c r="N66" s="23"/>
    </row>
    <row r="67" spans="2:14">
      <c r="D67" s="3"/>
      <c r="E67" s="23"/>
      <c r="F67" s="3"/>
      <c r="G67" s="3"/>
      <c r="H67" s="3"/>
      <c r="I67" s="3"/>
      <c r="J67" s="3"/>
      <c r="K67" s="3"/>
      <c r="L67" s="3"/>
      <c r="M67" s="3"/>
      <c r="N67" s="3"/>
    </row>
    <row r="68" spans="2:14">
      <c r="B68" s="1251" t="s">
        <v>329</v>
      </c>
      <c r="C68" s="1251"/>
      <c r="D68" s="1251"/>
      <c r="E68" s="1251"/>
      <c r="F68" s="1251"/>
      <c r="G68" s="1251"/>
      <c r="H68" s="1251"/>
      <c r="I68" s="1251"/>
      <c r="J68" s="1251"/>
      <c r="K68" s="1251"/>
      <c r="L68" s="1251"/>
      <c r="M68" s="1251"/>
      <c r="N68" s="1251"/>
    </row>
    <row r="69" spans="2:14">
      <c r="B69" s="1251"/>
      <c r="C69" s="1251"/>
      <c r="D69" s="1251"/>
      <c r="E69" s="1251"/>
      <c r="F69" s="1251"/>
      <c r="G69" s="1251"/>
      <c r="H69" s="1251"/>
      <c r="I69" s="1251"/>
      <c r="J69" s="1251"/>
      <c r="K69" s="1251"/>
      <c r="L69" s="1251"/>
      <c r="M69" s="1251"/>
      <c r="N69" s="1251"/>
    </row>
    <row r="70" spans="2:14" ht="15" customHeight="1">
      <c r="B70" s="1251"/>
      <c r="C70" s="1251"/>
      <c r="D70" s="1251"/>
      <c r="E70" s="1251"/>
      <c r="F70" s="1251"/>
      <c r="G70" s="1251"/>
      <c r="H70" s="1251"/>
      <c r="I70" s="1251"/>
      <c r="J70" s="1251"/>
      <c r="K70" s="1251"/>
      <c r="L70" s="1251"/>
      <c r="M70" s="1251"/>
      <c r="N70" s="1251"/>
    </row>
    <row r="71" spans="2:14" ht="12.75" customHeight="1"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2:14" ht="12.75" customHeight="1">
      <c r="B72" s="36" t="s">
        <v>78</v>
      </c>
      <c r="C72" s="36"/>
      <c r="D72" s="36"/>
      <c r="E72" s="36"/>
      <c r="F72" s="36"/>
      <c r="G72" s="36"/>
      <c r="H72" s="36"/>
    </row>
    <row r="73" spans="2:14" ht="12.75" customHeight="1">
      <c r="C73" s="428" t="str">
        <f>D28</f>
        <v>МОЛ_Должн</v>
      </c>
      <c r="D73" s="9"/>
      <c r="E73" s="9"/>
      <c r="F73" s="66"/>
      <c r="G73" s="66"/>
      <c r="H73" s="66"/>
      <c r="I73" s="9"/>
      <c r="L73" s="428" t="str">
        <f>GalRepVar_МОЛ</f>
        <v>МОЛ</v>
      </c>
      <c r="M73" s="9"/>
      <c r="N73" s="66"/>
    </row>
    <row r="74" spans="2:14" ht="12.75" customHeight="1">
      <c r="C74" s="1230" t="s">
        <v>183</v>
      </c>
      <c r="D74" s="1230"/>
      <c r="E74" s="1230"/>
      <c r="F74" s="66"/>
      <c r="G74" s="66"/>
      <c r="H74" s="66"/>
      <c r="I74" s="23" t="s">
        <v>80</v>
      </c>
      <c r="L74" s="112" t="s">
        <v>81</v>
      </c>
      <c r="N74" s="3"/>
    </row>
    <row r="75" spans="2:14" ht="12.75" customHeight="1">
      <c r="C75" s="9"/>
      <c r="D75" s="9"/>
      <c r="E75" s="9"/>
      <c r="F75" s="66"/>
      <c r="G75" s="66"/>
      <c r="H75" s="66"/>
      <c r="I75" s="9"/>
      <c r="L75" s="7"/>
      <c r="M75" s="9"/>
      <c r="N75" s="406"/>
    </row>
    <row r="76" spans="2:14" ht="12.75" customHeight="1">
      <c r="C76" s="1230" t="s">
        <v>183</v>
      </c>
      <c r="D76" s="1230"/>
      <c r="E76" s="1230"/>
      <c r="F76" s="66"/>
      <c r="G76" s="66"/>
      <c r="H76" s="66"/>
      <c r="I76" s="23" t="s">
        <v>80</v>
      </c>
      <c r="L76" s="112" t="s">
        <v>81</v>
      </c>
      <c r="N76" s="3"/>
    </row>
    <row r="77" spans="2:14" ht="12.75" customHeight="1">
      <c r="C77" s="9"/>
      <c r="D77" s="9"/>
      <c r="E77" s="9"/>
      <c r="F77" s="66"/>
      <c r="G77" s="66"/>
      <c r="H77" s="66"/>
      <c r="I77" s="9"/>
      <c r="L77" s="7"/>
      <c r="M77" s="9"/>
      <c r="N77" s="406"/>
    </row>
    <row r="78" spans="2:14" ht="12.75" customHeight="1">
      <c r="C78" s="1230" t="s">
        <v>183</v>
      </c>
      <c r="D78" s="1230"/>
      <c r="E78" s="1230"/>
      <c r="F78" s="66"/>
      <c r="G78" s="66"/>
      <c r="H78" s="66"/>
      <c r="I78" s="23" t="s">
        <v>80</v>
      </c>
      <c r="L78" s="112" t="s">
        <v>81</v>
      </c>
      <c r="N78" s="3"/>
    </row>
    <row r="79" spans="2:14" ht="25.5" customHeight="1">
      <c r="B79" t="s">
        <v>243</v>
      </c>
      <c r="C79" s="23"/>
      <c r="D79" s="23"/>
      <c r="E79" s="23"/>
      <c r="F79" s="66"/>
      <c r="G79" s="66"/>
      <c r="H79" s="66"/>
      <c r="I79" s="23"/>
      <c r="L79" s="112"/>
      <c r="N79" s="3"/>
    </row>
    <row r="80" spans="2:14" ht="15.75" customHeight="1">
      <c r="B80" s="3"/>
      <c r="C80" s="9"/>
      <c r="D80" s="9"/>
      <c r="E80" s="9"/>
      <c r="F80" s="66"/>
      <c r="G80" s="66"/>
      <c r="H80" s="66"/>
      <c r="I80" s="9"/>
      <c r="L80" s="7"/>
      <c r="M80" s="9"/>
      <c r="N80" s="406"/>
    </row>
    <row r="81" spans="3:14" ht="12.75" customHeight="1">
      <c r="C81" s="1230" t="s">
        <v>183</v>
      </c>
      <c r="D81" s="1230"/>
      <c r="E81" s="1230"/>
      <c r="F81" s="66"/>
      <c r="G81" s="66"/>
      <c r="H81" s="66"/>
      <c r="I81" s="23" t="s">
        <v>80</v>
      </c>
      <c r="L81" s="112" t="s">
        <v>81</v>
      </c>
      <c r="N81" s="3"/>
    </row>
    <row r="82" spans="3:14" ht="12.75" customHeight="1"/>
    <row r="83" spans="3:14">
      <c r="E83" s="41"/>
    </row>
  </sheetData>
  <mergeCells count="42">
    <mergeCell ref="C9:N9"/>
    <mergeCell ref="C78:E78"/>
    <mergeCell ref="C74:E74"/>
    <mergeCell ref="C76:E76"/>
    <mergeCell ref="B24:N25"/>
    <mergeCell ref="C33:D34"/>
    <mergeCell ref="C35:C38"/>
    <mergeCell ref="D35:D38"/>
    <mergeCell ref="D29:E29"/>
    <mergeCell ref="D31:E31"/>
    <mergeCell ref="L64:M64"/>
    <mergeCell ref="I66:J66"/>
    <mergeCell ref="I60:J60"/>
    <mergeCell ref="I63:J63"/>
    <mergeCell ref="I65:J65"/>
    <mergeCell ref="I64:J64"/>
    <mergeCell ref="C81:E81"/>
    <mergeCell ref="D45:N45"/>
    <mergeCell ref="D47:N47"/>
    <mergeCell ref="D49:N49"/>
    <mergeCell ref="D55:N55"/>
    <mergeCell ref="D57:N57"/>
    <mergeCell ref="B68:N70"/>
    <mergeCell ref="L61:M61"/>
    <mergeCell ref="L66:M66"/>
    <mergeCell ref="I61:J61"/>
    <mergeCell ref="D46:N46"/>
    <mergeCell ref="D48:N48"/>
    <mergeCell ref="E33:E38"/>
    <mergeCell ref="D44:N44"/>
    <mergeCell ref="N12:O12"/>
    <mergeCell ref="K33:N34"/>
    <mergeCell ref="N20:O20"/>
    <mergeCell ref="F17:L17"/>
    <mergeCell ref="F18:L18"/>
    <mergeCell ref="G33:J34"/>
    <mergeCell ref="N13:O13"/>
    <mergeCell ref="N14:O14"/>
    <mergeCell ref="N19:O19"/>
    <mergeCell ref="N18:O18"/>
    <mergeCell ref="N15:O16"/>
    <mergeCell ref="N17:O17"/>
  </mergeCells>
  <phoneticPr fontId="2" type="noConversion"/>
  <pageMargins left="0.27" right="0.35433070866141736" top="0.34" bottom="0.36" header="0.19" footer="0.28000000000000003"/>
  <pageSetup paperSize="9" orientation="landscape" horizontalDpi="300" verticalDpi="300" r:id="rId1"/>
  <headerFooter alignWithMargins="0"/>
  <rowBreaks count="1" manualBreakCount="1">
    <brk id="31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52"/>
  <dimension ref="A1:L84"/>
  <sheetViews>
    <sheetView view="pageBreakPreview" topLeftCell="B1" zoomScaleNormal="115" zoomScaleSheetLayoutView="100" workbookViewId="0">
      <selection activeCell="D6" sqref="D6"/>
    </sheetView>
  </sheetViews>
  <sheetFormatPr defaultRowHeight="12.75"/>
  <cols>
    <col min="1" max="1" width="9.7109375" hidden="1" customWidth="1"/>
    <col min="2" max="2" width="5" customWidth="1"/>
    <col min="3" max="3" width="33.85546875" customWidth="1"/>
    <col min="4" max="5" width="14.85546875" customWidth="1"/>
    <col min="6" max="6" width="12.85546875" customWidth="1"/>
    <col min="7" max="7" width="14.28515625" customWidth="1"/>
    <col min="8" max="8" width="13.7109375" customWidth="1"/>
    <col min="9" max="9" width="16" customWidth="1"/>
    <col min="10" max="10" width="13.7109375" customWidth="1"/>
    <col min="11" max="11" width="16" customWidth="1"/>
    <col min="12" max="14" width="1.140625" customWidth="1"/>
  </cols>
  <sheetData>
    <row r="1" spans="2:12">
      <c r="J1" s="119" t="s">
        <v>219</v>
      </c>
    </row>
    <row r="2" spans="2:12">
      <c r="J2" s="119" t="s">
        <v>220</v>
      </c>
    </row>
    <row r="3" spans="2:12">
      <c r="J3" s="119" t="s">
        <v>221</v>
      </c>
    </row>
    <row r="4" spans="2:12">
      <c r="J4" s="119" t="s">
        <v>222</v>
      </c>
    </row>
    <row r="5" spans="2:12">
      <c r="J5" s="119" t="s">
        <v>223</v>
      </c>
    </row>
    <row r="6" spans="2:12">
      <c r="J6" s="119" t="s">
        <v>224</v>
      </c>
    </row>
    <row r="7" spans="2:12">
      <c r="J7" s="119"/>
    </row>
    <row r="8" spans="2:12">
      <c r="J8" s="119"/>
    </row>
    <row r="9" spans="2:12" ht="15">
      <c r="C9" s="1253" t="s">
        <v>258</v>
      </c>
      <c r="D9" s="1253"/>
      <c r="E9" s="1253"/>
      <c r="F9" s="1253"/>
      <c r="G9" s="1253"/>
      <c r="H9" s="1253"/>
      <c r="I9" s="1253"/>
      <c r="J9" s="1253"/>
      <c r="K9" s="1253"/>
    </row>
    <row r="10" spans="2:12" ht="15">
      <c r="F10" s="423" t="s">
        <v>334</v>
      </c>
      <c r="G10" s="426" t="s">
        <v>293</v>
      </c>
      <c r="H10" s="422"/>
      <c r="I10" s="422"/>
      <c r="J10" s="422"/>
      <c r="K10" s="399" t="s">
        <v>184</v>
      </c>
    </row>
    <row r="11" spans="2:12" ht="6" customHeight="1" thickBot="1">
      <c r="D11" s="1132"/>
      <c r="E11" s="1132"/>
      <c r="F11" s="1132"/>
      <c r="G11" s="1132"/>
      <c r="H11" s="1132"/>
      <c r="I11" s="1132"/>
      <c r="J11" s="119"/>
    </row>
    <row r="12" spans="2:12" ht="14.25" customHeight="1">
      <c r="J12" s="1176" t="s">
        <v>328</v>
      </c>
      <c r="K12" s="1202" t="s">
        <v>218</v>
      </c>
      <c r="L12" s="1203"/>
    </row>
    <row r="13" spans="2:12" ht="14.25" customHeight="1">
      <c r="B13" s="4"/>
      <c r="C13" s="4"/>
      <c r="D13" s="4"/>
      <c r="E13" s="4"/>
      <c r="F13" s="4"/>
      <c r="G13" s="4"/>
      <c r="H13" s="4"/>
      <c r="I13" s="4"/>
      <c r="J13" s="1175" t="s">
        <v>767</v>
      </c>
      <c r="K13" s="1206" t="s">
        <v>225</v>
      </c>
      <c r="L13" s="1207"/>
    </row>
    <row r="14" spans="2:12" ht="14.25" customHeight="1">
      <c r="C14" s="66" t="s">
        <v>259</v>
      </c>
      <c r="D14" s="6" t="s">
        <v>35</v>
      </c>
      <c r="E14" s="6"/>
      <c r="F14" s="8"/>
      <c r="G14" s="8"/>
      <c r="H14" s="8"/>
      <c r="I14" s="8"/>
      <c r="J14" s="10" t="s">
        <v>226</v>
      </c>
      <c r="K14" s="1204" t="s">
        <v>34</v>
      </c>
      <c r="L14" s="1205"/>
    </row>
    <row r="15" spans="2:12" ht="3.2" customHeight="1">
      <c r="B15" s="66"/>
      <c r="C15" s="333"/>
      <c r="F15" s="13"/>
      <c r="G15" s="12"/>
      <c r="H15" s="12"/>
      <c r="I15" s="12"/>
      <c r="J15" s="5"/>
      <c r="K15" s="1206"/>
      <c r="L15" s="1207"/>
    </row>
    <row r="16" spans="2:12" ht="13.7" customHeight="1">
      <c r="C16" s="66" t="s">
        <v>260</v>
      </c>
      <c r="D16" s="6" t="s">
        <v>32</v>
      </c>
      <c r="E16" s="6"/>
      <c r="F16" s="7"/>
      <c r="G16" s="16"/>
      <c r="H16" s="7"/>
      <c r="I16" s="7"/>
      <c r="J16" s="7"/>
      <c r="K16" s="1206"/>
      <c r="L16" s="1207"/>
    </row>
    <row r="17" spans="2:12" ht="15.75" customHeight="1">
      <c r="C17" s="17" t="s">
        <v>61</v>
      </c>
      <c r="D17" s="4"/>
      <c r="E17" s="4"/>
      <c r="F17" s="7" t="s">
        <v>261</v>
      </c>
      <c r="G17" s="1129"/>
      <c r="H17" s="1129"/>
      <c r="I17" s="1129"/>
      <c r="J17" s="21" t="s">
        <v>4</v>
      </c>
      <c r="K17" s="1204" t="s">
        <v>331</v>
      </c>
      <c r="L17" s="1205"/>
    </row>
    <row r="18" spans="2:12" ht="15.75" customHeight="1">
      <c r="F18" s="1246" t="s">
        <v>63</v>
      </c>
      <c r="G18" s="1246"/>
      <c r="H18" s="1246"/>
      <c r="I18" s="1247"/>
      <c r="J18" s="24" t="s">
        <v>64</v>
      </c>
      <c r="K18" s="1204" t="s">
        <v>332</v>
      </c>
      <c r="L18" s="1205"/>
    </row>
    <row r="19" spans="2:12" ht="15.75" customHeight="1">
      <c r="F19" s="4"/>
      <c r="G19" s="4"/>
      <c r="H19" s="4"/>
      <c r="I19" s="25"/>
      <c r="J19" s="5" t="s">
        <v>65</v>
      </c>
      <c r="K19" s="1223" t="s">
        <v>31</v>
      </c>
      <c r="L19" s="1224"/>
    </row>
    <row r="20" spans="2:12" ht="15.75" customHeight="1">
      <c r="F20" s="4"/>
      <c r="G20" s="4"/>
      <c r="H20" s="25"/>
      <c r="I20" s="25"/>
      <c r="J20" s="5" t="s">
        <v>66</v>
      </c>
      <c r="K20" s="1204" t="s">
        <v>330</v>
      </c>
      <c r="L20" s="1205"/>
    </row>
    <row r="22" spans="2:12" ht="15">
      <c r="G22" s="35" t="s">
        <v>75</v>
      </c>
    </row>
    <row r="24" spans="2:12">
      <c r="B24" s="1254" t="s">
        <v>227</v>
      </c>
      <c r="C24" s="1254"/>
      <c r="D24" s="1254"/>
      <c r="E24" s="1254"/>
      <c r="F24" s="1254"/>
      <c r="G24" s="1254"/>
      <c r="H24" s="1254"/>
      <c r="I24" s="1254"/>
      <c r="J24" s="1254"/>
      <c r="K24" s="1254"/>
    </row>
    <row r="25" spans="2:12">
      <c r="B25" s="1254"/>
      <c r="C25" s="1254"/>
      <c r="D25" s="1254"/>
      <c r="E25" s="1254"/>
      <c r="F25" s="1254"/>
      <c r="G25" s="1254"/>
      <c r="H25" s="1254"/>
      <c r="I25" s="1254"/>
      <c r="J25" s="1254"/>
      <c r="K25" s="1254"/>
    </row>
    <row r="26" spans="2:12">
      <c r="B26" s="17"/>
      <c r="C26" s="17"/>
      <c r="D26" s="17"/>
      <c r="E26" s="17"/>
      <c r="F26" s="17"/>
      <c r="J26" s="36"/>
    </row>
    <row r="27" spans="2:12">
      <c r="B27" s="17" t="s">
        <v>78</v>
      </c>
      <c r="I27" s="36"/>
      <c r="J27" s="36"/>
      <c r="K27" s="36"/>
    </row>
    <row r="28" spans="2:12">
      <c r="D28" s="428" t="s">
        <v>291</v>
      </c>
      <c r="E28" s="428"/>
      <c r="F28" s="9"/>
      <c r="H28" s="9"/>
      <c r="J28" s="428" t="s">
        <v>33</v>
      </c>
      <c r="K28" s="38"/>
    </row>
    <row r="29" spans="2:12">
      <c r="D29" s="1234" t="s">
        <v>183</v>
      </c>
      <c r="E29" s="1234"/>
      <c r="F29" s="1234"/>
      <c r="H29" s="1131" t="s">
        <v>80</v>
      </c>
      <c r="J29" s="39" t="s">
        <v>81</v>
      </c>
      <c r="K29" s="1139"/>
    </row>
    <row r="30" spans="2:12">
      <c r="D30" s="9"/>
      <c r="E30" s="9"/>
      <c r="F30" s="9"/>
      <c r="H30" s="9"/>
      <c r="J30" s="7"/>
      <c r="K30" s="38"/>
      <c r="L30" s="36"/>
    </row>
    <row r="31" spans="2:12">
      <c r="D31" s="1234" t="s">
        <v>183</v>
      </c>
      <c r="E31" s="1234"/>
      <c r="F31" s="1234"/>
      <c r="H31" s="1131" t="s">
        <v>80</v>
      </c>
      <c r="J31" s="39" t="s">
        <v>81</v>
      </c>
      <c r="K31" s="1139"/>
    </row>
    <row r="32" spans="2:12" ht="13.5" thickBot="1">
      <c r="B32" s="4"/>
      <c r="C32" s="4"/>
      <c r="D32" s="4"/>
      <c r="E32" s="4"/>
      <c r="F32" s="4"/>
      <c r="G32" s="4"/>
      <c r="H32" s="4"/>
      <c r="I32" s="4"/>
      <c r="J32" s="22"/>
      <c r="K32" s="25"/>
    </row>
    <row r="33" spans="1:12">
      <c r="B33" s="290"/>
      <c r="C33" s="1255" t="s">
        <v>228</v>
      </c>
      <c r="D33" s="1256"/>
      <c r="E33" s="1263" t="s">
        <v>763</v>
      </c>
      <c r="F33" s="1235" t="s">
        <v>211</v>
      </c>
      <c r="G33" s="1137"/>
      <c r="H33" s="1264" t="s">
        <v>186</v>
      </c>
      <c r="I33" s="1248"/>
      <c r="J33" s="1238" t="s">
        <v>185</v>
      </c>
      <c r="K33" s="1240"/>
    </row>
    <row r="34" spans="1:12">
      <c r="B34" s="291" t="s">
        <v>89</v>
      </c>
      <c r="C34" s="1257"/>
      <c r="D34" s="1258"/>
      <c r="E34" s="1260"/>
      <c r="F34" s="1236"/>
      <c r="G34" s="293"/>
      <c r="H34" s="1265"/>
      <c r="I34" s="1249"/>
      <c r="J34" s="1241"/>
      <c r="K34" s="1243"/>
    </row>
    <row r="35" spans="1:12">
      <c r="B35" s="291" t="s">
        <v>94</v>
      </c>
      <c r="C35" s="1259" t="s">
        <v>229</v>
      </c>
      <c r="D35" s="1259" t="s">
        <v>230</v>
      </c>
      <c r="E35" s="1260"/>
      <c r="F35" s="1236"/>
      <c r="G35" s="1133" t="s">
        <v>97</v>
      </c>
      <c r="H35" s="296"/>
      <c r="I35" s="297"/>
      <c r="J35" s="298"/>
      <c r="K35" s="299"/>
    </row>
    <row r="36" spans="1:12">
      <c r="B36" s="291" t="s">
        <v>98</v>
      </c>
      <c r="C36" s="1260"/>
      <c r="D36" s="1236"/>
      <c r="E36" s="1260"/>
      <c r="F36" s="1236"/>
      <c r="G36" s="1133" t="s">
        <v>101</v>
      </c>
      <c r="H36" s="300" t="s">
        <v>104</v>
      </c>
      <c r="I36" s="292" t="s">
        <v>105</v>
      </c>
      <c r="J36" s="292" t="s">
        <v>104</v>
      </c>
      <c r="K36" s="301" t="s">
        <v>106</v>
      </c>
    </row>
    <row r="37" spans="1:12">
      <c r="B37" s="291"/>
      <c r="C37" s="1260"/>
      <c r="D37" s="1236"/>
      <c r="E37" s="1260"/>
      <c r="F37" s="1236"/>
      <c r="G37" s="1133"/>
      <c r="H37" s="300" t="s">
        <v>112</v>
      </c>
      <c r="I37" s="1133" t="str">
        <f>G36</f>
        <v>simvval</v>
      </c>
      <c r="J37" s="292" t="s">
        <v>112</v>
      </c>
      <c r="K37" s="292" t="str">
        <f>G36</f>
        <v>simvval</v>
      </c>
      <c r="L37" s="73"/>
    </row>
    <row r="38" spans="1:12" ht="13.5" thickBot="1">
      <c r="B38" s="302"/>
      <c r="C38" s="1261"/>
      <c r="D38" s="1237"/>
      <c r="E38" s="1261"/>
      <c r="F38" s="1237"/>
      <c r="G38" s="1134"/>
      <c r="H38" s="304"/>
      <c r="I38" s="303"/>
      <c r="J38" s="303"/>
      <c r="K38" s="305"/>
    </row>
    <row r="39" spans="1:12" ht="13.5">
      <c r="B39" s="306">
        <v>1</v>
      </c>
      <c r="C39" s="307" t="s">
        <v>236</v>
      </c>
      <c r="D39" s="308">
        <v>3</v>
      </c>
      <c r="E39" s="308" t="s">
        <v>765</v>
      </c>
      <c r="F39" s="307" t="s">
        <v>237</v>
      </c>
      <c r="G39" s="307" t="s">
        <v>238</v>
      </c>
      <c r="H39" s="309" t="s">
        <v>239</v>
      </c>
      <c r="I39" s="307" t="s">
        <v>240</v>
      </c>
      <c r="J39" s="307" t="s">
        <v>241</v>
      </c>
      <c r="K39" s="310" t="s">
        <v>242</v>
      </c>
    </row>
    <row r="40" spans="1:12">
      <c r="A40" s="436" t="s">
        <v>5</v>
      </c>
      <c r="B40" s="88" t="s">
        <v>4</v>
      </c>
      <c r="C40" s="89" t="s">
        <v>6</v>
      </c>
      <c r="D40" s="396" t="s">
        <v>7</v>
      </c>
      <c r="E40" s="396" t="s">
        <v>754</v>
      </c>
      <c r="F40" s="90" t="s">
        <v>8</v>
      </c>
      <c r="G40" s="91" t="s">
        <v>9</v>
      </c>
      <c r="H40" s="336" t="s">
        <v>16</v>
      </c>
      <c r="I40" s="91" t="s">
        <v>17</v>
      </c>
      <c r="J40" s="335" t="s">
        <v>18</v>
      </c>
      <c r="K40" s="92" t="s">
        <v>19</v>
      </c>
    </row>
    <row r="41" spans="1:12" ht="13.5">
      <c r="A41" s="66"/>
      <c r="B41" s="66" t="s">
        <v>115</v>
      </c>
      <c r="C41" s="1135"/>
      <c r="D41" s="1135"/>
      <c r="E41" s="1135"/>
      <c r="F41" s="66"/>
      <c r="G41" s="316" t="s">
        <v>235</v>
      </c>
      <c r="H41" s="344"/>
      <c r="I41" s="95"/>
      <c r="J41" s="344"/>
      <c r="K41" s="95"/>
    </row>
    <row r="42" spans="1:12">
      <c r="A42" s="66"/>
      <c r="B42" s="312" t="s">
        <v>116</v>
      </c>
      <c r="C42" s="1139"/>
    </row>
    <row r="43" spans="1:12">
      <c r="A43" s="66"/>
      <c r="B43" s="2"/>
      <c r="C43" s="1139"/>
    </row>
    <row r="44" spans="1:12" ht="13.5">
      <c r="A44" s="66"/>
      <c r="B44" s="314" t="s">
        <v>232</v>
      </c>
      <c r="D44" s="1189"/>
      <c r="E44" s="1189"/>
      <c r="F44" s="1189"/>
      <c r="G44" s="1189"/>
      <c r="H44" s="1189"/>
      <c r="I44" s="1189"/>
      <c r="J44" s="1189"/>
      <c r="K44" s="1189"/>
    </row>
    <row r="45" spans="1:12">
      <c r="A45" s="66"/>
      <c r="B45" s="980"/>
      <c r="C45" s="97"/>
      <c r="D45" s="1230" t="s">
        <v>118</v>
      </c>
      <c r="E45" s="1230"/>
      <c r="F45" s="1230"/>
      <c r="G45" s="1230"/>
      <c r="H45" s="1230"/>
      <c r="I45" s="1230"/>
      <c r="J45" s="1230"/>
      <c r="K45" s="1230"/>
    </row>
    <row r="46" spans="1:12" ht="13.5">
      <c r="A46" s="66"/>
      <c r="B46" s="315" t="s">
        <v>233</v>
      </c>
      <c r="D46" s="1189"/>
      <c r="E46" s="1189"/>
      <c r="F46" s="1189"/>
      <c r="G46" s="1189"/>
      <c r="H46" s="1189"/>
      <c r="I46" s="1189"/>
      <c r="J46" s="1189"/>
      <c r="K46" s="1189"/>
    </row>
    <row r="47" spans="1:12">
      <c r="A47" s="66"/>
      <c r="B47" s="980"/>
      <c r="C47" s="97"/>
      <c r="D47" s="1230" t="s">
        <v>118</v>
      </c>
      <c r="E47" s="1230"/>
      <c r="F47" s="1230"/>
      <c r="G47" s="1230"/>
      <c r="H47" s="1230"/>
      <c r="I47" s="1230"/>
      <c r="J47" s="1230"/>
      <c r="K47" s="1230"/>
    </row>
    <row r="48" spans="1:12" ht="13.5">
      <c r="A48" s="66"/>
      <c r="B48" s="314" t="s">
        <v>234</v>
      </c>
      <c r="D48" s="1189"/>
      <c r="E48" s="1189"/>
      <c r="F48" s="1189"/>
      <c r="G48" s="1189"/>
      <c r="H48" s="1189"/>
      <c r="I48" s="1189"/>
      <c r="J48" s="1189"/>
      <c r="K48" s="1189"/>
    </row>
    <row r="49" spans="1:11">
      <c r="A49" s="66"/>
      <c r="D49" s="1230" t="s">
        <v>118</v>
      </c>
      <c r="E49" s="1230"/>
      <c r="F49" s="1230"/>
      <c r="G49" s="1230"/>
      <c r="H49" s="1230"/>
      <c r="I49" s="1230"/>
      <c r="J49" s="1230"/>
      <c r="K49" s="1230"/>
    </row>
    <row r="50" spans="1:11" ht="13.5" thickBot="1">
      <c r="A50" s="66"/>
      <c r="C50" s="1135"/>
      <c r="D50" s="1135"/>
      <c r="E50" s="1135"/>
      <c r="F50" s="66"/>
      <c r="G50" s="66"/>
      <c r="H50" s="100"/>
      <c r="I50" s="101"/>
      <c r="J50" s="102"/>
      <c r="K50" s="101"/>
    </row>
    <row r="51" spans="1:11" ht="14.25" thickBot="1">
      <c r="B51" s="103" t="s">
        <v>39</v>
      </c>
      <c r="C51" s="104"/>
      <c r="D51" s="104"/>
      <c r="E51" s="104"/>
      <c r="F51" s="104"/>
      <c r="G51" s="311" t="s">
        <v>121</v>
      </c>
      <c r="H51" s="339"/>
      <c r="I51" s="108"/>
      <c r="J51" s="340"/>
      <c r="K51" s="109"/>
    </row>
    <row r="52" spans="1:11">
      <c r="B52" s="312" t="s">
        <v>122</v>
      </c>
    </row>
    <row r="53" spans="1:11" ht="13.5">
      <c r="B53" s="314" t="s">
        <v>232</v>
      </c>
      <c r="D53" s="1136" t="s">
        <v>51</v>
      </c>
      <c r="E53" s="1136"/>
      <c r="F53" s="9"/>
      <c r="G53" s="9"/>
      <c r="H53" s="19"/>
      <c r="I53" s="19"/>
      <c r="J53" s="19"/>
      <c r="K53" s="19"/>
    </row>
    <row r="54" spans="1:11">
      <c r="B54" s="980"/>
      <c r="C54" s="97"/>
      <c r="D54" s="97"/>
      <c r="E54" s="97"/>
      <c r="G54" s="22"/>
      <c r="H54" s="1130" t="s">
        <v>118</v>
      </c>
      <c r="J54" s="22"/>
      <c r="K54" s="22"/>
    </row>
    <row r="55" spans="1:11" ht="13.5">
      <c r="B55" s="315" t="s">
        <v>233</v>
      </c>
      <c r="D55" s="1250"/>
      <c r="E55" s="1250"/>
      <c r="F55" s="1250"/>
      <c r="G55" s="1250"/>
      <c r="H55" s="1250"/>
      <c r="I55" s="1250"/>
      <c r="J55" s="1250"/>
      <c r="K55" s="1250"/>
    </row>
    <row r="56" spans="1:11">
      <c r="B56" s="980"/>
      <c r="C56" s="97"/>
      <c r="D56" s="97"/>
      <c r="E56" s="97"/>
      <c r="F56" s="110"/>
      <c r="G56" s="22"/>
      <c r="H56" s="1130" t="s">
        <v>118</v>
      </c>
      <c r="J56" s="22"/>
      <c r="K56" s="22"/>
    </row>
    <row r="57" spans="1:11" ht="13.5">
      <c r="B57" s="314" t="s">
        <v>234</v>
      </c>
      <c r="D57" s="1250"/>
      <c r="E57" s="1250"/>
      <c r="F57" s="1250"/>
      <c r="G57" s="1250"/>
      <c r="H57" s="1250"/>
      <c r="I57" s="1250"/>
      <c r="J57" s="1250"/>
      <c r="K57" s="1250"/>
    </row>
    <row r="58" spans="1:11">
      <c r="C58" s="4"/>
      <c r="D58" s="4"/>
      <c r="E58" s="4"/>
      <c r="G58" s="22"/>
      <c r="H58" s="1130" t="s">
        <v>118</v>
      </c>
      <c r="J58" s="22"/>
      <c r="K58" s="22"/>
    </row>
    <row r="59" spans="1:11">
      <c r="C59" s="36"/>
      <c r="D59" s="36"/>
      <c r="E59" s="36"/>
      <c r="F59" s="36"/>
      <c r="G59" s="36"/>
      <c r="H59" s="36"/>
      <c r="I59" s="36"/>
      <c r="J59" s="36"/>
    </row>
    <row r="60" spans="1:11">
      <c r="B60" s="34" t="s">
        <v>124</v>
      </c>
      <c r="C60" s="36"/>
      <c r="D60" s="1166" t="s">
        <v>125</v>
      </c>
      <c r="E60" s="37"/>
      <c r="F60" s="9"/>
      <c r="G60" s="9"/>
      <c r="H60" s="1262" t="s">
        <v>244</v>
      </c>
      <c r="I60" s="1262"/>
      <c r="J60" s="1167" t="s">
        <v>126</v>
      </c>
      <c r="K60" s="38"/>
    </row>
    <row r="61" spans="1:11">
      <c r="C61" s="36"/>
      <c r="D61" s="1139"/>
      <c r="E61" s="1139"/>
      <c r="F61" s="112" t="s">
        <v>79</v>
      </c>
      <c r="H61" s="1230" t="s">
        <v>80</v>
      </c>
      <c r="I61" s="1230"/>
      <c r="J61" s="1252" t="s">
        <v>182</v>
      </c>
      <c r="K61" s="1252"/>
    </row>
    <row r="62" spans="1:11">
      <c r="B62" s="34" t="s">
        <v>127</v>
      </c>
      <c r="C62" s="36"/>
      <c r="D62" s="1139"/>
      <c r="E62" s="1139"/>
    </row>
    <row r="63" spans="1:11">
      <c r="D63" s="1166" t="s">
        <v>3</v>
      </c>
      <c r="E63" s="37"/>
      <c r="F63" s="9"/>
      <c r="G63" s="9"/>
      <c r="H63" s="1000" t="s">
        <v>244</v>
      </c>
      <c r="I63" s="1000"/>
      <c r="J63" s="1167" t="s">
        <v>1</v>
      </c>
      <c r="K63" s="38"/>
    </row>
    <row r="64" spans="1:11">
      <c r="F64" s="112" t="s">
        <v>79</v>
      </c>
      <c r="H64" s="1230" t="s">
        <v>80</v>
      </c>
      <c r="I64" s="1230"/>
      <c r="J64" s="1252" t="s">
        <v>182</v>
      </c>
      <c r="K64" s="1252"/>
    </row>
    <row r="65" spans="2:11">
      <c r="D65" s="113"/>
      <c r="E65" s="113"/>
      <c r="F65" s="9"/>
      <c r="G65" s="9"/>
      <c r="H65" s="1262" t="s">
        <v>244</v>
      </c>
      <c r="I65" s="1262"/>
      <c r="J65" s="7"/>
      <c r="K65" s="38"/>
    </row>
    <row r="66" spans="2:11">
      <c r="D66" s="1139"/>
      <c r="E66" s="1139"/>
      <c r="F66" s="112" t="s">
        <v>79</v>
      </c>
      <c r="H66" s="1230" t="s">
        <v>80</v>
      </c>
      <c r="I66" s="1230"/>
      <c r="J66" s="1252" t="s">
        <v>182</v>
      </c>
      <c r="K66" s="1252"/>
    </row>
    <row r="67" spans="2:11">
      <c r="D67" s="1139"/>
      <c r="E67" s="1139"/>
      <c r="F67" s="1130"/>
      <c r="G67" s="1139"/>
      <c r="H67" s="1139"/>
      <c r="I67" s="1139"/>
      <c r="J67" s="1139"/>
      <c r="K67" s="1139"/>
    </row>
    <row r="68" spans="2:11">
      <c r="B68" s="1251" t="s">
        <v>231</v>
      </c>
      <c r="C68" s="1251"/>
      <c r="D68" s="1251"/>
      <c r="E68" s="1251"/>
      <c r="F68" s="1251"/>
      <c r="G68" s="1251"/>
      <c r="H68" s="1251"/>
      <c r="I68" s="1251"/>
      <c r="J68" s="1251"/>
      <c r="K68" s="1251"/>
    </row>
    <row r="69" spans="2:11">
      <c r="B69" s="1251"/>
      <c r="C69" s="1251"/>
      <c r="D69" s="1251"/>
      <c r="E69" s="1251"/>
      <c r="F69" s="1251"/>
      <c r="G69" s="1251"/>
      <c r="H69" s="1251"/>
      <c r="I69" s="1251"/>
      <c r="J69" s="1251"/>
      <c r="K69" s="1251"/>
    </row>
    <row r="70" spans="2:11">
      <c r="B70" s="1251"/>
      <c r="C70" s="1251"/>
      <c r="D70" s="1251"/>
      <c r="E70" s="1251"/>
      <c r="F70" s="1251"/>
      <c r="G70" s="1251"/>
      <c r="H70" s="1251"/>
      <c r="I70" s="1251"/>
      <c r="J70" s="1251"/>
      <c r="K70" s="1251"/>
    </row>
    <row r="71" spans="2:11">
      <c r="D71" s="1139"/>
      <c r="E71" s="1139"/>
      <c r="F71" s="1139"/>
      <c r="G71" s="1139"/>
      <c r="H71" s="1139"/>
      <c r="I71" s="1139"/>
      <c r="J71" s="1139"/>
      <c r="K71" s="1139"/>
    </row>
    <row r="72" spans="2:11">
      <c r="B72" s="36" t="s">
        <v>78</v>
      </c>
      <c r="C72" s="36"/>
      <c r="D72" s="36"/>
      <c r="E72" s="36"/>
      <c r="F72" s="36"/>
      <c r="G72" s="36"/>
    </row>
    <row r="73" spans="2:11">
      <c r="C73" s="1168" t="str">
        <f>GalRepVar_МОЛ_Должн</f>
        <v>МОЛ_Должн</v>
      </c>
      <c r="D73" s="9"/>
      <c r="E73" s="9"/>
      <c r="F73" s="9"/>
      <c r="G73" s="66"/>
      <c r="H73" s="9"/>
      <c r="J73" s="1168" t="str">
        <f>GalRepVar_МОЛ</f>
        <v>МОЛ</v>
      </c>
      <c r="K73" s="9"/>
    </row>
    <row r="74" spans="2:11">
      <c r="C74" s="1230" t="s">
        <v>183</v>
      </c>
      <c r="D74" s="1230"/>
      <c r="E74" s="1230"/>
      <c r="F74" s="1230"/>
      <c r="G74" s="66"/>
      <c r="H74" s="1130" t="s">
        <v>80</v>
      </c>
      <c r="J74" s="112" t="s">
        <v>81</v>
      </c>
      <c r="K74" s="1139"/>
    </row>
    <row r="75" spans="2:11">
      <c r="C75" s="9"/>
      <c r="D75" s="9"/>
      <c r="E75" s="9"/>
      <c r="F75" s="9"/>
      <c r="G75" s="66"/>
      <c r="H75" s="9"/>
      <c r="J75" s="7"/>
      <c r="K75" s="38"/>
    </row>
    <row r="76" spans="2:11">
      <c r="C76" s="1230" t="s">
        <v>183</v>
      </c>
      <c r="D76" s="1230"/>
      <c r="E76" s="1230"/>
      <c r="F76" s="1230"/>
      <c r="G76" s="66"/>
      <c r="H76" s="1130" t="s">
        <v>80</v>
      </c>
      <c r="J76" s="112" t="s">
        <v>81</v>
      </c>
      <c r="K76" s="1139"/>
    </row>
    <row r="77" spans="2:11">
      <c r="C77" s="9"/>
      <c r="D77" s="9"/>
      <c r="E77" s="9"/>
      <c r="F77" s="9"/>
      <c r="G77" s="66"/>
      <c r="H77" s="9"/>
      <c r="J77" s="7"/>
      <c r="K77" s="38"/>
    </row>
    <row r="78" spans="2:11">
      <c r="C78" s="1230" t="s">
        <v>183</v>
      </c>
      <c r="D78" s="1230"/>
      <c r="E78" s="1230"/>
      <c r="F78" s="1230"/>
      <c r="G78" s="66"/>
      <c r="H78" s="1130" t="s">
        <v>80</v>
      </c>
      <c r="J78" s="112" t="s">
        <v>81</v>
      </c>
      <c r="K78" s="1139"/>
    </row>
    <row r="79" spans="2:11">
      <c r="C79" s="1130"/>
      <c r="D79" s="1130"/>
      <c r="E79" s="1130"/>
      <c r="F79" s="1130"/>
      <c r="G79" s="66"/>
      <c r="H79" s="1130"/>
      <c r="J79" s="112"/>
      <c r="K79" s="1139"/>
    </row>
    <row r="80" spans="2:11">
      <c r="B80" t="s">
        <v>243</v>
      </c>
      <c r="C80" s="1130"/>
      <c r="D80" s="1130"/>
      <c r="E80" s="1130"/>
      <c r="F80" s="1130"/>
      <c r="G80" s="66"/>
      <c r="H80" s="1130"/>
      <c r="J80" s="112"/>
      <c r="K80" s="1139"/>
    </row>
    <row r="81" spans="2:11">
      <c r="B81" s="1139"/>
      <c r="C81" s="9"/>
      <c r="D81" s="9"/>
      <c r="E81" s="9"/>
      <c r="F81" s="9"/>
      <c r="G81" s="66"/>
      <c r="H81" s="9"/>
      <c r="J81" s="7"/>
      <c r="K81" s="38"/>
    </row>
    <row r="82" spans="2:11">
      <c r="C82" s="1230" t="s">
        <v>183</v>
      </c>
      <c r="D82" s="1230"/>
      <c r="E82" s="1230"/>
      <c r="F82" s="1230"/>
      <c r="G82" s="66"/>
      <c r="H82" s="1130" t="s">
        <v>80</v>
      </c>
      <c r="J82" s="112" t="s">
        <v>81</v>
      </c>
      <c r="K82" s="1139"/>
    </row>
    <row r="83" spans="2:11" ht="12.75" customHeight="1"/>
    <row r="84" spans="2:11">
      <c r="F84" s="41"/>
    </row>
  </sheetData>
  <mergeCells count="41">
    <mergeCell ref="C78:F78"/>
    <mergeCell ref="C82:F82"/>
    <mergeCell ref="H65:I65"/>
    <mergeCell ref="H66:I66"/>
    <mergeCell ref="J66:K66"/>
    <mergeCell ref="B68:K70"/>
    <mergeCell ref="C74:F74"/>
    <mergeCell ref="C76:F76"/>
    <mergeCell ref="H64:I64"/>
    <mergeCell ref="J64:K64"/>
    <mergeCell ref="D44:K44"/>
    <mergeCell ref="D45:K45"/>
    <mergeCell ref="D46:K46"/>
    <mergeCell ref="D47:K47"/>
    <mergeCell ref="D48:K48"/>
    <mergeCell ref="D49:K49"/>
    <mergeCell ref="D55:K55"/>
    <mergeCell ref="D57:K57"/>
    <mergeCell ref="H60:I60"/>
    <mergeCell ref="H61:I61"/>
    <mergeCell ref="J61:K61"/>
    <mergeCell ref="J33:K34"/>
    <mergeCell ref="C35:C38"/>
    <mergeCell ref="D35:D38"/>
    <mergeCell ref="F18:I18"/>
    <mergeCell ref="K18:L18"/>
    <mergeCell ref="K19:L19"/>
    <mergeCell ref="K20:L20"/>
    <mergeCell ref="B24:K25"/>
    <mergeCell ref="D29:F29"/>
    <mergeCell ref="D31:F31"/>
    <mergeCell ref="C33:D34"/>
    <mergeCell ref="E33:E38"/>
    <mergeCell ref="F33:F38"/>
    <mergeCell ref="H33:I34"/>
    <mergeCell ref="K17:L17"/>
    <mergeCell ref="C9:K9"/>
    <mergeCell ref="K12:L12"/>
    <mergeCell ref="K13:L13"/>
    <mergeCell ref="K14:L14"/>
    <mergeCell ref="K15:L16"/>
  </mergeCells>
  <pageMargins left="0.27" right="0.35433070866141736" top="0.34" bottom="0.36" header="0.19" footer="0.28000000000000003"/>
  <pageSetup paperSize="9" orientation="landscape" horizontalDpi="300" verticalDpi="300" r:id="rId1"/>
  <headerFooter alignWithMargins="0"/>
  <rowBreaks count="1" manualBreakCount="1">
    <brk id="31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1"/>
  <dimension ref="A1:V121"/>
  <sheetViews>
    <sheetView view="pageBreakPreview" topLeftCell="A55" zoomScaleNormal="115" zoomScaleSheetLayoutView="100" workbookViewId="0">
      <selection activeCell="Y34" sqref="Y34"/>
    </sheetView>
  </sheetViews>
  <sheetFormatPr defaultRowHeight="12.75"/>
  <cols>
    <col min="1" max="1" width="0.42578125" customWidth="1"/>
    <col min="2" max="2" width="4.42578125" customWidth="1"/>
    <col min="3" max="3" width="7.42578125" customWidth="1"/>
    <col min="4" max="4" width="19.140625" customWidth="1"/>
    <col min="5" max="5" width="6.7109375" customWidth="1"/>
    <col min="6" max="6" width="5.85546875" customWidth="1"/>
    <col min="7" max="7" width="8.85546875" customWidth="1"/>
    <col min="8" max="8" width="8" customWidth="1"/>
    <col min="9" max="9" width="6.85546875" customWidth="1"/>
    <col min="10" max="10" width="8.140625" customWidth="1"/>
    <col min="11" max="13" width="6.85546875" customWidth="1"/>
    <col min="15" max="17" width="6.85546875" customWidth="1"/>
    <col min="19" max="21" width="1" customWidth="1"/>
  </cols>
  <sheetData>
    <row r="1" spans="2:19" ht="6" customHeight="1"/>
    <row r="2" spans="2:19" ht="11.25" customHeight="1">
      <c r="B2" s="1201" t="s">
        <v>599</v>
      </c>
      <c r="C2" s="1201"/>
      <c r="D2" s="1201"/>
      <c r="N2" s="2" t="s">
        <v>52</v>
      </c>
      <c r="O2" s="2"/>
      <c r="P2" s="2"/>
      <c r="Q2" s="3"/>
    </row>
    <row r="3" spans="2:19" ht="12.2" customHeight="1">
      <c r="B3" s="1201"/>
      <c r="C3" s="1201"/>
      <c r="D3" s="1201"/>
      <c r="I3" s="3"/>
      <c r="N3" s="2" t="s">
        <v>53</v>
      </c>
      <c r="O3" s="2"/>
      <c r="P3" s="2"/>
      <c r="R3" s="3"/>
    </row>
    <row r="4" spans="2:19" ht="12.2" customHeight="1" thickBot="1">
      <c r="B4" s="1201"/>
      <c r="C4" s="1201"/>
      <c r="D4" s="1201"/>
      <c r="I4" s="3"/>
      <c r="N4" s="2" t="s">
        <v>54</v>
      </c>
      <c r="O4" s="2"/>
      <c r="P4" s="2"/>
      <c r="R4" s="3"/>
    </row>
    <row r="5" spans="2:19" ht="14.25" customHeight="1">
      <c r="Q5" s="1202" t="s">
        <v>55</v>
      </c>
      <c r="R5" s="1267"/>
      <c r="S5" s="1203"/>
    </row>
    <row r="6" spans="2:19" ht="14.25" customHeight="1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5" t="s">
        <v>56</v>
      </c>
      <c r="Q6" s="1206">
        <v>317004</v>
      </c>
      <c r="R6" s="1271"/>
      <c r="S6" s="1207"/>
    </row>
    <row r="7" spans="2:19" ht="14.25" customHeight="1">
      <c r="B7" s="6" t="s">
        <v>35</v>
      </c>
      <c r="C7" s="7"/>
      <c r="D7" s="8"/>
      <c r="E7" s="9"/>
      <c r="F7" s="8"/>
      <c r="G7" s="8"/>
      <c r="H7" s="8"/>
      <c r="I7" s="8"/>
      <c r="J7" s="8"/>
      <c r="K7" s="8"/>
      <c r="L7" s="8"/>
      <c r="M7" s="8"/>
      <c r="N7" s="8"/>
      <c r="O7" s="8"/>
      <c r="P7" s="10" t="s">
        <v>57</v>
      </c>
      <c r="Q7" s="1204" t="s">
        <v>34</v>
      </c>
      <c r="R7" s="1266"/>
      <c r="S7" s="1205"/>
    </row>
    <row r="8" spans="2:19" ht="8.4499999999999993" customHeight="1">
      <c r="C8" s="11"/>
      <c r="D8" s="12"/>
      <c r="F8" s="12"/>
      <c r="G8" s="13" t="s">
        <v>58</v>
      </c>
      <c r="H8" s="12"/>
      <c r="I8" s="12"/>
      <c r="J8" s="12"/>
      <c r="K8" s="12"/>
      <c r="L8" s="12"/>
      <c r="M8" s="12"/>
      <c r="N8" s="12"/>
      <c r="O8" s="12"/>
      <c r="P8" s="5"/>
      <c r="Q8" s="1268"/>
      <c r="R8" s="1269"/>
      <c r="S8" s="1270"/>
    </row>
    <row r="9" spans="2:19" ht="13.7" customHeight="1">
      <c r="B9" s="14" t="s">
        <v>32</v>
      </c>
      <c r="C9" s="15"/>
      <c r="D9" s="9"/>
      <c r="E9" s="9"/>
      <c r="F9" s="7"/>
      <c r="G9" s="7"/>
      <c r="H9" s="16"/>
      <c r="I9" s="7"/>
      <c r="J9" s="9"/>
      <c r="K9" s="9"/>
      <c r="L9" s="9"/>
      <c r="M9" s="7"/>
      <c r="N9" s="7"/>
      <c r="O9" s="7"/>
      <c r="P9" s="7"/>
      <c r="Q9" s="1268"/>
      <c r="R9" s="1269"/>
      <c r="S9" s="1270"/>
    </row>
    <row r="10" spans="2:19" ht="15.75" customHeight="1">
      <c r="B10" s="17"/>
      <c r="C10" s="17"/>
      <c r="F10" s="4"/>
      <c r="G10" s="13" t="s">
        <v>59</v>
      </c>
      <c r="H10" s="4"/>
      <c r="I10" s="4"/>
      <c r="M10" s="4"/>
      <c r="N10" s="4"/>
      <c r="O10" s="4"/>
      <c r="P10" s="18" t="s">
        <v>60</v>
      </c>
      <c r="Q10" s="1268"/>
      <c r="R10" s="1269"/>
      <c r="S10" s="1270"/>
    </row>
    <row r="11" spans="2:19" ht="15.75" customHeight="1">
      <c r="B11" s="17" t="s">
        <v>61</v>
      </c>
      <c r="D11" s="4"/>
      <c r="E11" s="4"/>
      <c r="F11" s="4"/>
      <c r="G11" s="19" t="s">
        <v>62</v>
      </c>
      <c r="H11" s="20"/>
      <c r="I11" s="20"/>
      <c r="J11" s="20"/>
      <c r="K11" s="20"/>
      <c r="L11" s="20"/>
      <c r="M11" s="20"/>
      <c r="N11" s="20"/>
      <c r="O11" s="20"/>
      <c r="P11" s="21" t="s">
        <v>4</v>
      </c>
      <c r="Q11" s="1204" t="s">
        <v>331</v>
      </c>
      <c r="R11" s="1266"/>
      <c r="S11" s="1205"/>
    </row>
    <row r="12" spans="2:19" ht="15.75" customHeight="1">
      <c r="F12" s="4"/>
      <c r="G12" s="22"/>
      <c r="H12" s="22"/>
      <c r="I12" s="22"/>
      <c r="J12" s="23" t="s">
        <v>63</v>
      </c>
      <c r="K12" s="23"/>
      <c r="L12" s="23"/>
      <c r="M12" s="22"/>
      <c r="N12" s="22"/>
      <c r="O12" s="22"/>
      <c r="P12" s="24" t="s">
        <v>64</v>
      </c>
      <c r="Q12" s="1204" t="s">
        <v>332</v>
      </c>
      <c r="R12" s="1266"/>
      <c r="S12" s="1205"/>
    </row>
    <row r="13" spans="2:19" ht="15.75" customHeight="1">
      <c r="F13" s="4"/>
      <c r="G13" s="4"/>
      <c r="H13" s="4"/>
      <c r="I13" s="4"/>
      <c r="J13" s="4"/>
      <c r="K13" s="4"/>
      <c r="L13" s="4"/>
      <c r="M13" s="4"/>
      <c r="N13" s="25"/>
      <c r="O13" s="25"/>
      <c r="P13" s="5" t="s">
        <v>65</v>
      </c>
      <c r="Q13" s="1204" t="s">
        <v>31</v>
      </c>
      <c r="R13" s="1266"/>
      <c r="S13" s="1205"/>
    </row>
    <row r="14" spans="2:19" ht="15.75" customHeight="1">
      <c r="F14" s="4"/>
      <c r="G14" s="4"/>
      <c r="H14" s="4"/>
      <c r="I14" s="4"/>
      <c r="J14" s="4"/>
      <c r="K14" s="4"/>
      <c r="L14" s="4"/>
      <c r="M14" s="25"/>
      <c r="N14" s="25"/>
      <c r="O14" s="25"/>
      <c r="P14" s="5" t="s">
        <v>66</v>
      </c>
      <c r="Q14" s="1204" t="s">
        <v>330</v>
      </c>
      <c r="R14" s="1266"/>
      <c r="S14" s="1205"/>
    </row>
    <row r="15" spans="2:19" ht="15.75" customHeight="1" thickBot="1">
      <c r="F15" s="4"/>
      <c r="G15" s="4"/>
      <c r="H15" s="4"/>
      <c r="I15" s="4"/>
      <c r="J15" s="4"/>
      <c r="K15" s="4"/>
      <c r="L15" s="4"/>
      <c r="M15" s="4"/>
      <c r="N15" s="4"/>
      <c r="O15" s="4"/>
      <c r="P15" s="5" t="s">
        <v>67</v>
      </c>
      <c r="Q15" s="1272"/>
      <c r="R15" s="1273"/>
      <c r="S15" s="1274"/>
    </row>
    <row r="16" spans="2:19" ht="13.5" thickBot="1"/>
    <row r="17" spans="2:19">
      <c r="J17" s="4"/>
      <c r="K17" s="4"/>
      <c r="L17" s="4"/>
      <c r="M17" s="26" t="s">
        <v>68</v>
      </c>
      <c r="N17" s="27"/>
      <c r="O17" s="1199" t="s">
        <v>69</v>
      </c>
      <c r="P17" s="1277"/>
      <c r="Q17" s="1200"/>
    </row>
    <row r="18" spans="2:19" ht="16.5" thickBot="1">
      <c r="F18" s="3"/>
      <c r="G18" s="28" t="s">
        <v>70</v>
      </c>
      <c r="I18" s="3"/>
      <c r="J18" s="4"/>
      <c r="K18" s="4"/>
      <c r="L18" s="4"/>
      <c r="M18" s="1179" t="s">
        <v>293</v>
      </c>
      <c r="N18" s="1180"/>
      <c r="O18" s="29"/>
      <c r="P18" s="29"/>
      <c r="Q18" s="30"/>
    </row>
    <row r="19" spans="2:19" ht="15">
      <c r="F19" s="3"/>
      <c r="G19" s="31" t="s">
        <v>71</v>
      </c>
      <c r="I19" s="3"/>
    </row>
    <row r="20" spans="2:19" ht="15.75" customHeight="1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</row>
    <row r="21" spans="2:19" ht="11.25" customHeight="1">
      <c r="F21" s="32"/>
      <c r="G21" s="33" t="s">
        <v>72</v>
      </c>
      <c r="I21" s="32"/>
    </row>
    <row r="22" spans="2:19" ht="15.75" customHeight="1">
      <c r="B22" s="34" t="s">
        <v>73</v>
      </c>
      <c r="C22" s="3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</row>
    <row r="23" spans="2:19" ht="11.25" customHeight="1">
      <c r="E23" s="3"/>
      <c r="F23" s="3"/>
      <c r="G23" s="23" t="s">
        <v>74</v>
      </c>
      <c r="I23" s="3"/>
      <c r="J23" s="3"/>
      <c r="K23" s="3"/>
      <c r="L23" s="3"/>
    </row>
    <row r="25" spans="2:19" ht="15">
      <c r="F25" s="3"/>
      <c r="I25" s="35" t="s">
        <v>75</v>
      </c>
    </row>
    <row r="26" spans="2:19" ht="9.75" customHeight="1"/>
    <row r="27" spans="2:19">
      <c r="C27" s="17" t="s">
        <v>76</v>
      </c>
      <c r="D27" s="17"/>
      <c r="E27" s="17"/>
      <c r="F27" s="17"/>
      <c r="G27" s="17"/>
    </row>
    <row r="28" spans="2:19">
      <c r="B28" s="17" t="s">
        <v>77</v>
      </c>
      <c r="C28" s="17"/>
      <c r="D28" s="17"/>
      <c r="E28" s="17"/>
      <c r="F28" s="17"/>
      <c r="G28" s="17"/>
    </row>
    <row r="29" spans="2:19">
      <c r="B29" s="17"/>
      <c r="C29" s="17"/>
      <c r="D29" s="17"/>
      <c r="E29" s="17"/>
      <c r="F29" s="17"/>
      <c r="G29" s="17"/>
      <c r="Q29" s="36"/>
    </row>
    <row r="30" spans="2:19">
      <c r="B30" s="17" t="s">
        <v>78</v>
      </c>
      <c r="N30" s="36"/>
      <c r="O30" s="36"/>
      <c r="P30" s="36"/>
      <c r="Q30" s="36"/>
      <c r="R30" s="36"/>
    </row>
    <row r="31" spans="2:19">
      <c r="B31" s="4"/>
      <c r="F31" s="428" t="s">
        <v>291</v>
      </c>
      <c r="G31" s="9"/>
      <c r="H31" s="9"/>
      <c r="J31" s="9"/>
      <c r="K31" s="66"/>
      <c r="L31" s="66"/>
      <c r="N31" s="428" t="s">
        <v>33</v>
      </c>
      <c r="O31" s="37"/>
      <c r="P31" s="37"/>
      <c r="Q31" s="38"/>
    </row>
    <row r="32" spans="2:19">
      <c r="E32" s="4"/>
      <c r="F32" s="3"/>
      <c r="G32" s="39" t="s">
        <v>79</v>
      </c>
      <c r="I32" s="3"/>
      <c r="J32" s="40" t="s">
        <v>80</v>
      </c>
      <c r="K32" s="40"/>
      <c r="L32" s="40"/>
      <c r="N32" s="39" t="s">
        <v>81</v>
      </c>
      <c r="O32" s="39"/>
      <c r="P32" s="39"/>
      <c r="Q32" s="3"/>
    </row>
    <row r="33" spans="1:20">
      <c r="B33" s="4"/>
      <c r="F33" s="9"/>
      <c r="G33" s="9"/>
      <c r="H33" s="9"/>
      <c r="J33" s="9"/>
      <c r="K33" s="66"/>
      <c r="L33" s="66"/>
      <c r="N33" s="7"/>
      <c r="O33" s="7"/>
      <c r="P33" s="7"/>
      <c r="Q33" s="38"/>
      <c r="R33" s="36"/>
    </row>
    <row r="34" spans="1:20">
      <c r="E34" s="4"/>
      <c r="F34" s="3"/>
      <c r="G34" s="39" t="s">
        <v>79</v>
      </c>
      <c r="I34" s="3"/>
      <c r="J34" s="40" t="s">
        <v>80</v>
      </c>
      <c r="K34" s="40"/>
      <c r="L34" s="40"/>
      <c r="N34" s="39" t="s">
        <v>81</v>
      </c>
      <c r="O34" s="39"/>
      <c r="P34" s="39"/>
      <c r="Q34" s="3"/>
    </row>
    <row r="35" spans="1:20">
      <c r="B35" s="231" t="s">
        <v>196</v>
      </c>
      <c r="I35" s="43" t="s">
        <v>197</v>
      </c>
      <c r="J35" s="218"/>
      <c r="K35" s="218"/>
      <c r="L35" s="66"/>
      <c r="M35" s="66"/>
      <c r="N35" s="66"/>
      <c r="O35" s="66"/>
    </row>
    <row r="36" spans="1:20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231"/>
      <c r="O36" s="4"/>
      <c r="P36" s="4"/>
      <c r="Q36" s="25"/>
      <c r="R36" s="25"/>
      <c r="S36" s="115"/>
    </row>
    <row r="37" spans="1:20" ht="13.5" thickBot="1">
      <c r="B37" s="4"/>
      <c r="C37" s="4"/>
      <c r="D37" s="4"/>
      <c r="E37" s="4"/>
      <c r="F37" s="4"/>
      <c r="G37" s="4"/>
      <c r="H37" s="4"/>
      <c r="I37" s="4"/>
      <c r="J37" s="4"/>
      <c r="K37" s="4"/>
      <c r="L37" s="220"/>
      <c r="M37" s="220"/>
      <c r="N37" s="220"/>
      <c r="O37" s="220"/>
      <c r="P37" s="220"/>
      <c r="Q37" s="80"/>
      <c r="R37" s="221"/>
      <c r="S37" s="252"/>
      <c r="T37" s="252"/>
    </row>
    <row r="38" spans="1:20" ht="11.25" customHeight="1">
      <c r="B38" s="44"/>
      <c r="C38" s="45"/>
      <c r="D38" s="46" t="s">
        <v>86</v>
      </c>
      <c r="E38" s="47"/>
      <c r="F38" s="46" t="s">
        <v>87</v>
      </c>
      <c r="G38" s="47"/>
      <c r="H38" s="48"/>
      <c r="I38" s="49" t="s">
        <v>88</v>
      </c>
      <c r="J38" s="50"/>
      <c r="K38" s="1185" t="s">
        <v>186</v>
      </c>
      <c r="L38" s="1275"/>
      <c r="M38" s="1275"/>
      <c r="N38" s="1182"/>
      <c r="O38" s="1185" t="s">
        <v>185</v>
      </c>
      <c r="P38" s="1275"/>
      <c r="Q38" s="1275"/>
      <c r="R38" s="1182"/>
    </row>
    <row r="39" spans="1:20" ht="11.25" customHeight="1">
      <c r="B39" s="51" t="s">
        <v>89</v>
      </c>
      <c r="C39" s="52" t="s">
        <v>90</v>
      </c>
      <c r="D39" s="53" t="s">
        <v>91</v>
      </c>
      <c r="E39" s="54"/>
      <c r="F39" s="230" t="s">
        <v>92</v>
      </c>
      <c r="G39" s="56"/>
      <c r="H39" s="57"/>
      <c r="I39" s="58"/>
      <c r="J39" s="59"/>
      <c r="K39" s="1187"/>
      <c r="L39" s="1276"/>
      <c r="M39" s="1276"/>
      <c r="N39" s="1184"/>
      <c r="O39" s="1187"/>
      <c r="P39" s="1276"/>
      <c r="Q39" s="1276"/>
      <c r="R39" s="1184"/>
    </row>
    <row r="40" spans="1:20" ht="11.25" customHeight="1">
      <c r="B40" s="51" t="s">
        <v>94</v>
      </c>
      <c r="C40" s="52" t="s">
        <v>95</v>
      </c>
      <c r="D40" s="52" t="s">
        <v>8</v>
      </c>
      <c r="E40" s="63" t="s">
        <v>190</v>
      </c>
      <c r="F40" s="52" t="s">
        <v>7</v>
      </c>
      <c r="G40" s="62"/>
      <c r="H40" s="63" t="s">
        <v>97</v>
      </c>
      <c r="I40" s="64"/>
      <c r="J40" s="65"/>
      <c r="K40" s="226"/>
      <c r="L40" s="222"/>
      <c r="M40" s="66"/>
      <c r="N40" s="224"/>
      <c r="O40" s="228"/>
      <c r="P40" s="66"/>
      <c r="Q40" s="55"/>
      <c r="R40" s="69"/>
    </row>
    <row r="41" spans="1:20" ht="11.25" customHeight="1">
      <c r="B41" s="51" t="s">
        <v>98</v>
      </c>
      <c r="C41" s="52"/>
      <c r="D41" s="52" t="s">
        <v>6</v>
      </c>
      <c r="E41" s="63" t="s">
        <v>191</v>
      </c>
      <c r="F41" s="52" t="s">
        <v>193</v>
      </c>
      <c r="G41" s="63" t="s">
        <v>100</v>
      </c>
      <c r="H41" s="63" t="s">
        <v>101</v>
      </c>
      <c r="I41" s="56" t="s">
        <v>102</v>
      </c>
      <c r="J41" s="65" t="s">
        <v>103</v>
      </c>
      <c r="K41" s="227" t="s">
        <v>188</v>
      </c>
      <c r="L41" s="56" t="s">
        <v>189</v>
      </c>
      <c r="M41" s="70" t="s">
        <v>104</v>
      </c>
      <c r="N41" s="225" t="s">
        <v>187</v>
      </c>
      <c r="O41" s="227" t="s">
        <v>188</v>
      </c>
      <c r="P41" s="56" t="s">
        <v>189</v>
      </c>
      <c r="Q41" s="52" t="s">
        <v>104</v>
      </c>
      <c r="R41" s="225" t="s">
        <v>187</v>
      </c>
    </row>
    <row r="42" spans="1:20" ht="11.25" customHeight="1">
      <c r="B42" s="71"/>
      <c r="C42" s="52"/>
      <c r="D42" s="52" t="s">
        <v>107</v>
      </c>
      <c r="E42" s="63" t="s">
        <v>192</v>
      </c>
      <c r="F42" s="52" t="s">
        <v>194</v>
      </c>
      <c r="G42" s="63" t="s">
        <v>110</v>
      </c>
      <c r="H42" s="72"/>
      <c r="I42" s="56" t="s">
        <v>111</v>
      </c>
      <c r="J42" s="65"/>
      <c r="K42" s="227"/>
      <c r="L42" s="56"/>
      <c r="M42" s="70" t="s">
        <v>112</v>
      </c>
      <c r="N42" s="225" t="str">
        <f>H41</f>
        <v>simvval</v>
      </c>
      <c r="O42" s="227"/>
      <c r="P42" s="70"/>
      <c r="Q42" s="52" t="s">
        <v>112</v>
      </c>
      <c r="R42" s="52" t="str">
        <f>H41</f>
        <v>simvval</v>
      </c>
      <c r="S42" s="73"/>
    </row>
    <row r="43" spans="1:20" ht="11.25" customHeight="1" thickBot="1">
      <c r="B43" s="74"/>
      <c r="C43" s="75"/>
      <c r="D43" s="76" t="s">
        <v>113</v>
      </c>
      <c r="E43" s="77" t="s">
        <v>114</v>
      </c>
      <c r="F43" s="75"/>
      <c r="G43" s="77"/>
      <c r="H43" s="77"/>
      <c r="I43" s="78"/>
      <c r="J43" s="79"/>
      <c r="K43" s="74"/>
      <c r="L43" s="78"/>
      <c r="M43" s="80"/>
      <c r="N43" s="81"/>
      <c r="O43" s="74"/>
      <c r="P43" s="80"/>
      <c r="Q43" s="75"/>
      <c r="R43" s="81"/>
    </row>
    <row r="44" spans="1:20">
      <c r="B44" s="82">
        <v>1</v>
      </c>
      <c r="C44" s="83">
        <v>2</v>
      </c>
      <c r="D44" s="83">
        <v>3</v>
      </c>
      <c r="E44" s="84">
        <v>4</v>
      </c>
      <c r="F44" s="83">
        <v>5</v>
      </c>
      <c r="G44" s="83">
        <v>6</v>
      </c>
      <c r="H44" s="83">
        <v>7</v>
      </c>
      <c r="I44" s="83">
        <v>8</v>
      </c>
      <c r="J44" s="85">
        <v>9</v>
      </c>
      <c r="K44" s="219" t="s">
        <v>198</v>
      </c>
      <c r="L44" s="83" t="s">
        <v>199</v>
      </c>
      <c r="M44" s="86" t="s">
        <v>200</v>
      </c>
      <c r="N44" s="85" t="s">
        <v>201</v>
      </c>
      <c r="O44" s="86" t="s">
        <v>202</v>
      </c>
      <c r="P44" s="83" t="s">
        <v>203</v>
      </c>
      <c r="Q44" s="83" t="s">
        <v>204</v>
      </c>
      <c r="R44" s="87" t="s">
        <v>205</v>
      </c>
    </row>
    <row r="45" spans="1:20" ht="22.5">
      <c r="A45" s="66"/>
      <c r="B45" s="169" t="s">
        <v>4</v>
      </c>
      <c r="C45" s="233" t="s">
        <v>5</v>
      </c>
      <c r="D45" s="233" t="s">
        <v>6</v>
      </c>
      <c r="E45" s="433" t="s">
        <v>7</v>
      </c>
      <c r="F45" s="433" t="s">
        <v>336</v>
      </c>
      <c r="G45" s="234" t="s">
        <v>8</v>
      </c>
      <c r="H45" s="171" t="s">
        <v>9</v>
      </c>
      <c r="I45" s="434" t="s">
        <v>14</v>
      </c>
      <c r="J45" s="435" t="s">
        <v>15</v>
      </c>
      <c r="K45" s="236" t="s">
        <v>20</v>
      </c>
      <c r="L45" s="236" t="s">
        <v>21</v>
      </c>
      <c r="M45" s="337" t="s">
        <v>16</v>
      </c>
      <c r="N45" s="235" t="s">
        <v>17</v>
      </c>
      <c r="O45" s="236" t="s">
        <v>22</v>
      </c>
      <c r="P45" s="171" t="s">
        <v>23</v>
      </c>
      <c r="Q45" s="338" t="s">
        <v>18</v>
      </c>
      <c r="R45" s="235" t="s">
        <v>19</v>
      </c>
    </row>
    <row r="46" spans="1:20" ht="13.7" customHeight="1">
      <c r="A46" s="66"/>
      <c r="B46" s="66" t="s">
        <v>115</v>
      </c>
      <c r="C46" s="66"/>
      <c r="D46" s="93"/>
      <c r="E46" s="93"/>
      <c r="F46" s="66"/>
      <c r="G46" s="66"/>
      <c r="H46" s="66"/>
      <c r="I46" s="66"/>
      <c r="J46" s="223"/>
      <c r="K46" s="247"/>
      <c r="L46" s="247"/>
      <c r="M46" s="343"/>
      <c r="N46" s="238"/>
      <c r="O46" s="239"/>
      <c r="P46" s="175"/>
      <c r="Q46" s="343"/>
      <c r="R46" s="175"/>
    </row>
    <row r="47" spans="1:20" ht="13.7" customHeight="1">
      <c r="A47" s="66"/>
      <c r="B47" s="34" t="s">
        <v>116</v>
      </c>
      <c r="C47" s="3"/>
      <c r="D47" s="3"/>
    </row>
    <row r="48" spans="1:20" ht="13.7" customHeight="1">
      <c r="A48" s="66"/>
      <c r="B48" s="2"/>
      <c r="C48" s="3"/>
      <c r="D48" s="3"/>
    </row>
    <row r="49" spans="1:22" ht="13.7" customHeight="1">
      <c r="A49" s="66"/>
      <c r="C49" s="96" t="s">
        <v>117</v>
      </c>
      <c r="E49" s="97"/>
      <c r="F49" s="1189"/>
      <c r="G49" s="1189"/>
      <c r="H49" s="1189"/>
      <c r="I49" s="1189"/>
      <c r="J49" s="1189"/>
      <c r="K49" s="1189"/>
      <c r="L49" s="1189"/>
      <c r="M49" s="1189"/>
      <c r="N49" s="1189"/>
      <c r="O49" s="1189"/>
      <c r="P49" s="1189"/>
      <c r="Q49" s="1189"/>
      <c r="R49" s="1189"/>
    </row>
    <row r="50" spans="1:22" ht="13.7" customHeight="1">
      <c r="A50" s="66"/>
      <c r="D50" s="97"/>
      <c r="E50" s="97"/>
      <c r="F50" s="4"/>
      <c r="H50" s="22"/>
      <c r="I50" s="22"/>
      <c r="M50" s="23" t="s">
        <v>118</v>
      </c>
      <c r="Q50" s="22"/>
      <c r="R50" s="22"/>
    </row>
    <row r="51" spans="1:22" ht="13.7" customHeight="1">
      <c r="A51" s="66"/>
      <c r="C51" s="98" t="s">
        <v>119</v>
      </c>
      <c r="E51" s="99"/>
      <c r="F51" s="1189"/>
      <c r="G51" s="1189"/>
      <c r="H51" s="1189"/>
      <c r="I51" s="1189"/>
      <c r="J51" s="1189"/>
      <c r="K51" s="1189"/>
      <c r="L51" s="1189"/>
      <c r="M51" s="1189"/>
      <c r="N51" s="1189"/>
      <c r="O51" s="1189"/>
      <c r="P51" s="1189"/>
      <c r="Q51" s="1189"/>
      <c r="R51" s="1189"/>
    </row>
    <row r="52" spans="1:22" ht="13.7" customHeight="1">
      <c r="A52" s="66"/>
      <c r="D52" s="97"/>
      <c r="E52" s="97"/>
      <c r="F52" s="4"/>
      <c r="H52" s="22"/>
      <c r="I52" s="22"/>
      <c r="M52" s="23" t="s">
        <v>118</v>
      </c>
      <c r="Q52" s="22"/>
      <c r="R52" s="22"/>
    </row>
    <row r="53" spans="1:22" ht="13.7" customHeight="1">
      <c r="A53" s="66"/>
      <c r="C53" s="96" t="s">
        <v>120</v>
      </c>
      <c r="E53" s="97"/>
      <c r="F53" s="1189"/>
      <c r="G53" s="1189"/>
      <c r="H53" s="1189"/>
      <c r="I53" s="1189"/>
      <c r="J53" s="1189"/>
      <c r="K53" s="1189"/>
      <c r="L53" s="1189"/>
      <c r="M53" s="1189"/>
      <c r="N53" s="1189"/>
      <c r="O53" s="1189"/>
      <c r="P53" s="1189"/>
      <c r="Q53" s="1189"/>
      <c r="R53" s="1189"/>
    </row>
    <row r="54" spans="1:22" ht="13.7" customHeight="1">
      <c r="A54" s="66"/>
      <c r="F54" s="4"/>
      <c r="H54" s="22"/>
      <c r="I54" s="22"/>
      <c r="M54" s="23" t="s">
        <v>118</v>
      </c>
      <c r="Q54" s="22"/>
      <c r="R54" s="22"/>
    </row>
    <row r="55" spans="1:22" ht="13.5" thickBot="1">
      <c r="A55" s="66"/>
      <c r="D55" s="93"/>
      <c r="E55" s="93"/>
      <c r="F55" s="66"/>
      <c r="G55" s="66"/>
      <c r="H55" s="66"/>
      <c r="I55" s="66"/>
      <c r="J55" s="94"/>
      <c r="K55" s="229"/>
      <c r="L55" s="229"/>
      <c r="M55" s="100"/>
      <c r="N55" s="101"/>
      <c r="O55" s="101"/>
      <c r="P55" s="249"/>
      <c r="Q55" s="250"/>
      <c r="R55" s="248"/>
      <c r="S55" s="251"/>
      <c r="T55" s="252"/>
      <c r="U55" s="252"/>
      <c r="V55" s="252"/>
    </row>
    <row r="56" spans="1:22" ht="14.25" thickBot="1">
      <c r="B56" s="103" t="s">
        <v>39</v>
      </c>
      <c r="C56" s="104"/>
      <c r="D56" s="104"/>
      <c r="E56" s="104"/>
      <c r="F56" s="104"/>
      <c r="G56" s="104"/>
      <c r="H56" s="105"/>
      <c r="I56" s="106" t="s">
        <v>121</v>
      </c>
      <c r="J56" s="107"/>
      <c r="K56" s="245"/>
      <c r="L56" s="246"/>
      <c r="M56" s="341"/>
      <c r="N56" s="240"/>
      <c r="O56" s="240"/>
      <c r="P56" s="240"/>
      <c r="Q56" s="342"/>
      <c r="R56" s="241"/>
    </row>
    <row r="57" spans="1:22">
      <c r="B57" s="34" t="s">
        <v>122</v>
      </c>
    </row>
    <row r="58" spans="1:22" ht="13.5">
      <c r="C58" s="96" t="s">
        <v>117</v>
      </c>
      <c r="E58" s="97"/>
      <c r="F58" s="334" t="s">
        <v>51</v>
      </c>
      <c r="G58" s="9"/>
      <c r="H58" s="9"/>
      <c r="I58" s="9"/>
      <c r="J58" s="19"/>
      <c r="K58" s="19"/>
      <c r="L58" s="19"/>
      <c r="M58" s="19"/>
      <c r="N58" s="19"/>
      <c r="O58" s="19"/>
      <c r="P58" s="19"/>
      <c r="Q58" s="19"/>
      <c r="R58" s="19"/>
    </row>
    <row r="59" spans="1:22">
      <c r="D59" s="97"/>
      <c r="E59" s="97"/>
      <c r="F59" s="4"/>
      <c r="H59" s="22"/>
      <c r="I59" s="22"/>
      <c r="M59" s="23" t="s">
        <v>118</v>
      </c>
      <c r="Q59" s="22"/>
      <c r="R59" s="22"/>
    </row>
    <row r="60" spans="1:22" ht="13.5">
      <c r="C60" s="98" t="s">
        <v>119</v>
      </c>
      <c r="E60" s="99"/>
      <c r="F60" s="1177"/>
      <c r="G60" s="1177"/>
      <c r="H60" s="1177"/>
      <c r="I60" s="1177"/>
      <c r="J60" s="1177"/>
      <c r="K60" s="1177"/>
      <c r="L60" s="1177"/>
      <c r="M60" s="1177"/>
      <c r="N60" s="1177"/>
      <c r="O60" s="1177"/>
      <c r="P60" s="1177"/>
      <c r="Q60" s="1177"/>
      <c r="R60" s="1177"/>
    </row>
    <row r="61" spans="1:22">
      <c r="D61" s="97"/>
      <c r="E61" s="97"/>
      <c r="F61" s="4"/>
      <c r="G61" s="110"/>
      <c r="H61" s="22"/>
      <c r="I61" s="22"/>
      <c r="M61" s="23" t="s">
        <v>118</v>
      </c>
      <c r="Q61" s="22"/>
      <c r="R61" s="22"/>
    </row>
    <row r="62" spans="1:22" ht="13.5">
      <c r="C62" s="96" t="s">
        <v>120</v>
      </c>
      <c r="E62" s="97"/>
      <c r="F62" s="1177"/>
      <c r="G62" s="1177"/>
      <c r="H62" s="1177"/>
      <c r="I62" s="1177"/>
      <c r="J62" s="1177"/>
      <c r="K62" s="1177"/>
      <c r="L62" s="1177"/>
      <c r="M62" s="1177"/>
      <c r="N62" s="1177"/>
      <c r="O62" s="1177"/>
      <c r="P62" s="1177"/>
      <c r="Q62" s="1177"/>
      <c r="R62" s="1177"/>
    </row>
    <row r="63" spans="1:22">
      <c r="D63" s="4"/>
      <c r="E63" s="4"/>
      <c r="F63" s="4"/>
      <c r="H63" s="22"/>
      <c r="I63" s="22"/>
      <c r="J63" s="22"/>
      <c r="K63" s="22"/>
      <c r="L63" s="22"/>
      <c r="M63" s="23" t="s">
        <v>118</v>
      </c>
      <c r="Q63" s="22"/>
      <c r="R63" s="22"/>
    </row>
    <row r="64" spans="1:22">
      <c r="B64" s="34" t="s">
        <v>123</v>
      </c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</row>
    <row r="65" spans="2:18">
      <c r="C65" s="34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</row>
    <row r="66" spans="2:18">
      <c r="B66" s="34" t="s">
        <v>124</v>
      </c>
      <c r="C66" s="2"/>
      <c r="D66" s="36"/>
      <c r="E66" s="36"/>
      <c r="F66" s="37" t="s">
        <v>125</v>
      </c>
      <c r="G66" s="9"/>
      <c r="H66" s="9"/>
      <c r="I66" s="9"/>
      <c r="K66" s="9"/>
      <c r="L66" s="9"/>
      <c r="N66" s="111" t="s">
        <v>126</v>
      </c>
      <c r="O66" s="111"/>
      <c r="P66" s="111"/>
      <c r="Q66" s="38"/>
      <c r="R66" s="36"/>
    </row>
    <row r="67" spans="2:18">
      <c r="C67" s="36"/>
      <c r="D67" s="36"/>
      <c r="E67" s="3"/>
      <c r="F67" s="3"/>
      <c r="G67" s="112" t="s">
        <v>79</v>
      </c>
      <c r="I67" s="3"/>
      <c r="J67" s="3"/>
      <c r="K67" s="1252" t="s">
        <v>80</v>
      </c>
      <c r="L67" s="1252"/>
      <c r="N67" s="112" t="s">
        <v>81</v>
      </c>
      <c r="O67" s="112"/>
      <c r="P67" s="112"/>
      <c r="Q67" s="3"/>
    </row>
    <row r="68" spans="2:18">
      <c r="B68" s="34" t="s">
        <v>127</v>
      </c>
      <c r="C68" s="36"/>
      <c r="D68" s="36"/>
      <c r="E68" s="3"/>
      <c r="F68" s="36"/>
    </row>
    <row r="69" spans="2:18">
      <c r="E69" s="3"/>
      <c r="F69" s="37" t="s">
        <v>3</v>
      </c>
      <c r="G69" s="9"/>
      <c r="H69" s="9"/>
      <c r="I69" s="9"/>
      <c r="K69" s="9"/>
      <c r="L69" s="9"/>
      <c r="N69" s="111" t="s">
        <v>1</v>
      </c>
      <c r="O69" s="111"/>
      <c r="P69" s="111"/>
      <c r="Q69" s="38"/>
      <c r="R69" s="3"/>
    </row>
    <row r="70" spans="2:18">
      <c r="F70" s="3"/>
      <c r="G70" s="112" t="s">
        <v>79</v>
      </c>
      <c r="I70" s="3"/>
      <c r="J70" s="3"/>
      <c r="K70" s="1252" t="s">
        <v>80</v>
      </c>
      <c r="L70" s="1252"/>
      <c r="N70" s="112" t="s">
        <v>81</v>
      </c>
      <c r="O70" s="112"/>
      <c r="P70" s="112"/>
      <c r="Q70" s="3"/>
    </row>
    <row r="71" spans="2:18">
      <c r="E71" s="3"/>
      <c r="F71" s="9"/>
      <c r="G71" s="9"/>
      <c r="H71" s="9"/>
      <c r="I71" s="9"/>
      <c r="K71" s="9"/>
      <c r="L71" s="9"/>
      <c r="N71" s="7"/>
      <c r="O71" s="7"/>
      <c r="P71" s="7"/>
      <c r="Q71" s="38"/>
      <c r="R71" s="3"/>
    </row>
    <row r="72" spans="2:18">
      <c r="E72" s="3"/>
      <c r="F72" s="3"/>
      <c r="G72" s="112" t="s">
        <v>79</v>
      </c>
      <c r="I72" s="3"/>
      <c r="J72" s="3"/>
      <c r="K72" s="1252" t="s">
        <v>80</v>
      </c>
      <c r="L72" s="1252"/>
      <c r="N72" s="112" t="s">
        <v>81</v>
      </c>
      <c r="O72" s="112"/>
      <c r="P72" s="112"/>
      <c r="Q72" s="3"/>
      <c r="R72" s="3"/>
    </row>
    <row r="73" spans="2:18">
      <c r="E73" s="3"/>
      <c r="G73" s="23"/>
      <c r="H73" s="3"/>
      <c r="M73" s="3"/>
      <c r="N73" s="3"/>
      <c r="O73" s="3"/>
    </row>
    <row r="74" spans="2:18">
      <c r="B74" t="s">
        <v>128</v>
      </c>
      <c r="E74" s="3"/>
      <c r="G74" s="23"/>
      <c r="H74" s="3"/>
      <c r="M74" s="113"/>
      <c r="N74" s="113"/>
      <c r="O74" s="36" t="s">
        <v>129</v>
      </c>
      <c r="P74" s="113"/>
      <c r="Q74" s="9"/>
    </row>
    <row r="75" spans="2:18">
      <c r="B75" t="s">
        <v>131</v>
      </c>
      <c r="E75" s="3"/>
      <c r="G75" s="23"/>
      <c r="H75" s="3"/>
      <c r="M75" s="3"/>
      <c r="N75" s="3"/>
      <c r="O75" s="3"/>
      <c r="P75" s="3"/>
      <c r="Q75" s="36"/>
      <c r="R75" s="3"/>
    </row>
    <row r="76" spans="2:18">
      <c r="B76" s="34" t="s">
        <v>132</v>
      </c>
      <c r="E76" s="3"/>
      <c r="G76" s="3"/>
      <c r="H76" s="3"/>
      <c r="J76" s="3"/>
      <c r="K76" s="3"/>
      <c r="L76" s="3"/>
      <c r="M76" s="3"/>
      <c r="N76" s="3"/>
      <c r="O76" s="3"/>
      <c r="P76" s="3"/>
      <c r="Q76" s="3"/>
      <c r="R76" s="3"/>
    </row>
    <row r="77" spans="2:18" ht="12.75" customHeight="1">
      <c r="E77" s="3"/>
      <c r="G77" s="3"/>
      <c r="H77" s="3"/>
      <c r="J77" s="3"/>
      <c r="K77" s="3"/>
      <c r="L77" s="3"/>
      <c r="M77" s="3"/>
      <c r="N77" s="3"/>
      <c r="O77" s="3"/>
      <c r="P77" s="3"/>
      <c r="Q77" s="3"/>
      <c r="R77" s="3"/>
    </row>
    <row r="78" spans="2:18" ht="12.75" customHeight="1">
      <c r="C78" s="36" t="s">
        <v>133</v>
      </c>
      <c r="D78" s="36"/>
      <c r="E78" s="36"/>
      <c r="F78" s="36"/>
      <c r="G78" s="36"/>
      <c r="H78" s="36"/>
    </row>
    <row r="79" spans="2:18" ht="12.75" customHeight="1">
      <c r="F79" s="429" t="str">
        <f>GalRepVar_МОЛ_Должн</f>
        <v>МОЛ_Должн</v>
      </c>
      <c r="G79" s="9"/>
      <c r="H79" s="9"/>
      <c r="J79" s="9"/>
      <c r="K79" s="9"/>
      <c r="L79" s="66"/>
      <c r="N79" s="428" t="str">
        <f>GalRepVar_МОЛ</f>
        <v>МОЛ</v>
      </c>
      <c r="O79" s="37"/>
      <c r="P79" s="37"/>
      <c r="Q79" s="9"/>
    </row>
    <row r="80" spans="2:18" ht="12.75" customHeight="1">
      <c r="E80" s="3"/>
      <c r="F80" s="3"/>
      <c r="G80" s="112" t="s">
        <v>79</v>
      </c>
      <c r="I80" s="3"/>
      <c r="J80" s="1252" t="s">
        <v>80</v>
      </c>
      <c r="K80" s="1252"/>
      <c r="L80" s="23"/>
      <c r="N80" s="1252" t="s">
        <v>81</v>
      </c>
      <c r="O80" s="1252"/>
      <c r="P80" s="1252"/>
      <c r="Q80" s="1252"/>
      <c r="R80" s="3"/>
    </row>
    <row r="81" spans="2:18" ht="12.75" customHeight="1">
      <c r="F81" s="9"/>
      <c r="G81" s="9"/>
      <c r="H81" s="9"/>
      <c r="J81" s="9"/>
      <c r="K81" s="9"/>
      <c r="L81" s="66"/>
      <c r="N81" s="7"/>
      <c r="O81" s="7"/>
      <c r="P81" s="7"/>
      <c r="Q81" s="38"/>
    </row>
    <row r="82" spans="2:18" ht="12.75" customHeight="1">
      <c r="E82" s="3"/>
      <c r="F82" s="3"/>
      <c r="G82" s="112" t="s">
        <v>79</v>
      </c>
      <c r="I82" s="3"/>
      <c r="J82" s="1252" t="s">
        <v>80</v>
      </c>
      <c r="K82" s="1252"/>
      <c r="L82" s="23"/>
      <c r="N82" s="1252" t="s">
        <v>81</v>
      </c>
      <c r="O82" s="1252"/>
      <c r="P82" s="1252"/>
      <c r="Q82" s="1252"/>
      <c r="R82" s="3"/>
    </row>
    <row r="83" spans="2:18" ht="12.75" customHeight="1">
      <c r="B83" s="3"/>
      <c r="E83" s="3"/>
      <c r="F83" s="9"/>
      <c r="G83" s="9"/>
      <c r="H83" s="9"/>
      <c r="J83" s="9"/>
      <c r="K83" s="9"/>
      <c r="L83" s="66"/>
      <c r="N83" s="7"/>
      <c r="O83" s="7"/>
      <c r="P83" s="7"/>
      <c r="Q83" s="38"/>
      <c r="R83" s="3"/>
    </row>
    <row r="84" spans="2:18" ht="12.75" customHeight="1">
      <c r="F84" s="3"/>
      <c r="G84" s="112" t="s">
        <v>79</v>
      </c>
      <c r="I84" s="3"/>
      <c r="J84" s="1252" t="s">
        <v>80</v>
      </c>
      <c r="K84" s="1252"/>
      <c r="L84" s="23"/>
      <c r="N84" s="1252" t="s">
        <v>81</v>
      </c>
      <c r="O84" s="1252"/>
      <c r="P84" s="1252"/>
      <c r="Q84" s="1252"/>
    </row>
    <row r="85" spans="2:18" ht="12.75" customHeight="1">
      <c r="E85" s="41"/>
      <c r="F85" s="114"/>
      <c r="G85" s="218" t="s">
        <v>197</v>
      </c>
      <c r="H85" s="66"/>
      <c r="I85" s="93"/>
      <c r="J85" s="232"/>
      <c r="K85" s="66"/>
      <c r="L85" s="115"/>
    </row>
    <row r="86" spans="2:18" ht="12.75" customHeight="1"/>
    <row r="87" spans="2:18" ht="12.75" customHeight="1">
      <c r="B87" s="4" t="s">
        <v>136</v>
      </c>
      <c r="E87" s="3"/>
      <c r="G87" s="9"/>
      <c r="H87" s="9"/>
      <c r="I87" s="9"/>
      <c r="K87" s="9"/>
      <c r="L87" s="9"/>
      <c r="M87" s="66"/>
      <c r="N87" s="9"/>
      <c r="O87" s="7"/>
      <c r="P87" s="38"/>
    </row>
    <row r="88" spans="2:18" ht="12.75" customHeight="1">
      <c r="E88" s="3"/>
      <c r="G88" s="3"/>
      <c r="H88" s="112" t="s">
        <v>195</v>
      </c>
      <c r="J88" s="3"/>
      <c r="K88" s="1252" t="s">
        <v>80</v>
      </c>
      <c r="L88" s="1252"/>
      <c r="O88" s="23" t="s">
        <v>182</v>
      </c>
      <c r="P88" s="3"/>
    </row>
    <row r="89" spans="2:18" ht="12.75" customHeight="1">
      <c r="B89" s="115"/>
      <c r="D89" s="36"/>
      <c r="E89" s="41"/>
      <c r="F89" s="114"/>
      <c r="G89" s="218" t="s">
        <v>197</v>
      </c>
      <c r="H89" s="66"/>
      <c r="I89" s="93"/>
      <c r="J89" s="232"/>
      <c r="K89" s="66"/>
      <c r="L89" s="115"/>
    </row>
    <row r="90" spans="2:18" ht="7.5" customHeight="1">
      <c r="G90" s="41"/>
      <c r="J90" t="s">
        <v>184</v>
      </c>
    </row>
    <row r="121" spans="3:3">
      <c r="C121" t="s">
        <v>184</v>
      </c>
    </row>
  </sheetData>
  <mergeCells count="30">
    <mergeCell ref="Q6:S6"/>
    <mergeCell ref="F49:R49"/>
    <mergeCell ref="Q14:S14"/>
    <mergeCell ref="Q15:S15"/>
    <mergeCell ref="K38:N39"/>
    <mergeCell ref="O38:R39"/>
    <mergeCell ref="M18:N18"/>
    <mergeCell ref="O17:Q17"/>
    <mergeCell ref="N80:Q80"/>
    <mergeCell ref="N82:Q82"/>
    <mergeCell ref="N84:Q84"/>
    <mergeCell ref="K67:L67"/>
    <mergeCell ref="K72:L72"/>
    <mergeCell ref="K70:L70"/>
    <mergeCell ref="B2:D4"/>
    <mergeCell ref="K88:L88"/>
    <mergeCell ref="J80:K80"/>
    <mergeCell ref="J82:K82"/>
    <mergeCell ref="J84:K84"/>
    <mergeCell ref="F62:R62"/>
    <mergeCell ref="F51:R51"/>
    <mergeCell ref="F53:R53"/>
    <mergeCell ref="F60:R60"/>
    <mergeCell ref="Q11:S11"/>
    <mergeCell ref="Q13:S13"/>
    <mergeCell ref="Q12:S12"/>
    <mergeCell ref="Q5:S5"/>
    <mergeCell ref="Q7:S7"/>
    <mergeCell ref="Q8:S9"/>
    <mergeCell ref="Q10:S10"/>
  </mergeCells>
  <phoneticPr fontId="2" type="noConversion"/>
  <pageMargins left="0.78740157480314965" right="0.35433070866141736" top="0.34" bottom="0.36" header="0.19" footer="0.28000000000000003"/>
  <pageSetup paperSize="9" orientation="landscape" horizontalDpi="300" verticalDpi="300" r:id="rId1"/>
  <headerFooter alignWithMargins="0"/>
  <rowBreaks count="1" manualBreakCount="1">
    <brk id="36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4"/>
  <dimension ref="B8:R37"/>
  <sheetViews>
    <sheetView workbookViewId="0">
      <selection activeCell="D36" sqref="D36"/>
    </sheetView>
  </sheetViews>
  <sheetFormatPr defaultRowHeight="12.75"/>
  <sheetData>
    <row r="8" spans="2:18" ht="13.5">
      <c r="B8" s="34" t="s">
        <v>116</v>
      </c>
      <c r="C8" s="3"/>
      <c r="D8" s="3"/>
      <c r="K8" s="331"/>
      <c r="L8" s="95"/>
      <c r="M8" s="331"/>
      <c r="N8" s="95"/>
      <c r="O8" s="243"/>
      <c r="P8" s="243"/>
      <c r="Q8" s="243"/>
      <c r="R8" s="243"/>
    </row>
    <row r="9" spans="2:18">
      <c r="B9" s="2"/>
      <c r="C9" s="3"/>
      <c r="D9" s="3"/>
    </row>
    <row r="10" spans="2:18" ht="13.5">
      <c r="C10" s="96" t="s">
        <v>117</v>
      </c>
      <c r="E10" s="97"/>
      <c r="F10" s="1177"/>
      <c r="G10" s="1177"/>
      <c r="H10" s="1177"/>
      <c r="I10" s="1177"/>
      <c r="J10" s="1177"/>
      <c r="K10" s="1177"/>
      <c r="L10" s="1177"/>
      <c r="M10" s="1177"/>
      <c r="N10" s="1177"/>
    </row>
    <row r="11" spans="2:18">
      <c r="D11" s="97"/>
      <c r="E11" s="97"/>
      <c r="F11" s="4"/>
      <c r="H11" s="22"/>
      <c r="I11" s="22"/>
      <c r="K11" s="23" t="s">
        <v>118</v>
      </c>
      <c r="M11" s="22"/>
      <c r="N11" s="22"/>
    </row>
    <row r="12" spans="2:18" ht="13.5">
      <c r="C12" s="98" t="s">
        <v>119</v>
      </c>
      <c r="E12" s="99"/>
      <c r="F12" s="1177"/>
      <c r="G12" s="1177"/>
      <c r="H12" s="1177"/>
      <c r="I12" s="1177"/>
      <c r="J12" s="1177"/>
      <c r="K12" s="1177"/>
      <c r="L12" s="1177"/>
      <c r="M12" s="1177"/>
      <c r="N12" s="1177"/>
    </row>
    <row r="13" spans="2:18">
      <c r="D13" s="97"/>
      <c r="E13" s="97"/>
      <c r="F13" s="4"/>
      <c r="H13" s="22"/>
      <c r="I13" s="22"/>
      <c r="K13" s="23" t="s">
        <v>118</v>
      </c>
      <c r="M13" s="22"/>
      <c r="N13" s="22"/>
    </row>
    <row r="14" spans="2:18" ht="13.5">
      <c r="C14" s="96" t="s">
        <v>120</v>
      </c>
      <c r="E14" s="97"/>
      <c r="F14" s="1177"/>
      <c r="G14" s="1177"/>
      <c r="H14" s="1177"/>
      <c r="I14" s="1177"/>
      <c r="J14" s="1177"/>
      <c r="K14" s="1177"/>
      <c r="L14" s="1177"/>
      <c r="M14" s="1177"/>
      <c r="N14" s="1177"/>
    </row>
    <row r="15" spans="2:18">
      <c r="F15" s="4"/>
      <c r="H15" s="22"/>
      <c r="I15" s="22"/>
      <c r="K15" s="23" t="s">
        <v>118</v>
      </c>
      <c r="M15" s="22"/>
      <c r="N15" s="22"/>
    </row>
    <row r="16" spans="2:18" ht="13.5" thickBot="1">
      <c r="K16" s="23"/>
    </row>
    <row r="17" spans="2:18">
      <c r="B17" s="44"/>
      <c r="C17" s="45"/>
      <c r="D17" s="46" t="s">
        <v>86</v>
      </c>
      <c r="E17" s="47"/>
      <c r="F17" s="46" t="s">
        <v>87</v>
      </c>
      <c r="G17" s="47"/>
      <c r="H17" s="48"/>
      <c r="I17" s="1181" t="s">
        <v>89</v>
      </c>
      <c r="J17" s="1182"/>
      <c r="K17" s="1185" t="s">
        <v>186</v>
      </c>
      <c r="L17" s="1186"/>
      <c r="M17" s="1181" t="s">
        <v>185</v>
      </c>
      <c r="N17" s="1182"/>
      <c r="O17" s="242"/>
      <c r="P17" s="242"/>
      <c r="Q17" s="242"/>
      <c r="R17" s="242"/>
    </row>
    <row r="18" spans="2:18">
      <c r="B18" s="51" t="s">
        <v>89</v>
      </c>
      <c r="C18" s="52" t="s">
        <v>90</v>
      </c>
      <c r="D18" s="53" t="s">
        <v>91</v>
      </c>
      <c r="E18" s="54"/>
      <c r="F18" s="55" t="s">
        <v>92</v>
      </c>
      <c r="G18" s="56"/>
      <c r="H18" s="57"/>
      <c r="I18" s="1183"/>
      <c r="J18" s="1184"/>
      <c r="K18" s="1187"/>
      <c r="L18" s="1188"/>
      <c r="M18" s="1183"/>
      <c r="N18" s="1184"/>
    </row>
    <row r="19" spans="2:18">
      <c r="B19" s="51" t="s">
        <v>94</v>
      </c>
      <c r="C19" s="52" t="s">
        <v>95</v>
      </c>
      <c r="D19" s="52" t="s">
        <v>8</v>
      </c>
      <c r="E19" s="60" t="s">
        <v>96</v>
      </c>
      <c r="F19" s="61"/>
      <c r="G19" s="62"/>
      <c r="H19" s="63" t="s">
        <v>97</v>
      </c>
      <c r="I19" s="64"/>
      <c r="J19" s="65"/>
      <c r="K19" s="66"/>
      <c r="L19" s="67"/>
      <c r="M19" s="68"/>
      <c r="N19" s="69"/>
    </row>
    <row r="20" spans="2:18">
      <c r="B20" s="51" t="s">
        <v>98</v>
      </c>
      <c r="C20" s="52"/>
      <c r="D20" s="52" t="s">
        <v>6</v>
      </c>
      <c r="E20" s="60" t="s">
        <v>99</v>
      </c>
      <c r="F20" s="52" t="s">
        <v>7</v>
      </c>
      <c r="G20" s="63" t="s">
        <v>100</v>
      </c>
      <c r="H20" s="56">
        <f>$H$41</f>
        <v>0</v>
      </c>
      <c r="I20" s="56" t="s">
        <v>102</v>
      </c>
      <c r="J20" s="65" t="s">
        <v>103</v>
      </c>
      <c r="K20" s="70" t="s">
        <v>104</v>
      </c>
      <c r="L20" s="52" t="s">
        <v>187</v>
      </c>
      <c r="M20" s="52" t="s">
        <v>104</v>
      </c>
      <c r="N20" s="225" t="s">
        <v>187</v>
      </c>
    </row>
    <row r="21" spans="2:18">
      <c r="B21" s="71"/>
      <c r="C21" s="52"/>
      <c r="D21" s="52" t="s">
        <v>107</v>
      </c>
      <c r="E21" s="60" t="s">
        <v>108</v>
      </c>
      <c r="F21" s="52" t="s">
        <v>109</v>
      </c>
      <c r="G21" s="63" t="s">
        <v>110</v>
      </c>
      <c r="H21" s="72"/>
      <c r="I21" s="56" t="s">
        <v>111</v>
      </c>
      <c r="J21" s="65"/>
      <c r="K21" s="70" t="s">
        <v>112</v>
      </c>
      <c r="L21" s="63">
        <f>H20</f>
        <v>0</v>
      </c>
      <c r="M21" s="52" t="s">
        <v>112</v>
      </c>
      <c r="N21" s="225">
        <f>H20</f>
        <v>0</v>
      </c>
    </row>
    <row r="22" spans="2:18" ht="13.5" thickBot="1">
      <c r="B22" s="74"/>
      <c r="C22" s="75"/>
      <c r="D22" s="76" t="s">
        <v>113</v>
      </c>
      <c r="E22" s="77" t="s">
        <v>114</v>
      </c>
      <c r="F22" s="75"/>
      <c r="G22" s="77"/>
      <c r="H22" s="77"/>
      <c r="I22" s="78"/>
      <c r="J22" s="79"/>
      <c r="K22" s="80"/>
      <c r="L22" s="75"/>
      <c r="M22" s="75"/>
      <c r="N22" s="81"/>
    </row>
    <row r="23" spans="2:18">
      <c r="B23" s="82">
        <v>1</v>
      </c>
      <c r="C23" s="83">
        <v>2</v>
      </c>
      <c r="D23" s="83">
        <v>3</v>
      </c>
      <c r="E23" s="84">
        <v>4</v>
      </c>
      <c r="F23" s="83">
        <v>5</v>
      </c>
      <c r="G23" s="83">
        <v>6</v>
      </c>
      <c r="H23" s="83">
        <v>7</v>
      </c>
      <c r="I23" s="83">
        <v>8</v>
      </c>
      <c r="J23" s="85">
        <v>9</v>
      </c>
      <c r="K23" s="86">
        <v>10</v>
      </c>
      <c r="L23" s="83">
        <v>11</v>
      </c>
      <c r="M23" s="83">
        <v>12</v>
      </c>
      <c r="N23" s="87">
        <v>13</v>
      </c>
    </row>
    <row r="36" spans="12:12">
      <c r="L36" s="66"/>
    </row>
    <row r="37" spans="12:12">
      <c r="L37" s="66"/>
    </row>
  </sheetData>
  <mergeCells count="6">
    <mergeCell ref="F10:N10"/>
    <mergeCell ref="F12:N12"/>
    <mergeCell ref="F14:N14"/>
    <mergeCell ref="I17:J18"/>
    <mergeCell ref="K17:L18"/>
    <mergeCell ref="M17:N18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49"/>
  <dimension ref="A8:O17"/>
  <sheetViews>
    <sheetView workbookViewId="0">
      <selection activeCell="F21" sqref="F21"/>
    </sheetView>
  </sheetViews>
  <sheetFormatPr defaultRowHeight="12.75"/>
  <sheetData>
    <row r="8" spans="1:15" ht="13.5">
      <c r="A8" s="66"/>
      <c r="B8" s="66" t="s">
        <v>115</v>
      </c>
      <c r="C8" s="1135"/>
      <c r="D8" s="1135"/>
      <c r="E8" s="1135"/>
      <c r="F8" s="66"/>
      <c r="G8" s="316" t="s">
        <v>235</v>
      </c>
      <c r="H8" s="95"/>
      <c r="I8" s="95"/>
      <c r="J8" s="95"/>
      <c r="K8" s="1138"/>
      <c r="L8" s="243"/>
      <c r="M8" s="243"/>
      <c r="N8" s="243"/>
      <c r="O8" s="243"/>
    </row>
    <row r="9" spans="1:15">
      <c r="B9" s="2"/>
      <c r="C9" s="1139"/>
      <c r="D9" s="1139"/>
      <c r="E9" s="1139"/>
    </row>
    <row r="10" spans="1:15" ht="13.5">
      <c r="B10" s="314" t="s">
        <v>232</v>
      </c>
      <c r="D10" s="1128"/>
      <c r="E10" s="1128"/>
      <c r="F10" s="9"/>
      <c r="G10" s="9"/>
      <c r="H10" s="19"/>
      <c r="I10" s="19"/>
      <c r="J10" s="19"/>
      <c r="K10" s="19"/>
    </row>
    <row r="11" spans="1:15">
      <c r="B11" s="980"/>
      <c r="C11" s="97"/>
      <c r="D11" s="1230" t="s">
        <v>118</v>
      </c>
      <c r="E11" s="1230"/>
      <c r="F11" s="1230"/>
      <c r="G11" s="1230"/>
      <c r="H11" s="1230"/>
      <c r="I11" s="1230"/>
      <c r="J11" s="1230"/>
      <c r="K11" s="1230"/>
    </row>
    <row r="12" spans="1:15" ht="13.5">
      <c r="B12" s="315" t="s">
        <v>233</v>
      </c>
      <c r="D12" s="1128"/>
      <c r="E12" s="1128"/>
      <c r="F12" s="9"/>
      <c r="G12" s="9"/>
      <c r="H12" s="19"/>
      <c r="I12" s="19"/>
      <c r="J12" s="19"/>
      <c r="K12" s="19"/>
    </row>
    <row r="13" spans="1:15">
      <c r="B13" s="980"/>
      <c r="C13" s="97"/>
      <c r="D13" s="1230" t="s">
        <v>118</v>
      </c>
      <c r="E13" s="1230"/>
      <c r="F13" s="1230"/>
      <c r="G13" s="1230"/>
      <c r="H13" s="1230"/>
      <c r="I13" s="1230"/>
      <c r="J13" s="1230"/>
      <c r="K13" s="1230"/>
    </row>
    <row r="14" spans="1:15" ht="13.5">
      <c r="B14" s="314" t="s">
        <v>234</v>
      </c>
      <c r="D14" s="1128"/>
      <c r="E14" s="1128"/>
      <c r="F14" s="9"/>
      <c r="G14" s="9"/>
      <c r="H14" s="19"/>
      <c r="I14" s="19"/>
      <c r="J14" s="19"/>
      <c r="K14" s="19"/>
    </row>
    <row r="15" spans="1:15">
      <c r="D15" s="1230" t="s">
        <v>118</v>
      </c>
      <c r="E15" s="1230"/>
      <c r="F15" s="1230"/>
      <c r="G15" s="1230"/>
      <c r="H15" s="1230"/>
      <c r="I15" s="1230"/>
      <c r="J15" s="1230"/>
      <c r="K15" s="1230"/>
    </row>
    <row r="16" spans="1:15" ht="13.5" thickBot="1">
      <c r="I16" s="115"/>
      <c r="J16" s="115"/>
      <c r="K16" s="115"/>
    </row>
    <row r="17" spans="2:15" ht="13.5">
      <c r="B17" s="306">
        <v>1</v>
      </c>
      <c r="C17" s="307" t="s">
        <v>236</v>
      </c>
      <c r="D17" s="308">
        <v>3</v>
      </c>
      <c r="E17" s="308" t="s">
        <v>764</v>
      </c>
      <c r="F17" s="307" t="s">
        <v>237</v>
      </c>
      <c r="G17" s="307" t="s">
        <v>238</v>
      </c>
      <c r="H17" s="309" t="s">
        <v>239</v>
      </c>
      <c r="I17" s="307" t="s">
        <v>240</v>
      </c>
      <c r="J17" s="307" t="s">
        <v>241</v>
      </c>
      <c r="K17" s="310" t="s">
        <v>242</v>
      </c>
      <c r="L17" s="242"/>
      <c r="M17" s="242"/>
      <c r="N17" s="242"/>
      <c r="O17" s="242"/>
    </row>
  </sheetData>
  <mergeCells count="3">
    <mergeCell ref="D11:K11"/>
    <mergeCell ref="D13:K13"/>
    <mergeCell ref="D15:K15"/>
  </mergeCell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1"/>
  <dimension ref="B8:S17"/>
  <sheetViews>
    <sheetView workbookViewId="0"/>
  </sheetViews>
  <sheetFormatPr defaultRowHeight="12.75"/>
  <sheetData>
    <row r="8" spans="2:19" ht="13.5">
      <c r="C8" s="3"/>
      <c r="F8" s="414" t="s">
        <v>235</v>
      </c>
      <c r="G8" s="95"/>
      <c r="H8" s="95"/>
      <c r="I8" s="95"/>
      <c r="J8" s="95"/>
      <c r="K8" s="95"/>
      <c r="L8" s="95"/>
      <c r="M8" s="95"/>
      <c r="N8" s="95"/>
    </row>
    <row r="9" spans="2:19">
      <c r="B9" s="2"/>
      <c r="C9" s="3"/>
      <c r="D9" s="3"/>
    </row>
    <row r="10" spans="2:19" ht="13.5">
      <c r="C10" s="96" t="s">
        <v>117</v>
      </c>
      <c r="E10" s="97"/>
      <c r="F10" s="1278"/>
      <c r="G10" s="1278"/>
      <c r="H10" s="1278"/>
      <c r="I10" s="1278"/>
      <c r="J10" s="1278"/>
      <c r="K10" s="1278"/>
      <c r="L10" s="1278"/>
      <c r="M10" s="1278"/>
      <c r="N10" s="1278"/>
      <c r="O10" s="410"/>
      <c r="P10" s="410"/>
      <c r="Q10" s="410"/>
      <c r="R10" s="410"/>
    </row>
    <row r="11" spans="2:19">
      <c r="D11" s="97"/>
      <c r="E11" s="97"/>
      <c r="F11" s="1252" t="s">
        <v>118</v>
      </c>
      <c r="G11" s="1252"/>
      <c r="H11" s="1252"/>
      <c r="I11" s="1252"/>
      <c r="J11" s="1252"/>
      <c r="K11" s="1252"/>
      <c r="L11" s="1252"/>
      <c r="M11" s="1252"/>
      <c r="N11" s="1252"/>
    </row>
    <row r="12" spans="2:19" ht="13.5">
      <c r="C12" s="98" t="s">
        <v>119</v>
      </c>
      <c r="E12" s="99"/>
      <c r="F12" s="1278"/>
      <c r="G12" s="1278"/>
      <c r="H12" s="1278"/>
      <c r="I12" s="1278"/>
      <c r="J12" s="1278"/>
      <c r="K12" s="1278"/>
      <c r="L12" s="1278"/>
      <c r="M12" s="1278"/>
      <c r="N12" s="1278"/>
      <c r="O12" s="410"/>
      <c r="P12" s="410"/>
      <c r="Q12" s="410"/>
      <c r="R12" s="410"/>
    </row>
    <row r="13" spans="2:19">
      <c r="D13" s="97"/>
      <c r="E13" s="97"/>
      <c r="F13" s="1252" t="s">
        <v>118</v>
      </c>
      <c r="G13" s="1252"/>
      <c r="H13" s="1252"/>
      <c r="I13" s="1252"/>
      <c r="J13" s="1252"/>
      <c r="K13" s="1252"/>
      <c r="L13" s="1252"/>
      <c r="M13" s="1252"/>
      <c r="N13" s="1252"/>
    </row>
    <row r="14" spans="2:19" ht="12.75" customHeight="1">
      <c r="C14" s="96" t="s">
        <v>120</v>
      </c>
      <c r="E14" s="97"/>
      <c r="F14" s="1278"/>
      <c r="G14" s="1278"/>
      <c r="H14" s="1278"/>
      <c r="I14" s="1278"/>
      <c r="J14" s="1278"/>
      <c r="K14" s="1278"/>
      <c r="L14" s="1278"/>
      <c r="M14" s="1278"/>
      <c r="N14" s="1278"/>
      <c r="O14" s="410"/>
      <c r="P14" s="410"/>
      <c r="Q14" s="410"/>
      <c r="R14" s="410"/>
    </row>
    <row r="15" spans="2:19">
      <c r="F15" s="1252" t="s">
        <v>118</v>
      </c>
      <c r="G15" s="1252"/>
      <c r="H15" s="1252"/>
      <c r="I15" s="1252"/>
      <c r="J15" s="1252"/>
      <c r="K15" s="1252"/>
      <c r="L15" s="1252"/>
      <c r="M15" s="1252"/>
      <c r="N15" s="1252"/>
    </row>
    <row r="16" spans="2:19" ht="13.5" thickBot="1">
      <c r="K16" s="23"/>
      <c r="N16" s="29"/>
      <c r="P16" s="115"/>
      <c r="Q16" s="115"/>
      <c r="R16" s="115"/>
      <c r="S16" s="115"/>
    </row>
    <row r="17" spans="2:18">
      <c r="B17" s="82">
        <v>1</v>
      </c>
      <c r="C17" s="83">
        <v>2</v>
      </c>
      <c r="D17" s="83">
        <v>3</v>
      </c>
      <c r="E17" s="84">
        <v>4</v>
      </c>
      <c r="F17" s="83">
        <v>5</v>
      </c>
      <c r="G17" s="83">
        <v>6</v>
      </c>
      <c r="H17" s="83">
        <v>7</v>
      </c>
      <c r="I17" s="83">
        <v>8</v>
      </c>
      <c r="J17" s="85">
        <v>9</v>
      </c>
      <c r="K17" s="86">
        <v>10</v>
      </c>
      <c r="L17" s="83">
        <v>11</v>
      </c>
      <c r="M17" s="83">
        <v>12</v>
      </c>
      <c r="N17" s="411">
        <v>13</v>
      </c>
      <c r="O17" s="242"/>
      <c r="P17" s="242"/>
      <c r="Q17" s="242"/>
      <c r="R17" s="242"/>
    </row>
  </sheetData>
  <mergeCells count="6">
    <mergeCell ref="F15:N15"/>
    <mergeCell ref="F10:N10"/>
    <mergeCell ref="F12:N12"/>
    <mergeCell ref="F14:N14"/>
    <mergeCell ref="F11:N11"/>
    <mergeCell ref="F13:N13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8"/>
  <dimension ref="B8:S17"/>
  <sheetViews>
    <sheetView workbookViewId="0">
      <selection activeCell="K8" sqref="K8"/>
    </sheetView>
  </sheetViews>
  <sheetFormatPr defaultRowHeight="12.75"/>
  <sheetData>
    <row r="8" spans="2:19" ht="13.5">
      <c r="B8" s="312" t="s">
        <v>116</v>
      </c>
      <c r="C8" s="3"/>
      <c r="D8" s="3"/>
      <c r="K8" s="175"/>
      <c r="L8" s="175"/>
      <c r="M8" s="175"/>
      <c r="N8" s="175"/>
      <c r="O8" s="175"/>
      <c r="P8" s="175"/>
      <c r="Q8" s="175"/>
      <c r="R8" s="175"/>
    </row>
    <row r="9" spans="2:19">
      <c r="B9" s="2"/>
      <c r="C9" s="3"/>
      <c r="D9" s="3"/>
    </row>
    <row r="10" spans="2:19" ht="13.5">
      <c r="C10" s="96" t="s">
        <v>117</v>
      </c>
      <c r="E10" s="97"/>
      <c r="F10" s="1279"/>
      <c r="G10" s="1279"/>
      <c r="H10" s="1279"/>
      <c r="I10" s="1279"/>
      <c r="J10" s="1279"/>
      <c r="K10" s="1279"/>
      <c r="L10" s="1279"/>
      <c r="M10" s="1279"/>
      <c r="N10" s="1279"/>
      <c r="O10" s="1279"/>
      <c r="P10" s="1279"/>
      <c r="Q10" s="1279"/>
      <c r="R10" s="1279"/>
    </row>
    <row r="11" spans="2:19">
      <c r="D11" s="97"/>
      <c r="E11" s="97"/>
      <c r="K11" s="23" t="s">
        <v>118</v>
      </c>
    </row>
    <row r="12" spans="2:19" ht="13.5">
      <c r="C12" s="98" t="s">
        <v>119</v>
      </c>
      <c r="E12" s="99"/>
      <c r="F12" s="1279"/>
      <c r="G12" s="1279"/>
      <c r="H12" s="1279"/>
      <c r="I12" s="1279"/>
      <c r="J12" s="1279"/>
      <c r="K12" s="1279"/>
      <c r="L12" s="1279"/>
      <c r="M12" s="1279"/>
      <c r="N12" s="1279"/>
      <c r="O12" s="1279"/>
      <c r="P12" s="1279"/>
      <c r="Q12" s="1279"/>
      <c r="R12" s="1279"/>
    </row>
    <row r="13" spans="2:19">
      <c r="D13" s="97"/>
      <c r="E13" s="97"/>
      <c r="K13" s="23" t="s">
        <v>118</v>
      </c>
    </row>
    <row r="14" spans="2:19" ht="12.75" customHeight="1">
      <c r="C14" s="96" t="s">
        <v>120</v>
      </c>
      <c r="E14" s="97"/>
      <c r="F14" s="1279"/>
      <c r="G14" s="1279"/>
      <c r="H14" s="1279"/>
      <c r="I14" s="1279"/>
      <c r="J14" s="1279"/>
      <c r="K14" s="1279"/>
      <c r="L14" s="1279"/>
      <c r="M14" s="1279"/>
      <c r="N14" s="1279"/>
      <c r="O14" s="1279"/>
      <c r="P14" s="1279"/>
      <c r="Q14" s="1279"/>
      <c r="R14" s="1279"/>
    </row>
    <row r="15" spans="2:19">
      <c r="K15" s="23" t="s">
        <v>118</v>
      </c>
    </row>
    <row r="16" spans="2:19" ht="13.5" thickBot="1">
      <c r="K16" s="23"/>
      <c r="P16" s="115"/>
      <c r="Q16" s="115"/>
      <c r="R16" s="115"/>
      <c r="S16" s="115"/>
    </row>
    <row r="17" spans="2:18">
      <c r="B17" s="82">
        <v>1</v>
      </c>
      <c r="C17" s="83">
        <v>2</v>
      </c>
      <c r="D17" s="83">
        <v>3</v>
      </c>
      <c r="E17" s="84">
        <v>4</v>
      </c>
      <c r="F17" s="83">
        <v>5</v>
      </c>
      <c r="G17" s="83">
        <v>6</v>
      </c>
      <c r="H17" s="83">
        <v>7</v>
      </c>
      <c r="I17" s="83">
        <v>8</v>
      </c>
      <c r="J17" s="85">
        <v>9</v>
      </c>
      <c r="K17" s="86">
        <v>10</v>
      </c>
      <c r="L17" s="83">
        <v>11</v>
      </c>
      <c r="M17" s="83">
        <v>12</v>
      </c>
      <c r="N17" s="87">
        <v>13</v>
      </c>
      <c r="O17" s="86" t="s">
        <v>202</v>
      </c>
      <c r="P17" s="83" t="s">
        <v>203</v>
      </c>
      <c r="Q17" s="83" t="s">
        <v>204</v>
      </c>
      <c r="R17" s="87" t="s">
        <v>205</v>
      </c>
    </row>
  </sheetData>
  <mergeCells count="3">
    <mergeCell ref="F10:R10"/>
    <mergeCell ref="F12:R12"/>
    <mergeCell ref="F14:R14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38"/>
  <dimension ref="A1:AU91"/>
  <sheetViews>
    <sheetView view="pageBreakPreview" topLeftCell="A40" zoomScaleNormal="100" workbookViewId="0">
      <selection activeCell="I4" sqref="I4"/>
    </sheetView>
  </sheetViews>
  <sheetFormatPr defaultRowHeight="12.75"/>
  <cols>
    <col min="1" max="1" width="0.140625" customWidth="1"/>
    <col min="2" max="2" width="5" customWidth="1"/>
    <col min="3" max="3" width="3.85546875" customWidth="1"/>
    <col min="4" max="4" width="11.5703125" customWidth="1"/>
    <col min="5" max="5" width="3.85546875" customWidth="1"/>
    <col min="6" max="6" width="2" customWidth="1"/>
    <col min="7" max="7" width="4.5703125" customWidth="1"/>
    <col min="8" max="8" width="5.28515625" customWidth="1"/>
    <col min="9" max="9" width="3.7109375" customWidth="1"/>
    <col min="10" max="10" width="3.28515625" customWidth="1"/>
    <col min="11" max="11" width="2.5703125" customWidth="1"/>
    <col min="12" max="12" width="3.5703125" customWidth="1"/>
    <col min="13" max="13" width="6.85546875" customWidth="1"/>
    <col min="14" max="14" width="7.42578125" customWidth="1"/>
    <col min="15" max="15" width="8.42578125" customWidth="1"/>
    <col min="16" max="16" width="7.85546875" customWidth="1"/>
    <col min="17" max="17" width="8.85546875" customWidth="1"/>
    <col min="18" max="18" width="6.7109375" customWidth="1"/>
    <col min="19" max="19" width="1.7109375" customWidth="1"/>
    <col min="20" max="20" width="5.140625" customWidth="1"/>
    <col min="21" max="21" width="3.85546875" customWidth="1"/>
    <col min="22" max="22" width="4.28515625" customWidth="1"/>
    <col min="23" max="23" width="1.5703125" customWidth="1"/>
    <col min="24" max="24" width="6.5703125" customWidth="1"/>
    <col min="25" max="25" width="6.7109375" customWidth="1"/>
    <col min="26" max="26" width="6.28515625" customWidth="1"/>
    <col min="27" max="27" width="5.7109375" customWidth="1"/>
    <col min="28" max="28" width="10.5703125" customWidth="1"/>
    <col min="30" max="30" width="6.42578125" customWidth="1"/>
    <col min="32" max="32" width="4.85546875" customWidth="1"/>
    <col min="33" max="33" width="5.5703125" customWidth="1"/>
    <col min="34" max="34" width="6.7109375" customWidth="1"/>
    <col min="35" max="35" width="9" customWidth="1"/>
    <col min="36" max="36" width="2.42578125" customWidth="1"/>
    <col min="37" max="37" width="7.28515625" customWidth="1"/>
    <col min="38" max="38" width="7" customWidth="1"/>
    <col min="39" max="39" width="7.42578125" customWidth="1"/>
    <col min="40" max="40" width="2.42578125" customWidth="1"/>
    <col min="41" max="42" width="9.140625" hidden="1" customWidth="1"/>
    <col min="45" max="45" width="6.7109375" customWidth="1"/>
    <col min="46" max="46" width="8.7109375" customWidth="1"/>
  </cols>
  <sheetData>
    <row r="1" spans="1:47" ht="13.7" customHeight="1">
      <c r="A1" s="116" t="s">
        <v>29</v>
      </c>
      <c r="B1" s="286" t="s">
        <v>30</v>
      </c>
      <c r="C1" s="116"/>
      <c r="D1" s="118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</row>
    <row r="2" spans="1:47" ht="15">
      <c r="A2" s="120"/>
      <c r="B2" s="1201" t="s">
        <v>599</v>
      </c>
      <c r="C2" s="1201"/>
      <c r="D2" s="1201"/>
      <c r="E2" s="1201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1" t="s">
        <v>611</v>
      </c>
      <c r="T2" s="119"/>
      <c r="U2" s="119"/>
      <c r="V2" s="120"/>
      <c r="W2" s="120"/>
      <c r="X2" s="120"/>
      <c r="Y2" s="120"/>
      <c r="Z2" s="120"/>
      <c r="AA2" s="120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</row>
    <row r="3" spans="1:47" ht="15">
      <c r="A3" s="120"/>
      <c r="B3" s="1201"/>
      <c r="C3" s="1201"/>
      <c r="D3" s="1201"/>
      <c r="E3" s="1201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19"/>
      <c r="T3" s="119"/>
      <c r="U3" s="120"/>
      <c r="V3" s="120"/>
      <c r="W3" s="120"/>
      <c r="X3" s="120"/>
      <c r="Y3" s="120"/>
      <c r="Z3" s="120"/>
      <c r="AA3" s="119"/>
      <c r="AB3" s="119"/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</row>
    <row r="4" spans="1:47" ht="15">
      <c r="A4" s="120"/>
      <c r="B4" s="1201"/>
      <c r="C4" s="1201"/>
      <c r="D4" s="1201"/>
      <c r="E4" s="1201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19"/>
      <c r="T4" s="119"/>
      <c r="U4" s="120"/>
      <c r="V4" s="120"/>
      <c r="W4" s="120"/>
      <c r="X4" s="120"/>
      <c r="Y4" s="120"/>
      <c r="Z4" s="120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</row>
    <row r="5" spans="1:47" ht="15" customHeight="1" thickBot="1">
      <c r="A5" s="123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363" t="s">
        <v>55</v>
      </c>
      <c r="X5" s="1364"/>
      <c r="Y5" s="1365"/>
      <c r="Z5" s="124"/>
      <c r="AA5" s="120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</row>
    <row r="6" spans="1:47" ht="0.75" hidden="1" customHeight="1">
      <c r="A6" s="123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852"/>
      <c r="X6" s="852"/>
      <c r="Y6" s="852"/>
      <c r="Z6" s="124"/>
      <c r="AA6" s="120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</row>
    <row r="7" spans="1:47" ht="25.5" customHeight="1">
      <c r="B7" s="110" t="s">
        <v>35</v>
      </c>
      <c r="C7" s="110"/>
      <c r="D7" s="110"/>
      <c r="Q7" s="9"/>
      <c r="R7" s="9"/>
      <c r="S7" s="9"/>
      <c r="T7" s="127"/>
      <c r="U7" s="128"/>
      <c r="V7" s="129" t="s">
        <v>57</v>
      </c>
      <c r="W7" s="1336" t="s">
        <v>34</v>
      </c>
      <c r="X7" s="1337"/>
      <c r="Y7" s="1338"/>
      <c r="Z7" s="126"/>
      <c r="AA7" s="120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</row>
    <row r="8" spans="1:47" ht="9.75" customHeight="1">
      <c r="A8" s="123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1" t="s">
        <v>58</v>
      </c>
      <c r="N8" s="132"/>
      <c r="O8" s="132"/>
      <c r="P8" s="132"/>
      <c r="Q8" s="123"/>
      <c r="R8" s="123"/>
      <c r="S8" s="123"/>
      <c r="T8" s="123"/>
      <c r="U8" s="123"/>
      <c r="V8" s="123"/>
      <c r="W8" s="1366"/>
      <c r="X8" s="1358"/>
      <c r="Y8" s="1359"/>
      <c r="Z8" s="133"/>
      <c r="AA8" s="120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</row>
    <row r="9" spans="1:47" ht="11.25" customHeight="1">
      <c r="A9" s="134"/>
      <c r="B9" s="110" t="s">
        <v>32</v>
      </c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4"/>
      <c r="N9" s="134"/>
      <c r="O9" s="134"/>
      <c r="P9" s="134"/>
      <c r="Q9" s="134"/>
      <c r="R9" s="134"/>
      <c r="S9" s="134"/>
      <c r="T9" s="134"/>
      <c r="U9" s="134"/>
      <c r="V9" s="136"/>
      <c r="W9" s="1367"/>
      <c r="X9" s="1361"/>
      <c r="Y9" s="1362"/>
      <c r="Z9" s="133"/>
      <c r="AA9" s="120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</row>
    <row r="10" spans="1:47" ht="9.75" customHeight="1">
      <c r="A10" s="123"/>
      <c r="B10" s="137"/>
      <c r="C10" s="137"/>
      <c r="D10" s="137"/>
      <c r="E10" s="1280" t="s">
        <v>59</v>
      </c>
      <c r="F10" s="1280"/>
      <c r="G10" s="1280"/>
      <c r="H10" s="1280"/>
      <c r="I10" s="1280"/>
      <c r="J10" s="1280"/>
      <c r="K10" s="1280"/>
      <c r="L10" s="1280"/>
      <c r="M10" s="1280"/>
      <c r="N10" s="1280"/>
      <c r="O10" s="1280"/>
      <c r="P10" s="1280"/>
      <c r="Q10" s="1368" t="s">
        <v>60</v>
      </c>
      <c r="R10" s="1368"/>
      <c r="S10" s="1368"/>
      <c r="T10" s="1368"/>
      <c r="U10" s="1368"/>
      <c r="V10" s="1368"/>
      <c r="W10" s="139"/>
      <c r="X10" s="140"/>
      <c r="Y10" s="141"/>
      <c r="Z10" s="133"/>
      <c r="AA10" s="120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</row>
    <row r="11" spans="1:47" ht="6" customHeight="1">
      <c r="A11" s="142"/>
      <c r="B11" s="142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369"/>
      <c r="R11" s="1369"/>
      <c r="S11" s="1369"/>
      <c r="T11" s="1369"/>
      <c r="U11" s="1369"/>
      <c r="V11" s="1369"/>
      <c r="W11" s="143"/>
      <c r="X11" s="144"/>
      <c r="Y11" s="145"/>
      <c r="Z11" s="133"/>
      <c r="AA11" s="120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</row>
    <row r="12" spans="1:47" ht="15">
      <c r="A12" s="123"/>
      <c r="B12" s="119" t="s">
        <v>61</v>
      </c>
      <c r="C12" s="119"/>
      <c r="D12" s="123"/>
      <c r="E12" s="123"/>
      <c r="F12" s="123"/>
      <c r="G12" s="123"/>
      <c r="H12" s="123"/>
      <c r="I12" s="123"/>
      <c r="J12" s="1352" t="s">
        <v>139</v>
      </c>
      <c r="K12" s="1352"/>
      <c r="L12" s="1352"/>
      <c r="M12" s="1352"/>
      <c r="N12" s="1352"/>
      <c r="O12" s="1352"/>
      <c r="P12" s="1352"/>
      <c r="Q12" s="1352"/>
      <c r="R12" s="1352"/>
      <c r="S12" s="124"/>
      <c r="T12" s="397"/>
      <c r="U12" s="1353" t="s">
        <v>4</v>
      </c>
      <c r="V12" s="1354"/>
      <c r="W12" s="1336" t="s">
        <v>331</v>
      </c>
      <c r="X12" s="1337"/>
      <c r="Y12" s="1338"/>
      <c r="Z12" s="133"/>
      <c r="AA12" s="120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</row>
    <row r="13" spans="1:47" ht="10.5" customHeight="1">
      <c r="A13" s="123"/>
      <c r="B13" s="123"/>
      <c r="C13" s="123"/>
      <c r="D13" s="123"/>
      <c r="E13" s="123"/>
      <c r="F13" s="123"/>
      <c r="G13" s="123"/>
      <c r="H13" s="123"/>
      <c r="I13" s="123"/>
      <c r="J13" s="1355" t="s">
        <v>63</v>
      </c>
      <c r="K13" s="1355"/>
      <c r="L13" s="1355"/>
      <c r="M13" s="1355"/>
      <c r="N13" s="1355"/>
      <c r="O13" s="1355"/>
      <c r="P13" s="1355"/>
      <c r="Q13" s="1355"/>
      <c r="R13" s="1355"/>
      <c r="S13" s="398"/>
      <c r="T13" s="398"/>
      <c r="U13" s="1356" t="s">
        <v>64</v>
      </c>
      <c r="V13" s="1356"/>
      <c r="W13" s="1357" t="s">
        <v>332</v>
      </c>
      <c r="X13" s="1358"/>
      <c r="Y13" s="1359"/>
      <c r="Z13" s="126"/>
      <c r="AA13" s="120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</row>
    <row r="14" spans="1:47" ht="6.75" customHeight="1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356"/>
      <c r="V14" s="1356"/>
      <c r="W14" s="1360"/>
      <c r="X14" s="1361"/>
      <c r="Y14" s="1362"/>
      <c r="Z14" s="126"/>
      <c r="AA14" s="120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</row>
    <row r="15" spans="1:47" ht="15">
      <c r="A15" s="123"/>
      <c r="B15" s="123"/>
      <c r="C15" s="123"/>
      <c r="D15" s="123"/>
      <c r="E15" s="123"/>
      <c r="F15" s="123"/>
      <c r="G15" s="123"/>
      <c r="H15" s="123"/>
      <c r="I15" s="123"/>
      <c r="J15" s="123"/>
      <c r="K15" s="146"/>
      <c r="L15" s="146"/>
      <c r="M15" s="146"/>
      <c r="N15" s="146"/>
      <c r="O15" s="146"/>
      <c r="P15" s="146"/>
      <c r="Q15" s="1333" t="s">
        <v>65</v>
      </c>
      <c r="R15" s="1333"/>
      <c r="S15" s="1333"/>
      <c r="T15" s="1333"/>
      <c r="U15" s="1333"/>
      <c r="V15" s="1333"/>
      <c r="W15" s="1223" t="s">
        <v>31</v>
      </c>
      <c r="X15" s="1334"/>
      <c r="Y15" s="1224"/>
      <c r="Z15" s="133"/>
      <c r="AA15" s="120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</row>
    <row r="16" spans="1:47" ht="15">
      <c r="A16" s="123"/>
      <c r="B16" s="123"/>
      <c r="C16" s="123"/>
      <c r="D16" s="123"/>
      <c r="E16" s="123"/>
      <c r="F16" s="123"/>
      <c r="G16" s="123"/>
      <c r="H16" s="123"/>
      <c r="I16" s="123"/>
      <c r="J16" s="123"/>
      <c r="K16" s="146"/>
      <c r="L16" s="146"/>
      <c r="M16" s="146"/>
      <c r="N16" s="146"/>
      <c r="O16" s="146"/>
      <c r="P16" s="1333" t="s">
        <v>66</v>
      </c>
      <c r="Q16" s="1333"/>
      <c r="R16" s="1333"/>
      <c r="S16" s="1333"/>
      <c r="T16" s="1333"/>
      <c r="U16" s="1333"/>
      <c r="V16" s="1335"/>
      <c r="W16" s="1336" t="s">
        <v>330</v>
      </c>
      <c r="X16" s="1337"/>
      <c r="Y16" s="1338"/>
      <c r="Z16" s="133"/>
      <c r="AA16" s="120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</row>
    <row r="17" spans="1:47" ht="15" hidden="1">
      <c r="A17" s="123"/>
      <c r="B17" s="123"/>
      <c r="C17" s="123"/>
      <c r="D17" s="123"/>
      <c r="E17" s="123"/>
      <c r="F17" s="123"/>
      <c r="G17" s="123"/>
      <c r="H17" s="123"/>
      <c r="I17" s="123"/>
      <c r="J17" s="123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50"/>
      <c r="W17" s="151"/>
      <c r="X17" s="151"/>
      <c r="Y17" s="151"/>
      <c r="Z17" s="151"/>
      <c r="AA17" s="120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</row>
    <row r="18" spans="1:47" ht="15">
      <c r="A18" s="123"/>
      <c r="B18" s="123"/>
      <c r="C18" s="123"/>
      <c r="D18" s="123"/>
      <c r="E18" s="123"/>
      <c r="F18" s="123"/>
      <c r="G18" s="123"/>
      <c r="H18" s="123"/>
      <c r="I18" s="123"/>
      <c r="J18" s="123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50"/>
      <c r="W18" s="151"/>
      <c r="X18" s="151"/>
      <c r="Y18" s="151"/>
      <c r="Z18" s="151"/>
      <c r="AA18" s="120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</row>
    <row r="19" spans="1:47" ht="15">
      <c r="A19" s="123"/>
      <c r="B19" s="123"/>
      <c r="C19" s="123"/>
      <c r="D19" s="123"/>
      <c r="E19" s="123"/>
      <c r="F19" s="123"/>
      <c r="G19" s="123"/>
      <c r="H19" s="123"/>
      <c r="I19" s="123"/>
      <c r="J19" s="123"/>
      <c r="K19" s="146"/>
      <c r="L19" s="146"/>
      <c r="M19" s="146"/>
      <c r="N19" s="146"/>
      <c r="O19" s="1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0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</row>
    <row r="20" spans="1:47" ht="15.75" thickBot="1">
      <c r="A20" s="123"/>
      <c r="B20" s="123"/>
      <c r="C20" s="123"/>
      <c r="D20" s="123"/>
      <c r="E20" s="123"/>
      <c r="F20" s="123"/>
      <c r="G20" s="123"/>
      <c r="H20" s="123"/>
      <c r="I20" s="123"/>
      <c r="J20" s="123"/>
      <c r="K20" s="146"/>
      <c r="L20" s="146"/>
      <c r="M20" s="146"/>
      <c r="N20" s="146"/>
      <c r="O20" s="146"/>
      <c r="P20" s="123"/>
      <c r="Q20" s="1339" t="s">
        <v>140</v>
      </c>
      <c r="R20" s="1340"/>
      <c r="S20" s="1341" t="s">
        <v>69</v>
      </c>
      <c r="T20" s="1342"/>
      <c r="U20" s="1342"/>
      <c r="V20" s="1342"/>
      <c r="W20" s="1343"/>
      <c r="X20" s="123"/>
      <c r="Y20" s="123"/>
      <c r="Z20" s="123"/>
      <c r="AA20" s="120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</row>
    <row r="21" spans="1:47" ht="16.5" thickBot="1">
      <c r="A21" s="120"/>
      <c r="B21" s="123"/>
      <c r="C21" s="123"/>
      <c r="D21" s="120"/>
      <c r="E21" s="120"/>
      <c r="F21" s="120"/>
      <c r="G21" s="120"/>
      <c r="H21" s="120"/>
      <c r="I21" s="120"/>
      <c r="J21" s="120"/>
      <c r="K21" s="1344" t="s">
        <v>141</v>
      </c>
      <c r="L21" s="1344"/>
      <c r="M21" s="1344"/>
      <c r="N21" s="1344"/>
      <c r="O21" s="1344"/>
      <c r="P21" s="1345"/>
      <c r="Q21" s="1346" t="s">
        <v>293</v>
      </c>
      <c r="R21" s="1347"/>
      <c r="S21" s="1348"/>
      <c r="T21" s="1349"/>
      <c r="U21" s="1349"/>
      <c r="V21" s="1349"/>
      <c r="W21" s="1350"/>
      <c r="X21" s="120"/>
      <c r="Y21" s="120"/>
      <c r="Z21" s="120"/>
      <c r="AA21" s="120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</row>
    <row r="22" spans="1:47" ht="15.75">
      <c r="A22" s="120"/>
      <c r="B22" s="123"/>
      <c r="C22" s="123"/>
      <c r="D22" s="120"/>
      <c r="E22" s="1351" t="s">
        <v>142</v>
      </c>
      <c r="F22" s="1351"/>
      <c r="G22" s="1351"/>
      <c r="H22" s="1351"/>
      <c r="I22" s="1351"/>
      <c r="J22" s="1351"/>
      <c r="K22" s="1351"/>
      <c r="L22" s="1351"/>
      <c r="M22" s="1351"/>
      <c r="N22" s="1351"/>
      <c r="O22" s="1351"/>
      <c r="P22" s="1351"/>
      <c r="Q22" s="1351"/>
      <c r="R22" s="1351"/>
      <c r="S22" s="1351"/>
      <c r="T22" s="1351"/>
      <c r="U22" s="152"/>
      <c r="V22" s="152"/>
      <c r="W22" s="120"/>
      <c r="X22" s="120"/>
      <c r="Y22" s="120"/>
      <c r="Z22" s="120"/>
      <c r="AA22" s="120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</row>
    <row r="23" spans="1:47" ht="15.75">
      <c r="A23" s="120"/>
      <c r="B23" s="123"/>
      <c r="C23" s="123"/>
      <c r="D23" s="12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20"/>
      <c r="X23" s="120"/>
      <c r="Y23" s="120"/>
      <c r="Z23" s="120"/>
      <c r="AA23" s="120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</row>
    <row r="24" spans="1:47" ht="15.75">
      <c r="A24" s="120"/>
      <c r="B24" s="123" t="s">
        <v>143</v>
      </c>
      <c r="C24" s="123"/>
      <c r="D24" s="123"/>
      <c r="E24" s="123"/>
      <c r="F24" s="123"/>
      <c r="G24" s="123"/>
      <c r="H24" s="123"/>
      <c r="I24" s="123"/>
      <c r="J24" s="123"/>
      <c r="K24" s="154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0"/>
      <c r="X24" s="120"/>
      <c r="Y24" s="120"/>
      <c r="Z24" s="120"/>
      <c r="AA24" s="120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</row>
    <row r="25" spans="1:47" ht="16.5" customHeight="1">
      <c r="A25" s="120"/>
      <c r="B25" s="120"/>
      <c r="C25" s="120"/>
      <c r="D25" s="120"/>
      <c r="E25" s="120"/>
      <c r="F25" s="120"/>
      <c r="G25" s="120"/>
      <c r="H25" s="120"/>
      <c r="I25" s="120"/>
      <c r="J25" s="120"/>
      <c r="K25" s="155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</row>
    <row r="26" spans="1:47" ht="15">
      <c r="A26" s="120"/>
      <c r="B26" s="156"/>
      <c r="C26" s="156"/>
      <c r="D26" s="156"/>
      <c r="E26" s="156"/>
      <c r="F26" s="156"/>
      <c r="G26" s="156"/>
      <c r="H26" s="157"/>
      <c r="I26" s="120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20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</row>
    <row r="27" spans="1:47" ht="9" customHeight="1">
      <c r="A27" s="120"/>
      <c r="B27" s="138" t="s">
        <v>144</v>
      </c>
      <c r="C27" s="138"/>
      <c r="D27" s="138"/>
      <c r="E27" s="138"/>
      <c r="F27" s="138"/>
      <c r="G27" s="138"/>
      <c r="H27" s="159"/>
      <c r="I27" s="160"/>
      <c r="J27" s="1280" t="s">
        <v>145</v>
      </c>
      <c r="K27" s="1280"/>
      <c r="L27" s="1280"/>
      <c r="M27" s="1280"/>
      <c r="N27" s="1280"/>
      <c r="O27" s="1280"/>
      <c r="P27" s="1280"/>
      <c r="Q27" s="1280"/>
      <c r="R27" s="1280"/>
      <c r="S27" s="1280"/>
      <c r="T27" s="1280"/>
      <c r="U27" s="1280"/>
      <c r="V27" s="1280"/>
      <c r="W27" s="1280"/>
      <c r="X27" s="1280"/>
      <c r="Y27" s="1280"/>
      <c r="Z27" s="1280"/>
      <c r="AA27" s="120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</row>
    <row r="28" spans="1:47" ht="15">
      <c r="A28" s="120"/>
      <c r="B28" s="156"/>
      <c r="C28" s="156"/>
      <c r="D28" s="156"/>
      <c r="E28" s="156"/>
      <c r="F28" s="156"/>
      <c r="G28" s="156"/>
      <c r="H28" s="157"/>
      <c r="I28" s="120"/>
      <c r="J28" s="1281"/>
      <c r="K28" s="1281"/>
      <c r="L28" s="1281"/>
      <c r="M28" s="1281"/>
      <c r="N28" s="1281"/>
      <c r="O28" s="1281"/>
      <c r="P28" s="1281"/>
      <c r="Q28" s="1281"/>
      <c r="R28" s="1281"/>
      <c r="S28" s="1281"/>
      <c r="T28" s="1281"/>
      <c r="U28" s="1281"/>
      <c r="V28" s="1281"/>
      <c r="W28" s="1281"/>
      <c r="X28" s="1281"/>
      <c r="Y28" s="1281"/>
      <c r="Z28" s="1281"/>
      <c r="AA28" s="120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</row>
    <row r="29" spans="1:47" ht="10.5" customHeight="1">
      <c r="A29" s="120"/>
      <c r="B29" s="138" t="s">
        <v>144</v>
      </c>
      <c r="C29" s="138"/>
      <c r="D29" s="138"/>
      <c r="E29" s="138"/>
      <c r="F29" s="138"/>
      <c r="G29" s="138"/>
      <c r="H29" s="159"/>
      <c r="I29" s="160"/>
      <c r="J29" s="1280" t="s">
        <v>145</v>
      </c>
      <c r="K29" s="1280"/>
      <c r="L29" s="1280"/>
      <c r="M29" s="1280"/>
      <c r="N29" s="1280"/>
      <c r="O29" s="1280"/>
      <c r="P29" s="1280"/>
      <c r="Q29" s="1280"/>
      <c r="R29" s="1280"/>
      <c r="S29" s="1280"/>
      <c r="T29" s="1280"/>
      <c r="U29" s="1280"/>
      <c r="V29" s="1280"/>
      <c r="W29" s="1280"/>
      <c r="X29" s="1280"/>
      <c r="Y29" s="1280"/>
      <c r="Z29" s="1280"/>
      <c r="AA29" s="120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</row>
    <row r="30" spans="1:47" ht="15">
      <c r="A30" s="120"/>
      <c r="B30" s="159"/>
      <c r="C30" s="159"/>
      <c r="D30" s="159"/>
      <c r="E30" s="159"/>
      <c r="F30" s="159"/>
      <c r="G30" s="159"/>
      <c r="H30" s="159"/>
      <c r="I30" s="160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59"/>
      <c r="W30" s="159"/>
      <c r="X30" s="159"/>
      <c r="Y30" s="159"/>
      <c r="Z30" s="159"/>
      <c r="AA30" s="120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</row>
    <row r="31" spans="1:47" ht="15">
      <c r="A31" s="120"/>
      <c r="B31" s="120"/>
      <c r="C31" s="120"/>
      <c r="D31" s="161" t="s">
        <v>146</v>
      </c>
      <c r="E31" s="156"/>
      <c r="F31" s="120" t="s">
        <v>84</v>
      </c>
      <c r="G31" s="1281"/>
      <c r="H31" s="1281"/>
      <c r="I31" s="1281"/>
      <c r="J31" s="157"/>
      <c r="K31" s="1281"/>
      <c r="L31" s="1281"/>
      <c r="M31" s="120" t="s">
        <v>147</v>
      </c>
      <c r="N31" s="120"/>
      <c r="O31" s="120"/>
      <c r="P31" s="119"/>
      <c r="Q31" s="120"/>
      <c r="R31" s="120"/>
      <c r="S31" s="120"/>
      <c r="T31" s="120"/>
      <c r="U31" s="120"/>
      <c r="V31" s="120"/>
      <c r="W31" s="120"/>
      <c r="X31" s="120"/>
      <c r="Y31" s="120"/>
      <c r="Z31" s="120"/>
      <c r="AA31" s="120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</row>
    <row r="32" spans="1:47" ht="15">
      <c r="A32" s="120"/>
      <c r="B32" s="162"/>
      <c r="C32" s="162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</row>
    <row r="33" spans="1:47" ht="15">
      <c r="A33" s="120"/>
      <c r="B33" s="120" t="s">
        <v>148</v>
      </c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330"/>
      <c r="Q33" s="1330"/>
      <c r="R33" s="1330"/>
      <c r="S33" s="1330"/>
      <c r="T33" s="1330"/>
      <c r="U33" s="1330"/>
      <c r="V33" s="1330"/>
      <c r="W33" s="1330"/>
      <c r="X33" s="1330"/>
      <c r="Y33" s="1330"/>
      <c r="Z33" s="1330"/>
      <c r="AA33" s="120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</row>
    <row r="34" spans="1:47" ht="15">
      <c r="A34" s="120"/>
      <c r="B34" s="120"/>
      <c r="C34" s="120"/>
      <c r="D34" s="120"/>
      <c r="E34" s="163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</row>
    <row r="35" spans="1:47" ht="58.7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</row>
    <row r="36" spans="1:47">
      <c r="A36" s="121"/>
      <c r="B36" s="121"/>
      <c r="C36" s="1331"/>
      <c r="D36" s="1331"/>
      <c r="E36" s="1331"/>
      <c r="F36" s="1331"/>
      <c r="G36" s="1331"/>
      <c r="H36" s="121"/>
      <c r="I36" s="1331"/>
      <c r="J36" s="1331"/>
      <c r="K36" s="1331"/>
      <c r="L36" s="1331"/>
      <c r="M36" s="119"/>
      <c r="N36" s="119"/>
      <c r="O36" s="119"/>
      <c r="P36" s="119"/>
      <c r="Q36" s="119"/>
      <c r="R36" s="1332"/>
      <c r="S36" s="1332"/>
      <c r="U36" s="125"/>
      <c r="V36" s="125"/>
      <c r="W36" s="125"/>
      <c r="X36" s="125"/>
      <c r="Y36" s="125"/>
      <c r="Z36" s="125" t="s">
        <v>149</v>
      </c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R36" s="164"/>
      <c r="AS36" s="164"/>
      <c r="AT36" s="125" t="s">
        <v>150</v>
      </c>
      <c r="AU36" s="119"/>
    </row>
    <row r="37" spans="1:47" ht="3.2" customHeight="1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</row>
    <row r="38" spans="1:47" ht="20.25" customHeight="1">
      <c r="A38" s="119"/>
      <c r="B38" s="1309" t="s">
        <v>151</v>
      </c>
      <c r="C38" s="1327" t="s">
        <v>152</v>
      </c>
      <c r="D38" s="1327"/>
      <c r="E38" s="1327"/>
      <c r="F38" s="1328"/>
      <c r="G38" s="1328"/>
      <c r="H38" s="1309" t="s">
        <v>153</v>
      </c>
      <c r="I38" s="1329"/>
      <c r="J38" s="1329"/>
      <c r="K38" s="1328" t="s">
        <v>89</v>
      </c>
      <c r="L38" s="1328"/>
      <c r="M38" s="1328"/>
      <c r="N38" s="1328" t="s">
        <v>154</v>
      </c>
      <c r="O38" s="1328"/>
      <c r="P38" s="1328"/>
      <c r="Q38" s="1328"/>
      <c r="R38" s="1327" t="s">
        <v>155</v>
      </c>
      <c r="S38" s="1327"/>
      <c r="T38" s="1327"/>
      <c r="U38" s="1327"/>
      <c r="V38" s="1327"/>
      <c r="W38" s="1327"/>
      <c r="X38" s="1327"/>
      <c r="Y38" s="1327"/>
      <c r="Z38" s="1327"/>
      <c r="AA38" s="1317" t="s">
        <v>156</v>
      </c>
      <c r="AB38" s="1318"/>
      <c r="AC38" s="1318"/>
      <c r="AD38" s="1318"/>
      <c r="AE38" s="1318"/>
      <c r="AF38" s="1318"/>
      <c r="AG38" s="1319"/>
      <c r="AH38" s="1314" t="s">
        <v>157</v>
      </c>
      <c r="AI38" s="1315"/>
      <c r="AJ38" s="1315"/>
      <c r="AK38" s="1316"/>
      <c r="AL38" s="1317" t="s">
        <v>158</v>
      </c>
      <c r="AM38" s="1318"/>
      <c r="AN38" s="1318"/>
      <c r="AO38" s="1318"/>
      <c r="AP38" s="1318"/>
      <c r="AQ38" s="1318"/>
      <c r="AR38" s="1318"/>
      <c r="AS38" s="1318"/>
      <c r="AT38" s="1319"/>
      <c r="AU38" s="119"/>
    </row>
    <row r="39" spans="1:47" ht="22.7" customHeight="1">
      <c r="A39" s="119"/>
      <c r="B39" s="1320"/>
      <c r="C39" s="1329" t="s">
        <v>159</v>
      </c>
      <c r="D39" s="1329"/>
      <c r="E39" s="1314"/>
      <c r="F39" s="1329" t="s">
        <v>262</v>
      </c>
      <c r="G39" s="1329"/>
      <c r="H39" s="1329" t="s">
        <v>160</v>
      </c>
      <c r="I39" s="1316" t="s">
        <v>263</v>
      </c>
      <c r="J39" s="1314"/>
      <c r="K39" s="1329" t="s">
        <v>161</v>
      </c>
      <c r="L39" s="1329"/>
      <c r="M39" s="1329" t="s">
        <v>162</v>
      </c>
      <c r="N39" s="1327" t="s">
        <v>163</v>
      </c>
      <c r="O39" s="1327"/>
      <c r="P39" s="1327" t="s">
        <v>164</v>
      </c>
      <c r="Q39" s="1327"/>
      <c r="R39" s="1319" t="s">
        <v>163</v>
      </c>
      <c r="S39" s="1327"/>
      <c r="T39" s="1327"/>
      <c r="U39" s="1327"/>
      <c r="V39" s="1327"/>
      <c r="W39" s="1327"/>
      <c r="X39" s="1327" t="s">
        <v>164</v>
      </c>
      <c r="Y39" s="1327"/>
      <c r="Z39" s="1327"/>
      <c r="AA39" s="1314" t="s">
        <v>165</v>
      </c>
      <c r="AB39" s="1315"/>
      <c r="AC39" s="1316"/>
      <c r="AD39" s="1317" t="s">
        <v>166</v>
      </c>
      <c r="AE39" s="1318"/>
      <c r="AF39" s="1318"/>
      <c r="AG39" s="1319"/>
      <c r="AH39" s="1309" t="s">
        <v>167</v>
      </c>
      <c r="AI39" s="1309" t="s">
        <v>168</v>
      </c>
      <c r="AJ39" s="1312" t="s">
        <v>169</v>
      </c>
      <c r="AK39" s="1308"/>
      <c r="AL39" s="1323"/>
      <c r="AM39" s="1324"/>
      <c r="AN39" s="1324"/>
      <c r="AO39" s="1324"/>
      <c r="AP39" s="1325"/>
      <c r="AQ39" s="1323"/>
      <c r="AR39" s="1325"/>
      <c r="AS39" s="1323"/>
      <c r="AT39" s="1325"/>
      <c r="AU39" s="119"/>
    </row>
    <row r="40" spans="1:47" ht="39.75" customHeight="1">
      <c r="A40" s="119"/>
      <c r="B40" s="1326"/>
      <c r="C40" s="1309"/>
      <c r="D40" s="1309"/>
      <c r="E40" s="1312"/>
      <c r="F40" s="1309"/>
      <c r="G40" s="1309"/>
      <c r="H40" s="1309"/>
      <c r="I40" s="1308"/>
      <c r="J40" s="1312"/>
      <c r="K40" s="1309"/>
      <c r="L40" s="1309"/>
      <c r="M40" s="1309"/>
      <c r="N40" s="165" t="s">
        <v>170</v>
      </c>
      <c r="O40" s="165" t="s">
        <v>168</v>
      </c>
      <c r="P40" s="165" t="s">
        <v>170</v>
      </c>
      <c r="Q40" s="165" t="s">
        <v>168</v>
      </c>
      <c r="R40" s="1308" t="s">
        <v>170</v>
      </c>
      <c r="S40" s="1309"/>
      <c r="T40" s="1309" t="s">
        <v>168</v>
      </c>
      <c r="U40" s="1309"/>
      <c r="V40" s="1309" t="s">
        <v>171</v>
      </c>
      <c r="W40" s="1309"/>
      <c r="X40" s="165" t="s">
        <v>170</v>
      </c>
      <c r="Y40" s="165" t="s">
        <v>168</v>
      </c>
      <c r="Z40" s="165" t="s">
        <v>171</v>
      </c>
      <c r="AA40" s="165" t="s">
        <v>170</v>
      </c>
      <c r="AB40" s="165" t="s">
        <v>168</v>
      </c>
      <c r="AC40" s="165" t="s">
        <v>172</v>
      </c>
      <c r="AD40" s="165" t="s">
        <v>170</v>
      </c>
      <c r="AE40" s="165" t="s">
        <v>168</v>
      </c>
      <c r="AF40" s="1310" t="s">
        <v>173</v>
      </c>
      <c r="AG40" s="1311"/>
      <c r="AH40" s="1320"/>
      <c r="AI40" s="1320"/>
      <c r="AJ40" s="1321"/>
      <c r="AK40" s="1322"/>
      <c r="AL40" s="165" t="s">
        <v>167</v>
      </c>
      <c r="AM40" s="1312" t="s">
        <v>174</v>
      </c>
      <c r="AN40" s="1313"/>
      <c r="AO40" s="1313"/>
      <c r="AP40" s="1308"/>
      <c r="AQ40" s="165" t="s">
        <v>167</v>
      </c>
      <c r="AR40" s="165" t="s">
        <v>168</v>
      </c>
      <c r="AS40" s="165" t="s">
        <v>167</v>
      </c>
      <c r="AT40" s="165" t="s">
        <v>168</v>
      </c>
      <c r="AU40" s="119"/>
    </row>
    <row r="41" spans="1:47">
      <c r="A41" s="119"/>
      <c r="B41" s="166">
        <v>1</v>
      </c>
      <c r="C41" s="1295">
        <v>2</v>
      </c>
      <c r="D41" s="1295"/>
      <c r="E41" s="1295"/>
      <c r="F41" s="1295">
        <v>3</v>
      </c>
      <c r="G41" s="1295"/>
      <c r="H41" s="166">
        <v>4</v>
      </c>
      <c r="I41" s="1295">
        <v>5</v>
      </c>
      <c r="J41" s="1306"/>
      <c r="K41" s="1295">
        <v>6</v>
      </c>
      <c r="L41" s="1295"/>
      <c r="M41" s="166">
        <v>7</v>
      </c>
      <c r="N41" s="166">
        <v>8</v>
      </c>
      <c r="O41" s="166">
        <v>9</v>
      </c>
      <c r="P41" s="167">
        <v>10</v>
      </c>
      <c r="Q41" s="166">
        <v>11</v>
      </c>
      <c r="R41" s="1307">
        <v>12</v>
      </c>
      <c r="S41" s="1295"/>
      <c r="T41" s="1295">
        <v>13</v>
      </c>
      <c r="U41" s="1295"/>
      <c r="V41" s="1295">
        <v>14</v>
      </c>
      <c r="W41" s="1295"/>
      <c r="X41" s="166">
        <v>15</v>
      </c>
      <c r="Y41" s="166">
        <v>16</v>
      </c>
      <c r="Z41" s="166">
        <v>17</v>
      </c>
      <c r="AA41" s="168">
        <v>18</v>
      </c>
      <c r="AB41" s="168">
        <v>19</v>
      </c>
      <c r="AC41" s="168">
        <v>20</v>
      </c>
      <c r="AD41" s="168">
        <v>21</v>
      </c>
      <c r="AE41" s="168">
        <v>22</v>
      </c>
      <c r="AF41" s="1296">
        <v>23</v>
      </c>
      <c r="AG41" s="1297"/>
      <c r="AH41" s="168">
        <v>24</v>
      </c>
      <c r="AI41" s="168">
        <v>25</v>
      </c>
      <c r="AJ41" s="1296">
        <v>26</v>
      </c>
      <c r="AK41" s="1297"/>
      <c r="AL41" s="168">
        <v>27</v>
      </c>
      <c r="AM41" s="1296">
        <v>28</v>
      </c>
      <c r="AN41" s="1298"/>
      <c r="AO41" s="1298"/>
      <c r="AP41" s="1297"/>
      <c r="AQ41" s="168">
        <v>29</v>
      </c>
      <c r="AR41" s="168">
        <v>30</v>
      </c>
      <c r="AS41" s="168">
        <v>31</v>
      </c>
      <c r="AT41" s="168">
        <v>32</v>
      </c>
      <c r="AU41" s="119"/>
    </row>
    <row r="42" spans="1:47" ht="22.5">
      <c r="A42" s="119"/>
      <c r="B42" s="169" t="s">
        <v>4</v>
      </c>
      <c r="C42" s="1299" t="s">
        <v>6</v>
      </c>
      <c r="D42" s="1300"/>
      <c r="E42" s="1301"/>
      <c r="F42" s="1299" t="s">
        <v>7</v>
      </c>
      <c r="G42" s="1301"/>
      <c r="H42" s="433" t="s">
        <v>336</v>
      </c>
      <c r="I42" s="1299" t="s">
        <v>8</v>
      </c>
      <c r="J42" s="1301"/>
      <c r="K42" s="1302" t="s">
        <v>14</v>
      </c>
      <c r="L42" s="1303"/>
      <c r="M42" s="170" t="s">
        <v>15</v>
      </c>
      <c r="N42" s="171" t="s">
        <v>10</v>
      </c>
      <c r="O42" s="171" t="s">
        <v>11</v>
      </c>
      <c r="P42" s="171" t="s">
        <v>12</v>
      </c>
      <c r="Q42" s="171" t="s">
        <v>13</v>
      </c>
      <c r="R42" s="1304"/>
      <c r="S42" s="1305"/>
      <c r="T42" s="1284"/>
      <c r="U42" s="1285"/>
      <c r="V42" s="1284"/>
      <c r="W42" s="1285"/>
      <c r="X42" s="172"/>
      <c r="Y42" s="172"/>
      <c r="Z42" s="172"/>
      <c r="AA42" s="172"/>
      <c r="AB42" s="172"/>
      <c r="AC42" s="172"/>
      <c r="AD42" s="172"/>
      <c r="AE42" s="172"/>
      <c r="AF42" s="274"/>
      <c r="AG42" s="275"/>
      <c r="AH42" s="172"/>
      <c r="AI42" s="172"/>
      <c r="AJ42" s="274"/>
      <c r="AK42" s="275"/>
      <c r="AL42" s="172"/>
      <c r="AM42" s="274"/>
      <c r="AN42" s="280"/>
      <c r="AO42" s="280"/>
      <c r="AP42" s="275"/>
      <c r="AQ42" s="172"/>
      <c r="AR42" s="172"/>
      <c r="AS42" s="172"/>
      <c r="AT42" s="172"/>
      <c r="AU42" s="119"/>
    </row>
    <row r="43" spans="1:47" ht="13.5">
      <c r="B43" s="173" t="s">
        <v>175</v>
      </c>
      <c r="M43" s="174" t="s">
        <v>176</v>
      </c>
      <c r="N43" s="175"/>
      <c r="O43" s="175"/>
      <c r="P43" s="175"/>
      <c r="Q43" s="175"/>
      <c r="R43" s="1286"/>
      <c r="S43" s="1287"/>
      <c r="T43" s="176"/>
      <c r="U43" s="177"/>
      <c r="V43" s="1288" t="s">
        <v>177</v>
      </c>
      <c r="W43" s="1289"/>
      <c r="X43" s="178"/>
      <c r="Y43" s="178"/>
      <c r="Z43" s="179" t="s">
        <v>177</v>
      </c>
      <c r="AA43" s="276"/>
      <c r="AB43" s="277"/>
      <c r="AC43" s="278"/>
      <c r="AD43" s="277"/>
      <c r="AE43" s="279"/>
      <c r="AF43" s="281"/>
      <c r="AG43" s="282"/>
      <c r="AH43" s="279"/>
      <c r="AI43" s="279"/>
      <c r="AJ43" s="281"/>
      <c r="AK43" s="282"/>
      <c r="AL43" s="279"/>
      <c r="AM43" s="283"/>
      <c r="AN43" s="284"/>
      <c r="AO43" s="284"/>
      <c r="AP43" s="285"/>
      <c r="AQ43" s="279"/>
      <c r="AR43" s="279"/>
      <c r="AS43" s="279"/>
      <c r="AT43" s="279"/>
    </row>
    <row r="44" spans="1:47">
      <c r="A44" s="119"/>
      <c r="B44" s="173" t="s">
        <v>175</v>
      </c>
      <c r="C44" s="189"/>
      <c r="D44" s="189"/>
      <c r="E44" s="189"/>
      <c r="F44" s="190"/>
      <c r="G44" s="190"/>
      <c r="H44" s="191"/>
      <c r="I44" s="189"/>
      <c r="J44" s="189"/>
      <c r="K44" s="190"/>
      <c r="L44" s="190"/>
      <c r="M44" s="192" t="s">
        <v>178</v>
      </c>
      <c r="N44" s="193"/>
      <c r="O44" s="194"/>
      <c r="P44" s="193"/>
      <c r="Q44" s="194"/>
      <c r="R44" s="1290"/>
      <c r="S44" s="1291"/>
      <c r="T44" s="195"/>
      <c r="U44" s="196"/>
      <c r="V44" s="1292" t="s">
        <v>177</v>
      </c>
      <c r="W44" s="1293"/>
      <c r="X44" s="197"/>
      <c r="Y44" s="197"/>
      <c r="Z44" s="198" t="s">
        <v>177</v>
      </c>
      <c r="AA44" s="181"/>
      <c r="AB44" s="181"/>
      <c r="AC44" s="182"/>
      <c r="AD44" s="181"/>
      <c r="AE44" s="183"/>
      <c r="AF44" s="184"/>
      <c r="AG44" s="185"/>
      <c r="AH44" s="183"/>
      <c r="AI44" s="183"/>
      <c r="AJ44" s="184"/>
      <c r="AK44" s="185"/>
      <c r="AL44" s="183"/>
      <c r="AM44" s="186"/>
      <c r="AN44" s="187"/>
      <c r="AO44" s="187"/>
      <c r="AP44" s="188"/>
      <c r="AQ44" s="183"/>
      <c r="AR44" s="183"/>
      <c r="AS44" s="183"/>
      <c r="AT44" s="183"/>
      <c r="AU44" s="119"/>
    </row>
    <row r="45" spans="1:47" ht="12.75" customHeight="1">
      <c r="A45" s="123"/>
      <c r="B45" s="173" t="s">
        <v>175</v>
      </c>
      <c r="C45" s="199"/>
      <c r="D45" s="199"/>
      <c r="E45" s="199"/>
      <c r="F45" s="199"/>
      <c r="G45" s="199"/>
      <c r="H45" s="200"/>
      <c r="I45" s="201"/>
      <c r="J45" s="201"/>
      <c r="K45" s="201"/>
      <c r="L45" s="201"/>
      <c r="M45" s="202"/>
      <c r="N45" s="202"/>
      <c r="O45" s="203"/>
      <c r="P45" s="203"/>
      <c r="Q45" s="201"/>
      <c r="R45" s="204"/>
      <c r="S45" s="204"/>
      <c r="T45" s="118"/>
      <c r="U45" s="119"/>
      <c r="V45" s="119"/>
      <c r="W45" s="119"/>
      <c r="X45" s="119"/>
      <c r="Y45" s="119"/>
      <c r="Z45" s="119"/>
      <c r="AA45" s="119" t="s">
        <v>179</v>
      </c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205"/>
      <c r="AU45" s="119"/>
    </row>
    <row r="46" spans="1:47" ht="12.75" customHeight="1">
      <c r="A46" s="121" t="s">
        <v>93</v>
      </c>
      <c r="B46" s="1294" t="s">
        <v>93</v>
      </c>
      <c r="C46" s="1294"/>
      <c r="D46" s="1294"/>
      <c r="E46" s="1294"/>
      <c r="F46" s="1294"/>
      <c r="G46" s="1294"/>
      <c r="H46" s="1294"/>
      <c r="I46" s="164"/>
      <c r="J46" s="164"/>
      <c r="K46" s="206"/>
      <c r="L46" s="206"/>
      <c r="M46" s="206"/>
      <c r="N46" s="120"/>
      <c r="O46" s="206"/>
      <c r="P46" s="206"/>
      <c r="Q46" s="206"/>
      <c r="R46" s="206"/>
      <c r="S46" s="206"/>
      <c r="T46" s="206"/>
      <c r="U46" s="206"/>
      <c r="V46" s="119"/>
      <c r="W46" s="119"/>
      <c r="X46" s="119"/>
      <c r="Y46" s="119"/>
      <c r="Z46" s="119"/>
      <c r="AA46" s="119"/>
      <c r="AB46" s="208" t="s">
        <v>181</v>
      </c>
      <c r="AC46" s="119"/>
      <c r="AD46" s="119"/>
      <c r="AE46" s="119"/>
      <c r="AF46" s="119"/>
      <c r="AG46" s="1283" t="s">
        <v>291</v>
      </c>
      <c r="AH46" s="1283"/>
      <c r="AI46" s="1283"/>
      <c r="AJ46" s="119"/>
      <c r="AK46" s="1281"/>
      <c r="AL46" s="1281"/>
      <c r="AM46" s="1281"/>
      <c r="AN46" s="157"/>
      <c r="AO46" s="119"/>
      <c r="AP46" s="209">
        <f>GalRepVar_MOL</f>
        <v>0</v>
      </c>
      <c r="AQ46" s="210" t="s">
        <v>33</v>
      </c>
      <c r="AR46" s="209"/>
      <c r="AS46" s="209"/>
      <c r="AT46" s="211"/>
      <c r="AU46" s="119"/>
    </row>
    <row r="47" spans="1:47" ht="12.75" customHeight="1">
      <c r="A47" s="119"/>
      <c r="B47" s="1280" t="s">
        <v>612</v>
      </c>
      <c r="C47" s="1280"/>
      <c r="D47" s="1280"/>
      <c r="E47" s="1280"/>
      <c r="F47" s="1280"/>
      <c r="G47" s="1280"/>
      <c r="H47" s="1280"/>
      <c r="I47" s="160"/>
      <c r="J47" s="160"/>
      <c r="K47" s="1280" t="s">
        <v>80</v>
      </c>
      <c r="L47" s="1280"/>
      <c r="M47" s="1280"/>
      <c r="N47" s="160"/>
      <c r="Q47" s="138" t="s">
        <v>182</v>
      </c>
      <c r="T47" s="131"/>
      <c r="U47" s="131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280" t="s">
        <v>183</v>
      </c>
      <c r="AH47" s="1280"/>
      <c r="AI47" s="1280"/>
      <c r="AJ47" s="212"/>
      <c r="AK47" s="1280" t="s">
        <v>80</v>
      </c>
      <c r="AL47" s="1280"/>
      <c r="AM47" s="1280"/>
      <c r="AN47" s="159"/>
      <c r="AO47" s="212"/>
      <c r="AP47" s="1280" t="s">
        <v>182</v>
      </c>
      <c r="AQ47" s="1280"/>
      <c r="AR47" s="1280"/>
      <c r="AS47" s="1280"/>
      <c r="AT47" s="1280"/>
      <c r="AU47" s="119"/>
    </row>
    <row r="48" spans="1:47" ht="12.75" customHeight="1">
      <c r="A48" s="119"/>
      <c r="B48" s="119"/>
      <c r="C48" s="119"/>
      <c r="D48" s="119"/>
      <c r="E48" s="119"/>
      <c r="F48" s="119"/>
      <c r="U48" s="119"/>
      <c r="V48" s="119"/>
      <c r="W48" s="119"/>
      <c r="X48" s="119"/>
      <c r="Y48" s="119"/>
      <c r="Z48" s="119"/>
      <c r="AA48" s="119"/>
      <c r="AB48" s="121"/>
      <c r="AC48" s="121"/>
      <c r="AD48" s="121"/>
      <c r="AE48" s="121"/>
      <c r="AF48" s="121"/>
      <c r="AG48" s="1281"/>
      <c r="AH48" s="1281"/>
      <c r="AI48" s="1281"/>
      <c r="AJ48" s="119"/>
      <c r="AK48" s="1281"/>
      <c r="AL48" s="1281"/>
      <c r="AM48" s="1281"/>
      <c r="AN48" s="157"/>
      <c r="AO48" s="119"/>
      <c r="AP48" s="1281"/>
      <c r="AQ48" s="1281"/>
      <c r="AR48" s="1281"/>
      <c r="AS48" s="1281"/>
      <c r="AT48" s="211"/>
      <c r="AU48" s="119"/>
    </row>
    <row r="49" spans="1:47" ht="12.75" customHeight="1">
      <c r="A49" s="119"/>
      <c r="B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282" t="s">
        <v>183</v>
      </c>
      <c r="AH49" s="1282"/>
      <c r="AI49" s="1282"/>
      <c r="AJ49" s="213"/>
      <c r="AK49" s="1282" t="s">
        <v>80</v>
      </c>
      <c r="AL49" s="1282"/>
      <c r="AM49" s="1282"/>
      <c r="AN49" s="214"/>
      <c r="AO49" s="213"/>
      <c r="AP49" s="1282" t="s">
        <v>182</v>
      </c>
      <c r="AQ49" s="1282"/>
      <c r="AR49" s="1282"/>
      <c r="AS49" s="1282"/>
      <c r="AT49" s="1282"/>
      <c r="AU49" s="119"/>
    </row>
    <row r="50" spans="1:47" ht="12.75" customHeight="1">
      <c r="A50" s="119"/>
      <c r="B50" s="119"/>
      <c r="T50" s="119"/>
      <c r="U50" s="119"/>
      <c r="V50" s="119"/>
      <c r="W50" s="119"/>
      <c r="X50" s="119"/>
      <c r="Y50" s="119"/>
      <c r="Z50" s="119"/>
      <c r="AT50" s="119"/>
      <c r="AU50" s="119"/>
    </row>
    <row r="51" spans="1:47" ht="12.75" customHeight="1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</row>
    <row r="52" spans="1:47" ht="12.75" customHeight="1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  <c r="AA52" s="119"/>
      <c r="AB52" s="119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</row>
    <row r="53" spans="1:47" ht="12.75" customHeight="1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21"/>
      <c r="AU53" s="119"/>
    </row>
    <row r="54" spans="1:47" ht="12.75" customHeight="1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  <c r="AT54" s="119"/>
      <c r="AU54" s="119"/>
    </row>
    <row r="55" spans="1:47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T55" s="119"/>
      <c r="AU55" s="119"/>
    </row>
    <row r="56" spans="1:47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T56" s="119"/>
      <c r="AU56" s="119"/>
    </row>
    <row r="57" spans="1:47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  <c r="AT57" s="119"/>
      <c r="AU57" s="119"/>
    </row>
    <row r="58" spans="1:47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  <c r="AT58" s="119"/>
      <c r="AU58" s="119"/>
    </row>
    <row r="59" spans="1:47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</row>
    <row r="60" spans="1:47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  <c r="AA60" s="119"/>
      <c r="AB60" s="119"/>
      <c r="AC60" s="119"/>
      <c r="AD60" s="119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</row>
    <row r="85" spans="2:2">
      <c r="B85" t="s">
        <v>184</v>
      </c>
    </row>
    <row r="91" spans="2:2">
      <c r="B91" t="s">
        <v>184</v>
      </c>
    </row>
  </sheetData>
  <mergeCells count="100">
    <mergeCell ref="B2:E4"/>
    <mergeCell ref="W5:Y5"/>
    <mergeCell ref="W7:Y7"/>
    <mergeCell ref="W8:Y9"/>
    <mergeCell ref="E10:P10"/>
    <mergeCell ref="Q10:V11"/>
    <mergeCell ref="J12:R12"/>
    <mergeCell ref="U12:V12"/>
    <mergeCell ref="W12:Y12"/>
    <mergeCell ref="J13:R13"/>
    <mergeCell ref="U13:V14"/>
    <mergeCell ref="W13:Y14"/>
    <mergeCell ref="J28:Z28"/>
    <mergeCell ref="Q15:V15"/>
    <mergeCell ref="W15:Y15"/>
    <mergeCell ref="P16:V16"/>
    <mergeCell ref="W16:Y16"/>
    <mergeCell ref="Q20:R20"/>
    <mergeCell ref="S20:W20"/>
    <mergeCell ref="K21:P21"/>
    <mergeCell ref="Q21:R21"/>
    <mergeCell ref="S21:W21"/>
    <mergeCell ref="E22:T22"/>
    <mergeCell ref="J27:Z27"/>
    <mergeCell ref="R38:Z38"/>
    <mergeCell ref="P39:Q39"/>
    <mergeCell ref="R39:W39"/>
    <mergeCell ref="X39:Z39"/>
    <mergeCell ref="C36:E36"/>
    <mergeCell ref="F36:G36"/>
    <mergeCell ref="I36:J36"/>
    <mergeCell ref="K36:L36"/>
    <mergeCell ref="R36:S36"/>
    <mergeCell ref="J29:Z29"/>
    <mergeCell ref="B38:B40"/>
    <mergeCell ref="C38:G38"/>
    <mergeCell ref="H38:J38"/>
    <mergeCell ref="K38:M38"/>
    <mergeCell ref="N38:Q38"/>
    <mergeCell ref="C39:E40"/>
    <mergeCell ref="F39:G40"/>
    <mergeCell ref="H39:H40"/>
    <mergeCell ref="I39:J40"/>
    <mergeCell ref="K39:L40"/>
    <mergeCell ref="G31:I31"/>
    <mergeCell ref="K31:L31"/>
    <mergeCell ref="P33:Z33"/>
    <mergeCell ref="N39:O39"/>
    <mergeCell ref="M39:M40"/>
    <mergeCell ref="AA38:AG38"/>
    <mergeCell ref="AH38:AK38"/>
    <mergeCell ref="AL38:AT38"/>
    <mergeCell ref="AQ39:AR39"/>
    <mergeCell ref="AS39:AT39"/>
    <mergeCell ref="AM40:AP40"/>
    <mergeCell ref="AA39:AC39"/>
    <mergeCell ref="AD39:AG39"/>
    <mergeCell ref="AH39:AH40"/>
    <mergeCell ref="AI39:AI40"/>
    <mergeCell ref="AJ39:AK40"/>
    <mergeCell ref="AL39:AP39"/>
    <mergeCell ref="T41:U41"/>
    <mergeCell ref="R40:S40"/>
    <mergeCell ref="T40:U40"/>
    <mergeCell ref="V40:W40"/>
    <mergeCell ref="AF40:AG40"/>
    <mergeCell ref="B46:H46"/>
    <mergeCell ref="V41:W41"/>
    <mergeCell ref="AF41:AG41"/>
    <mergeCell ref="AJ41:AK41"/>
    <mergeCell ref="AM41:AP41"/>
    <mergeCell ref="C42:E42"/>
    <mergeCell ref="F42:G42"/>
    <mergeCell ref="I42:J42"/>
    <mergeCell ref="K42:L42"/>
    <mergeCell ref="R42:S42"/>
    <mergeCell ref="T42:U42"/>
    <mergeCell ref="C41:E41"/>
    <mergeCell ref="F41:G41"/>
    <mergeCell ref="I41:J41"/>
    <mergeCell ref="K41:L41"/>
    <mergeCell ref="R41:S41"/>
    <mergeCell ref="V42:W42"/>
    <mergeCell ref="R43:S43"/>
    <mergeCell ref="V43:W43"/>
    <mergeCell ref="R44:S44"/>
    <mergeCell ref="V44:W44"/>
    <mergeCell ref="AG46:AI46"/>
    <mergeCell ref="AK46:AM46"/>
    <mergeCell ref="K47:M47"/>
    <mergeCell ref="AG47:AI47"/>
    <mergeCell ref="AK47:AM47"/>
    <mergeCell ref="B47:H47"/>
    <mergeCell ref="AG48:AI48"/>
    <mergeCell ref="AK48:AM48"/>
    <mergeCell ref="AP48:AS48"/>
    <mergeCell ref="AG49:AI49"/>
    <mergeCell ref="AK49:AM49"/>
    <mergeCell ref="AP49:AT49"/>
    <mergeCell ref="AP47:AT47"/>
  </mergeCells>
  <pageMargins left="0.98425196850393704" right="0.59055118110236227" top="0.59055118110236227" bottom="0.35433070866141736" header="0" footer="0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32"/>
  <dimension ref="A1:AU91"/>
  <sheetViews>
    <sheetView view="pageBreakPreview" zoomScaleNormal="100" workbookViewId="0">
      <selection activeCell="INL10" sqref="INL10"/>
    </sheetView>
  </sheetViews>
  <sheetFormatPr defaultRowHeight="12.75"/>
  <cols>
    <col min="1" max="1" width="0.140625" customWidth="1"/>
    <col min="2" max="2" width="5" customWidth="1"/>
    <col min="3" max="3" width="3.85546875" customWidth="1"/>
    <col min="4" max="4" width="11.5703125" customWidth="1"/>
    <col min="5" max="5" width="3.85546875" customWidth="1"/>
    <col min="6" max="6" width="2" customWidth="1"/>
    <col min="7" max="7" width="4.5703125" customWidth="1"/>
    <col min="8" max="8" width="5.28515625" customWidth="1"/>
    <col min="9" max="9" width="3.7109375" customWidth="1"/>
    <col min="10" max="10" width="3.28515625" customWidth="1"/>
    <col min="11" max="11" width="2.5703125" customWidth="1"/>
    <col min="12" max="12" width="3.5703125" customWidth="1"/>
    <col min="13" max="13" width="6.85546875" customWidth="1"/>
    <col min="14" max="14" width="7.42578125" customWidth="1"/>
    <col min="15" max="15" width="8.42578125" customWidth="1"/>
    <col min="16" max="16" width="7.85546875" customWidth="1"/>
    <col min="17" max="17" width="8.85546875" customWidth="1"/>
    <col min="18" max="18" width="6.7109375" customWidth="1"/>
    <col min="19" max="19" width="1.7109375" customWidth="1"/>
    <col min="20" max="20" width="5.140625" customWidth="1"/>
    <col min="21" max="21" width="3.85546875" customWidth="1"/>
    <col min="22" max="22" width="4.28515625" customWidth="1"/>
    <col min="23" max="23" width="1.5703125" customWidth="1"/>
    <col min="24" max="24" width="6.5703125" customWidth="1"/>
    <col min="25" max="25" width="6.7109375" customWidth="1"/>
    <col min="26" max="26" width="6.28515625" customWidth="1"/>
    <col min="27" max="27" width="5.7109375" customWidth="1"/>
    <col min="28" max="28" width="10.5703125" customWidth="1"/>
    <col min="30" max="30" width="6.42578125" customWidth="1"/>
    <col min="32" max="32" width="4.85546875" customWidth="1"/>
    <col min="33" max="33" width="5.5703125" customWidth="1"/>
    <col min="34" max="34" width="6.7109375" customWidth="1"/>
    <col min="35" max="35" width="9" customWidth="1"/>
    <col min="36" max="36" width="2.42578125" customWidth="1"/>
    <col min="37" max="37" width="7.28515625" customWidth="1"/>
    <col min="38" max="38" width="7" customWidth="1"/>
    <col min="39" max="39" width="7.42578125" customWidth="1"/>
    <col min="40" max="40" width="2.42578125" customWidth="1"/>
    <col min="41" max="42" width="9.140625" hidden="1" customWidth="1"/>
    <col min="45" max="45" width="6.7109375" customWidth="1"/>
    <col min="46" max="46" width="8.7109375" customWidth="1"/>
  </cols>
  <sheetData>
    <row r="1" spans="1:47" ht="13.7" customHeight="1">
      <c r="A1" s="116" t="s">
        <v>29</v>
      </c>
      <c r="B1" s="286" t="s">
        <v>30</v>
      </c>
      <c r="C1" s="116"/>
      <c r="D1" s="118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</row>
    <row r="2" spans="1:47" ht="15">
      <c r="A2" s="1119"/>
      <c r="B2" s="1201" t="s">
        <v>599</v>
      </c>
      <c r="C2" s="1201"/>
      <c r="D2" s="1201"/>
      <c r="E2" s="1201"/>
      <c r="F2" s="1119"/>
      <c r="G2" s="1119"/>
      <c r="H2" s="1119"/>
      <c r="I2" s="1119"/>
      <c r="J2" s="1119"/>
      <c r="K2" s="1119"/>
      <c r="L2" s="1119"/>
      <c r="M2" s="1119"/>
      <c r="N2" s="1119"/>
      <c r="O2" s="1119"/>
      <c r="P2" s="1119"/>
      <c r="Q2" s="1119"/>
      <c r="R2" s="1119"/>
      <c r="S2" s="121" t="s">
        <v>137</v>
      </c>
      <c r="T2" s="119"/>
      <c r="U2" s="119"/>
      <c r="V2" s="1119"/>
      <c r="W2" s="1119"/>
      <c r="X2" s="1119"/>
      <c r="Y2" s="1119"/>
      <c r="Z2" s="1119"/>
      <c r="AA2" s="1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</row>
    <row r="3" spans="1:47" ht="15">
      <c r="A3" s="1119"/>
      <c r="B3" s="1201"/>
      <c r="C3" s="1201"/>
      <c r="D3" s="1201"/>
      <c r="E3" s="1201"/>
      <c r="F3" s="1119"/>
      <c r="G3" s="1119"/>
      <c r="H3" s="1119"/>
      <c r="I3" s="1119"/>
      <c r="J3" s="1119"/>
      <c r="K3" s="1119"/>
      <c r="L3" s="1119"/>
      <c r="M3" s="1119"/>
      <c r="N3" s="1119"/>
      <c r="O3" s="1119"/>
      <c r="P3" s="1119"/>
      <c r="Q3" s="1119"/>
      <c r="R3" s="1119"/>
      <c r="S3" s="121" t="s">
        <v>44</v>
      </c>
      <c r="T3" s="119"/>
      <c r="U3" s="119"/>
      <c r="V3" s="1119"/>
      <c r="W3" s="1119"/>
      <c r="X3" s="1119"/>
      <c r="Y3" s="1119"/>
      <c r="Z3" s="1119"/>
      <c r="AA3" s="1119"/>
      <c r="AB3" s="119"/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</row>
    <row r="4" spans="1:47" ht="15">
      <c r="A4" s="1119"/>
      <c r="B4" s="1201"/>
      <c r="C4" s="1201"/>
      <c r="D4" s="1201"/>
      <c r="E4" s="1201"/>
      <c r="F4" s="1119"/>
      <c r="G4" s="1119"/>
      <c r="H4" s="1119"/>
      <c r="I4" s="1119"/>
      <c r="J4" s="1119"/>
      <c r="K4" s="1119"/>
      <c r="L4" s="1119"/>
      <c r="M4" s="1119"/>
      <c r="N4" s="1119"/>
      <c r="O4" s="1119"/>
      <c r="P4" s="1119"/>
      <c r="Q4" s="1119"/>
      <c r="R4" s="1119"/>
      <c r="S4" s="122" t="s">
        <v>45</v>
      </c>
      <c r="T4" s="119"/>
      <c r="U4" s="119"/>
      <c r="V4" s="1119"/>
      <c r="W4" s="1119"/>
      <c r="X4" s="1119"/>
      <c r="Y4" s="1119"/>
      <c r="Z4" s="1119"/>
      <c r="AA4" s="1119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</row>
    <row r="5" spans="1:47" ht="15.75" thickBot="1">
      <c r="A5" s="123"/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363" t="s">
        <v>55</v>
      </c>
      <c r="X5" s="1364"/>
      <c r="Y5" s="1365"/>
      <c r="Z5" s="124"/>
      <c r="AA5" s="1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</row>
    <row r="6" spans="1:47" ht="15">
      <c r="A6" s="123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369" t="s">
        <v>56</v>
      </c>
      <c r="R6" s="1369"/>
      <c r="S6" s="1369"/>
      <c r="T6" s="1369"/>
      <c r="U6" s="1369"/>
      <c r="V6" s="1369"/>
      <c r="W6" s="1370" t="s">
        <v>138</v>
      </c>
      <c r="X6" s="1371"/>
      <c r="Y6" s="1372"/>
      <c r="Z6" s="126"/>
      <c r="AA6" s="1119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</row>
    <row r="7" spans="1:47" ht="25.5" customHeight="1">
      <c r="B7" s="110" t="s">
        <v>35</v>
      </c>
      <c r="C7" s="110"/>
      <c r="D7" s="110"/>
      <c r="Q7" s="9"/>
      <c r="R7" s="9"/>
      <c r="S7" s="9"/>
      <c r="T7" s="127"/>
      <c r="U7" s="128"/>
      <c r="V7" s="129" t="s">
        <v>57</v>
      </c>
      <c r="W7" s="1336" t="s">
        <v>34</v>
      </c>
      <c r="X7" s="1337"/>
      <c r="Y7" s="1338"/>
      <c r="Z7" s="126"/>
      <c r="AA7" s="1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</row>
    <row r="8" spans="1:47" ht="9.75" customHeight="1">
      <c r="A8" s="123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1" t="s">
        <v>58</v>
      </c>
      <c r="N8" s="132"/>
      <c r="O8" s="132"/>
      <c r="P8" s="132"/>
      <c r="Q8" s="123"/>
      <c r="R8" s="123"/>
      <c r="S8" s="123"/>
      <c r="T8" s="123"/>
      <c r="U8" s="123"/>
      <c r="V8" s="123"/>
      <c r="W8" s="1366"/>
      <c r="X8" s="1358"/>
      <c r="Y8" s="1359"/>
      <c r="Z8" s="133"/>
      <c r="AA8" s="1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</row>
    <row r="9" spans="1:47" ht="11.25" customHeight="1">
      <c r="A9" s="134"/>
      <c r="B9" s="110" t="s">
        <v>32</v>
      </c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4"/>
      <c r="N9" s="134"/>
      <c r="O9" s="134"/>
      <c r="P9" s="134"/>
      <c r="Q9" s="134"/>
      <c r="R9" s="134"/>
      <c r="S9" s="134"/>
      <c r="T9" s="134"/>
      <c r="U9" s="134"/>
      <c r="V9" s="136"/>
      <c r="W9" s="1367"/>
      <c r="X9" s="1361"/>
      <c r="Y9" s="1362"/>
      <c r="Z9" s="133"/>
      <c r="AA9" s="1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</row>
    <row r="10" spans="1:47" ht="9.75" customHeight="1">
      <c r="A10" s="123"/>
      <c r="B10" s="137"/>
      <c r="C10" s="137"/>
      <c r="D10" s="137"/>
      <c r="E10" s="1280" t="s">
        <v>59</v>
      </c>
      <c r="F10" s="1280"/>
      <c r="G10" s="1280"/>
      <c r="H10" s="1280"/>
      <c r="I10" s="1280"/>
      <c r="J10" s="1280"/>
      <c r="K10" s="1280"/>
      <c r="L10" s="1280"/>
      <c r="M10" s="1280"/>
      <c r="N10" s="1280"/>
      <c r="O10" s="1280"/>
      <c r="P10" s="1280"/>
      <c r="Q10" s="1368" t="s">
        <v>60</v>
      </c>
      <c r="R10" s="1368"/>
      <c r="S10" s="1368"/>
      <c r="T10" s="1368"/>
      <c r="U10" s="1368"/>
      <c r="V10" s="1368"/>
      <c r="W10" s="139"/>
      <c r="X10" s="140"/>
      <c r="Y10" s="141"/>
      <c r="Z10" s="133"/>
      <c r="AA10" s="1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</row>
    <row r="11" spans="1:47" ht="6" customHeight="1">
      <c r="A11" s="142"/>
      <c r="B11" s="142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369"/>
      <c r="R11" s="1369"/>
      <c r="S11" s="1369"/>
      <c r="T11" s="1369"/>
      <c r="U11" s="1369"/>
      <c r="V11" s="1369"/>
      <c r="W11" s="143"/>
      <c r="X11" s="144"/>
      <c r="Y11" s="145"/>
      <c r="Z11" s="133"/>
      <c r="AA11" s="1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</row>
    <row r="12" spans="1:47" ht="15">
      <c r="A12" s="123"/>
      <c r="B12" s="119" t="s">
        <v>61</v>
      </c>
      <c r="C12" s="119"/>
      <c r="D12" s="123"/>
      <c r="E12" s="123"/>
      <c r="F12" s="123"/>
      <c r="G12" s="123"/>
      <c r="H12" s="123"/>
      <c r="I12" s="123"/>
      <c r="J12" s="1352" t="s">
        <v>139</v>
      </c>
      <c r="K12" s="1352"/>
      <c r="L12" s="1352"/>
      <c r="M12" s="1352"/>
      <c r="N12" s="1352"/>
      <c r="O12" s="1352"/>
      <c r="P12" s="1352"/>
      <c r="Q12" s="1352"/>
      <c r="R12" s="1352"/>
      <c r="S12" s="124"/>
      <c r="T12" s="397"/>
      <c r="U12" s="1353" t="s">
        <v>4</v>
      </c>
      <c r="V12" s="1354"/>
      <c r="W12" s="1336" t="s">
        <v>331</v>
      </c>
      <c r="X12" s="1337"/>
      <c r="Y12" s="1338"/>
      <c r="Z12" s="133"/>
      <c r="AA12" s="1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</row>
    <row r="13" spans="1:47" ht="10.5" customHeight="1">
      <c r="A13" s="123"/>
      <c r="B13" s="123"/>
      <c r="C13" s="123"/>
      <c r="D13" s="123"/>
      <c r="E13" s="123"/>
      <c r="F13" s="123"/>
      <c r="G13" s="123"/>
      <c r="H13" s="123"/>
      <c r="I13" s="123"/>
      <c r="J13" s="1355" t="s">
        <v>63</v>
      </c>
      <c r="K13" s="1355"/>
      <c r="L13" s="1355"/>
      <c r="M13" s="1355"/>
      <c r="N13" s="1355"/>
      <c r="O13" s="1355"/>
      <c r="P13" s="1355"/>
      <c r="Q13" s="1355"/>
      <c r="R13" s="1355"/>
      <c r="S13" s="398"/>
      <c r="T13" s="398"/>
      <c r="U13" s="1356" t="s">
        <v>64</v>
      </c>
      <c r="V13" s="1356"/>
      <c r="W13" s="1357" t="s">
        <v>332</v>
      </c>
      <c r="X13" s="1358"/>
      <c r="Y13" s="1359"/>
      <c r="Z13" s="126"/>
      <c r="AA13" s="1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</row>
    <row r="14" spans="1:47" ht="6.75" customHeight="1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356"/>
      <c r="V14" s="1356"/>
      <c r="W14" s="1360"/>
      <c r="X14" s="1361"/>
      <c r="Y14" s="1362"/>
      <c r="Z14" s="126"/>
      <c r="AA14" s="1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</row>
    <row r="15" spans="1:47" ht="15">
      <c r="A15" s="123"/>
      <c r="B15" s="123"/>
      <c r="C15" s="123"/>
      <c r="D15" s="123"/>
      <c r="E15" s="123"/>
      <c r="F15" s="123"/>
      <c r="G15" s="123"/>
      <c r="H15" s="123"/>
      <c r="I15" s="123"/>
      <c r="J15" s="123"/>
      <c r="K15" s="146"/>
      <c r="L15" s="146"/>
      <c r="M15" s="146"/>
      <c r="N15" s="146"/>
      <c r="O15" s="146"/>
      <c r="P15" s="146"/>
      <c r="Q15" s="1333" t="s">
        <v>65</v>
      </c>
      <c r="R15" s="1333"/>
      <c r="S15" s="1333"/>
      <c r="T15" s="1333"/>
      <c r="U15" s="1333"/>
      <c r="V15" s="1333"/>
      <c r="W15" s="1223" t="s">
        <v>31</v>
      </c>
      <c r="X15" s="1334"/>
      <c r="Y15" s="1224"/>
      <c r="Z15" s="133"/>
      <c r="AA15" s="1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</row>
    <row r="16" spans="1:47" ht="15">
      <c r="A16" s="123"/>
      <c r="B16" s="123"/>
      <c r="C16" s="123"/>
      <c r="D16" s="123"/>
      <c r="E16" s="123"/>
      <c r="F16" s="123"/>
      <c r="G16" s="123"/>
      <c r="H16" s="123"/>
      <c r="I16" s="123"/>
      <c r="J16" s="123"/>
      <c r="K16" s="146"/>
      <c r="L16" s="146"/>
      <c r="M16" s="146"/>
      <c r="N16" s="146"/>
      <c r="O16" s="146"/>
      <c r="P16" s="1333" t="s">
        <v>66</v>
      </c>
      <c r="Q16" s="1333"/>
      <c r="R16" s="1333"/>
      <c r="S16" s="1333"/>
      <c r="T16" s="1333"/>
      <c r="U16" s="1333"/>
      <c r="V16" s="1335"/>
      <c r="W16" s="1336" t="s">
        <v>330</v>
      </c>
      <c r="X16" s="1337"/>
      <c r="Y16" s="1338"/>
      <c r="Z16" s="133"/>
      <c r="AA16" s="1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</row>
    <row r="17" spans="1:47" ht="15.75" thickBot="1">
      <c r="A17" s="123"/>
      <c r="B17" s="123"/>
      <c r="C17" s="123"/>
      <c r="D17" s="123"/>
      <c r="E17" s="123"/>
      <c r="F17" s="123"/>
      <c r="G17" s="123"/>
      <c r="H17" s="123"/>
      <c r="I17" s="123"/>
      <c r="J17" s="123"/>
      <c r="K17" s="146"/>
      <c r="L17" s="146"/>
      <c r="M17" s="146"/>
      <c r="N17" s="146"/>
      <c r="O17" s="146"/>
      <c r="P17" s="146"/>
      <c r="Q17" s="123"/>
      <c r="R17" s="123"/>
      <c r="S17" s="1333" t="s">
        <v>67</v>
      </c>
      <c r="T17" s="1333"/>
      <c r="U17" s="1333"/>
      <c r="V17" s="1333"/>
      <c r="W17" s="147"/>
      <c r="X17" s="148"/>
      <c r="Y17" s="149"/>
      <c r="Z17" s="133"/>
      <c r="AA17" s="1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</row>
    <row r="18" spans="1:47" ht="15">
      <c r="A18" s="123"/>
      <c r="B18" s="123"/>
      <c r="C18" s="123"/>
      <c r="D18" s="123"/>
      <c r="E18" s="123"/>
      <c r="F18" s="123"/>
      <c r="G18" s="123"/>
      <c r="H18" s="123"/>
      <c r="I18" s="123"/>
      <c r="J18" s="123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125"/>
      <c r="W18" s="151"/>
      <c r="X18" s="151"/>
      <c r="Y18" s="151"/>
      <c r="Z18" s="151"/>
      <c r="AA18" s="1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</row>
    <row r="19" spans="1:47" ht="15">
      <c r="A19" s="123"/>
      <c r="B19" s="123"/>
      <c r="C19" s="123"/>
      <c r="D19" s="123"/>
      <c r="E19" s="123"/>
      <c r="F19" s="123"/>
      <c r="G19" s="123"/>
      <c r="H19" s="123"/>
      <c r="I19" s="123"/>
      <c r="J19" s="123"/>
      <c r="K19" s="146"/>
      <c r="L19" s="146"/>
      <c r="M19" s="146"/>
      <c r="N19" s="146"/>
      <c r="O19" s="146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</row>
    <row r="20" spans="1:47" ht="15.75" thickBot="1">
      <c r="A20" s="123"/>
      <c r="B20" s="123"/>
      <c r="C20" s="123"/>
      <c r="D20" s="123"/>
      <c r="E20" s="123"/>
      <c r="F20" s="123"/>
      <c r="G20" s="123"/>
      <c r="H20" s="123"/>
      <c r="I20" s="123"/>
      <c r="J20" s="123"/>
      <c r="K20" s="146"/>
      <c r="L20" s="146"/>
      <c r="M20" s="146"/>
      <c r="N20" s="146"/>
      <c r="O20" s="146"/>
      <c r="P20" s="123"/>
      <c r="Q20" s="1339" t="s">
        <v>140</v>
      </c>
      <c r="R20" s="1340"/>
      <c r="S20" s="1341" t="s">
        <v>69</v>
      </c>
      <c r="T20" s="1342"/>
      <c r="U20" s="1342"/>
      <c r="V20" s="1342"/>
      <c r="W20" s="1343"/>
      <c r="X20" s="123"/>
      <c r="Y20" s="123"/>
      <c r="Z20" s="123"/>
      <c r="AA20" s="1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</row>
    <row r="21" spans="1:47" ht="16.5" thickBot="1">
      <c r="A21" s="1119"/>
      <c r="B21" s="123"/>
      <c r="C21" s="123"/>
      <c r="D21" s="1119"/>
      <c r="E21" s="1119"/>
      <c r="F21" s="1119"/>
      <c r="G21" s="1119"/>
      <c r="H21" s="1119"/>
      <c r="I21" s="1119"/>
      <c r="J21" s="1119"/>
      <c r="K21" s="1344" t="s">
        <v>141</v>
      </c>
      <c r="L21" s="1344"/>
      <c r="M21" s="1344"/>
      <c r="N21" s="1344"/>
      <c r="O21" s="1344"/>
      <c r="P21" s="1345"/>
      <c r="Q21" s="1346" t="s">
        <v>293</v>
      </c>
      <c r="R21" s="1347"/>
      <c r="S21" s="1373" t="s">
        <v>757</v>
      </c>
      <c r="T21" s="1374"/>
      <c r="U21" s="1374"/>
      <c r="V21" s="1374"/>
      <c r="W21" s="1375"/>
      <c r="X21" s="1119"/>
      <c r="Y21" s="1119"/>
      <c r="Z21" s="1119"/>
      <c r="AA21" s="1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</row>
    <row r="22" spans="1:47" ht="15.75">
      <c r="A22" s="1119"/>
      <c r="B22" s="123"/>
      <c r="C22" s="123"/>
      <c r="D22" s="1119"/>
      <c r="E22" s="1351" t="s">
        <v>142</v>
      </c>
      <c r="F22" s="1351"/>
      <c r="G22" s="1351"/>
      <c r="H22" s="1351"/>
      <c r="I22" s="1351"/>
      <c r="J22" s="1351"/>
      <c r="K22" s="1351"/>
      <c r="L22" s="1351"/>
      <c r="M22" s="1351"/>
      <c r="N22" s="1351"/>
      <c r="O22" s="1351"/>
      <c r="P22" s="1351"/>
      <c r="Q22" s="1351"/>
      <c r="R22" s="1351"/>
      <c r="S22" s="1351"/>
      <c r="T22" s="1351"/>
      <c r="U22" s="1117"/>
      <c r="V22" s="1117"/>
      <c r="W22" s="1119"/>
      <c r="X22" s="1119"/>
      <c r="Y22" s="1119"/>
      <c r="Z22" s="1119"/>
      <c r="AA22" s="1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</row>
    <row r="23" spans="1:47" ht="15.75">
      <c r="A23" s="1119"/>
      <c r="B23" s="123"/>
      <c r="C23" s="123"/>
      <c r="D23" s="12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119"/>
      <c r="X23" s="1119"/>
      <c r="Y23" s="1119"/>
      <c r="Z23" s="1119"/>
      <c r="AA23" s="1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</row>
    <row r="24" spans="1:47" ht="15.75">
      <c r="A24" s="1119"/>
      <c r="B24" s="123" t="s">
        <v>143</v>
      </c>
      <c r="C24" s="123"/>
      <c r="D24" s="123"/>
      <c r="E24" s="123"/>
      <c r="F24" s="123"/>
      <c r="G24" s="123"/>
      <c r="H24" s="123"/>
      <c r="I24" s="123"/>
      <c r="J24" s="123"/>
      <c r="K24" s="154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119"/>
      <c r="X24" s="1119"/>
      <c r="Y24" s="1119"/>
      <c r="Z24" s="1119"/>
      <c r="AA24" s="1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</row>
    <row r="25" spans="1:47" ht="16.5" customHeight="1">
      <c r="A25" s="1119"/>
      <c r="B25" s="1119"/>
      <c r="C25" s="1119"/>
      <c r="D25" s="1119"/>
      <c r="E25" s="1119"/>
      <c r="F25" s="1119"/>
      <c r="G25" s="1119"/>
      <c r="H25" s="1119"/>
      <c r="I25" s="1119"/>
      <c r="J25" s="1119"/>
      <c r="K25" s="155"/>
      <c r="L25" s="1119"/>
      <c r="M25" s="1119"/>
      <c r="N25" s="1119"/>
      <c r="O25" s="1119"/>
      <c r="P25" s="1119"/>
      <c r="Q25" s="1119"/>
      <c r="R25" s="1119"/>
      <c r="S25" s="1119"/>
      <c r="T25" s="1119"/>
      <c r="U25" s="1119"/>
      <c r="V25" s="1119"/>
      <c r="W25" s="1119"/>
      <c r="X25" s="1119"/>
      <c r="Y25" s="1119"/>
      <c r="Z25" s="1119"/>
      <c r="AA25" s="1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</row>
    <row r="26" spans="1:47" ht="15">
      <c r="A26" s="1119"/>
      <c r="B26" s="1376" t="s">
        <v>756</v>
      </c>
      <c r="C26" s="1376"/>
      <c r="D26" s="1376"/>
      <c r="E26" s="1376"/>
      <c r="F26" s="1376"/>
      <c r="G26" s="1376"/>
      <c r="H26" s="157"/>
      <c r="I26" s="1119"/>
      <c r="J26" s="1377" t="s">
        <v>758</v>
      </c>
      <c r="K26" s="1377"/>
      <c r="L26" s="1377"/>
      <c r="M26" s="1377"/>
      <c r="N26" s="1377"/>
      <c r="O26" s="1377"/>
      <c r="P26" s="1377"/>
      <c r="Q26" s="1377"/>
      <c r="R26" s="1377"/>
      <c r="S26" s="1377"/>
      <c r="T26" s="1377"/>
      <c r="U26" s="1377"/>
      <c r="V26" s="1377"/>
      <c r="W26" s="1377"/>
      <c r="X26" s="1377"/>
      <c r="Y26" s="1377"/>
      <c r="Z26" s="1377"/>
      <c r="AA26" s="1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</row>
    <row r="27" spans="1:47" ht="9" customHeight="1">
      <c r="A27" s="1119"/>
      <c r="B27" s="1113" t="s">
        <v>144</v>
      </c>
      <c r="C27" s="1113"/>
      <c r="D27" s="1113"/>
      <c r="E27" s="1113"/>
      <c r="F27" s="1113"/>
      <c r="G27" s="1113"/>
      <c r="H27" s="1115"/>
      <c r="I27" s="160"/>
      <c r="J27" s="1280" t="s">
        <v>145</v>
      </c>
      <c r="K27" s="1280"/>
      <c r="L27" s="1280"/>
      <c r="M27" s="1280"/>
      <c r="N27" s="1280"/>
      <c r="O27" s="1280"/>
      <c r="P27" s="1280"/>
      <c r="Q27" s="1280"/>
      <c r="R27" s="1280"/>
      <c r="S27" s="1280"/>
      <c r="T27" s="1280"/>
      <c r="U27" s="1280"/>
      <c r="V27" s="1280"/>
      <c r="W27" s="1280"/>
      <c r="X27" s="1280"/>
      <c r="Y27" s="1280"/>
      <c r="Z27" s="1280"/>
      <c r="AA27" s="1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</row>
    <row r="28" spans="1:47" ht="15">
      <c r="A28" s="1119"/>
      <c r="B28" s="1116"/>
      <c r="C28" s="1116"/>
      <c r="D28" s="1116"/>
      <c r="E28" s="1116"/>
      <c r="F28" s="1116"/>
      <c r="G28" s="1116"/>
      <c r="H28" s="157"/>
      <c r="I28" s="1119"/>
      <c r="J28" s="1281"/>
      <c r="K28" s="1281"/>
      <c r="L28" s="1281"/>
      <c r="M28" s="1281"/>
      <c r="N28" s="1281"/>
      <c r="O28" s="1281"/>
      <c r="P28" s="1281"/>
      <c r="Q28" s="1281"/>
      <c r="R28" s="1281"/>
      <c r="S28" s="1281"/>
      <c r="T28" s="1281"/>
      <c r="U28" s="1281"/>
      <c r="V28" s="1281"/>
      <c r="W28" s="1281"/>
      <c r="X28" s="1281"/>
      <c r="Y28" s="1281"/>
      <c r="Z28" s="1281"/>
      <c r="AA28" s="1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</row>
    <row r="29" spans="1:47" ht="10.5" customHeight="1">
      <c r="A29" s="1119"/>
      <c r="B29" s="1113" t="s">
        <v>144</v>
      </c>
      <c r="C29" s="1113"/>
      <c r="D29" s="1113"/>
      <c r="E29" s="1113"/>
      <c r="F29" s="1113"/>
      <c r="G29" s="1113"/>
      <c r="H29" s="1115"/>
      <c r="I29" s="160"/>
      <c r="J29" s="1280" t="s">
        <v>145</v>
      </c>
      <c r="K29" s="1280"/>
      <c r="L29" s="1280"/>
      <c r="M29" s="1280"/>
      <c r="N29" s="1280"/>
      <c r="O29" s="1280"/>
      <c r="P29" s="1280"/>
      <c r="Q29" s="1280"/>
      <c r="R29" s="1280"/>
      <c r="S29" s="1280"/>
      <c r="T29" s="1280"/>
      <c r="U29" s="1280"/>
      <c r="V29" s="1280"/>
      <c r="W29" s="1280"/>
      <c r="X29" s="1280"/>
      <c r="Y29" s="1280"/>
      <c r="Z29" s="1280"/>
      <c r="AA29" s="1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</row>
    <row r="30" spans="1:47" ht="15">
      <c r="A30" s="1119"/>
      <c r="B30" s="1115"/>
      <c r="C30" s="1115"/>
      <c r="D30" s="1115"/>
      <c r="E30" s="1115"/>
      <c r="F30" s="1115"/>
      <c r="G30" s="1115"/>
      <c r="H30" s="1115"/>
      <c r="I30" s="160"/>
      <c r="J30" s="1115"/>
      <c r="K30" s="1115"/>
      <c r="L30" s="1115"/>
      <c r="M30" s="1115"/>
      <c r="N30" s="1115"/>
      <c r="O30" s="1115"/>
      <c r="P30" s="1115"/>
      <c r="Q30" s="1115"/>
      <c r="R30" s="1115"/>
      <c r="S30" s="1115"/>
      <c r="T30" s="1115"/>
      <c r="U30" s="1115"/>
      <c r="V30" s="1115"/>
      <c r="W30" s="1115"/>
      <c r="X30" s="1115"/>
      <c r="Y30" s="1115"/>
      <c r="Z30" s="1115"/>
      <c r="AA30" s="1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</row>
    <row r="31" spans="1:47" ht="15">
      <c r="A31" s="1119"/>
      <c r="B31" s="1119"/>
      <c r="C31" s="1119"/>
      <c r="D31" s="161" t="s">
        <v>146</v>
      </c>
      <c r="E31" s="1119" t="s">
        <v>435</v>
      </c>
      <c r="F31" s="1119" t="s">
        <v>84</v>
      </c>
      <c r="G31" s="1281" t="s">
        <v>436</v>
      </c>
      <c r="H31" s="1281"/>
      <c r="I31" s="1281"/>
      <c r="J31" s="157"/>
      <c r="K31" s="1281" t="s">
        <v>437</v>
      </c>
      <c r="L31" s="1281"/>
      <c r="M31" s="1119" t="s">
        <v>147</v>
      </c>
      <c r="N31" s="1119"/>
      <c r="O31" s="1119"/>
      <c r="P31" s="119"/>
      <c r="Q31" s="1119"/>
      <c r="R31" s="1119"/>
      <c r="S31" s="1119"/>
      <c r="T31" s="1119"/>
      <c r="U31" s="1119"/>
      <c r="V31" s="1119"/>
      <c r="W31" s="1119"/>
      <c r="X31" s="1119"/>
      <c r="Y31" s="1119"/>
      <c r="Z31" s="1119"/>
      <c r="AA31" s="1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</row>
    <row r="32" spans="1:47" ht="15">
      <c r="A32" s="1119"/>
      <c r="B32" s="162"/>
      <c r="C32" s="162"/>
      <c r="D32" s="1119"/>
      <c r="E32" s="1119"/>
      <c r="F32" s="1119"/>
      <c r="G32" s="1119"/>
      <c r="H32" s="1119"/>
      <c r="I32" s="1119"/>
      <c r="J32" s="1119"/>
      <c r="K32" s="1119"/>
      <c r="L32" s="1119"/>
      <c r="M32" s="1119"/>
      <c r="N32" s="1119"/>
      <c r="O32" s="1119"/>
      <c r="P32" s="1119"/>
      <c r="Q32" s="1119"/>
      <c r="R32" s="1119"/>
      <c r="S32" s="1119"/>
      <c r="T32" s="1119"/>
      <c r="U32" s="1119"/>
      <c r="V32" s="1119"/>
      <c r="W32" s="1119"/>
      <c r="X32" s="1119"/>
      <c r="Y32" s="1119"/>
      <c r="Z32" s="1119"/>
      <c r="AA32" s="1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</row>
    <row r="33" spans="1:47" ht="15">
      <c r="A33" s="1119"/>
      <c r="B33" s="1119" t="s">
        <v>148</v>
      </c>
      <c r="C33" s="1119"/>
      <c r="D33" s="1119"/>
      <c r="E33" s="1119"/>
      <c r="F33" s="1119"/>
      <c r="G33" s="1119"/>
      <c r="H33" s="1119"/>
      <c r="I33" s="1119"/>
      <c r="J33" s="1119"/>
      <c r="K33" s="1119"/>
      <c r="L33" s="1119"/>
      <c r="M33" s="1119"/>
      <c r="N33" s="1119"/>
      <c r="O33" s="1119"/>
      <c r="P33" s="1330"/>
      <c r="Q33" s="1330"/>
      <c r="R33" s="1330"/>
      <c r="S33" s="1330"/>
      <c r="T33" s="1330"/>
      <c r="U33" s="1330"/>
      <c r="V33" s="1330"/>
      <c r="W33" s="1330"/>
      <c r="X33" s="1330"/>
      <c r="Y33" s="1330"/>
      <c r="Z33" s="1330"/>
      <c r="AA33" s="1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</row>
    <row r="34" spans="1:47" ht="15">
      <c r="A34" s="1119"/>
      <c r="B34" s="1119"/>
      <c r="C34" s="1119"/>
      <c r="D34" s="1119"/>
      <c r="E34" s="163"/>
      <c r="F34" s="1119"/>
      <c r="G34" s="1119"/>
      <c r="H34" s="1119"/>
      <c r="I34" s="1119"/>
      <c r="J34" s="1119"/>
      <c r="K34" s="1119"/>
      <c r="L34" s="1119"/>
      <c r="M34" s="1119"/>
      <c r="N34" s="1119"/>
      <c r="O34" s="1119"/>
      <c r="P34" s="1119"/>
      <c r="Q34" s="1119"/>
      <c r="R34" s="1119"/>
      <c r="S34" s="1119"/>
      <c r="T34" s="1119"/>
      <c r="U34" s="1119"/>
      <c r="V34" s="1119"/>
      <c r="W34" s="1119"/>
      <c r="X34" s="1119"/>
      <c r="Y34" s="1119"/>
      <c r="Z34" s="1119"/>
      <c r="AA34" s="1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</row>
    <row r="35" spans="1:47" ht="58.7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</row>
    <row r="36" spans="1:47">
      <c r="A36" s="121"/>
      <c r="B36" s="121"/>
      <c r="C36" s="1331"/>
      <c r="D36" s="1331"/>
      <c r="E36" s="1331"/>
      <c r="F36" s="1331"/>
      <c r="G36" s="1331"/>
      <c r="H36" s="121"/>
      <c r="I36" s="1331"/>
      <c r="J36" s="1331"/>
      <c r="K36" s="1331"/>
      <c r="L36" s="1331"/>
      <c r="M36" s="119"/>
      <c r="N36" s="119"/>
      <c r="O36" s="119"/>
      <c r="P36" s="119"/>
      <c r="Q36" s="119"/>
      <c r="R36" s="1332"/>
      <c r="S36" s="1332"/>
      <c r="U36" s="1114"/>
      <c r="V36" s="1114"/>
      <c r="W36" s="1114"/>
      <c r="X36" s="1114"/>
      <c r="Y36" s="1114"/>
      <c r="Z36" s="1114" t="s">
        <v>149</v>
      </c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R36" s="164"/>
      <c r="AS36" s="164"/>
      <c r="AT36" s="1114" t="s">
        <v>150</v>
      </c>
      <c r="AU36" s="119"/>
    </row>
    <row r="37" spans="1:47" ht="3.2" customHeight="1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</row>
    <row r="38" spans="1:47" ht="20.25" customHeight="1">
      <c r="A38" s="119"/>
      <c r="B38" s="1309" t="s">
        <v>151</v>
      </c>
      <c r="C38" s="1327" t="s">
        <v>152</v>
      </c>
      <c r="D38" s="1327"/>
      <c r="E38" s="1327"/>
      <c r="F38" s="1328"/>
      <c r="G38" s="1328"/>
      <c r="H38" s="1309" t="s">
        <v>153</v>
      </c>
      <c r="I38" s="1329"/>
      <c r="J38" s="1329"/>
      <c r="K38" s="1328" t="s">
        <v>89</v>
      </c>
      <c r="L38" s="1328"/>
      <c r="M38" s="1328"/>
      <c r="N38" s="1328" t="s">
        <v>154</v>
      </c>
      <c r="O38" s="1328"/>
      <c r="P38" s="1328"/>
      <c r="Q38" s="1328"/>
      <c r="R38" s="1327" t="s">
        <v>155</v>
      </c>
      <c r="S38" s="1327"/>
      <c r="T38" s="1327"/>
      <c r="U38" s="1327"/>
      <c r="V38" s="1327"/>
      <c r="W38" s="1327"/>
      <c r="X38" s="1327"/>
      <c r="Y38" s="1327"/>
      <c r="Z38" s="1327"/>
      <c r="AA38" s="1317" t="s">
        <v>156</v>
      </c>
      <c r="AB38" s="1318"/>
      <c r="AC38" s="1318"/>
      <c r="AD38" s="1318"/>
      <c r="AE38" s="1318"/>
      <c r="AF38" s="1318"/>
      <c r="AG38" s="1319"/>
      <c r="AH38" s="1314" t="s">
        <v>157</v>
      </c>
      <c r="AI38" s="1315"/>
      <c r="AJ38" s="1315"/>
      <c r="AK38" s="1316"/>
      <c r="AL38" s="1317" t="s">
        <v>158</v>
      </c>
      <c r="AM38" s="1318"/>
      <c r="AN38" s="1318"/>
      <c r="AO38" s="1318"/>
      <c r="AP38" s="1318"/>
      <c r="AQ38" s="1318"/>
      <c r="AR38" s="1318"/>
      <c r="AS38" s="1318"/>
      <c r="AT38" s="1319"/>
      <c r="AU38" s="119"/>
    </row>
    <row r="39" spans="1:47" ht="22.7" customHeight="1">
      <c r="A39" s="119"/>
      <c r="B39" s="1320"/>
      <c r="C39" s="1329" t="s">
        <v>159</v>
      </c>
      <c r="D39" s="1329"/>
      <c r="E39" s="1314"/>
      <c r="F39" s="1329" t="s">
        <v>262</v>
      </c>
      <c r="G39" s="1329"/>
      <c r="H39" s="1329" t="s">
        <v>160</v>
      </c>
      <c r="I39" s="1316" t="s">
        <v>263</v>
      </c>
      <c r="J39" s="1314"/>
      <c r="K39" s="1329" t="s">
        <v>161</v>
      </c>
      <c r="L39" s="1329"/>
      <c r="M39" s="1329" t="s">
        <v>162</v>
      </c>
      <c r="N39" s="1327" t="s">
        <v>163</v>
      </c>
      <c r="O39" s="1327"/>
      <c r="P39" s="1327" t="s">
        <v>164</v>
      </c>
      <c r="Q39" s="1327"/>
      <c r="R39" s="1319" t="s">
        <v>163</v>
      </c>
      <c r="S39" s="1327"/>
      <c r="T39" s="1327"/>
      <c r="U39" s="1327"/>
      <c r="V39" s="1327"/>
      <c r="W39" s="1327"/>
      <c r="X39" s="1327" t="s">
        <v>164</v>
      </c>
      <c r="Y39" s="1327"/>
      <c r="Z39" s="1327"/>
      <c r="AA39" s="1314" t="s">
        <v>165</v>
      </c>
      <c r="AB39" s="1315"/>
      <c r="AC39" s="1316"/>
      <c r="AD39" s="1317" t="s">
        <v>166</v>
      </c>
      <c r="AE39" s="1318"/>
      <c r="AF39" s="1318"/>
      <c r="AG39" s="1319"/>
      <c r="AH39" s="1309" t="s">
        <v>167</v>
      </c>
      <c r="AI39" s="1309" t="s">
        <v>168</v>
      </c>
      <c r="AJ39" s="1312" t="s">
        <v>169</v>
      </c>
      <c r="AK39" s="1308"/>
      <c r="AL39" s="1323"/>
      <c r="AM39" s="1324"/>
      <c r="AN39" s="1324"/>
      <c r="AO39" s="1324"/>
      <c r="AP39" s="1325"/>
      <c r="AQ39" s="1323"/>
      <c r="AR39" s="1325"/>
      <c r="AS39" s="1323"/>
      <c r="AT39" s="1325"/>
      <c r="AU39" s="119"/>
    </row>
    <row r="40" spans="1:47" ht="39.75" customHeight="1">
      <c r="A40" s="119"/>
      <c r="B40" s="1326"/>
      <c r="C40" s="1309"/>
      <c r="D40" s="1309"/>
      <c r="E40" s="1312"/>
      <c r="F40" s="1309"/>
      <c r="G40" s="1309"/>
      <c r="H40" s="1309"/>
      <c r="I40" s="1308"/>
      <c r="J40" s="1312"/>
      <c r="K40" s="1309"/>
      <c r="L40" s="1309"/>
      <c r="M40" s="1309"/>
      <c r="N40" s="1118" t="s">
        <v>170</v>
      </c>
      <c r="O40" s="1118" t="s">
        <v>168</v>
      </c>
      <c r="P40" s="1118" t="s">
        <v>170</v>
      </c>
      <c r="Q40" s="1118" t="s">
        <v>168</v>
      </c>
      <c r="R40" s="1308" t="s">
        <v>170</v>
      </c>
      <c r="S40" s="1309"/>
      <c r="T40" s="1309" t="s">
        <v>168</v>
      </c>
      <c r="U40" s="1309"/>
      <c r="V40" s="1309" t="s">
        <v>171</v>
      </c>
      <c r="W40" s="1309"/>
      <c r="X40" s="1118" t="s">
        <v>170</v>
      </c>
      <c r="Y40" s="1118" t="s">
        <v>168</v>
      </c>
      <c r="Z40" s="1118" t="s">
        <v>171</v>
      </c>
      <c r="AA40" s="1118" t="s">
        <v>170</v>
      </c>
      <c r="AB40" s="1118" t="s">
        <v>168</v>
      </c>
      <c r="AC40" s="1118" t="s">
        <v>172</v>
      </c>
      <c r="AD40" s="1118" t="s">
        <v>170</v>
      </c>
      <c r="AE40" s="1118" t="s">
        <v>168</v>
      </c>
      <c r="AF40" s="1310" t="s">
        <v>173</v>
      </c>
      <c r="AG40" s="1311"/>
      <c r="AH40" s="1320"/>
      <c r="AI40" s="1320"/>
      <c r="AJ40" s="1321"/>
      <c r="AK40" s="1322"/>
      <c r="AL40" s="1118" t="s">
        <v>167</v>
      </c>
      <c r="AM40" s="1312" t="s">
        <v>174</v>
      </c>
      <c r="AN40" s="1313"/>
      <c r="AO40" s="1313"/>
      <c r="AP40" s="1308"/>
      <c r="AQ40" s="1118" t="s">
        <v>167</v>
      </c>
      <c r="AR40" s="1118" t="s">
        <v>168</v>
      </c>
      <c r="AS40" s="1118" t="s">
        <v>167</v>
      </c>
      <c r="AT40" s="1118" t="s">
        <v>168</v>
      </c>
      <c r="AU40" s="119"/>
    </row>
    <row r="41" spans="1:47">
      <c r="A41" s="119"/>
      <c r="B41" s="1120">
        <v>1</v>
      </c>
      <c r="C41" s="1295">
        <v>2</v>
      </c>
      <c r="D41" s="1295"/>
      <c r="E41" s="1295"/>
      <c r="F41" s="1295">
        <v>3</v>
      </c>
      <c r="G41" s="1295"/>
      <c r="H41" s="1120">
        <v>4</v>
      </c>
      <c r="I41" s="1295">
        <v>5</v>
      </c>
      <c r="J41" s="1306"/>
      <c r="K41" s="1295">
        <v>6</v>
      </c>
      <c r="L41" s="1295"/>
      <c r="M41" s="1120">
        <v>7</v>
      </c>
      <c r="N41" s="1120">
        <v>8</v>
      </c>
      <c r="O41" s="1120">
        <v>9</v>
      </c>
      <c r="P41" s="1122">
        <v>10</v>
      </c>
      <c r="Q41" s="1120">
        <v>11</v>
      </c>
      <c r="R41" s="1307">
        <v>12</v>
      </c>
      <c r="S41" s="1295"/>
      <c r="T41" s="1295">
        <v>13</v>
      </c>
      <c r="U41" s="1295"/>
      <c r="V41" s="1295">
        <v>14</v>
      </c>
      <c r="W41" s="1295"/>
      <c r="X41" s="1120">
        <v>15</v>
      </c>
      <c r="Y41" s="1120">
        <v>16</v>
      </c>
      <c r="Z41" s="1120">
        <v>17</v>
      </c>
      <c r="AA41" s="168">
        <v>18</v>
      </c>
      <c r="AB41" s="168">
        <v>19</v>
      </c>
      <c r="AC41" s="168">
        <v>20</v>
      </c>
      <c r="AD41" s="168">
        <v>21</v>
      </c>
      <c r="AE41" s="168">
        <v>22</v>
      </c>
      <c r="AF41" s="1296">
        <v>23</v>
      </c>
      <c r="AG41" s="1297"/>
      <c r="AH41" s="168">
        <v>24</v>
      </c>
      <c r="AI41" s="168">
        <v>25</v>
      </c>
      <c r="AJ41" s="1296">
        <v>26</v>
      </c>
      <c r="AK41" s="1297"/>
      <c r="AL41" s="168">
        <v>27</v>
      </c>
      <c r="AM41" s="1296">
        <v>28</v>
      </c>
      <c r="AN41" s="1298"/>
      <c r="AO41" s="1298"/>
      <c r="AP41" s="1297"/>
      <c r="AQ41" s="168">
        <v>29</v>
      </c>
      <c r="AR41" s="168">
        <v>30</v>
      </c>
      <c r="AS41" s="168">
        <v>31</v>
      </c>
      <c r="AT41" s="168">
        <v>32</v>
      </c>
      <c r="AU41" s="119"/>
    </row>
    <row r="42" spans="1:47" ht="22.5">
      <c r="A42" s="119"/>
      <c r="B42" s="169" t="s">
        <v>4</v>
      </c>
      <c r="C42" s="1299" t="s">
        <v>6</v>
      </c>
      <c r="D42" s="1300"/>
      <c r="E42" s="1301"/>
      <c r="F42" s="1299" t="s">
        <v>7</v>
      </c>
      <c r="G42" s="1301"/>
      <c r="H42" s="433" t="s">
        <v>336</v>
      </c>
      <c r="I42" s="1299" t="s">
        <v>8</v>
      </c>
      <c r="J42" s="1301"/>
      <c r="K42" s="1302" t="s">
        <v>14</v>
      </c>
      <c r="L42" s="1303"/>
      <c r="M42" s="170" t="s">
        <v>15</v>
      </c>
      <c r="N42" s="171" t="s">
        <v>10</v>
      </c>
      <c r="O42" s="171" t="s">
        <v>11</v>
      </c>
      <c r="P42" s="171" t="s">
        <v>12</v>
      </c>
      <c r="Q42" s="171" t="s">
        <v>13</v>
      </c>
      <c r="R42" s="1304"/>
      <c r="S42" s="1305"/>
      <c r="T42" s="1284"/>
      <c r="U42" s="1285"/>
      <c r="V42" s="1284"/>
      <c r="W42" s="1285"/>
      <c r="X42" s="172"/>
      <c r="Y42" s="172"/>
      <c r="Z42" s="172"/>
      <c r="AA42" s="172"/>
      <c r="AB42" s="172"/>
      <c r="AC42" s="172"/>
      <c r="AD42" s="172"/>
      <c r="AE42" s="172"/>
      <c r="AF42" s="1284"/>
      <c r="AG42" s="1285"/>
      <c r="AH42" s="172"/>
      <c r="AI42" s="172"/>
      <c r="AJ42" s="1284"/>
      <c r="AK42" s="1285"/>
      <c r="AL42" s="172"/>
      <c r="AM42" s="1284"/>
      <c r="AN42" s="1384"/>
      <c r="AO42" s="1123"/>
      <c r="AP42" s="1121"/>
      <c r="AQ42" s="172"/>
      <c r="AR42" s="172"/>
      <c r="AS42" s="172"/>
      <c r="AT42" s="172"/>
      <c r="AU42" s="119"/>
    </row>
    <row r="43" spans="1:47" ht="13.5">
      <c r="B43" s="173" t="s">
        <v>175</v>
      </c>
      <c r="M43" s="174" t="s">
        <v>176</v>
      </c>
      <c r="N43" s="175"/>
      <c r="O43" s="175"/>
      <c r="P43" s="175"/>
      <c r="Q43" s="175"/>
      <c r="R43" s="1286"/>
      <c r="S43" s="1287"/>
      <c r="T43" s="1385"/>
      <c r="U43" s="1386"/>
      <c r="V43" s="1288" t="s">
        <v>177</v>
      </c>
      <c r="W43" s="1289"/>
      <c r="X43" s="178"/>
      <c r="Y43" s="178"/>
      <c r="Z43" s="179" t="s">
        <v>177</v>
      </c>
      <c r="AA43" s="276"/>
      <c r="AB43" s="277"/>
      <c r="AC43" s="278"/>
      <c r="AD43" s="277"/>
      <c r="AE43" s="279"/>
      <c r="AF43" s="1382"/>
      <c r="AG43" s="1383"/>
      <c r="AH43" s="279"/>
      <c r="AI43" s="279"/>
      <c r="AJ43" s="1382"/>
      <c r="AK43" s="1383"/>
      <c r="AL43" s="279"/>
      <c r="AM43" s="1378"/>
      <c r="AN43" s="1379"/>
      <c r="AO43" s="1124"/>
      <c r="AP43" s="285"/>
      <c r="AQ43" s="279"/>
      <c r="AR43" s="279"/>
      <c r="AS43" s="279"/>
      <c r="AT43" s="279"/>
    </row>
    <row r="44" spans="1:47">
      <c r="A44" s="119"/>
      <c r="B44" s="173" t="s">
        <v>175</v>
      </c>
      <c r="C44" s="189"/>
      <c r="D44" s="189"/>
      <c r="E44" s="189"/>
      <c r="F44" s="190"/>
      <c r="G44" s="190"/>
      <c r="H44" s="191"/>
      <c r="I44" s="189"/>
      <c r="J44" s="189"/>
      <c r="K44" s="190"/>
      <c r="L44" s="190"/>
      <c r="M44" s="192" t="s">
        <v>178</v>
      </c>
      <c r="N44" s="193"/>
      <c r="O44" s="194"/>
      <c r="P44" s="193"/>
      <c r="Q44" s="194"/>
      <c r="R44" s="1290"/>
      <c r="S44" s="1291"/>
      <c r="T44" s="1380"/>
      <c r="U44" s="1381"/>
      <c r="V44" s="1292" t="s">
        <v>177</v>
      </c>
      <c r="W44" s="1293"/>
      <c r="X44" s="197"/>
      <c r="Y44" s="197"/>
      <c r="Z44" s="198" t="s">
        <v>177</v>
      </c>
      <c r="AA44" s="181"/>
      <c r="AB44" s="181"/>
      <c r="AC44" s="182"/>
      <c r="AD44" s="181"/>
      <c r="AE44" s="183"/>
      <c r="AF44" s="1382"/>
      <c r="AG44" s="1383"/>
      <c r="AH44" s="183"/>
      <c r="AI44" s="183"/>
      <c r="AJ44" s="1382"/>
      <c r="AK44" s="1383"/>
      <c r="AL44" s="183"/>
      <c r="AM44" s="1378"/>
      <c r="AN44" s="1379"/>
      <c r="AO44" s="187"/>
      <c r="AP44" s="188"/>
      <c r="AQ44" s="183"/>
      <c r="AR44" s="183"/>
      <c r="AS44" s="183"/>
      <c r="AT44" s="183"/>
      <c r="AU44" s="119"/>
    </row>
    <row r="45" spans="1:47" ht="12.75" customHeight="1">
      <c r="A45" s="123"/>
      <c r="B45" s="173" t="s">
        <v>175</v>
      </c>
      <c r="C45" s="199"/>
      <c r="D45" s="199"/>
      <c r="E45" s="199"/>
      <c r="F45" s="199"/>
      <c r="G45" s="199"/>
      <c r="H45" s="200"/>
      <c r="I45" s="201"/>
      <c r="J45" s="201"/>
      <c r="K45" s="201"/>
      <c r="L45" s="201"/>
      <c r="M45" s="202"/>
      <c r="N45" s="202"/>
      <c r="O45" s="203"/>
      <c r="P45" s="203"/>
      <c r="Q45" s="201"/>
      <c r="R45" s="204"/>
      <c r="S45" s="204"/>
      <c r="T45" s="118"/>
      <c r="U45" s="119"/>
      <c r="V45" s="119"/>
      <c r="W45" s="119"/>
      <c r="X45" s="119"/>
      <c r="Y45" s="119"/>
      <c r="Z45" s="119"/>
      <c r="AA45" s="119" t="s">
        <v>179</v>
      </c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27"/>
      <c r="AU45" s="119"/>
    </row>
    <row r="46" spans="1:47" ht="12.75" customHeight="1">
      <c r="A46" s="121" t="s">
        <v>93</v>
      </c>
      <c r="B46" s="121" t="s">
        <v>93</v>
      </c>
      <c r="H46" s="1332" t="s">
        <v>180</v>
      </c>
      <c r="I46" s="1332"/>
      <c r="J46" s="1332"/>
      <c r="K46" s="206"/>
      <c r="L46" s="206"/>
      <c r="M46" s="206"/>
      <c r="N46" s="1119"/>
      <c r="O46" s="206"/>
      <c r="P46" s="206"/>
      <c r="Q46" s="206"/>
      <c r="R46" s="206"/>
      <c r="S46" s="206"/>
      <c r="T46" s="206"/>
      <c r="U46" s="206"/>
      <c r="V46" s="119"/>
      <c r="W46" s="119"/>
      <c r="X46" s="119"/>
      <c r="Y46" s="119"/>
      <c r="Z46" s="119"/>
      <c r="AA46" s="119"/>
      <c r="AB46" s="208" t="s">
        <v>181</v>
      </c>
      <c r="AC46" s="119"/>
      <c r="AD46" s="119"/>
      <c r="AE46" s="119"/>
      <c r="AF46" s="119"/>
      <c r="AG46" s="1283" t="s">
        <v>291</v>
      </c>
      <c r="AH46" s="1283"/>
      <c r="AI46" s="1283"/>
      <c r="AJ46" s="119"/>
      <c r="AK46" s="1281"/>
      <c r="AL46" s="1281"/>
      <c r="AM46" s="1281"/>
      <c r="AN46" s="157"/>
      <c r="AO46" s="119"/>
      <c r="AP46" s="209" t="str">
        <f>GalRepVar_MOL</f>
        <v>МОЛ1</v>
      </c>
      <c r="AQ46" s="210" t="s">
        <v>33</v>
      </c>
      <c r="AR46" s="209"/>
      <c r="AS46" s="209"/>
      <c r="AT46" s="211"/>
      <c r="AU46" s="119"/>
    </row>
    <row r="47" spans="1:47" ht="12.75" customHeight="1">
      <c r="A47" s="119"/>
      <c r="B47" s="119"/>
      <c r="H47" s="119"/>
      <c r="I47" s="160"/>
      <c r="J47" s="160"/>
      <c r="K47" s="1280" t="s">
        <v>80</v>
      </c>
      <c r="L47" s="1280"/>
      <c r="M47" s="1280"/>
      <c r="N47" s="160"/>
      <c r="Q47" s="1113" t="s">
        <v>182</v>
      </c>
      <c r="T47" s="131"/>
      <c r="U47" s="131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280" t="s">
        <v>183</v>
      </c>
      <c r="AH47" s="1280"/>
      <c r="AI47" s="1280"/>
      <c r="AJ47" s="212"/>
      <c r="AK47" s="1280" t="s">
        <v>80</v>
      </c>
      <c r="AL47" s="1280"/>
      <c r="AM47" s="1280"/>
      <c r="AN47" s="1115"/>
      <c r="AO47" s="212"/>
      <c r="AP47" s="1280" t="s">
        <v>182</v>
      </c>
      <c r="AQ47" s="1280"/>
      <c r="AR47" s="1280"/>
      <c r="AS47" s="1280"/>
      <c r="AT47" s="1280"/>
      <c r="AU47" s="119"/>
    </row>
    <row r="48" spans="1:47" ht="12.75" customHeight="1">
      <c r="A48" s="119"/>
      <c r="B48" s="119"/>
      <c r="C48" s="119"/>
      <c r="D48" s="119"/>
      <c r="E48" s="119"/>
      <c r="F48" s="119"/>
      <c r="U48" s="119"/>
      <c r="V48" s="119"/>
      <c r="W48" s="119"/>
      <c r="X48" s="119"/>
      <c r="Y48" s="119"/>
      <c r="Z48" s="119"/>
      <c r="AA48" s="119"/>
      <c r="AB48" s="121"/>
      <c r="AC48" s="121"/>
      <c r="AD48" s="121"/>
      <c r="AE48" s="121"/>
      <c r="AF48" s="121"/>
      <c r="AG48" s="1281"/>
      <c r="AH48" s="1281"/>
      <c r="AI48" s="1281"/>
      <c r="AJ48" s="119"/>
      <c r="AK48" s="1281"/>
      <c r="AL48" s="1281"/>
      <c r="AM48" s="1281"/>
      <c r="AN48" s="157"/>
      <c r="AO48" s="119"/>
      <c r="AP48" s="1281"/>
      <c r="AQ48" s="1281"/>
      <c r="AR48" s="1281"/>
      <c r="AS48" s="1281"/>
      <c r="AT48" s="211"/>
      <c r="AU48" s="119"/>
    </row>
    <row r="49" spans="1:47" ht="12.75" customHeight="1">
      <c r="A49" s="119"/>
      <c r="B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282" t="s">
        <v>183</v>
      </c>
      <c r="AH49" s="1282"/>
      <c r="AI49" s="1282"/>
      <c r="AJ49" s="213"/>
      <c r="AK49" s="1282" t="s">
        <v>80</v>
      </c>
      <c r="AL49" s="1282"/>
      <c r="AM49" s="1282"/>
      <c r="AN49" s="1126"/>
      <c r="AO49" s="213"/>
      <c r="AP49" s="1282" t="s">
        <v>182</v>
      </c>
      <c r="AQ49" s="1282"/>
      <c r="AR49" s="1282"/>
      <c r="AS49" s="1282"/>
      <c r="AT49" s="1282"/>
      <c r="AU49" s="119"/>
    </row>
    <row r="50" spans="1:47" ht="12.75" customHeight="1">
      <c r="A50" s="119"/>
      <c r="B50" s="119"/>
      <c r="T50" s="119"/>
      <c r="U50" s="119"/>
      <c r="V50" s="119"/>
      <c r="W50" s="119"/>
      <c r="X50" s="119"/>
      <c r="Y50" s="119"/>
      <c r="Z50" s="119"/>
      <c r="AT50" s="119"/>
      <c r="AU50" s="119"/>
    </row>
    <row r="51" spans="1:47" ht="12.75" customHeight="1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</row>
    <row r="52" spans="1:47" ht="12.75" customHeight="1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  <c r="AA52" s="119"/>
      <c r="AB52" s="119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</row>
    <row r="53" spans="1:47" ht="12.75" customHeight="1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21"/>
      <c r="AU53" s="119"/>
    </row>
    <row r="54" spans="1:47" ht="12.75" customHeight="1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  <c r="AT54" s="119"/>
      <c r="AU54" s="119"/>
    </row>
    <row r="55" spans="1:47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T55" s="119"/>
      <c r="AU55" s="119"/>
    </row>
    <row r="56" spans="1:47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T56" s="119"/>
      <c r="AU56" s="119"/>
    </row>
    <row r="57" spans="1:47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  <c r="AT57" s="119"/>
      <c r="AU57" s="119"/>
    </row>
    <row r="58" spans="1:47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  <c r="AT58" s="119"/>
      <c r="AU58" s="119"/>
    </row>
    <row r="59" spans="1:47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</row>
    <row r="60" spans="1:47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  <c r="AA60" s="119"/>
      <c r="AB60" s="119"/>
      <c r="AC60" s="119"/>
      <c r="AD60" s="119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</row>
    <row r="85" spans="2:2">
      <c r="B85" t="s">
        <v>184</v>
      </c>
    </row>
    <row r="91" spans="2:2">
      <c r="B91" t="s">
        <v>184</v>
      </c>
    </row>
  </sheetData>
  <mergeCells count="115">
    <mergeCell ref="AP47:AT47"/>
    <mergeCell ref="AG48:AI48"/>
    <mergeCell ref="AK48:AM48"/>
    <mergeCell ref="AP48:AS48"/>
    <mergeCell ref="AG49:AI49"/>
    <mergeCell ref="AK49:AM49"/>
    <mergeCell ref="AP49:AT49"/>
    <mergeCell ref="H46:J46"/>
    <mergeCell ref="AG46:AI46"/>
    <mergeCell ref="AK46:AM46"/>
    <mergeCell ref="K47:M47"/>
    <mergeCell ref="AG47:AI47"/>
    <mergeCell ref="AK47:AM47"/>
    <mergeCell ref="C42:E42"/>
    <mergeCell ref="F42:G42"/>
    <mergeCell ref="I42:J42"/>
    <mergeCell ref="K42:L42"/>
    <mergeCell ref="R42:S42"/>
    <mergeCell ref="AM43:AN43"/>
    <mergeCell ref="R44:S44"/>
    <mergeCell ref="T44:U44"/>
    <mergeCell ref="V44:W44"/>
    <mergeCell ref="AF44:AG44"/>
    <mergeCell ref="AJ44:AK44"/>
    <mergeCell ref="AM44:AN44"/>
    <mergeCell ref="T42:U42"/>
    <mergeCell ref="V42:W42"/>
    <mergeCell ref="AF42:AG42"/>
    <mergeCell ref="AJ42:AK42"/>
    <mergeCell ref="AM42:AN42"/>
    <mergeCell ref="R43:S43"/>
    <mergeCell ref="T43:U43"/>
    <mergeCell ref="V43:W43"/>
    <mergeCell ref="AF43:AG43"/>
    <mergeCell ref="AJ43:AK43"/>
    <mergeCell ref="T40:U40"/>
    <mergeCell ref="V40:W40"/>
    <mergeCell ref="AF40:AG40"/>
    <mergeCell ref="AM40:AP40"/>
    <mergeCell ref="C41:E41"/>
    <mergeCell ref="F41:G41"/>
    <mergeCell ref="I41:J41"/>
    <mergeCell ref="K41:L41"/>
    <mergeCell ref="R41:S41"/>
    <mergeCell ref="AH39:AH40"/>
    <mergeCell ref="AI39:AI40"/>
    <mergeCell ref="AJ39:AK40"/>
    <mergeCell ref="AL39:AP39"/>
    <mergeCell ref="C39:E40"/>
    <mergeCell ref="F39:G40"/>
    <mergeCell ref="H39:H40"/>
    <mergeCell ref="I39:J40"/>
    <mergeCell ref="K39:L40"/>
    <mergeCell ref="M39:M40"/>
    <mergeCell ref="T41:U41"/>
    <mergeCell ref="V41:W41"/>
    <mergeCell ref="AF41:AG41"/>
    <mergeCell ref="AJ41:AK41"/>
    <mergeCell ref="AM41:AP41"/>
    <mergeCell ref="AQ39:AR39"/>
    <mergeCell ref="AS39:AT39"/>
    <mergeCell ref="N39:O39"/>
    <mergeCell ref="P39:Q39"/>
    <mergeCell ref="R39:W39"/>
    <mergeCell ref="X39:Z39"/>
    <mergeCell ref="AA39:AC39"/>
    <mergeCell ref="AD39:AG39"/>
    <mergeCell ref="R38:Z38"/>
    <mergeCell ref="AA38:AG38"/>
    <mergeCell ref="AH38:AK38"/>
    <mergeCell ref="AL38:AT38"/>
    <mergeCell ref="C36:E36"/>
    <mergeCell ref="F36:G36"/>
    <mergeCell ref="I36:J36"/>
    <mergeCell ref="K36:L36"/>
    <mergeCell ref="R36:S36"/>
    <mergeCell ref="B38:B40"/>
    <mergeCell ref="C38:G38"/>
    <mergeCell ref="H38:J38"/>
    <mergeCell ref="K38:M38"/>
    <mergeCell ref="N38:Q38"/>
    <mergeCell ref="R40:S40"/>
    <mergeCell ref="J27:Z27"/>
    <mergeCell ref="J28:Z28"/>
    <mergeCell ref="J29:Z29"/>
    <mergeCell ref="G31:I31"/>
    <mergeCell ref="K31:L31"/>
    <mergeCell ref="P33:Z33"/>
    <mergeCell ref="K21:P21"/>
    <mergeCell ref="Q21:R21"/>
    <mergeCell ref="S21:W21"/>
    <mergeCell ref="E22:T22"/>
    <mergeCell ref="B26:G26"/>
    <mergeCell ref="J26:Z26"/>
    <mergeCell ref="S17:V17"/>
    <mergeCell ref="Q20:R20"/>
    <mergeCell ref="S20:W20"/>
    <mergeCell ref="E10:P10"/>
    <mergeCell ref="Q10:V11"/>
    <mergeCell ref="J12:R12"/>
    <mergeCell ref="U12:V12"/>
    <mergeCell ref="W12:Y12"/>
    <mergeCell ref="J13:R13"/>
    <mergeCell ref="U13:V14"/>
    <mergeCell ref="W13:Y14"/>
    <mergeCell ref="B2:E4"/>
    <mergeCell ref="W5:Y5"/>
    <mergeCell ref="Q6:V6"/>
    <mergeCell ref="W6:Y6"/>
    <mergeCell ref="W7:Y7"/>
    <mergeCell ref="W8:Y9"/>
    <mergeCell ref="Q15:V15"/>
    <mergeCell ref="W15:Y15"/>
    <mergeCell ref="P16:V16"/>
    <mergeCell ref="W16:Y16"/>
  </mergeCells>
  <pageMargins left="0.98425196850393704" right="0.59055118110236227" top="0.59055118110236227" bottom="0.35433070866141736" header="0" footer="0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0"/>
  <dimension ref="A1:AY81"/>
  <sheetViews>
    <sheetView view="pageBreakPreview" topLeftCell="A16" zoomScaleNormal="100" workbookViewId="0">
      <selection activeCell="AJ32" sqref="AJ32:AK32"/>
    </sheetView>
  </sheetViews>
  <sheetFormatPr defaultRowHeight="12.75"/>
  <cols>
    <col min="1" max="1" width="0.140625" customWidth="1"/>
    <col min="2" max="2" width="5" customWidth="1"/>
    <col min="3" max="3" width="3.85546875" customWidth="1"/>
    <col min="4" max="4" width="6.7109375" customWidth="1"/>
    <col min="5" max="7" width="0.7109375" customWidth="1"/>
    <col min="8" max="8" width="2.85546875" customWidth="1"/>
    <col min="9" max="9" width="4.42578125" customWidth="1"/>
    <col min="10" max="10" width="5.5703125" customWidth="1"/>
    <col min="11" max="11" width="3.140625" customWidth="1"/>
    <col min="12" max="12" width="2.85546875" customWidth="1"/>
    <col min="13" max="13" width="2.28515625" customWidth="1"/>
    <col min="14" max="14" width="7.85546875" customWidth="1"/>
    <col min="15" max="16" width="6.85546875" customWidth="1"/>
    <col min="17" max="17" width="7.5703125" customWidth="1"/>
    <col min="18" max="18" width="8" customWidth="1"/>
    <col min="19" max="19" width="7" customWidth="1"/>
    <col min="20" max="20" width="6.7109375" customWidth="1"/>
    <col min="21" max="21" width="7" customWidth="1"/>
    <col min="22" max="22" width="6.140625" customWidth="1"/>
    <col min="23" max="23" width="1.7109375" customWidth="1"/>
    <col min="24" max="24" width="4.7109375" customWidth="1"/>
    <col min="25" max="25" width="3.85546875" customWidth="1"/>
    <col min="26" max="26" width="4.28515625" customWidth="1"/>
    <col min="27" max="27" width="1.5703125" customWidth="1"/>
    <col min="28" max="29" width="7.7109375" customWidth="1"/>
    <col min="30" max="30" width="6.140625" customWidth="1"/>
    <col min="31" max="31" width="6.7109375" customWidth="1"/>
    <col min="32" max="32" width="10.5703125" customWidth="1"/>
    <col min="34" max="34" width="7.5703125" customWidth="1"/>
    <col min="36" max="36" width="4.85546875" customWidth="1"/>
    <col min="37" max="37" width="5.5703125" customWidth="1"/>
    <col min="38" max="38" width="8" customWidth="1"/>
    <col min="39" max="39" width="9" customWidth="1"/>
    <col min="40" max="40" width="2.42578125" customWidth="1"/>
    <col min="41" max="41" width="7.28515625" customWidth="1"/>
    <col min="42" max="42" width="8.85546875" customWidth="1"/>
    <col min="43" max="43" width="7.42578125" customWidth="1"/>
    <col min="44" max="44" width="2.42578125" customWidth="1"/>
    <col min="45" max="46" width="9.140625" hidden="1" customWidth="1"/>
    <col min="47" max="50" width="9.85546875" customWidth="1"/>
  </cols>
  <sheetData>
    <row r="1" spans="1:51">
      <c r="B1" s="324" t="s">
        <v>30</v>
      </c>
    </row>
    <row r="2" spans="1:51" s="4" customFormat="1" ht="12.2" customHeight="1">
      <c r="A2" s="322" t="s">
        <v>29</v>
      </c>
      <c r="C2" s="322"/>
      <c r="D2" s="323"/>
      <c r="E2" s="323"/>
      <c r="F2" s="323"/>
      <c r="G2" s="323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1"/>
      <c r="AA2" s="321"/>
      <c r="AB2" s="321"/>
      <c r="AC2" s="321"/>
      <c r="AD2" s="320" t="s">
        <v>245</v>
      </c>
      <c r="AE2" s="321"/>
      <c r="AF2" s="321"/>
      <c r="AG2" s="321"/>
      <c r="AH2" s="321"/>
      <c r="AI2" s="321"/>
      <c r="AJ2" s="321"/>
      <c r="AK2" s="321"/>
      <c r="AL2" s="321"/>
      <c r="AM2" s="321"/>
      <c r="AN2" s="321"/>
      <c r="AO2" s="321"/>
      <c r="AP2" s="321"/>
      <c r="AQ2" s="321"/>
      <c r="AR2" s="321"/>
      <c r="AS2" s="321"/>
      <c r="AT2" s="321"/>
      <c r="AU2" s="321"/>
      <c r="AV2" s="321"/>
      <c r="AW2" s="321"/>
      <c r="AX2" s="321"/>
      <c r="AY2" s="321"/>
    </row>
    <row r="3" spans="1:51" ht="12.2" customHeight="1">
      <c r="A3" s="120"/>
      <c r="B3" s="4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1"/>
      <c r="X3" s="119"/>
      <c r="Y3" s="119"/>
      <c r="Z3" s="120"/>
      <c r="AA3" s="120"/>
      <c r="AB3" s="120"/>
      <c r="AC3" s="120"/>
      <c r="AD3" s="320" t="s">
        <v>246</v>
      </c>
      <c r="AE3" s="120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  <c r="AV3" s="119"/>
      <c r="AW3" s="119"/>
      <c r="AX3" s="119"/>
      <c r="AY3" s="119"/>
    </row>
    <row r="4" spans="1:51" ht="12.2" customHeight="1">
      <c r="A4" s="120"/>
      <c r="B4" s="4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0"/>
      <c r="V4" s="120"/>
      <c r="W4" s="121"/>
      <c r="X4" s="119"/>
      <c r="Y4" s="119"/>
      <c r="Z4" s="120"/>
      <c r="AA4" s="120"/>
      <c r="AB4" s="120"/>
      <c r="AC4" s="120"/>
      <c r="AD4" s="320" t="s">
        <v>222</v>
      </c>
      <c r="AE4" s="120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</row>
    <row r="5" spans="1:51" ht="12.2" customHeight="1">
      <c r="A5" s="120"/>
      <c r="B5" s="4"/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120"/>
      <c r="U5" s="120"/>
      <c r="V5" s="120"/>
      <c r="W5" s="121"/>
      <c r="X5" s="119"/>
      <c r="Y5" s="119"/>
      <c r="Z5" s="120"/>
      <c r="AA5" s="120"/>
      <c r="AB5" s="120"/>
      <c r="AC5" s="120"/>
      <c r="AD5" s="320" t="s">
        <v>247</v>
      </c>
      <c r="AE5" s="120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</row>
    <row r="6" spans="1:51" ht="12.2" customHeight="1">
      <c r="A6" s="120"/>
      <c r="B6" s="4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/>
      <c r="W6" s="121"/>
      <c r="X6" s="119"/>
      <c r="Y6" s="119"/>
      <c r="Z6" s="120"/>
      <c r="AA6" s="120"/>
      <c r="AB6" s="120"/>
      <c r="AC6" s="120"/>
      <c r="AD6" s="320"/>
      <c r="AE6" s="120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119"/>
      <c r="AY6" s="119"/>
    </row>
    <row r="7" spans="1:51" ht="12.2" customHeight="1">
      <c r="A7" s="120"/>
      <c r="B7" s="4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0"/>
      <c r="T7" s="120"/>
      <c r="U7" s="120"/>
      <c r="V7" s="120"/>
      <c r="W7" s="121"/>
      <c r="X7" s="119"/>
      <c r="Y7" s="119"/>
      <c r="Z7" s="120"/>
      <c r="AA7" s="120"/>
      <c r="AB7" s="120"/>
      <c r="AC7" s="120"/>
      <c r="AD7" s="320"/>
      <c r="AE7" s="120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</row>
    <row r="8" spans="1:51" ht="27" customHeight="1">
      <c r="A8" s="120"/>
      <c r="B8" s="4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120"/>
      <c r="X8" s="119"/>
      <c r="Y8" s="119"/>
      <c r="Z8" s="120"/>
      <c r="AA8" s="120"/>
      <c r="AB8" s="120"/>
      <c r="AC8" s="120"/>
      <c r="AD8" s="320"/>
      <c r="AE8" s="120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</row>
    <row r="9" spans="1:51" ht="14.25" customHeight="1">
      <c r="A9" s="120"/>
      <c r="B9" s="1344" t="s">
        <v>141</v>
      </c>
      <c r="C9" s="1344"/>
      <c r="D9" s="1344"/>
      <c r="E9" s="1344"/>
      <c r="F9" s="1344"/>
      <c r="G9" s="1344"/>
      <c r="H9" s="1344"/>
      <c r="I9" s="1344"/>
      <c r="J9" s="1344"/>
      <c r="K9" s="1344"/>
      <c r="L9" s="1344"/>
      <c r="M9" s="1344"/>
      <c r="N9" s="1344"/>
      <c r="O9" s="1344"/>
      <c r="P9" s="1344"/>
      <c r="Q9" s="1344"/>
      <c r="R9" s="1344"/>
      <c r="S9" s="1344"/>
      <c r="T9" s="1344"/>
      <c r="U9" s="1344"/>
      <c r="V9" s="1344"/>
      <c r="W9" s="1344"/>
      <c r="X9" s="1344"/>
      <c r="Y9" s="1344"/>
      <c r="Z9" s="1344"/>
      <c r="AA9" s="1344"/>
      <c r="AB9" s="1344"/>
      <c r="AC9" s="1344"/>
      <c r="AD9" s="1344"/>
      <c r="AE9" s="1344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</row>
    <row r="10" spans="1:51" ht="14.25" customHeight="1">
      <c r="A10" s="120"/>
      <c r="B10" s="1351" t="s">
        <v>256</v>
      </c>
      <c r="C10" s="1351"/>
      <c r="D10" s="1351"/>
      <c r="E10" s="1351"/>
      <c r="F10" s="1351"/>
      <c r="G10" s="1351"/>
      <c r="H10" s="1351"/>
      <c r="I10" s="1351"/>
      <c r="J10" s="1351"/>
      <c r="K10" s="1351"/>
      <c r="L10" s="1351"/>
      <c r="M10" s="1351"/>
      <c r="N10" s="1351"/>
      <c r="O10" s="1351"/>
      <c r="P10" s="1351"/>
      <c r="Q10" s="1351"/>
      <c r="R10" s="1351"/>
      <c r="S10" s="1351"/>
      <c r="T10" s="1351"/>
      <c r="U10" s="1351"/>
      <c r="V10" s="1351"/>
      <c r="W10" s="1351"/>
      <c r="X10" s="1351"/>
      <c r="Y10" s="1351"/>
      <c r="Z10" s="1351"/>
      <c r="AA10" s="1351"/>
      <c r="AB10" s="1351"/>
      <c r="AC10" s="1351"/>
      <c r="AD10" s="1351"/>
      <c r="AE10" s="1351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</row>
    <row r="11" spans="1:51" ht="14.25" customHeight="1">
      <c r="A11" s="120"/>
      <c r="C11" s="420"/>
      <c r="D11" s="420"/>
      <c r="E11" s="420"/>
      <c r="F11" s="420"/>
      <c r="G11" s="420"/>
      <c r="H11" s="420"/>
      <c r="I11" s="420"/>
      <c r="J11" s="420"/>
      <c r="K11" s="420"/>
      <c r="L11" s="420"/>
      <c r="M11" s="420"/>
      <c r="N11" s="420"/>
      <c r="O11" s="420"/>
      <c r="P11" s="420"/>
      <c r="Q11" s="421" t="s">
        <v>333</v>
      </c>
      <c r="R11" s="427" t="s">
        <v>293</v>
      </c>
      <c r="S11" s="420"/>
      <c r="T11" s="420"/>
      <c r="U11" s="420"/>
      <c r="V11" s="420"/>
      <c r="W11" s="420"/>
      <c r="X11" s="420"/>
      <c r="Y11" s="420"/>
      <c r="Z11" s="420"/>
      <c r="AA11" s="420"/>
      <c r="AB11" s="420"/>
      <c r="AC11" s="420"/>
      <c r="AD11" s="420"/>
      <c r="AE11" s="420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</row>
    <row r="12" spans="1:51" ht="14.25" customHeight="1">
      <c r="A12" s="120"/>
      <c r="B12" s="4"/>
      <c r="C12" s="120"/>
      <c r="D12" s="120"/>
      <c r="E12" s="120"/>
      <c r="F12" s="120"/>
      <c r="G12" s="120"/>
      <c r="H12" s="152"/>
      <c r="I12" s="152"/>
      <c r="J12" s="152"/>
      <c r="K12" s="152"/>
      <c r="L12" s="152"/>
      <c r="M12" s="152"/>
      <c r="X12" s="152"/>
      <c r="Y12" s="119"/>
      <c r="Z12" s="120"/>
      <c r="AA12" s="120"/>
      <c r="AB12" s="120"/>
      <c r="AC12" s="120"/>
      <c r="AD12" s="320"/>
      <c r="AE12" s="120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</row>
    <row r="13" spans="1:51" ht="21.75" customHeight="1">
      <c r="A13" s="123"/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D13" s="124"/>
      <c r="AE13" s="120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</row>
    <row r="14" spans="1:51" ht="15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Z14" s="115" t="s">
        <v>250</v>
      </c>
      <c r="AA14" s="1443" t="s">
        <v>218</v>
      </c>
      <c r="AB14" s="1443"/>
      <c r="AC14" s="1443"/>
      <c r="AD14" s="126"/>
      <c r="AE14" s="120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</row>
    <row r="15" spans="1:51" ht="15">
      <c r="B15" s="110" t="s">
        <v>35</v>
      </c>
      <c r="C15" s="110"/>
      <c r="D15" s="110"/>
      <c r="E15" s="110"/>
      <c r="F15" s="110"/>
      <c r="G15" s="110"/>
      <c r="S15" s="9"/>
      <c r="T15" s="9"/>
      <c r="U15" s="9"/>
      <c r="V15" s="325"/>
      <c r="W15" s="325"/>
      <c r="X15" s="1333" t="s">
        <v>249</v>
      </c>
      <c r="Y15" s="1333"/>
      <c r="Z15" s="1333"/>
      <c r="AA15" s="1411" t="s">
        <v>248</v>
      </c>
      <c r="AB15" s="1337"/>
      <c r="AC15" s="1412"/>
      <c r="AD15" s="126"/>
      <c r="AE15" s="120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</row>
    <row r="16" spans="1:51" ht="9.75" customHeight="1">
      <c r="A16" s="123"/>
      <c r="B16" s="1280" t="s">
        <v>58</v>
      </c>
      <c r="C16" s="1280"/>
      <c r="D16" s="1280"/>
      <c r="E16" s="1280"/>
      <c r="F16" s="1280"/>
      <c r="G16" s="1280"/>
      <c r="H16" s="1280"/>
      <c r="I16" s="1280"/>
      <c r="J16" s="1280"/>
      <c r="K16" s="1280"/>
      <c r="L16" s="1280"/>
      <c r="M16" s="1280"/>
      <c r="N16" s="1280"/>
      <c r="O16" s="1280"/>
      <c r="P16" s="1280"/>
      <c r="Q16" s="1280"/>
      <c r="R16" s="1280"/>
      <c r="S16" s="1280"/>
      <c r="T16" s="1280"/>
      <c r="U16" s="1280"/>
      <c r="V16" s="1280"/>
      <c r="W16" s="1280"/>
      <c r="X16" s="1435" t="s">
        <v>226</v>
      </c>
      <c r="Y16" s="1435"/>
      <c r="Z16" s="1435"/>
      <c r="AA16" s="1357" t="s">
        <v>34</v>
      </c>
      <c r="AB16" s="1358"/>
      <c r="AC16" s="1413"/>
      <c r="AD16" s="133"/>
      <c r="AE16" s="120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</row>
    <row r="17" spans="1:51" ht="11.25" customHeight="1">
      <c r="A17" s="134"/>
      <c r="B17" s="110" t="s">
        <v>32</v>
      </c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435"/>
      <c r="Y17" s="1435"/>
      <c r="Z17" s="1435"/>
      <c r="AA17" s="1360"/>
      <c r="AB17" s="1361"/>
      <c r="AC17" s="1414"/>
      <c r="AD17" s="133"/>
      <c r="AE17" s="120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</row>
    <row r="18" spans="1:51" ht="9.75" customHeight="1">
      <c r="A18" s="123"/>
      <c r="B18" s="137"/>
      <c r="C18" s="137"/>
      <c r="D18" s="137"/>
      <c r="E18" s="137"/>
      <c r="F18" s="137"/>
      <c r="G18" s="137"/>
      <c r="H18" s="1280" t="s">
        <v>59</v>
      </c>
      <c r="I18" s="1280"/>
      <c r="J18" s="1280"/>
      <c r="K18" s="1280"/>
      <c r="L18" s="1280"/>
      <c r="M18" s="1280"/>
      <c r="N18" s="1280"/>
      <c r="O18" s="1280"/>
      <c r="P18" s="1280"/>
      <c r="Q18" s="1280"/>
      <c r="R18" s="1280"/>
      <c r="S18" s="1280"/>
      <c r="T18" s="138"/>
      <c r="U18" s="1368" t="s">
        <v>60</v>
      </c>
      <c r="V18" s="1368"/>
      <c r="W18" s="1368"/>
      <c r="X18" s="1333"/>
      <c r="Y18" s="1333"/>
      <c r="Z18" s="1333"/>
      <c r="AA18" s="1357"/>
      <c r="AB18" s="1358"/>
      <c r="AC18" s="1413"/>
      <c r="AD18" s="133"/>
      <c r="AE18" s="120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</row>
    <row r="19" spans="1:51" ht="6" customHeight="1">
      <c r="A19" s="142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369"/>
      <c r="V19" s="1369"/>
      <c r="W19" s="1369"/>
      <c r="X19" s="1369"/>
      <c r="Y19" s="1369"/>
      <c r="Z19" s="1369"/>
      <c r="AA19" s="1360"/>
      <c r="AB19" s="1361"/>
      <c r="AC19" s="1414"/>
      <c r="AD19" s="133"/>
      <c r="AE19" s="120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</row>
    <row r="20" spans="1:51" ht="15">
      <c r="A20" s="123"/>
      <c r="B20" s="408" t="s">
        <v>61</v>
      </c>
      <c r="C20" s="119"/>
      <c r="D20" s="123"/>
      <c r="E20" s="123"/>
      <c r="F20" s="123"/>
      <c r="G20" s="123"/>
      <c r="H20" s="123"/>
      <c r="I20" s="123"/>
      <c r="J20" s="66"/>
      <c r="K20" s="66"/>
      <c r="L20" s="405"/>
      <c r="M20" s="66"/>
      <c r="N20" s="1417" t="s">
        <v>139</v>
      </c>
      <c r="O20" s="1417"/>
      <c r="P20" s="1417"/>
      <c r="Q20" s="1417"/>
      <c r="R20" s="1417"/>
      <c r="S20" s="1417"/>
      <c r="T20" s="1417"/>
      <c r="U20" s="1417"/>
      <c r="V20" s="1417"/>
      <c r="W20" s="1417"/>
      <c r="X20" s="407"/>
      <c r="Y20" s="1353" t="s">
        <v>4</v>
      </c>
      <c r="Z20" s="1354"/>
      <c r="AA20" s="1411" t="s">
        <v>331</v>
      </c>
      <c r="AB20" s="1337"/>
      <c r="AC20" s="1412"/>
      <c r="AD20" s="133"/>
      <c r="AE20" s="120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</row>
    <row r="21" spans="1:51" ht="10.5" customHeight="1">
      <c r="A21" s="123"/>
      <c r="B21" s="123"/>
      <c r="C21" s="123"/>
      <c r="D21" s="123"/>
      <c r="E21" s="123"/>
      <c r="F21" s="123"/>
      <c r="G21" s="123"/>
      <c r="H21" s="123"/>
      <c r="I21" s="123"/>
      <c r="J21" s="123"/>
      <c r="L21" s="398"/>
      <c r="M21" s="398"/>
      <c r="N21" s="1280" t="s">
        <v>253</v>
      </c>
      <c r="O21" s="1280"/>
      <c r="P21" s="1280"/>
      <c r="Q21" s="1280"/>
      <c r="R21" s="1280"/>
      <c r="S21" s="1280"/>
      <c r="T21" s="1280"/>
      <c r="U21" s="1280"/>
      <c r="V21" s="1280"/>
      <c r="W21" s="1280"/>
      <c r="X21" s="409"/>
      <c r="Y21" s="1440" t="s">
        <v>64</v>
      </c>
      <c r="Z21" s="1441"/>
      <c r="AA21" s="1357" t="s">
        <v>332</v>
      </c>
      <c r="AB21" s="1358"/>
      <c r="AC21" s="1413"/>
      <c r="AD21" s="126"/>
      <c r="AE21" s="120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</row>
    <row r="22" spans="1:51" ht="6.75" customHeight="1">
      <c r="A22" s="123"/>
      <c r="B22" s="123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42"/>
      <c r="Z22" s="1352"/>
      <c r="AA22" s="1360"/>
      <c r="AB22" s="1361"/>
      <c r="AC22" s="1414"/>
      <c r="AD22" s="126"/>
      <c r="AE22" s="120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</row>
    <row r="23" spans="1:51" ht="15">
      <c r="A23" s="123"/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46"/>
      <c r="O23" s="146"/>
      <c r="P23" s="146"/>
      <c r="Q23" s="146"/>
      <c r="R23" s="146"/>
      <c r="S23" s="146"/>
      <c r="T23" s="146"/>
      <c r="U23" s="1333" t="s">
        <v>65</v>
      </c>
      <c r="V23" s="1333"/>
      <c r="W23" s="1333"/>
      <c r="X23" s="1333"/>
      <c r="Y23" s="1333"/>
      <c r="Z23" s="1333"/>
      <c r="AA23" s="1415" t="s">
        <v>31</v>
      </c>
      <c r="AB23" s="1334"/>
      <c r="AC23" s="1416"/>
      <c r="AD23" s="133"/>
      <c r="AE23" s="120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</row>
    <row r="24" spans="1:51" ht="15">
      <c r="A24" s="123"/>
      <c r="B24" s="123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46"/>
      <c r="O24" s="146"/>
      <c r="P24" s="146"/>
      <c r="Q24" s="146"/>
      <c r="R24" s="1333" t="s">
        <v>66</v>
      </c>
      <c r="S24" s="1333"/>
      <c r="T24" s="1333"/>
      <c r="U24" s="1333"/>
      <c r="V24" s="1333"/>
      <c r="W24" s="1333"/>
      <c r="X24" s="1333"/>
      <c r="Y24" s="1333"/>
      <c r="Z24" s="1333"/>
      <c r="AA24" s="1411" t="s">
        <v>330</v>
      </c>
      <c r="AB24" s="1337"/>
      <c r="AC24" s="1412"/>
      <c r="AD24" s="133"/>
      <c r="AE24" s="120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</row>
    <row r="25" spans="1:51" ht="33" customHeight="1">
      <c r="A25" s="120"/>
      <c r="B25" s="123"/>
      <c r="C25" s="123"/>
      <c r="D25" s="120"/>
      <c r="E25" s="120"/>
      <c r="F25" s="120"/>
      <c r="G25" s="120"/>
      <c r="Y25" s="152"/>
      <c r="Z25" s="152"/>
      <c r="AA25" s="120"/>
      <c r="AB25" s="120"/>
      <c r="AC25" s="120"/>
      <c r="AD25" s="120"/>
      <c r="AE25" s="120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</row>
    <row r="26" spans="1:51">
      <c r="A26" s="121"/>
      <c r="B26" s="121"/>
      <c r="C26" s="1331"/>
      <c r="D26" s="1331"/>
      <c r="E26" s="1331"/>
      <c r="F26" s="1331"/>
      <c r="G26" s="1331"/>
      <c r="H26" s="1331"/>
      <c r="I26" s="1331"/>
      <c r="J26" s="1331"/>
      <c r="K26" s="121"/>
      <c r="L26" s="1331"/>
      <c r="M26" s="1331"/>
      <c r="N26" s="119"/>
      <c r="O26" s="119"/>
      <c r="P26" s="119"/>
      <c r="Q26" s="119"/>
      <c r="R26" s="119"/>
      <c r="S26" s="119"/>
      <c r="T26" s="119"/>
      <c r="U26" s="119"/>
      <c r="V26" s="1332"/>
      <c r="W26" s="1332"/>
      <c r="Y26" s="125"/>
      <c r="Z26" s="125"/>
      <c r="AA26" s="125"/>
      <c r="AB26" s="125"/>
      <c r="AC26" s="125"/>
      <c r="AD26" s="125" t="s">
        <v>254</v>
      </c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V26" s="164"/>
      <c r="AW26" s="164"/>
      <c r="AX26" s="125" t="s">
        <v>255</v>
      </c>
      <c r="AY26" s="119"/>
    </row>
    <row r="27" spans="1:51" ht="3.2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</row>
    <row r="28" spans="1:51" ht="20.25" customHeight="1">
      <c r="A28" s="119"/>
      <c r="B28" s="1395" t="s">
        <v>151</v>
      </c>
      <c r="C28" s="1419" t="s">
        <v>228</v>
      </c>
      <c r="D28" s="1419"/>
      <c r="E28" s="1419"/>
      <c r="F28" s="1419"/>
      <c r="G28" s="1419"/>
      <c r="H28" s="1419"/>
      <c r="I28" s="1418"/>
      <c r="J28" s="1418"/>
      <c r="K28" s="1420" t="s">
        <v>153</v>
      </c>
      <c r="L28" s="1429"/>
      <c r="M28" s="1421"/>
      <c r="N28" s="1418" t="s">
        <v>154</v>
      </c>
      <c r="O28" s="1418"/>
      <c r="P28" s="1418"/>
      <c r="Q28" s="1418"/>
      <c r="R28" s="1418"/>
      <c r="S28" s="1418"/>
      <c r="T28" s="1418"/>
      <c r="U28" s="1418"/>
      <c r="V28" s="1419" t="s">
        <v>155</v>
      </c>
      <c r="W28" s="1419"/>
      <c r="X28" s="1419"/>
      <c r="Y28" s="1419"/>
      <c r="Z28" s="1419"/>
      <c r="AA28" s="1419"/>
      <c r="AB28" s="1419"/>
      <c r="AC28" s="1419"/>
      <c r="AD28" s="1419"/>
      <c r="AE28" s="1392" t="s">
        <v>156</v>
      </c>
      <c r="AF28" s="1393"/>
      <c r="AG28" s="1393"/>
      <c r="AH28" s="1393"/>
      <c r="AI28" s="1393"/>
      <c r="AJ28" s="1393"/>
      <c r="AK28" s="1394"/>
      <c r="AL28" s="1426" t="s">
        <v>157</v>
      </c>
      <c r="AM28" s="1427"/>
      <c r="AN28" s="1427"/>
      <c r="AO28" s="1428"/>
      <c r="AP28" s="1392" t="s">
        <v>257</v>
      </c>
      <c r="AQ28" s="1393"/>
      <c r="AR28" s="1393"/>
      <c r="AS28" s="1393"/>
      <c r="AT28" s="1393"/>
      <c r="AU28" s="1393"/>
      <c r="AV28" s="1393"/>
      <c r="AW28" s="1393"/>
      <c r="AX28" s="1394"/>
      <c r="AY28" s="119"/>
    </row>
    <row r="29" spans="1:51" ht="22.7" customHeight="1">
      <c r="A29" s="119"/>
      <c r="B29" s="1396"/>
      <c r="C29" s="1434" t="s">
        <v>251</v>
      </c>
      <c r="D29" s="1434"/>
      <c r="E29" s="1426"/>
      <c r="F29" s="1426"/>
      <c r="G29" s="1426"/>
      <c r="H29" s="1426"/>
      <c r="I29" s="1434" t="s">
        <v>252</v>
      </c>
      <c r="J29" s="1434"/>
      <c r="K29" s="1422"/>
      <c r="L29" s="1436"/>
      <c r="M29" s="1423"/>
      <c r="N29" s="1419" t="s">
        <v>163</v>
      </c>
      <c r="O29" s="1419"/>
      <c r="P29" s="1419"/>
      <c r="Q29" s="1419"/>
      <c r="R29" s="1419" t="s">
        <v>164</v>
      </c>
      <c r="S29" s="1419"/>
      <c r="T29" s="1419"/>
      <c r="U29" s="1419"/>
      <c r="V29" s="1394" t="s">
        <v>163</v>
      </c>
      <c r="W29" s="1419"/>
      <c r="X29" s="1419"/>
      <c r="Y29" s="1419"/>
      <c r="Z29" s="1419"/>
      <c r="AA29" s="1419"/>
      <c r="AB29" s="1419" t="s">
        <v>164</v>
      </c>
      <c r="AC29" s="1419"/>
      <c r="AD29" s="1419"/>
      <c r="AE29" s="1426" t="s">
        <v>165</v>
      </c>
      <c r="AF29" s="1427"/>
      <c r="AG29" s="1428"/>
      <c r="AH29" s="1392" t="s">
        <v>166</v>
      </c>
      <c r="AI29" s="1393"/>
      <c r="AJ29" s="1393"/>
      <c r="AK29" s="1394"/>
      <c r="AL29" s="1395" t="s">
        <v>167</v>
      </c>
      <c r="AM29" s="1395" t="s">
        <v>168</v>
      </c>
      <c r="AN29" s="1420" t="s">
        <v>169</v>
      </c>
      <c r="AO29" s="1421"/>
      <c r="AP29" s="1430"/>
      <c r="AQ29" s="1432"/>
      <c r="AR29" s="1432"/>
      <c r="AS29" s="1432"/>
      <c r="AT29" s="1431"/>
      <c r="AU29" s="1430"/>
      <c r="AV29" s="1431"/>
      <c r="AW29" s="1430"/>
      <c r="AX29" s="1431"/>
      <c r="AY29" s="119"/>
    </row>
    <row r="30" spans="1:51" ht="39.75" customHeight="1">
      <c r="A30" s="119"/>
      <c r="B30" s="1433"/>
      <c r="C30" s="1395"/>
      <c r="D30" s="1395"/>
      <c r="E30" s="1420"/>
      <c r="F30" s="1420"/>
      <c r="G30" s="1420"/>
      <c r="H30" s="1420"/>
      <c r="I30" s="1395"/>
      <c r="J30" s="1395"/>
      <c r="K30" s="1437"/>
      <c r="L30" s="1438"/>
      <c r="M30" s="1439"/>
      <c r="N30" s="327" t="s">
        <v>170</v>
      </c>
      <c r="O30" s="327" t="s">
        <v>188</v>
      </c>
      <c r="P30" s="327" t="s">
        <v>189</v>
      </c>
      <c r="Q30" s="327" t="s">
        <v>168</v>
      </c>
      <c r="R30" s="327" t="s">
        <v>170</v>
      </c>
      <c r="S30" s="327" t="s">
        <v>188</v>
      </c>
      <c r="T30" s="327" t="s">
        <v>189</v>
      </c>
      <c r="U30" s="327" t="s">
        <v>168</v>
      </c>
      <c r="V30" s="1421" t="s">
        <v>170</v>
      </c>
      <c r="W30" s="1395"/>
      <c r="X30" s="1395" t="s">
        <v>168</v>
      </c>
      <c r="Y30" s="1395"/>
      <c r="Z30" s="1395" t="s">
        <v>171</v>
      </c>
      <c r="AA30" s="1395"/>
      <c r="AB30" s="327" t="s">
        <v>170</v>
      </c>
      <c r="AC30" s="327" t="s">
        <v>168</v>
      </c>
      <c r="AD30" s="327" t="s">
        <v>171</v>
      </c>
      <c r="AE30" s="327" t="s">
        <v>170</v>
      </c>
      <c r="AF30" s="327" t="s">
        <v>168</v>
      </c>
      <c r="AG30" s="327" t="s">
        <v>172</v>
      </c>
      <c r="AH30" s="327" t="s">
        <v>170</v>
      </c>
      <c r="AI30" s="327" t="s">
        <v>168</v>
      </c>
      <c r="AJ30" s="1424" t="s">
        <v>173</v>
      </c>
      <c r="AK30" s="1425"/>
      <c r="AL30" s="1396"/>
      <c r="AM30" s="1396"/>
      <c r="AN30" s="1422"/>
      <c r="AO30" s="1423"/>
      <c r="AP30" s="327" t="s">
        <v>167</v>
      </c>
      <c r="AQ30" s="1420" t="s">
        <v>174</v>
      </c>
      <c r="AR30" s="1429"/>
      <c r="AS30" s="1429"/>
      <c r="AT30" s="1421"/>
      <c r="AU30" s="327" t="s">
        <v>167</v>
      </c>
      <c r="AV30" s="327" t="s">
        <v>168</v>
      </c>
      <c r="AW30" s="327" t="s">
        <v>167</v>
      </c>
      <c r="AX30" s="327" t="s">
        <v>168</v>
      </c>
      <c r="AY30" s="119"/>
    </row>
    <row r="31" spans="1:51" s="17" customFormat="1">
      <c r="A31" s="119"/>
      <c r="B31" s="328">
        <v>1</v>
      </c>
      <c r="C31" s="1391">
        <v>2</v>
      </c>
      <c r="D31" s="1391"/>
      <c r="E31" s="1391"/>
      <c r="F31" s="1391"/>
      <c r="G31" s="1391"/>
      <c r="H31" s="1391"/>
      <c r="I31" s="1391">
        <v>3</v>
      </c>
      <c r="J31" s="1391"/>
      <c r="K31" s="1284">
        <v>4</v>
      </c>
      <c r="L31" s="1384"/>
      <c r="M31" s="1285"/>
      <c r="N31" s="329" t="s">
        <v>241</v>
      </c>
      <c r="O31" s="329">
        <v>9</v>
      </c>
      <c r="P31" s="329">
        <v>10</v>
      </c>
      <c r="Q31" s="328">
        <v>11</v>
      </c>
      <c r="R31" s="330">
        <v>12</v>
      </c>
      <c r="S31" s="330">
        <v>13</v>
      </c>
      <c r="T31" s="330">
        <v>14</v>
      </c>
      <c r="U31" s="328">
        <v>15</v>
      </c>
      <c r="V31" s="1343">
        <v>16</v>
      </c>
      <c r="W31" s="1391"/>
      <c r="X31" s="1391">
        <v>17</v>
      </c>
      <c r="Y31" s="1391"/>
      <c r="Z31" s="1391">
        <v>18</v>
      </c>
      <c r="AA31" s="1391"/>
      <c r="AB31" s="328">
        <v>19</v>
      </c>
      <c r="AC31" s="328">
        <v>20</v>
      </c>
      <c r="AD31" s="328">
        <v>21</v>
      </c>
      <c r="AE31" s="172">
        <v>22</v>
      </c>
      <c r="AF31" s="172">
        <v>23</v>
      </c>
      <c r="AG31" s="172">
        <v>24</v>
      </c>
      <c r="AH31" s="172">
        <v>25</v>
      </c>
      <c r="AI31" s="172">
        <v>26</v>
      </c>
      <c r="AJ31" s="1284">
        <v>27</v>
      </c>
      <c r="AK31" s="1285"/>
      <c r="AL31" s="172">
        <v>28</v>
      </c>
      <c r="AM31" s="172">
        <v>29</v>
      </c>
      <c r="AN31" s="1284">
        <v>30</v>
      </c>
      <c r="AO31" s="1285"/>
      <c r="AP31" s="172">
        <v>31</v>
      </c>
      <c r="AQ31" s="1284">
        <v>32</v>
      </c>
      <c r="AR31" s="1384"/>
      <c r="AS31" s="1384"/>
      <c r="AT31" s="1285"/>
      <c r="AU31" s="172">
        <v>33</v>
      </c>
      <c r="AV31" s="172">
        <v>34</v>
      </c>
      <c r="AW31" s="172">
        <v>35</v>
      </c>
      <c r="AX31" s="172">
        <v>36</v>
      </c>
      <c r="AY31" s="119"/>
    </row>
    <row r="32" spans="1:51" s="4" customFormat="1" ht="25.5">
      <c r="A32" s="321"/>
      <c r="B32" s="88" t="s">
        <v>4</v>
      </c>
      <c r="C32" s="1398" t="s">
        <v>6</v>
      </c>
      <c r="D32" s="1399"/>
      <c r="E32" s="1399"/>
      <c r="F32" s="1399"/>
      <c r="G32" s="1399"/>
      <c r="H32" s="1400"/>
      <c r="I32" s="1398" t="s">
        <v>7</v>
      </c>
      <c r="J32" s="1400"/>
      <c r="K32" s="1398" t="s">
        <v>8</v>
      </c>
      <c r="L32" s="1399"/>
      <c r="M32" s="1400"/>
      <c r="N32" s="91" t="s">
        <v>10</v>
      </c>
      <c r="O32" s="417" t="s">
        <v>20</v>
      </c>
      <c r="P32" s="417" t="s">
        <v>21</v>
      </c>
      <c r="Q32" s="91" t="s">
        <v>11</v>
      </c>
      <c r="R32" s="91" t="s">
        <v>12</v>
      </c>
      <c r="S32" s="417" t="s">
        <v>22</v>
      </c>
      <c r="T32" s="417" t="s">
        <v>23</v>
      </c>
      <c r="U32" s="91" t="s">
        <v>13</v>
      </c>
      <c r="V32" s="1389"/>
      <c r="W32" s="1397"/>
      <c r="X32" s="1389"/>
      <c r="Y32" s="1397"/>
      <c r="Z32" s="1389"/>
      <c r="AA32" s="1397"/>
      <c r="AB32" s="883"/>
      <c r="AC32" s="883"/>
      <c r="AD32" s="883"/>
      <c r="AE32" s="882" t="s">
        <v>635</v>
      </c>
      <c r="AF32" s="883" t="s">
        <v>636</v>
      </c>
      <c r="AG32" s="884" t="s">
        <v>637</v>
      </c>
      <c r="AH32" s="882" t="s">
        <v>638</v>
      </c>
      <c r="AI32" s="883" t="s">
        <v>639</v>
      </c>
      <c r="AJ32" s="1387" t="s">
        <v>640</v>
      </c>
      <c r="AK32" s="1388"/>
      <c r="AL32" s="882" t="e">
        <f>IF(N32-AE32=0,"",N32-AE32)</f>
        <v>#VALUE!</v>
      </c>
      <c r="AM32" s="883" t="e">
        <f>IF(Q32-AF32=0,"",Q32-AF32)</f>
        <v>#VALUE!</v>
      </c>
      <c r="AN32" s="887"/>
      <c r="AO32" s="888"/>
      <c r="AP32" s="882" t="e">
        <f>IF(R32-AH32=0,"",R32-AH32)</f>
        <v>#VALUE!</v>
      </c>
      <c r="AQ32" s="1389" t="e">
        <f>IF(U32-AI32=0,"",U32-AI32)</f>
        <v>#VALUE!</v>
      </c>
      <c r="AR32" s="1390"/>
      <c r="AS32" s="892"/>
      <c r="AT32" s="888"/>
      <c r="AU32" s="882"/>
      <c r="AV32" s="882" t="str">
        <f>IF(X32-AN32=0,"",X32-AN32)</f>
        <v/>
      </c>
      <c r="AW32" s="882" t="str">
        <f>IF(Y32-AO32=0,"",Y32-AO32)</f>
        <v/>
      </c>
      <c r="AX32" s="882"/>
      <c r="AY32" s="321"/>
    </row>
    <row r="33" spans="1:51" ht="13.5">
      <c r="B33" s="173" t="s">
        <v>175</v>
      </c>
      <c r="M33" s="174" t="s">
        <v>176</v>
      </c>
      <c r="N33" s="175"/>
      <c r="O33" s="175"/>
      <c r="P33" s="175"/>
      <c r="Q33" s="175"/>
      <c r="R33" s="175"/>
      <c r="S33" s="175"/>
      <c r="T33" s="175"/>
      <c r="U33" s="175"/>
      <c r="V33" s="1409"/>
      <c r="W33" s="1410"/>
      <c r="X33" s="893"/>
      <c r="Y33" s="239"/>
      <c r="Z33" s="1401" t="s">
        <v>177</v>
      </c>
      <c r="AA33" s="1402"/>
      <c r="AB33" s="894"/>
      <c r="AC33" s="894"/>
      <c r="AD33" s="898" t="s">
        <v>177</v>
      </c>
      <c r="AE33" s="244"/>
      <c r="AF33" s="175"/>
      <c r="AG33" s="175"/>
      <c r="AH33" s="244"/>
      <c r="AI33" s="175"/>
      <c r="AJ33" s="893"/>
      <c r="AK33" s="239"/>
      <c r="AL33" s="244"/>
      <c r="AM33" s="175"/>
      <c r="AN33" s="893"/>
      <c r="AO33" s="239"/>
      <c r="AP33" s="244"/>
      <c r="AQ33" s="1407"/>
      <c r="AR33" s="1408"/>
      <c r="AS33" s="920"/>
      <c r="AT33" s="239"/>
      <c r="AU33" s="244"/>
      <c r="AV33" s="175"/>
      <c r="AW33" s="244"/>
      <c r="AX33" s="175"/>
    </row>
    <row r="34" spans="1:51" ht="13.5">
      <c r="A34" s="119"/>
      <c r="B34" s="173" t="s">
        <v>175</v>
      </c>
      <c r="C34" s="189"/>
      <c r="D34" s="189"/>
      <c r="E34" s="189"/>
      <c r="F34" s="189"/>
      <c r="G34" s="189"/>
      <c r="H34" s="189"/>
      <c r="I34" s="190"/>
      <c r="J34" s="190"/>
      <c r="K34" s="191"/>
      <c r="L34" s="189"/>
      <c r="M34" s="326" t="s">
        <v>178</v>
      </c>
      <c r="N34" s="194"/>
      <c r="O34" s="194"/>
      <c r="P34" s="194"/>
      <c r="Q34" s="194"/>
      <c r="R34" s="194"/>
      <c r="S34" s="194"/>
      <c r="T34" s="194"/>
      <c r="U34" s="194"/>
      <c r="V34" s="1403"/>
      <c r="W34" s="1404"/>
      <c r="X34" s="895"/>
      <c r="Y34" s="896"/>
      <c r="Z34" s="1405" t="s">
        <v>177</v>
      </c>
      <c r="AA34" s="1406"/>
      <c r="AB34" s="897"/>
      <c r="AC34" s="897"/>
      <c r="AD34" s="899" t="s">
        <v>177</v>
      </c>
      <c r="AE34" s="900"/>
      <c r="AF34" s="914"/>
      <c r="AG34" s="914"/>
      <c r="AH34" s="900"/>
      <c r="AI34" s="914"/>
      <c r="AJ34" s="918"/>
      <c r="AK34" s="913"/>
      <c r="AL34" s="900"/>
      <c r="AM34" s="914"/>
      <c r="AN34" s="918"/>
      <c r="AO34" s="913"/>
      <c r="AP34" s="900"/>
      <c r="AQ34" s="1407"/>
      <c r="AR34" s="1408"/>
      <c r="AS34" s="919"/>
      <c r="AT34" s="913"/>
      <c r="AU34" s="900"/>
      <c r="AV34" s="914"/>
      <c r="AW34" s="900"/>
      <c r="AX34" s="914"/>
      <c r="AY34" s="119"/>
    </row>
    <row r="35" spans="1:51" ht="12.75" customHeight="1">
      <c r="A35" s="123"/>
      <c r="B35" s="173" t="s">
        <v>175</v>
      </c>
      <c r="C35" s="199"/>
      <c r="D35" s="199"/>
      <c r="E35" s="199"/>
      <c r="F35" s="199"/>
      <c r="G35" s="199"/>
      <c r="H35" s="199"/>
      <c r="I35" s="199"/>
      <c r="J35" s="199"/>
      <c r="K35" s="200"/>
      <c r="L35" s="201"/>
      <c r="M35" s="201"/>
      <c r="N35" s="202"/>
      <c r="O35" s="202"/>
      <c r="P35" s="202"/>
      <c r="Q35" s="203"/>
      <c r="R35" s="203"/>
      <c r="S35" s="203"/>
      <c r="T35" s="203"/>
      <c r="U35" s="201"/>
      <c r="V35" s="204"/>
      <c r="W35" s="204"/>
      <c r="X35" s="118"/>
      <c r="Y35" s="119"/>
      <c r="Z35" s="119"/>
      <c r="AA35" s="119"/>
      <c r="AB35" s="119"/>
      <c r="AC35" s="119"/>
      <c r="AD35" s="119"/>
      <c r="AE35" s="119" t="s">
        <v>179</v>
      </c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205"/>
      <c r="AY35" s="119"/>
    </row>
    <row r="36" spans="1:51" ht="12.75" customHeight="1">
      <c r="A36" s="121" t="s">
        <v>93</v>
      </c>
      <c r="B36" s="121" t="s">
        <v>93</v>
      </c>
      <c r="E36" s="1332" t="s">
        <v>180</v>
      </c>
      <c r="F36" s="1332"/>
      <c r="G36" s="1332"/>
      <c r="H36" s="1332"/>
      <c r="I36" s="1332"/>
      <c r="J36" s="1332"/>
      <c r="K36" s="206"/>
      <c r="L36" s="206"/>
      <c r="M36" s="206"/>
      <c r="N36" s="120"/>
      <c r="O36" s="206"/>
      <c r="P36" s="206"/>
      <c r="Q36" s="206"/>
      <c r="R36" s="206"/>
      <c r="S36" s="206"/>
      <c r="T36" s="206"/>
      <c r="W36" s="121"/>
      <c r="X36" s="119"/>
      <c r="Y36" s="119"/>
      <c r="Z36" s="119"/>
      <c r="AA36" s="119"/>
      <c r="AB36" s="119"/>
      <c r="AC36" s="119"/>
      <c r="AD36" s="119"/>
      <c r="AE36" s="119"/>
      <c r="AF36" s="208" t="s">
        <v>181</v>
      </c>
      <c r="AG36" s="119"/>
      <c r="AH36" s="119"/>
      <c r="AI36" s="119"/>
      <c r="AJ36" s="119"/>
      <c r="AK36" s="1283" t="s">
        <v>291</v>
      </c>
      <c r="AL36" s="1283"/>
      <c r="AM36" s="1283"/>
      <c r="AN36" s="119"/>
      <c r="AO36" s="1281"/>
      <c r="AP36" s="1281"/>
      <c r="AQ36" s="1281"/>
      <c r="AR36" s="157"/>
      <c r="AS36" s="119"/>
      <c r="AT36" s="209" t="e">
        <f>GalRepVar_MOL</f>
        <v>#NAME?</v>
      </c>
      <c r="AU36" s="210" t="s">
        <v>33</v>
      </c>
      <c r="AV36" s="209"/>
      <c r="AW36" s="209"/>
      <c r="AX36" s="211"/>
      <c r="AY36" s="119"/>
    </row>
    <row r="37" spans="1:51" ht="12.75" customHeight="1">
      <c r="A37" s="119"/>
      <c r="B37" s="119"/>
      <c r="E37" s="119"/>
      <c r="F37" s="160"/>
      <c r="G37" s="160"/>
      <c r="H37" s="160"/>
      <c r="I37" s="160"/>
      <c r="J37" s="160"/>
      <c r="K37" s="1280" t="s">
        <v>80</v>
      </c>
      <c r="L37" s="1280"/>
      <c r="M37" s="1280"/>
      <c r="N37" s="160"/>
      <c r="O37" s="1280" t="s">
        <v>182</v>
      </c>
      <c r="P37" s="1280"/>
      <c r="Q37" s="1280"/>
      <c r="R37" s="1280"/>
      <c r="S37" s="1280"/>
      <c r="T37" s="1280"/>
      <c r="W37" s="121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280" t="s">
        <v>183</v>
      </c>
      <c r="AL37" s="1280"/>
      <c r="AM37" s="1280"/>
      <c r="AN37" s="212"/>
      <c r="AO37" s="1280" t="s">
        <v>80</v>
      </c>
      <c r="AP37" s="1280"/>
      <c r="AQ37" s="1280"/>
      <c r="AR37" s="159"/>
      <c r="AS37" s="212"/>
      <c r="AT37" s="1280" t="s">
        <v>182</v>
      </c>
      <c r="AU37" s="1280"/>
      <c r="AV37" s="1280"/>
      <c r="AW37" s="1280"/>
      <c r="AX37" s="1280"/>
      <c r="AY37" s="119"/>
    </row>
    <row r="38" spans="1:51" ht="12.75" customHeight="1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V38" s="160"/>
      <c r="W38" s="160"/>
      <c r="X38" s="119"/>
      <c r="Y38" s="119"/>
      <c r="Z38" s="119"/>
      <c r="AA38" s="119"/>
      <c r="AB38" s="119"/>
      <c r="AC38" s="119"/>
      <c r="AD38" s="119"/>
      <c r="AE38" s="119"/>
      <c r="AF38" s="121"/>
      <c r="AG38" s="121"/>
      <c r="AH38" s="121"/>
      <c r="AI38" s="121"/>
      <c r="AJ38" s="121"/>
      <c r="AK38" s="156"/>
      <c r="AL38" s="156"/>
      <c r="AM38" s="156"/>
      <c r="AN38" s="119"/>
      <c r="AO38" s="156"/>
      <c r="AP38" s="156"/>
      <c r="AQ38" s="156"/>
      <c r="AR38" s="157"/>
      <c r="AS38" s="119"/>
      <c r="AT38" s="156"/>
      <c r="AU38" s="156"/>
      <c r="AV38" s="156"/>
      <c r="AW38" s="156"/>
      <c r="AX38" s="211"/>
      <c r="AY38" s="119"/>
    </row>
    <row r="39" spans="1:51" ht="12.75" customHeight="1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AD39" s="119"/>
      <c r="AE39" s="119"/>
      <c r="AF39" s="119"/>
      <c r="AG39" s="119"/>
      <c r="AH39" s="119"/>
      <c r="AI39" s="119"/>
      <c r="AJ39" s="119"/>
      <c r="AK39" s="1282" t="s">
        <v>183</v>
      </c>
      <c r="AL39" s="1282"/>
      <c r="AM39" s="1282"/>
      <c r="AN39" s="213"/>
      <c r="AO39" s="1282" t="s">
        <v>80</v>
      </c>
      <c r="AP39" s="1282"/>
      <c r="AQ39" s="1282"/>
      <c r="AR39" s="214"/>
      <c r="AS39" s="213"/>
      <c r="AT39" s="332" t="s">
        <v>182</v>
      </c>
      <c r="AU39" s="332"/>
      <c r="AV39" s="332"/>
      <c r="AW39" s="332"/>
      <c r="AX39" s="332"/>
      <c r="AY39" s="119"/>
    </row>
    <row r="40" spans="1:51" ht="12.75" customHeight="1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AD40" s="119"/>
      <c r="AY40" s="119"/>
    </row>
    <row r="41" spans="1:51" ht="12.75" customHeight="1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  <c r="AA41" s="119"/>
      <c r="AB41" s="119"/>
      <c r="AC41" s="119"/>
      <c r="AD41" s="119"/>
      <c r="AY41" s="119"/>
    </row>
    <row r="42" spans="1:51" ht="12.75" customHeight="1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Y42" s="119"/>
    </row>
    <row r="43" spans="1:51" ht="12.75" customHeight="1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Y43" s="119"/>
    </row>
    <row r="44" spans="1:51" ht="12.75" customHeight="1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Y44" s="119"/>
    </row>
    <row r="45" spans="1:51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Y45" s="119"/>
    </row>
    <row r="46" spans="1:51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  <c r="AB46" s="119"/>
      <c r="AC46" s="119"/>
      <c r="AD46" s="119"/>
      <c r="AY46" s="119"/>
    </row>
    <row r="47" spans="1:51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Y47" s="119"/>
    </row>
    <row r="48" spans="1:51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  <c r="AA48" s="119"/>
      <c r="AB48" s="119"/>
      <c r="AC48" s="119"/>
      <c r="AD48" s="119"/>
      <c r="AY48" s="119"/>
    </row>
    <row r="49" spans="1:51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</row>
    <row r="50" spans="1:51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</row>
    <row r="75" spans="2:2">
      <c r="B75" t="s">
        <v>184</v>
      </c>
    </row>
    <row r="81" spans="2:2">
      <c r="B81" t="s">
        <v>184</v>
      </c>
    </row>
  </sheetData>
  <mergeCells count="85">
    <mergeCell ref="B9:AE9"/>
    <mergeCell ref="B10:AE10"/>
    <mergeCell ref="Y21:Z22"/>
    <mergeCell ref="AA14:AC14"/>
    <mergeCell ref="AA15:AC15"/>
    <mergeCell ref="Y20:Z20"/>
    <mergeCell ref="AA16:AC17"/>
    <mergeCell ref="V26:W26"/>
    <mergeCell ref="X15:Z15"/>
    <mergeCell ref="N21:W21"/>
    <mergeCell ref="B28:B30"/>
    <mergeCell ref="C28:J28"/>
    <mergeCell ref="C29:H30"/>
    <mergeCell ref="I29:J30"/>
    <mergeCell ref="C26:H26"/>
    <mergeCell ref="I26:J26"/>
    <mergeCell ref="L26:M26"/>
    <mergeCell ref="X30:Y30"/>
    <mergeCell ref="X16:Z17"/>
    <mergeCell ref="N29:Q29"/>
    <mergeCell ref="R29:U29"/>
    <mergeCell ref="K28:M30"/>
    <mergeCell ref="AP28:AX28"/>
    <mergeCell ref="N28:U28"/>
    <mergeCell ref="V28:AD28"/>
    <mergeCell ref="AN29:AO30"/>
    <mergeCell ref="Z30:AA30"/>
    <mergeCell ref="AJ30:AK30"/>
    <mergeCell ref="AE28:AK28"/>
    <mergeCell ref="AL28:AO28"/>
    <mergeCell ref="AQ30:AT30"/>
    <mergeCell ref="AW29:AX29"/>
    <mergeCell ref="V30:W30"/>
    <mergeCell ref="AP29:AT29"/>
    <mergeCell ref="AU29:AV29"/>
    <mergeCell ref="V29:AA29"/>
    <mergeCell ref="AB29:AD29"/>
    <mergeCell ref="AE29:AG29"/>
    <mergeCell ref="AA24:AC24"/>
    <mergeCell ref="AA18:AC19"/>
    <mergeCell ref="R24:Z24"/>
    <mergeCell ref="AA23:AC23"/>
    <mergeCell ref="B16:W16"/>
    <mergeCell ref="H18:S18"/>
    <mergeCell ref="U18:Z19"/>
    <mergeCell ref="N20:W20"/>
    <mergeCell ref="U23:Z23"/>
    <mergeCell ref="AA21:AC22"/>
    <mergeCell ref="AA20:AC20"/>
    <mergeCell ref="AT37:AX37"/>
    <mergeCell ref="AO37:AQ37"/>
    <mergeCell ref="AO36:AQ36"/>
    <mergeCell ref="K37:M37"/>
    <mergeCell ref="AK37:AM37"/>
    <mergeCell ref="O37:T37"/>
    <mergeCell ref="V32:W32"/>
    <mergeCell ref="Z32:AA32"/>
    <mergeCell ref="V33:W33"/>
    <mergeCell ref="I32:J32"/>
    <mergeCell ref="K32:M32"/>
    <mergeCell ref="AO39:AQ39"/>
    <mergeCell ref="AK39:AM39"/>
    <mergeCell ref="E36:J36"/>
    <mergeCell ref="AK36:AM36"/>
    <mergeCell ref="Z33:AA33"/>
    <mergeCell ref="V34:W34"/>
    <mergeCell ref="Z34:AA34"/>
    <mergeCell ref="AQ33:AR33"/>
    <mergeCell ref="AQ34:AR34"/>
    <mergeCell ref="AJ32:AK32"/>
    <mergeCell ref="AQ32:AR32"/>
    <mergeCell ref="C31:H31"/>
    <mergeCell ref="AQ31:AT31"/>
    <mergeCell ref="AH29:AK29"/>
    <mergeCell ref="AL29:AL30"/>
    <mergeCell ref="AM29:AM30"/>
    <mergeCell ref="I31:J31"/>
    <mergeCell ref="K31:M31"/>
    <mergeCell ref="AN31:AO31"/>
    <mergeCell ref="V31:W31"/>
    <mergeCell ref="X31:Y31"/>
    <mergeCell ref="Z31:AA31"/>
    <mergeCell ref="AJ31:AK31"/>
    <mergeCell ref="X32:Y32"/>
    <mergeCell ref="C32:H32"/>
  </mergeCells>
  <phoneticPr fontId="0" type="noConversion"/>
  <pageMargins left="0.5" right="0.35" top="0.59055118110236227" bottom="0.35433070866141736" header="0" footer="0"/>
  <pageSetup paperSize="9" orientation="landscape" r:id="rId1"/>
  <headerFooter alignWithMargins="0"/>
  <rowBreaks count="1" manualBreakCount="1">
    <brk id="25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5"/>
  <dimension ref="A1:AU81"/>
  <sheetViews>
    <sheetView view="pageBreakPreview" topLeftCell="A25" zoomScaleNormal="100" workbookViewId="0">
      <selection activeCell="AH51" sqref="AH51"/>
    </sheetView>
  </sheetViews>
  <sheetFormatPr defaultRowHeight="12.75"/>
  <cols>
    <col min="1" max="1" width="0.140625" customWidth="1"/>
    <col min="2" max="2" width="4.7109375" customWidth="1"/>
    <col min="3" max="3" width="5.42578125" customWidth="1"/>
    <col min="4" max="4" width="16.5703125" customWidth="1"/>
    <col min="5" max="7" width="0.7109375" customWidth="1"/>
    <col min="8" max="8" width="3" customWidth="1"/>
    <col min="9" max="9" width="4.42578125" customWidth="1"/>
    <col min="10" max="10" width="5.85546875" customWidth="1"/>
    <col min="11" max="11" width="4.85546875" customWidth="1"/>
    <col min="12" max="12" width="1.85546875" customWidth="1"/>
    <col min="13" max="13" width="2.140625" customWidth="1"/>
    <col min="14" max="14" width="9.140625" customWidth="1"/>
    <col min="15" max="15" width="9.28515625" customWidth="1"/>
    <col min="16" max="16" width="9.140625" customWidth="1"/>
    <col min="17" max="17" width="9.42578125" customWidth="1"/>
    <col min="18" max="18" width="6.5703125" customWidth="1"/>
    <col min="19" max="19" width="1.7109375" customWidth="1"/>
    <col min="20" max="20" width="4.42578125" customWidth="1"/>
    <col min="21" max="21" width="3.85546875" customWidth="1"/>
    <col min="22" max="22" width="8.140625" customWidth="1"/>
    <col min="23" max="23" width="2.28515625" customWidth="1"/>
    <col min="24" max="25" width="7.7109375" customWidth="1"/>
    <col min="26" max="26" width="10.5703125" customWidth="1"/>
    <col min="27" max="27" width="12.140625" customWidth="1"/>
    <col min="28" max="28" width="13.42578125" customWidth="1"/>
    <col min="29" max="29" width="11.42578125" customWidth="1"/>
    <col min="30" max="30" width="11.140625" customWidth="1"/>
    <col min="31" max="31" width="11.7109375" customWidth="1"/>
    <col min="32" max="32" width="4.85546875" customWidth="1"/>
    <col min="33" max="33" width="7.42578125" customWidth="1"/>
    <col min="34" max="34" width="12.28515625" customWidth="1"/>
    <col min="35" max="35" width="2.5703125" customWidth="1"/>
    <col min="36" max="36" width="12.7109375" customWidth="1"/>
    <col min="37" max="37" width="2.42578125" customWidth="1"/>
    <col min="38" max="38" width="11.5703125" customWidth="1"/>
    <col min="39" max="39" width="12.28515625" customWidth="1"/>
    <col min="40" max="40" width="7.42578125" customWidth="1"/>
    <col min="41" max="41" width="6.140625" customWidth="1"/>
    <col min="42" max="42" width="0.85546875" hidden="1" customWidth="1"/>
    <col min="43" max="43" width="4.85546875" customWidth="1"/>
    <col min="44" max="45" width="9.140625" customWidth="1"/>
    <col min="46" max="46" width="0.42578125" customWidth="1"/>
    <col min="47" max="47" width="9.140625" hidden="1" customWidth="1"/>
  </cols>
  <sheetData>
    <row r="1" spans="1:43">
      <c r="B1" s="324" t="s">
        <v>30</v>
      </c>
    </row>
    <row r="2" spans="1:43" s="4" customFormat="1" ht="12.2" customHeight="1">
      <c r="A2" s="322" t="s">
        <v>29</v>
      </c>
      <c r="C2" s="322"/>
      <c r="D2" s="323"/>
      <c r="E2" s="323"/>
      <c r="F2" s="323"/>
      <c r="G2" s="323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0" t="s">
        <v>245</v>
      </c>
      <c r="AA2" s="321"/>
      <c r="AB2" s="321"/>
      <c r="AC2" s="321"/>
      <c r="AD2" s="321"/>
      <c r="AE2" s="321"/>
      <c r="AF2" s="321"/>
      <c r="AG2" s="321"/>
      <c r="AH2" s="321"/>
      <c r="AI2" s="321"/>
      <c r="AJ2" s="321"/>
      <c r="AK2" s="321"/>
      <c r="AL2" s="321"/>
      <c r="AM2" s="321"/>
      <c r="AN2" s="321"/>
      <c r="AO2" s="321"/>
      <c r="AP2" s="321"/>
      <c r="AQ2" s="321"/>
    </row>
    <row r="3" spans="1:43" ht="12.2" customHeight="1">
      <c r="A3" s="120"/>
      <c r="B3" s="4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1"/>
      <c r="T3" s="119"/>
      <c r="U3" s="119"/>
      <c r="V3" s="120"/>
      <c r="W3" s="120"/>
      <c r="X3" s="120"/>
      <c r="Y3" s="120"/>
      <c r="Z3" s="320" t="s">
        <v>246</v>
      </c>
      <c r="AA3" s="120"/>
      <c r="AB3" s="119"/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</row>
    <row r="4" spans="1:43" ht="12.2" customHeight="1">
      <c r="A4" s="120"/>
      <c r="B4" s="4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1"/>
      <c r="T4" s="119"/>
      <c r="U4" s="119"/>
      <c r="V4" s="120"/>
      <c r="W4" s="120"/>
      <c r="X4" s="120"/>
      <c r="Y4" s="120"/>
      <c r="Z4" s="320" t="s">
        <v>222</v>
      </c>
      <c r="AA4" s="120"/>
      <c r="AB4" s="119"/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</row>
    <row r="5" spans="1:43" ht="12.2" customHeight="1">
      <c r="A5" s="120"/>
      <c r="B5" s="4"/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1"/>
      <c r="T5" s="119"/>
      <c r="U5" s="119"/>
      <c r="V5" s="120"/>
      <c r="W5" s="120"/>
      <c r="X5" s="120"/>
      <c r="Y5" s="120"/>
      <c r="Z5" s="320" t="s">
        <v>247</v>
      </c>
      <c r="AA5" s="120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</row>
    <row r="6" spans="1:43" ht="12.2" customHeight="1">
      <c r="A6" s="120"/>
      <c r="B6" s="4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1"/>
      <c r="T6" s="119"/>
      <c r="U6" s="119"/>
      <c r="V6" s="120"/>
      <c r="W6" s="120"/>
      <c r="X6" s="120"/>
      <c r="Y6" s="120"/>
      <c r="Z6" s="320"/>
      <c r="AA6" s="120"/>
      <c r="AB6" s="119"/>
      <c r="AC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</row>
    <row r="7" spans="1:43" ht="12.2" customHeight="1">
      <c r="A7" s="120"/>
      <c r="B7" s="4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  <c r="S7" s="121"/>
      <c r="T7" s="119"/>
      <c r="U7" s="119"/>
      <c r="V7" s="120"/>
      <c r="W7" s="120"/>
      <c r="X7" s="120"/>
      <c r="Y7" s="120"/>
      <c r="Z7" s="320"/>
      <c r="AA7" s="120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</row>
    <row r="8" spans="1:43" ht="27" customHeight="1">
      <c r="A8" s="120"/>
      <c r="B8" s="4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120"/>
      <c r="T8" s="119"/>
      <c r="U8" s="119"/>
      <c r="V8" s="120"/>
      <c r="W8" s="120"/>
      <c r="X8" s="120"/>
      <c r="Y8" s="120"/>
      <c r="Z8" s="320"/>
      <c r="AA8" s="120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</row>
    <row r="9" spans="1:43" ht="14.25" customHeight="1">
      <c r="A9" s="120"/>
      <c r="B9" s="1344" t="s">
        <v>141</v>
      </c>
      <c r="C9" s="1344"/>
      <c r="D9" s="1344"/>
      <c r="E9" s="1344"/>
      <c r="F9" s="1344"/>
      <c r="G9" s="1344"/>
      <c r="H9" s="1344"/>
      <c r="I9" s="1344"/>
      <c r="J9" s="1344"/>
      <c r="K9" s="1344"/>
      <c r="L9" s="1344"/>
      <c r="M9" s="1344"/>
      <c r="N9" s="1344"/>
      <c r="O9" s="1344"/>
      <c r="P9" s="1344"/>
      <c r="Q9" s="1344"/>
      <c r="R9" s="1344"/>
      <c r="S9" s="1344"/>
      <c r="T9" s="1344"/>
      <c r="U9" s="1344"/>
      <c r="V9" s="1344"/>
      <c r="W9" s="1344"/>
      <c r="X9" s="1344"/>
      <c r="Y9" s="1344"/>
      <c r="Z9" s="1344"/>
      <c r="AA9" s="4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</row>
    <row r="10" spans="1:43" ht="14.25" customHeight="1">
      <c r="A10" s="120"/>
      <c r="B10" s="1351" t="s">
        <v>256</v>
      </c>
      <c r="C10" s="1351"/>
      <c r="D10" s="1351"/>
      <c r="E10" s="1351"/>
      <c r="F10" s="1351"/>
      <c r="G10" s="1351"/>
      <c r="H10" s="1351"/>
      <c r="I10" s="1351"/>
      <c r="J10" s="1351"/>
      <c r="K10" s="1351"/>
      <c r="L10" s="1351"/>
      <c r="M10" s="1351"/>
      <c r="N10" s="1351"/>
      <c r="O10" s="1351"/>
      <c r="P10" s="1351"/>
      <c r="Q10" s="1351"/>
      <c r="R10" s="1351"/>
      <c r="S10" s="1351"/>
      <c r="T10" s="1351"/>
      <c r="U10" s="1351"/>
      <c r="V10" s="1351"/>
      <c r="W10" s="1351"/>
      <c r="X10" s="1351"/>
      <c r="Y10" s="1351"/>
      <c r="Z10" s="1351"/>
      <c r="AA10" s="420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</row>
    <row r="11" spans="1:43" ht="14.25" customHeight="1">
      <c r="A11" s="120"/>
      <c r="C11" s="420"/>
      <c r="D11" s="420"/>
      <c r="E11" s="420"/>
      <c r="F11" s="420"/>
      <c r="G11" s="420"/>
      <c r="H11" s="420"/>
      <c r="I11" s="420"/>
      <c r="J11" s="420"/>
      <c r="K11" s="420"/>
      <c r="L11" s="420"/>
      <c r="M11" s="420"/>
      <c r="N11" s="421" t="s">
        <v>333</v>
      </c>
      <c r="O11" s="427" t="s">
        <v>293</v>
      </c>
      <c r="P11" s="420"/>
      <c r="Q11" s="420"/>
      <c r="R11" s="420"/>
      <c r="S11" s="420"/>
      <c r="T11" s="420"/>
      <c r="U11" s="420"/>
      <c r="V11" s="420"/>
      <c r="W11" s="420"/>
      <c r="X11" s="420"/>
      <c r="Y11" s="420"/>
      <c r="Z11" s="420"/>
      <c r="AA11" s="420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</row>
    <row r="12" spans="1:43" ht="14.25" customHeight="1">
      <c r="A12" s="120"/>
      <c r="B12" s="4"/>
      <c r="C12" s="120"/>
      <c r="D12" s="120"/>
      <c r="E12" s="120"/>
      <c r="F12" s="120"/>
      <c r="G12" s="120"/>
      <c r="H12" s="152"/>
      <c r="I12" s="152"/>
      <c r="J12" s="152"/>
      <c r="K12" s="152"/>
      <c r="L12" s="152"/>
      <c r="M12" s="152"/>
      <c r="T12" s="152"/>
      <c r="U12" s="119"/>
      <c r="V12" s="120"/>
      <c r="W12" s="120"/>
      <c r="X12" s="120"/>
      <c r="Y12" s="120"/>
      <c r="Z12" s="320"/>
      <c r="AA12" s="120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</row>
    <row r="13" spans="1:43" ht="21.75" customHeight="1">
      <c r="A13" s="123"/>
      <c r="B13" s="123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Z13" s="124"/>
      <c r="AA13" s="120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</row>
    <row r="14" spans="1:43" ht="15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V14" s="115" t="s">
        <v>250</v>
      </c>
      <c r="W14" s="1443" t="s">
        <v>218</v>
      </c>
      <c r="X14" s="1443"/>
      <c r="Y14" s="1443"/>
      <c r="Z14" s="126"/>
      <c r="AA14" s="120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</row>
    <row r="15" spans="1:43" ht="15">
      <c r="B15" s="110" t="s">
        <v>35</v>
      </c>
      <c r="C15" s="110"/>
      <c r="D15" s="110"/>
      <c r="E15" s="110"/>
      <c r="F15" s="110"/>
      <c r="G15" s="110"/>
      <c r="Q15" s="9"/>
      <c r="R15" s="325"/>
      <c r="S15" s="325"/>
      <c r="T15" s="1333" t="s">
        <v>249</v>
      </c>
      <c r="U15" s="1333"/>
      <c r="V15" s="1333"/>
      <c r="W15" s="1411" t="s">
        <v>248</v>
      </c>
      <c r="X15" s="1337"/>
      <c r="Y15" s="1412"/>
      <c r="Z15" s="126"/>
      <c r="AA15" s="120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</row>
    <row r="16" spans="1:43" ht="9.75" customHeight="1">
      <c r="A16" s="123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1" t="s">
        <v>58</v>
      </c>
      <c r="O16" s="132"/>
      <c r="P16" s="132"/>
      <c r="Q16" s="123"/>
      <c r="R16" s="123"/>
      <c r="S16" s="123"/>
      <c r="T16" s="1435" t="s">
        <v>226</v>
      </c>
      <c r="U16" s="1435"/>
      <c r="V16" s="1435"/>
      <c r="W16" s="1357" t="s">
        <v>34</v>
      </c>
      <c r="X16" s="1358"/>
      <c r="Y16" s="1413"/>
      <c r="Z16" s="133"/>
      <c r="AA16" s="120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</row>
    <row r="17" spans="1:43" ht="11.25" customHeight="1">
      <c r="A17" s="134"/>
      <c r="B17" s="110" t="s">
        <v>32</v>
      </c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4"/>
      <c r="O17" s="134"/>
      <c r="P17" s="134"/>
      <c r="Q17" s="134"/>
      <c r="R17" s="134"/>
      <c r="S17" s="134"/>
      <c r="T17" s="1435"/>
      <c r="U17" s="1435"/>
      <c r="V17" s="1435"/>
      <c r="W17" s="1360"/>
      <c r="X17" s="1361"/>
      <c r="Y17" s="1414"/>
      <c r="Z17" s="133"/>
      <c r="AA17" s="120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</row>
    <row r="18" spans="1:43" ht="9.75" customHeight="1">
      <c r="A18" s="123"/>
      <c r="B18" s="137"/>
      <c r="C18" s="137"/>
      <c r="D18" s="137"/>
      <c r="E18" s="137"/>
      <c r="F18" s="137"/>
      <c r="G18" s="137"/>
      <c r="H18" s="1280" t="s">
        <v>59</v>
      </c>
      <c r="I18" s="1280"/>
      <c r="J18" s="1280"/>
      <c r="K18" s="1280"/>
      <c r="L18" s="1280"/>
      <c r="M18" s="1280"/>
      <c r="N18" s="1280"/>
      <c r="O18" s="1280"/>
      <c r="P18" s="1280"/>
      <c r="Q18" s="1368" t="s">
        <v>60</v>
      </c>
      <c r="R18" s="1368"/>
      <c r="S18" s="1368"/>
      <c r="T18" s="1333"/>
      <c r="U18" s="1333"/>
      <c r="V18" s="1333"/>
      <c r="W18" s="1357"/>
      <c r="X18" s="1358"/>
      <c r="Y18" s="1413"/>
      <c r="Z18" s="133"/>
      <c r="AA18" s="120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</row>
    <row r="19" spans="1:43" ht="6" customHeight="1">
      <c r="A19" s="142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369"/>
      <c r="R19" s="1369"/>
      <c r="S19" s="1369"/>
      <c r="T19" s="1369"/>
      <c r="U19" s="1369"/>
      <c r="V19" s="1369"/>
      <c r="W19" s="1360"/>
      <c r="X19" s="1361"/>
      <c r="Y19" s="1414"/>
      <c r="Z19" s="133"/>
      <c r="AA19" s="120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</row>
    <row r="20" spans="1:43" ht="15">
      <c r="A20" s="123"/>
      <c r="C20" s="119"/>
      <c r="D20" s="123"/>
      <c r="E20" s="123"/>
      <c r="F20" s="123"/>
      <c r="G20" s="123"/>
      <c r="H20" s="123"/>
      <c r="I20" s="123"/>
      <c r="J20" s="125" t="s">
        <v>61</v>
      </c>
      <c r="K20" s="1417" t="s">
        <v>139</v>
      </c>
      <c r="L20" s="1417"/>
      <c r="M20" s="1417"/>
      <c r="N20" s="1417"/>
      <c r="O20" s="1417"/>
      <c r="P20" s="1417"/>
      <c r="Q20" s="1417"/>
      <c r="R20" s="1417"/>
      <c r="S20" s="1417"/>
      <c r="T20" s="1449"/>
      <c r="U20" s="1353" t="s">
        <v>4</v>
      </c>
      <c r="V20" s="1354"/>
      <c r="W20" s="1411" t="s">
        <v>331</v>
      </c>
      <c r="X20" s="1337"/>
      <c r="Y20" s="1412"/>
      <c r="Z20" s="133"/>
      <c r="AA20" s="120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</row>
    <row r="21" spans="1:43" ht="10.5" customHeight="1">
      <c r="A21" s="123"/>
      <c r="B21" s="123"/>
      <c r="C21" s="123"/>
      <c r="D21" s="123"/>
      <c r="E21" s="123"/>
      <c r="F21" s="123"/>
      <c r="G21" s="123"/>
      <c r="H21" s="123"/>
      <c r="I21" s="123"/>
      <c r="J21" s="123"/>
      <c r="K21" s="1280" t="s">
        <v>253</v>
      </c>
      <c r="L21" s="1280"/>
      <c r="M21" s="1280"/>
      <c r="N21" s="1280"/>
      <c r="O21" s="1280"/>
      <c r="P21" s="1280"/>
      <c r="Q21" s="1280"/>
      <c r="R21" s="1280"/>
      <c r="S21" s="1280"/>
      <c r="T21" s="1450"/>
      <c r="U21" s="1440" t="s">
        <v>64</v>
      </c>
      <c r="V21" s="1441"/>
      <c r="W21" s="1357" t="s">
        <v>332</v>
      </c>
      <c r="X21" s="1358"/>
      <c r="Y21" s="1413"/>
      <c r="Z21" s="126"/>
      <c r="AA21" s="120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</row>
    <row r="22" spans="1:43" ht="6.75" customHeight="1">
      <c r="A22" s="123"/>
      <c r="B22" s="123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46"/>
      <c r="O22" s="146"/>
      <c r="P22" s="146"/>
      <c r="Q22" s="146"/>
      <c r="R22" s="146"/>
      <c r="S22" s="146"/>
      <c r="T22" s="146"/>
      <c r="U22" s="1442"/>
      <c r="V22" s="1352"/>
      <c r="W22" s="1360"/>
      <c r="X22" s="1361"/>
      <c r="Y22" s="1414"/>
      <c r="Z22" s="126"/>
      <c r="AA22" s="120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</row>
    <row r="23" spans="1:43" ht="15">
      <c r="A23" s="123"/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46"/>
      <c r="O23" s="146"/>
      <c r="P23" s="146"/>
      <c r="Q23" s="1333" t="s">
        <v>65</v>
      </c>
      <c r="R23" s="1333"/>
      <c r="S23" s="1333"/>
      <c r="T23" s="1333"/>
      <c r="U23" s="1333"/>
      <c r="V23" s="1333"/>
      <c r="W23" s="1415" t="s">
        <v>31</v>
      </c>
      <c r="X23" s="1334"/>
      <c r="Y23" s="1416"/>
      <c r="Z23" s="133"/>
      <c r="AA23" s="120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</row>
    <row r="24" spans="1:43" ht="15">
      <c r="A24" s="123"/>
      <c r="B24" s="123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46"/>
      <c r="O24" s="146"/>
      <c r="P24" s="1333" t="s">
        <v>66</v>
      </c>
      <c r="Q24" s="1333"/>
      <c r="R24" s="1333"/>
      <c r="S24" s="1333"/>
      <c r="T24" s="1333"/>
      <c r="U24" s="1333"/>
      <c r="V24" s="1333"/>
      <c r="W24" s="1411" t="s">
        <v>330</v>
      </c>
      <c r="X24" s="1337"/>
      <c r="Y24" s="1412"/>
      <c r="Z24" s="133"/>
      <c r="AA24" s="120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</row>
    <row r="25" spans="1:43" ht="33" customHeight="1">
      <c r="A25" s="120"/>
      <c r="B25" s="123"/>
      <c r="C25" s="123"/>
      <c r="D25" s="120"/>
      <c r="E25" s="120"/>
      <c r="F25" s="120"/>
      <c r="G25" s="120"/>
      <c r="U25" s="152"/>
      <c r="V25" s="152"/>
      <c r="W25" s="120"/>
      <c r="X25" s="120"/>
      <c r="Y25" s="120"/>
      <c r="Z25" s="120"/>
      <c r="AA25" s="120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</row>
    <row r="26" spans="1:43">
      <c r="A26" s="121"/>
      <c r="B26" s="121"/>
      <c r="C26" s="1331"/>
      <c r="D26" s="1331"/>
      <c r="E26" s="1331"/>
      <c r="F26" s="1331"/>
      <c r="G26" s="1331"/>
      <c r="H26" s="1331"/>
      <c r="I26" s="1331"/>
      <c r="J26" s="1331"/>
      <c r="K26" s="121"/>
      <c r="L26" s="1331"/>
      <c r="M26" s="1331"/>
      <c r="N26" s="119"/>
      <c r="O26" s="119"/>
      <c r="P26" s="119"/>
      <c r="Q26" s="119"/>
      <c r="R26" s="1332"/>
      <c r="S26" s="1332"/>
      <c r="U26" s="125"/>
      <c r="V26" s="125"/>
      <c r="W26" s="125"/>
      <c r="X26" s="125"/>
      <c r="Y26" s="125"/>
      <c r="Z26" s="125" t="s">
        <v>254</v>
      </c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25" t="s">
        <v>255</v>
      </c>
      <c r="AP26" s="119"/>
      <c r="AQ26" s="119"/>
    </row>
    <row r="27" spans="1:43" ht="3.2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</row>
    <row r="28" spans="1:43" ht="20.25" customHeight="1">
      <c r="A28" s="119"/>
      <c r="B28" s="1395" t="s">
        <v>606</v>
      </c>
      <c r="C28" s="1419" t="s">
        <v>228</v>
      </c>
      <c r="D28" s="1419"/>
      <c r="E28" s="1419"/>
      <c r="F28" s="1419"/>
      <c r="G28" s="1419"/>
      <c r="H28" s="1419"/>
      <c r="I28" s="1418"/>
      <c r="J28" s="1418"/>
      <c r="K28" s="1420" t="s">
        <v>153</v>
      </c>
      <c r="L28" s="1429"/>
      <c r="M28" s="1421"/>
      <c r="N28" s="1418" t="s">
        <v>154</v>
      </c>
      <c r="O28" s="1418"/>
      <c r="P28" s="1418"/>
      <c r="Q28" s="1418"/>
      <c r="R28" s="1419" t="s">
        <v>155</v>
      </c>
      <c r="S28" s="1419"/>
      <c r="T28" s="1419"/>
      <c r="U28" s="1419"/>
      <c r="V28" s="1419"/>
      <c r="W28" s="1419"/>
      <c r="X28" s="1419"/>
      <c r="Y28" s="1419"/>
      <c r="Z28" s="1419"/>
      <c r="AA28" s="1392" t="s">
        <v>156</v>
      </c>
      <c r="AB28" s="1393"/>
      <c r="AC28" s="1393"/>
      <c r="AD28" s="1393"/>
      <c r="AE28" s="1394"/>
      <c r="AF28" s="1420" t="s">
        <v>604</v>
      </c>
      <c r="AG28" s="1421"/>
      <c r="AH28" s="1392" t="s">
        <v>157</v>
      </c>
      <c r="AI28" s="1393"/>
      <c r="AJ28" s="1393"/>
      <c r="AK28" s="1393"/>
      <c r="AL28" s="1394"/>
      <c r="AM28" s="1392" t="s">
        <v>257</v>
      </c>
      <c r="AN28" s="1393"/>
      <c r="AO28" s="1394"/>
      <c r="AP28" s="831"/>
      <c r="AQ28" s="832"/>
    </row>
    <row r="29" spans="1:43" ht="22.7" customHeight="1">
      <c r="A29" s="119"/>
      <c r="B29" s="1396"/>
      <c r="C29" s="1434" t="s">
        <v>251</v>
      </c>
      <c r="D29" s="1434"/>
      <c r="E29" s="1426"/>
      <c r="F29" s="1426"/>
      <c r="G29" s="1426"/>
      <c r="H29" s="1426"/>
      <c r="I29" s="1434" t="s">
        <v>252</v>
      </c>
      <c r="J29" s="1434"/>
      <c r="K29" s="1422"/>
      <c r="L29" s="1436"/>
      <c r="M29" s="1423"/>
      <c r="N29" s="1419" t="s">
        <v>163</v>
      </c>
      <c r="O29" s="1419"/>
      <c r="P29" s="1419" t="s">
        <v>164</v>
      </c>
      <c r="Q29" s="1419"/>
      <c r="R29" s="1394" t="s">
        <v>163</v>
      </c>
      <c r="S29" s="1419"/>
      <c r="T29" s="1419"/>
      <c r="U29" s="1419"/>
      <c r="V29" s="1419"/>
      <c r="W29" s="1419"/>
      <c r="X29" s="1419" t="s">
        <v>164</v>
      </c>
      <c r="Y29" s="1419"/>
      <c r="Z29" s="1419"/>
      <c r="AA29" s="1426" t="s">
        <v>165</v>
      </c>
      <c r="AB29" s="1427"/>
      <c r="AC29" s="1428"/>
      <c r="AD29" s="1426" t="s">
        <v>166</v>
      </c>
      <c r="AE29" s="1428"/>
      <c r="AF29" s="1422"/>
      <c r="AG29" s="1423"/>
      <c r="AH29" s="1395" t="s">
        <v>167</v>
      </c>
      <c r="AI29" s="1420" t="s">
        <v>605</v>
      </c>
      <c r="AJ29" s="1421"/>
      <c r="AK29" s="1420" t="s">
        <v>169</v>
      </c>
      <c r="AL29" s="1421"/>
      <c r="AM29" s="1395" t="s">
        <v>167</v>
      </c>
      <c r="AN29" s="1420" t="s">
        <v>605</v>
      </c>
      <c r="AO29" s="1421"/>
      <c r="AP29" s="833"/>
      <c r="AQ29" s="834"/>
    </row>
    <row r="30" spans="1:43" ht="36.75" customHeight="1">
      <c r="A30" s="119"/>
      <c r="B30" s="1433"/>
      <c r="C30" s="1395"/>
      <c r="D30" s="1395"/>
      <c r="E30" s="1420"/>
      <c r="F30" s="1420"/>
      <c r="G30" s="1420"/>
      <c r="H30" s="1420"/>
      <c r="I30" s="1395"/>
      <c r="J30" s="1395"/>
      <c r="K30" s="1437"/>
      <c r="L30" s="1438"/>
      <c r="M30" s="1439"/>
      <c r="N30" s="327" t="s">
        <v>170</v>
      </c>
      <c r="O30" s="327" t="s">
        <v>605</v>
      </c>
      <c r="P30" s="327" t="s">
        <v>170</v>
      </c>
      <c r="Q30" s="327" t="s">
        <v>605</v>
      </c>
      <c r="R30" s="1421" t="s">
        <v>170</v>
      </c>
      <c r="S30" s="1395"/>
      <c r="T30" s="1395" t="s">
        <v>605</v>
      </c>
      <c r="U30" s="1395"/>
      <c r="V30" s="1395" t="s">
        <v>608</v>
      </c>
      <c r="W30" s="1395"/>
      <c r="X30" s="327" t="s">
        <v>170</v>
      </c>
      <c r="Y30" s="327" t="s">
        <v>605</v>
      </c>
      <c r="Z30" s="327" t="s">
        <v>608</v>
      </c>
      <c r="AA30" s="327" t="s">
        <v>170</v>
      </c>
      <c r="AB30" s="327" t="s">
        <v>605</v>
      </c>
      <c r="AC30" s="327" t="s">
        <v>607</v>
      </c>
      <c r="AD30" s="327" t="s">
        <v>170</v>
      </c>
      <c r="AE30" s="327" t="s">
        <v>605</v>
      </c>
      <c r="AF30" s="1437"/>
      <c r="AG30" s="1439"/>
      <c r="AH30" s="1396"/>
      <c r="AI30" s="1437"/>
      <c r="AJ30" s="1439"/>
      <c r="AK30" s="1422"/>
      <c r="AL30" s="1423"/>
      <c r="AM30" s="1433"/>
      <c r="AN30" s="1437"/>
      <c r="AO30" s="1439"/>
      <c r="AP30" s="835"/>
      <c r="AQ30" s="837"/>
    </row>
    <row r="31" spans="1:43" s="252" customFormat="1">
      <c r="A31" s="119"/>
      <c r="B31" s="328">
        <v>1</v>
      </c>
      <c r="C31" s="1391">
        <v>2</v>
      </c>
      <c r="D31" s="1391"/>
      <c r="E31" s="1391"/>
      <c r="F31" s="1391"/>
      <c r="G31" s="1391"/>
      <c r="H31" s="1391"/>
      <c r="I31" s="1391">
        <v>3</v>
      </c>
      <c r="J31" s="1391"/>
      <c r="K31" s="1284">
        <v>4</v>
      </c>
      <c r="L31" s="1384"/>
      <c r="M31" s="1285"/>
      <c r="N31" s="329">
        <v>5</v>
      </c>
      <c r="O31" s="328">
        <v>6</v>
      </c>
      <c r="P31" s="330">
        <v>7</v>
      </c>
      <c r="Q31" s="328">
        <v>8</v>
      </c>
      <c r="R31" s="1343">
        <v>9</v>
      </c>
      <c r="S31" s="1391"/>
      <c r="T31" s="1391">
        <v>10</v>
      </c>
      <c r="U31" s="1391"/>
      <c r="V31" s="1391">
        <v>11</v>
      </c>
      <c r="W31" s="1391"/>
      <c r="X31" s="328">
        <v>12</v>
      </c>
      <c r="Y31" s="328">
        <v>13</v>
      </c>
      <c r="Z31" s="328">
        <v>14</v>
      </c>
      <c r="AA31" s="172">
        <v>15</v>
      </c>
      <c r="AB31" s="172">
        <v>16</v>
      </c>
      <c r="AC31" s="172">
        <v>17</v>
      </c>
      <c r="AD31" s="172">
        <v>18</v>
      </c>
      <c r="AE31" s="172">
        <v>19</v>
      </c>
      <c r="AF31" s="1284">
        <v>20</v>
      </c>
      <c r="AG31" s="1285"/>
      <c r="AH31" s="172">
        <v>21</v>
      </c>
      <c r="AI31" s="1284">
        <v>22</v>
      </c>
      <c r="AJ31" s="1285"/>
      <c r="AK31" s="1284">
        <v>23</v>
      </c>
      <c r="AL31" s="1285"/>
      <c r="AM31" s="172">
        <v>24</v>
      </c>
      <c r="AN31" s="1284">
        <v>25</v>
      </c>
      <c r="AO31" s="1285"/>
      <c r="AP31" s="836"/>
      <c r="AQ31" s="838"/>
    </row>
    <row r="32" spans="1:43" s="4" customFormat="1">
      <c r="A32" s="321"/>
      <c r="B32" s="88" t="s">
        <v>4</v>
      </c>
      <c r="C32" s="1398" t="s">
        <v>6</v>
      </c>
      <c r="D32" s="1399"/>
      <c r="E32" s="1399"/>
      <c r="F32" s="1399"/>
      <c r="G32" s="1399"/>
      <c r="H32" s="1400"/>
      <c r="I32" s="1398" t="s">
        <v>7</v>
      </c>
      <c r="J32" s="1400"/>
      <c r="K32" s="1398" t="s">
        <v>8</v>
      </c>
      <c r="L32" s="1399"/>
      <c r="M32" s="1400"/>
      <c r="N32" s="91" t="s">
        <v>10</v>
      </c>
      <c r="O32" s="91" t="s">
        <v>11</v>
      </c>
      <c r="P32" s="91" t="s">
        <v>12</v>
      </c>
      <c r="Q32" s="91" t="s">
        <v>13</v>
      </c>
      <c r="R32" s="1445"/>
      <c r="S32" s="1446"/>
      <c r="T32" s="1445"/>
      <c r="U32" s="1446"/>
      <c r="V32" s="1445"/>
      <c r="W32" s="1446"/>
      <c r="X32" s="318"/>
      <c r="Y32" s="318"/>
      <c r="Z32" s="318"/>
      <c r="AA32" s="882" t="s">
        <v>635</v>
      </c>
      <c r="AB32" s="883" t="s">
        <v>636</v>
      </c>
      <c r="AC32" s="884" t="s">
        <v>637</v>
      </c>
      <c r="AD32" s="882" t="s">
        <v>638</v>
      </c>
      <c r="AE32" s="883" t="s">
        <v>639</v>
      </c>
      <c r="AF32" s="1387" t="s">
        <v>640</v>
      </c>
      <c r="AG32" s="1388"/>
      <c r="AH32" s="882" t="e">
        <f>IF(N32-AA32=0,"",N32-AA32)</f>
        <v>#VALUE!</v>
      </c>
      <c r="AI32" s="1389" t="e">
        <f>IF(O32-AB32=0,"",O32-AB32)</f>
        <v>#VALUE!</v>
      </c>
      <c r="AJ32" s="1397"/>
      <c r="AK32" s="885"/>
      <c r="AL32" s="886"/>
      <c r="AM32" s="882" t="e">
        <f>IF(P32-AD32=0,"",P32-AD32)</f>
        <v>#VALUE!</v>
      </c>
      <c r="AN32" s="1389" t="e">
        <f>IF(Q32-AE32=0,"",Q32-AE32)</f>
        <v>#VALUE!</v>
      </c>
      <c r="AO32" s="1397"/>
      <c r="AP32" s="319"/>
      <c r="AQ32" s="839"/>
    </row>
    <row r="33" spans="1:44" ht="13.5">
      <c r="B33" s="173" t="s">
        <v>175</v>
      </c>
      <c r="M33" s="174" t="s">
        <v>176</v>
      </c>
      <c r="N33" s="175"/>
      <c r="O33" s="175"/>
      <c r="P33" s="175"/>
      <c r="Q33" s="175"/>
      <c r="R33" s="1286"/>
      <c r="S33" s="1287"/>
      <c r="T33" s="176"/>
      <c r="U33" s="177"/>
      <c r="V33" s="1288" t="s">
        <v>177</v>
      </c>
      <c r="W33" s="1289"/>
      <c r="X33" s="178"/>
      <c r="Y33" s="178"/>
      <c r="Z33" s="179" t="s">
        <v>177</v>
      </c>
      <c r="AA33" s="889"/>
      <c r="AB33" s="890"/>
      <c r="AC33" s="890"/>
      <c r="AD33" s="890"/>
      <c r="AE33" s="890"/>
      <c r="AF33" s="1447"/>
      <c r="AG33" s="1448"/>
      <c r="AH33" s="890"/>
      <c r="AI33" s="1447"/>
      <c r="AJ33" s="1448"/>
      <c r="AK33" s="1447"/>
      <c r="AL33" s="1448"/>
      <c r="AM33" s="890"/>
      <c r="AN33" s="1447"/>
      <c r="AO33" s="1448"/>
      <c r="AP33" s="284"/>
      <c r="AQ33" s="840"/>
    </row>
    <row r="34" spans="1:44">
      <c r="A34" s="119"/>
      <c r="B34" s="173" t="s">
        <v>175</v>
      </c>
      <c r="C34" s="189"/>
      <c r="D34" s="189"/>
      <c r="E34" s="189"/>
      <c r="F34" s="189"/>
      <c r="G34" s="189"/>
      <c r="H34" s="189"/>
      <c r="I34" s="190"/>
      <c r="J34" s="190"/>
      <c r="K34" s="191"/>
      <c r="L34" s="189"/>
      <c r="M34" s="326" t="s">
        <v>178</v>
      </c>
      <c r="N34" s="193"/>
      <c r="O34" s="194"/>
      <c r="P34" s="193"/>
      <c r="Q34" s="194"/>
      <c r="R34" s="1290"/>
      <c r="S34" s="1291"/>
      <c r="T34" s="195"/>
      <c r="U34" s="196"/>
      <c r="V34" s="1292" t="s">
        <v>177</v>
      </c>
      <c r="W34" s="1293"/>
      <c r="X34" s="197"/>
      <c r="Y34" s="197"/>
      <c r="Z34" s="198" t="s">
        <v>177</v>
      </c>
      <c r="AA34" s="891"/>
      <c r="AB34" s="891"/>
      <c r="AC34" s="891"/>
      <c r="AD34" s="891"/>
      <c r="AE34" s="891"/>
      <c r="AF34" s="1447"/>
      <c r="AG34" s="1448"/>
      <c r="AH34" s="891"/>
      <c r="AI34" s="1447"/>
      <c r="AJ34" s="1448"/>
      <c r="AK34" s="1447"/>
      <c r="AL34" s="1448"/>
      <c r="AM34" s="891"/>
      <c r="AN34" s="1447"/>
      <c r="AO34" s="1448"/>
      <c r="AP34" s="187"/>
      <c r="AQ34" s="840"/>
    </row>
    <row r="35" spans="1:44" ht="12.75" customHeight="1">
      <c r="A35" s="123"/>
      <c r="B35" s="173" t="s">
        <v>175</v>
      </c>
      <c r="C35" s="199"/>
      <c r="D35" s="199"/>
      <c r="E35" s="199"/>
      <c r="F35" s="199"/>
      <c r="G35" s="199"/>
      <c r="H35" s="199"/>
      <c r="I35" s="199"/>
      <c r="J35" s="199"/>
      <c r="K35" s="200"/>
      <c r="L35" s="201"/>
      <c r="M35" s="201"/>
      <c r="N35" s="202"/>
      <c r="O35" s="203"/>
      <c r="P35" s="203"/>
      <c r="Q35" s="201"/>
      <c r="R35" s="204"/>
      <c r="S35" s="204"/>
      <c r="T35" s="118"/>
      <c r="U35" s="119"/>
      <c r="V35" s="119"/>
      <c r="W35" s="119"/>
      <c r="X35" s="119"/>
      <c r="Y35" s="119"/>
      <c r="Z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</row>
    <row r="36" spans="1:44" ht="12.75" customHeight="1">
      <c r="A36" s="121" t="s">
        <v>93</v>
      </c>
      <c r="B36" s="164" t="s">
        <v>180</v>
      </c>
      <c r="C36" s="164"/>
      <c r="D36" s="206"/>
      <c r="E36" s="206"/>
      <c r="F36" s="206"/>
      <c r="G36" s="844"/>
      <c r="H36" s="325"/>
      <c r="I36" s="325"/>
      <c r="J36" s="325"/>
      <c r="K36" s="164"/>
      <c r="L36" s="415"/>
      <c r="M36" s="415"/>
      <c r="N36" s="206"/>
      <c r="O36" s="206"/>
      <c r="P36" s="845" t="s">
        <v>93</v>
      </c>
      <c r="Q36" s="9"/>
      <c r="S36" s="121"/>
      <c r="T36" s="119"/>
      <c r="U36" s="119"/>
      <c r="V36" s="119"/>
      <c r="W36" s="119"/>
      <c r="X36" s="119"/>
      <c r="Y36" s="119"/>
      <c r="Z36" s="119"/>
      <c r="AC36" s="119"/>
      <c r="AD36" s="119"/>
      <c r="AP36" s="119"/>
      <c r="AQ36" s="842"/>
    </row>
    <row r="37" spans="1:44" ht="12.75" customHeight="1">
      <c r="A37" s="119"/>
      <c r="B37" s="119"/>
      <c r="C37" s="160"/>
      <c r="D37" s="1280" t="s">
        <v>80</v>
      </c>
      <c r="E37" s="1280"/>
      <c r="F37" s="1280"/>
      <c r="G37" s="1280"/>
      <c r="H37" s="1280"/>
      <c r="I37" s="1280"/>
      <c r="J37" s="1280"/>
      <c r="K37" s="160"/>
      <c r="M37" s="398"/>
      <c r="N37" s="1280" t="s">
        <v>182</v>
      </c>
      <c r="O37" s="1280"/>
      <c r="P37" s="1280"/>
      <c r="Q37" s="1280"/>
      <c r="S37" s="121"/>
      <c r="T37" s="119"/>
      <c r="U37" s="119"/>
      <c r="V37" s="119"/>
      <c r="W37" s="119"/>
      <c r="X37" s="119"/>
      <c r="Y37" s="119"/>
      <c r="Z37" s="118"/>
      <c r="AA37" s="118"/>
      <c r="AB37" s="118"/>
      <c r="AC37" s="118"/>
      <c r="AD37" s="118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159"/>
      <c r="AQ37" s="159"/>
    </row>
    <row r="38" spans="1:44" ht="12.75" customHeight="1">
      <c r="A38" s="119"/>
      <c r="B38" s="119"/>
      <c r="C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R38" s="160"/>
      <c r="S38" s="160"/>
      <c r="T38" s="119"/>
      <c r="U38" s="119"/>
      <c r="V38" s="119"/>
      <c r="W38" s="119"/>
      <c r="X38" s="119"/>
      <c r="Y38" s="119"/>
      <c r="Z38" s="118"/>
      <c r="AA38" s="118"/>
      <c r="AB38" s="207"/>
      <c r="AC38" s="207"/>
      <c r="AD38" s="207"/>
      <c r="AE38" s="207"/>
      <c r="AF38" s="207"/>
      <c r="AG38" s="157"/>
      <c r="AH38" s="157"/>
      <c r="AI38" s="157"/>
      <c r="AJ38" s="157"/>
      <c r="AK38" s="118"/>
      <c r="AL38" s="157"/>
      <c r="AM38" s="157"/>
      <c r="AN38" s="157"/>
      <c r="AO38" s="157"/>
      <c r="AP38" s="118"/>
      <c r="AQ38" s="157"/>
      <c r="AR38" s="66"/>
    </row>
    <row r="39" spans="1:44" ht="12.75" customHeight="1">
      <c r="A39" s="119"/>
      <c r="B39" s="119" t="s">
        <v>179</v>
      </c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Z39" s="66"/>
      <c r="AA39" s="118"/>
      <c r="AB39" s="118"/>
      <c r="AC39" s="118"/>
      <c r="AD39" s="118"/>
      <c r="AE39" s="118"/>
      <c r="AF39" s="1451"/>
      <c r="AG39" s="1451"/>
      <c r="AH39" s="1451"/>
      <c r="AI39" s="1451"/>
      <c r="AJ39" s="843"/>
      <c r="AK39" s="214"/>
      <c r="AL39" s="843"/>
      <c r="AM39" s="1451"/>
      <c r="AN39" s="1451"/>
      <c r="AO39" s="1451"/>
      <c r="AP39" s="1451"/>
      <c r="AQ39" s="843"/>
      <c r="AR39" s="214"/>
    </row>
    <row r="40" spans="1:44" ht="12.75" customHeight="1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Z40" s="119"/>
    </row>
    <row r="41" spans="1:44" ht="12.75" customHeight="1">
      <c r="A41" s="119"/>
      <c r="B41" s="164" t="s">
        <v>181</v>
      </c>
      <c r="C41" s="119"/>
      <c r="D41" s="119"/>
      <c r="E41" s="119"/>
      <c r="F41" s="119"/>
      <c r="G41" s="119"/>
      <c r="H41" s="119"/>
      <c r="I41" s="119"/>
      <c r="J41" s="846"/>
      <c r="K41" s="841"/>
      <c r="L41" s="830"/>
      <c r="M41" s="830"/>
      <c r="N41" s="830"/>
      <c r="O41" s="93"/>
      <c r="P41" s="1444" t="s">
        <v>33</v>
      </c>
      <c r="Q41" s="1444"/>
      <c r="R41" s="1444"/>
      <c r="S41" s="1444"/>
      <c r="T41" s="1444"/>
      <c r="U41" s="1444"/>
      <c r="V41" s="119"/>
      <c r="W41" s="119"/>
      <c r="X41" s="119"/>
      <c r="Y41" s="119"/>
      <c r="Z41" s="119"/>
      <c r="AA41" s="119"/>
      <c r="AB41" s="119"/>
      <c r="AC41" s="119"/>
      <c r="AD41" s="119"/>
      <c r="AE41" s="119"/>
      <c r="AF41" s="119"/>
      <c r="AG41" s="119"/>
      <c r="AH41" s="119"/>
      <c r="AI41" s="119"/>
      <c r="AJ41" s="119"/>
      <c r="AK41" s="119"/>
      <c r="AL41" s="119"/>
    </row>
    <row r="42" spans="1:44" ht="12.75" customHeight="1">
      <c r="A42" s="119"/>
      <c r="B42" s="119"/>
      <c r="C42" s="119"/>
      <c r="D42" s="119"/>
      <c r="E42" s="119"/>
      <c r="F42" s="119"/>
      <c r="G42" s="119"/>
      <c r="H42" s="119"/>
      <c r="I42" s="119"/>
      <c r="J42" s="1280" t="s">
        <v>80</v>
      </c>
      <c r="K42" s="1280"/>
      <c r="L42" s="1280"/>
      <c r="M42" s="1280"/>
      <c r="N42" s="1280"/>
      <c r="O42" s="398"/>
      <c r="P42" s="1280" t="s">
        <v>182</v>
      </c>
      <c r="Q42" s="1280"/>
      <c r="R42" s="1280"/>
      <c r="S42" s="1280"/>
      <c r="T42" s="1280"/>
      <c r="U42" s="1280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</row>
    <row r="43" spans="1:44" ht="12.75" customHeight="1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spans="1:44" ht="12.75" customHeight="1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</row>
    <row r="45" spans="1:44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spans="1:44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spans="1:44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</row>
    <row r="48" spans="1:44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</row>
    <row r="49" spans="1:4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</row>
    <row r="50" spans="1:43">
      <c r="A50" s="119"/>
      <c r="B50" s="119"/>
      <c r="C50" s="119"/>
      <c r="D50" s="119"/>
      <c r="E50" s="119"/>
      <c r="F50" s="119"/>
      <c r="G50" s="119"/>
      <c r="H50" s="119"/>
      <c r="I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</row>
    <row r="75" spans="2:2">
      <c r="B75" t="s">
        <v>184</v>
      </c>
    </row>
    <row r="81" spans="2:2">
      <c r="B81" t="s">
        <v>184</v>
      </c>
    </row>
  </sheetData>
  <mergeCells count="87">
    <mergeCell ref="AN33:AO33"/>
    <mergeCell ref="AF33:AG33"/>
    <mergeCell ref="AN31:AO31"/>
    <mergeCell ref="AF39:AI39"/>
    <mergeCell ref="AM39:AP39"/>
    <mergeCell ref="AF32:AG32"/>
    <mergeCell ref="AN32:AO32"/>
    <mergeCell ref="AK34:AL34"/>
    <mergeCell ref="AN34:AO34"/>
    <mergeCell ref="AM28:AO28"/>
    <mergeCell ref="AM29:AM30"/>
    <mergeCell ref="AN29:AO30"/>
    <mergeCell ref="AH29:AH30"/>
    <mergeCell ref="AI29:AJ30"/>
    <mergeCell ref="K21:T21"/>
    <mergeCell ref="U21:V22"/>
    <mergeCell ref="U20:V20"/>
    <mergeCell ref="W21:Y22"/>
    <mergeCell ref="W24:Y24"/>
    <mergeCell ref="W23:Y23"/>
    <mergeCell ref="Q23:V23"/>
    <mergeCell ref="B9:Z9"/>
    <mergeCell ref="B10:Z10"/>
    <mergeCell ref="W20:Y20"/>
    <mergeCell ref="W18:Y19"/>
    <mergeCell ref="W14:Y14"/>
    <mergeCell ref="W15:Y15"/>
    <mergeCell ref="W16:Y17"/>
    <mergeCell ref="T16:V17"/>
    <mergeCell ref="T15:V15"/>
    <mergeCell ref="H18:P18"/>
    <mergeCell ref="Q18:V19"/>
    <mergeCell ref="K20:T20"/>
    <mergeCell ref="R34:S34"/>
    <mergeCell ref="V34:W34"/>
    <mergeCell ref="AK31:AL31"/>
    <mergeCell ref="V31:W31"/>
    <mergeCell ref="AF31:AG31"/>
    <mergeCell ref="T32:U32"/>
    <mergeCell ref="V33:W33"/>
    <mergeCell ref="R33:S33"/>
    <mergeCell ref="R32:S32"/>
    <mergeCell ref="V32:W32"/>
    <mergeCell ref="AF34:AG34"/>
    <mergeCell ref="AK33:AL33"/>
    <mergeCell ref="AI31:AJ31"/>
    <mergeCell ref="AI32:AJ32"/>
    <mergeCell ref="AI33:AJ33"/>
    <mergeCell ref="AI34:AJ34"/>
    <mergeCell ref="I32:J32"/>
    <mergeCell ref="C31:H31"/>
    <mergeCell ref="I31:J31"/>
    <mergeCell ref="L26:M26"/>
    <mergeCell ref="K32:M32"/>
    <mergeCell ref="K31:M31"/>
    <mergeCell ref="B28:B30"/>
    <mergeCell ref="C28:J28"/>
    <mergeCell ref="C29:H30"/>
    <mergeCell ref="I29:J30"/>
    <mergeCell ref="AH28:AL28"/>
    <mergeCell ref="AA29:AC29"/>
    <mergeCell ref="R28:Z28"/>
    <mergeCell ref="AK29:AL30"/>
    <mergeCell ref="R29:W29"/>
    <mergeCell ref="N29:O29"/>
    <mergeCell ref="P29:Q29"/>
    <mergeCell ref="N28:Q28"/>
    <mergeCell ref="AD29:AE29"/>
    <mergeCell ref="AA28:AE28"/>
    <mergeCell ref="X29:Z29"/>
    <mergeCell ref="AF28:AG30"/>
    <mergeCell ref="J42:N42"/>
    <mergeCell ref="P41:U41"/>
    <mergeCell ref="P42:U42"/>
    <mergeCell ref="N37:Q37"/>
    <mergeCell ref="P24:V24"/>
    <mergeCell ref="R26:S26"/>
    <mergeCell ref="R30:S30"/>
    <mergeCell ref="T30:U30"/>
    <mergeCell ref="V30:W30"/>
    <mergeCell ref="K28:M30"/>
    <mergeCell ref="R31:S31"/>
    <mergeCell ref="T31:U31"/>
    <mergeCell ref="D37:J37"/>
    <mergeCell ref="C26:H26"/>
    <mergeCell ref="I26:J26"/>
    <mergeCell ref="C32:H32"/>
  </mergeCells>
  <phoneticPr fontId="0" type="noConversion"/>
  <pageMargins left="0.5" right="0.35" top="0.59055118110236227" bottom="0.35433070866141736" header="0" footer="0"/>
  <pageSetup paperSize="9" orientation="landscape" r:id="rId1"/>
  <headerFooter alignWithMargins="0"/>
  <rowBreaks count="1" manualBreakCount="1">
    <brk id="25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0"/>
  <dimension ref="A1:AY83"/>
  <sheetViews>
    <sheetView view="pageBreakPreview" topLeftCell="B25" zoomScaleNormal="100" workbookViewId="0">
      <selection activeCell="H42" sqref="H42"/>
    </sheetView>
  </sheetViews>
  <sheetFormatPr defaultRowHeight="12.75"/>
  <cols>
    <col min="1" max="1" width="0.140625" hidden="1" customWidth="1"/>
    <col min="2" max="2" width="5.28515625" customWidth="1"/>
    <col min="3" max="3" width="4.28515625" customWidth="1"/>
    <col min="4" max="4" width="16.42578125" customWidth="1"/>
    <col min="5" max="5" width="3.85546875" customWidth="1"/>
    <col min="6" max="6" width="2" customWidth="1"/>
    <col min="7" max="7" width="4.140625" customWidth="1"/>
    <col min="8" max="8" width="4.7109375" customWidth="1"/>
    <col min="9" max="10" width="3.85546875" customWidth="1"/>
    <col min="11" max="11" width="3.7109375" customWidth="1"/>
    <col min="12" max="12" width="3.5703125" customWidth="1"/>
    <col min="13" max="13" width="6.28515625" customWidth="1"/>
    <col min="14" max="16" width="6.7109375" customWidth="1"/>
    <col min="17" max="17" width="8.5703125" customWidth="1"/>
    <col min="18" max="20" width="6.7109375" customWidth="1"/>
    <col min="21" max="21" width="8.5703125" customWidth="1"/>
    <col min="22" max="22" width="4.28515625" customWidth="1"/>
    <col min="23" max="23" width="2.7109375" customWidth="1"/>
    <col min="24" max="24" width="1.5703125" customWidth="1"/>
    <col min="25" max="26" width="8.140625" customWidth="1"/>
    <col min="27" max="27" width="0.5703125" customWidth="1"/>
    <col min="28" max="28" width="7.28515625" customWidth="1"/>
    <col min="29" max="30" width="6.28515625" customWidth="1"/>
    <col min="31" max="31" width="7.28515625" customWidth="1"/>
    <col min="32" max="32" width="8.140625" customWidth="1"/>
    <col min="33" max="33" width="8.7109375" customWidth="1"/>
    <col min="34" max="34" width="7.28515625" customWidth="1"/>
    <col min="35" max="35" width="8.140625" customWidth="1"/>
    <col min="36" max="37" width="4.85546875" customWidth="1"/>
    <col min="38" max="38" width="7.28515625" customWidth="1"/>
    <col min="39" max="39" width="8.140625" customWidth="1"/>
    <col min="40" max="40" width="2.28515625" customWidth="1"/>
    <col min="41" max="41" width="6.42578125" customWidth="1"/>
    <col min="42" max="42" width="7.28515625" customWidth="1"/>
    <col min="43" max="43" width="6.85546875" customWidth="1"/>
    <col min="44" max="44" width="2.42578125" customWidth="1"/>
    <col min="45" max="46" width="9.140625" hidden="1" customWidth="1"/>
    <col min="47" max="47" width="7.28515625" customWidth="1"/>
    <col min="48" max="48" width="8.140625" customWidth="1"/>
    <col min="49" max="49" width="7.28515625" customWidth="1"/>
    <col min="50" max="50" width="8.140625" customWidth="1"/>
    <col min="51" max="53" width="0.85546875" customWidth="1"/>
  </cols>
  <sheetData>
    <row r="1" spans="1:51" ht="6.75" customHeight="1"/>
    <row r="2" spans="1:51" ht="13.7" customHeight="1">
      <c r="A2" s="116" t="s">
        <v>29</v>
      </c>
      <c r="B2" s="117" t="s">
        <v>30</v>
      </c>
      <c r="C2" s="116"/>
      <c r="D2" s="118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</row>
    <row r="3" spans="1:51" ht="15">
      <c r="A3" s="120"/>
      <c r="B3" s="1201" t="s">
        <v>599</v>
      </c>
      <c r="C3" s="1201"/>
      <c r="D3" s="1201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1" t="s">
        <v>137</v>
      </c>
      <c r="V3" s="119"/>
      <c r="W3" s="120"/>
      <c r="X3" s="120"/>
      <c r="Y3" s="120"/>
      <c r="Z3" s="120"/>
      <c r="AA3" s="120"/>
      <c r="AB3" s="120"/>
      <c r="AC3" s="120"/>
      <c r="AD3" s="120"/>
      <c r="AE3" s="120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  <c r="AV3" s="119"/>
      <c r="AW3" s="119"/>
      <c r="AX3" s="119"/>
      <c r="AY3" s="119"/>
    </row>
    <row r="4" spans="1:51" ht="15">
      <c r="A4" s="120"/>
      <c r="B4" s="1201"/>
      <c r="C4" s="1201"/>
      <c r="D4" s="1201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  <c r="S4" s="120"/>
      <c r="T4" s="120"/>
      <c r="U4" s="121" t="s">
        <v>44</v>
      </c>
      <c r="V4" s="119"/>
      <c r="W4" s="120"/>
      <c r="X4" s="120"/>
      <c r="Y4" s="120"/>
      <c r="Z4" s="120"/>
      <c r="AA4" s="120"/>
      <c r="AB4" s="120"/>
      <c r="AC4" s="120"/>
      <c r="AD4" s="120"/>
      <c r="AE4" s="120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</row>
    <row r="5" spans="1:51" ht="15">
      <c r="A5" s="120"/>
      <c r="B5" s="1201"/>
      <c r="C5" s="1201"/>
      <c r="D5" s="1201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120"/>
      <c r="U5" s="122" t="s">
        <v>45</v>
      </c>
      <c r="V5" s="119"/>
      <c r="W5" s="120"/>
      <c r="X5" s="120"/>
      <c r="Y5" s="120"/>
      <c r="Z5" s="120"/>
      <c r="AA5" s="120"/>
      <c r="AB5" s="120"/>
      <c r="AC5" s="120"/>
      <c r="AD5" s="120"/>
      <c r="AE5" s="120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</row>
    <row r="6" spans="1:51" ht="15.75" thickBot="1">
      <c r="A6" s="123"/>
      <c r="B6" s="123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363" t="s">
        <v>55</v>
      </c>
      <c r="Y6" s="1364"/>
      <c r="Z6" s="1365"/>
      <c r="AA6" s="264"/>
      <c r="AB6" s="124"/>
      <c r="AC6" s="124"/>
      <c r="AD6" s="124"/>
      <c r="AE6" s="120"/>
      <c r="AF6" s="119"/>
      <c r="AG6" s="119"/>
      <c r="AH6" s="119"/>
      <c r="AI6" s="119"/>
      <c r="AJ6" s="119"/>
      <c r="AK6" s="119"/>
      <c r="AL6" s="119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119"/>
      <c r="AY6" s="119"/>
    </row>
    <row r="7" spans="1:51" ht="15">
      <c r="A7" s="123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369" t="s">
        <v>56</v>
      </c>
      <c r="S7" s="1369"/>
      <c r="T7" s="1369"/>
      <c r="U7" s="1369"/>
      <c r="V7" s="1369"/>
      <c r="W7" s="1369"/>
      <c r="X7" s="1370" t="s">
        <v>138</v>
      </c>
      <c r="Y7" s="1371"/>
      <c r="Z7" s="1372"/>
      <c r="AA7" s="265"/>
      <c r="AB7" s="126"/>
      <c r="AC7" s="126"/>
      <c r="AD7" s="126"/>
      <c r="AE7" s="120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</row>
    <row r="8" spans="1:51" ht="15">
      <c r="B8" s="110" t="s">
        <v>35</v>
      </c>
      <c r="C8" s="110"/>
      <c r="D8" s="110"/>
      <c r="R8" s="9"/>
      <c r="S8" s="9"/>
      <c r="T8" s="9"/>
      <c r="U8" s="127"/>
      <c r="V8" s="128"/>
      <c r="W8" s="129" t="s">
        <v>57</v>
      </c>
      <c r="X8" s="1336" t="s">
        <v>34</v>
      </c>
      <c r="Y8" s="1337"/>
      <c r="Z8" s="1338"/>
      <c r="AA8" s="265"/>
      <c r="AB8" s="126"/>
      <c r="AC8" s="126"/>
      <c r="AD8" s="126"/>
      <c r="AE8" s="120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19"/>
      <c r="AS8" s="119"/>
      <c r="AT8" s="119"/>
      <c r="AU8" s="119"/>
      <c r="AV8" s="119"/>
      <c r="AW8" s="119"/>
      <c r="AX8" s="119"/>
      <c r="AY8" s="119"/>
    </row>
    <row r="9" spans="1:51" ht="9.75" customHeight="1">
      <c r="A9" s="123"/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1" t="s">
        <v>58</v>
      </c>
      <c r="N9" s="132"/>
      <c r="O9" s="132"/>
      <c r="P9" s="132"/>
      <c r="Q9" s="132"/>
      <c r="R9" s="123"/>
      <c r="S9" s="123"/>
      <c r="T9" s="123"/>
      <c r="U9" s="123"/>
      <c r="V9" s="123"/>
      <c r="W9" s="123"/>
      <c r="X9" s="1366"/>
      <c r="Y9" s="1358"/>
      <c r="Z9" s="1359"/>
      <c r="AA9" s="265"/>
      <c r="AB9" s="133"/>
      <c r="AC9" s="133"/>
      <c r="AD9" s="133"/>
      <c r="AE9" s="120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</row>
    <row r="10" spans="1:51" ht="11.25" customHeight="1">
      <c r="A10" s="134"/>
      <c r="B10" s="110" t="s">
        <v>32</v>
      </c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6"/>
      <c r="X10" s="1367"/>
      <c r="Y10" s="1361"/>
      <c r="Z10" s="1362"/>
      <c r="AA10" s="265"/>
      <c r="AB10" s="133"/>
      <c r="AC10" s="133"/>
      <c r="AD10" s="133"/>
      <c r="AE10" s="120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19"/>
      <c r="AS10" s="119"/>
      <c r="AT10" s="119"/>
      <c r="AU10" s="119"/>
      <c r="AV10" s="119"/>
      <c r="AW10" s="119"/>
      <c r="AX10" s="119"/>
      <c r="AY10" s="119"/>
    </row>
    <row r="11" spans="1:51" ht="9.75" customHeight="1">
      <c r="A11" s="123"/>
      <c r="B11" s="137"/>
      <c r="C11" s="137"/>
      <c r="D11" s="137"/>
      <c r="E11" s="1280" t="s">
        <v>59</v>
      </c>
      <c r="F11" s="1280"/>
      <c r="G11" s="1280"/>
      <c r="H11" s="1280"/>
      <c r="I11" s="1280"/>
      <c r="J11" s="1280"/>
      <c r="K11" s="1280"/>
      <c r="L11" s="1280"/>
      <c r="M11" s="1280"/>
      <c r="N11" s="1280"/>
      <c r="O11" s="1280"/>
      <c r="P11" s="1280"/>
      <c r="Q11" s="1280"/>
      <c r="R11" s="1368" t="s">
        <v>60</v>
      </c>
      <c r="S11" s="1368"/>
      <c r="T11" s="1368"/>
      <c r="U11" s="1368"/>
      <c r="V11" s="1368"/>
      <c r="W11" s="1368"/>
      <c r="X11" s="139"/>
      <c r="Y11" s="140"/>
      <c r="Z11" s="141"/>
      <c r="AA11" s="266"/>
      <c r="AB11" s="133"/>
      <c r="AC11" s="133"/>
      <c r="AD11" s="133"/>
      <c r="AE11" s="120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</row>
    <row r="12" spans="1:51" ht="6" customHeight="1">
      <c r="A12" s="142"/>
      <c r="B12" s="142"/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369"/>
      <c r="S12" s="1369"/>
      <c r="T12" s="1369"/>
      <c r="U12" s="1369"/>
      <c r="V12" s="1369"/>
      <c r="W12" s="1369"/>
      <c r="X12" s="143"/>
      <c r="Y12" s="144"/>
      <c r="Z12" s="145"/>
      <c r="AA12" s="266"/>
      <c r="AB12" s="133"/>
      <c r="AC12" s="133"/>
      <c r="AD12" s="133"/>
      <c r="AE12" s="120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</row>
    <row r="13" spans="1:51" ht="15">
      <c r="A13" s="123"/>
      <c r="B13" s="119" t="s">
        <v>61</v>
      </c>
      <c r="C13" s="119"/>
      <c r="D13" s="123"/>
      <c r="E13" s="123"/>
      <c r="F13" s="123"/>
      <c r="G13" s="123"/>
      <c r="H13" s="123"/>
      <c r="I13" s="123"/>
      <c r="J13" s="123"/>
      <c r="K13" s="146"/>
      <c r="L13" s="1352" t="s">
        <v>139</v>
      </c>
      <c r="M13" s="1352"/>
      <c r="N13" s="1352"/>
      <c r="O13" s="1352"/>
      <c r="P13" s="1352"/>
      <c r="Q13" s="1352"/>
      <c r="R13" s="1352"/>
      <c r="S13" s="1352"/>
      <c r="T13" s="1352"/>
      <c r="U13" s="1352"/>
      <c r="V13" s="1353" t="s">
        <v>4</v>
      </c>
      <c r="W13" s="1354"/>
      <c r="X13" s="1336" t="s">
        <v>331</v>
      </c>
      <c r="Y13" s="1337"/>
      <c r="Z13" s="1338"/>
      <c r="AA13" s="266"/>
      <c r="AB13" s="133"/>
      <c r="AC13" s="133"/>
      <c r="AD13" s="133"/>
      <c r="AE13" s="120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19"/>
      <c r="AS13" s="119"/>
      <c r="AT13" s="119"/>
      <c r="AU13" s="119"/>
      <c r="AV13" s="119"/>
      <c r="AW13" s="119"/>
      <c r="AX13" s="119"/>
      <c r="AY13" s="119"/>
    </row>
    <row r="14" spans="1:51" ht="10.5" customHeight="1">
      <c r="A14" s="123"/>
      <c r="B14" s="123"/>
      <c r="C14" s="123"/>
      <c r="D14" s="123"/>
      <c r="E14" s="123"/>
      <c r="F14" s="123"/>
      <c r="G14" s="123"/>
      <c r="H14" s="123"/>
      <c r="I14" s="123"/>
      <c r="J14" s="123"/>
      <c r="K14" s="146"/>
      <c r="L14" s="1280" t="s">
        <v>63</v>
      </c>
      <c r="M14" s="1280"/>
      <c r="N14" s="1280"/>
      <c r="O14" s="1280"/>
      <c r="P14" s="1280"/>
      <c r="Q14" s="1280"/>
      <c r="R14" s="1280"/>
      <c r="S14" s="1280"/>
      <c r="T14" s="1280"/>
      <c r="U14" s="1280"/>
      <c r="V14" s="1440" t="s">
        <v>64</v>
      </c>
      <c r="W14" s="1441"/>
      <c r="X14" s="1366" t="s">
        <v>332</v>
      </c>
      <c r="Y14" s="1358"/>
      <c r="Z14" s="1359"/>
      <c r="AA14" s="265"/>
      <c r="AB14" s="126"/>
      <c r="AC14" s="126"/>
      <c r="AD14" s="126"/>
      <c r="AE14" s="120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</row>
    <row r="15" spans="1:51" ht="6.75" customHeight="1">
      <c r="A15" s="123"/>
      <c r="B15" s="123"/>
      <c r="C15" s="123"/>
      <c r="D15" s="123"/>
      <c r="E15" s="123"/>
      <c r="F15" s="123"/>
      <c r="G15" s="123"/>
      <c r="H15" s="123"/>
      <c r="I15" s="123"/>
      <c r="J15" s="123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42"/>
      <c r="W15" s="1352"/>
      <c r="X15" s="1367"/>
      <c r="Y15" s="1361"/>
      <c r="Z15" s="1362"/>
      <c r="AA15" s="265"/>
      <c r="AB15" s="126"/>
      <c r="AC15" s="126"/>
      <c r="AD15" s="126"/>
      <c r="AE15" s="120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</row>
    <row r="16" spans="1:51" ht="15">
      <c r="A16" s="123"/>
      <c r="B16" s="123"/>
      <c r="C16" s="123"/>
      <c r="D16" s="123"/>
      <c r="E16" s="123"/>
      <c r="F16" s="123"/>
      <c r="G16" s="123"/>
      <c r="H16" s="123"/>
      <c r="I16" s="123"/>
      <c r="J16" s="123"/>
      <c r="K16" s="146"/>
      <c r="L16" s="146"/>
      <c r="M16" s="146"/>
      <c r="N16" s="146"/>
      <c r="O16" s="146"/>
      <c r="P16" s="146"/>
      <c r="Q16" s="146"/>
      <c r="R16" s="1333" t="s">
        <v>65</v>
      </c>
      <c r="S16" s="1333"/>
      <c r="T16" s="1333"/>
      <c r="U16" s="1333"/>
      <c r="V16" s="1333"/>
      <c r="W16" s="1333"/>
      <c r="X16" s="1223" t="s">
        <v>31</v>
      </c>
      <c r="Y16" s="1334"/>
      <c r="Z16" s="1224"/>
      <c r="AA16" s="93"/>
      <c r="AB16" s="133"/>
      <c r="AC16" s="133"/>
      <c r="AD16" s="133"/>
      <c r="AE16" s="120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</row>
    <row r="17" spans="1:51" ht="15">
      <c r="A17" s="123"/>
      <c r="B17" s="123"/>
      <c r="C17" s="123"/>
      <c r="D17" s="123"/>
      <c r="E17" s="123"/>
      <c r="F17" s="123"/>
      <c r="G17" s="123"/>
      <c r="H17" s="123"/>
      <c r="I17" s="123"/>
      <c r="J17" s="123"/>
      <c r="K17" s="146"/>
      <c r="L17" s="146"/>
      <c r="M17" s="146"/>
      <c r="N17" s="146"/>
      <c r="O17" s="146"/>
      <c r="P17" s="146"/>
      <c r="Q17" s="1333" t="s">
        <v>66</v>
      </c>
      <c r="R17" s="1333"/>
      <c r="S17" s="1333"/>
      <c r="T17" s="1333"/>
      <c r="U17" s="1333"/>
      <c r="V17" s="1333"/>
      <c r="W17" s="1335"/>
      <c r="X17" s="1336" t="s">
        <v>330</v>
      </c>
      <c r="Y17" s="1337"/>
      <c r="Z17" s="1338"/>
      <c r="AA17" s="133"/>
      <c r="AB17" s="133"/>
      <c r="AC17" s="133"/>
      <c r="AD17" s="133"/>
      <c r="AE17" s="120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</row>
    <row r="18" spans="1:51" ht="15.75" thickBot="1">
      <c r="A18" s="123"/>
      <c r="B18" s="123"/>
      <c r="C18" s="123"/>
      <c r="D18" s="123"/>
      <c r="E18" s="123"/>
      <c r="F18" s="123"/>
      <c r="G18" s="123"/>
      <c r="H18" s="123"/>
      <c r="I18" s="123"/>
      <c r="J18" s="123"/>
      <c r="K18" s="146"/>
      <c r="L18" s="146"/>
      <c r="M18" s="146"/>
      <c r="N18" s="146"/>
      <c r="O18" s="146"/>
      <c r="P18" s="146"/>
      <c r="Q18" s="146"/>
      <c r="R18" s="123"/>
      <c r="S18" s="123"/>
      <c r="T18" s="123"/>
      <c r="U18" s="1333" t="s">
        <v>67</v>
      </c>
      <c r="V18" s="1333"/>
      <c r="W18" s="1335"/>
      <c r="X18" s="147"/>
      <c r="Y18" s="148"/>
      <c r="Z18" s="149"/>
      <c r="AA18" s="133"/>
      <c r="AB18" s="133"/>
      <c r="AC18" s="133"/>
      <c r="AD18" s="133"/>
      <c r="AE18" s="120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</row>
    <row r="19" spans="1:51" ht="15">
      <c r="A19" s="123"/>
      <c r="B19" s="123"/>
      <c r="C19" s="123"/>
      <c r="D19" s="123"/>
      <c r="E19" s="123"/>
      <c r="F19" s="123"/>
      <c r="G19" s="123"/>
      <c r="H19" s="123"/>
      <c r="I19" s="123"/>
      <c r="J19" s="123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50"/>
      <c r="X19" s="151"/>
      <c r="Y19" s="151"/>
      <c r="Z19" s="151"/>
      <c r="AA19" s="151"/>
      <c r="AB19" s="151"/>
      <c r="AC19" s="151"/>
      <c r="AD19" s="151"/>
      <c r="AE19" s="120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</row>
    <row r="20" spans="1:51" ht="15">
      <c r="A20" s="123"/>
      <c r="B20" s="123"/>
      <c r="C20" s="123"/>
      <c r="D20" s="123"/>
      <c r="E20" s="123"/>
      <c r="F20" s="123"/>
      <c r="G20" s="123"/>
      <c r="H20" s="123"/>
      <c r="I20" s="123"/>
      <c r="J20" s="123"/>
      <c r="K20" s="146"/>
      <c r="L20" s="146"/>
      <c r="M20" s="146"/>
      <c r="N20" s="146"/>
      <c r="O20" s="146"/>
      <c r="P20" s="146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0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</row>
    <row r="21" spans="1:51" ht="15.75" thickBot="1">
      <c r="A21" s="123"/>
      <c r="B21" s="123"/>
      <c r="C21" s="123"/>
      <c r="D21" s="123"/>
      <c r="E21" s="123"/>
      <c r="F21" s="123"/>
      <c r="G21" s="123"/>
      <c r="H21" s="123"/>
      <c r="I21" s="123"/>
      <c r="J21" s="123"/>
      <c r="K21" s="146"/>
      <c r="L21" s="146"/>
      <c r="M21" s="146"/>
      <c r="N21" s="146"/>
      <c r="O21" s="146"/>
      <c r="P21" s="146"/>
      <c r="Q21" s="123"/>
      <c r="R21" s="1339" t="s">
        <v>140</v>
      </c>
      <c r="S21" s="1455"/>
      <c r="T21" s="1340"/>
      <c r="U21" s="267" t="s">
        <v>69</v>
      </c>
      <c r="V21" s="268"/>
      <c r="W21" s="268"/>
      <c r="X21" s="269"/>
      <c r="Y21" s="123"/>
      <c r="Z21" s="123"/>
      <c r="AA21" s="123"/>
      <c r="AB21" s="123"/>
      <c r="AC21" s="123"/>
      <c r="AD21" s="123"/>
      <c r="AE21" s="120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</row>
    <row r="22" spans="1:51" ht="16.5" thickBot="1">
      <c r="A22" s="120"/>
      <c r="B22" s="123"/>
      <c r="C22" s="123"/>
      <c r="D22" s="120"/>
      <c r="E22" s="120"/>
      <c r="F22" s="120"/>
      <c r="G22" s="120"/>
      <c r="H22" s="120"/>
      <c r="I22" s="120"/>
      <c r="J22" s="120"/>
      <c r="K22" s="1344" t="s">
        <v>141</v>
      </c>
      <c r="L22" s="1344"/>
      <c r="M22" s="1344"/>
      <c r="N22" s="1344"/>
      <c r="O22" s="1344"/>
      <c r="P22" s="1344"/>
      <c r="Q22" s="1345"/>
      <c r="R22" s="1346" t="s">
        <v>293</v>
      </c>
      <c r="S22" s="1374"/>
      <c r="T22" s="1374"/>
      <c r="U22" s="1454"/>
      <c r="V22" s="1349"/>
      <c r="W22" s="1349"/>
      <c r="X22" s="1350"/>
      <c r="Y22" s="120"/>
      <c r="Z22" s="120"/>
      <c r="AA22" s="120"/>
      <c r="AB22" s="120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</row>
    <row r="23" spans="1:51" ht="15.75">
      <c r="A23" s="120"/>
      <c r="B23" s="123"/>
      <c r="C23" s="123"/>
      <c r="D23" s="120"/>
      <c r="E23" s="1351" t="s">
        <v>142</v>
      </c>
      <c r="F23" s="1351"/>
      <c r="G23" s="1351"/>
      <c r="H23" s="1351"/>
      <c r="I23" s="1351"/>
      <c r="J23" s="1351"/>
      <c r="K23" s="1351"/>
      <c r="L23" s="1351"/>
      <c r="M23" s="1351"/>
      <c r="N23" s="1351"/>
      <c r="O23" s="1351"/>
      <c r="P23" s="1351"/>
      <c r="Q23" s="1351"/>
      <c r="R23" s="1351"/>
      <c r="S23" s="1351"/>
      <c r="T23" s="1351"/>
      <c r="U23" s="1351"/>
      <c r="V23" s="152"/>
      <c r="W23" s="152"/>
      <c r="X23" s="120"/>
      <c r="Y23" s="120"/>
      <c r="Z23" s="120"/>
      <c r="AA23" s="120"/>
      <c r="AB23" s="120"/>
      <c r="AC23" s="120"/>
      <c r="AD23" s="120"/>
      <c r="AE23" s="120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</row>
    <row r="24" spans="1:51" ht="15.75">
      <c r="A24" s="120"/>
      <c r="B24" s="123"/>
      <c r="C24" s="123"/>
      <c r="D24" s="12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20"/>
      <c r="Y24" s="120"/>
      <c r="Z24" s="120"/>
      <c r="AA24" s="120"/>
      <c r="AB24" s="120"/>
      <c r="AC24" s="120"/>
      <c r="AD24" s="120"/>
      <c r="AE24" s="120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</row>
    <row r="25" spans="1:51" ht="15.75">
      <c r="A25" s="120"/>
      <c r="B25" s="123" t="s">
        <v>143</v>
      </c>
      <c r="C25" s="123"/>
      <c r="D25" s="123"/>
      <c r="E25" s="123"/>
      <c r="F25" s="123"/>
      <c r="G25" s="123"/>
      <c r="H25" s="123"/>
      <c r="I25" s="123"/>
      <c r="J25" s="123"/>
      <c r="K25" s="154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0"/>
      <c r="Y25" s="120"/>
      <c r="Z25" s="120"/>
      <c r="AA25" s="120"/>
      <c r="AB25" s="120"/>
      <c r="AC25" s="120"/>
      <c r="AD25" s="120"/>
      <c r="AE25" s="120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</row>
    <row r="26" spans="1:51" ht="16.5" customHeight="1">
      <c r="A26" s="120"/>
      <c r="B26" s="120"/>
      <c r="C26" s="120"/>
      <c r="D26" s="120"/>
      <c r="E26" s="120"/>
      <c r="F26" s="120"/>
      <c r="G26" s="120"/>
      <c r="H26" s="120"/>
      <c r="I26" s="120"/>
      <c r="J26" s="120"/>
      <c r="K26" s="155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  <c r="AB26" s="120"/>
      <c r="AC26" s="120"/>
      <c r="AD26" s="120"/>
      <c r="AE26" s="120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</row>
    <row r="27" spans="1:51" ht="15">
      <c r="A27" s="120"/>
      <c r="B27" s="156"/>
      <c r="C27" s="156"/>
      <c r="D27" s="156"/>
      <c r="E27" s="156"/>
      <c r="F27" s="156"/>
      <c r="G27" s="156"/>
      <c r="H27" s="157"/>
      <c r="I27" s="120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158"/>
      <c r="AB27" s="263"/>
      <c r="AC27" s="263"/>
      <c r="AD27" s="263"/>
      <c r="AE27" s="120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</row>
    <row r="28" spans="1:51" ht="9" customHeight="1">
      <c r="A28" s="120"/>
      <c r="B28" s="138" t="s">
        <v>144</v>
      </c>
      <c r="C28" s="138"/>
      <c r="D28" s="138"/>
      <c r="E28" s="138"/>
      <c r="F28" s="138"/>
      <c r="G28" s="138"/>
      <c r="H28" s="159"/>
      <c r="I28" s="160"/>
      <c r="J28" s="1280" t="s">
        <v>145</v>
      </c>
      <c r="K28" s="1280"/>
      <c r="L28" s="1280"/>
      <c r="M28" s="1280"/>
      <c r="N28" s="1280"/>
      <c r="O28" s="1280"/>
      <c r="P28" s="1280"/>
      <c r="Q28" s="1280"/>
      <c r="R28" s="1280"/>
      <c r="S28" s="1280"/>
      <c r="T28" s="1280"/>
      <c r="U28" s="1280"/>
      <c r="V28" s="1280"/>
      <c r="W28" s="1280"/>
      <c r="X28" s="1280"/>
      <c r="Y28" s="1280"/>
      <c r="Z28" s="1280"/>
      <c r="AA28" s="1280"/>
      <c r="AB28" s="159"/>
      <c r="AC28" s="159"/>
      <c r="AD28" s="159"/>
      <c r="AE28" s="120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</row>
    <row r="29" spans="1:51" ht="15">
      <c r="A29" s="120"/>
      <c r="B29" s="156"/>
      <c r="C29" s="156"/>
      <c r="D29" s="156"/>
      <c r="E29" s="156"/>
      <c r="F29" s="156"/>
      <c r="G29" s="156"/>
      <c r="H29" s="157"/>
      <c r="I29" s="120"/>
      <c r="J29" s="1281"/>
      <c r="K29" s="1281"/>
      <c r="L29" s="1281"/>
      <c r="M29" s="1281"/>
      <c r="N29" s="1281"/>
      <c r="O29" s="1281"/>
      <c r="P29" s="1281"/>
      <c r="Q29" s="1281"/>
      <c r="R29" s="1281"/>
      <c r="S29" s="1281"/>
      <c r="T29" s="1281"/>
      <c r="U29" s="1281"/>
      <c r="V29" s="1281"/>
      <c r="W29" s="1281"/>
      <c r="X29" s="1281"/>
      <c r="Y29" s="1281"/>
      <c r="Z29" s="1281"/>
      <c r="AA29" s="1281"/>
      <c r="AB29" s="157"/>
      <c r="AC29" s="157"/>
      <c r="AD29" s="157"/>
      <c r="AE29" s="120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19"/>
    </row>
    <row r="30" spans="1:51" ht="10.5" customHeight="1">
      <c r="A30" s="120"/>
      <c r="B30" s="138" t="s">
        <v>144</v>
      </c>
      <c r="C30" s="138"/>
      <c r="D30" s="138"/>
      <c r="E30" s="138"/>
      <c r="F30" s="138"/>
      <c r="G30" s="138"/>
      <c r="H30" s="159"/>
      <c r="I30" s="160"/>
      <c r="J30" s="1280" t="s">
        <v>145</v>
      </c>
      <c r="K30" s="1280"/>
      <c r="L30" s="1280"/>
      <c r="M30" s="1280"/>
      <c r="N30" s="1280"/>
      <c r="O30" s="1280"/>
      <c r="P30" s="1280"/>
      <c r="Q30" s="1280"/>
      <c r="R30" s="1280"/>
      <c r="S30" s="1280"/>
      <c r="T30" s="1280"/>
      <c r="U30" s="1280"/>
      <c r="V30" s="1280"/>
      <c r="W30" s="1280"/>
      <c r="X30" s="1280"/>
      <c r="Y30" s="1280"/>
      <c r="Z30" s="1280"/>
      <c r="AA30" s="1280"/>
      <c r="AB30" s="159"/>
      <c r="AC30" s="159"/>
      <c r="AD30" s="159"/>
      <c r="AE30" s="120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</row>
    <row r="31" spans="1:51" ht="15">
      <c r="A31" s="120"/>
      <c r="B31" s="159"/>
      <c r="C31" s="159"/>
      <c r="D31" s="159"/>
      <c r="E31" s="159"/>
      <c r="F31" s="159"/>
      <c r="G31" s="159"/>
      <c r="H31" s="159"/>
      <c r="I31" s="160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159"/>
      <c r="AC31" s="159"/>
      <c r="AD31" s="159"/>
      <c r="AE31" s="120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</row>
    <row r="32" spans="1:51" ht="15">
      <c r="A32" s="120"/>
      <c r="B32" s="120"/>
      <c r="C32" s="120"/>
      <c r="D32" s="161" t="s">
        <v>146</v>
      </c>
      <c r="E32" s="156"/>
      <c r="F32" s="120" t="s">
        <v>84</v>
      </c>
      <c r="G32" s="1281"/>
      <c r="H32" s="1281"/>
      <c r="I32" s="1281"/>
      <c r="J32" s="157"/>
      <c r="K32" s="1281"/>
      <c r="L32" s="1281"/>
      <c r="M32" s="120" t="s">
        <v>147</v>
      </c>
      <c r="N32" s="120"/>
      <c r="O32" s="120"/>
      <c r="P32" s="120"/>
      <c r="Q32" s="119"/>
      <c r="R32" s="120"/>
      <c r="S32" s="120"/>
      <c r="T32" s="120"/>
      <c r="U32" s="120"/>
      <c r="V32" s="120"/>
      <c r="W32" s="120"/>
      <c r="X32" s="120"/>
      <c r="Y32" s="120"/>
      <c r="Z32" s="120"/>
      <c r="AA32" s="120"/>
      <c r="AB32" s="120"/>
      <c r="AC32" s="120"/>
      <c r="AD32" s="120"/>
      <c r="AE32" s="120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</row>
    <row r="33" spans="1:51" ht="15">
      <c r="A33" s="120"/>
      <c r="B33" s="162"/>
      <c r="C33" s="162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  <c r="AB33" s="120"/>
      <c r="AC33" s="120"/>
      <c r="AD33" s="120"/>
      <c r="AE33" s="120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</row>
    <row r="34" spans="1:51" ht="15">
      <c r="A34" s="120"/>
      <c r="B34" s="120" t="s">
        <v>148</v>
      </c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330"/>
      <c r="R34" s="1330"/>
      <c r="S34" s="1330"/>
      <c r="T34" s="1330"/>
      <c r="U34" s="1330"/>
      <c r="V34" s="1330"/>
      <c r="W34" s="1330"/>
      <c r="X34" s="1330"/>
      <c r="Y34" s="1330"/>
      <c r="Z34" s="1330"/>
      <c r="AA34" s="1330"/>
      <c r="AB34" s="120"/>
      <c r="AC34" s="120"/>
      <c r="AD34" s="120"/>
      <c r="AE34" s="120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</row>
    <row r="35" spans="1:5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19"/>
    </row>
    <row r="36" spans="1:51">
      <c r="A36" s="121"/>
      <c r="B36" s="121"/>
      <c r="C36" s="1331"/>
      <c r="D36" s="1331"/>
      <c r="E36" s="1331"/>
      <c r="F36" s="1331"/>
      <c r="G36" s="1331"/>
      <c r="H36" s="121"/>
      <c r="I36" s="1331"/>
      <c r="J36" s="1331"/>
      <c r="K36" s="1331"/>
      <c r="L36" s="1331"/>
      <c r="M36" s="119"/>
      <c r="N36" s="119"/>
      <c r="O36" s="119"/>
      <c r="P36" s="119"/>
      <c r="Q36" s="119"/>
      <c r="R36" s="119"/>
      <c r="S36" s="119"/>
      <c r="T36" s="261"/>
      <c r="V36" s="125"/>
      <c r="W36" s="125"/>
      <c r="X36" s="125"/>
      <c r="Y36" s="125"/>
      <c r="Z36" s="125" t="s">
        <v>149</v>
      </c>
      <c r="AA36" s="125"/>
      <c r="AB36" s="125"/>
      <c r="AC36" s="125"/>
      <c r="AD36" s="125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V36" s="164"/>
      <c r="AW36" s="164"/>
      <c r="AX36" s="125" t="s">
        <v>150</v>
      </c>
      <c r="AY36" s="119"/>
    </row>
    <row r="37" spans="1:51" ht="3.2" customHeight="1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</row>
    <row r="38" spans="1:51" ht="20.25" customHeight="1">
      <c r="A38" s="119"/>
      <c r="B38" s="1309" t="s">
        <v>151</v>
      </c>
      <c r="C38" s="1327" t="s">
        <v>152</v>
      </c>
      <c r="D38" s="1327"/>
      <c r="E38" s="1327"/>
      <c r="F38" s="1328"/>
      <c r="G38" s="1328"/>
      <c r="H38" s="1309" t="s">
        <v>153</v>
      </c>
      <c r="I38" s="1329"/>
      <c r="J38" s="1329"/>
      <c r="K38" s="1452" t="s">
        <v>89</v>
      </c>
      <c r="L38" s="1452"/>
      <c r="M38" s="1452"/>
      <c r="N38" s="1453" t="s">
        <v>154</v>
      </c>
      <c r="O38" s="1453"/>
      <c r="P38" s="1453"/>
      <c r="Q38" s="1453"/>
      <c r="R38" s="1453"/>
      <c r="S38" s="1453"/>
      <c r="T38" s="1453"/>
      <c r="U38" s="1453"/>
      <c r="V38" s="1445" t="s">
        <v>155</v>
      </c>
      <c r="W38" s="1456"/>
      <c r="X38" s="1456"/>
      <c r="Y38" s="1456"/>
      <c r="Z38" s="1456"/>
      <c r="AA38" s="1456"/>
      <c r="AB38" s="1456"/>
      <c r="AC38" s="1456"/>
      <c r="AD38" s="1446"/>
      <c r="AE38" s="1317" t="s">
        <v>156</v>
      </c>
      <c r="AF38" s="1318"/>
      <c r="AG38" s="1318"/>
      <c r="AH38" s="1318"/>
      <c r="AI38" s="1318"/>
      <c r="AJ38" s="1318"/>
      <c r="AK38" s="1319"/>
      <c r="AL38" s="1314" t="s">
        <v>157</v>
      </c>
      <c r="AM38" s="1315"/>
      <c r="AN38" s="1315"/>
      <c r="AO38" s="1316"/>
      <c r="AP38" s="1317" t="s">
        <v>158</v>
      </c>
      <c r="AQ38" s="1318"/>
      <c r="AR38" s="1318"/>
      <c r="AS38" s="1318"/>
      <c r="AT38" s="1318"/>
      <c r="AU38" s="1318"/>
      <c r="AV38" s="1318"/>
      <c r="AW38" s="1318"/>
      <c r="AX38" s="1319"/>
      <c r="AY38" s="119"/>
    </row>
    <row r="39" spans="1:51" ht="22.7" customHeight="1">
      <c r="A39" s="119"/>
      <c r="B39" s="1320"/>
      <c r="C39" s="1329" t="s">
        <v>159</v>
      </c>
      <c r="D39" s="1329"/>
      <c r="E39" s="1314"/>
      <c r="F39" s="1329" t="s">
        <v>262</v>
      </c>
      <c r="G39" s="1329"/>
      <c r="H39" s="1329" t="s">
        <v>160</v>
      </c>
      <c r="I39" s="1316" t="s">
        <v>263</v>
      </c>
      <c r="J39" s="1314"/>
      <c r="K39" s="1329" t="s">
        <v>161</v>
      </c>
      <c r="L39" s="1329"/>
      <c r="M39" s="1329" t="s">
        <v>162</v>
      </c>
      <c r="N39" s="1453" t="s">
        <v>163</v>
      </c>
      <c r="O39" s="1453"/>
      <c r="P39" s="1453"/>
      <c r="Q39" s="1453"/>
      <c r="R39" s="1453" t="s">
        <v>164</v>
      </c>
      <c r="S39" s="1453"/>
      <c r="T39" s="1453"/>
      <c r="U39" s="1453"/>
      <c r="V39" s="1456" t="s">
        <v>163</v>
      </c>
      <c r="W39" s="1456"/>
      <c r="X39" s="1456"/>
      <c r="Y39" s="1456"/>
      <c r="Z39" s="1456"/>
      <c r="AA39" s="1456"/>
      <c r="AB39" s="1453" t="s">
        <v>164</v>
      </c>
      <c r="AC39" s="1453"/>
      <c r="AD39" s="1453"/>
      <c r="AE39" s="1314" t="s">
        <v>165</v>
      </c>
      <c r="AF39" s="1315"/>
      <c r="AG39" s="1316"/>
      <c r="AH39" s="1317" t="s">
        <v>166</v>
      </c>
      <c r="AI39" s="1318"/>
      <c r="AJ39" s="1318"/>
      <c r="AK39" s="1319"/>
      <c r="AL39" s="1309" t="s">
        <v>167</v>
      </c>
      <c r="AM39" s="1309" t="s">
        <v>168</v>
      </c>
      <c r="AN39" s="1312" t="s">
        <v>169</v>
      </c>
      <c r="AO39" s="1308"/>
      <c r="AP39" s="1323"/>
      <c r="AQ39" s="1324"/>
      <c r="AR39" s="1324"/>
      <c r="AS39" s="1324"/>
      <c r="AT39" s="1325"/>
      <c r="AU39" s="1323"/>
      <c r="AV39" s="1325"/>
      <c r="AW39" s="1323"/>
      <c r="AX39" s="1325"/>
      <c r="AY39" s="119"/>
    </row>
    <row r="40" spans="1:51" ht="39.75" customHeight="1">
      <c r="A40" s="119"/>
      <c r="B40" s="1326"/>
      <c r="C40" s="1309"/>
      <c r="D40" s="1309"/>
      <c r="E40" s="1312"/>
      <c r="F40" s="1309"/>
      <c r="G40" s="1309"/>
      <c r="H40" s="1309"/>
      <c r="I40" s="1308"/>
      <c r="J40" s="1312"/>
      <c r="K40" s="1309"/>
      <c r="L40" s="1309"/>
      <c r="M40" s="1309"/>
      <c r="N40" s="262" t="s">
        <v>170</v>
      </c>
      <c r="O40" s="262" t="s">
        <v>216</v>
      </c>
      <c r="P40" s="262" t="s">
        <v>217</v>
      </c>
      <c r="Q40" s="262" t="s">
        <v>168</v>
      </c>
      <c r="R40" s="262" t="s">
        <v>170</v>
      </c>
      <c r="S40" s="262" t="s">
        <v>216</v>
      </c>
      <c r="T40" s="262" t="s">
        <v>217</v>
      </c>
      <c r="U40" s="262" t="s">
        <v>168</v>
      </c>
      <c r="V40" s="1308" t="s">
        <v>170</v>
      </c>
      <c r="W40" s="1309"/>
      <c r="X40" s="1309" t="s">
        <v>168</v>
      </c>
      <c r="Y40" s="1309"/>
      <c r="Z40" s="1309" t="s">
        <v>171</v>
      </c>
      <c r="AA40" s="1309"/>
      <c r="AB40" s="165" t="s">
        <v>170</v>
      </c>
      <c r="AC40" s="165" t="s">
        <v>168</v>
      </c>
      <c r="AD40" s="165" t="s">
        <v>171</v>
      </c>
      <c r="AE40" s="165" t="s">
        <v>170</v>
      </c>
      <c r="AF40" s="165" t="s">
        <v>168</v>
      </c>
      <c r="AG40" s="165" t="s">
        <v>172</v>
      </c>
      <c r="AH40" s="165" t="s">
        <v>170</v>
      </c>
      <c r="AI40" s="165" t="s">
        <v>168</v>
      </c>
      <c r="AJ40" s="1310" t="s">
        <v>173</v>
      </c>
      <c r="AK40" s="1311"/>
      <c r="AL40" s="1320"/>
      <c r="AM40" s="1320"/>
      <c r="AN40" s="1321"/>
      <c r="AO40" s="1322"/>
      <c r="AP40" s="165" t="s">
        <v>167</v>
      </c>
      <c r="AQ40" s="1312" t="s">
        <v>174</v>
      </c>
      <c r="AR40" s="1313"/>
      <c r="AS40" s="1313"/>
      <c r="AT40" s="1308"/>
      <c r="AU40" s="165" t="s">
        <v>167</v>
      </c>
      <c r="AV40" s="165" t="s">
        <v>168</v>
      </c>
      <c r="AW40" s="165" t="s">
        <v>167</v>
      </c>
      <c r="AX40" s="165" t="s">
        <v>168</v>
      </c>
      <c r="AY40" s="119"/>
    </row>
    <row r="41" spans="1:51" s="271" customFormat="1">
      <c r="A41" s="270"/>
      <c r="B41" s="166">
        <v>1</v>
      </c>
      <c r="C41" s="1295">
        <v>2</v>
      </c>
      <c r="D41" s="1295"/>
      <c r="E41" s="1295"/>
      <c r="F41" s="1295">
        <v>3</v>
      </c>
      <c r="G41" s="1295"/>
      <c r="H41" s="166">
        <v>4</v>
      </c>
      <c r="I41" s="1295">
        <v>5</v>
      </c>
      <c r="J41" s="1306"/>
      <c r="K41" s="1295">
        <v>6</v>
      </c>
      <c r="L41" s="1295"/>
      <c r="M41" s="166">
        <v>7</v>
      </c>
      <c r="N41" s="168">
        <v>8</v>
      </c>
      <c r="O41" s="168">
        <v>9</v>
      </c>
      <c r="P41" s="416">
        <v>10</v>
      </c>
      <c r="Q41" s="168">
        <v>11</v>
      </c>
      <c r="R41" s="168">
        <v>12</v>
      </c>
      <c r="S41" s="168">
        <v>13</v>
      </c>
      <c r="T41" s="416">
        <v>14</v>
      </c>
      <c r="U41" s="168">
        <v>15</v>
      </c>
      <c r="V41" s="1307">
        <v>16</v>
      </c>
      <c r="W41" s="1295"/>
      <c r="X41" s="1295">
        <v>17</v>
      </c>
      <c r="Y41" s="1295"/>
      <c r="Z41" s="1295">
        <v>18</v>
      </c>
      <c r="AA41" s="1295"/>
      <c r="AB41" s="166">
        <v>19</v>
      </c>
      <c r="AC41" s="166">
        <v>20</v>
      </c>
      <c r="AD41" s="166">
        <v>21</v>
      </c>
      <c r="AE41" s="168">
        <v>22</v>
      </c>
      <c r="AF41" s="168">
        <v>23</v>
      </c>
      <c r="AG41" s="168">
        <v>24</v>
      </c>
      <c r="AH41" s="168">
        <v>25</v>
      </c>
      <c r="AI41" s="168">
        <v>26</v>
      </c>
      <c r="AJ41" s="1296">
        <v>27</v>
      </c>
      <c r="AK41" s="1297"/>
      <c r="AL41" s="168">
        <v>28</v>
      </c>
      <c r="AM41" s="168">
        <v>29</v>
      </c>
      <c r="AN41" s="1296">
        <v>30</v>
      </c>
      <c r="AO41" s="1297"/>
      <c r="AP41" s="168">
        <v>31</v>
      </c>
      <c r="AQ41" s="1296">
        <v>32</v>
      </c>
      <c r="AR41" s="1298"/>
      <c r="AS41" s="1298"/>
      <c r="AT41" s="1297"/>
      <c r="AU41" s="168">
        <v>33</v>
      </c>
      <c r="AV41" s="168">
        <v>34</v>
      </c>
      <c r="AW41" s="168">
        <v>35</v>
      </c>
      <c r="AX41" s="168">
        <v>36</v>
      </c>
      <c r="AY41" s="270"/>
    </row>
    <row r="42" spans="1:51" ht="22.5">
      <c r="A42" s="119"/>
      <c r="B42" s="169" t="s">
        <v>4</v>
      </c>
      <c r="C42" s="1299" t="s">
        <v>6</v>
      </c>
      <c r="D42" s="1300"/>
      <c r="E42" s="1301"/>
      <c r="F42" s="1299" t="s">
        <v>7</v>
      </c>
      <c r="G42" s="1301"/>
      <c r="H42" s="433" t="s">
        <v>336</v>
      </c>
      <c r="I42" s="1299" t="s">
        <v>8</v>
      </c>
      <c r="J42" s="1301"/>
      <c r="K42" s="1302" t="s">
        <v>14</v>
      </c>
      <c r="L42" s="1303"/>
      <c r="M42" s="170" t="s">
        <v>15</v>
      </c>
      <c r="N42" s="237" t="s">
        <v>10</v>
      </c>
      <c r="O42" s="237" t="s">
        <v>20</v>
      </c>
      <c r="P42" s="272" t="s">
        <v>21</v>
      </c>
      <c r="Q42" s="171" t="s">
        <v>11</v>
      </c>
      <c r="R42" s="237" t="s">
        <v>12</v>
      </c>
      <c r="S42" s="237" t="s">
        <v>22</v>
      </c>
      <c r="T42" s="272" t="s">
        <v>23</v>
      </c>
      <c r="U42" s="171" t="s">
        <v>13</v>
      </c>
      <c r="V42" s="1304"/>
      <c r="W42" s="1305"/>
      <c r="X42" s="1284"/>
      <c r="Y42" s="1285"/>
      <c r="Z42" s="1284"/>
      <c r="AA42" s="1285"/>
      <c r="AB42" s="172"/>
      <c r="AC42" s="172"/>
      <c r="AD42" s="172"/>
      <c r="AE42" s="172"/>
      <c r="AF42" s="172"/>
      <c r="AG42" s="172"/>
      <c r="AH42" s="172"/>
      <c r="AI42" s="172"/>
      <c r="AJ42" s="274"/>
      <c r="AK42" s="275"/>
      <c r="AL42" s="172"/>
      <c r="AM42" s="172"/>
      <c r="AN42" s="274"/>
      <c r="AO42" s="275"/>
      <c r="AP42" s="172"/>
      <c r="AQ42" s="274"/>
      <c r="AR42" s="280"/>
      <c r="AS42" s="280"/>
      <c r="AT42" s="275"/>
      <c r="AU42" s="172"/>
      <c r="AV42" s="172"/>
      <c r="AW42" s="172"/>
      <c r="AX42" s="172"/>
      <c r="AY42" s="119"/>
    </row>
    <row r="43" spans="1:51" ht="13.5">
      <c r="B43" s="173" t="s">
        <v>175</v>
      </c>
      <c r="M43" s="174" t="s">
        <v>176</v>
      </c>
      <c r="N43" s="244"/>
      <c r="O43" s="244"/>
      <c r="P43" s="273"/>
      <c r="Q43" s="175"/>
      <c r="R43" s="244"/>
      <c r="S43" s="244"/>
      <c r="T43" s="273"/>
      <c r="U43" s="175"/>
      <c r="V43" s="1286"/>
      <c r="W43" s="1287"/>
      <c r="X43" s="176"/>
      <c r="Y43" s="177"/>
      <c r="Z43" s="1288" t="s">
        <v>177</v>
      </c>
      <c r="AA43" s="1289"/>
      <c r="AB43" s="178"/>
      <c r="AC43" s="178"/>
      <c r="AD43" s="179" t="s">
        <v>177</v>
      </c>
      <c r="AE43" s="180"/>
      <c r="AF43" s="181"/>
      <c r="AG43" s="182"/>
      <c r="AH43" s="181"/>
      <c r="AI43" s="183"/>
      <c r="AJ43" s="184"/>
      <c r="AK43" s="185"/>
      <c r="AL43" s="183"/>
      <c r="AM43" s="183"/>
      <c r="AN43" s="184"/>
      <c r="AO43" s="185"/>
      <c r="AP43" s="183"/>
      <c r="AQ43" s="186"/>
      <c r="AR43" s="187"/>
      <c r="AS43" s="187"/>
      <c r="AT43" s="188"/>
      <c r="AU43" s="183"/>
      <c r="AV43" s="183"/>
      <c r="AW43" s="183"/>
      <c r="AX43" s="183"/>
    </row>
    <row r="44" spans="1:51" ht="13.5">
      <c r="A44" s="119"/>
      <c r="B44" s="173" t="s">
        <v>175</v>
      </c>
      <c r="C44" s="189"/>
      <c r="D44" s="189"/>
      <c r="E44" s="189"/>
      <c r="F44" s="190"/>
      <c r="G44" s="190"/>
      <c r="H44" s="191"/>
      <c r="I44" s="189"/>
      <c r="J44" s="189"/>
      <c r="K44" s="190"/>
      <c r="L44" s="190"/>
      <c r="M44" s="192" t="s">
        <v>178</v>
      </c>
      <c r="N44" s="193"/>
      <c r="O44" s="193"/>
      <c r="P44" s="273"/>
      <c r="Q44" s="194"/>
      <c r="R44" s="193"/>
      <c r="S44" s="193"/>
      <c r="T44" s="273"/>
      <c r="U44" s="194"/>
      <c r="V44" s="1290"/>
      <c r="W44" s="1291"/>
      <c r="X44" s="195"/>
      <c r="Y44" s="196"/>
      <c r="Z44" s="1292" t="s">
        <v>177</v>
      </c>
      <c r="AA44" s="1293"/>
      <c r="AB44" s="197"/>
      <c r="AC44" s="197"/>
      <c r="AD44" s="198" t="s">
        <v>177</v>
      </c>
      <c r="AE44" s="181"/>
      <c r="AF44" s="181"/>
      <c r="AG44" s="182"/>
      <c r="AH44" s="181"/>
      <c r="AI44" s="183"/>
      <c r="AJ44" s="184"/>
      <c r="AK44" s="185"/>
      <c r="AL44" s="183"/>
      <c r="AM44" s="183"/>
      <c r="AN44" s="184"/>
      <c r="AO44" s="185"/>
      <c r="AP44" s="183"/>
      <c r="AQ44" s="186"/>
      <c r="AR44" s="187"/>
      <c r="AS44" s="187"/>
      <c r="AT44" s="188"/>
      <c r="AU44" s="183"/>
      <c r="AV44" s="183"/>
      <c r="AW44" s="183"/>
      <c r="AX44" s="183"/>
      <c r="AY44" s="119"/>
    </row>
    <row r="45" spans="1:51" ht="12.75" customHeight="1">
      <c r="A45" s="123"/>
      <c r="B45" s="173" t="s">
        <v>175</v>
      </c>
      <c r="C45" s="199"/>
      <c r="D45" s="199"/>
      <c r="E45" s="199"/>
      <c r="F45" s="199"/>
      <c r="G45" s="199"/>
      <c r="H45" s="200"/>
      <c r="I45" s="201"/>
      <c r="J45" s="201"/>
      <c r="K45" s="201"/>
      <c r="L45" s="201"/>
      <c r="M45" s="202"/>
      <c r="N45" s="202"/>
      <c r="O45" s="202"/>
      <c r="P45" s="203"/>
      <c r="Q45" s="203"/>
      <c r="R45" s="201"/>
      <c r="S45" s="201"/>
      <c r="T45" s="204"/>
      <c r="U45" s="118"/>
      <c r="V45" s="119"/>
      <c r="W45" s="119"/>
      <c r="X45" s="119"/>
      <c r="Y45" s="119"/>
      <c r="Z45" s="119"/>
      <c r="AA45" s="119"/>
      <c r="AB45" s="119"/>
      <c r="AC45" s="119"/>
      <c r="AD45" s="119"/>
      <c r="AE45" s="119" t="s">
        <v>179</v>
      </c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205"/>
      <c r="AY45" s="119"/>
    </row>
    <row r="46" spans="1:51" ht="12.75" customHeight="1">
      <c r="A46" s="121" t="s">
        <v>93</v>
      </c>
      <c r="B46" s="121" t="s">
        <v>93</v>
      </c>
      <c r="C46" s="1332" t="s">
        <v>180</v>
      </c>
      <c r="D46" s="1332"/>
      <c r="E46" s="1332"/>
      <c r="F46" s="206"/>
      <c r="G46" s="206"/>
      <c r="H46" s="206"/>
      <c r="I46" s="120"/>
      <c r="J46" s="1281"/>
      <c r="K46" s="1281"/>
      <c r="L46" s="1281"/>
      <c r="M46" s="1281"/>
      <c r="N46" s="1281"/>
      <c r="O46" s="1281"/>
      <c r="P46" s="1281"/>
      <c r="Q46" s="1281"/>
      <c r="R46" s="207"/>
      <c r="S46" s="207"/>
      <c r="T46" s="121"/>
      <c r="U46" s="119"/>
      <c r="V46" s="119"/>
      <c r="W46" s="119"/>
      <c r="X46" s="119"/>
      <c r="Y46" s="119"/>
      <c r="Z46" s="119"/>
      <c r="AA46" s="119"/>
      <c r="AB46" s="119"/>
      <c r="AC46" s="119"/>
      <c r="AD46" s="119"/>
      <c r="AE46" s="119"/>
      <c r="AF46" s="424" t="s">
        <v>181</v>
      </c>
      <c r="AG46" s="119"/>
      <c r="AH46" s="119"/>
      <c r="AI46" s="119"/>
      <c r="AJ46" s="119"/>
      <c r="AK46" s="1283" t="s">
        <v>291</v>
      </c>
      <c r="AL46" s="1283"/>
      <c r="AM46" s="1283"/>
      <c r="AN46" s="119"/>
      <c r="AO46" s="1281"/>
      <c r="AP46" s="1281"/>
      <c r="AQ46" s="1281"/>
      <c r="AR46" s="157"/>
      <c r="AS46" s="119"/>
      <c r="AT46" s="209">
        <f>GalRepVar_MOL</f>
        <v>0</v>
      </c>
      <c r="AU46" s="210" t="s">
        <v>33</v>
      </c>
      <c r="AV46" s="209"/>
      <c r="AW46" s="209"/>
      <c r="AX46" s="211"/>
      <c r="AY46" s="119"/>
    </row>
    <row r="47" spans="1:51" ht="12.75" customHeight="1">
      <c r="A47" s="119"/>
      <c r="B47" s="119"/>
      <c r="C47" s="119"/>
      <c r="D47" s="160"/>
      <c r="E47" s="160"/>
      <c r="F47" s="1280" t="s">
        <v>80</v>
      </c>
      <c r="G47" s="1280"/>
      <c r="H47" s="1280"/>
      <c r="I47" s="160"/>
      <c r="J47" s="1280" t="s">
        <v>182</v>
      </c>
      <c r="K47" s="1280"/>
      <c r="L47" s="1280"/>
      <c r="M47" s="1280"/>
      <c r="N47" s="1280"/>
      <c r="O47" s="1280"/>
      <c r="P47" s="1280"/>
      <c r="Q47" s="1280"/>
      <c r="R47" s="160"/>
      <c r="S47" s="160"/>
      <c r="T47" s="121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280" t="s">
        <v>183</v>
      </c>
      <c r="AL47" s="1280"/>
      <c r="AM47" s="1280"/>
      <c r="AN47" s="212"/>
      <c r="AO47" s="1280" t="s">
        <v>80</v>
      </c>
      <c r="AP47" s="1280"/>
      <c r="AQ47" s="1280"/>
      <c r="AR47" s="159"/>
      <c r="AS47" s="212"/>
      <c r="AT47" s="1280" t="s">
        <v>182</v>
      </c>
      <c r="AU47" s="1280"/>
      <c r="AV47" s="1280"/>
      <c r="AW47" s="1280"/>
      <c r="AX47" s="1280"/>
      <c r="AY47" s="119"/>
    </row>
    <row r="48" spans="1:51" ht="12.75" customHeight="1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T48" s="160"/>
      <c r="U48" s="119"/>
      <c r="V48" s="119"/>
      <c r="W48" s="119"/>
      <c r="X48" s="119"/>
      <c r="Y48" s="119"/>
      <c r="Z48" s="119"/>
      <c r="AA48" s="119"/>
      <c r="AB48" s="119"/>
      <c r="AC48" s="119"/>
      <c r="AD48" s="119"/>
      <c r="AE48" s="119"/>
      <c r="AF48" s="121"/>
      <c r="AG48" s="121"/>
      <c r="AH48" s="121"/>
      <c r="AI48" s="121"/>
      <c r="AJ48" s="121"/>
      <c r="AK48" s="1281"/>
      <c r="AL48" s="1281"/>
      <c r="AM48" s="1281"/>
      <c r="AN48" s="119"/>
      <c r="AO48" s="1281"/>
      <c r="AP48" s="1281"/>
      <c r="AQ48" s="1281"/>
      <c r="AR48" s="157"/>
      <c r="AS48" s="119"/>
      <c r="AT48" s="1281"/>
      <c r="AU48" s="1281"/>
      <c r="AV48" s="1281"/>
      <c r="AW48" s="1281"/>
      <c r="AX48" s="211"/>
      <c r="AY48" s="119"/>
    </row>
    <row r="49" spans="1:51" ht="12.75" customHeight="1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282" t="s">
        <v>183</v>
      </c>
      <c r="AL49" s="1282"/>
      <c r="AM49" s="1282"/>
      <c r="AN49" s="213"/>
      <c r="AO49" s="1282" t="s">
        <v>80</v>
      </c>
      <c r="AP49" s="1282"/>
      <c r="AQ49" s="1282"/>
      <c r="AR49" s="214"/>
      <c r="AS49" s="213"/>
      <c r="AT49" s="1282" t="s">
        <v>182</v>
      </c>
      <c r="AU49" s="1282"/>
      <c r="AV49" s="1282"/>
      <c r="AW49" s="1282"/>
      <c r="AX49" s="1282"/>
      <c r="AY49" s="119"/>
    </row>
    <row r="50" spans="1:51" ht="12.75" customHeight="1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  <c r="AA50" s="119"/>
      <c r="AB50" s="119"/>
      <c r="AC50" s="119"/>
      <c r="AD50" s="119"/>
      <c r="AX50" s="119"/>
      <c r="AY50" s="119"/>
    </row>
    <row r="51" spans="1:51" ht="12.75" customHeight="1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  <c r="AV51" s="119"/>
      <c r="AW51" s="119"/>
      <c r="AX51" s="119"/>
      <c r="AY51" s="119"/>
    </row>
    <row r="52" spans="1:51" ht="12.75" customHeight="1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  <c r="AA52" s="119"/>
      <c r="AB52" s="119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</row>
    <row r="53" spans="1:51" ht="12.75" customHeight="1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21"/>
      <c r="AY53" s="119"/>
    </row>
    <row r="54" spans="1:51" ht="12.75" customHeight="1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  <c r="AA54" s="119"/>
      <c r="AB54" s="119"/>
      <c r="AC54" s="119"/>
      <c r="AD54" s="119"/>
      <c r="AX54" s="119"/>
      <c r="AY54" s="119"/>
    </row>
    <row r="55" spans="1:51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X55" s="119"/>
      <c r="AY55" s="119"/>
    </row>
    <row r="56" spans="1:51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X56" s="119"/>
      <c r="AY56" s="119"/>
    </row>
    <row r="57" spans="1:51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  <c r="AA57" s="119"/>
      <c r="AB57" s="119"/>
      <c r="AC57" s="119"/>
      <c r="AD57" s="119"/>
      <c r="AX57" s="119"/>
      <c r="AY57" s="119"/>
    </row>
    <row r="58" spans="1:51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  <c r="AA58" s="119"/>
      <c r="AB58" s="119"/>
      <c r="AC58" s="119"/>
      <c r="AD58" s="119"/>
      <c r="AX58" s="119"/>
      <c r="AY58" s="119"/>
    </row>
    <row r="59" spans="1:51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</row>
    <row r="60" spans="1:51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  <c r="AA60" s="119"/>
      <c r="AB60" s="119"/>
      <c r="AC60" s="119"/>
      <c r="AD60" s="119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  <c r="AU60" s="119"/>
      <c r="AV60" s="119"/>
      <c r="AW60" s="119"/>
      <c r="AX60" s="119"/>
    </row>
    <row r="83" spans="2:2">
      <c r="B83" t="s">
        <v>184</v>
      </c>
    </row>
  </sheetData>
  <mergeCells count="102">
    <mergeCell ref="R16:W16"/>
    <mergeCell ref="L14:U14"/>
    <mergeCell ref="Q17:W17"/>
    <mergeCell ref="X17:Z17"/>
    <mergeCell ref="C41:E41"/>
    <mergeCell ref="F41:G41"/>
    <mergeCell ref="I41:J41"/>
    <mergeCell ref="K41:L41"/>
    <mergeCell ref="AK49:AM49"/>
    <mergeCell ref="AK48:AM48"/>
    <mergeCell ref="C42:E42"/>
    <mergeCell ref="K42:L42"/>
    <mergeCell ref="V44:W44"/>
    <mergeCell ref="Z43:AA43"/>
    <mergeCell ref="F42:G42"/>
    <mergeCell ref="I42:J42"/>
    <mergeCell ref="C46:E46"/>
    <mergeCell ref="AJ40:AK40"/>
    <mergeCell ref="Z40:AA40"/>
    <mergeCell ref="AO49:AQ49"/>
    <mergeCell ref="AT47:AX47"/>
    <mergeCell ref="AT49:AX49"/>
    <mergeCell ref="AO47:AQ47"/>
    <mergeCell ref="AO48:AQ48"/>
    <mergeCell ref="AT48:AW48"/>
    <mergeCell ref="AK46:AM46"/>
    <mergeCell ref="F47:H47"/>
    <mergeCell ref="J47:Q47"/>
    <mergeCell ref="AK47:AM47"/>
    <mergeCell ref="J46:Q46"/>
    <mergeCell ref="AO46:AQ46"/>
    <mergeCell ref="AN41:AO41"/>
    <mergeCell ref="V41:W41"/>
    <mergeCell ref="X41:Y41"/>
    <mergeCell ref="Z41:AA41"/>
    <mergeCell ref="AJ41:AK41"/>
    <mergeCell ref="AQ41:AT41"/>
    <mergeCell ref="Z42:AA42"/>
    <mergeCell ref="Z44:AA44"/>
    <mergeCell ref="V43:W43"/>
    <mergeCell ref="V42:W42"/>
    <mergeCell ref="X42:Y42"/>
    <mergeCell ref="AP39:AT39"/>
    <mergeCell ref="AB39:AD39"/>
    <mergeCell ref="K36:L36"/>
    <mergeCell ref="V38:AD38"/>
    <mergeCell ref="N38:U38"/>
    <mergeCell ref="AP38:AX38"/>
    <mergeCell ref="AL38:AO38"/>
    <mergeCell ref="AE38:AK38"/>
    <mergeCell ref="AE39:AG39"/>
    <mergeCell ref="N39:Q39"/>
    <mergeCell ref="AH39:AK39"/>
    <mergeCell ref="V39:AA39"/>
    <mergeCell ref="X9:Z10"/>
    <mergeCell ref="B38:B40"/>
    <mergeCell ref="C38:G38"/>
    <mergeCell ref="H38:J38"/>
    <mergeCell ref="K38:M38"/>
    <mergeCell ref="C39:E40"/>
    <mergeCell ref="F39:G40"/>
    <mergeCell ref="H39:H40"/>
    <mergeCell ref="I39:J40"/>
    <mergeCell ref="K39:L40"/>
    <mergeCell ref="M39:M40"/>
    <mergeCell ref="R39:U39"/>
    <mergeCell ref="V40:W40"/>
    <mergeCell ref="X40:Y40"/>
    <mergeCell ref="U22:X22"/>
    <mergeCell ref="U18:W18"/>
    <mergeCell ref="K22:Q22"/>
    <mergeCell ref="R22:T22"/>
    <mergeCell ref="K32:L32"/>
    <mergeCell ref="J28:AA28"/>
    <mergeCell ref="X16:Z16"/>
    <mergeCell ref="X14:Z15"/>
    <mergeCell ref="R21:T21"/>
    <mergeCell ref="V14:W15"/>
    <mergeCell ref="B3:D5"/>
    <mergeCell ref="AW39:AX39"/>
    <mergeCell ref="AL39:AL40"/>
    <mergeCell ref="AM39:AM40"/>
    <mergeCell ref="AN39:AO40"/>
    <mergeCell ref="AQ40:AT40"/>
    <mergeCell ref="AU39:AV39"/>
    <mergeCell ref="E23:U23"/>
    <mergeCell ref="J29:AA29"/>
    <mergeCell ref="J30:AA30"/>
    <mergeCell ref="C36:E36"/>
    <mergeCell ref="G32:I32"/>
    <mergeCell ref="F36:G36"/>
    <mergeCell ref="I36:J36"/>
    <mergeCell ref="Q34:AA34"/>
    <mergeCell ref="X6:Z6"/>
    <mergeCell ref="X7:Z7"/>
    <mergeCell ref="X8:Z8"/>
    <mergeCell ref="V13:W13"/>
    <mergeCell ref="R7:W7"/>
    <mergeCell ref="X13:Z13"/>
    <mergeCell ref="L13:U13"/>
    <mergeCell ref="E11:Q11"/>
    <mergeCell ref="R11:W12"/>
  </mergeCells>
  <phoneticPr fontId="0" type="noConversion"/>
  <pageMargins left="0.25" right="0.28000000000000003" top="0.34" bottom="0.35433070866141736" header="0" footer="0"/>
  <pageSetup paperSize="9" orientation="landscape" r:id="rId1"/>
  <headerFooter alignWithMargins="0"/>
  <rowBreaks count="1" manualBreakCount="1">
    <brk id="35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54"/>
  <dimension ref="A1:AU8"/>
  <sheetViews>
    <sheetView zoomScaleNormal="100" zoomScaleSheetLayoutView="115" workbookViewId="0">
      <selection activeCell="V31" sqref="V31"/>
    </sheetView>
  </sheetViews>
  <sheetFormatPr defaultRowHeight="12.75"/>
  <cols>
    <col min="1" max="31" width="4.85546875" customWidth="1"/>
  </cols>
  <sheetData>
    <row r="1" spans="1:47" ht="13.5">
      <c r="M1" s="174" t="s">
        <v>176</v>
      </c>
      <c r="N1" s="175"/>
      <c r="O1" s="175"/>
      <c r="P1" s="175"/>
      <c r="Q1" s="175"/>
      <c r="R1" s="1457"/>
      <c r="S1" s="1458"/>
      <c r="T1" s="1146"/>
      <c r="U1" s="1147"/>
      <c r="V1" s="1459" t="s">
        <v>177</v>
      </c>
      <c r="W1" s="1460"/>
      <c r="X1" s="287"/>
      <c r="Y1" s="287"/>
      <c r="Z1" s="288" t="s">
        <v>177</v>
      </c>
      <c r="AA1" s="901"/>
      <c r="AB1" s="901"/>
      <c r="AC1" s="901"/>
      <c r="AD1" s="901"/>
      <c r="AE1" s="901"/>
      <c r="AF1" s="902"/>
      <c r="AG1" s="903"/>
      <c r="AH1" s="901"/>
      <c r="AI1" s="904"/>
      <c r="AJ1" s="905"/>
      <c r="AK1" s="906"/>
      <c r="AL1" s="904"/>
      <c r="AM1" s="905"/>
      <c r="AN1" s="907"/>
      <c r="AO1" s="907"/>
      <c r="AP1" s="906"/>
      <c r="AQ1" s="904"/>
      <c r="AR1" s="904"/>
      <c r="AS1" s="904"/>
      <c r="AT1" s="904"/>
    </row>
    <row r="2" spans="1:47" ht="12.75" customHeight="1">
      <c r="A2" s="123"/>
      <c r="B2" s="215" t="s">
        <v>175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Q2" s="204"/>
      <c r="R2" s="204"/>
      <c r="S2" s="204"/>
      <c r="T2" s="118"/>
      <c r="U2" s="119"/>
      <c r="V2" s="119"/>
      <c r="W2" s="119"/>
      <c r="X2" s="119"/>
      <c r="Y2" s="119"/>
      <c r="Z2" s="119"/>
      <c r="AA2" s="119" t="s">
        <v>179</v>
      </c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53"/>
      <c r="AU2" s="119"/>
    </row>
    <row r="3" spans="1:47" ht="12.75" customHeight="1">
      <c r="A3" s="121"/>
      <c r="B3" s="121"/>
      <c r="H3" s="1332" t="s">
        <v>180</v>
      </c>
      <c r="I3" s="1332"/>
      <c r="J3" s="1332"/>
      <c r="K3" s="206"/>
      <c r="L3" s="206"/>
      <c r="M3" s="206"/>
      <c r="N3" s="1143"/>
      <c r="O3" s="206"/>
      <c r="P3" s="206"/>
      <c r="Q3" s="206"/>
      <c r="R3" s="206"/>
      <c r="S3" s="206"/>
      <c r="T3" s="206"/>
      <c r="U3" s="206"/>
      <c r="V3" s="119"/>
      <c r="W3" s="119"/>
      <c r="X3" s="119"/>
      <c r="Y3" s="119"/>
      <c r="Z3" s="119"/>
      <c r="AA3" s="119"/>
      <c r="AB3" s="208" t="s">
        <v>181</v>
      </c>
      <c r="AC3" s="119"/>
      <c r="AD3" s="119"/>
      <c r="AE3" s="119"/>
      <c r="AF3" s="119"/>
      <c r="AG3" s="1283" t="s">
        <v>291</v>
      </c>
      <c r="AH3" s="1283"/>
      <c r="AI3" s="1283"/>
      <c r="AJ3" s="119"/>
      <c r="AK3" s="1281"/>
      <c r="AL3" s="1281"/>
      <c r="AM3" s="1281"/>
      <c r="AN3" s="157"/>
      <c r="AO3" s="217"/>
      <c r="AP3" s="209"/>
      <c r="AQ3" s="1164" t="s">
        <v>33</v>
      </c>
      <c r="AR3" s="209"/>
      <c r="AS3" s="209"/>
      <c r="AT3" s="211"/>
      <c r="AU3" s="119"/>
    </row>
    <row r="4" spans="1:47" ht="12.75" customHeight="1">
      <c r="A4" s="119"/>
      <c r="B4" s="119"/>
      <c r="H4" s="119"/>
      <c r="I4" s="160"/>
      <c r="J4" s="160"/>
      <c r="K4" s="1280" t="s">
        <v>80</v>
      </c>
      <c r="L4" s="1280"/>
      <c r="M4" s="1280"/>
      <c r="N4" s="160"/>
      <c r="P4" s="131"/>
      <c r="Q4" s="131" t="s">
        <v>182</v>
      </c>
      <c r="R4" s="131"/>
      <c r="S4" s="131"/>
      <c r="T4" s="131"/>
      <c r="U4" s="131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9"/>
      <c r="AG4" s="1280" t="s">
        <v>183</v>
      </c>
      <c r="AH4" s="1280"/>
      <c r="AI4" s="1280"/>
      <c r="AJ4" s="212"/>
      <c r="AK4" s="1280" t="s">
        <v>80</v>
      </c>
      <c r="AL4" s="1280"/>
      <c r="AM4" s="1280"/>
      <c r="AN4" s="1141"/>
      <c r="AO4" s="212"/>
      <c r="AP4" s="1280" t="s">
        <v>182</v>
      </c>
      <c r="AQ4" s="1280"/>
      <c r="AR4" s="1280"/>
      <c r="AS4" s="1280"/>
      <c r="AT4" s="1280"/>
      <c r="AU4" s="119"/>
    </row>
    <row r="5" spans="1:47" ht="12.75" customHeight="1">
      <c r="A5" s="119"/>
      <c r="B5" s="119"/>
      <c r="C5" s="119"/>
      <c r="D5" s="119"/>
      <c r="E5" s="119"/>
      <c r="F5" s="119"/>
      <c r="U5" s="119"/>
      <c r="V5" s="119"/>
      <c r="W5" s="119"/>
      <c r="X5" s="119"/>
      <c r="Y5" s="119"/>
      <c r="Z5" s="119"/>
      <c r="AA5" s="119"/>
      <c r="AB5" s="121"/>
      <c r="AC5" s="121"/>
      <c r="AD5" s="121"/>
      <c r="AE5" s="121"/>
      <c r="AF5" s="121"/>
      <c r="AG5" s="1281"/>
      <c r="AH5" s="1281"/>
      <c r="AI5" s="1281"/>
      <c r="AJ5" s="119"/>
      <c r="AK5" s="1281"/>
      <c r="AL5" s="1281"/>
      <c r="AM5" s="1281"/>
      <c r="AN5" s="157"/>
      <c r="AO5" s="119"/>
      <c r="AP5" s="1281"/>
      <c r="AQ5" s="1281"/>
      <c r="AR5" s="1281"/>
      <c r="AS5" s="1281"/>
      <c r="AT5" s="211"/>
      <c r="AU5" s="119"/>
    </row>
    <row r="6" spans="1:47" ht="12.75" customHeight="1">
      <c r="A6" s="119"/>
      <c r="B6" s="119"/>
      <c r="C6" s="119"/>
      <c r="D6" s="119"/>
      <c r="E6" s="119"/>
      <c r="F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9"/>
      <c r="AG6" s="1282" t="s">
        <v>183</v>
      </c>
      <c r="AH6" s="1282"/>
      <c r="AI6" s="1282"/>
      <c r="AJ6" s="213"/>
      <c r="AK6" s="1282" t="s">
        <v>80</v>
      </c>
      <c r="AL6" s="1282"/>
      <c r="AM6" s="1282"/>
      <c r="AN6" s="1148"/>
      <c r="AO6" s="213"/>
      <c r="AP6" s="1282" t="s">
        <v>182</v>
      </c>
      <c r="AQ6" s="1282"/>
      <c r="AR6" s="1282"/>
      <c r="AS6" s="1282"/>
      <c r="AT6" s="1282"/>
      <c r="AU6" s="119"/>
    </row>
    <row r="7" spans="1:47"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</row>
    <row r="8" spans="1:47">
      <c r="A8" s="119"/>
      <c r="B8" s="119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</row>
  </sheetData>
  <mergeCells count="15">
    <mergeCell ref="H3:J3"/>
    <mergeCell ref="AG3:AI3"/>
    <mergeCell ref="AK3:AM3"/>
    <mergeCell ref="AP4:AT4"/>
    <mergeCell ref="AG5:AI5"/>
    <mergeCell ref="AK5:AM5"/>
    <mergeCell ref="AP5:AS5"/>
    <mergeCell ref="K4:M4"/>
    <mergeCell ref="AG4:AI4"/>
    <mergeCell ref="AK4:AM4"/>
    <mergeCell ref="R1:S1"/>
    <mergeCell ref="V1:W1"/>
    <mergeCell ref="AG6:AI6"/>
    <mergeCell ref="AK6:AM6"/>
    <mergeCell ref="AP6:AT6"/>
  </mergeCells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55"/>
  <dimension ref="A1:AY8"/>
  <sheetViews>
    <sheetView topLeftCell="Z1" zoomScaleNormal="100" zoomScaleSheetLayoutView="115" workbookViewId="0">
      <selection activeCell="AQ30" sqref="AQ30"/>
    </sheetView>
  </sheetViews>
  <sheetFormatPr defaultRowHeight="12.75"/>
  <cols>
    <col min="1" max="5" width="4.85546875" customWidth="1"/>
    <col min="6" max="6" width="5" customWidth="1"/>
    <col min="7" max="35" width="4.85546875" customWidth="1"/>
  </cols>
  <sheetData>
    <row r="1" spans="1:51" ht="13.5">
      <c r="M1" s="174" t="s">
        <v>176</v>
      </c>
      <c r="N1" s="175"/>
      <c r="O1" s="175"/>
      <c r="P1" s="175"/>
      <c r="Q1" s="175"/>
      <c r="R1" s="175"/>
      <c r="S1" s="175"/>
      <c r="T1" s="175"/>
      <c r="U1" s="175"/>
      <c r="V1" s="1457"/>
      <c r="W1" s="1458"/>
      <c r="X1" s="1146"/>
      <c r="Y1" s="1147"/>
      <c r="Z1" s="1459" t="s">
        <v>177</v>
      </c>
      <c r="AA1" s="1460"/>
      <c r="AB1" s="287"/>
      <c r="AC1" s="287"/>
      <c r="AD1" s="288" t="s">
        <v>177</v>
      </c>
      <c r="AE1" s="917"/>
      <c r="AF1" s="911"/>
      <c r="AG1" s="911"/>
      <c r="AH1" s="917"/>
      <c r="AI1" s="911"/>
      <c r="AJ1" s="1149"/>
      <c r="AK1" s="912"/>
      <c r="AL1" s="917"/>
      <c r="AM1" s="911"/>
      <c r="AN1" s="1149"/>
      <c r="AO1" s="912"/>
      <c r="AP1" s="917"/>
      <c r="AQ1" s="1461"/>
      <c r="AR1" s="1462"/>
      <c r="AS1" s="1150"/>
      <c r="AT1" s="912"/>
      <c r="AU1" s="911"/>
      <c r="AV1" s="911"/>
      <c r="AW1" s="911"/>
      <c r="AX1" s="911"/>
    </row>
    <row r="2" spans="1:51" ht="12.75" customHeight="1">
      <c r="A2" s="123"/>
      <c r="B2" s="215" t="s">
        <v>175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U2" s="204"/>
      <c r="V2" s="204"/>
      <c r="W2" s="204"/>
      <c r="X2" s="118"/>
      <c r="Y2" s="119"/>
      <c r="Z2" s="119"/>
      <c r="AA2" s="119"/>
      <c r="AB2" s="119"/>
      <c r="AC2" s="119"/>
      <c r="AD2" s="119"/>
      <c r="AE2" s="119" t="s">
        <v>179</v>
      </c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53"/>
      <c r="AY2" s="119"/>
    </row>
    <row r="3" spans="1:51" ht="12.75" customHeight="1">
      <c r="A3" s="121"/>
      <c r="B3" s="121"/>
      <c r="H3" s="1332" t="s">
        <v>180</v>
      </c>
      <c r="I3" s="1332"/>
      <c r="J3" s="1332"/>
      <c r="K3" s="206"/>
      <c r="L3" s="206"/>
      <c r="M3" s="206"/>
      <c r="N3" s="1143"/>
      <c r="O3" s="1281"/>
      <c r="P3" s="1281"/>
      <c r="Q3" s="1281"/>
      <c r="R3" s="1281"/>
      <c r="S3" s="1281"/>
      <c r="T3" s="1281"/>
      <c r="U3" s="415"/>
      <c r="V3" s="415"/>
      <c r="W3" s="415"/>
      <c r="X3" s="415"/>
      <c r="Y3" s="415"/>
      <c r="Z3" s="119"/>
      <c r="AA3" s="119"/>
      <c r="AB3" s="119"/>
      <c r="AC3" s="119"/>
      <c r="AD3" s="119"/>
      <c r="AE3" s="119"/>
      <c r="AF3" s="1165" t="s">
        <v>181</v>
      </c>
      <c r="AG3" s="119"/>
      <c r="AH3" s="119"/>
      <c r="AI3" s="119"/>
      <c r="AJ3" s="119"/>
      <c r="AK3" s="1144" t="s">
        <v>291</v>
      </c>
      <c r="AL3" s="1144"/>
      <c r="AM3" s="1144"/>
      <c r="AN3" s="119"/>
      <c r="AO3" s="1281"/>
      <c r="AP3" s="1281"/>
      <c r="AQ3" s="1281"/>
      <c r="AR3" s="157"/>
      <c r="AS3" s="217"/>
      <c r="AT3" s="209"/>
      <c r="AU3" s="158"/>
      <c r="AV3" s="1164" t="s">
        <v>33</v>
      </c>
      <c r="AW3" s="209"/>
      <c r="AX3" s="211"/>
      <c r="AY3" s="119"/>
    </row>
    <row r="4" spans="1:51" ht="12.75" customHeight="1">
      <c r="A4" s="119"/>
      <c r="B4" s="119"/>
      <c r="H4" s="119"/>
      <c r="I4" s="160"/>
      <c r="J4" s="160"/>
      <c r="K4" s="1280" t="s">
        <v>80</v>
      </c>
      <c r="L4" s="1280"/>
      <c r="M4" s="1280"/>
      <c r="N4" s="160"/>
      <c r="O4" s="1280" t="s">
        <v>182</v>
      </c>
      <c r="P4" s="1280"/>
      <c r="Q4" s="1280"/>
      <c r="R4" s="1280"/>
      <c r="S4" s="1280"/>
      <c r="T4" s="1280"/>
      <c r="V4" s="398"/>
      <c r="W4" s="398"/>
      <c r="X4" s="398"/>
      <c r="Y4" s="398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280" t="s">
        <v>183</v>
      </c>
      <c r="AL4" s="1280"/>
      <c r="AM4" s="1280"/>
      <c r="AN4" s="212"/>
      <c r="AO4" s="1280" t="s">
        <v>80</v>
      </c>
      <c r="AP4" s="1280"/>
      <c r="AQ4" s="1280"/>
      <c r="AR4" s="1141"/>
      <c r="AS4" s="212"/>
      <c r="AT4" s="1280" t="s">
        <v>182</v>
      </c>
      <c r="AU4" s="1280"/>
      <c r="AV4" s="1280"/>
      <c r="AW4" s="1280"/>
      <c r="AX4" s="1280"/>
      <c r="AY4" s="119"/>
    </row>
    <row r="5" spans="1:51" ht="12.75" customHeight="1">
      <c r="A5" s="119"/>
      <c r="B5" s="119"/>
      <c r="C5" s="119"/>
      <c r="D5" s="119"/>
      <c r="E5" s="119"/>
      <c r="F5" s="119"/>
      <c r="Y5" s="119"/>
      <c r="Z5" s="119"/>
      <c r="AA5" s="119"/>
      <c r="AB5" s="119"/>
      <c r="AC5" s="119"/>
      <c r="AD5" s="119"/>
      <c r="AE5" s="119"/>
      <c r="AF5" s="121"/>
      <c r="AG5" s="121"/>
      <c r="AH5" s="121"/>
      <c r="AI5" s="121"/>
      <c r="AJ5" s="121"/>
      <c r="AK5" s="1281"/>
      <c r="AL5" s="1281"/>
      <c r="AM5" s="1281"/>
      <c r="AN5" s="119"/>
      <c r="AO5" s="1281"/>
      <c r="AP5" s="1281"/>
      <c r="AQ5" s="1281"/>
      <c r="AR5" s="157"/>
      <c r="AS5" s="119"/>
      <c r="AT5" s="1281"/>
      <c r="AU5" s="1281"/>
      <c r="AV5" s="1281"/>
      <c r="AW5" s="1281"/>
      <c r="AX5" s="211"/>
      <c r="AY5" s="119"/>
    </row>
    <row r="6" spans="1:51" ht="12.75" customHeight="1">
      <c r="A6" s="119"/>
      <c r="B6" s="119"/>
      <c r="C6" s="119"/>
      <c r="D6" s="119"/>
      <c r="E6" s="119"/>
      <c r="F6" s="119"/>
      <c r="Y6" s="119"/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282" t="s">
        <v>183</v>
      </c>
      <c r="AL6" s="1282"/>
      <c r="AM6" s="1282"/>
      <c r="AN6" s="213"/>
      <c r="AO6" s="1282" t="s">
        <v>80</v>
      </c>
      <c r="AP6" s="1282"/>
      <c r="AQ6" s="1282"/>
      <c r="AR6" s="1148"/>
      <c r="AS6" s="213"/>
      <c r="AT6" s="1282" t="s">
        <v>182</v>
      </c>
      <c r="AU6" s="1282"/>
      <c r="AV6" s="1282"/>
      <c r="AW6" s="1282"/>
      <c r="AX6" s="1282"/>
      <c r="AY6" s="119"/>
    </row>
    <row r="7" spans="1:51"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</row>
    <row r="8" spans="1:51">
      <c r="A8" s="119"/>
      <c r="B8" s="119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</row>
  </sheetData>
  <mergeCells count="17">
    <mergeCell ref="AK6:AM6"/>
    <mergeCell ref="AO6:AQ6"/>
    <mergeCell ref="AT6:AX6"/>
    <mergeCell ref="K4:M4"/>
    <mergeCell ref="O4:T4"/>
    <mergeCell ref="AK4:AM4"/>
    <mergeCell ref="AO4:AQ4"/>
    <mergeCell ref="AT4:AX4"/>
    <mergeCell ref="AK5:AM5"/>
    <mergeCell ref="AO5:AQ5"/>
    <mergeCell ref="AT5:AW5"/>
    <mergeCell ref="V1:W1"/>
    <mergeCell ref="Z1:AA1"/>
    <mergeCell ref="AQ1:AR1"/>
    <mergeCell ref="H3:J3"/>
    <mergeCell ref="O3:T3"/>
    <mergeCell ref="AO3:AQ3"/>
  </mergeCells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44"/>
  <dimension ref="A1:AP8"/>
  <sheetViews>
    <sheetView topLeftCell="J1" zoomScaleNormal="100" zoomScaleSheetLayoutView="115" workbookViewId="0">
      <selection activeCell="O9" sqref="O9"/>
    </sheetView>
  </sheetViews>
  <sheetFormatPr defaultRowHeight="12.75"/>
  <cols>
    <col min="1" max="31" width="4.85546875" customWidth="1"/>
  </cols>
  <sheetData>
    <row r="1" spans="1:42" ht="13.5">
      <c r="M1" s="174" t="s">
        <v>176</v>
      </c>
      <c r="N1" s="175"/>
      <c r="O1" s="175"/>
      <c r="P1" s="175"/>
      <c r="Q1" s="175"/>
      <c r="R1" s="1457"/>
      <c r="S1" s="1458"/>
      <c r="T1" s="176"/>
      <c r="U1" s="177"/>
      <c r="V1" s="1459" t="s">
        <v>177</v>
      </c>
      <c r="W1" s="1460"/>
      <c r="X1" s="287"/>
      <c r="Y1" s="287"/>
      <c r="Z1" s="288" t="s">
        <v>177</v>
      </c>
      <c r="AA1" s="1086"/>
      <c r="AB1" s="175"/>
      <c r="AC1" s="175"/>
      <c r="AD1" s="175"/>
      <c r="AE1" s="175"/>
      <c r="AF1" s="1085"/>
      <c r="AG1" s="239"/>
      <c r="AH1" s="175"/>
      <c r="AI1" s="1407"/>
      <c r="AJ1" s="1466"/>
      <c r="AK1" s="1463"/>
      <c r="AL1" s="1465"/>
      <c r="AM1" s="95"/>
      <c r="AN1" s="1463"/>
      <c r="AO1" s="1464"/>
      <c r="AP1" s="1465"/>
    </row>
    <row r="2" spans="1:42" ht="12.75" customHeight="1">
      <c r="A2" s="123"/>
      <c r="B2" s="215" t="s">
        <v>175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Q2" s="204"/>
      <c r="R2" s="204"/>
      <c r="S2" s="204"/>
      <c r="T2" s="118"/>
      <c r="U2" s="119"/>
      <c r="V2" s="119"/>
      <c r="W2" s="119"/>
      <c r="X2" s="119"/>
      <c r="Y2" s="119"/>
      <c r="Z2" s="119"/>
      <c r="AA2" s="119" t="s">
        <v>179</v>
      </c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</row>
    <row r="3" spans="1:42" ht="12.75" customHeight="1">
      <c r="A3" s="121"/>
      <c r="B3" s="121"/>
      <c r="H3" s="1332" t="s">
        <v>180</v>
      </c>
      <c r="I3" s="1332"/>
      <c r="J3" s="1332"/>
      <c r="K3" s="206"/>
      <c r="L3" s="206"/>
      <c r="M3" s="206"/>
      <c r="N3" s="1082"/>
      <c r="O3" s="206"/>
      <c r="P3" s="206"/>
      <c r="Q3" s="206"/>
      <c r="R3" s="206"/>
      <c r="S3" s="206"/>
      <c r="T3" s="206"/>
      <c r="U3" s="206"/>
      <c r="V3" s="119"/>
      <c r="W3" s="119"/>
      <c r="X3" s="119"/>
      <c r="Y3" s="119"/>
      <c r="Z3" s="119"/>
      <c r="AA3" s="424" t="s">
        <v>181</v>
      </c>
      <c r="AC3" s="119"/>
      <c r="AD3" s="1281"/>
      <c r="AE3" s="1281"/>
      <c r="AF3" s="1281"/>
      <c r="AG3" s="1281"/>
      <c r="AH3" s="415"/>
      <c r="AI3" s="1084"/>
      <c r="AJ3" s="1084"/>
      <c r="AK3" s="1084"/>
      <c r="AL3" s="842"/>
      <c r="AM3" s="1083"/>
      <c r="AN3" s="9"/>
      <c r="AO3" s="9"/>
      <c r="AP3" s="9"/>
    </row>
    <row r="4" spans="1:42" ht="12.75" customHeight="1">
      <c r="A4" s="119"/>
      <c r="B4" s="119"/>
      <c r="H4" s="119"/>
      <c r="I4" s="160"/>
      <c r="J4" s="160"/>
      <c r="K4" s="1280" t="s">
        <v>80</v>
      </c>
      <c r="L4" s="1280"/>
      <c r="M4" s="1280"/>
      <c r="N4" s="160"/>
      <c r="P4" s="131"/>
      <c r="Q4" s="131" t="s">
        <v>182</v>
      </c>
      <c r="R4" s="131"/>
      <c r="S4" s="131"/>
      <c r="T4" s="131"/>
      <c r="U4" s="131"/>
      <c r="V4" s="119"/>
      <c r="W4" s="119"/>
      <c r="X4" s="119"/>
      <c r="Y4" s="119"/>
      <c r="Z4" s="119"/>
      <c r="AA4" s="119"/>
      <c r="AB4" s="119"/>
      <c r="AC4" s="119"/>
      <c r="AD4" s="1280" t="s">
        <v>183</v>
      </c>
      <c r="AE4" s="1280"/>
      <c r="AF4" s="1280"/>
      <c r="AG4" s="1280"/>
      <c r="AH4" s="398"/>
      <c r="AI4" s="1280" t="s">
        <v>80</v>
      </c>
      <c r="AJ4" s="1280"/>
      <c r="AK4" s="1280"/>
      <c r="AL4" s="66"/>
      <c r="AM4" s="1355" t="s">
        <v>182</v>
      </c>
      <c r="AN4" s="1355"/>
      <c r="AO4" s="1355"/>
      <c r="AP4" s="1355"/>
    </row>
    <row r="5" spans="1:42" ht="12.75" customHeight="1">
      <c r="A5" s="119"/>
      <c r="B5" s="119"/>
      <c r="C5" s="119"/>
      <c r="D5" s="119"/>
      <c r="E5" s="119"/>
      <c r="F5" s="119"/>
      <c r="U5" s="119"/>
      <c r="V5" s="119"/>
      <c r="W5" s="119"/>
      <c r="X5" s="119"/>
      <c r="Y5" s="119"/>
      <c r="Z5" s="119"/>
      <c r="AA5" s="119"/>
      <c r="AB5" s="121"/>
      <c r="AC5" s="121"/>
      <c r="AD5" s="1281"/>
      <c r="AE5" s="1281"/>
      <c r="AF5" s="1281"/>
      <c r="AG5" s="9"/>
      <c r="AH5" s="66"/>
      <c r="AI5" s="1084"/>
      <c r="AJ5" s="1084"/>
      <c r="AK5" s="1084"/>
      <c r="AL5" s="415"/>
      <c r="AM5" s="841"/>
      <c r="AN5" s="9"/>
      <c r="AO5" s="9"/>
      <c r="AP5" s="9"/>
    </row>
    <row r="6" spans="1:42" ht="12.75" customHeight="1">
      <c r="A6" s="119"/>
      <c r="B6" s="119"/>
      <c r="C6" s="119"/>
      <c r="D6" s="119"/>
      <c r="E6" s="119"/>
      <c r="F6" s="119"/>
      <c r="U6" s="119"/>
      <c r="V6" s="119"/>
      <c r="W6" s="119"/>
      <c r="X6" s="119"/>
      <c r="Y6" s="119"/>
      <c r="Z6" s="119"/>
      <c r="AA6" s="119"/>
      <c r="AB6" s="119"/>
      <c r="AC6" s="119"/>
      <c r="AD6" s="1282" t="s">
        <v>183</v>
      </c>
      <c r="AE6" s="1282"/>
      <c r="AF6" s="1282"/>
      <c r="AG6" s="1282"/>
      <c r="AH6" s="843"/>
      <c r="AI6" s="1282" t="s">
        <v>80</v>
      </c>
      <c r="AJ6" s="1282"/>
      <c r="AK6" s="1282"/>
      <c r="AL6" s="66"/>
      <c r="AM6" s="1451" t="s">
        <v>182</v>
      </c>
      <c r="AN6" s="1451"/>
      <c r="AO6" s="1451"/>
      <c r="AP6" s="1451"/>
    </row>
    <row r="7" spans="1:42"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</row>
    <row r="8" spans="1:42">
      <c r="A8" s="119"/>
      <c r="B8" s="119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</row>
  </sheetData>
  <mergeCells count="15">
    <mergeCell ref="AD6:AG6"/>
    <mergeCell ref="AN1:AP1"/>
    <mergeCell ref="H3:J3"/>
    <mergeCell ref="K4:M4"/>
    <mergeCell ref="AD5:AF5"/>
    <mergeCell ref="R1:S1"/>
    <mergeCell ref="V1:W1"/>
    <mergeCell ref="AD3:AG3"/>
    <mergeCell ref="AD4:AG4"/>
    <mergeCell ref="AI1:AJ1"/>
    <mergeCell ref="AK1:AL1"/>
    <mergeCell ref="AM4:AP4"/>
    <mergeCell ref="AM6:AP6"/>
    <mergeCell ref="AI4:AK4"/>
    <mergeCell ref="AI6:AK6"/>
  </mergeCells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3"/>
  <dimension ref="A1:AY9"/>
  <sheetViews>
    <sheetView view="pageBreakPreview" topLeftCell="AH1" zoomScale="115" zoomScaleNormal="100" zoomScaleSheetLayoutView="115" workbookViewId="0">
      <selection activeCell="AS26" sqref="AS26"/>
    </sheetView>
  </sheetViews>
  <sheetFormatPr defaultRowHeight="12.75"/>
  <cols>
    <col min="1" max="31" width="4.85546875" customWidth="1"/>
  </cols>
  <sheetData>
    <row r="1" spans="1:51" ht="13.5">
      <c r="B1" s="173" t="s">
        <v>175</v>
      </c>
      <c r="M1" s="174" t="s">
        <v>176</v>
      </c>
      <c r="N1" s="244"/>
      <c r="O1" s="244"/>
      <c r="P1" s="273"/>
      <c r="Q1" s="175"/>
      <c r="R1" s="244"/>
      <c r="S1" s="244"/>
      <c r="T1" s="273"/>
      <c r="U1" s="175"/>
      <c r="V1" s="1286"/>
      <c r="W1" s="1287"/>
      <c r="X1" s="1146"/>
      <c r="Y1" s="1147"/>
      <c r="Z1" s="1288" t="s">
        <v>177</v>
      </c>
      <c r="AA1" s="1289"/>
      <c r="AB1" s="178"/>
      <c r="AC1" s="178"/>
      <c r="AD1" s="179" t="s">
        <v>177</v>
      </c>
      <c r="AE1" s="915"/>
      <c r="AF1" s="908"/>
      <c r="AG1" s="908"/>
      <c r="AH1" s="915"/>
      <c r="AI1" s="909"/>
      <c r="AJ1" s="1151"/>
      <c r="AK1" s="910"/>
      <c r="AL1" s="916"/>
      <c r="AM1" s="909"/>
      <c r="AN1" s="1151"/>
      <c r="AO1" s="910"/>
      <c r="AP1" s="916"/>
      <c r="AQ1" s="1467"/>
      <c r="AR1" s="1468"/>
      <c r="AS1" s="1152"/>
      <c r="AT1" s="910"/>
      <c r="AU1" s="909"/>
      <c r="AV1" s="909"/>
      <c r="AW1" s="909"/>
      <c r="AX1" s="909"/>
    </row>
    <row r="2" spans="1:51" ht="12.75" customHeight="1">
      <c r="A2" s="123"/>
      <c r="B2" s="215" t="s">
        <v>175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Q2" s="204"/>
      <c r="R2" s="204"/>
      <c r="S2" s="204"/>
      <c r="T2" s="118"/>
      <c r="U2" s="119"/>
      <c r="V2" s="119"/>
      <c r="W2" s="119"/>
      <c r="X2" s="119"/>
      <c r="Y2" s="119"/>
      <c r="Z2" s="119"/>
      <c r="AA2" s="119"/>
      <c r="AB2" s="119"/>
      <c r="AC2" s="119"/>
      <c r="AD2" s="119"/>
      <c r="AE2" s="119" t="s">
        <v>179</v>
      </c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  <c r="AQ2" s="119"/>
      <c r="AR2" s="119"/>
      <c r="AS2" s="119"/>
      <c r="AT2" s="119"/>
      <c r="AU2" s="119"/>
      <c r="AV2" s="119"/>
      <c r="AW2" s="119"/>
      <c r="AX2" s="1153"/>
      <c r="AY2" s="119"/>
    </row>
    <row r="3" spans="1:51" ht="12.75" customHeight="1">
      <c r="A3" s="121"/>
      <c r="B3" s="121"/>
      <c r="C3" s="1332" t="s">
        <v>180</v>
      </c>
      <c r="D3" s="1332"/>
      <c r="E3" s="1332"/>
      <c r="F3" s="206"/>
      <c r="G3" s="206"/>
      <c r="H3" s="206"/>
      <c r="I3" s="1143"/>
      <c r="J3" s="206"/>
      <c r="K3" s="206"/>
      <c r="L3" s="206"/>
      <c r="M3" s="206"/>
      <c r="N3" s="206"/>
      <c r="O3" s="206"/>
      <c r="P3" s="206"/>
      <c r="V3" s="119"/>
      <c r="W3" s="119"/>
      <c r="X3" s="119"/>
      <c r="Y3" s="119"/>
      <c r="Z3" s="119"/>
      <c r="AA3" s="119"/>
      <c r="AB3" s="119"/>
      <c r="AC3" s="119"/>
      <c r="AD3" s="119"/>
      <c r="AE3" s="119"/>
      <c r="AF3" s="408" t="s">
        <v>181</v>
      </c>
      <c r="AG3" s="119"/>
      <c r="AH3" s="119"/>
      <c r="AI3" s="119"/>
      <c r="AJ3" s="119"/>
      <c r="AK3" s="1144" t="s">
        <v>291</v>
      </c>
      <c r="AL3" s="1144"/>
      <c r="AM3" s="1144"/>
      <c r="AN3" s="119"/>
      <c r="AO3" s="1281"/>
      <c r="AP3" s="1281"/>
      <c r="AQ3" s="1281"/>
      <c r="AR3" s="157"/>
      <c r="AS3" s="217"/>
      <c r="AT3" s="209"/>
      <c r="AU3" s="158"/>
      <c r="AV3" s="1164" t="s">
        <v>33</v>
      </c>
      <c r="AW3" s="209"/>
      <c r="AX3" s="211"/>
      <c r="AY3" s="119"/>
    </row>
    <row r="4" spans="1:51" ht="12.75" customHeight="1">
      <c r="A4" s="119"/>
      <c r="B4" s="119"/>
      <c r="C4" s="119"/>
      <c r="D4" s="160"/>
      <c r="E4" s="160"/>
      <c r="F4" s="1280" t="s">
        <v>80</v>
      </c>
      <c r="G4" s="1280"/>
      <c r="H4" s="1280"/>
      <c r="I4" s="160"/>
      <c r="K4" s="131"/>
      <c r="M4" s="1140" t="s">
        <v>182</v>
      </c>
      <c r="N4" s="131"/>
      <c r="O4" s="131"/>
      <c r="P4" s="131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9"/>
      <c r="AG4" s="119"/>
      <c r="AH4" s="119"/>
      <c r="AI4" s="119"/>
      <c r="AJ4" s="119"/>
      <c r="AK4" s="1280" t="s">
        <v>183</v>
      </c>
      <c r="AL4" s="1280"/>
      <c r="AM4" s="1280"/>
      <c r="AN4" s="212"/>
      <c r="AO4" s="1280" t="s">
        <v>80</v>
      </c>
      <c r="AP4" s="1280"/>
      <c r="AQ4" s="1280"/>
      <c r="AR4" s="1141"/>
      <c r="AS4" s="212"/>
      <c r="AT4" s="1280" t="s">
        <v>182</v>
      </c>
      <c r="AU4" s="1280"/>
      <c r="AV4" s="1280"/>
      <c r="AW4" s="1280"/>
      <c r="AX4" s="1280"/>
      <c r="AY4" s="119"/>
    </row>
    <row r="5" spans="1:51" ht="12.75" customHeight="1">
      <c r="A5" s="119"/>
      <c r="B5" s="119"/>
      <c r="C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21"/>
      <c r="AG5" s="121"/>
      <c r="AH5" s="121"/>
      <c r="AI5" s="121"/>
      <c r="AJ5" s="121"/>
      <c r="AK5" s="1281"/>
      <c r="AL5" s="1281"/>
      <c r="AM5" s="1281"/>
      <c r="AN5" s="119"/>
      <c r="AO5" s="1281"/>
      <c r="AP5" s="1281"/>
      <c r="AQ5" s="1281"/>
      <c r="AR5" s="157"/>
      <c r="AS5" s="119"/>
      <c r="AT5" s="1281"/>
      <c r="AU5" s="1281"/>
      <c r="AV5" s="1281"/>
      <c r="AW5" s="1281"/>
      <c r="AX5" s="211"/>
      <c r="AY5" s="119"/>
    </row>
    <row r="6" spans="1:51">
      <c r="A6" s="119"/>
      <c r="B6" s="119"/>
      <c r="C6" s="119"/>
      <c r="T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9"/>
      <c r="AG6" s="119"/>
      <c r="AH6" s="119"/>
      <c r="AI6" s="119"/>
      <c r="AJ6" s="119"/>
      <c r="AK6" s="1282" t="s">
        <v>183</v>
      </c>
      <c r="AL6" s="1282"/>
      <c r="AM6" s="1282"/>
      <c r="AN6" s="213"/>
      <c r="AO6" s="1282" t="s">
        <v>80</v>
      </c>
      <c r="AP6" s="1282"/>
      <c r="AQ6" s="1282"/>
      <c r="AR6" s="1148"/>
      <c r="AS6" s="213"/>
      <c r="AT6" s="1282" t="s">
        <v>182</v>
      </c>
      <c r="AU6" s="1282"/>
      <c r="AV6" s="1282"/>
      <c r="AW6" s="1282"/>
      <c r="AX6" s="1282"/>
      <c r="AY6" s="119"/>
    </row>
    <row r="7" spans="1:51">
      <c r="A7" t="s">
        <v>184</v>
      </c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</row>
    <row r="8" spans="1:51">
      <c r="A8" s="119"/>
      <c r="B8" s="119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</row>
    <row r="9" spans="1:51">
      <c r="AL9" t="s">
        <v>184</v>
      </c>
    </row>
  </sheetData>
  <mergeCells count="15">
    <mergeCell ref="AT6:AX6"/>
    <mergeCell ref="C3:E3"/>
    <mergeCell ref="AO3:AQ3"/>
    <mergeCell ref="AT4:AX4"/>
    <mergeCell ref="AK5:AM5"/>
    <mergeCell ref="AO5:AQ5"/>
    <mergeCell ref="AT5:AW5"/>
    <mergeCell ref="F4:H4"/>
    <mergeCell ref="AK4:AM4"/>
    <mergeCell ref="AO4:AQ4"/>
    <mergeCell ref="V1:W1"/>
    <mergeCell ref="Z1:AA1"/>
    <mergeCell ref="AQ1:AR1"/>
    <mergeCell ref="AK6:AM6"/>
    <mergeCell ref="AO6:AQ6"/>
  </mergeCell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6"/>
  <dimension ref="A1:AP8"/>
  <sheetViews>
    <sheetView topLeftCell="K1" zoomScaleNormal="100" zoomScaleSheetLayoutView="115" workbookViewId="0">
      <selection activeCell="M1" sqref="M1"/>
    </sheetView>
  </sheetViews>
  <sheetFormatPr defaultRowHeight="12.75"/>
  <cols>
    <col min="1" max="31" width="4.85546875" customWidth="1"/>
  </cols>
  <sheetData>
    <row r="1" spans="1:42" s="1154" customFormat="1" ht="11.25">
      <c r="M1" s="1155" t="s">
        <v>176</v>
      </c>
      <c r="N1" s="175"/>
      <c r="O1" s="175"/>
      <c r="P1" s="175"/>
      <c r="Q1" s="175"/>
      <c r="R1" s="1470"/>
      <c r="S1" s="1471"/>
      <c r="T1" s="1156"/>
      <c r="U1" s="1157"/>
      <c r="V1" s="1459" t="s">
        <v>177</v>
      </c>
      <c r="W1" s="1460"/>
      <c r="X1" s="1158"/>
      <c r="Y1" s="1158"/>
      <c r="Z1" s="288" t="s">
        <v>177</v>
      </c>
      <c r="AA1" s="911"/>
      <c r="AB1" s="911"/>
      <c r="AC1" s="911"/>
      <c r="AD1" s="911"/>
      <c r="AE1" s="911"/>
      <c r="AF1" s="1149"/>
      <c r="AG1" s="912"/>
      <c r="AH1" s="911"/>
      <c r="AI1" s="1461"/>
      <c r="AJ1" s="1469"/>
      <c r="AK1" s="1461"/>
      <c r="AL1" s="1469"/>
      <c r="AM1" s="1149"/>
      <c r="AN1" s="1461"/>
      <c r="AO1" s="1469"/>
    </row>
    <row r="2" spans="1:42" ht="12.75" customHeight="1">
      <c r="A2" s="123"/>
      <c r="B2" s="215" t="s">
        <v>175</v>
      </c>
      <c r="C2" s="123"/>
      <c r="D2" s="123"/>
      <c r="E2" s="123"/>
      <c r="F2" s="123"/>
      <c r="G2" s="123"/>
      <c r="H2" s="119"/>
      <c r="I2" s="204"/>
      <c r="J2" s="204"/>
      <c r="K2" s="204"/>
      <c r="L2" s="204"/>
      <c r="M2" s="216"/>
      <c r="N2" s="216"/>
      <c r="Q2" s="204"/>
      <c r="R2" s="204"/>
      <c r="S2" s="204"/>
      <c r="T2" s="118"/>
      <c r="U2" s="119"/>
      <c r="V2" s="119"/>
      <c r="W2" s="119"/>
      <c r="X2" s="119"/>
      <c r="Y2" s="119"/>
      <c r="Z2" s="119"/>
      <c r="AA2" s="119" t="s">
        <v>179</v>
      </c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19"/>
      <c r="AP2" s="119"/>
    </row>
    <row r="3" spans="1:42" ht="12.75" customHeight="1">
      <c r="A3" s="121"/>
      <c r="B3" s="121"/>
      <c r="H3" s="1332" t="s">
        <v>180</v>
      </c>
      <c r="I3" s="1332"/>
      <c r="J3" s="1332"/>
      <c r="K3" s="206"/>
      <c r="L3" s="206"/>
      <c r="M3" s="206"/>
      <c r="N3" s="1143"/>
      <c r="O3" s="206"/>
      <c r="P3" s="206"/>
      <c r="Q3" s="206"/>
      <c r="R3" s="206"/>
      <c r="S3" s="206"/>
      <c r="T3" s="206"/>
      <c r="U3" s="206"/>
      <c r="V3" s="119"/>
      <c r="W3" s="119"/>
      <c r="X3" s="119"/>
      <c r="Y3" s="119"/>
      <c r="Z3" s="119"/>
      <c r="AA3" s="119"/>
      <c r="AB3" s="164" t="s">
        <v>181</v>
      </c>
      <c r="AC3" s="119"/>
      <c r="AD3" s="119"/>
      <c r="AE3" s="1159" t="s">
        <v>291</v>
      </c>
      <c r="AF3" s="1142"/>
      <c r="AG3" s="1142"/>
      <c r="AH3" s="1142"/>
      <c r="AI3" s="119"/>
      <c r="AJ3" s="1142"/>
      <c r="AK3" s="157"/>
      <c r="AL3" s="1160"/>
      <c r="AM3" s="1161" t="s">
        <v>33</v>
      </c>
    </row>
    <row r="4" spans="1:42" ht="12.75" customHeight="1">
      <c r="A4" s="119"/>
      <c r="B4" s="119"/>
      <c r="H4" s="119"/>
      <c r="I4" s="160"/>
      <c r="J4" s="160"/>
      <c r="K4" s="1280" t="s">
        <v>80</v>
      </c>
      <c r="L4" s="1280"/>
      <c r="M4" s="1280"/>
      <c r="N4" s="160"/>
      <c r="P4" s="131"/>
      <c r="Q4" s="131" t="s">
        <v>182</v>
      </c>
      <c r="R4" s="131"/>
      <c r="S4" s="131"/>
      <c r="T4" s="131"/>
      <c r="U4" s="131"/>
      <c r="V4" s="119"/>
      <c r="W4" s="119"/>
      <c r="X4" s="119"/>
      <c r="Y4" s="119"/>
      <c r="Z4" s="119"/>
      <c r="AA4" s="119"/>
      <c r="AB4" s="119"/>
      <c r="AC4" s="119"/>
      <c r="AD4" s="119"/>
      <c r="AE4" s="119"/>
      <c r="AF4" s="1140" t="s">
        <v>183</v>
      </c>
      <c r="AG4" s="119"/>
      <c r="AH4" s="1140"/>
      <c r="AI4" s="1140"/>
      <c r="AJ4" s="1140" t="s">
        <v>80</v>
      </c>
      <c r="AK4" s="212"/>
      <c r="AL4" s="1140"/>
      <c r="AM4" s="1162" t="s">
        <v>182</v>
      </c>
      <c r="AN4" s="1140"/>
      <c r="AO4" s="1141"/>
      <c r="AP4" s="119"/>
    </row>
    <row r="5" spans="1:42" ht="12.75" customHeight="1">
      <c r="A5" s="119"/>
      <c r="B5" s="119"/>
      <c r="C5" s="119"/>
      <c r="D5" s="119"/>
      <c r="E5" s="119"/>
      <c r="F5" s="119"/>
      <c r="U5" s="119"/>
      <c r="V5" s="119"/>
      <c r="W5" s="119"/>
      <c r="X5" s="119"/>
      <c r="Y5" s="119"/>
      <c r="Z5" s="119"/>
      <c r="AA5" s="119"/>
      <c r="AB5" s="121"/>
      <c r="AC5" s="121"/>
      <c r="AD5" s="121"/>
      <c r="AE5" s="845"/>
      <c r="AF5" s="845"/>
      <c r="AG5" s="1142"/>
      <c r="AH5" s="1142"/>
      <c r="AI5" s="1142"/>
      <c r="AJ5" s="119"/>
      <c r="AK5" s="1142"/>
      <c r="AL5" s="1142"/>
      <c r="AM5" s="1142"/>
      <c r="AN5" s="157"/>
      <c r="AO5" s="118"/>
      <c r="AP5" s="119"/>
    </row>
    <row r="6" spans="1:42" ht="12.75" customHeight="1">
      <c r="A6" s="119"/>
      <c r="B6" s="119"/>
      <c r="C6" s="119"/>
      <c r="D6" s="119"/>
      <c r="E6" s="119"/>
      <c r="F6" s="119"/>
      <c r="U6" s="119"/>
      <c r="V6" s="119"/>
      <c r="W6" s="119"/>
      <c r="X6" s="119"/>
      <c r="Y6" s="119"/>
      <c r="Z6" s="119"/>
      <c r="AA6" s="119"/>
      <c r="AB6" s="119"/>
      <c r="AC6" s="119"/>
      <c r="AD6" s="119"/>
      <c r="AE6" s="119"/>
      <c r="AF6" s="1145" t="s">
        <v>183</v>
      </c>
      <c r="AG6" s="119"/>
      <c r="AH6" s="1145"/>
      <c r="AI6" s="1145"/>
      <c r="AJ6" s="1145" t="s">
        <v>80</v>
      </c>
      <c r="AK6" s="213"/>
      <c r="AL6" s="1145"/>
      <c r="AM6" s="1163" t="s">
        <v>182</v>
      </c>
      <c r="AN6" s="1145"/>
      <c r="AO6" s="1148"/>
      <c r="AP6" s="119"/>
    </row>
    <row r="7" spans="1:42"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</row>
    <row r="8" spans="1:42">
      <c r="A8" s="119"/>
      <c r="B8" s="119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</row>
  </sheetData>
  <mergeCells count="7">
    <mergeCell ref="AN1:AO1"/>
    <mergeCell ref="H3:J3"/>
    <mergeCell ref="K4:M4"/>
    <mergeCell ref="R1:S1"/>
    <mergeCell ref="V1:W1"/>
    <mergeCell ref="AI1:AJ1"/>
    <mergeCell ref="AK1:AL1"/>
  </mergeCell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7"/>
  <dimension ref="A2:H11"/>
  <sheetViews>
    <sheetView workbookViewId="0">
      <selection activeCell="A11" sqref="A11:B11"/>
    </sheetView>
  </sheetViews>
  <sheetFormatPr defaultRowHeight="12.75"/>
  <cols>
    <col min="1" max="1" width="7.42578125" customWidth="1"/>
    <col min="2" max="2" width="5.5703125" customWidth="1"/>
    <col min="3" max="3" width="40.42578125" customWidth="1"/>
    <col min="4" max="7" width="11.85546875" customWidth="1"/>
  </cols>
  <sheetData>
    <row r="2" spans="1:8">
      <c r="A2" s="1472" t="s">
        <v>206</v>
      </c>
      <c r="B2" s="1472"/>
      <c r="C2" s="1472"/>
      <c r="D2" s="1472"/>
      <c r="E2" s="1472"/>
      <c r="F2" s="1472"/>
      <c r="G2" s="1472"/>
    </row>
    <row r="3" spans="1:8">
      <c r="C3" s="115" t="s">
        <v>215</v>
      </c>
      <c r="D3" s="259" t="s">
        <v>29</v>
      </c>
    </row>
    <row r="4" spans="1:8">
      <c r="A4" s="255"/>
    </row>
    <row r="5" spans="1:8">
      <c r="A5" s="254" t="s">
        <v>207</v>
      </c>
      <c r="B5" s="110" t="s">
        <v>32</v>
      </c>
    </row>
    <row r="6" spans="1:8">
      <c r="A6" s="254" t="s">
        <v>208</v>
      </c>
      <c r="B6" s="110" t="s">
        <v>33</v>
      </c>
    </row>
    <row r="8" spans="1:8">
      <c r="A8" s="1473" t="s">
        <v>209</v>
      </c>
      <c r="B8" s="1473"/>
      <c r="C8" s="1473" t="s">
        <v>210</v>
      </c>
      <c r="D8" s="1473" t="s">
        <v>211</v>
      </c>
      <c r="E8" s="1473" t="s">
        <v>212</v>
      </c>
      <c r="F8" s="1473" t="s">
        <v>213</v>
      </c>
      <c r="G8" s="1473" t="s">
        <v>214</v>
      </c>
      <c r="H8" s="253"/>
    </row>
    <row r="9" spans="1:8">
      <c r="A9" s="1473"/>
      <c r="B9" s="1473"/>
      <c r="C9" s="1473"/>
      <c r="D9" s="1473"/>
      <c r="E9" s="1473"/>
      <c r="F9" s="1473"/>
      <c r="G9" s="1473"/>
      <c r="H9" s="253"/>
    </row>
    <row r="10" spans="1:8">
      <c r="A10" s="1473"/>
      <c r="B10" s="1473"/>
      <c r="C10" s="1473"/>
      <c r="D10" s="1473"/>
      <c r="E10" s="1473"/>
      <c r="F10" s="1473"/>
      <c r="G10" s="1473"/>
      <c r="H10" s="253"/>
    </row>
    <row r="11" spans="1:8" ht="13.5">
      <c r="A11" s="1474" t="s">
        <v>7</v>
      </c>
      <c r="B11" s="1474"/>
      <c r="C11" s="260" t="s">
        <v>6</v>
      </c>
      <c r="D11" s="256" t="s">
        <v>8</v>
      </c>
      <c r="E11" s="257" t="s">
        <v>5</v>
      </c>
      <c r="F11" s="258" t="s">
        <v>16</v>
      </c>
      <c r="G11" s="258" t="s">
        <v>9</v>
      </c>
    </row>
  </sheetData>
  <mergeCells count="8">
    <mergeCell ref="A2:G2"/>
    <mergeCell ref="F8:F10"/>
    <mergeCell ref="G8:G10"/>
    <mergeCell ref="A11:B11"/>
    <mergeCell ref="A8:B10"/>
    <mergeCell ref="C8:C10"/>
    <mergeCell ref="D8:D10"/>
    <mergeCell ref="E8:E10"/>
  </mergeCells>
  <phoneticPr fontId="2" type="noConversion"/>
  <pageMargins left="0.22" right="0.26" top="0.48" bottom="0.54" header="0.33" footer="0.2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47"/>
  <dimension ref="A2:I11"/>
  <sheetViews>
    <sheetView workbookViewId="0">
      <selection activeCell="A11" sqref="A11:I11"/>
    </sheetView>
  </sheetViews>
  <sheetFormatPr defaultRowHeight="12.75"/>
  <cols>
    <col min="1" max="1" width="7.42578125" customWidth="1"/>
    <col min="2" max="2" width="6.28515625" customWidth="1"/>
    <col min="3" max="3" width="38.5703125" customWidth="1"/>
    <col min="4" max="4" width="11.85546875" customWidth="1"/>
    <col min="5" max="5" width="11.5703125" customWidth="1"/>
    <col min="6" max="7" width="11.85546875" customWidth="1"/>
    <col min="8" max="8" width="14.42578125" customWidth="1"/>
    <col min="9" max="9" width="31.140625" customWidth="1"/>
  </cols>
  <sheetData>
    <row r="2" spans="1:9">
      <c r="A2" s="1472" t="s">
        <v>206</v>
      </c>
      <c r="B2" s="1472"/>
      <c r="C2" s="1472"/>
      <c r="D2" s="1472"/>
      <c r="E2" s="1472"/>
      <c r="F2" s="1472"/>
      <c r="G2" s="1472"/>
    </row>
    <row r="3" spans="1:9">
      <c r="C3" s="115" t="s">
        <v>215</v>
      </c>
      <c r="D3" s="259" t="s">
        <v>29</v>
      </c>
    </row>
    <row r="4" spans="1:9">
      <c r="A4" s="255"/>
    </row>
    <row r="5" spans="1:9">
      <c r="A5" s="254" t="s">
        <v>207</v>
      </c>
      <c r="B5" s="110" t="s">
        <v>32</v>
      </c>
    </row>
    <row r="6" spans="1:9">
      <c r="A6" s="254" t="s">
        <v>208</v>
      </c>
      <c r="B6" s="110" t="s">
        <v>33</v>
      </c>
    </row>
    <row r="8" spans="1:9">
      <c r="A8" s="1473" t="s">
        <v>209</v>
      </c>
      <c r="B8" s="1473"/>
      <c r="C8" s="1473" t="s">
        <v>210</v>
      </c>
      <c r="D8" s="1473" t="s">
        <v>211</v>
      </c>
      <c r="E8" s="1473" t="s">
        <v>212</v>
      </c>
      <c r="F8" s="1473" t="s">
        <v>213</v>
      </c>
      <c r="G8" s="1473" t="s">
        <v>214</v>
      </c>
      <c r="H8" s="1476" t="s">
        <v>667</v>
      </c>
      <c r="I8" s="1479" t="s">
        <v>668</v>
      </c>
    </row>
    <row r="9" spans="1:9">
      <c r="A9" s="1473"/>
      <c r="B9" s="1473"/>
      <c r="C9" s="1473"/>
      <c r="D9" s="1473"/>
      <c r="E9" s="1473"/>
      <c r="F9" s="1473"/>
      <c r="G9" s="1473"/>
      <c r="H9" s="1477"/>
      <c r="I9" s="1479"/>
    </row>
    <row r="10" spans="1:9">
      <c r="A10" s="1473"/>
      <c r="B10" s="1473"/>
      <c r="C10" s="1473"/>
      <c r="D10" s="1473"/>
      <c r="E10" s="1473"/>
      <c r="F10" s="1473"/>
      <c r="G10" s="1473"/>
      <c r="H10" s="1478"/>
      <c r="I10" s="1479"/>
    </row>
    <row r="11" spans="1:9" ht="13.5">
      <c r="A11" s="1475" t="s">
        <v>7</v>
      </c>
      <c r="B11" s="1475"/>
      <c r="C11" s="1001" t="s">
        <v>6</v>
      </c>
      <c r="D11" s="1002" t="s">
        <v>8</v>
      </c>
      <c r="E11" s="1003" t="s">
        <v>5</v>
      </c>
      <c r="F11" s="1004" t="s">
        <v>16</v>
      </c>
      <c r="G11" s="1004" t="s">
        <v>9</v>
      </c>
      <c r="H11" s="1005" t="s">
        <v>669</v>
      </c>
      <c r="I11" s="1006" t="s">
        <v>680</v>
      </c>
    </row>
  </sheetData>
  <mergeCells count="10">
    <mergeCell ref="A11:B11"/>
    <mergeCell ref="H8:H10"/>
    <mergeCell ref="I8:I10"/>
    <mergeCell ref="A2:G2"/>
    <mergeCell ref="A8:B10"/>
    <mergeCell ref="C8:C10"/>
    <mergeCell ref="D8:D10"/>
    <mergeCell ref="E8:E10"/>
    <mergeCell ref="F8:F10"/>
    <mergeCell ref="G8:G10"/>
  </mergeCells>
  <pageMargins left="0.23622047244094491" right="0.27559055118110237" top="0.47244094488188981" bottom="0.55118110236220474" header="0" footer="0"/>
  <pageSetup paperSize="9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9"/>
  <dimension ref="A2:J11"/>
  <sheetViews>
    <sheetView workbookViewId="0">
      <selection activeCell="C4" sqref="C4"/>
    </sheetView>
  </sheetViews>
  <sheetFormatPr defaultRowHeight="12.75"/>
  <cols>
    <col min="1" max="1" width="7" customWidth="1"/>
    <col min="2" max="2" width="5.42578125" customWidth="1"/>
    <col min="3" max="3" width="34.28515625" customWidth="1"/>
    <col min="4" max="4" width="8.5703125" customWidth="1"/>
    <col min="5" max="5" width="8.85546875" customWidth="1"/>
  </cols>
  <sheetData>
    <row r="2" spans="1:10">
      <c r="A2" s="1472" t="s">
        <v>206</v>
      </c>
      <c r="B2" s="1472"/>
      <c r="C2" s="1472"/>
      <c r="D2" s="1472"/>
      <c r="E2" s="1472"/>
      <c r="F2" s="1472"/>
      <c r="G2" s="1472"/>
      <c r="H2" s="1472"/>
      <c r="I2" s="1472"/>
    </row>
    <row r="3" spans="1:10">
      <c r="C3" s="115" t="s">
        <v>215</v>
      </c>
      <c r="D3" s="259" t="s">
        <v>29</v>
      </c>
    </row>
    <row r="4" spans="1:10">
      <c r="A4" s="255"/>
    </row>
    <row r="5" spans="1:10">
      <c r="A5" s="254" t="s">
        <v>207</v>
      </c>
      <c r="B5" s="110" t="s">
        <v>32</v>
      </c>
    </row>
    <row r="6" spans="1:10">
      <c r="A6" s="254" t="s">
        <v>208</v>
      </c>
      <c r="B6" s="110" t="s">
        <v>33</v>
      </c>
    </row>
    <row r="8" spans="1:10">
      <c r="A8" s="1480" t="s">
        <v>209</v>
      </c>
      <c r="B8" s="1480"/>
      <c r="C8" s="1480" t="s">
        <v>210</v>
      </c>
      <c r="D8" s="1480" t="s">
        <v>211</v>
      </c>
      <c r="E8" s="1480" t="s">
        <v>212</v>
      </c>
      <c r="F8" s="1481" t="s">
        <v>216</v>
      </c>
      <c r="G8" s="1481" t="s">
        <v>217</v>
      </c>
      <c r="H8" s="1480" t="s">
        <v>213</v>
      </c>
      <c r="I8" s="1480" t="s">
        <v>214</v>
      </c>
      <c r="J8" s="253"/>
    </row>
    <row r="9" spans="1:10">
      <c r="A9" s="1480"/>
      <c r="B9" s="1480"/>
      <c r="C9" s="1480"/>
      <c r="D9" s="1480"/>
      <c r="E9" s="1480"/>
      <c r="F9" s="1482"/>
      <c r="G9" s="1482"/>
      <c r="H9" s="1480"/>
      <c r="I9" s="1480"/>
      <c r="J9" s="253"/>
    </row>
    <row r="10" spans="1:10">
      <c r="A10" s="1480"/>
      <c r="B10" s="1480"/>
      <c r="C10" s="1480"/>
      <c r="D10" s="1480"/>
      <c r="E10" s="1480"/>
      <c r="F10" s="1483"/>
      <c r="G10" s="1483"/>
      <c r="H10" s="1480"/>
      <c r="I10" s="1480"/>
      <c r="J10" s="253"/>
    </row>
    <row r="11" spans="1:10" ht="13.5">
      <c r="A11" s="1474" t="s">
        <v>7</v>
      </c>
      <c r="B11" s="1474"/>
      <c r="C11" s="260" t="s">
        <v>6</v>
      </c>
      <c r="D11" s="256" t="s">
        <v>8</v>
      </c>
      <c r="E11" s="257" t="s">
        <v>5</v>
      </c>
      <c r="F11" s="258" t="s">
        <v>20</v>
      </c>
      <c r="G11" s="258" t="s">
        <v>21</v>
      </c>
      <c r="H11" s="258" t="s">
        <v>16</v>
      </c>
      <c r="I11" s="258" t="s">
        <v>9</v>
      </c>
    </row>
  </sheetData>
  <mergeCells count="10">
    <mergeCell ref="A11:B11"/>
    <mergeCell ref="A8:B10"/>
    <mergeCell ref="C8:C10"/>
    <mergeCell ref="G8:G10"/>
    <mergeCell ref="A2:I2"/>
    <mergeCell ref="H8:H10"/>
    <mergeCell ref="I8:I10"/>
    <mergeCell ref="D8:D10"/>
    <mergeCell ref="E8:E10"/>
    <mergeCell ref="F8:F10"/>
  </mergeCells>
  <phoneticPr fontId="2" type="noConversion"/>
  <pageMargins left="0.22" right="0.26" top="0.48" bottom="0.54" header="0.33" footer="0.2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6"/>
  <dimension ref="A1:DV38"/>
  <sheetViews>
    <sheetView view="pageBreakPreview" zoomScaleNormal="100" zoomScaleSheetLayoutView="100" workbookViewId="0">
      <selection activeCell="K32" sqref="K32:AJ32"/>
    </sheetView>
  </sheetViews>
  <sheetFormatPr defaultColWidth="0.85546875" defaultRowHeight="11.25"/>
  <cols>
    <col min="1" max="16384" width="0.85546875" style="321"/>
  </cols>
  <sheetData>
    <row r="1" spans="1:126">
      <c r="DC1" s="1053" t="s">
        <v>700</v>
      </c>
      <c r="DD1" s="1052"/>
      <c r="DE1" s="1052"/>
      <c r="DF1" s="1052"/>
      <c r="DG1" s="1052"/>
      <c r="DH1" s="1052"/>
      <c r="DI1" s="1052"/>
      <c r="DJ1" s="1052"/>
      <c r="DK1" s="1052"/>
      <c r="DL1" s="1052"/>
      <c r="DM1" s="1052"/>
      <c r="DN1" s="1052"/>
      <c r="DO1" s="1052"/>
      <c r="DP1" s="1052"/>
      <c r="DQ1" s="1052"/>
      <c r="DR1" s="1052"/>
      <c r="DS1" s="1052"/>
      <c r="DT1" s="1052"/>
      <c r="DU1" s="1052"/>
      <c r="DV1" s="1053"/>
    </row>
    <row r="2" spans="1:126">
      <c r="DC2" s="1053" t="s">
        <v>701</v>
      </c>
      <c r="DD2" s="1052"/>
      <c r="DE2" s="1052"/>
      <c r="DF2" s="1052"/>
      <c r="DG2" s="1052"/>
      <c r="DH2" s="1052"/>
      <c r="DI2" s="1052"/>
      <c r="DJ2" s="1052"/>
      <c r="DK2" s="1052"/>
      <c r="DL2" s="1052"/>
      <c r="DM2" s="1052"/>
      <c r="DN2" s="1052"/>
      <c r="DO2" s="1052"/>
      <c r="DP2" s="1052"/>
      <c r="DQ2" s="1052"/>
      <c r="DR2" s="1052"/>
      <c r="DS2" s="1052"/>
      <c r="DT2" s="1052"/>
      <c r="DU2" s="1052"/>
      <c r="DV2" s="1053"/>
    </row>
    <row r="3" spans="1:126">
      <c r="DC3" s="1053" t="s">
        <v>702</v>
      </c>
      <c r="DD3" s="1052"/>
      <c r="DE3" s="1052"/>
      <c r="DF3" s="1052"/>
      <c r="DG3" s="1052"/>
      <c r="DH3" s="1052"/>
      <c r="DI3" s="1052"/>
      <c r="DJ3" s="1052"/>
      <c r="DK3" s="1052"/>
      <c r="DL3" s="1052"/>
      <c r="DM3" s="1052"/>
      <c r="DN3" s="1052"/>
      <c r="DO3" s="1052"/>
      <c r="DP3" s="1052"/>
      <c r="DQ3" s="1052"/>
      <c r="DR3" s="1052"/>
      <c r="DS3" s="1052"/>
      <c r="DT3" s="1052"/>
      <c r="DU3" s="1052"/>
      <c r="DV3" s="1053"/>
    </row>
    <row r="4" spans="1:126">
      <c r="DC4" s="1053"/>
      <c r="DD4" s="1052"/>
      <c r="DE4" s="1052"/>
      <c r="DF4" s="1052"/>
      <c r="DG4" s="1052"/>
      <c r="DH4" s="1052"/>
      <c r="DI4" s="1052"/>
      <c r="DJ4" s="1052"/>
      <c r="DK4" s="1052"/>
      <c r="DL4" s="1052"/>
      <c r="DM4" s="1052"/>
      <c r="DN4" s="1052"/>
      <c r="DO4" s="1052"/>
      <c r="DP4" s="1052"/>
      <c r="DQ4" s="1052"/>
      <c r="DR4" s="1052"/>
      <c r="DS4" s="1052"/>
      <c r="DT4" s="1052"/>
      <c r="DU4" s="1052"/>
      <c r="DV4" s="1053"/>
    </row>
    <row r="5" spans="1:126" s="345" customFormat="1" ht="12.75">
      <c r="CE5" s="346" t="s">
        <v>264</v>
      </c>
      <c r="CF5" s="380" t="s">
        <v>293</v>
      </c>
      <c r="CG5" s="380"/>
      <c r="CH5" s="379"/>
      <c r="CI5" s="379"/>
      <c r="CJ5" s="379"/>
      <c r="CK5" s="379"/>
      <c r="CL5" s="379"/>
      <c r="CM5" s="379"/>
      <c r="CN5" s="379"/>
      <c r="CO5" s="379"/>
      <c r="CP5" s="379"/>
      <c r="DC5" s="1052"/>
      <c r="DD5" s="1052"/>
      <c r="DE5" s="1052"/>
      <c r="DF5" s="1052"/>
      <c r="DG5" s="1052"/>
      <c r="DH5" s="1052"/>
      <c r="DI5" s="1052"/>
      <c r="DJ5" s="1052"/>
      <c r="DK5" s="1052"/>
      <c r="DL5" s="1052"/>
      <c r="DM5" s="1052"/>
      <c r="DN5" s="1052"/>
      <c r="DO5" s="1052"/>
      <c r="DP5" s="1052"/>
      <c r="DQ5" s="1052"/>
      <c r="DR5" s="1052"/>
      <c r="DS5" s="1052"/>
      <c r="DT5" s="1052"/>
      <c r="DU5" s="1052"/>
      <c r="DV5" s="1054"/>
    </row>
    <row r="6" spans="1:126" s="345" customFormat="1" ht="12.75">
      <c r="J6" s="1500" t="s">
        <v>265</v>
      </c>
      <c r="K6" s="1500"/>
      <c r="L6" s="1500"/>
      <c r="M6" s="1500"/>
      <c r="N6" s="1500"/>
      <c r="O6" s="1500"/>
      <c r="P6" s="1500"/>
      <c r="Q6" s="1500"/>
      <c r="R6" s="1500"/>
      <c r="S6" s="1500"/>
      <c r="T6" s="1500"/>
      <c r="U6" s="1500"/>
      <c r="V6" s="1500"/>
      <c r="W6" s="1500"/>
      <c r="X6" s="1500"/>
      <c r="Y6" s="1500"/>
      <c r="Z6" s="1500"/>
      <c r="AA6" s="1500"/>
      <c r="AB6" s="1500"/>
      <c r="AC6" s="1500"/>
      <c r="AD6" s="1500"/>
      <c r="AE6" s="1500"/>
      <c r="AF6" s="1500"/>
      <c r="AG6" s="1500"/>
      <c r="AH6" s="1500"/>
      <c r="AI6" s="1500"/>
      <c r="AJ6" s="1500"/>
      <c r="AK6" s="1500"/>
      <c r="AL6" s="1500"/>
      <c r="AM6" s="1500"/>
      <c r="AN6" s="1500"/>
      <c r="AO6" s="1500"/>
      <c r="AP6" s="1500"/>
      <c r="AQ6" s="1500"/>
      <c r="AR6" s="1500"/>
      <c r="AS6" s="1500"/>
      <c r="AT6" s="1500"/>
      <c r="AU6" s="1500"/>
      <c r="AV6" s="1500"/>
      <c r="AW6" s="1500"/>
      <c r="AX6" s="1500"/>
      <c r="AY6" s="1500"/>
      <c r="AZ6" s="1500"/>
      <c r="BA6" s="1500"/>
      <c r="BB6" s="1500"/>
      <c r="BC6" s="1500"/>
      <c r="BD6" s="1500"/>
      <c r="BE6" s="1500"/>
      <c r="BF6" s="1500"/>
      <c r="BG6" s="1500"/>
      <c r="BH6" s="1500"/>
      <c r="BI6" s="1500"/>
      <c r="BJ6" s="1500"/>
      <c r="BK6" s="1500"/>
      <c r="BL6" s="1500"/>
      <c r="BM6" s="1500"/>
      <c r="BN6" s="1500"/>
      <c r="BO6" s="1500"/>
      <c r="BP6" s="1500"/>
      <c r="BQ6" s="1500"/>
      <c r="BR6" s="1500"/>
      <c r="BS6" s="1500"/>
      <c r="BT6" s="1500"/>
      <c r="BU6" s="1500"/>
      <c r="BV6" s="1500"/>
      <c r="BW6" s="1500"/>
      <c r="BX6" s="1500"/>
      <c r="BY6" s="1500"/>
      <c r="BZ6" s="1500"/>
      <c r="CA6" s="1500"/>
      <c r="CB6" s="1500"/>
      <c r="CC6" s="1500"/>
      <c r="CD6" s="1500"/>
      <c r="CE6" s="1500"/>
      <c r="CF6" s="1500"/>
      <c r="CG6" s="1500"/>
      <c r="CH6" s="1500"/>
      <c r="CI6" s="1500"/>
      <c r="CJ6" s="1500"/>
      <c r="CK6" s="1500"/>
      <c r="CL6" s="1500"/>
      <c r="CM6" s="1500"/>
      <c r="CN6" s="1500"/>
      <c r="CO6" s="1500"/>
      <c r="CP6" s="1500"/>
    </row>
    <row r="7" spans="1:126" ht="13.5" thickBot="1">
      <c r="B7" s="270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61"/>
      <c r="AK7" s="261"/>
      <c r="AL7" s="261"/>
      <c r="AM7" s="261"/>
      <c r="AN7" s="261"/>
      <c r="AO7" s="261"/>
      <c r="AP7" s="261"/>
      <c r="AQ7" s="261"/>
      <c r="AR7" s="261"/>
      <c r="AS7" s="261"/>
      <c r="AT7" s="261"/>
      <c r="AU7" s="261"/>
      <c r="AV7" s="261"/>
      <c r="AW7" s="261"/>
      <c r="AX7" s="261"/>
      <c r="AY7" s="261"/>
      <c r="AZ7" s="261"/>
      <c r="BA7" s="261"/>
      <c r="BB7" s="261"/>
      <c r="BC7" s="261"/>
      <c r="BD7" s="261"/>
      <c r="BE7" s="261"/>
      <c r="BF7" s="261"/>
      <c r="BG7" s="261"/>
      <c r="BH7" s="261"/>
      <c r="BI7" s="261"/>
      <c r="BJ7" s="261"/>
      <c r="BK7" s="261"/>
      <c r="BL7" s="261"/>
      <c r="BM7" s="261"/>
      <c r="BN7" s="261"/>
      <c r="BO7" s="261"/>
      <c r="BP7" s="261"/>
      <c r="BQ7" s="261"/>
      <c r="BR7" s="261"/>
      <c r="BS7" s="261"/>
      <c r="BT7" s="261"/>
      <c r="BU7" s="261"/>
      <c r="BV7" s="261"/>
      <c r="BW7" s="261"/>
      <c r="BX7" s="261"/>
      <c r="BY7" s="261"/>
      <c r="BZ7" s="261"/>
      <c r="CA7" s="261"/>
      <c r="CB7" s="261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347"/>
      <c r="CP7" s="1341" t="s">
        <v>266</v>
      </c>
      <c r="CQ7" s="1342"/>
      <c r="CR7" s="1342"/>
      <c r="CS7" s="1342"/>
      <c r="CT7" s="1342"/>
      <c r="CU7" s="1342"/>
      <c r="CV7" s="1342"/>
      <c r="CW7" s="1342"/>
      <c r="CX7" s="1342"/>
      <c r="CY7" s="1342"/>
      <c r="CZ7" s="1342"/>
      <c r="DA7" s="1342"/>
      <c r="DB7" s="1342"/>
      <c r="DC7" s="1343"/>
    </row>
    <row r="8" spans="1:126" ht="12.75">
      <c r="Q8" s="270"/>
      <c r="R8" s="270"/>
      <c r="S8" s="270"/>
      <c r="T8" s="270"/>
      <c r="U8" s="270"/>
      <c r="V8" s="270"/>
      <c r="W8" s="270"/>
      <c r="X8" s="270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  <c r="AT8" s="270"/>
      <c r="AU8" s="270"/>
      <c r="AV8" s="270"/>
      <c r="AW8" s="270"/>
      <c r="AX8" s="270"/>
      <c r="AY8" s="270"/>
      <c r="AZ8" s="270"/>
      <c r="BA8" s="270"/>
      <c r="BB8" s="270"/>
      <c r="BC8" s="270"/>
      <c r="BD8" s="270"/>
      <c r="BE8" s="270"/>
      <c r="BF8" s="270"/>
      <c r="BG8" s="270"/>
      <c r="BH8" s="270"/>
      <c r="BI8" s="270"/>
      <c r="BJ8" s="270"/>
      <c r="BK8" s="270"/>
      <c r="BL8" s="270"/>
      <c r="BM8" s="270"/>
      <c r="BN8" s="270"/>
      <c r="BO8" s="270"/>
      <c r="BP8" s="270"/>
      <c r="BQ8" s="270"/>
      <c r="BR8" s="270"/>
      <c r="BS8" s="270"/>
      <c r="BT8" s="270"/>
      <c r="BU8" s="270"/>
      <c r="BV8" s="270"/>
      <c r="BW8" s="270"/>
      <c r="BX8" s="270"/>
      <c r="BY8" s="270"/>
      <c r="BZ8" s="270"/>
      <c r="CA8" s="270"/>
      <c r="CB8" s="270"/>
      <c r="CC8" s="270"/>
      <c r="CD8" s="270"/>
      <c r="CN8" s="320" t="s">
        <v>56</v>
      </c>
      <c r="CP8" s="1494" t="s">
        <v>267</v>
      </c>
      <c r="CQ8" s="1495"/>
      <c r="CR8" s="1495"/>
      <c r="CS8" s="1495"/>
      <c r="CT8" s="1495"/>
      <c r="CU8" s="1495"/>
      <c r="CV8" s="1495"/>
      <c r="CW8" s="1495"/>
      <c r="CX8" s="1495"/>
      <c r="CY8" s="1495"/>
      <c r="CZ8" s="1495"/>
      <c r="DA8" s="1495"/>
      <c r="DB8" s="1495"/>
      <c r="DC8" s="1496"/>
    </row>
    <row r="9" spans="1:126">
      <c r="AI9" s="320" t="s">
        <v>268</v>
      </c>
      <c r="AJ9" s="1492" t="s">
        <v>294</v>
      </c>
      <c r="AK9" s="1492"/>
      <c r="AL9" s="1492"/>
      <c r="AM9" s="1492"/>
      <c r="AN9" s="1492"/>
      <c r="AO9" s="1492"/>
      <c r="AP9" s="1492"/>
      <c r="AQ9" s="1492"/>
      <c r="AR9" s="1492"/>
      <c r="AS9" s="1492"/>
      <c r="AT9" s="1492"/>
      <c r="AU9" s="1492"/>
      <c r="AV9" s="1492"/>
      <c r="AW9" s="1492"/>
      <c r="AX9" s="1492"/>
      <c r="AY9" s="1492"/>
      <c r="AZ9" s="1492"/>
      <c r="BA9" s="1492"/>
      <c r="BB9" s="1492"/>
      <c r="BC9" s="1492"/>
      <c r="BD9" s="1492"/>
      <c r="BE9" s="1492"/>
      <c r="BF9" s="1492"/>
      <c r="BG9" s="1492"/>
      <c r="BH9" s="1492"/>
      <c r="BI9" s="1492"/>
      <c r="BJ9" s="1492"/>
      <c r="BK9" s="1492"/>
      <c r="BL9" s="1492"/>
      <c r="BM9" s="1492"/>
      <c r="BN9" s="1492"/>
      <c r="BO9" s="1492"/>
      <c r="BP9" s="1492"/>
      <c r="BT9" s="348"/>
      <c r="BU9" s="348"/>
      <c r="BV9" s="348"/>
      <c r="BW9" s="348"/>
      <c r="BX9" s="348"/>
      <c r="BY9" s="348"/>
      <c r="BZ9" s="348"/>
      <c r="CA9" s="348"/>
      <c r="CB9" s="348"/>
      <c r="CN9" s="320" t="s">
        <v>269</v>
      </c>
      <c r="CP9" s="1497"/>
      <c r="CQ9" s="1498"/>
      <c r="CR9" s="1498"/>
      <c r="CS9" s="1498"/>
      <c r="CT9" s="1498"/>
      <c r="CU9" s="1498"/>
      <c r="CV9" s="1498"/>
      <c r="CW9" s="1498"/>
      <c r="CX9" s="1498"/>
      <c r="CY9" s="1498"/>
      <c r="CZ9" s="1498"/>
      <c r="DA9" s="1498"/>
      <c r="DB9" s="1498"/>
      <c r="DC9" s="1499"/>
    </row>
    <row r="10" spans="1:126">
      <c r="A10" s="321" t="s">
        <v>270</v>
      </c>
      <c r="L10" s="377" t="s">
        <v>35</v>
      </c>
      <c r="M10" s="377"/>
      <c r="N10" s="377"/>
      <c r="O10" s="377"/>
      <c r="P10" s="377"/>
      <c r="Q10" s="377"/>
      <c r="R10" s="377"/>
      <c r="S10" s="377"/>
      <c r="T10" s="377"/>
      <c r="U10" s="377"/>
      <c r="V10" s="375"/>
      <c r="W10" s="375"/>
      <c r="X10" s="375"/>
      <c r="Y10" s="375"/>
      <c r="Z10" s="375"/>
      <c r="AA10" s="375"/>
      <c r="AB10" s="375"/>
      <c r="AC10" s="375"/>
      <c r="AD10" s="375"/>
      <c r="AE10" s="375"/>
      <c r="AF10" s="375"/>
      <c r="AG10" s="375"/>
      <c r="AH10" s="375"/>
      <c r="AI10" s="375"/>
      <c r="AJ10" s="375"/>
      <c r="AK10" s="375"/>
      <c r="AL10" s="375"/>
      <c r="AM10" s="375"/>
      <c r="AN10" s="375"/>
      <c r="AO10" s="375"/>
      <c r="AP10" s="375"/>
      <c r="AQ10" s="375"/>
      <c r="AR10" s="375"/>
      <c r="AS10" s="375"/>
      <c r="AT10" s="375"/>
      <c r="AU10" s="375"/>
      <c r="AV10" s="375"/>
      <c r="AW10" s="375"/>
      <c r="AX10" s="375"/>
      <c r="AY10" s="375"/>
      <c r="AZ10" s="375"/>
      <c r="BA10" s="375"/>
      <c r="BB10" s="375"/>
      <c r="BC10" s="375"/>
      <c r="BD10" s="375"/>
      <c r="BE10" s="375"/>
      <c r="BF10" s="375"/>
      <c r="BG10" s="375"/>
      <c r="BH10" s="375"/>
      <c r="BI10" s="375"/>
      <c r="BJ10" s="375"/>
      <c r="BK10" s="375"/>
      <c r="BL10" s="375"/>
      <c r="BM10" s="375"/>
      <c r="BN10" s="375"/>
      <c r="BO10" s="375"/>
      <c r="BP10" s="375"/>
      <c r="BQ10" s="375"/>
      <c r="BR10" s="375"/>
      <c r="BS10" s="375"/>
      <c r="BT10" s="375"/>
      <c r="BU10" s="375"/>
      <c r="BV10" s="375"/>
      <c r="BW10" s="375"/>
      <c r="BX10" s="375"/>
      <c r="BY10" s="375"/>
      <c r="BZ10" s="375"/>
      <c r="CA10" s="375"/>
      <c r="CB10" s="375"/>
      <c r="CC10" s="375"/>
      <c r="CD10" s="349"/>
      <c r="CN10" s="320" t="s">
        <v>57</v>
      </c>
      <c r="CP10" s="1497" t="s">
        <v>34</v>
      </c>
      <c r="CQ10" s="1498"/>
      <c r="CR10" s="1498"/>
      <c r="CS10" s="1498"/>
      <c r="CT10" s="1498"/>
      <c r="CU10" s="1498"/>
      <c r="CV10" s="1498"/>
      <c r="CW10" s="1498"/>
      <c r="CX10" s="1498"/>
      <c r="CY10" s="1498"/>
      <c r="CZ10" s="1498"/>
      <c r="DA10" s="1498"/>
      <c r="DB10" s="1498"/>
      <c r="DC10" s="1499"/>
    </row>
    <row r="11" spans="1:126" ht="18.75" customHeight="1">
      <c r="A11" s="321" t="s">
        <v>271</v>
      </c>
      <c r="Y11" s="378" t="s">
        <v>32</v>
      </c>
      <c r="Z11" s="378"/>
      <c r="AA11" s="378"/>
      <c r="AB11" s="378"/>
      <c r="AC11" s="378"/>
      <c r="AD11" s="378"/>
      <c r="AE11" s="376"/>
      <c r="AF11" s="376"/>
      <c r="AG11" s="376"/>
      <c r="AH11" s="376"/>
      <c r="AI11" s="376"/>
      <c r="AJ11" s="376"/>
      <c r="AK11" s="376"/>
      <c r="AL11" s="376"/>
      <c r="AM11" s="376"/>
      <c r="AN11" s="376"/>
      <c r="AO11" s="376"/>
      <c r="AP11" s="376"/>
      <c r="AQ11" s="376"/>
      <c r="AR11" s="376"/>
      <c r="AS11" s="376"/>
      <c r="AT11" s="376"/>
      <c r="AU11" s="376"/>
      <c r="AV11" s="376"/>
      <c r="AW11" s="376"/>
      <c r="AX11" s="376"/>
      <c r="AY11" s="376"/>
      <c r="AZ11" s="376"/>
      <c r="BA11" s="376"/>
      <c r="BB11" s="376"/>
      <c r="BC11" s="376"/>
      <c r="BD11" s="376"/>
      <c r="BE11" s="376"/>
      <c r="BF11" s="376"/>
      <c r="BG11" s="376"/>
      <c r="BH11" s="376"/>
      <c r="BI11" s="376"/>
      <c r="BJ11" s="376"/>
      <c r="BK11" s="376"/>
      <c r="BL11" s="376"/>
      <c r="BM11" s="376"/>
      <c r="BN11" s="376"/>
      <c r="BO11" s="376"/>
      <c r="BP11" s="376"/>
      <c r="BQ11" s="376"/>
      <c r="BR11" s="376"/>
      <c r="BS11" s="376"/>
      <c r="BT11" s="376"/>
      <c r="BU11" s="376"/>
      <c r="BV11" s="376"/>
      <c r="BW11" s="376"/>
      <c r="BX11" s="376"/>
      <c r="BY11" s="376"/>
      <c r="BZ11" s="376"/>
      <c r="CA11" s="376"/>
      <c r="CB11" s="376"/>
      <c r="CC11" s="376"/>
      <c r="CN11" s="320"/>
      <c r="CP11" s="1497"/>
      <c r="CQ11" s="1498"/>
      <c r="CR11" s="1498"/>
      <c r="CS11" s="1498"/>
      <c r="CT11" s="1498"/>
      <c r="CU11" s="1498"/>
      <c r="CV11" s="1498"/>
      <c r="CW11" s="1498"/>
      <c r="CX11" s="1498"/>
      <c r="CY11" s="1498"/>
      <c r="CZ11" s="1498"/>
      <c r="DA11" s="1498"/>
      <c r="DB11" s="1498"/>
      <c r="DC11" s="1499"/>
    </row>
    <row r="12" spans="1:126" ht="21" customHeight="1" thickBot="1">
      <c r="A12" s="321" t="s">
        <v>699</v>
      </c>
      <c r="N12" s="349"/>
      <c r="O12" s="349"/>
      <c r="P12" s="349"/>
      <c r="Q12" s="349"/>
      <c r="R12" s="349"/>
      <c r="S12" s="349"/>
      <c r="T12" s="349"/>
      <c r="U12" s="349"/>
      <c r="V12" s="349"/>
      <c r="W12" s="349"/>
      <c r="X12" s="349"/>
      <c r="Y12" s="349"/>
      <c r="Z12" s="349"/>
      <c r="AA12" s="349"/>
      <c r="AB12" s="349"/>
      <c r="AC12" s="349"/>
      <c r="AD12" s="378" t="s">
        <v>33</v>
      </c>
      <c r="AE12" s="378"/>
      <c r="AF12" s="378"/>
      <c r="AG12" s="378"/>
      <c r="AH12" s="378"/>
      <c r="AI12" s="378"/>
      <c r="AJ12" s="378"/>
      <c r="AK12" s="376"/>
      <c r="AL12" s="376"/>
      <c r="AM12" s="376"/>
      <c r="AN12" s="376"/>
      <c r="AO12" s="376"/>
      <c r="AP12" s="376"/>
      <c r="AQ12" s="376"/>
      <c r="AR12" s="376"/>
      <c r="AS12" s="376"/>
      <c r="AT12" s="376"/>
      <c r="AU12" s="376"/>
      <c r="AV12" s="376"/>
      <c r="AW12" s="376"/>
      <c r="AX12" s="376"/>
      <c r="AY12" s="376"/>
      <c r="AZ12" s="376"/>
      <c r="BA12" s="376"/>
      <c r="BB12" s="376"/>
      <c r="BC12" s="376"/>
      <c r="BD12" s="376"/>
      <c r="BE12" s="376"/>
      <c r="BF12" s="376"/>
      <c r="BG12" s="376"/>
      <c r="BH12" s="376"/>
      <c r="BI12" s="376"/>
      <c r="BJ12" s="376"/>
      <c r="BK12" s="376"/>
      <c r="BL12" s="376"/>
      <c r="BM12" s="376"/>
      <c r="BN12" s="376"/>
      <c r="BO12" s="376"/>
      <c r="BP12" s="376"/>
      <c r="BQ12" s="376"/>
      <c r="BR12" s="376"/>
      <c r="BS12" s="376"/>
      <c r="BT12" s="376"/>
      <c r="BU12" s="376"/>
      <c r="BV12" s="376"/>
      <c r="BW12" s="376"/>
      <c r="BX12" s="376"/>
      <c r="BY12" s="376"/>
      <c r="BZ12" s="376"/>
      <c r="CA12" s="376"/>
      <c r="CB12" s="376"/>
      <c r="CC12" s="376"/>
      <c r="CN12" s="320"/>
      <c r="CP12" s="1507"/>
      <c r="CQ12" s="1508"/>
      <c r="CR12" s="1508"/>
      <c r="CS12" s="1508"/>
      <c r="CT12" s="1508"/>
      <c r="CU12" s="1508"/>
      <c r="CV12" s="1508"/>
      <c r="CW12" s="1508"/>
      <c r="CX12" s="1508"/>
      <c r="CY12" s="1508"/>
      <c r="CZ12" s="1508"/>
      <c r="DA12" s="1508"/>
      <c r="DB12" s="1508"/>
      <c r="DC12" s="1509"/>
    </row>
    <row r="13" spans="1:126" ht="12" thickBot="1">
      <c r="A13" s="323"/>
      <c r="B13" s="323"/>
      <c r="C13" s="323"/>
      <c r="D13" s="323"/>
      <c r="E13" s="323"/>
      <c r="F13" s="323"/>
      <c r="G13" s="323"/>
      <c r="H13" s="323"/>
      <c r="I13" s="323"/>
      <c r="J13" s="323"/>
      <c r="K13" s="323"/>
      <c r="L13" s="323"/>
      <c r="M13" s="323"/>
      <c r="N13" s="349"/>
      <c r="O13" s="349"/>
      <c r="P13" s="349"/>
      <c r="Q13" s="349"/>
      <c r="R13" s="349"/>
      <c r="S13" s="349"/>
      <c r="T13" s="349"/>
      <c r="U13" s="349"/>
      <c r="V13" s="349"/>
      <c r="W13" s="349"/>
      <c r="X13" s="349"/>
      <c r="Y13" s="349"/>
      <c r="Z13" s="349"/>
      <c r="AA13" s="349"/>
      <c r="AB13" s="349"/>
      <c r="AC13" s="349"/>
      <c r="AD13" s="349"/>
      <c r="AE13" s="349"/>
      <c r="AF13" s="349"/>
      <c r="AG13" s="349"/>
      <c r="AH13" s="349"/>
      <c r="AI13" s="349"/>
      <c r="AJ13" s="349"/>
      <c r="AK13" s="349"/>
      <c r="AL13" s="349"/>
      <c r="AM13" s="349"/>
      <c r="AN13" s="349"/>
      <c r="AO13" s="349"/>
      <c r="AP13" s="349"/>
      <c r="AQ13" s="349"/>
      <c r="AR13" s="349"/>
      <c r="AS13" s="349"/>
      <c r="AT13" s="349"/>
      <c r="AU13" s="349"/>
      <c r="AV13" s="349"/>
      <c r="AW13" s="349"/>
      <c r="AX13" s="349"/>
      <c r="AY13" s="349"/>
      <c r="AZ13" s="349"/>
      <c r="BA13" s="349"/>
      <c r="BB13" s="349"/>
      <c r="BC13" s="349"/>
      <c r="BD13" s="349"/>
      <c r="BE13" s="349"/>
      <c r="BF13" s="349"/>
      <c r="BG13" s="349"/>
      <c r="BH13" s="349"/>
      <c r="BI13" s="349"/>
      <c r="BJ13" s="349"/>
      <c r="BK13" s="349"/>
      <c r="BL13" s="349"/>
      <c r="BM13" s="349"/>
      <c r="BN13" s="349"/>
      <c r="BO13" s="349"/>
      <c r="BP13" s="349"/>
      <c r="BQ13" s="349"/>
      <c r="BR13" s="349"/>
      <c r="BS13" s="349"/>
      <c r="BT13" s="349"/>
      <c r="BU13" s="349"/>
      <c r="BV13" s="349"/>
      <c r="BW13" s="349"/>
      <c r="BX13" s="349"/>
      <c r="BY13" s="349"/>
      <c r="BZ13" s="349"/>
      <c r="CA13" s="349"/>
      <c r="CB13" s="349"/>
      <c r="CC13" s="349"/>
      <c r="CN13" s="320"/>
      <c r="CP13" s="1507"/>
      <c r="CQ13" s="1508"/>
      <c r="CR13" s="1508"/>
      <c r="CS13" s="1508"/>
      <c r="CT13" s="1508"/>
      <c r="CU13" s="1508"/>
      <c r="CV13" s="1508"/>
      <c r="CW13" s="1508"/>
      <c r="CX13" s="1508"/>
      <c r="CY13" s="1508"/>
      <c r="CZ13" s="1508"/>
      <c r="DA13" s="1508"/>
      <c r="DB13" s="1508"/>
      <c r="DC13" s="1509"/>
    </row>
    <row r="14" spans="1:126" ht="12" thickBot="1">
      <c r="A14" s="323"/>
      <c r="B14" s="323"/>
      <c r="C14" s="323"/>
      <c r="D14" s="323"/>
      <c r="E14" s="323"/>
      <c r="F14" s="323"/>
      <c r="G14" s="323"/>
      <c r="H14" s="323"/>
      <c r="I14" s="323"/>
      <c r="J14" s="323"/>
      <c r="K14" s="323"/>
      <c r="L14" s="323"/>
      <c r="M14" s="323"/>
      <c r="N14" s="349"/>
      <c r="O14" s="349"/>
      <c r="P14" s="349"/>
      <c r="Q14" s="349"/>
      <c r="R14" s="349"/>
      <c r="S14" s="349"/>
      <c r="T14" s="349"/>
      <c r="U14" s="349"/>
      <c r="V14" s="349"/>
      <c r="W14" s="349"/>
      <c r="X14" s="349"/>
      <c r="Y14" s="349"/>
      <c r="Z14" s="349"/>
      <c r="AA14" s="349"/>
      <c r="AB14" s="349"/>
      <c r="AC14" s="349"/>
      <c r="AD14" s="349"/>
      <c r="AE14" s="349"/>
      <c r="AF14" s="349"/>
      <c r="AG14" s="349"/>
      <c r="AH14" s="349"/>
      <c r="AI14" s="349"/>
      <c r="AJ14" s="349"/>
      <c r="AK14" s="349"/>
      <c r="AL14" s="349"/>
      <c r="AM14" s="349"/>
      <c r="AN14" s="349"/>
      <c r="AO14" s="349"/>
      <c r="AP14" s="349"/>
      <c r="AQ14" s="349"/>
      <c r="AR14" s="349"/>
      <c r="AS14" s="349"/>
      <c r="AT14" s="349"/>
      <c r="AU14" s="349"/>
      <c r="AV14" s="349"/>
      <c r="AW14" s="349"/>
      <c r="AX14" s="349"/>
      <c r="AY14" s="349"/>
      <c r="AZ14" s="349"/>
      <c r="BA14" s="349"/>
      <c r="BB14" s="349"/>
      <c r="BC14" s="349"/>
      <c r="BD14" s="349"/>
      <c r="BE14" s="349"/>
      <c r="BF14" s="349"/>
      <c r="BG14" s="349"/>
      <c r="BH14" s="349"/>
      <c r="BI14" s="349"/>
      <c r="BJ14" s="349"/>
      <c r="BK14" s="349"/>
      <c r="BL14" s="349"/>
      <c r="BM14" s="349"/>
      <c r="BN14" s="349"/>
      <c r="BO14" s="349"/>
      <c r="BP14" s="349"/>
      <c r="BQ14" s="349"/>
      <c r="BR14" s="349"/>
      <c r="BS14" s="349"/>
      <c r="BT14" s="349"/>
      <c r="BU14" s="349"/>
      <c r="BV14" s="349"/>
      <c r="BW14" s="349"/>
      <c r="BX14" s="349"/>
      <c r="BY14" s="349"/>
      <c r="BZ14" s="349"/>
      <c r="CA14" s="349"/>
      <c r="CB14" s="349"/>
      <c r="CC14" s="349"/>
      <c r="CE14" s="320"/>
      <c r="CG14" s="350"/>
      <c r="CH14" s="350"/>
      <c r="CI14" s="350"/>
      <c r="CJ14" s="350"/>
      <c r="CK14" s="350"/>
      <c r="CL14" s="350"/>
      <c r="CM14" s="350"/>
      <c r="CN14" s="350"/>
      <c r="CO14" s="350"/>
      <c r="CP14" s="350"/>
      <c r="CQ14" s="350"/>
      <c r="CR14" s="350"/>
      <c r="CS14" s="350"/>
      <c r="CT14" s="350"/>
      <c r="CU14" s="350"/>
      <c r="CV14" s="350"/>
      <c r="CW14" s="350"/>
      <c r="CX14" s="350"/>
      <c r="CY14" s="350"/>
      <c r="CZ14" s="350"/>
      <c r="DA14" s="350"/>
      <c r="DB14" s="350"/>
      <c r="DC14" s="350"/>
    </row>
    <row r="15" spans="1:126" ht="13.7" customHeight="1" thickBot="1">
      <c r="A15" s="321" t="s">
        <v>273</v>
      </c>
      <c r="AO15" s="320" t="s">
        <v>4</v>
      </c>
      <c r="AQ15" s="1501" t="s">
        <v>331</v>
      </c>
      <c r="AR15" s="1502"/>
      <c r="AS15" s="1502"/>
      <c r="AT15" s="1502"/>
      <c r="AU15" s="1502"/>
      <c r="AV15" s="1502"/>
      <c r="AW15" s="1502"/>
      <c r="AX15" s="1502"/>
      <c r="AY15" s="1502"/>
      <c r="AZ15" s="1502"/>
      <c r="BA15" s="1502"/>
      <c r="BB15" s="1502"/>
      <c r="BC15" s="1502"/>
      <c r="BD15" s="1502"/>
      <c r="BE15" s="1502"/>
      <c r="BF15" s="1502"/>
      <c r="BG15" s="1502"/>
      <c r="BH15" s="1502"/>
      <c r="BI15" s="1502"/>
      <c r="BJ15" s="1502"/>
      <c r="BK15" s="1502"/>
      <c r="BL15" s="1503"/>
      <c r="CJ15" s="321" t="s">
        <v>64</v>
      </c>
      <c r="CP15" s="1501" t="s">
        <v>332</v>
      </c>
      <c r="CQ15" s="1502"/>
      <c r="CR15" s="1502"/>
      <c r="CS15" s="1502"/>
      <c r="CT15" s="1502"/>
      <c r="CU15" s="1502"/>
      <c r="CV15" s="1502"/>
      <c r="CW15" s="1502"/>
      <c r="CX15" s="1502"/>
      <c r="CY15" s="1502"/>
      <c r="CZ15" s="1502"/>
      <c r="DA15" s="1502"/>
      <c r="DB15" s="1502"/>
      <c r="DC15" s="1503"/>
    </row>
    <row r="16" spans="1:126">
      <c r="A16" s="321" t="s">
        <v>274</v>
      </c>
    </row>
    <row r="18" spans="1:107">
      <c r="A18" s="321" t="s">
        <v>275</v>
      </c>
      <c r="AE18" s="349"/>
      <c r="AF18" s="349"/>
      <c r="AG18" s="349"/>
      <c r="AH18" s="349"/>
      <c r="AI18" s="349"/>
      <c r="AJ18" s="349"/>
      <c r="AK18" s="349"/>
      <c r="AL18" s="349"/>
      <c r="AM18" s="349"/>
      <c r="AN18" s="349"/>
      <c r="AO18" s="349"/>
      <c r="AP18" s="349"/>
      <c r="AQ18" s="349"/>
      <c r="AR18" s="349"/>
      <c r="AS18" s="349"/>
      <c r="AT18" s="349"/>
      <c r="AU18" s="349"/>
      <c r="AV18" s="349"/>
      <c r="AW18" s="349"/>
      <c r="AX18" s="349"/>
      <c r="AY18" s="349"/>
      <c r="AZ18" s="349"/>
      <c r="BA18" s="349"/>
      <c r="BB18" s="349"/>
      <c r="BC18" s="349"/>
      <c r="BD18" s="349"/>
      <c r="BE18" s="349"/>
      <c r="BF18" s="349"/>
      <c r="BG18" s="349"/>
      <c r="BH18" s="349"/>
      <c r="BI18" s="349"/>
      <c r="BJ18" s="349"/>
      <c r="BK18" s="349"/>
      <c r="BL18" s="349"/>
      <c r="BM18" s="349"/>
      <c r="BN18" s="349"/>
      <c r="BO18" s="349"/>
      <c r="BP18" s="349"/>
      <c r="BQ18" s="349"/>
      <c r="BR18" s="349"/>
      <c r="BS18" s="349"/>
      <c r="BT18" s="349"/>
      <c r="BU18" s="349"/>
      <c r="BV18" s="349"/>
      <c r="BW18" s="349"/>
      <c r="BX18" s="349"/>
      <c r="BY18" s="349"/>
      <c r="BZ18" s="349"/>
      <c r="CA18" s="349"/>
      <c r="CB18" s="349"/>
      <c r="CC18" s="349"/>
      <c r="CD18" s="349"/>
      <c r="CE18" s="349"/>
      <c r="CF18" s="349"/>
      <c r="CG18" s="349"/>
      <c r="CH18" s="349"/>
      <c r="CI18" s="349"/>
      <c r="CJ18" s="349"/>
      <c r="CK18" s="349"/>
      <c r="CL18" s="349"/>
      <c r="CM18" s="349"/>
      <c r="CN18" s="349"/>
      <c r="CO18" s="349"/>
      <c r="CP18" s="349"/>
      <c r="CQ18" s="349"/>
      <c r="CR18" s="349"/>
      <c r="CS18" s="349"/>
      <c r="CT18" s="349"/>
      <c r="CU18" s="349"/>
      <c r="CV18" s="349"/>
      <c r="CW18" s="349"/>
      <c r="CX18" s="349"/>
      <c r="CY18" s="349"/>
      <c r="CZ18" s="349"/>
      <c r="DA18" s="349"/>
      <c r="DB18" s="349"/>
      <c r="DC18" s="349"/>
    </row>
    <row r="19" spans="1:107">
      <c r="A19" s="321" t="s">
        <v>276</v>
      </c>
      <c r="P19" s="1493"/>
      <c r="Q19" s="1493"/>
      <c r="R19" s="1493"/>
      <c r="S19" s="1493"/>
      <c r="T19" s="1493"/>
      <c r="U19" s="1493"/>
      <c r="V19" s="1493"/>
      <c r="W19" s="1493"/>
      <c r="X19" s="1493"/>
      <c r="Y19" s="1493"/>
      <c r="Z19" s="1493"/>
      <c r="AA19" s="1493"/>
      <c r="AB19" s="1493"/>
      <c r="AC19" s="1493"/>
      <c r="AD19" s="1493"/>
      <c r="AE19" s="1493"/>
      <c r="AF19" s="1493"/>
      <c r="AG19" s="1493"/>
      <c r="AH19" s="1493"/>
      <c r="AI19" s="1493"/>
      <c r="AJ19" s="1493"/>
      <c r="AK19" s="1493"/>
      <c r="AL19" s="1493"/>
      <c r="AM19" s="1493"/>
      <c r="AN19" s="1493"/>
      <c r="AO19" s="1493"/>
      <c r="AP19" s="1493"/>
      <c r="AQ19" s="1493"/>
      <c r="AR19" s="1493"/>
      <c r="AS19" s="1493"/>
      <c r="AT19" s="1493"/>
      <c r="AU19" s="1493"/>
      <c r="AV19" s="1493"/>
      <c r="AW19" s="1493"/>
      <c r="AX19" s="1493"/>
      <c r="AY19" s="1493"/>
      <c r="AZ19" s="1493"/>
      <c r="BA19" s="1493"/>
      <c r="BB19" s="1493"/>
      <c r="BC19" s="1493"/>
      <c r="BD19" s="1493"/>
      <c r="BE19" s="1493"/>
      <c r="BF19" s="1493"/>
      <c r="BG19" s="1493"/>
      <c r="BH19" s="1493"/>
      <c r="BI19" s="1493"/>
      <c r="BJ19" s="1493"/>
      <c r="BK19" s="1493"/>
      <c r="BL19" s="1493"/>
      <c r="BM19" s="1493"/>
      <c r="BN19" s="1493"/>
      <c r="BO19" s="1493"/>
      <c r="BP19" s="1493"/>
      <c r="BQ19" s="1493"/>
      <c r="BR19" s="1493"/>
      <c r="BS19" s="1493"/>
      <c r="BT19" s="1493"/>
      <c r="BU19" s="1493"/>
      <c r="BV19" s="1493"/>
      <c r="BW19" s="1493"/>
      <c r="BX19" s="1493"/>
      <c r="BY19" s="1493"/>
      <c r="BZ19" s="1493"/>
      <c r="CA19" s="1493"/>
      <c r="CB19" s="1493"/>
      <c r="CC19" s="1493"/>
      <c r="CD19" s="349"/>
      <c r="CE19" s="349"/>
      <c r="CF19" s="349"/>
      <c r="CG19" s="349"/>
      <c r="CH19" s="349"/>
      <c r="CI19" s="349"/>
      <c r="CJ19" s="349"/>
      <c r="CK19" s="349"/>
      <c r="CL19" s="349"/>
      <c r="CM19" s="349"/>
      <c r="CN19" s="349"/>
      <c r="CO19" s="349"/>
      <c r="CP19" s="349"/>
      <c r="CQ19" s="349"/>
      <c r="CR19" s="349"/>
      <c r="CS19" s="349"/>
      <c r="CT19" s="349"/>
      <c r="CU19" s="349"/>
      <c r="CV19" s="349"/>
      <c r="CW19" s="349"/>
      <c r="CX19" s="349"/>
      <c r="CY19" s="349"/>
      <c r="CZ19" s="349"/>
      <c r="DA19" s="349"/>
      <c r="DB19" s="349"/>
      <c r="DC19" s="349"/>
    </row>
    <row r="20" spans="1:107">
      <c r="A20" s="323"/>
      <c r="B20" s="323"/>
      <c r="C20" s="323"/>
      <c r="D20" s="323"/>
      <c r="E20" s="323"/>
      <c r="F20" s="323"/>
      <c r="G20" s="323"/>
      <c r="H20" s="323"/>
      <c r="I20" s="323"/>
      <c r="J20" s="323"/>
      <c r="K20" s="323"/>
      <c r="L20" s="323"/>
      <c r="M20" s="323"/>
      <c r="N20" s="349"/>
      <c r="O20" s="349"/>
      <c r="P20" s="349"/>
      <c r="Q20" s="349"/>
      <c r="R20" s="349"/>
      <c r="S20" s="349"/>
      <c r="T20" s="349"/>
      <c r="U20" s="349"/>
      <c r="V20" s="349"/>
      <c r="W20" s="349"/>
      <c r="X20" s="349"/>
      <c r="Y20" s="349"/>
      <c r="Z20" s="349"/>
      <c r="AA20" s="349"/>
      <c r="AB20" s="349"/>
      <c r="AC20" s="349"/>
      <c r="AD20" s="349"/>
      <c r="AE20" s="349"/>
      <c r="AF20" s="349"/>
      <c r="AG20" s="349"/>
      <c r="AH20" s="349"/>
      <c r="AI20" s="349"/>
      <c r="AJ20" s="349"/>
      <c r="AK20" s="349"/>
      <c r="AL20" s="349"/>
      <c r="AM20" s="349"/>
      <c r="AN20" s="349"/>
      <c r="AO20" s="349"/>
      <c r="AP20" s="349"/>
      <c r="AQ20" s="349"/>
      <c r="AR20" s="349"/>
      <c r="AS20" s="349"/>
      <c r="AT20" s="349"/>
      <c r="AU20" s="349"/>
      <c r="AV20" s="349"/>
      <c r="AW20" s="349"/>
      <c r="AX20" s="349"/>
      <c r="AY20" s="349"/>
      <c r="AZ20" s="349"/>
      <c r="BA20" s="349"/>
      <c r="BB20" s="349"/>
      <c r="BC20" s="349"/>
      <c r="BD20" s="349"/>
      <c r="BE20" s="349"/>
      <c r="BF20" s="349"/>
      <c r="BG20" s="349"/>
      <c r="BH20" s="349"/>
      <c r="BI20" s="349"/>
      <c r="BJ20" s="349"/>
      <c r="BK20" s="349"/>
      <c r="BL20" s="349"/>
      <c r="BM20" s="349"/>
      <c r="BN20" s="349"/>
      <c r="BO20" s="349"/>
      <c r="BP20" s="349"/>
      <c r="BQ20" s="349"/>
      <c r="BR20" s="349"/>
      <c r="BS20" s="349"/>
      <c r="BT20" s="349"/>
      <c r="BU20" s="349"/>
      <c r="BV20" s="349"/>
      <c r="BW20" s="349"/>
      <c r="BX20" s="349"/>
      <c r="BY20" s="349"/>
      <c r="BZ20" s="349"/>
      <c r="CA20" s="349"/>
      <c r="CB20" s="349"/>
      <c r="CC20" s="349"/>
      <c r="CE20" s="320"/>
      <c r="CG20" s="350"/>
      <c r="CH20" s="350"/>
      <c r="CI20" s="350"/>
      <c r="CJ20" s="350"/>
      <c r="CK20" s="350"/>
      <c r="CL20" s="350"/>
      <c r="CM20" s="350"/>
      <c r="CN20" s="350"/>
      <c r="CO20" s="350"/>
      <c r="CP20" s="350"/>
      <c r="CQ20" s="350"/>
      <c r="CR20" s="350"/>
      <c r="CS20" s="350"/>
      <c r="CT20" s="350"/>
      <c r="CU20" s="350"/>
      <c r="CV20" s="350"/>
      <c r="CW20" s="350"/>
      <c r="CX20" s="350"/>
      <c r="CY20" s="350"/>
      <c r="CZ20" s="350"/>
      <c r="DA20" s="350"/>
      <c r="DB20" s="350"/>
      <c r="DC20" s="350"/>
    </row>
    <row r="21" spans="1:107">
      <c r="A21" s="323"/>
      <c r="B21" s="323"/>
      <c r="C21" s="323"/>
      <c r="D21" s="323"/>
      <c r="E21" s="323"/>
      <c r="F21" s="323"/>
      <c r="G21" s="323"/>
      <c r="H21" s="323"/>
      <c r="I21" s="323"/>
      <c r="J21" s="323"/>
      <c r="K21" s="323"/>
      <c r="L21" s="323"/>
      <c r="M21" s="323"/>
      <c r="N21" s="349"/>
      <c r="O21" s="349"/>
      <c r="P21" s="349"/>
      <c r="Q21" s="349"/>
      <c r="R21" s="349"/>
      <c r="S21" s="349"/>
      <c r="T21" s="349"/>
      <c r="U21" s="349"/>
      <c r="V21" s="349"/>
      <c r="W21" s="349"/>
      <c r="X21" s="349"/>
      <c r="Y21" s="349"/>
      <c r="Z21" s="349"/>
      <c r="AA21" s="349"/>
      <c r="AB21" s="349"/>
      <c r="AC21" s="349"/>
      <c r="AD21" s="349"/>
      <c r="AE21" s="349"/>
      <c r="AF21" s="349"/>
      <c r="AG21" s="349"/>
      <c r="AH21" s="349"/>
      <c r="AI21" s="349"/>
      <c r="AJ21" s="349"/>
      <c r="AK21" s="349"/>
      <c r="AL21" s="349"/>
      <c r="AM21" s="349"/>
      <c r="AN21" s="349"/>
      <c r="AO21" s="349"/>
      <c r="AP21" s="349"/>
      <c r="AQ21" s="349"/>
      <c r="AR21" s="349"/>
      <c r="AS21" s="349"/>
      <c r="AT21" s="349"/>
      <c r="AU21" s="349"/>
      <c r="AV21" s="349"/>
      <c r="AW21" s="349"/>
      <c r="AX21" s="349"/>
      <c r="AY21" s="349"/>
      <c r="AZ21" s="349"/>
      <c r="BA21" s="349"/>
      <c r="BB21" s="349"/>
      <c r="BC21" s="349"/>
      <c r="BD21" s="349"/>
      <c r="BE21" s="349"/>
      <c r="BF21" s="349"/>
      <c r="BG21" s="349"/>
      <c r="BH21" s="349"/>
      <c r="BI21" s="351" t="s">
        <v>65</v>
      </c>
      <c r="BJ21" s="349"/>
      <c r="BK21" s="349"/>
      <c r="BL21" s="349"/>
      <c r="BM21" s="349"/>
      <c r="BN21" s="349"/>
      <c r="BO21" s="349"/>
      <c r="BP21" s="349"/>
      <c r="BQ21" s="349"/>
      <c r="BR21" s="349"/>
      <c r="BS21" s="349"/>
      <c r="BT21" s="349"/>
      <c r="BU21" s="349"/>
      <c r="BV21" s="349"/>
      <c r="BW21" s="349"/>
      <c r="BX21" s="349"/>
      <c r="BY21" s="349"/>
      <c r="BZ21" s="349"/>
      <c r="CA21" s="349"/>
      <c r="CB21" s="349"/>
      <c r="CC21" s="349"/>
      <c r="CE21" s="320"/>
      <c r="CG21" s="350"/>
      <c r="CH21" s="350"/>
      <c r="CI21" s="350"/>
      <c r="CJ21" s="350"/>
      <c r="CK21" s="350"/>
      <c r="CL21" s="350"/>
      <c r="CM21" s="350"/>
      <c r="CN21" s="350"/>
      <c r="CO21" s="350"/>
      <c r="CP21" s="1497" t="s">
        <v>31</v>
      </c>
      <c r="CQ21" s="1498"/>
      <c r="CR21" s="1498"/>
      <c r="CS21" s="1498"/>
      <c r="CT21" s="1498"/>
      <c r="CU21" s="1498"/>
      <c r="CV21" s="1498"/>
      <c r="CW21" s="1498"/>
      <c r="CX21" s="1498"/>
      <c r="CY21" s="1498"/>
      <c r="CZ21" s="1498"/>
      <c r="DA21" s="1498"/>
      <c r="DB21" s="1498"/>
      <c r="DC21" s="1499"/>
    </row>
    <row r="22" spans="1:107" ht="12" thickBot="1">
      <c r="A22" s="323"/>
      <c r="B22" s="323"/>
      <c r="C22" s="323"/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49"/>
      <c r="O22" s="349"/>
      <c r="P22" s="349"/>
      <c r="Q22" s="349"/>
      <c r="R22" s="349"/>
      <c r="S22" s="349"/>
      <c r="T22" s="349"/>
      <c r="U22" s="349"/>
      <c r="V22" s="349"/>
      <c r="W22" s="349"/>
      <c r="X22" s="349"/>
      <c r="Y22" s="349"/>
      <c r="Z22" s="349"/>
      <c r="AA22" s="349"/>
      <c r="AB22" s="349"/>
      <c r="AC22" s="349"/>
      <c r="AD22" s="349"/>
      <c r="AE22" s="349"/>
      <c r="AF22" s="349"/>
      <c r="AG22" s="349"/>
      <c r="AH22" s="349"/>
      <c r="AI22" s="349"/>
      <c r="AJ22" s="349"/>
      <c r="AK22" s="349"/>
      <c r="AL22" s="349"/>
      <c r="AM22" s="349"/>
      <c r="AN22" s="349"/>
      <c r="AO22" s="349"/>
      <c r="AP22" s="349"/>
      <c r="AQ22" s="349"/>
      <c r="AR22" s="349"/>
      <c r="AS22" s="349"/>
      <c r="AT22" s="349"/>
      <c r="AU22" s="349"/>
      <c r="AV22" s="349"/>
      <c r="AW22" s="349"/>
      <c r="AX22" s="349"/>
      <c r="AY22" s="349"/>
      <c r="AZ22" s="349"/>
      <c r="BA22" s="349"/>
      <c r="BB22" s="349"/>
      <c r="BC22" s="349"/>
      <c r="BD22" s="349"/>
      <c r="BE22" s="349"/>
      <c r="BF22" s="349"/>
      <c r="BG22" s="349"/>
      <c r="BH22" s="349"/>
      <c r="BI22" s="349"/>
      <c r="BJ22" s="349"/>
      <c r="BK22" s="349"/>
      <c r="BL22" s="349"/>
      <c r="BM22" s="349"/>
      <c r="BN22" s="349"/>
      <c r="BO22" s="349"/>
      <c r="BP22" s="349"/>
      <c r="BQ22" s="349"/>
      <c r="BR22" s="349"/>
      <c r="BS22" s="349"/>
      <c r="BT22" s="349"/>
      <c r="BU22" s="349"/>
      <c r="BV22" s="349"/>
      <c r="BW22" s="349"/>
      <c r="BX22" s="349"/>
      <c r="BY22" s="349"/>
      <c r="BZ22" s="349"/>
      <c r="CA22" s="349"/>
      <c r="CB22" s="349"/>
      <c r="CC22" s="349"/>
      <c r="CE22" s="320"/>
      <c r="CG22" s="350"/>
      <c r="CH22" s="350"/>
      <c r="CI22" s="350"/>
      <c r="CJ22" s="350"/>
      <c r="CK22" s="350"/>
      <c r="CL22" s="350"/>
      <c r="CM22" s="350"/>
      <c r="CN22" s="350"/>
      <c r="CO22" s="350"/>
      <c r="CP22" s="350"/>
      <c r="CQ22" s="350"/>
      <c r="CR22" s="350"/>
      <c r="CS22" s="350"/>
      <c r="CT22" s="350"/>
      <c r="CU22" s="350"/>
      <c r="CV22" s="350"/>
      <c r="CW22" s="350"/>
      <c r="CX22" s="350"/>
      <c r="CY22" s="350"/>
      <c r="CZ22" s="350"/>
      <c r="DA22" s="350"/>
      <c r="DB22" s="350"/>
      <c r="DC22" s="350"/>
    </row>
    <row r="23" spans="1:107" ht="12" thickBot="1">
      <c r="A23" s="323"/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49"/>
      <c r="O23" s="349"/>
      <c r="P23" s="349"/>
      <c r="Q23" s="349"/>
      <c r="R23" s="349"/>
      <c r="S23" s="349"/>
      <c r="T23" s="349"/>
      <c r="U23" s="349"/>
      <c r="V23" s="349"/>
      <c r="W23" s="349"/>
      <c r="X23" s="349"/>
      <c r="Y23" s="349"/>
      <c r="Z23" s="349"/>
      <c r="AA23" s="349"/>
      <c r="AB23" s="349"/>
      <c r="AC23" s="349"/>
      <c r="AD23" s="349"/>
      <c r="AE23" s="349"/>
      <c r="AF23" s="349"/>
      <c r="AG23" s="349"/>
      <c r="AH23" s="349"/>
      <c r="AI23" s="349"/>
      <c r="AJ23" s="349"/>
      <c r="AK23" s="349"/>
      <c r="AL23" s="349"/>
      <c r="AM23" s="349"/>
      <c r="AN23" s="349"/>
      <c r="AO23" s="349"/>
      <c r="AP23" s="349"/>
      <c r="AQ23" s="349"/>
      <c r="AR23" s="349"/>
      <c r="AS23" s="349"/>
      <c r="AT23" s="349"/>
      <c r="AU23" s="349"/>
      <c r="AV23" s="349"/>
      <c r="AW23" s="349"/>
      <c r="AX23" s="349"/>
      <c r="AY23" s="349"/>
      <c r="AZ23" s="349"/>
      <c r="BA23" s="349"/>
      <c r="BB23" s="349"/>
      <c r="BC23" s="349"/>
      <c r="BD23" s="349"/>
      <c r="BE23" s="349"/>
      <c r="BF23" s="349"/>
      <c r="BG23" s="349"/>
      <c r="BH23" s="349"/>
      <c r="BI23" s="351" t="s">
        <v>66</v>
      </c>
      <c r="BJ23" s="349"/>
      <c r="BK23" s="349"/>
      <c r="BL23" s="349"/>
      <c r="BM23" s="349"/>
      <c r="BN23" s="349"/>
      <c r="BO23" s="349"/>
      <c r="BP23" s="349"/>
      <c r="BQ23" s="349"/>
      <c r="BR23" s="349"/>
      <c r="BS23" s="349"/>
      <c r="BT23" s="349"/>
      <c r="BU23" s="349"/>
      <c r="BV23" s="349"/>
      <c r="BW23" s="349"/>
      <c r="BX23" s="349"/>
      <c r="BY23" s="349"/>
      <c r="BZ23" s="349"/>
      <c r="CA23" s="349"/>
      <c r="CB23" s="349"/>
      <c r="CC23" s="349"/>
      <c r="CE23" s="320"/>
      <c r="CG23" s="350"/>
      <c r="CH23" s="350"/>
      <c r="CI23" s="350"/>
      <c r="CJ23" s="350"/>
      <c r="CK23" s="350"/>
      <c r="CL23" s="350"/>
      <c r="CM23" s="350"/>
      <c r="CN23" s="350"/>
      <c r="CO23" s="350"/>
      <c r="CP23" s="1501" t="s">
        <v>330</v>
      </c>
      <c r="CQ23" s="1502"/>
      <c r="CR23" s="1502"/>
      <c r="CS23" s="1502"/>
      <c r="CT23" s="1502"/>
      <c r="CU23" s="1502"/>
      <c r="CV23" s="1502"/>
      <c r="CW23" s="1502"/>
      <c r="CX23" s="1502"/>
      <c r="CY23" s="1502"/>
      <c r="CZ23" s="1502"/>
      <c r="DA23" s="1502"/>
      <c r="DB23" s="1502"/>
      <c r="DC23" s="1503"/>
    </row>
    <row r="24" spans="1:107">
      <c r="N24" s="349"/>
      <c r="O24" s="349"/>
      <c r="P24" s="349"/>
      <c r="Q24" s="349"/>
      <c r="R24" s="349"/>
      <c r="S24" s="349"/>
      <c r="T24" s="349"/>
      <c r="U24" s="349"/>
      <c r="V24" s="349"/>
      <c r="W24" s="349"/>
      <c r="X24" s="349"/>
      <c r="Y24" s="349"/>
      <c r="Z24" s="349"/>
      <c r="AA24" s="349"/>
      <c r="AB24" s="349"/>
      <c r="AC24" s="349"/>
      <c r="AD24" s="349"/>
      <c r="AE24" s="349"/>
      <c r="AF24" s="349"/>
      <c r="AG24" s="349"/>
      <c r="AH24" s="349"/>
      <c r="AI24" s="349"/>
      <c r="AJ24" s="349"/>
      <c r="AK24" s="349"/>
      <c r="AL24" s="349"/>
      <c r="AM24" s="349"/>
      <c r="AN24" s="349"/>
      <c r="AO24" s="349"/>
      <c r="AP24" s="349"/>
      <c r="AQ24" s="349"/>
      <c r="AR24" s="349"/>
      <c r="AS24" s="349"/>
      <c r="AT24" s="349"/>
      <c r="AU24" s="349"/>
      <c r="AV24" s="349"/>
      <c r="AW24" s="349"/>
      <c r="AX24" s="349"/>
      <c r="AY24" s="349"/>
      <c r="AZ24" s="349"/>
      <c r="BA24" s="349"/>
      <c r="BB24" s="349"/>
      <c r="BC24" s="349"/>
      <c r="BD24" s="349"/>
      <c r="BE24" s="349"/>
      <c r="BF24" s="349"/>
      <c r="BG24" s="349"/>
      <c r="BH24" s="349"/>
      <c r="BI24" s="349"/>
      <c r="BJ24" s="349"/>
      <c r="BK24" s="349"/>
      <c r="BL24" s="349"/>
      <c r="BM24" s="349"/>
      <c r="BN24" s="349"/>
      <c r="BO24" s="349"/>
      <c r="BP24" s="349"/>
      <c r="BQ24" s="349"/>
      <c r="BR24" s="349"/>
      <c r="BS24" s="349"/>
      <c r="BT24" s="349"/>
      <c r="BU24" s="349"/>
      <c r="BV24" s="349"/>
      <c r="BW24" s="349"/>
      <c r="BX24" s="349"/>
      <c r="BY24" s="349"/>
      <c r="BZ24" s="349"/>
      <c r="CA24" s="349"/>
      <c r="CB24" s="349"/>
      <c r="CC24" s="349"/>
      <c r="CD24" s="349"/>
      <c r="CE24" s="349"/>
      <c r="CF24" s="349"/>
      <c r="CG24" s="349"/>
      <c r="CH24" s="349"/>
      <c r="CI24" s="349"/>
      <c r="CJ24" s="349"/>
      <c r="CK24" s="349"/>
      <c r="CL24" s="349"/>
      <c r="CM24" s="349"/>
      <c r="CN24" s="349"/>
      <c r="CO24" s="349"/>
      <c r="CP24" s="349"/>
      <c r="CQ24" s="349"/>
      <c r="CR24" s="349"/>
      <c r="CS24" s="349"/>
      <c r="CT24" s="349"/>
      <c r="CU24" s="349"/>
      <c r="CV24" s="349"/>
      <c r="CW24" s="349"/>
      <c r="CX24" s="349"/>
      <c r="CY24" s="349"/>
      <c r="CZ24" s="349"/>
      <c r="DA24" s="349"/>
      <c r="DB24" s="349"/>
      <c r="DC24" s="349"/>
    </row>
    <row r="25" spans="1:107" s="352" customFormat="1" ht="13.7" customHeight="1">
      <c r="G25" s="1504" t="s">
        <v>277</v>
      </c>
      <c r="H25" s="1505"/>
      <c r="I25" s="1505"/>
      <c r="J25" s="1505"/>
      <c r="K25" s="1505"/>
      <c r="L25" s="1505"/>
      <c r="M25" s="1505"/>
      <c r="N25" s="1505"/>
      <c r="O25" s="1505"/>
      <c r="P25" s="1505"/>
      <c r="Q25" s="1505"/>
      <c r="R25" s="1505"/>
      <c r="S25" s="1505"/>
      <c r="T25" s="1505"/>
      <c r="U25" s="1505"/>
      <c r="V25" s="1505"/>
      <c r="W25" s="1505"/>
      <c r="X25" s="1505"/>
      <c r="Y25" s="1505"/>
      <c r="Z25" s="1505"/>
      <c r="AA25" s="1505"/>
      <c r="AB25" s="1505"/>
      <c r="AC25" s="1505"/>
      <c r="AD25" s="1505"/>
      <c r="AE25" s="1505"/>
      <c r="AF25" s="1505"/>
      <c r="AG25" s="1505"/>
      <c r="AH25" s="1505"/>
      <c r="AI25" s="1505"/>
      <c r="AJ25" s="1505"/>
      <c r="AK25" s="1505"/>
      <c r="AL25" s="1505"/>
      <c r="AM25" s="1505"/>
      <c r="AN25" s="1505"/>
      <c r="AO25" s="1505"/>
      <c r="AP25" s="1505"/>
      <c r="AQ25" s="1505"/>
      <c r="AR25" s="1505"/>
      <c r="AS25" s="1505"/>
      <c r="AT25" s="1505"/>
      <c r="AU25" s="1505"/>
      <c r="AV25" s="1505"/>
      <c r="AW25" s="1505"/>
      <c r="AX25" s="1505"/>
      <c r="AY25" s="1505"/>
      <c r="AZ25" s="1505"/>
      <c r="BA25" s="1505"/>
      <c r="BB25" s="1505"/>
      <c r="BC25" s="1505"/>
      <c r="BD25" s="1505"/>
      <c r="BE25" s="1505"/>
      <c r="BF25" s="1505"/>
      <c r="BG25" s="1505"/>
      <c r="BH25" s="1505"/>
      <c r="BI25" s="1505"/>
      <c r="BJ25" s="1505"/>
      <c r="BK25" s="1505"/>
      <c r="BL25" s="1505"/>
      <c r="BM25" s="1505"/>
      <c r="BN25" s="1505"/>
      <c r="BO25" s="1505"/>
      <c r="BP25" s="1505"/>
      <c r="BQ25" s="1505"/>
      <c r="BR25" s="1505"/>
      <c r="BS25" s="1505"/>
      <c r="BT25" s="1505"/>
      <c r="BU25" s="1505"/>
      <c r="BV25" s="1505"/>
      <c r="BW25" s="1505"/>
      <c r="BX25" s="1505"/>
      <c r="BY25" s="1505"/>
      <c r="BZ25" s="1505"/>
      <c r="CA25" s="1505"/>
      <c r="CB25" s="1505"/>
      <c r="CC25" s="1505"/>
      <c r="CD25" s="1505"/>
      <c r="CE25" s="1505"/>
      <c r="CF25" s="1505"/>
      <c r="CG25" s="1505"/>
      <c r="CH25" s="1505"/>
      <c r="CI25" s="1505"/>
      <c r="CJ25" s="1505"/>
      <c r="CK25" s="1505"/>
      <c r="CL25" s="1505"/>
      <c r="CM25" s="1505"/>
      <c r="CN25" s="1505"/>
      <c r="CO25" s="1506"/>
      <c r="CP25" s="353"/>
      <c r="CQ25" s="353"/>
      <c r="CR25" s="353"/>
      <c r="CS25" s="353"/>
      <c r="CT25" s="353"/>
      <c r="CU25" s="353"/>
      <c r="CV25" s="353"/>
      <c r="CW25" s="353"/>
      <c r="CX25" s="353"/>
      <c r="CY25" s="353"/>
      <c r="CZ25" s="353"/>
      <c r="DA25" s="353"/>
      <c r="DB25" s="353"/>
      <c r="DC25" s="353"/>
    </row>
    <row r="26" spans="1:107" s="354" customFormat="1" ht="15" customHeight="1">
      <c r="G26" s="1484" t="s">
        <v>278</v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1485"/>
      <c r="T26" s="1485"/>
      <c r="U26" s="1485"/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1485"/>
      <c r="AP26" s="1485"/>
      <c r="AQ26" s="1485"/>
      <c r="AR26" s="1485"/>
      <c r="AS26" s="1485"/>
      <c r="AT26" s="1485"/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1485"/>
      <c r="BJ26" s="1485"/>
      <c r="BK26" s="1485"/>
      <c r="BL26" s="1485"/>
      <c r="BM26" s="1485"/>
      <c r="BN26" s="1485"/>
      <c r="BO26" s="1485"/>
      <c r="BP26" s="1485"/>
      <c r="BQ26" s="1485"/>
      <c r="BR26" s="1485"/>
      <c r="BS26" s="1485"/>
      <c r="BT26" s="1485"/>
      <c r="BU26" s="1485"/>
      <c r="BV26" s="1485"/>
      <c r="BW26" s="1485"/>
      <c r="BX26" s="1485"/>
      <c r="BY26" s="1485"/>
      <c r="BZ26" s="1485"/>
      <c r="CA26" s="1485"/>
      <c r="CB26" s="1485"/>
      <c r="CC26" s="1485"/>
      <c r="CD26" s="1485"/>
      <c r="CE26" s="1485"/>
      <c r="CF26" s="1485"/>
      <c r="CG26" s="1485"/>
      <c r="CH26" s="1485"/>
      <c r="CI26" s="1485"/>
      <c r="CJ26" s="1485"/>
      <c r="CK26" s="1485"/>
      <c r="CL26" s="1485"/>
      <c r="CM26" s="1485"/>
      <c r="CN26" s="1485"/>
      <c r="CO26" s="1486"/>
      <c r="CP26" s="356"/>
      <c r="CQ26" s="356"/>
      <c r="CR26" s="356"/>
      <c r="CS26" s="356"/>
      <c r="CT26" s="356"/>
      <c r="CU26" s="356"/>
      <c r="CV26" s="356"/>
      <c r="CW26" s="356"/>
      <c r="CX26" s="356"/>
      <c r="CY26" s="356"/>
      <c r="CZ26" s="356"/>
      <c r="DA26" s="356"/>
      <c r="DB26" s="356"/>
      <c r="DC26" s="356"/>
    </row>
    <row r="27" spans="1:107" s="354" customFormat="1" ht="12.75">
      <c r="G27" s="1038"/>
      <c r="H27" s="1037"/>
      <c r="I27" s="1037"/>
      <c r="J27" s="613"/>
      <c r="K27" s="613"/>
      <c r="L27" s="613"/>
      <c r="M27" s="615" t="s">
        <v>703</v>
      </c>
      <c r="N27" s="613"/>
      <c r="O27" s="613"/>
      <c r="P27" s="613"/>
      <c r="Q27" s="613"/>
      <c r="R27" s="613"/>
      <c r="S27" s="613"/>
      <c r="T27" s="613"/>
      <c r="U27" s="613"/>
      <c r="V27" s="613"/>
      <c r="W27" s="613"/>
      <c r="X27" s="613"/>
      <c r="Y27" s="613"/>
      <c r="Z27" s="613"/>
      <c r="AA27" s="613"/>
      <c r="AB27" s="613"/>
      <c r="AC27" s="613"/>
      <c r="AD27" s="613"/>
      <c r="AE27" s="613"/>
      <c r="AF27" s="613"/>
      <c r="AG27" s="613"/>
      <c r="AH27" s="613"/>
      <c r="AI27" s="613"/>
      <c r="AJ27" s="613"/>
      <c r="AK27" s="613"/>
      <c r="AL27" s="613"/>
      <c r="AM27" s="613"/>
      <c r="AN27" s="613"/>
      <c r="AO27" s="613"/>
      <c r="AP27" s="613"/>
      <c r="AQ27" s="613"/>
      <c r="AR27" s="613"/>
      <c r="AS27" s="613"/>
      <c r="AT27" s="613"/>
      <c r="AU27" s="613"/>
      <c r="AV27" s="613"/>
      <c r="AW27" s="613"/>
      <c r="AX27" s="613"/>
      <c r="AY27" s="613"/>
      <c r="AZ27" s="613"/>
      <c r="BA27" s="613"/>
      <c r="BB27" s="613"/>
      <c r="BC27" s="613"/>
      <c r="BD27" s="613"/>
      <c r="BE27" s="613"/>
      <c r="BF27" s="613"/>
      <c r="BG27" s="613"/>
      <c r="BH27" s="613"/>
      <c r="BI27" s="613"/>
      <c r="BJ27" s="613"/>
      <c r="BK27" s="613"/>
      <c r="BL27" s="613"/>
      <c r="BM27" s="613"/>
      <c r="BN27" s="613"/>
      <c r="BO27" s="613"/>
      <c r="BP27" s="613"/>
      <c r="BQ27" s="613"/>
      <c r="BR27" s="613"/>
      <c r="BS27" s="1037"/>
      <c r="BT27" s="1037"/>
      <c r="BU27" s="1037"/>
      <c r="BV27" s="1037"/>
      <c r="BW27" s="1037"/>
      <c r="BX27" s="1037"/>
      <c r="BY27" s="1037"/>
      <c r="BZ27" s="1037"/>
      <c r="CA27" s="1037"/>
      <c r="CB27" s="1037"/>
      <c r="CC27" s="1037"/>
      <c r="CD27" s="1037"/>
      <c r="CE27" s="1037"/>
      <c r="CF27" s="1037"/>
      <c r="CG27" s="1037"/>
      <c r="CH27" s="1037"/>
      <c r="CI27" s="1037"/>
      <c r="CJ27" s="1037"/>
      <c r="CK27" s="1037"/>
      <c r="CL27" s="1037"/>
      <c r="CM27" s="1037"/>
      <c r="CN27" s="1037"/>
      <c r="CO27" s="1039"/>
      <c r="CP27" s="356"/>
      <c r="CQ27" s="356"/>
      <c r="CR27" s="356"/>
      <c r="CS27" s="356"/>
      <c r="CT27" s="356"/>
      <c r="CU27" s="356"/>
      <c r="CV27" s="356"/>
      <c r="CW27" s="356"/>
      <c r="CX27" s="356"/>
      <c r="CY27" s="356"/>
      <c r="CZ27" s="356"/>
      <c r="DA27" s="356"/>
      <c r="DB27" s="356"/>
      <c r="DC27" s="356"/>
    </row>
    <row r="28" spans="1:107" s="354" customFormat="1" ht="12.75">
      <c r="G28" s="1038"/>
      <c r="H28" s="1037"/>
      <c r="I28" s="1037"/>
      <c r="J28" s="615" t="s">
        <v>704</v>
      </c>
      <c r="K28" s="613"/>
      <c r="L28" s="613"/>
      <c r="M28" s="613"/>
      <c r="N28" s="613"/>
      <c r="O28" s="613"/>
      <c r="P28" s="613"/>
      <c r="Q28" s="613"/>
      <c r="R28" s="613"/>
      <c r="S28" s="613"/>
      <c r="T28" s="613"/>
      <c r="U28" s="613"/>
      <c r="V28" s="613"/>
      <c r="W28" s="613"/>
      <c r="X28" s="613"/>
      <c r="Y28" s="613"/>
      <c r="Z28" s="613"/>
      <c r="AA28" s="613"/>
      <c r="AB28" s="613"/>
      <c r="AC28" s="613"/>
      <c r="AD28" s="613"/>
      <c r="AE28" s="613"/>
      <c r="AF28" s="613"/>
      <c r="AG28" s="613"/>
      <c r="AH28" s="613"/>
      <c r="AI28" s="613"/>
      <c r="AJ28" s="613"/>
      <c r="AK28" s="613"/>
      <c r="AL28" s="613"/>
      <c r="AM28" s="613"/>
      <c r="AN28" s="613"/>
      <c r="AO28" s="613"/>
      <c r="AP28" s="613"/>
      <c r="AQ28" s="613"/>
      <c r="AR28" s="613"/>
      <c r="AS28" s="613"/>
      <c r="AT28" s="613"/>
      <c r="AU28" s="613"/>
      <c r="AV28" s="613"/>
      <c r="AW28" s="613"/>
      <c r="AX28" s="613"/>
      <c r="AY28" s="613"/>
      <c r="AZ28" s="613"/>
      <c r="BA28" s="613"/>
      <c r="BB28" s="613"/>
      <c r="BC28" s="613"/>
      <c r="BD28" s="613"/>
      <c r="BE28" s="613"/>
      <c r="BF28" s="613"/>
      <c r="BG28" s="613"/>
      <c r="BH28" s="613"/>
      <c r="BI28" s="613"/>
      <c r="BJ28" s="613"/>
      <c r="BK28" s="613"/>
      <c r="BL28" s="613"/>
      <c r="BM28" s="613"/>
      <c r="BN28" s="613"/>
      <c r="BO28" s="613"/>
      <c r="BP28" s="613"/>
      <c r="BQ28" s="613"/>
      <c r="BR28" s="613"/>
      <c r="BS28" s="1037"/>
      <c r="BT28" s="1037"/>
      <c r="BU28" s="1037"/>
      <c r="BV28" s="1037"/>
      <c r="BW28" s="1037"/>
      <c r="BX28" s="1037"/>
      <c r="BY28" s="1037"/>
      <c r="BZ28" s="1037"/>
      <c r="CA28" s="1037"/>
      <c r="CB28" s="1037"/>
      <c r="CC28" s="1037"/>
      <c r="CD28" s="1037"/>
      <c r="CE28" s="1037"/>
      <c r="CF28" s="1037"/>
      <c r="CG28" s="1037"/>
      <c r="CH28" s="1037"/>
      <c r="CI28" s="1037"/>
      <c r="CJ28" s="1037"/>
      <c r="CK28" s="1037"/>
      <c r="CL28" s="1037"/>
      <c r="CM28" s="1037"/>
      <c r="CN28" s="1037"/>
      <c r="CO28" s="1039"/>
      <c r="CP28" s="356"/>
      <c r="CQ28" s="356"/>
      <c r="CR28" s="356"/>
      <c r="CS28" s="356"/>
      <c r="CT28" s="356"/>
      <c r="CU28" s="356"/>
      <c r="CV28" s="356"/>
      <c r="CW28" s="356"/>
      <c r="CX28" s="356"/>
      <c r="CY28" s="356"/>
      <c r="CZ28" s="356"/>
      <c r="DA28" s="356"/>
      <c r="DB28" s="356"/>
      <c r="DC28" s="356"/>
    </row>
    <row r="29" spans="1:107" s="354" customFormat="1" ht="12.75">
      <c r="G29" s="1038"/>
      <c r="H29" s="1037"/>
      <c r="I29" s="1037"/>
      <c r="J29" s="615" t="s">
        <v>705</v>
      </c>
      <c r="K29" s="613"/>
      <c r="L29" s="613"/>
      <c r="M29" s="613"/>
      <c r="N29" s="613"/>
      <c r="O29" s="613"/>
      <c r="P29" s="613"/>
      <c r="Q29" s="613"/>
      <c r="R29" s="613"/>
      <c r="S29" s="613"/>
      <c r="T29" s="613"/>
      <c r="U29" s="613"/>
      <c r="V29" s="613"/>
      <c r="W29" s="613"/>
      <c r="X29" s="613"/>
      <c r="Y29" s="613"/>
      <c r="Z29" s="613"/>
      <c r="AA29" s="613"/>
      <c r="AB29" s="613"/>
      <c r="AC29" s="613"/>
      <c r="AD29" s="613"/>
      <c r="AE29" s="613"/>
      <c r="AF29" s="613"/>
      <c r="AG29" s="613"/>
      <c r="AH29" s="613"/>
      <c r="AI29" s="613"/>
      <c r="AJ29" s="613"/>
      <c r="AK29" s="613"/>
      <c r="AL29" s="613"/>
      <c r="AM29" s="613"/>
      <c r="AN29" s="613"/>
      <c r="AO29" s="613"/>
      <c r="AP29" s="613"/>
      <c r="AQ29" s="613"/>
      <c r="AR29" s="613"/>
      <c r="AS29" s="613"/>
      <c r="AT29" s="613"/>
      <c r="AU29" s="613"/>
      <c r="AV29" s="613"/>
      <c r="AW29" s="613"/>
      <c r="AX29" s="613"/>
      <c r="AY29" s="613"/>
      <c r="AZ29" s="613"/>
      <c r="BA29" s="613"/>
      <c r="BB29" s="613"/>
      <c r="BC29" s="613"/>
      <c r="BD29" s="613"/>
      <c r="BE29" s="613"/>
      <c r="BF29" s="613"/>
      <c r="BG29" s="613"/>
      <c r="BH29" s="613"/>
      <c r="BI29" s="613"/>
      <c r="BJ29" s="613"/>
      <c r="BK29" s="613"/>
      <c r="BL29" s="613"/>
      <c r="BM29" s="613"/>
      <c r="BN29" s="613"/>
      <c r="BO29" s="613"/>
      <c r="BP29" s="613"/>
      <c r="BQ29" s="613"/>
      <c r="BR29" s="613"/>
      <c r="BS29" s="1037"/>
      <c r="BT29" s="1037"/>
      <c r="BU29" s="1037"/>
      <c r="BV29" s="1037"/>
      <c r="BW29" s="1037"/>
      <c r="BX29" s="1037"/>
      <c r="BY29" s="1037"/>
      <c r="BZ29" s="1037"/>
      <c r="CA29" s="1037"/>
      <c r="CB29" s="1037"/>
      <c r="CC29" s="1037"/>
      <c r="CD29" s="1037"/>
      <c r="CE29" s="1037"/>
      <c r="CF29" s="1037"/>
      <c r="CG29" s="1037"/>
      <c r="CH29" s="1037"/>
      <c r="CI29" s="1037"/>
      <c r="CJ29" s="1037"/>
      <c r="CK29" s="1037"/>
      <c r="CL29" s="1037"/>
      <c r="CM29" s="1037"/>
      <c r="CN29" s="1037"/>
      <c r="CO29" s="1039"/>
      <c r="CP29" s="356"/>
      <c r="CQ29" s="356"/>
      <c r="CR29" s="356"/>
      <c r="CS29" s="356"/>
      <c r="CT29" s="356"/>
      <c r="CU29" s="356"/>
      <c r="CV29" s="356"/>
      <c r="CW29" s="356"/>
      <c r="CX29" s="356"/>
      <c r="CY29" s="356"/>
      <c r="CZ29" s="356"/>
      <c r="DA29" s="356"/>
      <c r="DB29" s="356"/>
      <c r="DC29" s="356"/>
    </row>
    <row r="30" spans="1:107" s="354" customFormat="1" ht="12.75">
      <c r="G30" s="1038"/>
      <c r="H30" s="1037"/>
      <c r="I30" s="1037"/>
      <c r="J30" s="615"/>
      <c r="K30" s="613"/>
      <c r="L30" s="613"/>
      <c r="M30" s="613"/>
      <c r="N30" s="613"/>
      <c r="O30" s="613"/>
      <c r="P30" s="613"/>
      <c r="Q30" s="613"/>
      <c r="R30" s="613"/>
      <c r="S30" s="613"/>
      <c r="T30" s="613"/>
      <c r="U30" s="613"/>
      <c r="V30" s="613"/>
      <c r="W30" s="613"/>
      <c r="X30" s="613"/>
      <c r="Y30" s="613"/>
      <c r="Z30" s="613"/>
      <c r="AA30" s="613"/>
      <c r="AB30" s="613"/>
      <c r="AC30" s="613"/>
      <c r="AD30" s="613"/>
      <c r="AE30" s="613"/>
      <c r="AF30" s="613"/>
      <c r="AG30" s="613"/>
      <c r="AH30" s="613"/>
      <c r="AI30" s="613"/>
      <c r="AJ30" s="613"/>
      <c r="AK30" s="613"/>
      <c r="AL30" s="613"/>
      <c r="AM30" s="613"/>
      <c r="AN30" s="613"/>
      <c r="AO30" s="613"/>
      <c r="AP30" s="613"/>
      <c r="AQ30" s="613"/>
      <c r="AR30" s="613"/>
      <c r="AS30" s="613"/>
      <c r="AT30" s="613"/>
      <c r="AU30" s="613"/>
      <c r="AV30" s="613"/>
      <c r="AW30" s="613"/>
      <c r="AX30" s="613"/>
      <c r="AY30" s="613"/>
      <c r="AZ30" s="613"/>
      <c r="BA30" s="613"/>
      <c r="BB30" s="613"/>
      <c r="BC30" s="613"/>
      <c r="BD30" s="613"/>
      <c r="BE30" s="613"/>
      <c r="BF30" s="613"/>
      <c r="BG30" s="613"/>
      <c r="BH30" s="613"/>
      <c r="BI30" s="613"/>
      <c r="BJ30" s="613"/>
      <c r="BK30" s="613"/>
      <c r="BL30" s="613"/>
      <c r="BM30" s="613"/>
      <c r="BN30" s="613"/>
      <c r="BO30" s="613"/>
      <c r="BP30" s="613"/>
      <c r="BQ30" s="613"/>
      <c r="BR30" s="613"/>
      <c r="BS30" s="1037"/>
      <c r="BT30" s="1037"/>
      <c r="BU30" s="1037"/>
      <c r="BV30" s="1037"/>
      <c r="BW30" s="1037"/>
      <c r="BX30" s="1037"/>
      <c r="BY30" s="1037"/>
      <c r="BZ30" s="1037"/>
      <c r="CA30" s="1037"/>
      <c r="CB30" s="1037"/>
      <c r="CC30" s="1037"/>
      <c r="CD30" s="1037"/>
      <c r="CE30" s="1037"/>
      <c r="CF30" s="1037"/>
      <c r="CG30" s="1037"/>
      <c r="CH30" s="1037"/>
      <c r="CI30" s="1037"/>
      <c r="CJ30" s="1037"/>
      <c r="CK30" s="1037"/>
      <c r="CL30" s="1037"/>
      <c r="CM30" s="1037"/>
      <c r="CN30" s="1037"/>
      <c r="CO30" s="1039"/>
      <c r="CP30" s="356"/>
      <c r="CQ30" s="356"/>
      <c r="CR30" s="356"/>
      <c r="CS30" s="356"/>
      <c r="CT30" s="356"/>
      <c r="CU30" s="356"/>
      <c r="CV30" s="356"/>
      <c r="CW30" s="356"/>
      <c r="CX30" s="356"/>
      <c r="CY30" s="356"/>
      <c r="CZ30" s="356"/>
      <c r="DA30" s="356"/>
      <c r="DB30" s="356"/>
      <c r="DC30" s="356"/>
    </row>
    <row r="31" spans="1:107" ht="14.25" customHeight="1">
      <c r="G31" s="357"/>
      <c r="H31" s="323"/>
      <c r="I31" s="323"/>
      <c r="J31" s="323"/>
      <c r="K31" s="323"/>
      <c r="L31" s="323"/>
      <c r="M31" s="323"/>
      <c r="N31" s="323"/>
      <c r="O31" s="323"/>
      <c r="P31" s="323"/>
      <c r="Q31" s="323"/>
      <c r="R31" s="323"/>
      <c r="S31" s="323"/>
      <c r="T31" s="323"/>
      <c r="U31" s="323"/>
      <c r="V31" s="323"/>
      <c r="W31" s="323"/>
      <c r="X31" s="323"/>
      <c r="Y31" s="323"/>
      <c r="Z31" s="323"/>
      <c r="AA31" s="323"/>
      <c r="AB31" s="323"/>
      <c r="AC31" s="323"/>
      <c r="AD31" s="323"/>
      <c r="AE31" s="323"/>
      <c r="AF31" s="323"/>
      <c r="AG31" s="323"/>
      <c r="AH31" s="323" t="s">
        <v>699</v>
      </c>
      <c r="AI31" s="323"/>
      <c r="AJ31" s="323"/>
      <c r="AK31" s="323"/>
      <c r="AL31" s="323"/>
      <c r="AM31" s="323"/>
      <c r="AN31" s="323"/>
      <c r="AO31" s="323"/>
      <c r="AP31" s="323"/>
      <c r="AQ31" s="323"/>
      <c r="AR31" s="323"/>
      <c r="AS31" s="323"/>
      <c r="AT31" s="323"/>
      <c r="AV31" s="323"/>
      <c r="AW31" s="323"/>
      <c r="AX31" s="323"/>
      <c r="AY31" s="323"/>
      <c r="AZ31" s="323"/>
      <c r="BA31" s="323"/>
      <c r="BB31" s="323"/>
      <c r="BC31" s="323"/>
      <c r="BD31" s="323"/>
      <c r="BE31" s="323"/>
      <c r="BF31" s="323"/>
      <c r="BG31" s="323"/>
      <c r="BH31" s="323"/>
      <c r="BI31" s="323"/>
      <c r="BJ31" s="323"/>
      <c r="BK31" s="323"/>
      <c r="BL31" s="323"/>
      <c r="BM31" s="323"/>
      <c r="BN31" s="323"/>
      <c r="BO31" s="323"/>
      <c r="BP31" s="323"/>
      <c r="BQ31" s="323"/>
      <c r="BR31" s="323"/>
      <c r="BS31" s="323"/>
      <c r="BT31" s="323"/>
      <c r="BU31" s="323"/>
      <c r="BV31" s="323"/>
      <c r="BW31" s="323"/>
      <c r="BX31" s="323"/>
      <c r="BY31" s="323"/>
      <c r="BZ31" s="323"/>
      <c r="CA31" s="323"/>
      <c r="CB31" s="323"/>
      <c r="CC31" s="323"/>
      <c r="CD31" s="323"/>
      <c r="CE31" s="323"/>
      <c r="CF31" s="323"/>
      <c r="CG31" s="323"/>
      <c r="CH31" s="323"/>
      <c r="CI31" s="323"/>
      <c r="CJ31" s="323"/>
      <c r="CK31" s="323"/>
      <c r="CL31" s="323"/>
      <c r="CM31" s="323"/>
      <c r="CN31" s="323"/>
      <c r="CO31" s="359"/>
      <c r="CP31" s="350"/>
      <c r="CQ31" s="350"/>
      <c r="CR31" s="350"/>
      <c r="CS31" s="350"/>
      <c r="CT31" s="350"/>
      <c r="CU31" s="350"/>
      <c r="CV31" s="350"/>
      <c r="CW31" s="350"/>
      <c r="CX31" s="350"/>
      <c r="CY31" s="350"/>
      <c r="CZ31" s="350"/>
      <c r="DA31" s="350"/>
      <c r="DB31" s="350"/>
      <c r="DC31" s="350"/>
    </row>
    <row r="32" spans="1:107" ht="11.25" customHeight="1">
      <c r="G32" s="357"/>
      <c r="H32" s="323"/>
      <c r="I32" s="323"/>
      <c r="J32" s="323"/>
      <c r="K32" s="1488" t="s">
        <v>291</v>
      </c>
      <c r="L32" s="1488"/>
      <c r="M32" s="1488"/>
      <c r="N32" s="1488"/>
      <c r="O32" s="1488"/>
      <c r="P32" s="1488"/>
      <c r="Q32" s="1488"/>
      <c r="R32" s="1488"/>
      <c r="S32" s="1488"/>
      <c r="T32" s="1488"/>
      <c r="U32" s="1488"/>
      <c r="V32" s="1488"/>
      <c r="W32" s="1488"/>
      <c r="X32" s="1488"/>
      <c r="Y32" s="1488"/>
      <c r="Z32" s="1488"/>
      <c r="AA32" s="1488"/>
      <c r="AB32" s="1488"/>
      <c r="AC32" s="1488"/>
      <c r="AD32" s="1488"/>
      <c r="AE32" s="1488"/>
      <c r="AF32" s="1488"/>
      <c r="AG32" s="1488"/>
      <c r="AH32" s="1488"/>
      <c r="AI32" s="1488"/>
      <c r="AJ32" s="1488"/>
      <c r="AL32" s="1036"/>
      <c r="AM32" s="1036"/>
      <c r="AN32" s="1036"/>
      <c r="AO32" s="1036"/>
      <c r="AP32" s="1036"/>
      <c r="AQ32" s="1036"/>
      <c r="AR32" s="1036"/>
      <c r="AS32" s="1036"/>
      <c r="AT32" s="1036"/>
      <c r="AU32" s="1036"/>
      <c r="AV32" s="1036"/>
      <c r="AW32" s="1036"/>
      <c r="AX32" s="1036"/>
      <c r="AY32" s="1036"/>
      <c r="AZ32" s="1036"/>
      <c r="BA32" s="362"/>
      <c r="BB32" s="362"/>
      <c r="BC32" s="362"/>
      <c r="BD32" s="362"/>
      <c r="BE32" s="362"/>
      <c r="BF32" s="362"/>
      <c r="BG32" s="362"/>
      <c r="BI32" s="1491" t="str">
        <f>AD12</f>
        <v>МОЛ</v>
      </c>
      <c r="BJ32" s="1491"/>
      <c r="BK32" s="1491"/>
      <c r="BL32" s="1491"/>
      <c r="BM32" s="1491"/>
      <c r="BN32" s="1491"/>
      <c r="BO32" s="1491"/>
      <c r="BP32" s="1491"/>
      <c r="BQ32" s="1491"/>
      <c r="BR32" s="1491"/>
      <c r="BS32" s="1491"/>
      <c r="BT32" s="1491"/>
      <c r="BU32" s="1491"/>
      <c r="BV32" s="1491"/>
      <c r="BW32" s="1491"/>
      <c r="BX32" s="1491"/>
      <c r="BY32" s="1491"/>
      <c r="BZ32" s="1491"/>
      <c r="CA32" s="1491"/>
      <c r="CB32" s="1491"/>
      <c r="CC32" s="1491"/>
      <c r="CD32" s="1491"/>
      <c r="CE32" s="1491"/>
      <c r="CF32" s="1491"/>
      <c r="CG32" s="1491"/>
      <c r="CH32" s="1491"/>
      <c r="CI32" s="1491"/>
      <c r="CJ32" s="1491"/>
      <c r="CK32" s="1491"/>
      <c r="CL32" s="1491"/>
      <c r="CM32" s="1491"/>
      <c r="CN32" s="1491"/>
      <c r="CO32" s="359"/>
      <c r="CP32" s="350"/>
      <c r="CQ32" s="350"/>
      <c r="CR32" s="350"/>
      <c r="CS32" s="350"/>
      <c r="CT32" s="350"/>
      <c r="CU32" s="350"/>
      <c r="CV32" s="350"/>
      <c r="CW32" s="350"/>
      <c r="CX32" s="350"/>
      <c r="CY32" s="350"/>
      <c r="CZ32" s="350"/>
      <c r="DA32" s="350"/>
      <c r="DB32" s="350"/>
      <c r="DC32" s="350"/>
    </row>
    <row r="33" spans="7:107" ht="8.4499999999999993" customHeight="1">
      <c r="G33" s="357"/>
      <c r="H33" s="323"/>
      <c r="I33" s="323"/>
      <c r="J33" s="323"/>
      <c r="K33" s="1490" t="s">
        <v>183</v>
      </c>
      <c r="L33" s="1490"/>
      <c r="M33" s="1490"/>
      <c r="N33" s="1490"/>
      <c r="O33" s="1490"/>
      <c r="P33" s="1490"/>
      <c r="Q33" s="1490"/>
      <c r="R33" s="1490"/>
      <c r="S33" s="1490"/>
      <c r="T33" s="1490"/>
      <c r="U33" s="1490"/>
      <c r="V33" s="1490"/>
      <c r="W33" s="1490"/>
      <c r="X33" s="1490"/>
      <c r="Y33" s="1490"/>
      <c r="Z33" s="1490"/>
      <c r="AA33" s="1490"/>
      <c r="AB33" s="1490"/>
      <c r="AC33" s="1490"/>
      <c r="AD33" s="1490"/>
      <c r="AE33" s="1490"/>
      <c r="AF33" s="1490"/>
      <c r="AG33" s="1490"/>
      <c r="AH33" s="1490"/>
      <c r="AI33" s="1490"/>
      <c r="AJ33" s="1490"/>
      <c r="AM33" s="1037"/>
      <c r="AN33" s="1037"/>
      <c r="AO33" s="1489" t="s">
        <v>80</v>
      </c>
      <c r="AP33" s="1489"/>
      <c r="AQ33" s="1489"/>
      <c r="AR33" s="1489"/>
      <c r="AS33" s="1489"/>
      <c r="AT33" s="1489"/>
      <c r="AU33" s="1489"/>
      <c r="AV33" s="1489"/>
      <c r="AW33" s="1489"/>
      <c r="AX33" s="1489"/>
      <c r="AY33" s="1489"/>
      <c r="AZ33" s="1489"/>
      <c r="BA33" s="1489"/>
      <c r="BB33" s="1489"/>
      <c r="BC33" s="1489"/>
      <c r="BD33" s="1489"/>
      <c r="BE33" s="1489"/>
      <c r="BI33" s="1490" t="s">
        <v>182</v>
      </c>
      <c r="BJ33" s="1490"/>
      <c r="BK33" s="1490"/>
      <c r="BL33" s="1490"/>
      <c r="BM33" s="1490"/>
      <c r="BN33" s="1490"/>
      <c r="BO33" s="1490"/>
      <c r="BP33" s="1490"/>
      <c r="BQ33" s="1490"/>
      <c r="BR33" s="1490"/>
      <c r="BS33" s="1490"/>
      <c r="BT33" s="1490"/>
      <c r="BU33" s="1490"/>
      <c r="BV33" s="1490"/>
      <c r="BW33" s="1490"/>
      <c r="BX33" s="1490"/>
      <c r="BY33" s="1490"/>
      <c r="BZ33" s="1490"/>
      <c r="CA33" s="1490"/>
      <c r="CB33" s="1490"/>
      <c r="CC33" s="1490"/>
      <c r="CD33" s="1490"/>
      <c r="CE33" s="1490"/>
      <c r="CF33" s="1490"/>
      <c r="CG33" s="1490"/>
      <c r="CH33" s="1490"/>
      <c r="CI33" s="1490"/>
      <c r="CJ33" s="1490"/>
      <c r="CK33" s="1490"/>
      <c r="CL33" s="1490"/>
      <c r="CM33" s="1490"/>
      <c r="CN33" s="1490"/>
      <c r="CO33" s="359"/>
      <c r="CP33" s="1055"/>
      <c r="CQ33" s="1055"/>
      <c r="CR33" s="1055"/>
      <c r="CS33" s="1055"/>
      <c r="CT33" s="350"/>
      <c r="CU33" s="350"/>
      <c r="CV33" s="350"/>
      <c r="CW33" s="350"/>
      <c r="CX33" s="350"/>
      <c r="CY33" s="350"/>
      <c r="CZ33" s="350"/>
      <c r="DA33" s="350"/>
      <c r="DB33" s="350"/>
      <c r="DC33" s="350"/>
    </row>
    <row r="34" spans="7:107" ht="18.75" customHeight="1">
      <c r="G34" s="357"/>
      <c r="H34" s="323"/>
      <c r="I34" s="323"/>
      <c r="J34" s="323"/>
      <c r="K34" s="1488"/>
      <c r="L34" s="1488"/>
      <c r="M34" s="1488"/>
      <c r="N34" s="1488"/>
      <c r="O34" s="1488"/>
      <c r="P34" s="1488"/>
      <c r="Q34" s="1488"/>
      <c r="R34" s="1488"/>
      <c r="S34" s="1488"/>
      <c r="T34" s="1488"/>
      <c r="U34" s="1488"/>
      <c r="V34" s="1488"/>
      <c r="W34" s="1488"/>
      <c r="X34" s="1488"/>
      <c r="Y34" s="1488"/>
      <c r="Z34" s="1488"/>
      <c r="AA34" s="1488"/>
      <c r="AB34" s="1488"/>
      <c r="AC34" s="1488"/>
      <c r="AD34" s="1488"/>
      <c r="AE34" s="1488"/>
      <c r="AF34" s="1488"/>
      <c r="AG34" s="1488"/>
      <c r="AH34" s="1488"/>
      <c r="AI34" s="1488"/>
      <c r="AJ34" s="1488"/>
      <c r="AL34" s="1036"/>
      <c r="AM34" s="1036"/>
      <c r="AN34" s="1036"/>
      <c r="AO34" s="1036"/>
      <c r="AP34" s="1036"/>
      <c r="AQ34" s="1036"/>
      <c r="AR34" s="1036"/>
      <c r="AS34" s="1036"/>
      <c r="AT34" s="1036"/>
      <c r="AU34" s="1036"/>
      <c r="AV34" s="1036"/>
      <c r="AW34" s="1036"/>
      <c r="AX34" s="1036"/>
      <c r="AY34" s="1036"/>
      <c r="AZ34" s="1036"/>
      <c r="BA34" s="362"/>
      <c r="BB34" s="362"/>
      <c r="BC34" s="362"/>
      <c r="BD34" s="362"/>
      <c r="BE34" s="362"/>
      <c r="BF34" s="362"/>
      <c r="BG34" s="362"/>
      <c r="BI34" s="1491"/>
      <c r="BJ34" s="1491"/>
      <c r="BK34" s="1491"/>
      <c r="BL34" s="1491"/>
      <c r="BM34" s="1491"/>
      <c r="BN34" s="1491"/>
      <c r="BO34" s="1491"/>
      <c r="BP34" s="1491"/>
      <c r="BQ34" s="1491"/>
      <c r="BR34" s="1491"/>
      <c r="BS34" s="1491"/>
      <c r="BT34" s="1491"/>
      <c r="BU34" s="1491"/>
      <c r="BV34" s="1491"/>
      <c r="BW34" s="1491"/>
      <c r="BX34" s="1491"/>
      <c r="BY34" s="1491"/>
      <c r="BZ34" s="1491"/>
      <c r="CA34" s="1491"/>
      <c r="CB34" s="1491"/>
      <c r="CC34" s="1491"/>
      <c r="CD34" s="1491"/>
      <c r="CE34" s="1491"/>
      <c r="CF34" s="1491"/>
      <c r="CG34" s="1491"/>
      <c r="CH34" s="1491"/>
      <c r="CI34" s="1491"/>
      <c r="CJ34" s="1491"/>
      <c r="CK34" s="1491"/>
      <c r="CL34" s="1491"/>
      <c r="CM34" s="1491"/>
      <c r="CN34" s="1491"/>
      <c r="CO34" s="359"/>
      <c r="CP34" s="1040"/>
      <c r="CQ34" s="1040"/>
      <c r="CR34" s="1040"/>
      <c r="CS34" s="1040"/>
      <c r="CT34" s="1040"/>
      <c r="CU34" s="1040"/>
      <c r="CV34" s="1040"/>
      <c r="CW34" s="1040"/>
      <c r="CX34" s="1040"/>
      <c r="CY34" s="1040"/>
      <c r="CZ34" s="1040"/>
      <c r="DA34" s="1040"/>
      <c r="DB34" s="1040"/>
      <c r="DC34" s="1040"/>
    </row>
    <row r="35" spans="7:107" ht="8.4499999999999993" customHeight="1">
      <c r="G35" s="357"/>
      <c r="H35" s="323"/>
      <c r="I35" s="323"/>
      <c r="J35" s="323"/>
      <c r="K35" s="1490" t="s">
        <v>183</v>
      </c>
      <c r="L35" s="1490"/>
      <c r="M35" s="1490"/>
      <c r="N35" s="1490"/>
      <c r="O35" s="1490"/>
      <c r="P35" s="1490"/>
      <c r="Q35" s="1490"/>
      <c r="R35" s="1490"/>
      <c r="S35" s="1490"/>
      <c r="T35" s="1490"/>
      <c r="U35" s="1490"/>
      <c r="V35" s="1490"/>
      <c r="W35" s="1490"/>
      <c r="X35" s="1490"/>
      <c r="Y35" s="1490"/>
      <c r="Z35" s="1490"/>
      <c r="AA35" s="1490"/>
      <c r="AB35" s="1490"/>
      <c r="AC35" s="1490"/>
      <c r="AD35" s="1490"/>
      <c r="AE35" s="1490"/>
      <c r="AF35" s="1490"/>
      <c r="AG35" s="1490"/>
      <c r="AH35" s="1490"/>
      <c r="AI35" s="1490"/>
      <c r="AJ35" s="1490"/>
      <c r="AM35" s="1037"/>
      <c r="AN35" s="1037"/>
      <c r="AO35" s="1489" t="s">
        <v>80</v>
      </c>
      <c r="AP35" s="1489"/>
      <c r="AQ35" s="1489"/>
      <c r="AR35" s="1489"/>
      <c r="AS35" s="1489"/>
      <c r="AT35" s="1489"/>
      <c r="AU35" s="1489"/>
      <c r="AV35" s="1489"/>
      <c r="AW35" s="1489"/>
      <c r="AX35" s="1489"/>
      <c r="AY35" s="1489"/>
      <c r="AZ35" s="1489"/>
      <c r="BA35" s="1489"/>
      <c r="BB35" s="1489"/>
      <c r="BC35" s="1489"/>
      <c r="BD35" s="1489"/>
      <c r="BE35" s="1489"/>
      <c r="BI35" s="1490" t="s">
        <v>182</v>
      </c>
      <c r="BJ35" s="1490"/>
      <c r="BK35" s="1490"/>
      <c r="BL35" s="1490"/>
      <c r="BM35" s="1490"/>
      <c r="BN35" s="1490"/>
      <c r="BO35" s="1490"/>
      <c r="BP35" s="1490"/>
      <c r="BQ35" s="1490"/>
      <c r="BR35" s="1490"/>
      <c r="BS35" s="1490"/>
      <c r="BT35" s="1490"/>
      <c r="BU35" s="1490"/>
      <c r="BV35" s="1490"/>
      <c r="BW35" s="1490"/>
      <c r="BX35" s="1490"/>
      <c r="BY35" s="1490"/>
      <c r="BZ35" s="1490"/>
      <c r="CA35" s="1490"/>
      <c r="CB35" s="1490"/>
      <c r="CC35" s="1490"/>
      <c r="CD35" s="1490"/>
      <c r="CE35" s="1490"/>
      <c r="CF35" s="1490"/>
      <c r="CG35" s="1490"/>
      <c r="CH35" s="1490"/>
      <c r="CI35" s="1490"/>
      <c r="CJ35" s="1490"/>
      <c r="CK35" s="1490"/>
      <c r="CL35" s="1490"/>
      <c r="CM35" s="1490"/>
      <c r="CN35" s="1490"/>
      <c r="CO35" s="359"/>
      <c r="CP35" s="1055"/>
      <c r="CQ35" s="1055"/>
      <c r="CR35" s="1055"/>
      <c r="CS35" s="1055"/>
      <c r="CT35" s="1040"/>
      <c r="CU35" s="1040"/>
      <c r="CV35" s="1040"/>
      <c r="CW35" s="1040"/>
      <c r="CX35" s="1040"/>
      <c r="CY35" s="1040"/>
      <c r="CZ35" s="1040"/>
      <c r="DA35" s="1040"/>
      <c r="DB35" s="1040"/>
      <c r="DC35" s="1040"/>
    </row>
    <row r="36" spans="7:107" ht="13.7" customHeight="1">
      <c r="G36" s="357"/>
      <c r="H36" s="323"/>
      <c r="I36" s="323"/>
      <c r="J36" s="323"/>
      <c r="K36" s="348" t="s">
        <v>279</v>
      </c>
      <c r="L36" s="1492"/>
      <c r="M36" s="1492"/>
      <c r="N36" s="1492"/>
      <c r="O36" s="1492"/>
      <c r="P36" s="323" t="s">
        <v>279</v>
      </c>
      <c r="Q36" s="323"/>
      <c r="R36" s="323"/>
      <c r="S36" s="1493"/>
      <c r="T36" s="1493"/>
      <c r="U36" s="1493"/>
      <c r="V36" s="1493"/>
      <c r="W36" s="1493"/>
      <c r="X36" s="1493"/>
      <c r="Y36" s="1493"/>
      <c r="Z36" s="1493"/>
      <c r="AA36" s="1493"/>
      <c r="AB36" s="1493"/>
      <c r="AC36" s="1493"/>
      <c r="AD36" s="1493"/>
      <c r="AE36" s="1493"/>
      <c r="AF36" s="1493"/>
      <c r="AG36" s="1493"/>
      <c r="AH36" s="1493"/>
      <c r="AI36" s="1493"/>
      <c r="AJ36" s="1493"/>
      <c r="AK36" s="1487">
        <v>20</v>
      </c>
      <c r="AL36" s="1487"/>
      <c r="AM36" s="1487"/>
      <c r="AN36" s="1493"/>
      <c r="AO36" s="1493"/>
      <c r="AP36" s="1493"/>
      <c r="AQ36" s="1493"/>
      <c r="AR36" s="323" t="s">
        <v>147</v>
      </c>
      <c r="AS36" s="323"/>
      <c r="AT36" s="323"/>
      <c r="AU36" s="355"/>
      <c r="AV36" s="355"/>
      <c r="AW36" s="360"/>
      <c r="AX36" s="360"/>
      <c r="AY36" s="355"/>
      <c r="AZ36" s="355"/>
      <c r="BA36" s="355"/>
      <c r="BB36" s="355"/>
      <c r="BC36" s="355"/>
      <c r="BD36" s="355"/>
      <c r="BE36" s="355"/>
      <c r="BF36" s="355"/>
      <c r="BG36" s="355"/>
      <c r="BH36" s="355"/>
      <c r="BI36" s="355"/>
      <c r="BJ36" s="355"/>
      <c r="BK36" s="355"/>
      <c r="BL36" s="355"/>
      <c r="BM36" s="355"/>
      <c r="BN36" s="360"/>
      <c r="BO36" s="360"/>
      <c r="BP36" s="355"/>
      <c r="BQ36" s="355"/>
      <c r="BR36" s="355"/>
      <c r="BS36" s="355"/>
      <c r="BT36" s="355"/>
      <c r="BU36" s="355"/>
      <c r="BV36" s="355"/>
      <c r="BW36" s="355"/>
      <c r="BX36" s="355"/>
      <c r="BY36" s="355"/>
      <c r="BZ36" s="355"/>
      <c r="CA36" s="355"/>
      <c r="CB36" s="355"/>
      <c r="CC36" s="355"/>
      <c r="CD36" s="355"/>
      <c r="CE36" s="355"/>
      <c r="CF36" s="355"/>
      <c r="CG36" s="355"/>
      <c r="CH36" s="355"/>
      <c r="CI36" s="355"/>
      <c r="CJ36" s="355"/>
      <c r="CK36" s="355"/>
      <c r="CL36" s="355"/>
      <c r="CM36" s="355"/>
      <c r="CN36" s="323"/>
      <c r="CO36" s="358"/>
      <c r="CP36" s="350"/>
      <c r="CQ36" s="350"/>
      <c r="CR36" s="350"/>
      <c r="CS36" s="350"/>
      <c r="CT36" s="350"/>
      <c r="CU36" s="350"/>
      <c r="CV36" s="350"/>
      <c r="CW36" s="350"/>
      <c r="CX36" s="350"/>
      <c r="CY36" s="350"/>
      <c r="CZ36" s="350"/>
      <c r="DA36" s="350"/>
      <c r="DB36" s="350"/>
      <c r="DC36" s="350"/>
    </row>
    <row r="37" spans="7:107" ht="5.25" customHeight="1">
      <c r="G37" s="361"/>
      <c r="H37" s="362"/>
      <c r="I37" s="362"/>
      <c r="J37" s="362"/>
      <c r="K37" s="362"/>
      <c r="L37" s="362"/>
      <c r="M37" s="362"/>
      <c r="N37" s="362"/>
      <c r="O37" s="362"/>
      <c r="P37" s="362"/>
      <c r="Q37" s="362"/>
      <c r="R37" s="362"/>
      <c r="S37" s="362"/>
      <c r="T37" s="362"/>
      <c r="U37" s="362"/>
      <c r="V37" s="362"/>
      <c r="W37" s="362"/>
      <c r="X37" s="362"/>
      <c r="Y37" s="362"/>
      <c r="Z37" s="362"/>
      <c r="AA37" s="363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4"/>
      <c r="AV37" s="364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4"/>
      <c r="BM37" s="364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  <c r="CG37" s="363"/>
      <c r="CH37" s="363"/>
      <c r="CI37" s="363"/>
      <c r="CJ37" s="363"/>
      <c r="CK37" s="362"/>
      <c r="CL37" s="362"/>
      <c r="CM37" s="362"/>
      <c r="CN37" s="362"/>
      <c r="CO37" s="365"/>
      <c r="CP37" s="350"/>
      <c r="CQ37" s="350"/>
      <c r="CR37" s="350"/>
      <c r="CS37" s="350"/>
      <c r="CT37" s="350"/>
      <c r="CU37" s="350"/>
      <c r="CV37" s="350"/>
      <c r="CW37" s="350"/>
      <c r="CX37" s="350"/>
      <c r="CY37" s="350"/>
      <c r="CZ37" s="350"/>
      <c r="DA37" s="350"/>
      <c r="DB37" s="350"/>
      <c r="DC37" s="350"/>
    </row>
    <row r="38" spans="7:107">
      <c r="N38" s="349"/>
      <c r="O38" s="349"/>
      <c r="P38" s="349"/>
      <c r="Q38" s="349"/>
      <c r="R38" s="349"/>
      <c r="S38" s="349"/>
      <c r="T38" s="349"/>
      <c r="U38" s="349"/>
      <c r="V38" s="349"/>
      <c r="W38" s="349"/>
      <c r="X38" s="349"/>
      <c r="Y38" s="349"/>
      <c r="Z38" s="349"/>
      <c r="AA38" s="349"/>
      <c r="AB38" s="349"/>
      <c r="AC38" s="349"/>
      <c r="AD38" s="349"/>
      <c r="AE38" s="349"/>
      <c r="AF38" s="349"/>
      <c r="AG38" s="349"/>
      <c r="AH38" s="349"/>
      <c r="AI38" s="349"/>
      <c r="AJ38" s="349"/>
      <c r="AK38" s="349"/>
      <c r="AL38" s="349"/>
      <c r="AM38" s="349"/>
      <c r="AN38" s="349"/>
      <c r="AO38" s="349"/>
      <c r="AP38" s="349"/>
      <c r="AQ38" s="349"/>
      <c r="AR38" s="349"/>
      <c r="AS38" s="349"/>
      <c r="AT38" s="349"/>
      <c r="AU38" s="349"/>
      <c r="AV38" s="349"/>
      <c r="AW38" s="349"/>
      <c r="AX38" s="349"/>
      <c r="AY38" s="349"/>
      <c r="AZ38" s="349"/>
      <c r="BA38" s="349"/>
      <c r="BB38" s="349"/>
      <c r="BC38" s="349"/>
      <c r="BD38" s="349"/>
      <c r="BE38" s="349"/>
      <c r="BF38" s="349"/>
      <c r="BG38" s="349"/>
      <c r="BH38" s="349"/>
      <c r="BI38" s="349"/>
      <c r="BJ38" s="349"/>
      <c r="BK38" s="349"/>
      <c r="BL38" s="349"/>
      <c r="BM38" s="349"/>
      <c r="BN38" s="349"/>
      <c r="BO38" s="349"/>
      <c r="BP38" s="349"/>
      <c r="BQ38" s="349"/>
      <c r="BR38" s="349"/>
      <c r="BS38" s="349"/>
      <c r="BT38" s="349"/>
      <c r="BU38" s="349"/>
      <c r="BV38" s="349"/>
      <c r="BW38" s="349"/>
      <c r="BX38" s="349"/>
      <c r="BY38" s="349"/>
      <c r="BZ38" s="349"/>
      <c r="CA38" s="349"/>
      <c r="CB38" s="349"/>
      <c r="CC38" s="349"/>
      <c r="CD38" s="349"/>
      <c r="CE38" s="349"/>
      <c r="CF38" s="349"/>
      <c r="CG38" s="349"/>
      <c r="CH38" s="349"/>
      <c r="CI38" s="349"/>
      <c r="CJ38" s="349"/>
      <c r="CK38" s="349"/>
      <c r="CL38" s="349"/>
      <c r="CM38" s="349"/>
      <c r="CN38" s="349"/>
      <c r="CO38" s="349"/>
      <c r="CP38" s="349"/>
      <c r="CQ38" s="349"/>
      <c r="CR38" s="349"/>
      <c r="CS38" s="349"/>
      <c r="CT38" s="349"/>
      <c r="CU38" s="349"/>
      <c r="CV38" s="349"/>
      <c r="CW38" s="349"/>
      <c r="CX38" s="349"/>
      <c r="CY38" s="349"/>
      <c r="CZ38" s="349"/>
      <c r="DA38" s="349"/>
      <c r="DB38" s="349"/>
      <c r="DC38" s="349"/>
    </row>
  </sheetData>
  <mergeCells count="30">
    <mergeCell ref="CP10:DC10"/>
    <mergeCell ref="CP15:DC15"/>
    <mergeCell ref="CP23:DC23"/>
    <mergeCell ref="G25:CO25"/>
    <mergeCell ref="CP21:DC21"/>
    <mergeCell ref="CP11:DC11"/>
    <mergeCell ref="AQ15:BL15"/>
    <mergeCell ref="CP12:DC12"/>
    <mergeCell ref="P19:CC19"/>
    <mergeCell ref="CP13:DC13"/>
    <mergeCell ref="CP7:DC7"/>
    <mergeCell ref="CP8:DC8"/>
    <mergeCell ref="CP9:DC9"/>
    <mergeCell ref="J6:CP6"/>
    <mergeCell ref="AJ9:BP9"/>
    <mergeCell ref="G26:CO26"/>
    <mergeCell ref="AK36:AM36"/>
    <mergeCell ref="K32:AJ32"/>
    <mergeCell ref="AO33:BE33"/>
    <mergeCell ref="K33:AJ33"/>
    <mergeCell ref="BI32:CN32"/>
    <mergeCell ref="BI33:CN33"/>
    <mergeCell ref="L36:O36"/>
    <mergeCell ref="S36:AJ36"/>
    <mergeCell ref="AN36:AQ36"/>
    <mergeCell ref="K34:AJ34"/>
    <mergeCell ref="BI34:CN34"/>
    <mergeCell ref="K35:AJ35"/>
    <mergeCell ref="AO35:BE35"/>
    <mergeCell ref="BI35:CN35"/>
  </mergeCells>
  <phoneticPr fontId="0" type="noConversion"/>
  <pageMargins left="0.78740157480314965" right="0.39370078740157483" top="0.59055118110236227" bottom="0.39370078740157483" header="0.19685039370078741" footer="0.19685039370078741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7"/>
  <dimension ref="A1:EZ51"/>
  <sheetViews>
    <sheetView zoomScaleNormal="100" zoomScaleSheetLayoutView="100" workbookViewId="0">
      <selection activeCell="AC30" sqref="AC30:AS30"/>
    </sheetView>
  </sheetViews>
  <sheetFormatPr defaultColWidth="0.85546875" defaultRowHeight="11.25"/>
  <cols>
    <col min="1" max="1" width="3.7109375" style="321" customWidth="1"/>
    <col min="2" max="2" width="21" style="321" customWidth="1"/>
    <col min="3" max="14" width="0.85546875" style="321" customWidth="1"/>
    <col min="15" max="15" width="0.42578125" style="321" customWidth="1"/>
    <col min="16" max="16" width="0.7109375" style="321" hidden="1" customWidth="1"/>
    <col min="17" max="17" width="0.85546875" style="321" hidden="1" customWidth="1"/>
    <col min="18" max="18" width="6.5703125" style="321" customWidth="1"/>
    <col min="19" max="19" width="10" style="321" customWidth="1"/>
    <col min="20" max="27" width="0.85546875" style="321" customWidth="1"/>
    <col min="28" max="28" width="4" style="321" customWidth="1"/>
    <col min="29" max="40" width="0.85546875" style="321" customWidth="1"/>
    <col min="41" max="41" width="0.7109375" style="321" customWidth="1"/>
    <col min="42" max="42" width="0.85546875" style="321" hidden="1" customWidth="1"/>
    <col min="43" max="43" width="0.42578125" style="321" customWidth="1"/>
    <col min="44" max="44" width="0.42578125" style="321" hidden="1" customWidth="1"/>
    <col min="45" max="45" width="0.85546875" style="321" hidden="1" customWidth="1"/>
    <col min="46" max="46" width="11.85546875" style="321" customWidth="1"/>
    <col min="47" max="47" width="11.28515625" style="321" customWidth="1"/>
    <col min="48" max="48" width="4.28515625" style="321" customWidth="1"/>
    <col min="49" max="49" width="9.42578125" style="321" customWidth="1"/>
    <col min="50" max="70" width="0.85546875" style="321"/>
    <col min="71" max="71" width="0.85546875" style="321" hidden="1" customWidth="1"/>
    <col min="72" max="72" width="0.140625" style="321" hidden="1" customWidth="1"/>
    <col min="73" max="73" width="0.85546875" style="321" hidden="1" customWidth="1"/>
    <col min="74" max="74" width="0.140625" style="321" hidden="1" customWidth="1"/>
    <col min="75" max="75" width="0.7109375" style="321" hidden="1" customWidth="1"/>
    <col min="76" max="77" width="0.85546875" style="321" hidden="1" customWidth="1"/>
    <col min="78" max="87" width="0.85546875" style="321"/>
    <col min="88" max="88" width="0.42578125" style="321" customWidth="1"/>
    <col min="89" max="99" width="0.85546875" style="321"/>
    <col min="100" max="100" width="0.28515625" style="321" customWidth="1"/>
    <col min="101" max="101" width="0.5703125" style="321" hidden="1" customWidth="1"/>
    <col min="102" max="102" width="0.7109375" style="321" hidden="1" customWidth="1"/>
    <col min="103" max="106" width="0.85546875" style="321" hidden="1" customWidth="1"/>
    <col min="107" max="127" width="0.85546875" style="321"/>
    <col min="128" max="128" width="0.140625" style="321" customWidth="1"/>
    <col min="129" max="129" width="0.85546875" style="321" hidden="1" customWidth="1"/>
    <col min="130" max="130" width="0.140625" style="321" hidden="1" customWidth="1"/>
    <col min="131" max="131" width="0.85546875" style="321" hidden="1" customWidth="1"/>
    <col min="132" max="132" width="0.28515625" style="321" hidden="1" customWidth="1"/>
    <col min="133" max="133" width="0.42578125" style="321" hidden="1" customWidth="1"/>
    <col min="134" max="134" width="0.85546875" style="321" hidden="1" customWidth="1"/>
    <col min="135" max="135" width="0.5703125" style="321" customWidth="1"/>
    <col min="136" max="136" width="8.85546875" style="321" customWidth="1"/>
    <col min="137" max="137" width="9.42578125" style="321" customWidth="1"/>
    <col min="138" max="149" width="0.85546875" style="321"/>
    <col min="150" max="150" width="0" style="321" hidden="1" customWidth="1"/>
    <col min="151" max="153" width="0.85546875" style="321" hidden="1" customWidth="1"/>
    <col min="154" max="154" width="0.5703125" style="321" hidden="1" customWidth="1"/>
    <col min="155" max="156" width="0.85546875" style="321" hidden="1" customWidth="1"/>
    <col min="157" max="16384" width="0.85546875" style="321"/>
  </cols>
  <sheetData>
    <row r="1" spans="1:156"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  <c r="T1" s="355"/>
      <c r="U1" s="355"/>
      <c r="V1" s="355"/>
      <c r="W1" s="355"/>
      <c r="X1" s="355"/>
      <c r="Y1" s="354"/>
      <c r="Z1" s="355"/>
      <c r="AA1" s="355"/>
      <c r="AB1" s="355"/>
      <c r="AU1" s="1079" t="s">
        <v>282</v>
      </c>
      <c r="AV1" s="368"/>
      <c r="AW1" s="368"/>
      <c r="AX1" s="368"/>
      <c r="AY1" s="368"/>
      <c r="AZ1" s="368"/>
      <c r="BA1" s="368"/>
      <c r="BB1" s="368"/>
      <c r="BC1" s="368"/>
      <c r="BD1" s="368"/>
      <c r="BE1" s="368"/>
      <c r="BF1" s="368"/>
      <c r="BG1" s="368"/>
      <c r="BH1" s="368"/>
      <c r="BI1" s="368"/>
      <c r="BJ1" s="368"/>
      <c r="BK1" s="368"/>
      <c r="BL1" s="368"/>
      <c r="BM1" s="368"/>
      <c r="BN1" s="368"/>
      <c r="BO1" s="368"/>
      <c r="BP1" s="368"/>
      <c r="BQ1" s="368"/>
      <c r="BR1" s="368"/>
      <c r="BS1" s="368"/>
      <c r="BT1" s="368"/>
      <c r="BU1" s="368"/>
      <c r="BV1" s="368"/>
      <c r="BW1" s="369"/>
      <c r="BX1" s="369"/>
      <c r="BY1" s="369"/>
      <c r="BZ1" s="369"/>
      <c r="CA1" s="369"/>
      <c r="CB1" s="369"/>
      <c r="CC1" s="369"/>
      <c r="CD1" s="369"/>
      <c r="CE1" s="369"/>
      <c r="CF1" s="369"/>
      <c r="CG1" s="369"/>
      <c r="CH1" s="369"/>
      <c r="CI1" s="369"/>
      <c r="CJ1" s="369"/>
      <c r="CK1" s="369"/>
      <c r="CL1" s="369"/>
      <c r="CM1" s="369"/>
      <c r="CN1" s="369"/>
      <c r="CO1" s="369"/>
      <c r="CP1" s="369"/>
      <c r="CQ1" s="369"/>
      <c r="CR1" s="369"/>
      <c r="CS1" s="369"/>
      <c r="CT1" s="369"/>
      <c r="CU1" s="369"/>
      <c r="CV1" s="369"/>
      <c r="CW1" s="369"/>
      <c r="CX1" s="369"/>
      <c r="CY1" s="369"/>
      <c r="CZ1" s="369"/>
      <c r="DA1" s="369"/>
      <c r="DB1" s="369"/>
      <c r="DC1" s="369"/>
      <c r="DD1" s="369"/>
      <c r="DE1" s="369"/>
      <c r="DF1" s="369"/>
      <c r="DG1" s="369"/>
      <c r="DH1" s="369"/>
      <c r="DI1" s="369"/>
      <c r="DJ1" s="369"/>
      <c r="DK1" s="369"/>
      <c r="DL1" s="369"/>
      <c r="DM1" s="369"/>
      <c r="DN1" s="369"/>
      <c r="DO1" s="369"/>
      <c r="DP1" s="369"/>
      <c r="DQ1" s="369"/>
      <c r="DR1" s="369"/>
      <c r="DS1" s="369"/>
      <c r="DT1" s="369"/>
      <c r="DU1" s="369"/>
      <c r="DV1" s="369"/>
      <c r="DW1" s="369"/>
      <c r="DX1" s="369"/>
      <c r="DY1" s="369"/>
      <c r="DZ1" s="369"/>
      <c r="EA1" s="369"/>
      <c r="EB1" s="370"/>
      <c r="EC1" s="369"/>
      <c r="ED1" s="369"/>
      <c r="EE1" s="369"/>
      <c r="EF1" s="369"/>
      <c r="EG1" s="369"/>
      <c r="EH1" s="368"/>
      <c r="EI1" s="368"/>
      <c r="EJ1" s="368"/>
      <c r="EK1" s="368"/>
      <c r="EL1" s="368"/>
      <c r="EM1" s="368"/>
      <c r="EN1" s="368"/>
      <c r="EO1" s="368"/>
      <c r="EP1" s="368"/>
      <c r="EQ1" s="368"/>
      <c r="ER1" s="368"/>
      <c r="ES1" s="1079" t="s">
        <v>288</v>
      </c>
      <c r="ET1" s="368"/>
      <c r="EU1" s="368"/>
      <c r="EV1" s="368"/>
      <c r="EW1" s="371" t="s">
        <v>288</v>
      </c>
      <c r="EX1" s="368"/>
      <c r="EY1" s="368"/>
      <c r="EZ1" s="368"/>
    </row>
    <row r="2" spans="1:156" ht="12.2" customHeight="1">
      <c r="A2" s="1519" t="s">
        <v>283</v>
      </c>
      <c r="B2" s="1065" t="s">
        <v>712</v>
      </c>
      <c r="C2" s="1511" t="s">
        <v>716</v>
      </c>
      <c r="D2" s="1512"/>
      <c r="E2" s="1512"/>
      <c r="F2" s="1512"/>
      <c r="G2" s="1512"/>
      <c r="H2" s="1512"/>
      <c r="I2" s="1512"/>
      <c r="J2" s="1512"/>
      <c r="K2" s="1512"/>
      <c r="L2" s="1512"/>
      <c r="M2" s="1512"/>
      <c r="N2" s="1512"/>
      <c r="O2" s="1512"/>
      <c r="P2" s="1512"/>
      <c r="Q2" s="1513"/>
      <c r="R2" s="1558" t="s">
        <v>727</v>
      </c>
      <c r="S2" s="1544" t="s">
        <v>285</v>
      </c>
      <c r="T2" s="1544"/>
      <c r="U2" s="1544"/>
      <c r="V2" s="1544"/>
      <c r="W2" s="1544"/>
      <c r="X2" s="1544"/>
      <c r="Y2" s="1544"/>
      <c r="Z2" s="1544"/>
      <c r="AA2" s="1544"/>
      <c r="AB2" s="1544"/>
      <c r="AC2" s="1544"/>
      <c r="AD2" s="1544"/>
      <c r="AE2" s="1544"/>
      <c r="AF2" s="1544"/>
      <c r="AG2" s="1544"/>
      <c r="AH2" s="1544"/>
      <c r="AI2" s="1544"/>
      <c r="AJ2" s="1544"/>
      <c r="AK2" s="1544"/>
      <c r="AL2" s="1544"/>
      <c r="AM2" s="1544"/>
      <c r="AN2" s="1544"/>
      <c r="AO2" s="1544"/>
      <c r="AP2" s="1544"/>
      <c r="AQ2" s="1544"/>
      <c r="AR2" s="1544"/>
      <c r="AS2" s="1544"/>
      <c r="AT2" s="1544"/>
      <c r="AU2" s="1544"/>
      <c r="AV2" s="1531" t="s">
        <v>283</v>
      </c>
      <c r="AW2" s="1546" t="s">
        <v>729</v>
      </c>
      <c r="AX2" s="1547"/>
      <c r="AY2" s="1547"/>
      <c r="AZ2" s="1547"/>
      <c r="BA2" s="1547"/>
      <c r="BB2" s="1547"/>
      <c r="BC2" s="1547"/>
      <c r="BD2" s="1547"/>
      <c r="BE2" s="1547"/>
      <c r="BF2" s="1547"/>
      <c r="BG2" s="1547"/>
      <c r="BH2" s="1547"/>
      <c r="BI2" s="1547"/>
      <c r="BJ2" s="1547"/>
      <c r="BK2" s="1547"/>
      <c r="BL2" s="1547"/>
      <c r="BM2" s="1547"/>
      <c r="BN2" s="1547"/>
      <c r="BO2" s="1547"/>
      <c r="BP2" s="1547"/>
      <c r="BQ2" s="1547"/>
      <c r="BR2" s="1547"/>
      <c r="BS2" s="1547"/>
      <c r="BT2" s="1547"/>
      <c r="BU2" s="1547"/>
      <c r="BV2" s="1547"/>
      <c r="BW2" s="1547"/>
      <c r="BX2" s="1547"/>
      <c r="BY2" s="1548"/>
      <c r="BZ2" s="1532" t="s">
        <v>154</v>
      </c>
      <c r="CA2" s="1533"/>
      <c r="CB2" s="1533"/>
      <c r="CC2" s="1533"/>
      <c r="CD2" s="1533"/>
      <c r="CE2" s="1533"/>
      <c r="CF2" s="1533"/>
      <c r="CG2" s="1533"/>
      <c r="CH2" s="1533"/>
      <c r="CI2" s="1533"/>
      <c r="CJ2" s="1533"/>
      <c r="CK2" s="1533"/>
      <c r="CL2" s="1533"/>
      <c r="CM2" s="1533"/>
      <c r="CN2" s="1533"/>
      <c r="CO2" s="1533"/>
      <c r="CP2" s="1533"/>
      <c r="CQ2" s="1533"/>
      <c r="CR2" s="1533"/>
      <c r="CS2" s="1533"/>
      <c r="CT2" s="1533"/>
      <c r="CU2" s="1533"/>
      <c r="CV2" s="1533"/>
      <c r="CW2" s="1533"/>
      <c r="CX2" s="1533"/>
      <c r="CY2" s="1533"/>
      <c r="CZ2" s="1533"/>
      <c r="DA2" s="1533"/>
      <c r="DB2" s="1533"/>
      <c r="DC2" s="1533"/>
      <c r="DD2" s="1533"/>
      <c r="DE2" s="1533"/>
      <c r="DF2" s="1533"/>
      <c r="DG2" s="1533"/>
      <c r="DH2" s="1533"/>
      <c r="DI2" s="1533"/>
      <c r="DJ2" s="1533"/>
      <c r="DK2" s="1533"/>
      <c r="DL2" s="1533"/>
      <c r="DM2" s="1533"/>
      <c r="DN2" s="1533"/>
      <c r="DO2" s="1533"/>
      <c r="DP2" s="1533"/>
      <c r="DQ2" s="1533"/>
      <c r="DR2" s="1533"/>
      <c r="DS2" s="1533"/>
      <c r="DT2" s="1533"/>
      <c r="DU2" s="1533"/>
      <c r="DV2" s="1533"/>
      <c r="DW2" s="1533"/>
      <c r="DX2" s="1533"/>
      <c r="DY2" s="1533"/>
      <c r="DZ2" s="1533"/>
      <c r="EA2" s="1533"/>
      <c r="EB2" s="1533"/>
      <c r="EC2" s="1533"/>
      <c r="ED2" s="1533"/>
      <c r="EE2" s="1533"/>
      <c r="EF2" s="1533"/>
      <c r="EG2" s="1534"/>
      <c r="EH2" s="1527" t="s">
        <v>289</v>
      </c>
      <c r="EI2" s="1527"/>
      <c r="EJ2" s="1527"/>
      <c r="EK2" s="1527"/>
      <c r="EL2" s="1527"/>
      <c r="EM2" s="1527"/>
      <c r="EN2" s="1527"/>
      <c r="EO2" s="1527"/>
      <c r="EP2" s="1527"/>
      <c r="EQ2" s="1527"/>
      <c r="ER2" s="1527"/>
      <c r="ES2" s="1527"/>
      <c r="ET2" s="1527"/>
      <c r="EU2" s="1527"/>
      <c r="EV2" s="1527"/>
      <c r="EW2" s="1527"/>
      <c r="EX2" s="1527"/>
      <c r="EY2" s="1527"/>
      <c r="EZ2" s="1527"/>
    </row>
    <row r="3" spans="1:156" ht="12.2" customHeight="1">
      <c r="A3" s="1519"/>
      <c r="B3" s="1066" t="s">
        <v>713</v>
      </c>
      <c r="C3" s="1514" t="s">
        <v>717</v>
      </c>
      <c r="D3" s="1515"/>
      <c r="E3" s="1515"/>
      <c r="F3" s="1515"/>
      <c r="G3" s="1515"/>
      <c r="H3" s="1515"/>
      <c r="I3" s="1515"/>
      <c r="J3" s="1515"/>
      <c r="K3" s="1515"/>
      <c r="L3" s="1515"/>
      <c r="M3" s="1515"/>
      <c r="N3" s="1515"/>
      <c r="O3" s="1515"/>
      <c r="P3" s="1515"/>
      <c r="Q3" s="1516"/>
      <c r="R3" s="1559"/>
      <c r="S3" s="1064" t="s">
        <v>720</v>
      </c>
      <c r="T3" s="1520" t="s">
        <v>728</v>
      </c>
      <c r="U3" s="1520"/>
      <c r="V3" s="1520"/>
      <c r="W3" s="1520"/>
      <c r="X3" s="1520"/>
      <c r="Y3" s="1520"/>
      <c r="Z3" s="1520"/>
      <c r="AA3" s="1520"/>
      <c r="AB3" s="1520"/>
      <c r="AC3" s="1519" t="s">
        <v>287</v>
      </c>
      <c r="AD3" s="1519"/>
      <c r="AE3" s="1519"/>
      <c r="AF3" s="1519"/>
      <c r="AG3" s="1519"/>
      <c r="AH3" s="1519"/>
      <c r="AI3" s="1519"/>
      <c r="AJ3" s="1519"/>
      <c r="AK3" s="1519"/>
      <c r="AL3" s="1519"/>
      <c r="AM3" s="1519"/>
      <c r="AN3" s="1519"/>
      <c r="AO3" s="1519"/>
      <c r="AP3" s="1519"/>
      <c r="AQ3" s="1519"/>
      <c r="AR3" s="1519"/>
      <c r="AS3" s="1519"/>
      <c r="AT3" s="1069" t="s">
        <v>723</v>
      </c>
      <c r="AU3" s="1066" t="s">
        <v>725</v>
      </c>
      <c r="AV3" s="1531"/>
      <c r="AW3" s="1549"/>
      <c r="AX3" s="1550"/>
      <c r="AY3" s="1550"/>
      <c r="AZ3" s="1550"/>
      <c r="BA3" s="1550"/>
      <c r="BB3" s="1550"/>
      <c r="BC3" s="1550"/>
      <c r="BD3" s="1550"/>
      <c r="BE3" s="1550"/>
      <c r="BF3" s="1550"/>
      <c r="BG3" s="1550"/>
      <c r="BH3" s="1550"/>
      <c r="BI3" s="1550"/>
      <c r="BJ3" s="1550"/>
      <c r="BK3" s="1550"/>
      <c r="BL3" s="1550"/>
      <c r="BM3" s="1550"/>
      <c r="BN3" s="1550"/>
      <c r="BO3" s="1550"/>
      <c r="BP3" s="1550"/>
      <c r="BQ3" s="1550"/>
      <c r="BR3" s="1550"/>
      <c r="BS3" s="1550"/>
      <c r="BT3" s="1550"/>
      <c r="BU3" s="1550"/>
      <c r="BV3" s="1550"/>
      <c r="BW3" s="1550"/>
      <c r="BX3" s="1550"/>
      <c r="BY3" s="1551"/>
      <c r="BZ3" s="1532" t="s">
        <v>730</v>
      </c>
      <c r="CA3" s="1533"/>
      <c r="CB3" s="1533"/>
      <c r="CC3" s="1533"/>
      <c r="CD3" s="1533"/>
      <c r="CE3" s="1533"/>
      <c r="CF3" s="1533"/>
      <c r="CG3" s="1533"/>
      <c r="CH3" s="1533"/>
      <c r="CI3" s="1533"/>
      <c r="CJ3" s="1533"/>
      <c r="CK3" s="1533"/>
      <c r="CL3" s="1533"/>
      <c r="CM3" s="1533"/>
      <c r="CN3" s="1533"/>
      <c r="CO3" s="1533"/>
      <c r="CP3" s="1533"/>
      <c r="CQ3" s="1533"/>
      <c r="CR3" s="1533"/>
      <c r="CS3" s="1533"/>
      <c r="CT3" s="1533"/>
      <c r="CU3" s="1533"/>
      <c r="CV3" s="1533"/>
      <c r="CW3" s="1533"/>
      <c r="CX3" s="1533"/>
      <c r="CY3" s="1533"/>
      <c r="CZ3" s="1533"/>
      <c r="DA3" s="1533"/>
      <c r="DB3" s="1533"/>
      <c r="DC3" s="1533"/>
      <c r="DD3" s="1533"/>
      <c r="DE3" s="1533"/>
      <c r="DF3" s="1533"/>
      <c r="DG3" s="1533"/>
      <c r="DH3" s="1533"/>
      <c r="DI3" s="1533"/>
      <c r="DJ3" s="1533"/>
      <c r="DK3" s="1533"/>
      <c r="DL3" s="1533"/>
      <c r="DM3" s="1533"/>
      <c r="DN3" s="1533"/>
      <c r="DO3" s="1533"/>
      <c r="DP3" s="1533"/>
      <c r="DQ3" s="1533"/>
      <c r="DR3" s="1533"/>
      <c r="DS3" s="1533"/>
      <c r="DT3" s="1533"/>
      <c r="DU3" s="1533"/>
      <c r="DV3" s="1533"/>
      <c r="DW3" s="1533"/>
      <c r="DX3" s="1533"/>
      <c r="DY3" s="1533"/>
      <c r="DZ3" s="1533"/>
      <c r="EA3" s="1533"/>
      <c r="EB3" s="1533"/>
      <c r="EC3" s="1533"/>
      <c r="ED3" s="1533"/>
      <c r="EE3" s="1534"/>
      <c r="EF3" s="1546" t="s">
        <v>735</v>
      </c>
      <c r="EG3" s="1548"/>
      <c r="EH3" s="1527"/>
      <c r="EI3" s="1527"/>
      <c r="EJ3" s="1527"/>
      <c r="EK3" s="1527"/>
      <c r="EL3" s="1527"/>
      <c r="EM3" s="1527"/>
      <c r="EN3" s="1527"/>
      <c r="EO3" s="1527"/>
      <c r="EP3" s="1527"/>
      <c r="EQ3" s="1527"/>
      <c r="ER3" s="1527"/>
      <c r="ES3" s="1527"/>
      <c r="ET3" s="1527"/>
      <c r="EU3" s="1527"/>
      <c r="EV3" s="1527"/>
      <c r="EW3" s="1527"/>
      <c r="EX3" s="1527"/>
      <c r="EY3" s="1527"/>
      <c r="EZ3" s="1527"/>
    </row>
    <row r="4" spans="1:156" ht="12.2" customHeight="1">
      <c r="A4" s="1519"/>
      <c r="B4" s="1066" t="s">
        <v>714</v>
      </c>
      <c r="C4" s="1514" t="s">
        <v>718</v>
      </c>
      <c r="D4" s="1515"/>
      <c r="E4" s="1515"/>
      <c r="F4" s="1515"/>
      <c r="G4" s="1515"/>
      <c r="H4" s="1515"/>
      <c r="I4" s="1515"/>
      <c r="J4" s="1515"/>
      <c r="K4" s="1515"/>
      <c r="L4" s="1515"/>
      <c r="M4" s="1515"/>
      <c r="N4" s="1515"/>
      <c r="O4" s="1515"/>
      <c r="P4" s="1515"/>
      <c r="Q4" s="1516"/>
      <c r="R4" s="1559"/>
      <c r="S4" s="1068" t="s">
        <v>721</v>
      </c>
      <c r="T4" s="1519"/>
      <c r="U4" s="1519"/>
      <c r="V4" s="1519"/>
      <c r="W4" s="1519"/>
      <c r="X4" s="1519"/>
      <c r="Y4" s="1519"/>
      <c r="Z4" s="1519"/>
      <c r="AA4" s="1519"/>
      <c r="AB4" s="1519"/>
      <c r="AC4" s="1519"/>
      <c r="AD4" s="1519"/>
      <c r="AE4" s="1519"/>
      <c r="AF4" s="1519"/>
      <c r="AG4" s="1519"/>
      <c r="AH4" s="1519"/>
      <c r="AI4" s="1519"/>
      <c r="AJ4" s="1519"/>
      <c r="AK4" s="1519"/>
      <c r="AL4" s="1519"/>
      <c r="AM4" s="1519"/>
      <c r="AN4" s="1519"/>
      <c r="AO4" s="1519"/>
      <c r="AP4" s="1519"/>
      <c r="AQ4" s="1519"/>
      <c r="AR4" s="1519"/>
      <c r="AS4" s="1519"/>
      <c r="AT4" s="1066" t="s">
        <v>713</v>
      </c>
      <c r="AU4" s="1066" t="s">
        <v>726</v>
      </c>
      <c r="AV4" s="1531"/>
      <c r="AW4" s="1552"/>
      <c r="AX4" s="1553"/>
      <c r="AY4" s="1553"/>
      <c r="AZ4" s="1553"/>
      <c r="BA4" s="1553"/>
      <c r="BB4" s="1553"/>
      <c r="BC4" s="1553"/>
      <c r="BD4" s="1553"/>
      <c r="BE4" s="1553"/>
      <c r="BF4" s="1553"/>
      <c r="BG4" s="1553"/>
      <c r="BH4" s="1553"/>
      <c r="BI4" s="1553"/>
      <c r="BJ4" s="1553"/>
      <c r="BK4" s="1553"/>
      <c r="BL4" s="1553"/>
      <c r="BM4" s="1553"/>
      <c r="BN4" s="1553"/>
      <c r="BO4" s="1553"/>
      <c r="BP4" s="1553"/>
      <c r="BQ4" s="1553"/>
      <c r="BR4" s="1553"/>
      <c r="BS4" s="1553"/>
      <c r="BT4" s="1553"/>
      <c r="BU4" s="1553"/>
      <c r="BV4" s="1553"/>
      <c r="BW4" s="1553"/>
      <c r="BX4" s="1553"/>
      <c r="BY4" s="1554"/>
      <c r="BZ4" s="1545" t="s">
        <v>164</v>
      </c>
      <c r="CA4" s="1545"/>
      <c r="CB4" s="1545"/>
      <c r="CC4" s="1545"/>
      <c r="CD4" s="1545"/>
      <c r="CE4" s="1545"/>
      <c r="CF4" s="1545"/>
      <c r="CG4" s="1545"/>
      <c r="CH4" s="1545"/>
      <c r="CI4" s="1545"/>
      <c r="CJ4" s="1545"/>
      <c r="CK4" s="1545"/>
      <c r="CL4" s="1545"/>
      <c r="CM4" s="1545"/>
      <c r="CN4" s="1545"/>
      <c r="CO4" s="1545"/>
      <c r="CP4" s="1545"/>
      <c r="CQ4" s="1545"/>
      <c r="CR4" s="1545"/>
      <c r="CS4" s="1545"/>
      <c r="CT4" s="1545"/>
      <c r="CU4" s="1545"/>
      <c r="CV4" s="1545"/>
      <c r="CW4" s="1545"/>
      <c r="CX4" s="1545"/>
      <c r="CY4" s="1545"/>
      <c r="CZ4" s="1545"/>
      <c r="DA4" s="1545"/>
      <c r="DB4" s="1545"/>
      <c r="DC4" s="1545" t="s">
        <v>290</v>
      </c>
      <c r="DD4" s="1545"/>
      <c r="DE4" s="1545"/>
      <c r="DF4" s="1545"/>
      <c r="DG4" s="1545"/>
      <c r="DH4" s="1545"/>
      <c r="DI4" s="1545"/>
      <c r="DJ4" s="1545"/>
      <c r="DK4" s="1545"/>
      <c r="DL4" s="1545"/>
      <c r="DM4" s="1545"/>
      <c r="DN4" s="1545"/>
      <c r="DO4" s="1545"/>
      <c r="DP4" s="1545"/>
      <c r="DQ4" s="1545"/>
      <c r="DR4" s="1545"/>
      <c r="DS4" s="1545"/>
      <c r="DT4" s="1545"/>
      <c r="DU4" s="1545"/>
      <c r="DV4" s="1545"/>
      <c r="DW4" s="1545"/>
      <c r="DX4" s="1545"/>
      <c r="DY4" s="1545"/>
      <c r="DZ4" s="1545"/>
      <c r="EA4" s="1545"/>
      <c r="EB4" s="1545"/>
      <c r="EC4" s="1545"/>
      <c r="ED4" s="1545"/>
      <c r="EE4" s="1545"/>
      <c r="EF4" s="1552"/>
      <c r="EG4" s="1554"/>
      <c r="EH4" s="1527"/>
      <c r="EI4" s="1527"/>
      <c r="EJ4" s="1527"/>
      <c r="EK4" s="1527"/>
      <c r="EL4" s="1527"/>
      <c r="EM4" s="1527"/>
      <c r="EN4" s="1527"/>
      <c r="EO4" s="1527"/>
      <c r="EP4" s="1527"/>
      <c r="EQ4" s="1527"/>
      <c r="ER4" s="1527"/>
      <c r="ES4" s="1527"/>
      <c r="ET4" s="1527"/>
      <c r="EU4" s="1527"/>
      <c r="EV4" s="1527"/>
      <c r="EW4" s="1527"/>
      <c r="EX4" s="1527"/>
      <c r="EY4" s="1527"/>
      <c r="EZ4" s="1527"/>
    </row>
    <row r="5" spans="1:156" ht="36.75" customHeight="1">
      <c r="A5" s="1453"/>
      <c r="B5" s="1067" t="s">
        <v>715</v>
      </c>
      <c r="C5" s="1555" t="s">
        <v>719</v>
      </c>
      <c r="D5" s="1556"/>
      <c r="E5" s="1556"/>
      <c r="F5" s="1556"/>
      <c r="G5" s="1556"/>
      <c r="H5" s="1556"/>
      <c r="I5" s="1556"/>
      <c r="J5" s="1556"/>
      <c r="K5" s="1556"/>
      <c r="L5" s="1556"/>
      <c r="M5" s="1556"/>
      <c r="N5" s="1556"/>
      <c r="O5" s="1556"/>
      <c r="P5" s="1556"/>
      <c r="Q5" s="1557"/>
      <c r="R5" s="1560"/>
      <c r="S5" s="1081" t="s">
        <v>722</v>
      </c>
      <c r="T5" s="1519"/>
      <c r="U5" s="1519"/>
      <c r="V5" s="1519"/>
      <c r="W5" s="1519"/>
      <c r="X5" s="1519"/>
      <c r="Y5" s="1519"/>
      <c r="Z5" s="1519"/>
      <c r="AA5" s="1519"/>
      <c r="AB5" s="1519"/>
      <c r="AC5" s="1519"/>
      <c r="AD5" s="1519"/>
      <c r="AE5" s="1519"/>
      <c r="AF5" s="1519"/>
      <c r="AG5" s="1519"/>
      <c r="AH5" s="1519"/>
      <c r="AI5" s="1519"/>
      <c r="AJ5" s="1519"/>
      <c r="AK5" s="1519"/>
      <c r="AL5" s="1519"/>
      <c r="AM5" s="1519"/>
      <c r="AN5" s="1519"/>
      <c r="AO5" s="1519"/>
      <c r="AP5" s="1519"/>
      <c r="AQ5" s="1519"/>
      <c r="AR5" s="1519"/>
      <c r="AS5" s="1519"/>
      <c r="AT5" s="1080" t="s">
        <v>724</v>
      </c>
      <c r="AU5" s="1080" t="s">
        <v>715</v>
      </c>
      <c r="AV5" s="1538"/>
      <c r="AW5" s="1048" t="s">
        <v>734</v>
      </c>
      <c r="AX5" s="1532" t="s">
        <v>286</v>
      </c>
      <c r="AY5" s="1533"/>
      <c r="AZ5" s="1533"/>
      <c r="BA5" s="1533"/>
      <c r="BB5" s="1533"/>
      <c r="BC5" s="1533"/>
      <c r="BD5" s="1533"/>
      <c r="BE5" s="1533"/>
      <c r="BF5" s="1533"/>
      <c r="BG5" s="1534"/>
      <c r="BH5" s="1528" t="s">
        <v>733</v>
      </c>
      <c r="BI5" s="1529"/>
      <c r="BJ5" s="1529"/>
      <c r="BK5" s="1529"/>
      <c r="BL5" s="1529"/>
      <c r="BM5" s="1529"/>
      <c r="BN5" s="1529"/>
      <c r="BO5" s="1529"/>
      <c r="BP5" s="1529"/>
      <c r="BQ5" s="1529"/>
      <c r="BR5" s="1529"/>
      <c r="BS5" s="1529"/>
      <c r="BT5" s="1529"/>
      <c r="BU5" s="1529"/>
      <c r="BV5" s="1529"/>
      <c r="BW5" s="1529"/>
      <c r="BX5" s="1529"/>
      <c r="BY5" s="1530"/>
      <c r="BZ5" s="1528" t="s">
        <v>286</v>
      </c>
      <c r="CA5" s="1529"/>
      <c r="CB5" s="1529"/>
      <c r="CC5" s="1529"/>
      <c r="CD5" s="1529"/>
      <c r="CE5" s="1529"/>
      <c r="CF5" s="1529"/>
      <c r="CG5" s="1529"/>
      <c r="CH5" s="1529"/>
      <c r="CI5" s="1529"/>
      <c r="CJ5" s="1530"/>
      <c r="CK5" s="1528" t="s">
        <v>731</v>
      </c>
      <c r="CL5" s="1529"/>
      <c r="CM5" s="1529"/>
      <c r="CN5" s="1529"/>
      <c r="CO5" s="1529"/>
      <c r="CP5" s="1529"/>
      <c r="CQ5" s="1529"/>
      <c r="CR5" s="1529"/>
      <c r="CS5" s="1529"/>
      <c r="CT5" s="1529"/>
      <c r="CU5" s="1529"/>
      <c r="CV5" s="1529"/>
      <c r="CW5" s="1529"/>
      <c r="CX5" s="1529"/>
      <c r="CY5" s="1529"/>
      <c r="CZ5" s="1529"/>
      <c r="DA5" s="1529"/>
      <c r="DB5" s="1530"/>
      <c r="DC5" s="1528" t="s">
        <v>286</v>
      </c>
      <c r="DD5" s="1529"/>
      <c r="DE5" s="1529"/>
      <c r="DF5" s="1529"/>
      <c r="DG5" s="1529"/>
      <c r="DH5" s="1529"/>
      <c r="DI5" s="1529"/>
      <c r="DJ5" s="1529"/>
      <c r="DK5" s="1529"/>
      <c r="DL5" s="1529"/>
      <c r="DM5" s="1530"/>
      <c r="DN5" s="1531" t="s">
        <v>732</v>
      </c>
      <c r="DO5" s="1531"/>
      <c r="DP5" s="1531"/>
      <c r="DQ5" s="1531"/>
      <c r="DR5" s="1531"/>
      <c r="DS5" s="1531"/>
      <c r="DT5" s="1531"/>
      <c r="DU5" s="1531"/>
      <c r="DV5" s="1531"/>
      <c r="DW5" s="1531"/>
      <c r="DX5" s="1531"/>
      <c r="DY5" s="1531"/>
      <c r="DZ5" s="1531"/>
      <c r="EA5" s="1531"/>
      <c r="EB5" s="1531"/>
      <c r="EC5" s="1531"/>
      <c r="ED5" s="1531"/>
      <c r="EE5" s="1531"/>
      <c r="EF5" s="1047" t="s">
        <v>286</v>
      </c>
      <c r="EG5" s="1049" t="s">
        <v>732</v>
      </c>
      <c r="EH5" s="1527"/>
      <c r="EI5" s="1527"/>
      <c r="EJ5" s="1527"/>
      <c r="EK5" s="1527"/>
      <c r="EL5" s="1527"/>
      <c r="EM5" s="1527"/>
      <c r="EN5" s="1527"/>
      <c r="EO5" s="1527"/>
      <c r="EP5" s="1527"/>
      <c r="EQ5" s="1527"/>
      <c r="ER5" s="1527"/>
      <c r="ES5" s="1527"/>
      <c r="ET5" s="1527"/>
      <c r="EU5" s="1527"/>
      <c r="EV5" s="1527"/>
      <c r="EW5" s="1527"/>
      <c r="EX5" s="1527"/>
      <c r="EY5" s="1527"/>
      <c r="EZ5" s="1527"/>
    </row>
    <row r="6" spans="1:156">
      <c r="A6" s="318">
        <v>1</v>
      </c>
      <c r="B6" s="373">
        <v>2</v>
      </c>
      <c r="C6" s="1523">
        <v>3</v>
      </c>
      <c r="D6" s="1524"/>
      <c r="E6" s="1524"/>
      <c r="F6" s="1524"/>
      <c r="G6" s="1524"/>
      <c r="H6" s="1524"/>
      <c r="I6" s="1524"/>
      <c r="J6" s="1524"/>
      <c r="K6" s="1524"/>
      <c r="L6" s="1524"/>
      <c r="M6" s="1524"/>
      <c r="N6" s="1524"/>
      <c r="O6" s="1524"/>
      <c r="P6" s="1524"/>
      <c r="Q6" s="1525"/>
      <c r="R6" s="372">
        <v>4</v>
      </c>
      <c r="S6" s="1051">
        <v>5</v>
      </c>
      <c r="T6" s="1453">
        <v>6</v>
      </c>
      <c r="U6" s="1453"/>
      <c r="V6" s="1453"/>
      <c r="W6" s="1453"/>
      <c r="X6" s="1453"/>
      <c r="Y6" s="1453"/>
      <c r="Z6" s="1453"/>
      <c r="AA6" s="1453"/>
      <c r="AB6" s="1453"/>
      <c r="AC6" s="1453">
        <v>7</v>
      </c>
      <c r="AD6" s="1453"/>
      <c r="AE6" s="1453"/>
      <c r="AF6" s="1453"/>
      <c r="AG6" s="1453"/>
      <c r="AH6" s="1453"/>
      <c r="AI6" s="1453"/>
      <c r="AJ6" s="1453"/>
      <c r="AK6" s="1453"/>
      <c r="AL6" s="1453"/>
      <c r="AM6" s="1453"/>
      <c r="AN6" s="1453"/>
      <c r="AO6" s="1453"/>
      <c r="AP6" s="1453"/>
      <c r="AQ6" s="1453"/>
      <c r="AR6" s="1453"/>
      <c r="AS6" s="1453"/>
      <c r="AT6" s="1041">
        <v>8</v>
      </c>
      <c r="AU6" s="1041">
        <v>9</v>
      </c>
      <c r="AV6" s="374">
        <v>1</v>
      </c>
      <c r="AW6" s="1044">
        <v>10</v>
      </c>
      <c r="AX6" s="1536">
        <v>11</v>
      </c>
      <c r="AY6" s="1536"/>
      <c r="AZ6" s="1536"/>
      <c r="BA6" s="1536"/>
      <c r="BB6" s="1536"/>
      <c r="BC6" s="1536"/>
      <c r="BD6" s="1536"/>
      <c r="BE6" s="1536"/>
      <c r="BF6" s="1536"/>
      <c r="BG6" s="1537"/>
      <c r="BH6" s="1535">
        <v>12</v>
      </c>
      <c r="BI6" s="1536"/>
      <c r="BJ6" s="1536"/>
      <c r="BK6" s="1536"/>
      <c r="BL6" s="1536"/>
      <c r="BM6" s="1536"/>
      <c r="BN6" s="1536"/>
      <c r="BO6" s="1536"/>
      <c r="BP6" s="1536"/>
      <c r="BQ6" s="1536"/>
      <c r="BR6" s="1536"/>
      <c r="BS6" s="1536"/>
      <c r="BT6" s="1536"/>
      <c r="BU6" s="1536"/>
      <c r="BV6" s="1536"/>
      <c r="BW6" s="1536"/>
      <c r="BX6" s="1536"/>
      <c r="BY6" s="1537"/>
      <c r="BZ6" s="1535">
        <v>13</v>
      </c>
      <c r="CA6" s="1536"/>
      <c r="CB6" s="1536"/>
      <c r="CC6" s="1536"/>
      <c r="CD6" s="1536"/>
      <c r="CE6" s="1536"/>
      <c r="CF6" s="1536"/>
      <c r="CG6" s="1536"/>
      <c r="CH6" s="1536"/>
      <c r="CI6" s="1536"/>
      <c r="CJ6" s="1537"/>
      <c r="CK6" s="1535">
        <v>14</v>
      </c>
      <c r="CL6" s="1536"/>
      <c r="CM6" s="1536"/>
      <c r="CN6" s="1536"/>
      <c r="CO6" s="1536"/>
      <c r="CP6" s="1536"/>
      <c r="CQ6" s="1536"/>
      <c r="CR6" s="1536"/>
      <c r="CS6" s="1536"/>
      <c r="CT6" s="1536"/>
      <c r="CU6" s="1536"/>
      <c r="CV6" s="1536"/>
      <c r="CW6" s="1536"/>
      <c r="CX6" s="1536"/>
      <c r="CY6" s="1536"/>
      <c r="CZ6" s="1536"/>
      <c r="DA6" s="1536"/>
      <c r="DB6" s="1537"/>
      <c r="DC6" s="1535">
        <v>15</v>
      </c>
      <c r="DD6" s="1536"/>
      <c r="DE6" s="1536"/>
      <c r="DF6" s="1536"/>
      <c r="DG6" s="1536"/>
      <c r="DH6" s="1536"/>
      <c r="DI6" s="1536"/>
      <c r="DJ6" s="1536"/>
      <c r="DK6" s="1536"/>
      <c r="DL6" s="1536"/>
      <c r="DM6" s="1537"/>
      <c r="DN6" s="1538">
        <v>16</v>
      </c>
      <c r="DO6" s="1538"/>
      <c r="DP6" s="1538"/>
      <c r="DQ6" s="1538"/>
      <c r="DR6" s="1538"/>
      <c r="DS6" s="1538"/>
      <c r="DT6" s="1538"/>
      <c r="DU6" s="1538"/>
      <c r="DV6" s="1538"/>
      <c r="DW6" s="1538"/>
      <c r="DX6" s="1538"/>
      <c r="DY6" s="1538"/>
      <c r="DZ6" s="1538"/>
      <c r="EA6" s="1538"/>
      <c r="EB6" s="1538"/>
      <c r="EC6" s="1538"/>
      <c r="ED6" s="1538"/>
      <c r="EE6" s="1538"/>
      <c r="EF6" s="1044">
        <v>17</v>
      </c>
      <c r="EG6" s="1043">
        <v>18</v>
      </c>
      <c r="EH6" s="1538">
        <v>19</v>
      </c>
      <c r="EI6" s="1538"/>
      <c r="EJ6" s="1538"/>
      <c r="EK6" s="1538"/>
      <c r="EL6" s="1538"/>
      <c r="EM6" s="1538"/>
      <c r="EN6" s="1538"/>
      <c r="EO6" s="1538"/>
      <c r="EP6" s="1538"/>
      <c r="EQ6" s="1538"/>
      <c r="ER6" s="1538"/>
      <c r="ES6" s="1538"/>
      <c r="ET6" s="1538"/>
      <c r="EU6" s="1538"/>
      <c r="EV6" s="1538"/>
      <c r="EW6" s="1538"/>
      <c r="EX6" s="1538"/>
      <c r="EY6" s="1538"/>
      <c r="EZ6" s="1538"/>
    </row>
    <row r="7" spans="1:156" ht="22.5" customHeight="1">
      <c r="A7" s="383" t="s">
        <v>4</v>
      </c>
      <c r="B7" s="384" t="s">
        <v>6</v>
      </c>
      <c r="C7" s="1526" t="s">
        <v>14</v>
      </c>
      <c r="D7" s="1526"/>
      <c r="E7" s="1526"/>
      <c r="F7" s="1526"/>
      <c r="G7" s="1526"/>
      <c r="H7" s="1526"/>
      <c r="I7" s="1526"/>
      <c r="J7" s="1526"/>
      <c r="K7" s="1526"/>
      <c r="L7" s="1526"/>
      <c r="M7" s="1526"/>
      <c r="N7" s="1526"/>
      <c r="O7" s="1526"/>
      <c r="P7" s="1526"/>
      <c r="Q7" s="1526"/>
      <c r="R7" s="385" t="s">
        <v>8</v>
      </c>
      <c r="S7" s="1050" t="s">
        <v>9</v>
      </c>
      <c r="T7" s="1521" t="s">
        <v>16</v>
      </c>
      <c r="U7" s="1521"/>
      <c r="V7" s="1521"/>
      <c r="W7" s="1521"/>
      <c r="X7" s="1521"/>
      <c r="Y7" s="1521"/>
      <c r="Z7" s="1521"/>
      <c r="AA7" s="1521"/>
      <c r="AB7" s="1521"/>
      <c r="AC7" s="1522" t="s">
        <v>17</v>
      </c>
      <c r="AD7" s="1522"/>
      <c r="AE7" s="1522"/>
      <c r="AF7" s="1522"/>
      <c r="AG7" s="1522"/>
      <c r="AH7" s="1522"/>
      <c r="AI7" s="1522"/>
      <c r="AJ7" s="1522"/>
      <c r="AK7" s="1522"/>
      <c r="AL7" s="1522"/>
      <c r="AM7" s="1522"/>
      <c r="AN7" s="1522"/>
      <c r="AO7" s="1522"/>
      <c r="AP7" s="1522"/>
      <c r="AQ7" s="1522"/>
      <c r="AR7" s="1522"/>
      <c r="AS7" s="1522"/>
      <c r="AT7" s="1050"/>
      <c r="AU7" s="1050"/>
      <c r="AV7" s="386" t="str">
        <f>A7</f>
        <v>номер</v>
      </c>
      <c r="AW7" s="386"/>
      <c r="AX7" s="1517" t="s">
        <v>18</v>
      </c>
      <c r="AY7" s="1517"/>
      <c r="AZ7" s="1517"/>
      <c r="BA7" s="1517"/>
      <c r="BB7" s="1517"/>
      <c r="BC7" s="1517"/>
      <c r="BD7" s="1517"/>
      <c r="BE7" s="1517"/>
      <c r="BF7" s="1517"/>
      <c r="BG7" s="1517"/>
      <c r="BH7" s="1539" t="s">
        <v>19</v>
      </c>
      <c r="BI7" s="1539"/>
      <c r="BJ7" s="1539"/>
      <c r="BK7" s="1539"/>
      <c r="BL7" s="1539"/>
      <c r="BM7" s="1539"/>
      <c r="BN7" s="1539"/>
      <c r="BO7" s="1539"/>
      <c r="BP7" s="1539"/>
      <c r="BQ7" s="1539"/>
      <c r="BR7" s="1539"/>
      <c r="BS7" s="1539"/>
      <c r="BT7" s="1539"/>
      <c r="BU7" s="1539"/>
      <c r="BV7" s="1539"/>
      <c r="BW7" s="1539"/>
      <c r="BX7" s="1539"/>
      <c r="BY7" s="1539"/>
      <c r="BZ7" s="1540" t="s">
        <v>12</v>
      </c>
      <c r="CA7" s="1540"/>
      <c r="CB7" s="1540"/>
      <c r="CC7" s="1540"/>
      <c r="CD7" s="1540"/>
      <c r="CE7" s="1540"/>
      <c r="CF7" s="1540"/>
      <c r="CG7" s="1540"/>
      <c r="CH7" s="1540"/>
      <c r="CI7" s="1540"/>
      <c r="CJ7" s="1540"/>
      <c r="CK7" s="1539" t="s">
        <v>13</v>
      </c>
      <c r="CL7" s="1539"/>
      <c r="CM7" s="1539"/>
      <c r="CN7" s="1539"/>
      <c r="CO7" s="1539"/>
      <c r="CP7" s="1539"/>
      <c r="CQ7" s="1539"/>
      <c r="CR7" s="1539"/>
      <c r="CS7" s="1539"/>
      <c r="CT7" s="1539"/>
      <c r="CU7" s="1539"/>
      <c r="CV7" s="1539"/>
      <c r="CW7" s="1539"/>
      <c r="CX7" s="1539"/>
      <c r="CY7" s="1539"/>
      <c r="CZ7" s="1539"/>
      <c r="DA7" s="1539"/>
      <c r="DB7" s="1539"/>
      <c r="DC7" s="1540" t="s">
        <v>10</v>
      </c>
      <c r="DD7" s="1540"/>
      <c r="DE7" s="1540"/>
      <c r="DF7" s="1540"/>
      <c r="DG7" s="1540"/>
      <c r="DH7" s="1540"/>
      <c r="DI7" s="1540"/>
      <c r="DJ7" s="1540"/>
      <c r="DK7" s="1540"/>
      <c r="DL7" s="1540"/>
      <c r="DM7" s="1540"/>
      <c r="DN7" s="1539" t="s">
        <v>11</v>
      </c>
      <c r="DO7" s="1539"/>
      <c r="DP7" s="1539"/>
      <c r="DQ7" s="1539"/>
      <c r="DR7" s="1539"/>
      <c r="DS7" s="1539"/>
      <c r="DT7" s="1539"/>
      <c r="DU7" s="1539"/>
      <c r="DV7" s="1539"/>
      <c r="DW7" s="1539"/>
      <c r="DX7" s="1539"/>
      <c r="DY7" s="1539"/>
      <c r="DZ7" s="1539"/>
      <c r="EA7" s="1539"/>
      <c r="EB7" s="1539"/>
      <c r="EC7" s="1539"/>
      <c r="ED7" s="1539"/>
      <c r="EE7" s="1539"/>
      <c r="EF7" s="1045"/>
      <c r="EG7" s="1045"/>
      <c r="EH7" s="1541"/>
      <c r="EI7" s="1541"/>
      <c r="EJ7" s="1541"/>
      <c r="EK7" s="1541"/>
      <c r="EL7" s="1541"/>
      <c r="EM7" s="1541"/>
      <c r="EN7" s="1541"/>
      <c r="EO7" s="1541"/>
      <c r="EP7" s="1541"/>
      <c r="EQ7" s="1541"/>
      <c r="ER7" s="1541"/>
      <c r="ES7" s="1541"/>
      <c r="ET7" s="1541"/>
      <c r="EU7" s="1541"/>
      <c r="EV7" s="1541"/>
      <c r="EW7" s="1541"/>
      <c r="EX7" s="1541"/>
      <c r="EY7" s="1541"/>
      <c r="EZ7" s="1541"/>
    </row>
    <row r="8" spans="1:156" s="323" customFormat="1" ht="15" customHeight="1">
      <c r="A8" s="350"/>
      <c r="B8" s="381"/>
      <c r="C8" s="1510"/>
      <c r="D8" s="1510"/>
      <c r="E8" s="1510"/>
      <c r="F8" s="1510"/>
      <c r="G8" s="1510"/>
      <c r="H8" s="1510"/>
      <c r="I8" s="1510"/>
      <c r="J8" s="1510"/>
      <c r="K8" s="1510"/>
      <c r="L8" s="1510"/>
      <c r="M8" s="1510"/>
      <c r="N8" s="1510"/>
      <c r="O8" s="1510"/>
      <c r="P8" s="1510"/>
      <c r="Q8" s="1510"/>
      <c r="R8" s="205"/>
      <c r="S8" s="1046"/>
      <c r="T8" s="1518"/>
      <c r="U8" s="1518"/>
      <c r="V8" s="1518"/>
      <c r="W8" s="1518"/>
      <c r="X8" s="1518"/>
      <c r="Y8" s="1518"/>
      <c r="Z8" s="1518"/>
      <c r="AA8" s="1518"/>
      <c r="AB8" s="1518"/>
      <c r="AC8" s="1518"/>
      <c r="AD8" s="1518"/>
      <c r="AE8" s="1518"/>
      <c r="AF8" s="1518"/>
      <c r="AG8" s="1518"/>
      <c r="AH8" s="1518"/>
      <c r="AI8" s="1518"/>
      <c r="AJ8" s="1518"/>
      <c r="AK8" s="1518"/>
      <c r="AL8" s="1518"/>
      <c r="AM8" s="1518"/>
      <c r="AN8" s="1518"/>
      <c r="AO8" s="1518"/>
      <c r="AP8" s="1518"/>
      <c r="AQ8" s="1518"/>
      <c r="AR8" s="1518"/>
      <c r="AS8" s="1518"/>
      <c r="AT8" s="1046"/>
      <c r="AU8" s="1046"/>
      <c r="AV8" s="382"/>
      <c r="AW8" s="382"/>
      <c r="AX8" s="1542"/>
      <c r="AY8" s="1542"/>
      <c r="AZ8" s="1542"/>
      <c r="BA8" s="1542"/>
      <c r="BB8" s="1542"/>
      <c r="BC8" s="1542"/>
      <c r="BD8" s="1542"/>
      <c r="BE8" s="1542"/>
      <c r="BF8" s="1542"/>
      <c r="BG8" s="1542"/>
      <c r="BH8" s="1542"/>
      <c r="BI8" s="1542"/>
      <c r="BJ8" s="1542"/>
      <c r="BK8" s="1542"/>
      <c r="BL8" s="1542"/>
      <c r="BM8" s="1542"/>
      <c r="BN8" s="1542"/>
      <c r="BO8" s="1542"/>
      <c r="BP8" s="1542"/>
      <c r="BQ8" s="1542"/>
      <c r="BR8" s="1542"/>
      <c r="BS8" s="1542"/>
      <c r="BT8" s="1542"/>
      <c r="BU8" s="1542"/>
      <c r="BV8" s="1542"/>
      <c r="BW8" s="1542"/>
      <c r="BX8" s="1542"/>
      <c r="BY8" s="1542"/>
      <c r="BZ8" s="1542"/>
      <c r="CA8" s="1542"/>
      <c r="CB8" s="1542"/>
      <c r="CC8" s="1542"/>
      <c r="CD8" s="1542"/>
      <c r="CE8" s="1542"/>
      <c r="CF8" s="1542"/>
      <c r="CG8" s="1542"/>
      <c r="CH8" s="1542"/>
      <c r="CI8" s="1542"/>
      <c r="CJ8" s="1542"/>
      <c r="CK8" s="1542"/>
      <c r="CL8" s="1542"/>
      <c r="CM8" s="1542"/>
      <c r="CN8" s="1542"/>
      <c r="CO8" s="1542"/>
      <c r="CP8" s="1542"/>
      <c r="CQ8" s="1542"/>
      <c r="CR8" s="1542"/>
      <c r="CS8" s="1542"/>
      <c r="CT8" s="1542"/>
      <c r="CU8" s="1542"/>
      <c r="CV8" s="1542"/>
      <c r="CW8" s="1542"/>
      <c r="CX8" s="1542"/>
      <c r="CY8" s="1542"/>
      <c r="CZ8" s="1542"/>
      <c r="DA8" s="1542"/>
      <c r="DB8" s="1542"/>
      <c r="DC8" s="1542"/>
      <c r="DD8" s="1542"/>
      <c r="DE8" s="1542"/>
      <c r="DF8" s="1542"/>
      <c r="DG8" s="1542"/>
      <c r="DH8" s="1542"/>
      <c r="DI8" s="1542"/>
      <c r="DJ8" s="1542"/>
      <c r="DK8" s="1542"/>
      <c r="DL8" s="1542"/>
      <c r="DM8" s="1542"/>
      <c r="DN8" s="1542"/>
      <c r="DO8" s="1542"/>
      <c r="DP8" s="1542"/>
      <c r="DQ8" s="1542"/>
      <c r="DR8" s="1542"/>
      <c r="DS8" s="1542"/>
      <c r="DT8" s="1542"/>
      <c r="DU8" s="1542"/>
      <c r="DV8" s="1542"/>
      <c r="DW8" s="1542"/>
      <c r="DX8" s="1542"/>
      <c r="DY8" s="1542"/>
      <c r="DZ8" s="1542"/>
      <c r="EA8" s="1542"/>
      <c r="EB8" s="1542"/>
      <c r="EC8" s="1542"/>
      <c r="ED8" s="1542"/>
      <c r="EE8" s="1542"/>
      <c r="EF8" s="1042"/>
      <c r="EG8" s="1042"/>
      <c r="EH8" s="1543"/>
      <c r="EI8" s="1543"/>
      <c r="EJ8" s="1543"/>
      <c r="EK8" s="1543"/>
      <c r="EL8" s="1543"/>
      <c r="EM8" s="1543"/>
      <c r="EN8" s="1543"/>
      <c r="EO8" s="1543"/>
      <c r="EP8" s="1543"/>
      <c r="EQ8" s="1543"/>
      <c r="ER8" s="1543"/>
      <c r="ES8" s="1543"/>
      <c r="ET8" s="1543"/>
      <c r="EU8" s="1543"/>
      <c r="EV8" s="1543"/>
      <c r="EW8" s="1543"/>
      <c r="EX8" s="1543"/>
      <c r="EY8" s="1543"/>
      <c r="EZ8" s="1543"/>
    </row>
    <row r="9" spans="1:156" s="323" customFormat="1" ht="15" customHeight="1">
      <c r="A9" s="350"/>
      <c r="B9" s="381"/>
      <c r="C9" s="1510"/>
      <c r="D9" s="1510"/>
      <c r="E9" s="1510"/>
      <c r="F9" s="1510"/>
      <c r="G9" s="1510"/>
      <c r="H9" s="1510"/>
      <c r="I9" s="1510"/>
      <c r="J9" s="1510"/>
      <c r="K9" s="1510"/>
      <c r="L9" s="1510"/>
      <c r="M9" s="1510"/>
      <c r="N9" s="1510"/>
      <c r="O9" s="1510"/>
      <c r="P9" s="1510"/>
      <c r="Q9" s="1510"/>
      <c r="R9" s="205"/>
      <c r="S9" s="1046"/>
      <c r="T9" s="1518"/>
      <c r="U9" s="1518"/>
      <c r="V9" s="1518"/>
      <c r="W9" s="1518"/>
      <c r="X9" s="1518"/>
      <c r="Y9" s="1518"/>
      <c r="Z9" s="1518"/>
      <c r="AA9" s="1518"/>
      <c r="AB9" s="1518"/>
      <c r="AC9" s="1518"/>
      <c r="AD9" s="1518"/>
      <c r="AE9" s="1518"/>
      <c r="AF9" s="1518"/>
      <c r="AG9" s="1518"/>
      <c r="AH9" s="1518"/>
      <c r="AI9" s="1518"/>
      <c r="AJ9" s="1518"/>
      <c r="AK9" s="1518"/>
      <c r="AL9" s="1518"/>
      <c r="AM9" s="1518"/>
      <c r="AN9" s="1518"/>
      <c r="AO9" s="1518"/>
      <c r="AP9" s="1518"/>
      <c r="AQ9" s="1518"/>
      <c r="AR9" s="1518"/>
      <c r="AS9" s="1518"/>
      <c r="AT9" s="1046"/>
      <c r="AU9" s="1046"/>
      <c r="AV9" s="382"/>
      <c r="AW9" s="382"/>
      <c r="AX9" s="1542"/>
      <c r="AY9" s="1542"/>
      <c r="AZ9" s="1542"/>
      <c r="BA9" s="1542"/>
      <c r="BB9" s="1542"/>
      <c r="BC9" s="1542"/>
      <c r="BD9" s="1542"/>
      <c r="BE9" s="1542"/>
      <c r="BF9" s="1542"/>
      <c r="BG9" s="1542"/>
      <c r="BH9" s="1542"/>
      <c r="BI9" s="1542"/>
      <c r="BJ9" s="1542"/>
      <c r="BK9" s="1542"/>
      <c r="BL9" s="1542"/>
      <c r="BM9" s="1542"/>
      <c r="BN9" s="1542"/>
      <c r="BO9" s="1542"/>
      <c r="BP9" s="1542"/>
      <c r="BQ9" s="1542"/>
      <c r="BR9" s="1542"/>
      <c r="BS9" s="1542"/>
      <c r="BT9" s="1542"/>
      <c r="BU9" s="1542"/>
      <c r="BV9" s="1542"/>
      <c r="BW9" s="1542"/>
      <c r="BX9" s="1542"/>
      <c r="BY9" s="1542"/>
      <c r="BZ9" s="1542"/>
      <c r="CA9" s="1542"/>
      <c r="CB9" s="1542"/>
      <c r="CC9" s="1542"/>
      <c r="CD9" s="1542"/>
      <c r="CE9" s="1542"/>
      <c r="CF9" s="1542"/>
      <c r="CG9" s="1542"/>
      <c r="CH9" s="1542"/>
      <c r="CI9" s="1542"/>
      <c r="CJ9" s="1542"/>
      <c r="CK9" s="1542"/>
      <c r="CL9" s="1542"/>
      <c r="CM9" s="1542"/>
      <c r="CN9" s="1542"/>
      <c r="CO9" s="1542"/>
      <c r="CP9" s="1542"/>
      <c r="CQ9" s="1542"/>
      <c r="CR9" s="1542"/>
      <c r="CS9" s="1542"/>
      <c r="CT9" s="1542"/>
      <c r="CU9" s="1542"/>
      <c r="CV9" s="1542"/>
      <c r="CW9" s="1542"/>
      <c r="CX9" s="1542"/>
      <c r="CY9" s="1542"/>
      <c r="CZ9" s="1542"/>
      <c r="DA9" s="1542"/>
      <c r="DB9" s="1542"/>
      <c r="DC9" s="1542"/>
      <c r="DD9" s="1542"/>
      <c r="DE9" s="1542"/>
      <c r="DF9" s="1542"/>
      <c r="DG9" s="1542"/>
      <c r="DH9" s="1542"/>
      <c r="DI9" s="1542"/>
      <c r="DJ9" s="1542"/>
      <c r="DK9" s="1542"/>
      <c r="DL9" s="1542"/>
      <c r="DM9" s="1542"/>
      <c r="DN9" s="1542"/>
      <c r="DO9" s="1542"/>
      <c r="DP9" s="1542"/>
      <c r="DQ9" s="1542"/>
      <c r="DR9" s="1542"/>
      <c r="DS9" s="1542"/>
      <c r="DT9" s="1542"/>
      <c r="DU9" s="1542"/>
      <c r="DV9" s="1542"/>
      <c r="DW9" s="1542"/>
      <c r="DX9" s="1542"/>
      <c r="DY9" s="1542"/>
      <c r="DZ9" s="1542"/>
      <c r="EA9" s="1542"/>
      <c r="EB9" s="1542"/>
      <c r="EC9" s="1542"/>
      <c r="ED9" s="1542"/>
      <c r="EE9" s="1542"/>
      <c r="EF9" s="1042"/>
      <c r="EG9" s="1042"/>
      <c r="EH9" s="1543"/>
      <c r="EI9" s="1543"/>
      <c r="EJ9" s="1543"/>
      <c r="EK9" s="1543"/>
      <c r="EL9" s="1543"/>
      <c r="EM9" s="1543"/>
      <c r="EN9" s="1543"/>
      <c r="EO9" s="1543"/>
      <c r="EP9" s="1543"/>
      <c r="EQ9" s="1543"/>
      <c r="ER9" s="1543"/>
      <c r="ES9" s="1543"/>
      <c r="ET9" s="1543"/>
      <c r="EU9" s="1543"/>
      <c r="EV9" s="1543"/>
      <c r="EW9" s="1543"/>
      <c r="EX9" s="1543"/>
      <c r="EY9" s="1543"/>
      <c r="EZ9" s="1543"/>
    </row>
    <row r="10" spans="1:156" s="323" customFormat="1" ht="15" customHeight="1">
      <c r="A10" s="350"/>
      <c r="B10" s="381"/>
      <c r="C10" s="1510"/>
      <c r="D10" s="1510"/>
      <c r="E10" s="1510"/>
      <c r="F10" s="1510"/>
      <c r="G10" s="1510"/>
      <c r="H10" s="1510"/>
      <c r="I10" s="1510"/>
      <c r="J10" s="1510"/>
      <c r="K10" s="1510"/>
      <c r="L10" s="1510"/>
      <c r="M10" s="1510"/>
      <c r="N10" s="1510"/>
      <c r="O10" s="1510"/>
      <c r="P10" s="1510"/>
      <c r="Q10" s="1510"/>
      <c r="R10" s="205"/>
      <c r="S10" s="1046"/>
      <c r="T10" s="1518"/>
      <c r="U10" s="1518"/>
      <c r="V10" s="1518"/>
      <c r="W10" s="1518"/>
      <c r="X10" s="1518"/>
      <c r="Y10" s="1518"/>
      <c r="Z10" s="1518"/>
      <c r="AA10" s="1518"/>
      <c r="AB10" s="1518"/>
      <c r="AC10" s="1518"/>
      <c r="AD10" s="1518"/>
      <c r="AE10" s="1518"/>
      <c r="AF10" s="1518"/>
      <c r="AG10" s="1518"/>
      <c r="AH10" s="1518"/>
      <c r="AI10" s="1518"/>
      <c r="AJ10" s="1518"/>
      <c r="AK10" s="1518"/>
      <c r="AL10" s="1518"/>
      <c r="AM10" s="1518"/>
      <c r="AN10" s="1518"/>
      <c r="AO10" s="1518"/>
      <c r="AP10" s="1518"/>
      <c r="AQ10" s="1518"/>
      <c r="AR10" s="1518"/>
      <c r="AS10" s="1518"/>
      <c r="AT10" s="1046"/>
      <c r="AU10" s="1046"/>
      <c r="AV10" s="382"/>
      <c r="AW10" s="382"/>
      <c r="AX10" s="1542"/>
      <c r="AY10" s="1542"/>
      <c r="AZ10" s="1542"/>
      <c r="BA10" s="1542"/>
      <c r="BB10" s="1542"/>
      <c r="BC10" s="1542"/>
      <c r="BD10" s="1542"/>
      <c r="BE10" s="1542"/>
      <c r="BF10" s="1542"/>
      <c r="BG10" s="1542"/>
      <c r="BH10" s="1542"/>
      <c r="BI10" s="1542"/>
      <c r="BJ10" s="1542"/>
      <c r="BK10" s="1542"/>
      <c r="BL10" s="1542"/>
      <c r="BM10" s="1542"/>
      <c r="BN10" s="1542"/>
      <c r="BO10" s="1542"/>
      <c r="BP10" s="1542"/>
      <c r="BQ10" s="1542"/>
      <c r="BR10" s="1542"/>
      <c r="BS10" s="1542"/>
      <c r="BT10" s="1542"/>
      <c r="BU10" s="1542"/>
      <c r="BV10" s="1542"/>
      <c r="BW10" s="1542"/>
      <c r="BX10" s="1542"/>
      <c r="BY10" s="1542"/>
      <c r="BZ10" s="1542"/>
      <c r="CA10" s="1542"/>
      <c r="CB10" s="1542"/>
      <c r="CC10" s="1542"/>
      <c r="CD10" s="1542"/>
      <c r="CE10" s="1542"/>
      <c r="CF10" s="1542"/>
      <c r="CG10" s="1542"/>
      <c r="CH10" s="1542"/>
      <c r="CI10" s="1542"/>
      <c r="CJ10" s="1542"/>
      <c r="CK10" s="1542"/>
      <c r="CL10" s="1542"/>
      <c r="CM10" s="1542"/>
      <c r="CN10" s="1542"/>
      <c r="CO10" s="1542"/>
      <c r="CP10" s="1542"/>
      <c r="CQ10" s="1542"/>
      <c r="CR10" s="1542"/>
      <c r="CS10" s="1542"/>
      <c r="CT10" s="1542"/>
      <c r="CU10" s="1542"/>
      <c r="CV10" s="1542"/>
      <c r="CW10" s="1542"/>
      <c r="CX10" s="1542"/>
      <c r="CY10" s="1542"/>
      <c r="CZ10" s="1542"/>
      <c r="DA10" s="1542"/>
      <c r="DB10" s="1542"/>
      <c r="DC10" s="1542"/>
      <c r="DD10" s="1542"/>
      <c r="DE10" s="1542"/>
      <c r="DF10" s="1542"/>
      <c r="DG10" s="1542"/>
      <c r="DH10" s="1542"/>
      <c r="DI10" s="1542"/>
      <c r="DJ10" s="1542"/>
      <c r="DK10" s="1542"/>
      <c r="DL10" s="1542"/>
      <c r="DM10" s="1542"/>
      <c r="DN10" s="1542"/>
      <c r="DO10" s="1542"/>
      <c r="DP10" s="1542"/>
      <c r="DQ10" s="1542"/>
      <c r="DR10" s="1542"/>
      <c r="DS10" s="1542"/>
      <c r="DT10" s="1542"/>
      <c r="DU10" s="1542"/>
      <c r="DV10" s="1542"/>
      <c r="DW10" s="1542"/>
      <c r="DX10" s="1542"/>
      <c r="DY10" s="1542"/>
      <c r="DZ10" s="1542"/>
      <c r="EA10" s="1542"/>
      <c r="EB10" s="1542"/>
      <c r="EC10" s="1542"/>
      <c r="ED10" s="1542"/>
      <c r="EE10" s="1542"/>
      <c r="EF10" s="1042"/>
      <c r="EG10" s="1042"/>
      <c r="EH10" s="1543"/>
      <c r="EI10" s="1543"/>
      <c r="EJ10" s="1543"/>
      <c r="EK10" s="1543"/>
      <c r="EL10" s="1543"/>
      <c r="EM10" s="1543"/>
      <c r="EN10" s="1543"/>
      <c r="EO10" s="1543"/>
      <c r="EP10" s="1543"/>
      <c r="EQ10" s="1543"/>
      <c r="ER10" s="1543"/>
      <c r="ES10" s="1543"/>
      <c r="ET10" s="1543"/>
      <c r="EU10" s="1543"/>
      <c r="EV10" s="1543"/>
      <c r="EW10" s="1543"/>
      <c r="EX10" s="1543"/>
      <c r="EY10" s="1543"/>
      <c r="EZ10" s="1543"/>
    </row>
    <row r="11" spans="1:156" s="323" customFormat="1" ht="15" customHeight="1">
      <c r="A11" s="350"/>
      <c r="B11" s="381"/>
      <c r="C11" s="1510"/>
      <c r="D11" s="1510"/>
      <c r="E11" s="1510"/>
      <c r="F11" s="1510"/>
      <c r="G11" s="1510"/>
      <c r="H11" s="1510"/>
      <c r="I11" s="1510"/>
      <c r="J11" s="1510"/>
      <c r="K11" s="1510"/>
      <c r="L11" s="1510"/>
      <c r="M11" s="1510"/>
      <c r="N11" s="1510"/>
      <c r="O11" s="1510"/>
      <c r="P11" s="1510"/>
      <c r="Q11" s="1510"/>
      <c r="R11" s="205"/>
      <c r="S11" s="1046"/>
      <c r="T11" s="1518"/>
      <c r="U11" s="1518"/>
      <c r="V11" s="1518"/>
      <c r="W11" s="1518"/>
      <c r="X11" s="1518"/>
      <c r="Y11" s="1518"/>
      <c r="Z11" s="1518"/>
      <c r="AA11" s="1518"/>
      <c r="AB11" s="1518"/>
      <c r="AC11" s="1518"/>
      <c r="AD11" s="1518"/>
      <c r="AE11" s="1518"/>
      <c r="AF11" s="1518"/>
      <c r="AG11" s="1518"/>
      <c r="AH11" s="1518"/>
      <c r="AI11" s="1518"/>
      <c r="AJ11" s="1518"/>
      <c r="AK11" s="1518"/>
      <c r="AL11" s="1518"/>
      <c r="AM11" s="1518"/>
      <c r="AN11" s="1518"/>
      <c r="AO11" s="1518"/>
      <c r="AP11" s="1518"/>
      <c r="AQ11" s="1518"/>
      <c r="AR11" s="1518"/>
      <c r="AS11" s="1518"/>
      <c r="AT11" s="1046"/>
      <c r="AU11" s="1046"/>
      <c r="AV11" s="382"/>
      <c r="AW11" s="382"/>
      <c r="AX11" s="1542"/>
      <c r="AY11" s="1542"/>
      <c r="AZ11" s="1542"/>
      <c r="BA11" s="1542"/>
      <c r="BB11" s="1542"/>
      <c r="BC11" s="1542"/>
      <c r="BD11" s="1542"/>
      <c r="BE11" s="1542"/>
      <c r="BF11" s="1542"/>
      <c r="BG11" s="1542"/>
      <c r="BH11" s="1542"/>
      <c r="BI11" s="1542"/>
      <c r="BJ11" s="1542"/>
      <c r="BK11" s="1542"/>
      <c r="BL11" s="1542"/>
      <c r="BM11" s="1542"/>
      <c r="BN11" s="1542"/>
      <c r="BO11" s="1542"/>
      <c r="BP11" s="1542"/>
      <c r="BQ11" s="1542"/>
      <c r="BR11" s="1542"/>
      <c r="BS11" s="1542"/>
      <c r="BT11" s="1542"/>
      <c r="BU11" s="1542"/>
      <c r="BV11" s="1542"/>
      <c r="BW11" s="1542"/>
      <c r="BX11" s="1542"/>
      <c r="BY11" s="1542"/>
      <c r="BZ11" s="1542"/>
      <c r="CA11" s="1542"/>
      <c r="CB11" s="1542"/>
      <c r="CC11" s="1542"/>
      <c r="CD11" s="1542"/>
      <c r="CE11" s="1542"/>
      <c r="CF11" s="1542"/>
      <c r="CG11" s="1542"/>
      <c r="CH11" s="1542"/>
      <c r="CI11" s="1542"/>
      <c r="CJ11" s="1542"/>
      <c r="CK11" s="1542"/>
      <c r="CL11" s="1542"/>
      <c r="CM11" s="1542"/>
      <c r="CN11" s="1542"/>
      <c r="CO11" s="1542"/>
      <c r="CP11" s="1542"/>
      <c r="CQ11" s="1542"/>
      <c r="CR11" s="1542"/>
      <c r="CS11" s="1542"/>
      <c r="CT11" s="1542"/>
      <c r="CU11" s="1542"/>
      <c r="CV11" s="1542"/>
      <c r="CW11" s="1542"/>
      <c r="CX11" s="1542"/>
      <c r="CY11" s="1542"/>
      <c r="CZ11" s="1542"/>
      <c r="DA11" s="1542"/>
      <c r="DB11" s="1542"/>
      <c r="DC11" s="1542"/>
      <c r="DD11" s="1542"/>
      <c r="DE11" s="1542"/>
      <c r="DF11" s="1542"/>
      <c r="DG11" s="1542"/>
      <c r="DH11" s="1542"/>
      <c r="DI11" s="1542"/>
      <c r="DJ11" s="1542"/>
      <c r="DK11" s="1542"/>
      <c r="DL11" s="1542"/>
      <c r="DM11" s="1542"/>
      <c r="DN11" s="1542"/>
      <c r="DO11" s="1542"/>
      <c r="DP11" s="1542"/>
      <c r="DQ11" s="1542"/>
      <c r="DR11" s="1542"/>
      <c r="DS11" s="1542"/>
      <c r="DT11" s="1542"/>
      <c r="DU11" s="1542"/>
      <c r="DV11" s="1542"/>
      <c r="DW11" s="1542"/>
      <c r="DX11" s="1542"/>
      <c r="DY11" s="1542"/>
      <c r="DZ11" s="1542"/>
      <c r="EA11" s="1542"/>
      <c r="EB11" s="1542"/>
      <c r="EC11" s="1542"/>
      <c r="ED11" s="1542"/>
      <c r="EE11" s="1542"/>
      <c r="EF11" s="1042"/>
      <c r="EG11" s="1042"/>
      <c r="EH11" s="1543"/>
      <c r="EI11" s="1543"/>
      <c r="EJ11" s="1543"/>
      <c r="EK11" s="1543"/>
      <c r="EL11" s="1543"/>
      <c r="EM11" s="1543"/>
      <c r="EN11" s="1543"/>
      <c r="EO11" s="1543"/>
      <c r="EP11" s="1543"/>
      <c r="EQ11" s="1543"/>
      <c r="ER11" s="1543"/>
      <c r="ES11" s="1543"/>
      <c r="ET11" s="1543"/>
      <c r="EU11" s="1543"/>
      <c r="EV11" s="1543"/>
      <c r="EW11" s="1543"/>
      <c r="EX11" s="1543"/>
      <c r="EY11" s="1543"/>
      <c r="EZ11" s="1543"/>
    </row>
    <row r="12" spans="1:156" s="323" customFormat="1" ht="15" customHeight="1">
      <c r="A12" s="350"/>
      <c r="B12" s="381"/>
      <c r="C12" s="1510"/>
      <c r="D12" s="1510"/>
      <c r="E12" s="1510"/>
      <c r="F12" s="1510"/>
      <c r="G12" s="1510"/>
      <c r="H12" s="1510"/>
      <c r="I12" s="1510"/>
      <c r="J12" s="1510"/>
      <c r="K12" s="1510"/>
      <c r="L12" s="1510"/>
      <c r="M12" s="1510"/>
      <c r="N12" s="1510"/>
      <c r="O12" s="1510"/>
      <c r="P12" s="1510"/>
      <c r="Q12" s="1510"/>
      <c r="R12" s="205"/>
      <c r="S12" s="1046"/>
      <c r="T12" s="1518"/>
      <c r="U12" s="1518"/>
      <c r="V12" s="1518"/>
      <c r="W12" s="1518"/>
      <c r="X12" s="1518"/>
      <c r="Y12" s="1518"/>
      <c r="Z12" s="1518"/>
      <c r="AA12" s="1518"/>
      <c r="AB12" s="1518"/>
      <c r="AC12" s="1518"/>
      <c r="AD12" s="1518"/>
      <c r="AE12" s="1518"/>
      <c r="AF12" s="1518"/>
      <c r="AG12" s="1518"/>
      <c r="AH12" s="1518"/>
      <c r="AI12" s="1518"/>
      <c r="AJ12" s="1518"/>
      <c r="AK12" s="1518"/>
      <c r="AL12" s="1518"/>
      <c r="AM12" s="1518"/>
      <c r="AN12" s="1518"/>
      <c r="AO12" s="1518"/>
      <c r="AP12" s="1518"/>
      <c r="AQ12" s="1518"/>
      <c r="AR12" s="1518"/>
      <c r="AS12" s="1518"/>
      <c r="AT12" s="1046"/>
      <c r="AU12" s="1046"/>
      <c r="AV12" s="382"/>
      <c r="AW12" s="382"/>
      <c r="AX12" s="1542"/>
      <c r="AY12" s="1542"/>
      <c r="AZ12" s="1542"/>
      <c r="BA12" s="1542"/>
      <c r="BB12" s="1542"/>
      <c r="BC12" s="1542"/>
      <c r="BD12" s="1542"/>
      <c r="BE12" s="1542"/>
      <c r="BF12" s="1542"/>
      <c r="BG12" s="1542"/>
      <c r="BH12" s="1542"/>
      <c r="BI12" s="1542"/>
      <c r="BJ12" s="1542"/>
      <c r="BK12" s="1542"/>
      <c r="BL12" s="1542"/>
      <c r="BM12" s="1542"/>
      <c r="BN12" s="1542"/>
      <c r="BO12" s="1542"/>
      <c r="BP12" s="1542"/>
      <c r="BQ12" s="1542"/>
      <c r="BR12" s="1542"/>
      <c r="BS12" s="1542"/>
      <c r="BT12" s="1542"/>
      <c r="BU12" s="1542"/>
      <c r="BV12" s="1542"/>
      <c r="BW12" s="1542"/>
      <c r="BX12" s="1542"/>
      <c r="BY12" s="1542"/>
      <c r="BZ12" s="1542"/>
      <c r="CA12" s="1542"/>
      <c r="CB12" s="1542"/>
      <c r="CC12" s="1542"/>
      <c r="CD12" s="1542"/>
      <c r="CE12" s="1542"/>
      <c r="CF12" s="1542"/>
      <c r="CG12" s="1542"/>
      <c r="CH12" s="1542"/>
      <c r="CI12" s="1542"/>
      <c r="CJ12" s="1542"/>
      <c r="CK12" s="1542"/>
      <c r="CL12" s="1542"/>
      <c r="CM12" s="1542"/>
      <c r="CN12" s="1542"/>
      <c r="CO12" s="1542"/>
      <c r="CP12" s="1542"/>
      <c r="CQ12" s="1542"/>
      <c r="CR12" s="1542"/>
      <c r="CS12" s="1542"/>
      <c r="CT12" s="1542"/>
      <c r="CU12" s="1542"/>
      <c r="CV12" s="1542"/>
      <c r="CW12" s="1542"/>
      <c r="CX12" s="1542"/>
      <c r="CY12" s="1542"/>
      <c r="CZ12" s="1542"/>
      <c r="DA12" s="1542"/>
      <c r="DB12" s="1542"/>
      <c r="DC12" s="1542"/>
      <c r="DD12" s="1542"/>
      <c r="DE12" s="1542"/>
      <c r="DF12" s="1542"/>
      <c r="DG12" s="1542"/>
      <c r="DH12" s="1542"/>
      <c r="DI12" s="1542"/>
      <c r="DJ12" s="1542"/>
      <c r="DK12" s="1542"/>
      <c r="DL12" s="1542"/>
      <c r="DM12" s="1542"/>
      <c r="DN12" s="1542"/>
      <c r="DO12" s="1542"/>
      <c r="DP12" s="1542"/>
      <c r="DQ12" s="1542"/>
      <c r="DR12" s="1542"/>
      <c r="DS12" s="1542"/>
      <c r="DT12" s="1542"/>
      <c r="DU12" s="1542"/>
      <c r="DV12" s="1542"/>
      <c r="DW12" s="1542"/>
      <c r="DX12" s="1542"/>
      <c r="DY12" s="1542"/>
      <c r="DZ12" s="1542"/>
      <c r="EA12" s="1542"/>
      <c r="EB12" s="1542"/>
      <c r="EC12" s="1542"/>
      <c r="ED12" s="1542"/>
      <c r="EE12" s="1542"/>
      <c r="EF12" s="1042"/>
      <c r="EG12" s="1042"/>
      <c r="EH12" s="1543"/>
      <c r="EI12" s="1543"/>
      <c r="EJ12" s="1543"/>
      <c r="EK12" s="1543"/>
      <c r="EL12" s="1543"/>
      <c r="EM12" s="1543"/>
      <c r="EN12" s="1543"/>
      <c r="EO12" s="1543"/>
      <c r="EP12" s="1543"/>
      <c r="EQ12" s="1543"/>
      <c r="ER12" s="1543"/>
      <c r="ES12" s="1543"/>
      <c r="ET12" s="1543"/>
      <c r="EU12" s="1543"/>
      <c r="EV12" s="1543"/>
      <c r="EW12" s="1543"/>
      <c r="EX12" s="1543"/>
      <c r="EY12" s="1543"/>
      <c r="EZ12" s="1543"/>
    </row>
    <row r="13" spans="1:156" s="323" customFormat="1" ht="15" customHeight="1">
      <c r="A13" s="350"/>
      <c r="B13" s="381"/>
      <c r="C13" s="1510"/>
      <c r="D13" s="1510"/>
      <c r="E13" s="1510"/>
      <c r="F13" s="1510"/>
      <c r="G13" s="1510"/>
      <c r="H13" s="1510"/>
      <c r="I13" s="1510"/>
      <c r="J13" s="1510"/>
      <c r="K13" s="1510"/>
      <c r="L13" s="1510"/>
      <c r="M13" s="1510"/>
      <c r="N13" s="1510"/>
      <c r="O13" s="1510"/>
      <c r="P13" s="1510"/>
      <c r="Q13" s="1510"/>
      <c r="R13" s="205"/>
      <c r="S13" s="1046"/>
      <c r="T13" s="1518"/>
      <c r="U13" s="1518"/>
      <c r="V13" s="1518"/>
      <c r="W13" s="1518"/>
      <c r="X13" s="1518"/>
      <c r="Y13" s="1518"/>
      <c r="Z13" s="1518"/>
      <c r="AA13" s="1518"/>
      <c r="AB13" s="1518"/>
      <c r="AC13" s="1518"/>
      <c r="AD13" s="1518"/>
      <c r="AE13" s="1518"/>
      <c r="AF13" s="1518"/>
      <c r="AG13" s="1518"/>
      <c r="AH13" s="1518"/>
      <c r="AI13" s="1518"/>
      <c r="AJ13" s="1518"/>
      <c r="AK13" s="1518"/>
      <c r="AL13" s="1518"/>
      <c r="AM13" s="1518"/>
      <c r="AN13" s="1518"/>
      <c r="AO13" s="1518"/>
      <c r="AP13" s="1518"/>
      <c r="AQ13" s="1518"/>
      <c r="AR13" s="1518"/>
      <c r="AS13" s="1518"/>
      <c r="AT13" s="1046"/>
      <c r="AU13" s="1046"/>
      <c r="AV13" s="382"/>
      <c r="AW13" s="382"/>
      <c r="AX13" s="1542"/>
      <c r="AY13" s="1542"/>
      <c r="AZ13" s="1542"/>
      <c r="BA13" s="1542"/>
      <c r="BB13" s="1542"/>
      <c r="BC13" s="1542"/>
      <c r="BD13" s="1542"/>
      <c r="BE13" s="1542"/>
      <c r="BF13" s="1542"/>
      <c r="BG13" s="1542"/>
      <c r="BH13" s="1542"/>
      <c r="BI13" s="1542"/>
      <c r="BJ13" s="1542"/>
      <c r="BK13" s="1542"/>
      <c r="BL13" s="1542"/>
      <c r="BM13" s="1542"/>
      <c r="BN13" s="1542"/>
      <c r="BO13" s="1542"/>
      <c r="BP13" s="1542"/>
      <c r="BQ13" s="1542"/>
      <c r="BR13" s="1542"/>
      <c r="BS13" s="1542"/>
      <c r="BT13" s="1542"/>
      <c r="BU13" s="1542"/>
      <c r="BV13" s="1542"/>
      <c r="BW13" s="1542"/>
      <c r="BX13" s="1542"/>
      <c r="BY13" s="1542"/>
      <c r="BZ13" s="1542"/>
      <c r="CA13" s="1542"/>
      <c r="CB13" s="1542"/>
      <c r="CC13" s="1542"/>
      <c r="CD13" s="1542"/>
      <c r="CE13" s="1542"/>
      <c r="CF13" s="1542"/>
      <c r="CG13" s="1542"/>
      <c r="CH13" s="1542"/>
      <c r="CI13" s="1542"/>
      <c r="CJ13" s="1542"/>
      <c r="CK13" s="1542"/>
      <c r="CL13" s="1542"/>
      <c r="CM13" s="1542"/>
      <c r="CN13" s="1542"/>
      <c r="CO13" s="1542"/>
      <c r="CP13" s="1542"/>
      <c r="CQ13" s="1542"/>
      <c r="CR13" s="1542"/>
      <c r="CS13" s="1542"/>
      <c r="CT13" s="1542"/>
      <c r="CU13" s="1542"/>
      <c r="CV13" s="1542"/>
      <c r="CW13" s="1542"/>
      <c r="CX13" s="1542"/>
      <c r="CY13" s="1542"/>
      <c r="CZ13" s="1542"/>
      <c r="DA13" s="1542"/>
      <c r="DB13" s="1542"/>
      <c r="DC13" s="1542"/>
      <c r="DD13" s="1542"/>
      <c r="DE13" s="1542"/>
      <c r="DF13" s="1542"/>
      <c r="DG13" s="1542"/>
      <c r="DH13" s="1542"/>
      <c r="DI13" s="1542"/>
      <c r="DJ13" s="1542"/>
      <c r="DK13" s="1542"/>
      <c r="DL13" s="1542"/>
      <c r="DM13" s="1542"/>
      <c r="DN13" s="1542"/>
      <c r="DO13" s="1542"/>
      <c r="DP13" s="1542"/>
      <c r="DQ13" s="1542"/>
      <c r="DR13" s="1542"/>
      <c r="DS13" s="1542"/>
      <c r="DT13" s="1542"/>
      <c r="DU13" s="1542"/>
      <c r="DV13" s="1542"/>
      <c r="DW13" s="1542"/>
      <c r="DX13" s="1542"/>
      <c r="DY13" s="1542"/>
      <c r="DZ13" s="1542"/>
      <c r="EA13" s="1542"/>
      <c r="EB13" s="1542"/>
      <c r="EC13" s="1542"/>
      <c r="ED13" s="1542"/>
      <c r="EE13" s="1542"/>
      <c r="EF13" s="1042"/>
      <c r="EG13" s="1042"/>
      <c r="EH13" s="1543"/>
      <c r="EI13" s="1543"/>
      <c r="EJ13" s="1543"/>
      <c r="EK13" s="1543"/>
      <c r="EL13" s="1543"/>
      <c r="EM13" s="1543"/>
      <c r="EN13" s="1543"/>
      <c r="EO13" s="1543"/>
      <c r="EP13" s="1543"/>
      <c r="EQ13" s="1543"/>
      <c r="ER13" s="1543"/>
      <c r="ES13" s="1543"/>
      <c r="ET13" s="1543"/>
      <c r="EU13" s="1543"/>
      <c r="EV13" s="1543"/>
      <c r="EW13" s="1543"/>
      <c r="EX13" s="1543"/>
      <c r="EY13" s="1543"/>
      <c r="EZ13" s="1543"/>
    </row>
    <row r="14" spans="1:156" s="323" customFormat="1" ht="15" customHeight="1">
      <c r="A14" s="350"/>
      <c r="B14" s="381"/>
      <c r="C14" s="1510"/>
      <c r="D14" s="1510"/>
      <c r="E14" s="1510"/>
      <c r="F14" s="1510"/>
      <c r="G14" s="1510"/>
      <c r="H14" s="1510"/>
      <c r="I14" s="1510"/>
      <c r="J14" s="1510"/>
      <c r="K14" s="1510"/>
      <c r="L14" s="1510"/>
      <c r="M14" s="1510"/>
      <c r="N14" s="1510"/>
      <c r="O14" s="1510"/>
      <c r="P14" s="1510"/>
      <c r="Q14" s="1510"/>
      <c r="R14" s="205"/>
      <c r="S14" s="1046"/>
      <c r="T14" s="1518"/>
      <c r="U14" s="1518"/>
      <c r="V14" s="1518"/>
      <c r="W14" s="1518"/>
      <c r="X14" s="1518"/>
      <c r="Y14" s="1518"/>
      <c r="Z14" s="1518"/>
      <c r="AA14" s="1518"/>
      <c r="AB14" s="1518"/>
      <c r="AC14" s="1518"/>
      <c r="AD14" s="1518"/>
      <c r="AE14" s="1518"/>
      <c r="AF14" s="1518"/>
      <c r="AG14" s="1518"/>
      <c r="AH14" s="1518"/>
      <c r="AI14" s="1518"/>
      <c r="AJ14" s="1518"/>
      <c r="AK14" s="1518"/>
      <c r="AL14" s="1518"/>
      <c r="AM14" s="1518"/>
      <c r="AN14" s="1518"/>
      <c r="AO14" s="1518"/>
      <c r="AP14" s="1518"/>
      <c r="AQ14" s="1518"/>
      <c r="AR14" s="1518"/>
      <c r="AS14" s="1518"/>
      <c r="AT14" s="1046"/>
      <c r="AU14" s="1046"/>
      <c r="AV14" s="382"/>
      <c r="AW14" s="382"/>
      <c r="AX14" s="1542"/>
      <c r="AY14" s="1542"/>
      <c r="AZ14" s="1542"/>
      <c r="BA14" s="1542"/>
      <c r="BB14" s="1542"/>
      <c r="BC14" s="1542"/>
      <c r="BD14" s="1542"/>
      <c r="BE14" s="1542"/>
      <c r="BF14" s="1542"/>
      <c r="BG14" s="1542"/>
      <c r="BH14" s="1542"/>
      <c r="BI14" s="1542"/>
      <c r="BJ14" s="1542"/>
      <c r="BK14" s="1542"/>
      <c r="BL14" s="1542"/>
      <c r="BM14" s="1542"/>
      <c r="BN14" s="1542"/>
      <c r="BO14" s="1542"/>
      <c r="BP14" s="1542"/>
      <c r="BQ14" s="1542"/>
      <c r="BR14" s="1542"/>
      <c r="BS14" s="1542"/>
      <c r="BT14" s="1542"/>
      <c r="BU14" s="1542"/>
      <c r="BV14" s="1542"/>
      <c r="BW14" s="1542"/>
      <c r="BX14" s="1542"/>
      <c r="BY14" s="1542"/>
      <c r="BZ14" s="1542"/>
      <c r="CA14" s="1542"/>
      <c r="CB14" s="1542"/>
      <c r="CC14" s="1542"/>
      <c r="CD14" s="1542"/>
      <c r="CE14" s="1542"/>
      <c r="CF14" s="1542"/>
      <c r="CG14" s="1542"/>
      <c r="CH14" s="1542"/>
      <c r="CI14" s="1542"/>
      <c r="CJ14" s="1542"/>
      <c r="CK14" s="1542"/>
      <c r="CL14" s="1542"/>
      <c r="CM14" s="1542"/>
      <c r="CN14" s="1542"/>
      <c r="CO14" s="1542"/>
      <c r="CP14" s="1542"/>
      <c r="CQ14" s="1542"/>
      <c r="CR14" s="1542"/>
      <c r="CS14" s="1542"/>
      <c r="CT14" s="1542"/>
      <c r="CU14" s="1542"/>
      <c r="CV14" s="1542"/>
      <c r="CW14" s="1542"/>
      <c r="CX14" s="1542"/>
      <c r="CY14" s="1542"/>
      <c r="CZ14" s="1542"/>
      <c r="DA14" s="1542"/>
      <c r="DB14" s="1542"/>
      <c r="DC14" s="1542"/>
      <c r="DD14" s="1542"/>
      <c r="DE14" s="1542"/>
      <c r="DF14" s="1542"/>
      <c r="DG14" s="1542"/>
      <c r="DH14" s="1542"/>
      <c r="DI14" s="1542"/>
      <c r="DJ14" s="1542"/>
      <c r="DK14" s="1542"/>
      <c r="DL14" s="1542"/>
      <c r="DM14" s="1542"/>
      <c r="DN14" s="1542"/>
      <c r="DO14" s="1542"/>
      <c r="DP14" s="1542"/>
      <c r="DQ14" s="1542"/>
      <c r="DR14" s="1542"/>
      <c r="DS14" s="1542"/>
      <c r="DT14" s="1542"/>
      <c r="DU14" s="1542"/>
      <c r="DV14" s="1542"/>
      <c r="DW14" s="1542"/>
      <c r="DX14" s="1542"/>
      <c r="DY14" s="1542"/>
      <c r="DZ14" s="1542"/>
      <c r="EA14" s="1542"/>
      <c r="EB14" s="1542"/>
      <c r="EC14" s="1542"/>
      <c r="ED14" s="1542"/>
      <c r="EE14" s="1542"/>
      <c r="EF14" s="1042"/>
      <c r="EG14" s="1042"/>
      <c r="EH14" s="1543"/>
      <c r="EI14" s="1543"/>
      <c r="EJ14" s="1543"/>
      <c r="EK14" s="1543"/>
      <c r="EL14" s="1543"/>
      <c r="EM14" s="1543"/>
      <c r="EN14" s="1543"/>
      <c r="EO14" s="1543"/>
      <c r="EP14" s="1543"/>
      <c r="EQ14" s="1543"/>
      <c r="ER14" s="1543"/>
      <c r="ES14" s="1543"/>
      <c r="ET14" s="1543"/>
      <c r="EU14" s="1543"/>
      <c r="EV14" s="1543"/>
      <c r="EW14" s="1543"/>
      <c r="EX14" s="1543"/>
      <c r="EY14" s="1543"/>
      <c r="EZ14" s="1543"/>
    </row>
    <row r="15" spans="1:156" s="323" customFormat="1" ht="15" customHeight="1">
      <c r="A15" s="350"/>
      <c r="B15" s="381"/>
      <c r="C15" s="1510"/>
      <c r="D15" s="1510"/>
      <c r="E15" s="1510"/>
      <c r="F15" s="1510"/>
      <c r="G15" s="1510"/>
      <c r="H15" s="1510"/>
      <c r="I15" s="1510"/>
      <c r="J15" s="1510"/>
      <c r="K15" s="1510"/>
      <c r="L15" s="1510"/>
      <c r="M15" s="1510"/>
      <c r="N15" s="1510"/>
      <c r="O15" s="1510"/>
      <c r="P15" s="1510"/>
      <c r="Q15" s="1510"/>
      <c r="R15" s="205"/>
      <c r="S15" s="1046"/>
      <c r="T15" s="1518"/>
      <c r="U15" s="1518"/>
      <c r="V15" s="1518"/>
      <c r="W15" s="1518"/>
      <c r="X15" s="1518"/>
      <c r="Y15" s="1518"/>
      <c r="Z15" s="1518"/>
      <c r="AA15" s="1518"/>
      <c r="AB15" s="1518"/>
      <c r="AC15" s="1518"/>
      <c r="AD15" s="1518"/>
      <c r="AE15" s="1518"/>
      <c r="AF15" s="1518"/>
      <c r="AG15" s="1518"/>
      <c r="AH15" s="1518"/>
      <c r="AI15" s="1518"/>
      <c r="AJ15" s="1518"/>
      <c r="AK15" s="1518"/>
      <c r="AL15" s="1518"/>
      <c r="AM15" s="1518"/>
      <c r="AN15" s="1518"/>
      <c r="AO15" s="1518"/>
      <c r="AP15" s="1518"/>
      <c r="AQ15" s="1518"/>
      <c r="AR15" s="1518"/>
      <c r="AS15" s="1518"/>
      <c r="AT15" s="1046"/>
      <c r="AU15" s="1046"/>
      <c r="AV15" s="382"/>
      <c r="AW15" s="382"/>
      <c r="AX15" s="1542"/>
      <c r="AY15" s="1542"/>
      <c r="AZ15" s="1542"/>
      <c r="BA15" s="1542"/>
      <c r="BB15" s="1542"/>
      <c r="BC15" s="1542"/>
      <c r="BD15" s="1542"/>
      <c r="BE15" s="1542"/>
      <c r="BF15" s="1542"/>
      <c r="BG15" s="1542"/>
      <c r="BH15" s="1542"/>
      <c r="BI15" s="1542"/>
      <c r="BJ15" s="1542"/>
      <c r="BK15" s="1542"/>
      <c r="BL15" s="1542"/>
      <c r="BM15" s="1542"/>
      <c r="BN15" s="1542"/>
      <c r="BO15" s="1542"/>
      <c r="BP15" s="1542"/>
      <c r="BQ15" s="1542"/>
      <c r="BR15" s="1542"/>
      <c r="BS15" s="1542"/>
      <c r="BT15" s="1542"/>
      <c r="BU15" s="1542"/>
      <c r="BV15" s="1542"/>
      <c r="BW15" s="1542"/>
      <c r="BX15" s="1542"/>
      <c r="BY15" s="1542"/>
      <c r="BZ15" s="1542"/>
      <c r="CA15" s="1542"/>
      <c r="CB15" s="1542"/>
      <c r="CC15" s="1542"/>
      <c r="CD15" s="1542"/>
      <c r="CE15" s="1542"/>
      <c r="CF15" s="1542"/>
      <c r="CG15" s="1542"/>
      <c r="CH15" s="1542"/>
      <c r="CI15" s="1542"/>
      <c r="CJ15" s="1542"/>
      <c r="CK15" s="1542"/>
      <c r="CL15" s="1542"/>
      <c r="CM15" s="1542"/>
      <c r="CN15" s="1542"/>
      <c r="CO15" s="1542"/>
      <c r="CP15" s="1542"/>
      <c r="CQ15" s="1542"/>
      <c r="CR15" s="1542"/>
      <c r="CS15" s="1542"/>
      <c r="CT15" s="1542"/>
      <c r="CU15" s="1542"/>
      <c r="CV15" s="1542"/>
      <c r="CW15" s="1542"/>
      <c r="CX15" s="1542"/>
      <c r="CY15" s="1542"/>
      <c r="CZ15" s="1542"/>
      <c r="DA15" s="1542"/>
      <c r="DB15" s="1542"/>
      <c r="DC15" s="1542"/>
      <c r="DD15" s="1542"/>
      <c r="DE15" s="1542"/>
      <c r="DF15" s="1542"/>
      <c r="DG15" s="1542"/>
      <c r="DH15" s="1542"/>
      <c r="DI15" s="1542"/>
      <c r="DJ15" s="1542"/>
      <c r="DK15" s="1542"/>
      <c r="DL15" s="1542"/>
      <c r="DM15" s="1542"/>
      <c r="DN15" s="1542"/>
      <c r="DO15" s="1542"/>
      <c r="DP15" s="1542"/>
      <c r="DQ15" s="1542"/>
      <c r="DR15" s="1542"/>
      <c r="DS15" s="1542"/>
      <c r="DT15" s="1542"/>
      <c r="DU15" s="1542"/>
      <c r="DV15" s="1542"/>
      <c r="DW15" s="1542"/>
      <c r="DX15" s="1542"/>
      <c r="DY15" s="1542"/>
      <c r="DZ15" s="1542"/>
      <c r="EA15" s="1542"/>
      <c r="EB15" s="1542"/>
      <c r="EC15" s="1542"/>
      <c r="ED15" s="1542"/>
      <c r="EE15" s="1542"/>
      <c r="EF15" s="1042"/>
      <c r="EG15" s="1042"/>
      <c r="EH15" s="1543"/>
      <c r="EI15" s="1543"/>
      <c r="EJ15" s="1543"/>
      <c r="EK15" s="1543"/>
      <c r="EL15" s="1543"/>
      <c r="EM15" s="1543"/>
      <c r="EN15" s="1543"/>
      <c r="EO15" s="1543"/>
      <c r="EP15" s="1543"/>
      <c r="EQ15" s="1543"/>
      <c r="ER15" s="1543"/>
      <c r="ES15" s="1543"/>
      <c r="ET15" s="1543"/>
      <c r="EU15" s="1543"/>
      <c r="EV15" s="1543"/>
      <c r="EW15" s="1543"/>
      <c r="EX15" s="1543"/>
      <c r="EY15" s="1543"/>
      <c r="EZ15" s="1543"/>
    </row>
    <row r="16" spans="1:156" s="323" customFormat="1" ht="15" customHeight="1">
      <c r="A16" s="350"/>
      <c r="B16" s="381"/>
      <c r="C16" s="1510"/>
      <c r="D16" s="1510"/>
      <c r="E16" s="1510"/>
      <c r="F16" s="1510"/>
      <c r="G16" s="1510"/>
      <c r="H16" s="1510"/>
      <c r="I16" s="1510"/>
      <c r="J16" s="1510"/>
      <c r="K16" s="1510"/>
      <c r="L16" s="1510"/>
      <c r="M16" s="1510"/>
      <c r="N16" s="1510"/>
      <c r="O16" s="1510"/>
      <c r="P16" s="1510"/>
      <c r="Q16" s="1510"/>
      <c r="R16" s="205"/>
      <c r="S16" s="1046"/>
      <c r="T16" s="1518"/>
      <c r="U16" s="1518"/>
      <c r="V16" s="1518"/>
      <c r="W16" s="1518"/>
      <c r="X16" s="1518"/>
      <c r="Y16" s="1518"/>
      <c r="Z16" s="1518"/>
      <c r="AA16" s="1518"/>
      <c r="AB16" s="1518"/>
      <c r="AC16" s="1518"/>
      <c r="AD16" s="1518"/>
      <c r="AE16" s="1518"/>
      <c r="AF16" s="1518"/>
      <c r="AG16" s="1518"/>
      <c r="AH16" s="1518"/>
      <c r="AI16" s="1518"/>
      <c r="AJ16" s="1518"/>
      <c r="AK16" s="1518"/>
      <c r="AL16" s="1518"/>
      <c r="AM16" s="1518"/>
      <c r="AN16" s="1518"/>
      <c r="AO16" s="1518"/>
      <c r="AP16" s="1518"/>
      <c r="AQ16" s="1518"/>
      <c r="AR16" s="1518"/>
      <c r="AS16" s="1518"/>
      <c r="AT16" s="1046"/>
      <c r="AU16" s="1046"/>
      <c r="AV16" s="382"/>
      <c r="AW16" s="382"/>
      <c r="AX16" s="1542"/>
      <c r="AY16" s="1542"/>
      <c r="AZ16" s="1542"/>
      <c r="BA16" s="1542"/>
      <c r="BB16" s="1542"/>
      <c r="BC16" s="1542"/>
      <c r="BD16" s="1542"/>
      <c r="BE16" s="1542"/>
      <c r="BF16" s="1542"/>
      <c r="BG16" s="1542"/>
      <c r="BH16" s="1542"/>
      <c r="BI16" s="1542"/>
      <c r="BJ16" s="1542"/>
      <c r="BK16" s="1542"/>
      <c r="BL16" s="1542"/>
      <c r="BM16" s="1542"/>
      <c r="BN16" s="1542"/>
      <c r="BO16" s="1542"/>
      <c r="BP16" s="1542"/>
      <c r="BQ16" s="1542"/>
      <c r="BR16" s="1542"/>
      <c r="BS16" s="1542"/>
      <c r="BT16" s="1542"/>
      <c r="BU16" s="1542"/>
      <c r="BV16" s="1542"/>
      <c r="BW16" s="1542"/>
      <c r="BX16" s="1542"/>
      <c r="BY16" s="1542"/>
      <c r="BZ16" s="1542"/>
      <c r="CA16" s="1542"/>
      <c r="CB16" s="1542"/>
      <c r="CC16" s="1542"/>
      <c r="CD16" s="1542"/>
      <c r="CE16" s="1542"/>
      <c r="CF16" s="1542"/>
      <c r="CG16" s="1542"/>
      <c r="CH16" s="1542"/>
      <c r="CI16" s="1542"/>
      <c r="CJ16" s="1542"/>
      <c r="CK16" s="1542"/>
      <c r="CL16" s="1542"/>
      <c r="CM16" s="1542"/>
      <c r="CN16" s="1542"/>
      <c r="CO16" s="1542"/>
      <c r="CP16" s="1542"/>
      <c r="CQ16" s="1542"/>
      <c r="CR16" s="1542"/>
      <c r="CS16" s="1542"/>
      <c r="CT16" s="1542"/>
      <c r="CU16" s="1542"/>
      <c r="CV16" s="1542"/>
      <c r="CW16" s="1542"/>
      <c r="CX16" s="1542"/>
      <c r="CY16" s="1542"/>
      <c r="CZ16" s="1542"/>
      <c r="DA16" s="1542"/>
      <c r="DB16" s="1542"/>
      <c r="DC16" s="1542"/>
      <c r="DD16" s="1542"/>
      <c r="DE16" s="1542"/>
      <c r="DF16" s="1542"/>
      <c r="DG16" s="1542"/>
      <c r="DH16" s="1542"/>
      <c r="DI16" s="1542"/>
      <c r="DJ16" s="1542"/>
      <c r="DK16" s="1542"/>
      <c r="DL16" s="1542"/>
      <c r="DM16" s="1542"/>
      <c r="DN16" s="1542"/>
      <c r="DO16" s="1542"/>
      <c r="DP16" s="1542"/>
      <c r="DQ16" s="1542"/>
      <c r="DR16" s="1542"/>
      <c r="DS16" s="1542"/>
      <c r="DT16" s="1542"/>
      <c r="DU16" s="1542"/>
      <c r="DV16" s="1542"/>
      <c r="DW16" s="1542"/>
      <c r="DX16" s="1542"/>
      <c r="DY16" s="1542"/>
      <c r="DZ16" s="1542"/>
      <c r="EA16" s="1542"/>
      <c r="EB16" s="1542"/>
      <c r="EC16" s="1542"/>
      <c r="ED16" s="1542"/>
      <c r="EE16" s="1542"/>
      <c r="EF16" s="1042"/>
      <c r="EG16" s="1042"/>
      <c r="EH16" s="1543"/>
      <c r="EI16" s="1543"/>
      <c r="EJ16" s="1543"/>
      <c r="EK16" s="1543"/>
      <c r="EL16" s="1543"/>
      <c r="EM16" s="1543"/>
      <c r="EN16" s="1543"/>
      <c r="EO16" s="1543"/>
      <c r="EP16" s="1543"/>
      <c r="EQ16" s="1543"/>
      <c r="ER16" s="1543"/>
      <c r="ES16" s="1543"/>
      <c r="ET16" s="1543"/>
      <c r="EU16" s="1543"/>
      <c r="EV16" s="1543"/>
      <c r="EW16" s="1543"/>
      <c r="EX16" s="1543"/>
      <c r="EY16" s="1543"/>
      <c r="EZ16" s="1543"/>
    </row>
    <row r="17" spans="1:156" s="323" customFormat="1" ht="15" customHeight="1">
      <c r="A17" s="350"/>
      <c r="B17" s="381"/>
      <c r="C17" s="1510"/>
      <c r="D17" s="1510"/>
      <c r="E17" s="1510"/>
      <c r="F17" s="1510"/>
      <c r="G17" s="1510"/>
      <c r="H17" s="1510"/>
      <c r="I17" s="1510"/>
      <c r="J17" s="1510"/>
      <c r="K17" s="1510"/>
      <c r="L17" s="1510"/>
      <c r="M17" s="1510"/>
      <c r="N17" s="1510"/>
      <c r="O17" s="1510"/>
      <c r="P17" s="1510"/>
      <c r="Q17" s="1510"/>
      <c r="R17" s="205"/>
      <c r="S17" s="1046"/>
      <c r="T17" s="1518"/>
      <c r="U17" s="1518"/>
      <c r="V17" s="1518"/>
      <c r="W17" s="1518"/>
      <c r="X17" s="1518"/>
      <c r="Y17" s="1518"/>
      <c r="Z17" s="1518"/>
      <c r="AA17" s="1518"/>
      <c r="AB17" s="1518"/>
      <c r="AC17" s="1518"/>
      <c r="AD17" s="1518"/>
      <c r="AE17" s="1518"/>
      <c r="AF17" s="1518"/>
      <c r="AG17" s="1518"/>
      <c r="AH17" s="1518"/>
      <c r="AI17" s="1518"/>
      <c r="AJ17" s="1518"/>
      <c r="AK17" s="1518"/>
      <c r="AL17" s="1518"/>
      <c r="AM17" s="1518"/>
      <c r="AN17" s="1518"/>
      <c r="AO17" s="1518"/>
      <c r="AP17" s="1518"/>
      <c r="AQ17" s="1518"/>
      <c r="AR17" s="1518"/>
      <c r="AS17" s="1518"/>
      <c r="AT17" s="1046"/>
      <c r="AU17" s="1046"/>
      <c r="AV17" s="382"/>
      <c r="AW17" s="382"/>
      <c r="AX17" s="1542"/>
      <c r="AY17" s="1542"/>
      <c r="AZ17" s="1542"/>
      <c r="BA17" s="1542"/>
      <c r="BB17" s="1542"/>
      <c r="BC17" s="1542"/>
      <c r="BD17" s="1542"/>
      <c r="BE17" s="1542"/>
      <c r="BF17" s="1542"/>
      <c r="BG17" s="1542"/>
      <c r="BH17" s="1542"/>
      <c r="BI17" s="1542"/>
      <c r="BJ17" s="1542"/>
      <c r="BK17" s="1542"/>
      <c r="BL17" s="1542"/>
      <c r="BM17" s="1542"/>
      <c r="BN17" s="1542"/>
      <c r="BO17" s="1542"/>
      <c r="BP17" s="1542"/>
      <c r="BQ17" s="1542"/>
      <c r="BR17" s="1542"/>
      <c r="BS17" s="1542"/>
      <c r="BT17" s="1542"/>
      <c r="BU17" s="1542"/>
      <c r="BV17" s="1542"/>
      <c r="BW17" s="1542"/>
      <c r="BX17" s="1542"/>
      <c r="BY17" s="1542"/>
      <c r="BZ17" s="1542"/>
      <c r="CA17" s="1542"/>
      <c r="CB17" s="1542"/>
      <c r="CC17" s="1542"/>
      <c r="CD17" s="1542"/>
      <c r="CE17" s="1542"/>
      <c r="CF17" s="1542"/>
      <c r="CG17" s="1542"/>
      <c r="CH17" s="1542"/>
      <c r="CI17" s="1542"/>
      <c r="CJ17" s="1542"/>
      <c r="CK17" s="1542"/>
      <c r="CL17" s="1542"/>
      <c r="CM17" s="1542"/>
      <c r="CN17" s="1542"/>
      <c r="CO17" s="1542"/>
      <c r="CP17" s="1542"/>
      <c r="CQ17" s="1542"/>
      <c r="CR17" s="1542"/>
      <c r="CS17" s="1542"/>
      <c r="CT17" s="1542"/>
      <c r="CU17" s="1542"/>
      <c r="CV17" s="1542"/>
      <c r="CW17" s="1542"/>
      <c r="CX17" s="1542"/>
      <c r="CY17" s="1542"/>
      <c r="CZ17" s="1542"/>
      <c r="DA17" s="1542"/>
      <c r="DB17" s="1542"/>
      <c r="DC17" s="1542"/>
      <c r="DD17" s="1542"/>
      <c r="DE17" s="1542"/>
      <c r="DF17" s="1542"/>
      <c r="DG17" s="1542"/>
      <c r="DH17" s="1542"/>
      <c r="DI17" s="1542"/>
      <c r="DJ17" s="1542"/>
      <c r="DK17" s="1542"/>
      <c r="DL17" s="1542"/>
      <c r="DM17" s="1542"/>
      <c r="DN17" s="1542"/>
      <c r="DO17" s="1542"/>
      <c r="DP17" s="1542"/>
      <c r="DQ17" s="1542"/>
      <c r="DR17" s="1542"/>
      <c r="DS17" s="1542"/>
      <c r="DT17" s="1542"/>
      <c r="DU17" s="1542"/>
      <c r="DV17" s="1542"/>
      <c r="DW17" s="1542"/>
      <c r="DX17" s="1542"/>
      <c r="DY17" s="1542"/>
      <c r="DZ17" s="1542"/>
      <c r="EA17" s="1542"/>
      <c r="EB17" s="1542"/>
      <c r="EC17" s="1542"/>
      <c r="ED17" s="1542"/>
      <c r="EE17" s="1542"/>
      <c r="EF17" s="1042"/>
      <c r="EG17" s="1042"/>
      <c r="EH17" s="1543"/>
      <c r="EI17" s="1543"/>
      <c r="EJ17" s="1543"/>
      <c r="EK17" s="1543"/>
      <c r="EL17" s="1543"/>
      <c r="EM17" s="1543"/>
      <c r="EN17" s="1543"/>
      <c r="EO17" s="1543"/>
      <c r="EP17" s="1543"/>
      <c r="EQ17" s="1543"/>
      <c r="ER17" s="1543"/>
      <c r="ES17" s="1543"/>
      <c r="ET17" s="1543"/>
      <c r="EU17" s="1543"/>
      <c r="EV17" s="1543"/>
      <c r="EW17" s="1543"/>
      <c r="EX17" s="1543"/>
      <c r="EY17" s="1543"/>
      <c r="EZ17" s="1543"/>
    </row>
    <row r="18" spans="1:156" s="323" customFormat="1" ht="15" customHeight="1">
      <c r="A18" s="350"/>
      <c r="B18" s="381"/>
      <c r="C18" s="1510"/>
      <c r="D18" s="1510"/>
      <c r="E18" s="1510"/>
      <c r="F18" s="1510"/>
      <c r="G18" s="1510"/>
      <c r="H18" s="1510"/>
      <c r="I18" s="1510"/>
      <c r="J18" s="1510"/>
      <c r="K18" s="1510"/>
      <c r="L18" s="1510"/>
      <c r="M18" s="1510"/>
      <c r="N18" s="1510"/>
      <c r="O18" s="1510"/>
      <c r="P18" s="1510"/>
      <c r="Q18" s="1510"/>
      <c r="R18" s="205"/>
      <c r="S18" s="1046"/>
      <c r="T18" s="1518"/>
      <c r="U18" s="1518"/>
      <c r="V18" s="1518"/>
      <c r="W18" s="1518"/>
      <c r="X18" s="1518"/>
      <c r="Y18" s="1518"/>
      <c r="Z18" s="1518"/>
      <c r="AA18" s="1518"/>
      <c r="AB18" s="1518"/>
      <c r="AC18" s="1518"/>
      <c r="AD18" s="1518"/>
      <c r="AE18" s="1518"/>
      <c r="AF18" s="1518"/>
      <c r="AG18" s="1518"/>
      <c r="AH18" s="1518"/>
      <c r="AI18" s="1518"/>
      <c r="AJ18" s="1518"/>
      <c r="AK18" s="1518"/>
      <c r="AL18" s="1518"/>
      <c r="AM18" s="1518"/>
      <c r="AN18" s="1518"/>
      <c r="AO18" s="1518"/>
      <c r="AP18" s="1518"/>
      <c r="AQ18" s="1518"/>
      <c r="AR18" s="1518"/>
      <c r="AS18" s="1518"/>
      <c r="AT18" s="1046"/>
      <c r="AU18" s="1046"/>
      <c r="AV18" s="382"/>
      <c r="AW18" s="382"/>
      <c r="AX18" s="1542"/>
      <c r="AY18" s="1542"/>
      <c r="AZ18" s="1542"/>
      <c r="BA18" s="1542"/>
      <c r="BB18" s="1542"/>
      <c r="BC18" s="1542"/>
      <c r="BD18" s="1542"/>
      <c r="BE18" s="1542"/>
      <c r="BF18" s="1542"/>
      <c r="BG18" s="1542"/>
      <c r="BH18" s="1542"/>
      <c r="BI18" s="1542"/>
      <c r="BJ18" s="1542"/>
      <c r="BK18" s="1542"/>
      <c r="BL18" s="1542"/>
      <c r="BM18" s="1542"/>
      <c r="BN18" s="1542"/>
      <c r="BO18" s="1542"/>
      <c r="BP18" s="1542"/>
      <c r="BQ18" s="1542"/>
      <c r="BR18" s="1542"/>
      <c r="BS18" s="1542"/>
      <c r="BT18" s="1542"/>
      <c r="BU18" s="1542"/>
      <c r="BV18" s="1542"/>
      <c r="BW18" s="1542"/>
      <c r="BX18" s="1542"/>
      <c r="BY18" s="1542"/>
      <c r="BZ18" s="1542"/>
      <c r="CA18" s="1542"/>
      <c r="CB18" s="1542"/>
      <c r="CC18" s="1542"/>
      <c r="CD18" s="1542"/>
      <c r="CE18" s="1542"/>
      <c r="CF18" s="1542"/>
      <c r="CG18" s="1542"/>
      <c r="CH18" s="1542"/>
      <c r="CI18" s="1542"/>
      <c r="CJ18" s="1542"/>
      <c r="CK18" s="1542"/>
      <c r="CL18" s="1542"/>
      <c r="CM18" s="1542"/>
      <c r="CN18" s="1542"/>
      <c r="CO18" s="1542"/>
      <c r="CP18" s="1542"/>
      <c r="CQ18" s="1542"/>
      <c r="CR18" s="1542"/>
      <c r="CS18" s="1542"/>
      <c r="CT18" s="1542"/>
      <c r="CU18" s="1542"/>
      <c r="CV18" s="1542"/>
      <c r="CW18" s="1542"/>
      <c r="CX18" s="1542"/>
      <c r="CY18" s="1542"/>
      <c r="CZ18" s="1542"/>
      <c r="DA18" s="1542"/>
      <c r="DB18" s="1542"/>
      <c r="DC18" s="1542"/>
      <c r="DD18" s="1542"/>
      <c r="DE18" s="1542"/>
      <c r="DF18" s="1542"/>
      <c r="DG18" s="1542"/>
      <c r="DH18" s="1542"/>
      <c r="DI18" s="1542"/>
      <c r="DJ18" s="1542"/>
      <c r="DK18" s="1542"/>
      <c r="DL18" s="1542"/>
      <c r="DM18" s="1542"/>
      <c r="DN18" s="1542"/>
      <c r="DO18" s="1542"/>
      <c r="DP18" s="1542"/>
      <c r="DQ18" s="1542"/>
      <c r="DR18" s="1542"/>
      <c r="DS18" s="1542"/>
      <c r="DT18" s="1542"/>
      <c r="DU18" s="1542"/>
      <c r="DV18" s="1542"/>
      <c r="DW18" s="1542"/>
      <c r="DX18" s="1542"/>
      <c r="DY18" s="1542"/>
      <c r="DZ18" s="1542"/>
      <c r="EA18" s="1542"/>
      <c r="EB18" s="1542"/>
      <c r="EC18" s="1542"/>
      <c r="ED18" s="1542"/>
      <c r="EE18" s="1542"/>
      <c r="EF18" s="1042"/>
      <c r="EG18" s="1042"/>
      <c r="EH18" s="1543"/>
      <c r="EI18" s="1543"/>
      <c r="EJ18" s="1543"/>
      <c r="EK18" s="1543"/>
      <c r="EL18" s="1543"/>
      <c r="EM18" s="1543"/>
      <c r="EN18" s="1543"/>
      <c r="EO18" s="1543"/>
      <c r="EP18" s="1543"/>
      <c r="EQ18" s="1543"/>
      <c r="ER18" s="1543"/>
      <c r="ES18" s="1543"/>
      <c r="ET18" s="1543"/>
      <c r="EU18" s="1543"/>
      <c r="EV18" s="1543"/>
      <c r="EW18" s="1543"/>
      <c r="EX18" s="1543"/>
      <c r="EY18" s="1543"/>
      <c r="EZ18" s="1543"/>
    </row>
    <row r="19" spans="1:156" s="323" customFormat="1" ht="15" customHeight="1">
      <c r="A19" s="350"/>
      <c r="B19" s="381"/>
      <c r="C19" s="1510"/>
      <c r="D19" s="1510"/>
      <c r="E19" s="1510"/>
      <c r="F19" s="1510"/>
      <c r="G19" s="1510"/>
      <c r="H19" s="1510"/>
      <c r="I19" s="1510"/>
      <c r="J19" s="1510"/>
      <c r="K19" s="1510"/>
      <c r="L19" s="1510"/>
      <c r="M19" s="1510"/>
      <c r="N19" s="1510"/>
      <c r="O19" s="1510"/>
      <c r="P19" s="1510"/>
      <c r="Q19" s="1510"/>
      <c r="R19" s="205"/>
      <c r="S19" s="1046"/>
      <c r="T19" s="1518"/>
      <c r="U19" s="1518"/>
      <c r="V19" s="1518"/>
      <c r="W19" s="1518"/>
      <c r="X19" s="1518"/>
      <c r="Y19" s="1518"/>
      <c r="Z19" s="1518"/>
      <c r="AA19" s="1518"/>
      <c r="AB19" s="1518"/>
      <c r="AC19" s="1518"/>
      <c r="AD19" s="1518"/>
      <c r="AE19" s="1518"/>
      <c r="AF19" s="1518"/>
      <c r="AG19" s="1518"/>
      <c r="AH19" s="1518"/>
      <c r="AI19" s="1518"/>
      <c r="AJ19" s="1518"/>
      <c r="AK19" s="1518"/>
      <c r="AL19" s="1518"/>
      <c r="AM19" s="1518"/>
      <c r="AN19" s="1518"/>
      <c r="AO19" s="1518"/>
      <c r="AP19" s="1518"/>
      <c r="AQ19" s="1518"/>
      <c r="AR19" s="1518"/>
      <c r="AS19" s="1518"/>
      <c r="AT19" s="1046"/>
      <c r="AU19" s="1046"/>
      <c r="AV19" s="382"/>
      <c r="AW19" s="382"/>
      <c r="AX19" s="1542"/>
      <c r="AY19" s="1542"/>
      <c r="AZ19" s="1542"/>
      <c r="BA19" s="1542"/>
      <c r="BB19" s="1542"/>
      <c r="BC19" s="1542"/>
      <c r="BD19" s="1542"/>
      <c r="BE19" s="1542"/>
      <c r="BF19" s="1542"/>
      <c r="BG19" s="1542"/>
      <c r="BH19" s="1542"/>
      <c r="BI19" s="1542"/>
      <c r="BJ19" s="1542"/>
      <c r="BK19" s="1542"/>
      <c r="BL19" s="1542"/>
      <c r="BM19" s="1542"/>
      <c r="BN19" s="1542"/>
      <c r="BO19" s="1542"/>
      <c r="BP19" s="1542"/>
      <c r="BQ19" s="1542"/>
      <c r="BR19" s="1542"/>
      <c r="BS19" s="1542"/>
      <c r="BT19" s="1542"/>
      <c r="BU19" s="1542"/>
      <c r="BV19" s="1542"/>
      <c r="BW19" s="1542"/>
      <c r="BX19" s="1542"/>
      <c r="BY19" s="1542"/>
      <c r="BZ19" s="1542"/>
      <c r="CA19" s="1542"/>
      <c r="CB19" s="1542"/>
      <c r="CC19" s="1542"/>
      <c r="CD19" s="1542"/>
      <c r="CE19" s="1542"/>
      <c r="CF19" s="1542"/>
      <c r="CG19" s="1542"/>
      <c r="CH19" s="1542"/>
      <c r="CI19" s="1542"/>
      <c r="CJ19" s="1542"/>
      <c r="CK19" s="1542"/>
      <c r="CL19" s="1542"/>
      <c r="CM19" s="1542"/>
      <c r="CN19" s="1542"/>
      <c r="CO19" s="1542"/>
      <c r="CP19" s="1542"/>
      <c r="CQ19" s="1542"/>
      <c r="CR19" s="1542"/>
      <c r="CS19" s="1542"/>
      <c r="CT19" s="1542"/>
      <c r="CU19" s="1542"/>
      <c r="CV19" s="1542"/>
      <c r="CW19" s="1542"/>
      <c r="CX19" s="1542"/>
      <c r="CY19" s="1542"/>
      <c r="CZ19" s="1542"/>
      <c r="DA19" s="1542"/>
      <c r="DB19" s="1542"/>
      <c r="DC19" s="1542"/>
      <c r="DD19" s="1542"/>
      <c r="DE19" s="1542"/>
      <c r="DF19" s="1542"/>
      <c r="DG19" s="1542"/>
      <c r="DH19" s="1542"/>
      <c r="DI19" s="1542"/>
      <c r="DJ19" s="1542"/>
      <c r="DK19" s="1542"/>
      <c r="DL19" s="1542"/>
      <c r="DM19" s="1542"/>
      <c r="DN19" s="1542"/>
      <c r="DO19" s="1542"/>
      <c r="DP19" s="1542"/>
      <c r="DQ19" s="1542"/>
      <c r="DR19" s="1542"/>
      <c r="DS19" s="1542"/>
      <c r="DT19" s="1542"/>
      <c r="DU19" s="1542"/>
      <c r="DV19" s="1542"/>
      <c r="DW19" s="1542"/>
      <c r="DX19" s="1542"/>
      <c r="DY19" s="1542"/>
      <c r="DZ19" s="1542"/>
      <c r="EA19" s="1542"/>
      <c r="EB19" s="1542"/>
      <c r="EC19" s="1542"/>
      <c r="ED19" s="1542"/>
      <c r="EE19" s="1542"/>
      <c r="EF19" s="1042"/>
      <c r="EG19" s="1042"/>
      <c r="EH19" s="1543"/>
      <c r="EI19" s="1543"/>
      <c r="EJ19" s="1543"/>
      <c r="EK19" s="1543"/>
      <c r="EL19" s="1543"/>
      <c r="EM19" s="1543"/>
      <c r="EN19" s="1543"/>
      <c r="EO19" s="1543"/>
      <c r="EP19" s="1543"/>
      <c r="EQ19" s="1543"/>
      <c r="ER19" s="1543"/>
      <c r="ES19" s="1543"/>
      <c r="ET19" s="1543"/>
      <c r="EU19" s="1543"/>
      <c r="EV19" s="1543"/>
      <c r="EW19" s="1543"/>
      <c r="EX19" s="1543"/>
      <c r="EY19" s="1543"/>
      <c r="EZ19" s="1543"/>
    </row>
    <row r="20" spans="1:156" s="323" customFormat="1" ht="15" customHeight="1">
      <c r="A20" s="350"/>
      <c r="B20" s="381"/>
      <c r="C20" s="1510"/>
      <c r="D20" s="1510"/>
      <c r="E20" s="1510"/>
      <c r="F20" s="1510"/>
      <c r="G20" s="1510"/>
      <c r="H20" s="1510"/>
      <c r="I20" s="1510"/>
      <c r="J20" s="1510"/>
      <c r="K20" s="1510"/>
      <c r="L20" s="1510"/>
      <c r="M20" s="1510"/>
      <c r="N20" s="1510"/>
      <c r="O20" s="1510"/>
      <c r="P20" s="1510"/>
      <c r="Q20" s="1510"/>
      <c r="R20" s="205"/>
      <c r="S20" s="1046"/>
      <c r="T20" s="1518"/>
      <c r="U20" s="1518"/>
      <c r="V20" s="1518"/>
      <c r="W20" s="1518"/>
      <c r="X20" s="1518"/>
      <c r="Y20" s="1518"/>
      <c r="Z20" s="1518"/>
      <c r="AA20" s="1518"/>
      <c r="AB20" s="1518"/>
      <c r="AC20" s="1518"/>
      <c r="AD20" s="1518"/>
      <c r="AE20" s="1518"/>
      <c r="AF20" s="1518"/>
      <c r="AG20" s="1518"/>
      <c r="AH20" s="1518"/>
      <c r="AI20" s="1518"/>
      <c r="AJ20" s="1518"/>
      <c r="AK20" s="1518"/>
      <c r="AL20" s="1518"/>
      <c r="AM20" s="1518"/>
      <c r="AN20" s="1518"/>
      <c r="AO20" s="1518"/>
      <c r="AP20" s="1518"/>
      <c r="AQ20" s="1518"/>
      <c r="AR20" s="1518"/>
      <c r="AS20" s="1518"/>
      <c r="AT20" s="1046"/>
      <c r="AU20" s="1046"/>
      <c r="AV20" s="382"/>
      <c r="AW20" s="382"/>
      <c r="AX20" s="1542"/>
      <c r="AY20" s="1542"/>
      <c r="AZ20" s="1542"/>
      <c r="BA20" s="1542"/>
      <c r="BB20" s="1542"/>
      <c r="BC20" s="1542"/>
      <c r="BD20" s="1542"/>
      <c r="BE20" s="1542"/>
      <c r="BF20" s="1542"/>
      <c r="BG20" s="1542"/>
      <c r="BH20" s="1542"/>
      <c r="BI20" s="1542"/>
      <c r="BJ20" s="1542"/>
      <c r="BK20" s="1542"/>
      <c r="BL20" s="1542"/>
      <c r="BM20" s="1542"/>
      <c r="BN20" s="1542"/>
      <c r="BO20" s="1542"/>
      <c r="BP20" s="1542"/>
      <c r="BQ20" s="1542"/>
      <c r="BR20" s="1542"/>
      <c r="BS20" s="1542"/>
      <c r="BT20" s="1542"/>
      <c r="BU20" s="1542"/>
      <c r="BV20" s="1542"/>
      <c r="BW20" s="1542"/>
      <c r="BX20" s="1542"/>
      <c r="BY20" s="1542"/>
      <c r="BZ20" s="1542"/>
      <c r="CA20" s="1542"/>
      <c r="CB20" s="1542"/>
      <c r="CC20" s="1542"/>
      <c r="CD20" s="1542"/>
      <c r="CE20" s="1542"/>
      <c r="CF20" s="1542"/>
      <c r="CG20" s="1542"/>
      <c r="CH20" s="1542"/>
      <c r="CI20" s="1542"/>
      <c r="CJ20" s="1542"/>
      <c r="CK20" s="1542"/>
      <c r="CL20" s="1542"/>
      <c r="CM20" s="1542"/>
      <c r="CN20" s="1542"/>
      <c r="CO20" s="1542"/>
      <c r="CP20" s="1542"/>
      <c r="CQ20" s="1542"/>
      <c r="CR20" s="1542"/>
      <c r="CS20" s="1542"/>
      <c r="CT20" s="1542"/>
      <c r="CU20" s="1542"/>
      <c r="CV20" s="1542"/>
      <c r="CW20" s="1542"/>
      <c r="CX20" s="1542"/>
      <c r="CY20" s="1542"/>
      <c r="CZ20" s="1542"/>
      <c r="DA20" s="1542"/>
      <c r="DB20" s="1542"/>
      <c r="DC20" s="1542"/>
      <c r="DD20" s="1542"/>
      <c r="DE20" s="1542"/>
      <c r="DF20" s="1542"/>
      <c r="DG20" s="1542"/>
      <c r="DH20" s="1542"/>
      <c r="DI20" s="1542"/>
      <c r="DJ20" s="1542"/>
      <c r="DK20" s="1542"/>
      <c r="DL20" s="1542"/>
      <c r="DM20" s="1542"/>
      <c r="DN20" s="1542"/>
      <c r="DO20" s="1542"/>
      <c r="DP20" s="1542"/>
      <c r="DQ20" s="1542"/>
      <c r="DR20" s="1542"/>
      <c r="DS20" s="1542"/>
      <c r="DT20" s="1542"/>
      <c r="DU20" s="1542"/>
      <c r="DV20" s="1542"/>
      <c r="DW20" s="1542"/>
      <c r="DX20" s="1542"/>
      <c r="DY20" s="1542"/>
      <c r="DZ20" s="1542"/>
      <c r="EA20" s="1542"/>
      <c r="EB20" s="1542"/>
      <c r="EC20" s="1542"/>
      <c r="ED20" s="1542"/>
      <c r="EE20" s="1542"/>
      <c r="EF20" s="1042"/>
      <c r="EG20" s="1042"/>
      <c r="EH20" s="1543"/>
      <c r="EI20" s="1543"/>
      <c r="EJ20" s="1543"/>
      <c r="EK20" s="1543"/>
      <c r="EL20" s="1543"/>
      <c r="EM20" s="1543"/>
      <c r="EN20" s="1543"/>
      <c r="EO20" s="1543"/>
      <c r="EP20" s="1543"/>
      <c r="EQ20" s="1543"/>
      <c r="ER20" s="1543"/>
      <c r="ES20" s="1543"/>
      <c r="ET20" s="1543"/>
      <c r="EU20" s="1543"/>
      <c r="EV20" s="1543"/>
      <c r="EW20" s="1543"/>
      <c r="EX20" s="1543"/>
      <c r="EY20" s="1543"/>
      <c r="EZ20" s="1543"/>
    </row>
    <row r="21" spans="1:156" s="323" customFormat="1" ht="15" customHeight="1">
      <c r="A21" s="350"/>
      <c r="B21" s="381"/>
      <c r="C21" s="1510"/>
      <c r="D21" s="1510"/>
      <c r="E21" s="1510"/>
      <c r="F21" s="1510"/>
      <c r="G21" s="1510"/>
      <c r="H21" s="1510"/>
      <c r="I21" s="1510"/>
      <c r="J21" s="1510"/>
      <c r="K21" s="1510"/>
      <c r="L21" s="1510"/>
      <c r="M21" s="1510"/>
      <c r="N21" s="1510"/>
      <c r="O21" s="1510"/>
      <c r="P21" s="1510"/>
      <c r="Q21" s="1510"/>
      <c r="R21" s="205"/>
      <c r="S21" s="1046"/>
      <c r="T21" s="1518"/>
      <c r="U21" s="1518"/>
      <c r="V21" s="1518"/>
      <c r="W21" s="1518"/>
      <c r="X21" s="1518"/>
      <c r="Y21" s="1518"/>
      <c r="Z21" s="1518"/>
      <c r="AA21" s="1518"/>
      <c r="AB21" s="1518"/>
      <c r="AC21" s="1518"/>
      <c r="AD21" s="1518"/>
      <c r="AE21" s="1518"/>
      <c r="AF21" s="1518"/>
      <c r="AG21" s="1518"/>
      <c r="AH21" s="1518"/>
      <c r="AI21" s="1518"/>
      <c r="AJ21" s="1518"/>
      <c r="AK21" s="1518"/>
      <c r="AL21" s="1518"/>
      <c r="AM21" s="1518"/>
      <c r="AN21" s="1518"/>
      <c r="AO21" s="1518"/>
      <c r="AP21" s="1518"/>
      <c r="AQ21" s="1518"/>
      <c r="AR21" s="1518"/>
      <c r="AS21" s="1518"/>
      <c r="AT21" s="1046"/>
      <c r="AU21" s="1046"/>
      <c r="AV21" s="382"/>
      <c r="AW21" s="382"/>
      <c r="AX21" s="1542"/>
      <c r="AY21" s="1542"/>
      <c r="AZ21" s="1542"/>
      <c r="BA21" s="1542"/>
      <c r="BB21" s="1542"/>
      <c r="BC21" s="1542"/>
      <c r="BD21" s="1542"/>
      <c r="BE21" s="1542"/>
      <c r="BF21" s="1542"/>
      <c r="BG21" s="1542"/>
      <c r="BH21" s="1542"/>
      <c r="BI21" s="1542"/>
      <c r="BJ21" s="1542"/>
      <c r="BK21" s="1542"/>
      <c r="BL21" s="1542"/>
      <c r="BM21" s="1542"/>
      <c r="BN21" s="1542"/>
      <c r="BO21" s="1542"/>
      <c r="BP21" s="1542"/>
      <c r="BQ21" s="1542"/>
      <c r="BR21" s="1542"/>
      <c r="BS21" s="1542"/>
      <c r="BT21" s="1542"/>
      <c r="BU21" s="1542"/>
      <c r="BV21" s="1542"/>
      <c r="BW21" s="1542"/>
      <c r="BX21" s="1542"/>
      <c r="BY21" s="1542"/>
      <c r="BZ21" s="1542"/>
      <c r="CA21" s="1542"/>
      <c r="CB21" s="1542"/>
      <c r="CC21" s="1542"/>
      <c r="CD21" s="1542"/>
      <c r="CE21" s="1542"/>
      <c r="CF21" s="1542"/>
      <c r="CG21" s="1542"/>
      <c r="CH21" s="1542"/>
      <c r="CI21" s="1542"/>
      <c r="CJ21" s="1542"/>
      <c r="CK21" s="1542"/>
      <c r="CL21" s="1542"/>
      <c r="CM21" s="1542"/>
      <c r="CN21" s="1542"/>
      <c r="CO21" s="1542"/>
      <c r="CP21" s="1542"/>
      <c r="CQ21" s="1542"/>
      <c r="CR21" s="1542"/>
      <c r="CS21" s="1542"/>
      <c r="CT21" s="1542"/>
      <c r="CU21" s="1542"/>
      <c r="CV21" s="1542"/>
      <c r="CW21" s="1542"/>
      <c r="CX21" s="1542"/>
      <c r="CY21" s="1542"/>
      <c r="CZ21" s="1542"/>
      <c r="DA21" s="1542"/>
      <c r="DB21" s="1542"/>
      <c r="DC21" s="1542"/>
      <c r="DD21" s="1542"/>
      <c r="DE21" s="1542"/>
      <c r="DF21" s="1542"/>
      <c r="DG21" s="1542"/>
      <c r="DH21" s="1542"/>
      <c r="DI21" s="1542"/>
      <c r="DJ21" s="1542"/>
      <c r="DK21" s="1542"/>
      <c r="DL21" s="1542"/>
      <c r="DM21" s="1542"/>
      <c r="DN21" s="1542"/>
      <c r="DO21" s="1542"/>
      <c r="DP21" s="1542"/>
      <c r="DQ21" s="1542"/>
      <c r="DR21" s="1542"/>
      <c r="DS21" s="1542"/>
      <c r="DT21" s="1542"/>
      <c r="DU21" s="1542"/>
      <c r="DV21" s="1542"/>
      <c r="DW21" s="1542"/>
      <c r="DX21" s="1542"/>
      <c r="DY21" s="1542"/>
      <c r="DZ21" s="1542"/>
      <c r="EA21" s="1542"/>
      <c r="EB21" s="1542"/>
      <c r="EC21" s="1542"/>
      <c r="ED21" s="1542"/>
      <c r="EE21" s="1542"/>
      <c r="EF21" s="1042"/>
      <c r="EG21" s="1042"/>
      <c r="EH21" s="1543"/>
      <c r="EI21" s="1543"/>
      <c r="EJ21" s="1543"/>
      <c r="EK21" s="1543"/>
      <c r="EL21" s="1543"/>
      <c r="EM21" s="1543"/>
      <c r="EN21" s="1543"/>
      <c r="EO21" s="1543"/>
      <c r="EP21" s="1543"/>
      <c r="EQ21" s="1543"/>
      <c r="ER21" s="1543"/>
      <c r="ES21" s="1543"/>
      <c r="ET21" s="1543"/>
      <c r="EU21" s="1543"/>
      <c r="EV21" s="1543"/>
      <c r="EW21" s="1543"/>
      <c r="EX21" s="1543"/>
      <c r="EY21" s="1543"/>
      <c r="EZ21" s="1543"/>
    </row>
    <row r="22" spans="1:156" s="323" customFormat="1" ht="15" customHeight="1">
      <c r="A22" s="350"/>
      <c r="B22" s="381"/>
      <c r="C22" s="1510"/>
      <c r="D22" s="1510"/>
      <c r="E22" s="1510"/>
      <c r="F22" s="1510"/>
      <c r="G22" s="1510"/>
      <c r="H22" s="1510"/>
      <c r="I22" s="1510"/>
      <c r="J22" s="1510"/>
      <c r="K22" s="1510"/>
      <c r="L22" s="1510"/>
      <c r="M22" s="1510"/>
      <c r="N22" s="1510"/>
      <c r="O22" s="1510"/>
      <c r="P22" s="1510"/>
      <c r="Q22" s="1510"/>
      <c r="R22" s="205"/>
      <c r="S22" s="1046"/>
      <c r="T22" s="1518"/>
      <c r="U22" s="1518"/>
      <c r="V22" s="1518"/>
      <c r="W22" s="1518"/>
      <c r="X22" s="1518"/>
      <c r="Y22" s="1518"/>
      <c r="Z22" s="1518"/>
      <c r="AA22" s="1518"/>
      <c r="AB22" s="1518"/>
      <c r="AC22" s="1518"/>
      <c r="AD22" s="1518"/>
      <c r="AE22" s="1518"/>
      <c r="AF22" s="1518"/>
      <c r="AG22" s="1518"/>
      <c r="AH22" s="1518"/>
      <c r="AI22" s="1518"/>
      <c r="AJ22" s="1518"/>
      <c r="AK22" s="1518"/>
      <c r="AL22" s="1518"/>
      <c r="AM22" s="1518"/>
      <c r="AN22" s="1518"/>
      <c r="AO22" s="1518"/>
      <c r="AP22" s="1518"/>
      <c r="AQ22" s="1518"/>
      <c r="AR22" s="1518"/>
      <c r="AS22" s="1518"/>
      <c r="AT22" s="1046"/>
      <c r="AU22" s="1046"/>
      <c r="AV22" s="382"/>
      <c r="AW22" s="382"/>
      <c r="AX22" s="1542"/>
      <c r="AY22" s="1542"/>
      <c r="AZ22" s="1542"/>
      <c r="BA22" s="1542"/>
      <c r="BB22" s="1542"/>
      <c r="BC22" s="1542"/>
      <c r="BD22" s="1542"/>
      <c r="BE22" s="1542"/>
      <c r="BF22" s="1542"/>
      <c r="BG22" s="1542"/>
      <c r="BH22" s="1542"/>
      <c r="BI22" s="1542"/>
      <c r="BJ22" s="1542"/>
      <c r="BK22" s="1542"/>
      <c r="BL22" s="1542"/>
      <c r="BM22" s="1542"/>
      <c r="BN22" s="1542"/>
      <c r="BO22" s="1542"/>
      <c r="BP22" s="1542"/>
      <c r="BQ22" s="1542"/>
      <c r="BR22" s="1542"/>
      <c r="BS22" s="1542"/>
      <c r="BT22" s="1542"/>
      <c r="BU22" s="1542"/>
      <c r="BV22" s="1542"/>
      <c r="BW22" s="1542"/>
      <c r="BX22" s="1542"/>
      <c r="BY22" s="1542"/>
      <c r="BZ22" s="1542"/>
      <c r="CA22" s="1542"/>
      <c r="CB22" s="1542"/>
      <c r="CC22" s="1542"/>
      <c r="CD22" s="1542"/>
      <c r="CE22" s="1542"/>
      <c r="CF22" s="1542"/>
      <c r="CG22" s="1542"/>
      <c r="CH22" s="1542"/>
      <c r="CI22" s="1542"/>
      <c r="CJ22" s="1542"/>
      <c r="CK22" s="1542"/>
      <c r="CL22" s="1542"/>
      <c r="CM22" s="1542"/>
      <c r="CN22" s="1542"/>
      <c r="CO22" s="1542"/>
      <c r="CP22" s="1542"/>
      <c r="CQ22" s="1542"/>
      <c r="CR22" s="1542"/>
      <c r="CS22" s="1542"/>
      <c r="CT22" s="1542"/>
      <c r="CU22" s="1542"/>
      <c r="CV22" s="1542"/>
      <c r="CW22" s="1542"/>
      <c r="CX22" s="1542"/>
      <c r="CY22" s="1542"/>
      <c r="CZ22" s="1542"/>
      <c r="DA22" s="1542"/>
      <c r="DB22" s="1542"/>
      <c r="DC22" s="1542"/>
      <c r="DD22" s="1542"/>
      <c r="DE22" s="1542"/>
      <c r="DF22" s="1542"/>
      <c r="DG22" s="1542"/>
      <c r="DH22" s="1542"/>
      <c r="DI22" s="1542"/>
      <c r="DJ22" s="1542"/>
      <c r="DK22" s="1542"/>
      <c r="DL22" s="1542"/>
      <c r="DM22" s="1542"/>
      <c r="DN22" s="1542"/>
      <c r="DO22" s="1542"/>
      <c r="DP22" s="1542"/>
      <c r="DQ22" s="1542"/>
      <c r="DR22" s="1542"/>
      <c r="DS22" s="1542"/>
      <c r="DT22" s="1542"/>
      <c r="DU22" s="1542"/>
      <c r="DV22" s="1542"/>
      <c r="DW22" s="1542"/>
      <c r="DX22" s="1542"/>
      <c r="DY22" s="1542"/>
      <c r="DZ22" s="1542"/>
      <c r="EA22" s="1542"/>
      <c r="EB22" s="1542"/>
      <c r="EC22" s="1542"/>
      <c r="ED22" s="1542"/>
      <c r="EE22" s="1542"/>
      <c r="EF22" s="1042"/>
      <c r="EG22" s="1042"/>
      <c r="EH22" s="1543"/>
      <c r="EI22" s="1543"/>
      <c r="EJ22" s="1543"/>
      <c r="EK22" s="1543"/>
      <c r="EL22" s="1543"/>
      <c r="EM22" s="1543"/>
      <c r="EN22" s="1543"/>
      <c r="EO22" s="1543"/>
      <c r="EP22" s="1543"/>
      <c r="EQ22" s="1543"/>
      <c r="ER22" s="1543"/>
      <c r="ES22" s="1543"/>
      <c r="ET22" s="1543"/>
      <c r="EU22" s="1543"/>
      <c r="EV22" s="1543"/>
      <c r="EW22" s="1543"/>
      <c r="EX22" s="1543"/>
      <c r="EY22" s="1543"/>
      <c r="EZ22" s="1543"/>
    </row>
    <row r="23" spans="1:156" s="323" customFormat="1" ht="15" customHeight="1">
      <c r="A23" s="350"/>
      <c r="B23" s="381"/>
      <c r="C23" s="1510"/>
      <c r="D23" s="1510"/>
      <c r="E23" s="1510"/>
      <c r="F23" s="1510"/>
      <c r="G23" s="1510"/>
      <c r="H23" s="1510"/>
      <c r="I23" s="1510"/>
      <c r="J23" s="1510"/>
      <c r="K23" s="1510"/>
      <c r="L23" s="1510"/>
      <c r="M23" s="1510"/>
      <c r="N23" s="1510"/>
      <c r="O23" s="1510"/>
      <c r="P23" s="1510"/>
      <c r="Q23" s="1510"/>
      <c r="R23" s="205"/>
      <c r="S23" s="1046"/>
      <c r="T23" s="1518"/>
      <c r="U23" s="1518"/>
      <c r="V23" s="1518"/>
      <c r="W23" s="1518"/>
      <c r="X23" s="1518"/>
      <c r="Y23" s="1518"/>
      <c r="Z23" s="1518"/>
      <c r="AA23" s="1518"/>
      <c r="AB23" s="1518"/>
      <c r="AC23" s="1518"/>
      <c r="AD23" s="1518"/>
      <c r="AE23" s="1518"/>
      <c r="AF23" s="1518"/>
      <c r="AG23" s="1518"/>
      <c r="AH23" s="1518"/>
      <c r="AI23" s="1518"/>
      <c r="AJ23" s="1518"/>
      <c r="AK23" s="1518"/>
      <c r="AL23" s="1518"/>
      <c r="AM23" s="1518"/>
      <c r="AN23" s="1518"/>
      <c r="AO23" s="1518"/>
      <c r="AP23" s="1518"/>
      <c r="AQ23" s="1518"/>
      <c r="AR23" s="1518"/>
      <c r="AS23" s="1518"/>
      <c r="AT23" s="1046"/>
      <c r="AU23" s="1046"/>
      <c r="AV23" s="382"/>
      <c r="AW23" s="382"/>
      <c r="AX23" s="1542"/>
      <c r="AY23" s="1542"/>
      <c r="AZ23" s="1542"/>
      <c r="BA23" s="1542"/>
      <c r="BB23" s="1542"/>
      <c r="BC23" s="1542"/>
      <c r="BD23" s="1542"/>
      <c r="BE23" s="1542"/>
      <c r="BF23" s="1542"/>
      <c r="BG23" s="1542"/>
      <c r="BH23" s="1542"/>
      <c r="BI23" s="1542"/>
      <c r="BJ23" s="1542"/>
      <c r="BK23" s="1542"/>
      <c r="BL23" s="1542"/>
      <c r="BM23" s="1542"/>
      <c r="BN23" s="1542"/>
      <c r="BO23" s="1542"/>
      <c r="BP23" s="1542"/>
      <c r="BQ23" s="1542"/>
      <c r="BR23" s="1542"/>
      <c r="BS23" s="1542"/>
      <c r="BT23" s="1542"/>
      <c r="BU23" s="1542"/>
      <c r="BV23" s="1542"/>
      <c r="BW23" s="1542"/>
      <c r="BX23" s="1542"/>
      <c r="BY23" s="1542"/>
      <c r="BZ23" s="1542"/>
      <c r="CA23" s="1542"/>
      <c r="CB23" s="1542"/>
      <c r="CC23" s="1542"/>
      <c r="CD23" s="1542"/>
      <c r="CE23" s="1542"/>
      <c r="CF23" s="1542"/>
      <c r="CG23" s="1542"/>
      <c r="CH23" s="1542"/>
      <c r="CI23" s="1542"/>
      <c r="CJ23" s="1542"/>
      <c r="CK23" s="1542"/>
      <c r="CL23" s="1542"/>
      <c r="CM23" s="1542"/>
      <c r="CN23" s="1542"/>
      <c r="CO23" s="1542"/>
      <c r="CP23" s="1542"/>
      <c r="CQ23" s="1542"/>
      <c r="CR23" s="1542"/>
      <c r="CS23" s="1542"/>
      <c r="CT23" s="1542"/>
      <c r="CU23" s="1542"/>
      <c r="CV23" s="1542"/>
      <c r="CW23" s="1542"/>
      <c r="CX23" s="1542"/>
      <c r="CY23" s="1542"/>
      <c r="CZ23" s="1542"/>
      <c r="DA23" s="1542"/>
      <c r="DB23" s="1542"/>
      <c r="DC23" s="1542"/>
      <c r="DD23" s="1542"/>
      <c r="DE23" s="1542"/>
      <c r="DF23" s="1542"/>
      <c r="DG23" s="1542"/>
      <c r="DH23" s="1542"/>
      <c r="DI23" s="1542"/>
      <c r="DJ23" s="1542"/>
      <c r="DK23" s="1542"/>
      <c r="DL23" s="1542"/>
      <c r="DM23" s="1542"/>
      <c r="DN23" s="1542"/>
      <c r="DO23" s="1542"/>
      <c r="DP23" s="1542"/>
      <c r="DQ23" s="1542"/>
      <c r="DR23" s="1542"/>
      <c r="DS23" s="1542"/>
      <c r="DT23" s="1542"/>
      <c r="DU23" s="1542"/>
      <c r="DV23" s="1542"/>
      <c r="DW23" s="1542"/>
      <c r="DX23" s="1542"/>
      <c r="DY23" s="1542"/>
      <c r="DZ23" s="1542"/>
      <c r="EA23" s="1542"/>
      <c r="EB23" s="1542"/>
      <c r="EC23" s="1542"/>
      <c r="ED23" s="1542"/>
      <c r="EE23" s="1542"/>
      <c r="EF23" s="1042"/>
      <c r="EG23" s="1042"/>
      <c r="EH23" s="1543"/>
      <c r="EI23" s="1543"/>
      <c r="EJ23" s="1543"/>
      <c r="EK23" s="1543"/>
      <c r="EL23" s="1543"/>
      <c r="EM23" s="1543"/>
      <c r="EN23" s="1543"/>
      <c r="EO23" s="1543"/>
      <c r="EP23" s="1543"/>
      <c r="EQ23" s="1543"/>
      <c r="ER23" s="1543"/>
      <c r="ES23" s="1543"/>
      <c r="ET23" s="1543"/>
      <c r="EU23" s="1543"/>
      <c r="EV23" s="1543"/>
      <c r="EW23" s="1543"/>
      <c r="EX23" s="1543"/>
      <c r="EY23" s="1543"/>
      <c r="EZ23" s="1543"/>
    </row>
    <row r="24" spans="1:156" s="323" customFormat="1" ht="15" customHeight="1">
      <c r="A24" s="350"/>
      <c r="B24" s="381"/>
      <c r="C24" s="1510"/>
      <c r="D24" s="1510"/>
      <c r="E24" s="1510"/>
      <c r="F24" s="1510"/>
      <c r="G24" s="1510"/>
      <c r="H24" s="1510"/>
      <c r="I24" s="1510"/>
      <c r="J24" s="1510"/>
      <c r="K24" s="1510"/>
      <c r="L24" s="1510"/>
      <c r="M24" s="1510"/>
      <c r="N24" s="1510"/>
      <c r="O24" s="1510"/>
      <c r="P24" s="1510"/>
      <c r="Q24" s="1510"/>
      <c r="R24" s="205"/>
      <c r="S24" s="1046"/>
      <c r="T24" s="1518"/>
      <c r="U24" s="1518"/>
      <c r="V24" s="1518"/>
      <c r="W24" s="1518"/>
      <c r="X24" s="1518"/>
      <c r="Y24" s="1518"/>
      <c r="Z24" s="1518"/>
      <c r="AA24" s="1518"/>
      <c r="AB24" s="1518"/>
      <c r="AC24" s="1518"/>
      <c r="AD24" s="1518"/>
      <c r="AE24" s="1518"/>
      <c r="AF24" s="1518"/>
      <c r="AG24" s="1518"/>
      <c r="AH24" s="1518"/>
      <c r="AI24" s="1518"/>
      <c r="AJ24" s="1518"/>
      <c r="AK24" s="1518"/>
      <c r="AL24" s="1518"/>
      <c r="AM24" s="1518"/>
      <c r="AN24" s="1518"/>
      <c r="AO24" s="1518"/>
      <c r="AP24" s="1518"/>
      <c r="AQ24" s="1518"/>
      <c r="AR24" s="1518"/>
      <c r="AS24" s="1518"/>
      <c r="AT24" s="1046"/>
      <c r="AU24" s="1046"/>
      <c r="AV24" s="382"/>
      <c r="AW24" s="382"/>
      <c r="AX24" s="1542"/>
      <c r="AY24" s="1542"/>
      <c r="AZ24" s="1542"/>
      <c r="BA24" s="1542"/>
      <c r="BB24" s="1542"/>
      <c r="BC24" s="1542"/>
      <c r="BD24" s="1542"/>
      <c r="BE24" s="1542"/>
      <c r="BF24" s="1542"/>
      <c r="BG24" s="1542"/>
      <c r="BH24" s="1542"/>
      <c r="BI24" s="1542"/>
      <c r="BJ24" s="1542"/>
      <c r="BK24" s="1542"/>
      <c r="BL24" s="1542"/>
      <c r="BM24" s="1542"/>
      <c r="BN24" s="1542"/>
      <c r="BO24" s="1542"/>
      <c r="BP24" s="1542"/>
      <c r="BQ24" s="1542"/>
      <c r="BR24" s="1542"/>
      <c r="BS24" s="1542"/>
      <c r="BT24" s="1542"/>
      <c r="BU24" s="1542"/>
      <c r="BV24" s="1542"/>
      <c r="BW24" s="1542"/>
      <c r="BX24" s="1542"/>
      <c r="BY24" s="1542"/>
      <c r="BZ24" s="1542"/>
      <c r="CA24" s="1542"/>
      <c r="CB24" s="1542"/>
      <c r="CC24" s="1542"/>
      <c r="CD24" s="1542"/>
      <c r="CE24" s="1542"/>
      <c r="CF24" s="1542"/>
      <c r="CG24" s="1542"/>
      <c r="CH24" s="1542"/>
      <c r="CI24" s="1542"/>
      <c r="CJ24" s="1542"/>
      <c r="CK24" s="1542"/>
      <c r="CL24" s="1542"/>
      <c r="CM24" s="1542"/>
      <c r="CN24" s="1542"/>
      <c r="CO24" s="1542"/>
      <c r="CP24" s="1542"/>
      <c r="CQ24" s="1542"/>
      <c r="CR24" s="1542"/>
      <c r="CS24" s="1542"/>
      <c r="CT24" s="1542"/>
      <c r="CU24" s="1542"/>
      <c r="CV24" s="1542"/>
      <c r="CW24" s="1542"/>
      <c r="CX24" s="1542"/>
      <c r="CY24" s="1542"/>
      <c r="CZ24" s="1542"/>
      <c r="DA24" s="1542"/>
      <c r="DB24" s="1542"/>
      <c r="DC24" s="1542"/>
      <c r="DD24" s="1542"/>
      <c r="DE24" s="1542"/>
      <c r="DF24" s="1542"/>
      <c r="DG24" s="1542"/>
      <c r="DH24" s="1542"/>
      <c r="DI24" s="1542"/>
      <c r="DJ24" s="1542"/>
      <c r="DK24" s="1542"/>
      <c r="DL24" s="1542"/>
      <c r="DM24" s="1542"/>
      <c r="DN24" s="1542"/>
      <c r="DO24" s="1542"/>
      <c r="DP24" s="1542"/>
      <c r="DQ24" s="1542"/>
      <c r="DR24" s="1542"/>
      <c r="DS24" s="1542"/>
      <c r="DT24" s="1542"/>
      <c r="DU24" s="1542"/>
      <c r="DV24" s="1542"/>
      <c r="DW24" s="1542"/>
      <c r="DX24" s="1542"/>
      <c r="DY24" s="1542"/>
      <c r="DZ24" s="1542"/>
      <c r="EA24" s="1542"/>
      <c r="EB24" s="1542"/>
      <c r="EC24" s="1542"/>
      <c r="ED24" s="1542"/>
      <c r="EE24" s="1542"/>
      <c r="EF24" s="1042"/>
      <c r="EG24" s="1042"/>
      <c r="EH24" s="1543"/>
      <c r="EI24" s="1543"/>
      <c r="EJ24" s="1543"/>
      <c r="EK24" s="1543"/>
      <c r="EL24" s="1543"/>
      <c r="EM24" s="1543"/>
      <c r="EN24" s="1543"/>
      <c r="EO24" s="1543"/>
      <c r="EP24" s="1543"/>
      <c r="EQ24" s="1543"/>
      <c r="ER24" s="1543"/>
      <c r="ES24" s="1543"/>
      <c r="ET24" s="1543"/>
      <c r="EU24" s="1543"/>
      <c r="EV24" s="1543"/>
      <c r="EW24" s="1543"/>
      <c r="EX24" s="1543"/>
      <c r="EY24" s="1543"/>
      <c r="EZ24" s="1543"/>
    </row>
    <row r="25" spans="1:156" s="323" customFormat="1" ht="15" customHeight="1">
      <c r="A25" s="350"/>
      <c r="B25" s="381"/>
      <c r="C25" s="1510"/>
      <c r="D25" s="1510"/>
      <c r="E25" s="1510"/>
      <c r="F25" s="1510"/>
      <c r="G25" s="1510"/>
      <c r="H25" s="1510"/>
      <c r="I25" s="1510"/>
      <c r="J25" s="1510"/>
      <c r="K25" s="1510"/>
      <c r="L25" s="1510"/>
      <c r="M25" s="1510"/>
      <c r="N25" s="1510"/>
      <c r="O25" s="1510"/>
      <c r="P25" s="1510"/>
      <c r="Q25" s="1510"/>
      <c r="R25" s="205"/>
      <c r="S25" s="1046"/>
      <c r="T25" s="1518"/>
      <c r="U25" s="1518"/>
      <c r="V25" s="1518"/>
      <c r="W25" s="1518"/>
      <c r="X25" s="1518"/>
      <c r="Y25" s="1518"/>
      <c r="Z25" s="1518"/>
      <c r="AA25" s="1518"/>
      <c r="AB25" s="1518"/>
      <c r="AC25" s="1518"/>
      <c r="AD25" s="1518"/>
      <c r="AE25" s="1518"/>
      <c r="AF25" s="1518"/>
      <c r="AG25" s="1518"/>
      <c r="AH25" s="1518"/>
      <c r="AI25" s="1518"/>
      <c r="AJ25" s="1518"/>
      <c r="AK25" s="1518"/>
      <c r="AL25" s="1518"/>
      <c r="AM25" s="1518"/>
      <c r="AN25" s="1518"/>
      <c r="AO25" s="1518"/>
      <c r="AP25" s="1518"/>
      <c r="AQ25" s="1518"/>
      <c r="AR25" s="1518"/>
      <c r="AS25" s="1518"/>
      <c r="AT25" s="1046"/>
      <c r="AU25" s="1046"/>
      <c r="AV25" s="382"/>
      <c r="AW25" s="382"/>
      <c r="AX25" s="1542"/>
      <c r="AY25" s="1542"/>
      <c r="AZ25" s="1542"/>
      <c r="BA25" s="1542"/>
      <c r="BB25" s="1542"/>
      <c r="BC25" s="1542"/>
      <c r="BD25" s="1542"/>
      <c r="BE25" s="1542"/>
      <c r="BF25" s="1542"/>
      <c r="BG25" s="1542"/>
      <c r="BH25" s="1542"/>
      <c r="BI25" s="1542"/>
      <c r="BJ25" s="1542"/>
      <c r="BK25" s="1542"/>
      <c r="BL25" s="1542"/>
      <c r="BM25" s="1542"/>
      <c r="BN25" s="1542"/>
      <c r="BO25" s="1542"/>
      <c r="BP25" s="1542"/>
      <c r="BQ25" s="1542"/>
      <c r="BR25" s="1542"/>
      <c r="BS25" s="1542"/>
      <c r="BT25" s="1542"/>
      <c r="BU25" s="1542"/>
      <c r="BV25" s="1542"/>
      <c r="BW25" s="1542"/>
      <c r="BX25" s="1542"/>
      <c r="BY25" s="1542"/>
      <c r="BZ25" s="1542"/>
      <c r="CA25" s="1542"/>
      <c r="CB25" s="1542"/>
      <c r="CC25" s="1542"/>
      <c r="CD25" s="1542"/>
      <c r="CE25" s="1542"/>
      <c r="CF25" s="1542"/>
      <c r="CG25" s="1542"/>
      <c r="CH25" s="1542"/>
      <c r="CI25" s="1542"/>
      <c r="CJ25" s="1542"/>
      <c r="CK25" s="1542"/>
      <c r="CL25" s="1542"/>
      <c r="CM25" s="1542"/>
      <c r="CN25" s="1542"/>
      <c r="CO25" s="1542"/>
      <c r="CP25" s="1542"/>
      <c r="CQ25" s="1542"/>
      <c r="CR25" s="1542"/>
      <c r="CS25" s="1542"/>
      <c r="CT25" s="1542"/>
      <c r="CU25" s="1542"/>
      <c r="CV25" s="1542"/>
      <c r="CW25" s="1542"/>
      <c r="CX25" s="1542"/>
      <c r="CY25" s="1542"/>
      <c r="CZ25" s="1542"/>
      <c r="DA25" s="1542"/>
      <c r="DB25" s="1542"/>
      <c r="DC25" s="1542"/>
      <c r="DD25" s="1542"/>
      <c r="DE25" s="1542"/>
      <c r="DF25" s="1542"/>
      <c r="DG25" s="1542"/>
      <c r="DH25" s="1542"/>
      <c r="DI25" s="1542"/>
      <c r="DJ25" s="1542"/>
      <c r="DK25" s="1542"/>
      <c r="DL25" s="1542"/>
      <c r="DM25" s="1542"/>
      <c r="DN25" s="1542"/>
      <c r="DO25" s="1542"/>
      <c r="DP25" s="1542"/>
      <c r="DQ25" s="1542"/>
      <c r="DR25" s="1542"/>
      <c r="DS25" s="1542"/>
      <c r="DT25" s="1542"/>
      <c r="DU25" s="1542"/>
      <c r="DV25" s="1542"/>
      <c r="DW25" s="1542"/>
      <c r="DX25" s="1542"/>
      <c r="DY25" s="1542"/>
      <c r="DZ25" s="1542"/>
      <c r="EA25" s="1542"/>
      <c r="EB25" s="1542"/>
      <c r="EC25" s="1542"/>
      <c r="ED25" s="1542"/>
      <c r="EE25" s="1542"/>
      <c r="EF25" s="1042"/>
      <c r="EG25" s="1042"/>
      <c r="EH25" s="1543"/>
      <c r="EI25" s="1543"/>
      <c r="EJ25" s="1543"/>
      <c r="EK25" s="1543"/>
      <c r="EL25" s="1543"/>
      <c r="EM25" s="1543"/>
      <c r="EN25" s="1543"/>
      <c r="EO25" s="1543"/>
      <c r="EP25" s="1543"/>
      <c r="EQ25" s="1543"/>
      <c r="ER25" s="1543"/>
      <c r="ES25" s="1543"/>
      <c r="ET25" s="1543"/>
      <c r="EU25" s="1543"/>
      <c r="EV25" s="1543"/>
      <c r="EW25" s="1543"/>
      <c r="EX25" s="1543"/>
      <c r="EY25" s="1543"/>
      <c r="EZ25" s="1543"/>
    </row>
    <row r="26" spans="1:156" s="323" customFormat="1" ht="15" customHeight="1">
      <c r="A26" s="350"/>
      <c r="B26" s="381"/>
      <c r="C26" s="1510"/>
      <c r="D26" s="1510"/>
      <c r="E26" s="1510"/>
      <c r="F26" s="1510"/>
      <c r="G26" s="1510"/>
      <c r="H26" s="1510"/>
      <c r="I26" s="1510"/>
      <c r="J26" s="1510"/>
      <c r="K26" s="1510"/>
      <c r="L26" s="1510"/>
      <c r="M26" s="1510"/>
      <c r="N26" s="1510"/>
      <c r="O26" s="1510"/>
      <c r="P26" s="1510"/>
      <c r="Q26" s="1510"/>
      <c r="R26" s="205"/>
      <c r="S26" s="1046"/>
      <c r="T26" s="1518"/>
      <c r="U26" s="1518"/>
      <c r="V26" s="1518"/>
      <c r="W26" s="1518"/>
      <c r="X26" s="1518"/>
      <c r="Y26" s="1518"/>
      <c r="Z26" s="1518"/>
      <c r="AA26" s="1518"/>
      <c r="AB26" s="1518"/>
      <c r="AC26" s="1518"/>
      <c r="AD26" s="1518"/>
      <c r="AE26" s="1518"/>
      <c r="AF26" s="1518"/>
      <c r="AG26" s="1518"/>
      <c r="AH26" s="1518"/>
      <c r="AI26" s="1518"/>
      <c r="AJ26" s="1518"/>
      <c r="AK26" s="1518"/>
      <c r="AL26" s="1518"/>
      <c r="AM26" s="1518"/>
      <c r="AN26" s="1518"/>
      <c r="AO26" s="1518"/>
      <c r="AP26" s="1518"/>
      <c r="AQ26" s="1518"/>
      <c r="AR26" s="1518"/>
      <c r="AS26" s="1518"/>
      <c r="AT26" s="1046"/>
      <c r="AU26" s="1046"/>
      <c r="AV26" s="382"/>
      <c r="AW26" s="382"/>
      <c r="AX26" s="1542"/>
      <c r="AY26" s="1542"/>
      <c r="AZ26" s="1542"/>
      <c r="BA26" s="1542"/>
      <c r="BB26" s="1542"/>
      <c r="BC26" s="1542"/>
      <c r="BD26" s="1542"/>
      <c r="BE26" s="1542"/>
      <c r="BF26" s="1542"/>
      <c r="BG26" s="1542"/>
      <c r="BH26" s="1542"/>
      <c r="BI26" s="1542"/>
      <c r="BJ26" s="1542"/>
      <c r="BK26" s="1542"/>
      <c r="BL26" s="1542"/>
      <c r="BM26" s="1542"/>
      <c r="BN26" s="1542"/>
      <c r="BO26" s="1542"/>
      <c r="BP26" s="1542"/>
      <c r="BQ26" s="1542"/>
      <c r="BR26" s="1542"/>
      <c r="BS26" s="1542"/>
      <c r="BT26" s="1542"/>
      <c r="BU26" s="1542"/>
      <c r="BV26" s="1542"/>
      <c r="BW26" s="1542"/>
      <c r="BX26" s="1542"/>
      <c r="BY26" s="1542"/>
      <c r="BZ26" s="1542"/>
      <c r="CA26" s="1542"/>
      <c r="CB26" s="1542"/>
      <c r="CC26" s="1542"/>
      <c r="CD26" s="1542"/>
      <c r="CE26" s="1542"/>
      <c r="CF26" s="1542"/>
      <c r="CG26" s="1542"/>
      <c r="CH26" s="1542"/>
      <c r="CI26" s="1542"/>
      <c r="CJ26" s="1542"/>
      <c r="CK26" s="1542"/>
      <c r="CL26" s="1542"/>
      <c r="CM26" s="1542"/>
      <c r="CN26" s="1542"/>
      <c r="CO26" s="1542"/>
      <c r="CP26" s="1542"/>
      <c r="CQ26" s="1542"/>
      <c r="CR26" s="1542"/>
      <c r="CS26" s="1542"/>
      <c r="CT26" s="1542"/>
      <c r="CU26" s="1542"/>
      <c r="CV26" s="1542"/>
      <c r="CW26" s="1542"/>
      <c r="CX26" s="1542"/>
      <c r="CY26" s="1542"/>
      <c r="CZ26" s="1542"/>
      <c r="DA26" s="1542"/>
      <c r="DB26" s="1542"/>
      <c r="DC26" s="1542"/>
      <c r="DD26" s="1542"/>
      <c r="DE26" s="1542"/>
      <c r="DF26" s="1542"/>
      <c r="DG26" s="1542"/>
      <c r="DH26" s="1542"/>
      <c r="DI26" s="1542"/>
      <c r="DJ26" s="1542"/>
      <c r="DK26" s="1542"/>
      <c r="DL26" s="1542"/>
      <c r="DM26" s="1542"/>
      <c r="DN26" s="1542"/>
      <c r="DO26" s="1542"/>
      <c r="DP26" s="1542"/>
      <c r="DQ26" s="1542"/>
      <c r="DR26" s="1542"/>
      <c r="DS26" s="1542"/>
      <c r="DT26" s="1542"/>
      <c r="DU26" s="1542"/>
      <c r="DV26" s="1542"/>
      <c r="DW26" s="1542"/>
      <c r="DX26" s="1542"/>
      <c r="DY26" s="1542"/>
      <c r="DZ26" s="1542"/>
      <c r="EA26" s="1542"/>
      <c r="EB26" s="1542"/>
      <c r="EC26" s="1542"/>
      <c r="ED26" s="1542"/>
      <c r="EE26" s="1542"/>
      <c r="EF26" s="1042"/>
      <c r="EG26" s="1042"/>
      <c r="EH26" s="1543"/>
      <c r="EI26" s="1543"/>
      <c r="EJ26" s="1543"/>
      <c r="EK26" s="1543"/>
      <c r="EL26" s="1543"/>
      <c r="EM26" s="1543"/>
      <c r="EN26" s="1543"/>
      <c r="EO26" s="1543"/>
      <c r="EP26" s="1543"/>
      <c r="EQ26" s="1543"/>
      <c r="ER26" s="1543"/>
      <c r="ES26" s="1543"/>
      <c r="ET26" s="1543"/>
      <c r="EU26" s="1543"/>
      <c r="EV26" s="1543"/>
      <c r="EW26" s="1543"/>
      <c r="EX26" s="1543"/>
      <c r="EY26" s="1543"/>
      <c r="EZ26" s="1543"/>
    </row>
    <row r="27" spans="1:156" s="323" customFormat="1" ht="15" customHeight="1">
      <c r="A27" s="350"/>
      <c r="B27" s="381"/>
      <c r="C27" s="1510"/>
      <c r="D27" s="1510"/>
      <c r="E27" s="1510"/>
      <c r="F27" s="1510"/>
      <c r="G27" s="1510"/>
      <c r="H27" s="1510"/>
      <c r="I27" s="1510"/>
      <c r="J27" s="1510"/>
      <c r="K27" s="1510"/>
      <c r="L27" s="1510"/>
      <c r="M27" s="1510"/>
      <c r="N27" s="1510"/>
      <c r="O27" s="1510"/>
      <c r="P27" s="1510"/>
      <c r="Q27" s="1510"/>
      <c r="R27" s="205"/>
      <c r="S27" s="1046"/>
      <c r="T27" s="1518"/>
      <c r="U27" s="1518"/>
      <c r="V27" s="1518"/>
      <c r="W27" s="1518"/>
      <c r="X27" s="1518"/>
      <c r="Y27" s="1518"/>
      <c r="Z27" s="1518"/>
      <c r="AA27" s="1518"/>
      <c r="AB27" s="1518"/>
      <c r="AC27" s="1518"/>
      <c r="AD27" s="1518"/>
      <c r="AE27" s="1518"/>
      <c r="AF27" s="1518"/>
      <c r="AG27" s="1518"/>
      <c r="AH27" s="1518"/>
      <c r="AI27" s="1518"/>
      <c r="AJ27" s="1518"/>
      <c r="AK27" s="1518"/>
      <c r="AL27" s="1518"/>
      <c r="AM27" s="1518"/>
      <c r="AN27" s="1518"/>
      <c r="AO27" s="1518"/>
      <c r="AP27" s="1518"/>
      <c r="AQ27" s="1518"/>
      <c r="AR27" s="1518"/>
      <c r="AS27" s="1518"/>
      <c r="AT27" s="1046"/>
      <c r="AU27" s="1046"/>
      <c r="AV27" s="382"/>
      <c r="AW27" s="382"/>
      <c r="AX27" s="1542"/>
      <c r="AY27" s="1542"/>
      <c r="AZ27" s="1542"/>
      <c r="BA27" s="1542"/>
      <c r="BB27" s="1542"/>
      <c r="BC27" s="1542"/>
      <c r="BD27" s="1542"/>
      <c r="BE27" s="1542"/>
      <c r="BF27" s="1542"/>
      <c r="BG27" s="1542"/>
      <c r="BH27" s="1542"/>
      <c r="BI27" s="1542"/>
      <c r="BJ27" s="1542"/>
      <c r="BK27" s="1542"/>
      <c r="BL27" s="1542"/>
      <c r="BM27" s="1542"/>
      <c r="BN27" s="1542"/>
      <c r="BO27" s="1542"/>
      <c r="BP27" s="1542"/>
      <c r="BQ27" s="1542"/>
      <c r="BR27" s="1542"/>
      <c r="BS27" s="1542"/>
      <c r="BT27" s="1542"/>
      <c r="BU27" s="1542"/>
      <c r="BV27" s="1542"/>
      <c r="BW27" s="1542"/>
      <c r="BX27" s="1542"/>
      <c r="BY27" s="1542"/>
      <c r="BZ27" s="1542"/>
      <c r="CA27" s="1542"/>
      <c r="CB27" s="1542"/>
      <c r="CC27" s="1542"/>
      <c r="CD27" s="1542"/>
      <c r="CE27" s="1542"/>
      <c r="CF27" s="1542"/>
      <c r="CG27" s="1542"/>
      <c r="CH27" s="1542"/>
      <c r="CI27" s="1542"/>
      <c r="CJ27" s="1542"/>
      <c r="CK27" s="1542"/>
      <c r="CL27" s="1542"/>
      <c r="CM27" s="1542"/>
      <c r="CN27" s="1542"/>
      <c r="CO27" s="1542"/>
      <c r="CP27" s="1542"/>
      <c r="CQ27" s="1542"/>
      <c r="CR27" s="1542"/>
      <c r="CS27" s="1542"/>
      <c r="CT27" s="1542"/>
      <c r="CU27" s="1542"/>
      <c r="CV27" s="1542"/>
      <c r="CW27" s="1542"/>
      <c r="CX27" s="1542"/>
      <c r="CY27" s="1542"/>
      <c r="CZ27" s="1542"/>
      <c r="DA27" s="1542"/>
      <c r="DB27" s="1542"/>
      <c r="DC27" s="1542"/>
      <c r="DD27" s="1542"/>
      <c r="DE27" s="1542"/>
      <c r="DF27" s="1542"/>
      <c r="DG27" s="1542"/>
      <c r="DH27" s="1542"/>
      <c r="DI27" s="1542"/>
      <c r="DJ27" s="1542"/>
      <c r="DK27" s="1542"/>
      <c r="DL27" s="1542"/>
      <c r="DM27" s="1542"/>
      <c r="DN27" s="1542"/>
      <c r="DO27" s="1542"/>
      <c r="DP27" s="1542"/>
      <c r="DQ27" s="1542"/>
      <c r="DR27" s="1542"/>
      <c r="DS27" s="1542"/>
      <c r="DT27" s="1542"/>
      <c r="DU27" s="1542"/>
      <c r="DV27" s="1542"/>
      <c r="DW27" s="1542"/>
      <c r="DX27" s="1542"/>
      <c r="DY27" s="1542"/>
      <c r="DZ27" s="1542"/>
      <c r="EA27" s="1542"/>
      <c r="EB27" s="1542"/>
      <c r="EC27" s="1542"/>
      <c r="ED27" s="1542"/>
      <c r="EE27" s="1542"/>
      <c r="EF27" s="1042"/>
      <c r="EG27" s="1042"/>
      <c r="EH27" s="1543"/>
      <c r="EI27" s="1543"/>
      <c r="EJ27" s="1543"/>
      <c r="EK27" s="1543"/>
      <c r="EL27" s="1543"/>
      <c r="EM27" s="1543"/>
      <c r="EN27" s="1543"/>
      <c r="EO27" s="1543"/>
      <c r="EP27" s="1543"/>
      <c r="EQ27" s="1543"/>
      <c r="ER27" s="1543"/>
      <c r="ES27" s="1543"/>
      <c r="ET27" s="1543"/>
      <c r="EU27" s="1543"/>
      <c r="EV27" s="1543"/>
      <c r="EW27" s="1543"/>
      <c r="EX27" s="1543"/>
      <c r="EY27" s="1543"/>
      <c r="EZ27" s="1543"/>
    </row>
    <row r="28" spans="1:156" s="323" customFormat="1" ht="15" customHeight="1">
      <c r="A28" s="350"/>
      <c r="B28" s="381"/>
      <c r="C28" s="1510"/>
      <c r="D28" s="1510"/>
      <c r="E28" s="1510"/>
      <c r="F28" s="1510"/>
      <c r="G28" s="1510"/>
      <c r="H28" s="1510"/>
      <c r="I28" s="1510"/>
      <c r="J28" s="1510"/>
      <c r="K28" s="1510"/>
      <c r="L28" s="1510"/>
      <c r="M28" s="1510"/>
      <c r="N28" s="1510"/>
      <c r="O28" s="1510"/>
      <c r="P28" s="1510"/>
      <c r="Q28" s="1510"/>
      <c r="R28" s="205"/>
      <c r="S28" s="1046"/>
      <c r="T28" s="1518"/>
      <c r="U28" s="1518"/>
      <c r="V28" s="1518"/>
      <c r="W28" s="1518"/>
      <c r="X28" s="1518"/>
      <c r="Y28" s="1518"/>
      <c r="Z28" s="1518"/>
      <c r="AA28" s="1518"/>
      <c r="AB28" s="1518"/>
      <c r="AC28" s="1518"/>
      <c r="AD28" s="1518"/>
      <c r="AE28" s="1518"/>
      <c r="AF28" s="1518"/>
      <c r="AG28" s="1518"/>
      <c r="AH28" s="1518"/>
      <c r="AI28" s="1518"/>
      <c r="AJ28" s="1518"/>
      <c r="AK28" s="1518"/>
      <c r="AL28" s="1518"/>
      <c r="AM28" s="1518"/>
      <c r="AN28" s="1518"/>
      <c r="AO28" s="1518"/>
      <c r="AP28" s="1518"/>
      <c r="AQ28" s="1518"/>
      <c r="AR28" s="1518"/>
      <c r="AS28" s="1518"/>
      <c r="AT28" s="1046"/>
      <c r="AU28" s="1046"/>
      <c r="AV28" s="382"/>
      <c r="AW28" s="382"/>
      <c r="AX28" s="1542"/>
      <c r="AY28" s="1542"/>
      <c r="AZ28" s="1542"/>
      <c r="BA28" s="1542"/>
      <c r="BB28" s="1542"/>
      <c r="BC28" s="1542"/>
      <c r="BD28" s="1542"/>
      <c r="BE28" s="1542"/>
      <c r="BF28" s="1542"/>
      <c r="BG28" s="1542"/>
      <c r="BH28" s="1542"/>
      <c r="BI28" s="1542"/>
      <c r="BJ28" s="1542"/>
      <c r="BK28" s="1542"/>
      <c r="BL28" s="1542"/>
      <c r="BM28" s="1542"/>
      <c r="BN28" s="1542"/>
      <c r="BO28" s="1542"/>
      <c r="BP28" s="1542"/>
      <c r="BQ28" s="1542"/>
      <c r="BR28" s="1542"/>
      <c r="BS28" s="1542"/>
      <c r="BT28" s="1542"/>
      <c r="BU28" s="1542"/>
      <c r="BV28" s="1542"/>
      <c r="BW28" s="1542"/>
      <c r="BX28" s="1542"/>
      <c r="BY28" s="1542"/>
      <c r="BZ28" s="1542"/>
      <c r="CA28" s="1542"/>
      <c r="CB28" s="1542"/>
      <c r="CC28" s="1542"/>
      <c r="CD28" s="1542"/>
      <c r="CE28" s="1542"/>
      <c r="CF28" s="1542"/>
      <c r="CG28" s="1542"/>
      <c r="CH28" s="1542"/>
      <c r="CI28" s="1542"/>
      <c r="CJ28" s="1542"/>
      <c r="CK28" s="1542"/>
      <c r="CL28" s="1542"/>
      <c r="CM28" s="1542"/>
      <c r="CN28" s="1542"/>
      <c r="CO28" s="1542"/>
      <c r="CP28" s="1542"/>
      <c r="CQ28" s="1542"/>
      <c r="CR28" s="1542"/>
      <c r="CS28" s="1542"/>
      <c r="CT28" s="1542"/>
      <c r="CU28" s="1542"/>
      <c r="CV28" s="1542"/>
      <c r="CW28" s="1542"/>
      <c r="CX28" s="1542"/>
      <c r="CY28" s="1542"/>
      <c r="CZ28" s="1542"/>
      <c r="DA28" s="1542"/>
      <c r="DB28" s="1542"/>
      <c r="DC28" s="1542"/>
      <c r="DD28" s="1542"/>
      <c r="DE28" s="1542"/>
      <c r="DF28" s="1542"/>
      <c r="DG28" s="1542"/>
      <c r="DH28" s="1542"/>
      <c r="DI28" s="1542"/>
      <c r="DJ28" s="1542"/>
      <c r="DK28" s="1542"/>
      <c r="DL28" s="1542"/>
      <c r="DM28" s="1542"/>
      <c r="DN28" s="1542"/>
      <c r="DO28" s="1542"/>
      <c r="DP28" s="1542"/>
      <c r="DQ28" s="1542"/>
      <c r="DR28" s="1542"/>
      <c r="DS28" s="1542"/>
      <c r="DT28" s="1542"/>
      <c r="DU28" s="1542"/>
      <c r="DV28" s="1542"/>
      <c r="DW28" s="1542"/>
      <c r="DX28" s="1542"/>
      <c r="DY28" s="1542"/>
      <c r="DZ28" s="1542"/>
      <c r="EA28" s="1542"/>
      <c r="EB28" s="1542"/>
      <c r="EC28" s="1542"/>
      <c r="ED28" s="1542"/>
      <c r="EE28" s="1542"/>
      <c r="EF28" s="1042"/>
      <c r="EG28" s="1042"/>
      <c r="EH28" s="1543"/>
      <c r="EI28" s="1543"/>
      <c r="EJ28" s="1543"/>
      <c r="EK28" s="1543"/>
      <c r="EL28" s="1543"/>
      <c r="EM28" s="1543"/>
      <c r="EN28" s="1543"/>
      <c r="EO28" s="1543"/>
      <c r="EP28" s="1543"/>
      <c r="EQ28" s="1543"/>
      <c r="ER28" s="1543"/>
      <c r="ES28" s="1543"/>
      <c r="ET28" s="1543"/>
      <c r="EU28" s="1543"/>
      <c r="EV28" s="1543"/>
      <c r="EW28" s="1543"/>
      <c r="EX28" s="1543"/>
      <c r="EY28" s="1543"/>
      <c r="EZ28" s="1543"/>
    </row>
    <row r="29" spans="1:156" s="323" customFormat="1" ht="15" customHeight="1">
      <c r="A29" s="350"/>
      <c r="B29" s="381"/>
      <c r="C29" s="1510"/>
      <c r="D29" s="1510"/>
      <c r="E29" s="1510"/>
      <c r="F29" s="1510"/>
      <c r="G29" s="1510"/>
      <c r="H29" s="1510"/>
      <c r="I29" s="1510"/>
      <c r="J29" s="1510"/>
      <c r="K29" s="1510"/>
      <c r="L29" s="1510"/>
      <c r="M29" s="1510"/>
      <c r="N29" s="1510"/>
      <c r="O29" s="1510"/>
      <c r="P29" s="1510"/>
      <c r="Q29" s="1510"/>
      <c r="R29" s="205"/>
      <c r="S29" s="1046"/>
      <c r="T29" s="1518"/>
      <c r="U29" s="1518"/>
      <c r="V29" s="1518"/>
      <c r="W29" s="1518"/>
      <c r="X29" s="1518"/>
      <c r="Y29" s="1518"/>
      <c r="Z29" s="1518"/>
      <c r="AA29" s="1518"/>
      <c r="AB29" s="1518"/>
      <c r="AC29" s="1518"/>
      <c r="AD29" s="1518"/>
      <c r="AE29" s="1518"/>
      <c r="AF29" s="1518"/>
      <c r="AG29" s="1518"/>
      <c r="AH29" s="1518"/>
      <c r="AI29" s="1518"/>
      <c r="AJ29" s="1518"/>
      <c r="AK29" s="1518"/>
      <c r="AL29" s="1518"/>
      <c r="AM29" s="1518"/>
      <c r="AN29" s="1518"/>
      <c r="AO29" s="1518"/>
      <c r="AP29" s="1518"/>
      <c r="AQ29" s="1518"/>
      <c r="AR29" s="1518"/>
      <c r="AS29" s="1518"/>
      <c r="AT29" s="1046"/>
      <c r="AU29" s="1046"/>
      <c r="AV29" s="382"/>
      <c r="AW29" s="382"/>
      <c r="AX29" s="1542"/>
      <c r="AY29" s="1542"/>
      <c r="AZ29" s="1542"/>
      <c r="BA29" s="1542"/>
      <c r="BB29" s="1542"/>
      <c r="BC29" s="1542"/>
      <c r="BD29" s="1542"/>
      <c r="BE29" s="1542"/>
      <c r="BF29" s="1542"/>
      <c r="BG29" s="1542"/>
      <c r="BH29" s="1542"/>
      <c r="BI29" s="1542"/>
      <c r="BJ29" s="1542"/>
      <c r="BK29" s="1542"/>
      <c r="BL29" s="1542"/>
      <c r="BM29" s="1542"/>
      <c r="BN29" s="1542"/>
      <c r="BO29" s="1542"/>
      <c r="BP29" s="1542"/>
      <c r="BQ29" s="1542"/>
      <c r="BR29" s="1542"/>
      <c r="BS29" s="1542"/>
      <c r="BT29" s="1542"/>
      <c r="BU29" s="1542"/>
      <c r="BV29" s="1542"/>
      <c r="BW29" s="1542"/>
      <c r="BX29" s="1542"/>
      <c r="BY29" s="1542"/>
      <c r="BZ29" s="1542"/>
      <c r="CA29" s="1542"/>
      <c r="CB29" s="1542"/>
      <c r="CC29" s="1542"/>
      <c r="CD29" s="1542"/>
      <c r="CE29" s="1542"/>
      <c r="CF29" s="1542"/>
      <c r="CG29" s="1542"/>
      <c r="CH29" s="1542"/>
      <c r="CI29" s="1542"/>
      <c r="CJ29" s="1542"/>
      <c r="CK29" s="1542"/>
      <c r="CL29" s="1542"/>
      <c r="CM29" s="1542"/>
      <c r="CN29" s="1542"/>
      <c r="CO29" s="1542"/>
      <c r="CP29" s="1542"/>
      <c r="CQ29" s="1542"/>
      <c r="CR29" s="1542"/>
      <c r="CS29" s="1542"/>
      <c r="CT29" s="1542"/>
      <c r="CU29" s="1542"/>
      <c r="CV29" s="1542"/>
      <c r="CW29" s="1542"/>
      <c r="CX29" s="1542"/>
      <c r="CY29" s="1542"/>
      <c r="CZ29" s="1542"/>
      <c r="DA29" s="1542"/>
      <c r="DB29" s="1542"/>
      <c r="DC29" s="1542"/>
      <c r="DD29" s="1542"/>
      <c r="DE29" s="1542"/>
      <c r="DF29" s="1542"/>
      <c r="DG29" s="1542"/>
      <c r="DH29" s="1542"/>
      <c r="DI29" s="1542"/>
      <c r="DJ29" s="1542"/>
      <c r="DK29" s="1542"/>
      <c r="DL29" s="1542"/>
      <c r="DM29" s="1542"/>
      <c r="DN29" s="1542"/>
      <c r="DO29" s="1542"/>
      <c r="DP29" s="1542"/>
      <c r="DQ29" s="1542"/>
      <c r="DR29" s="1542"/>
      <c r="DS29" s="1542"/>
      <c r="DT29" s="1542"/>
      <c r="DU29" s="1542"/>
      <c r="DV29" s="1542"/>
      <c r="DW29" s="1542"/>
      <c r="DX29" s="1542"/>
      <c r="DY29" s="1542"/>
      <c r="DZ29" s="1542"/>
      <c r="EA29" s="1542"/>
      <c r="EB29" s="1542"/>
      <c r="EC29" s="1542"/>
      <c r="ED29" s="1542"/>
      <c r="EE29" s="1542"/>
      <c r="EF29" s="1042"/>
      <c r="EG29" s="1042"/>
      <c r="EH29" s="1543"/>
      <c r="EI29" s="1543"/>
      <c r="EJ29" s="1543"/>
      <c r="EK29" s="1543"/>
      <c r="EL29" s="1543"/>
      <c r="EM29" s="1543"/>
      <c r="EN29" s="1543"/>
      <c r="EO29" s="1543"/>
      <c r="EP29" s="1543"/>
      <c r="EQ29" s="1543"/>
      <c r="ER29" s="1543"/>
      <c r="ES29" s="1543"/>
      <c r="ET29" s="1543"/>
      <c r="EU29" s="1543"/>
      <c r="EV29" s="1543"/>
      <c r="EW29" s="1543"/>
      <c r="EX29" s="1543"/>
      <c r="EY29" s="1543"/>
      <c r="EZ29" s="1543"/>
    </row>
    <row r="30" spans="1:156" s="323" customFormat="1" ht="15" customHeight="1">
      <c r="A30" s="350"/>
      <c r="B30" s="381"/>
      <c r="C30" s="1510"/>
      <c r="D30" s="1510"/>
      <c r="E30" s="1510"/>
      <c r="F30" s="1510"/>
      <c r="G30" s="1510"/>
      <c r="H30" s="1510"/>
      <c r="I30" s="1510"/>
      <c r="J30" s="1510"/>
      <c r="K30" s="1510"/>
      <c r="L30" s="1510"/>
      <c r="M30" s="1510"/>
      <c r="N30" s="1510"/>
      <c r="O30" s="1510"/>
      <c r="P30" s="1510"/>
      <c r="Q30" s="1510"/>
      <c r="R30" s="205"/>
      <c r="S30" s="1046"/>
      <c r="T30" s="1518"/>
      <c r="U30" s="1518"/>
      <c r="V30" s="1518"/>
      <c r="W30" s="1518"/>
      <c r="X30" s="1518"/>
      <c r="Y30" s="1518"/>
      <c r="Z30" s="1518"/>
      <c r="AA30" s="1518"/>
      <c r="AB30" s="1518"/>
      <c r="AC30" s="1518"/>
      <c r="AD30" s="1518"/>
      <c r="AE30" s="1518"/>
      <c r="AF30" s="1518"/>
      <c r="AG30" s="1518"/>
      <c r="AH30" s="1518"/>
      <c r="AI30" s="1518"/>
      <c r="AJ30" s="1518"/>
      <c r="AK30" s="1518"/>
      <c r="AL30" s="1518"/>
      <c r="AM30" s="1518"/>
      <c r="AN30" s="1518"/>
      <c r="AO30" s="1518"/>
      <c r="AP30" s="1518"/>
      <c r="AQ30" s="1518"/>
      <c r="AR30" s="1518"/>
      <c r="AS30" s="1518"/>
      <c r="AT30" s="1046"/>
      <c r="AU30" s="1046"/>
      <c r="AV30" s="382"/>
      <c r="AW30" s="382"/>
      <c r="AX30" s="1542"/>
      <c r="AY30" s="1542"/>
      <c r="AZ30" s="1542"/>
      <c r="BA30" s="1542"/>
      <c r="BB30" s="1542"/>
      <c r="BC30" s="1542"/>
      <c r="BD30" s="1542"/>
      <c r="BE30" s="1542"/>
      <c r="BF30" s="1542"/>
      <c r="BG30" s="1542"/>
      <c r="BH30" s="1542"/>
      <c r="BI30" s="1542"/>
      <c r="BJ30" s="1542"/>
      <c r="BK30" s="1542"/>
      <c r="BL30" s="1542"/>
      <c r="BM30" s="1542"/>
      <c r="BN30" s="1542"/>
      <c r="BO30" s="1542"/>
      <c r="BP30" s="1542"/>
      <c r="BQ30" s="1542"/>
      <c r="BR30" s="1542"/>
      <c r="BS30" s="1542"/>
      <c r="BT30" s="1542"/>
      <c r="BU30" s="1542"/>
      <c r="BV30" s="1542"/>
      <c r="BW30" s="1542"/>
      <c r="BX30" s="1542"/>
      <c r="BY30" s="1542"/>
      <c r="BZ30" s="1542"/>
      <c r="CA30" s="1542"/>
      <c r="CB30" s="1542"/>
      <c r="CC30" s="1542"/>
      <c r="CD30" s="1542"/>
      <c r="CE30" s="1542"/>
      <c r="CF30" s="1542"/>
      <c r="CG30" s="1542"/>
      <c r="CH30" s="1542"/>
      <c r="CI30" s="1542"/>
      <c r="CJ30" s="1542"/>
      <c r="CK30" s="1542"/>
      <c r="CL30" s="1542"/>
      <c r="CM30" s="1542"/>
      <c r="CN30" s="1542"/>
      <c r="CO30" s="1542"/>
      <c r="CP30" s="1542"/>
      <c r="CQ30" s="1542"/>
      <c r="CR30" s="1542"/>
      <c r="CS30" s="1542"/>
      <c r="CT30" s="1542"/>
      <c r="CU30" s="1542"/>
      <c r="CV30" s="1542"/>
      <c r="CW30" s="1542"/>
      <c r="CX30" s="1542"/>
      <c r="CY30" s="1542"/>
      <c r="CZ30" s="1542"/>
      <c r="DA30" s="1542"/>
      <c r="DB30" s="1542"/>
      <c r="DC30" s="1542"/>
      <c r="DD30" s="1542"/>
      <c r="DE30" s="1542"/>
      <c r="DF30" s="1542"/>
      <c r="DG30" s="1542"/>
      <c r="DH30" s="1542"/>
      <c r="DI30" s="1542"/>
      <c r="DJ30" s="1542"/>
      <c r="DK30" s="1542"/>
      <c r="DL30" s="1542"/>
      <c r="DM30" s="1542"/>
      <c r="DN30" s="1542"/>
      <c r="DO30" s="1542"/>
      <c r="DP30" s="1542"/>
      <c r="DQ30" s="1542"/>
      <c r="DR30" s="1542"/>
      <c r="DS30" s="1542"/>
      <c r="DT30" s="1542"/>
      <c r="DU30" s="1542"/>
      <c r="DV30" s="1542"/>
      <c r="DW30" s="1542"/>
      <c r="DX30" s="1542"/>
      <c r="DY30" s="1542"/>
      <c r="DZ30" s="1542"/>
      <c r="EA30" s="1542"/>
      <c r="EB30" s="1542"/>
      <c r="EC30" s="1542"/>
      <c r="ED30" s="1542"/>
      <c r="EE30" s="1542"/>
      <c r="EF30" s="1042"/>
      <c r="EG30" s="1042"/>
      <c r="EH30" s="1543"/>
      <c r="EI30" s="1543"/>
      <c r="EJ30" s="1543"/>
      <c r="EK30" s="1543"/>
      <c r="EL30" s="1543"/>
      <c r="EM30" s="1543"/>
      <c r="EN30" s="1543"/>
      <c r="EO30" s="1543"/>
      <c r="EP30" s="1543"/>
      <c r="EQ30" s="1543"/>
      <c r="ER30" s="1543"/>
      <c r="ES30" s="1543"/>
      <c r="ET30" s="1543"/>
      <c r="EU30" s="1543"/>
      <c r="EV30" s="1543"/>
      <c r="EW30" s="1543"/>
      <c r="EX30" s="1543"/>
      <c r="EY30" s="1543"/>
      <c r="EZ30" s="1543"/>
    </row>
    <row r="31" spans="1:156" s="323" customFormat="1" ht="15" customHeight="1">
      <c r="A31" s="350"/>
      <c r="B31" s="381"/>
      <c r="C31" s="1510"/>
      <c r="D31" s="1510"/>
      <c r="E31" s="1510"/>
      <c r="F31" s="1510"/>
      <c r="G31" s="1510"/>
      <c r="H31" s="1510"/>
      <c r="I31" s="1510"/>
      <c r="J31" s="1510"/>
      <c r="K31" s="1510"/>
      <c r="L31" s="1510"/>
      <c r="M31" s="1510"/>
      <c r="N31" s="1510"/>
      <c r="O31" s="1510"/>
      <c r="P31" s="1510"/>
      <c r="Q31" s="1510"/>
      <c r="R31" s="205"/>
      <c r="S31" s="1046"/>
      <c r="T31" s="1518"/>
      <c r="U31" s="1518"/>
      <c r="V31" s="1518"/>
      <c r="W31" s="1518"/>
      <c r="X31" s="1518"/>
      <c r="Y31" s="1518"/>
      <c r="Z31" s="1518"/>
      <c r="AA31" s="1518"/>
      <c r="AB31" s="1518"/>
      <c r="AC31" s="1518"/>
      <c r="AD31" s="1518"/>
      <c r="AE31" s="1518"/>
      <c r="AF31" s="1518"/>
      <c r="AG31" s="1518"/>
      <c r="AH31" s="1518"/>
      <c r="AI31" s="1518"/>
      <c r="AJ31" s="1518"/>
      <c r="AK31" s="1518"/>
      <c r="AL31" s="1518"/>
      <c r="AM31" s="1518"/>
      <c r="AN31" s="1518"/>
      <c r="AO31" s="1518"/>
      <c r="AP31" s="1518"/>
      <c r="AQ31" s="1518"/>
      <c r="AR31" s="1518"/>
      <c r="AS31" s="1518"/>
      <c r="AT31" s="1046"/>
      <c r="AU31" s="1046"/>
      <c r="AV31" s="382"/>
      <c r="AW31" s="382"/>
      <c r="AX31" s="1542"/>
      <c r="AY31" s="1542"/>
      <c r="AZ31" s="1542"/>
      <c r="BA31" s="1542"/>
      <c r="BB31" s="1542"/>
      <c r="BC31" s="1542"/>
      <c r="BD31" s="1542"/>
      <c r="BE31" s="1542"/>
      <c r="BF31" s="1542"/>
      <c r="BG31" s="1542"/>
      <c r="BH31" s="1542"/>
      <c r="BI31" s="1542"/>
      <c r="BJ31" s="1542"/>
      <c r="BK31" s="1542"/>
      <c r="BL31" s="1542"/>
      <c r="BM31" s="1542"/>
      <c r="BN31" s="1542"/>
      <c r="BO31" s="1542"/>
      <c r="BP31" s="1542"/>
      <c r="BQ31" s="1542"/>
      <c r="BR31" s="1542"/>
      <c r="BS31" s="1542"/>
      <c r="BT31" s="1542"/>
      <c r="BU31" s="1542"/>
      <c r="BV31" s="1542"/>
      <c r="BW31" s="1542"/>
      <c r="BX31" s="1542"/>
      <c r="BY31" s="1542"/>
      <c r="BZ31" s="1542"/>
      <c r="CA31" s="1542"/>
      <c r="CB31" s="1542"/>
      <c r="CC31" s="1542"/>
      <c r="CD31" s="1542"/>
      <c r="CE31" s="1542"/>
      <c r="CF31" s="1542"/>
      <c r="CG31" s="1542"/>
      <c r="CH31" s="1542"/>
      <c r="CI31" s="1542"/>
      <c r="CJ31" s="1542"/>
      <c r="CK31" s="1542"/>
      <c r="CL31" s="1542"/>
      <c r="CM31" s="1542"/>
      <c r="CN31" s="1542"/>
      <c r="CO31" s="1542"/>
      <c r="CP31" s="1542"/>
      <c r="CQ31" s="1542"/>
      <c r="CR31" s="1542"/>
      <c r="CS31" s="1542"/>
      <c r="CT31" s="1542"/>
      <c r="CU31" s="1542"/>
      <c r="CV31" s="1542"/>
      <c r="CW31" s="1542"/>
      <c r="CX31" s="1542"/>
      <c r="CY31" s="1542"/>
      <c r="CZ31" s="1542"/>
      <c r="DA31" s="1542"/>
      <c r="DB31" s="1542"/>
      <c r="DC31" s="1542"/>
      <c r="DD31" s="1542"/>
      <c r="DE31" s="1542"/>
      <c r="DF31" s="1542"/>
      <c r="DG31" s="1542"/>
      <c r="DH31" s="1542"/>
      <c r="DI31" s="1542"/>
      <c r="DJ31" s="1542"/>
      <c r="DK31" s="1542"/>
      <c r="DL31" s="1542"/>
      <c r="DM31" s="1542"/>
      <c r="DN31" s="1542"/>
      <c r="DO31" s="1542"/>
      <c r="DP31" s="1542"/>
      <c r="DQ31" s="1542"/>
      <c r="DR31" s="1542"/>
      <c r="DS31" s="1542"/>
      <c r="DT31" s="1542"/>
      <c r="DU31" s="1542"/>
      <c r="DV31" s="1542"/>
      <c r="DW31" s="1542"/>
      <c r="DX31" s="1542"/>
      <c r="DY31" s="1542"/>
      <c r="DZ31" s="1542"/>
      <c r="EA31" s="1542"/>
      <c r="EB31" s="1542"/>
      <c r="EC31" s="1542"/>
      <c r="ED31" s="1542"/>
      <c r="EE31" s="1542"/>
      <c r="EF31" s="1042"/>
      <c r="EG31" s="1042"/>
      <c r="EH31" s="1543"/>
      <c r="EI31" s="1543"/>
      <c r="EJ31" s="1543"/>
      <c r="EK31" s="1543"/>
      <c r="EL31" s="1543"/>
      <c r="EM31" s="1543"/>
      <c r="EN31" s="1543"/>
      <c r="EO31" s="1543"/>
      <c r="EP31" s="1543"/>
      <c r="EQ31" s="1543"/>
      <c r="ER31" s="1543"/>
      <c r="ES31" s="1543"/>
      <c r="ET31" s="1543"/>
      <c r="EU31" s="1543"/>
      <c r="EV31" s="1543"/>
      <c r="EW31" s="1543"/>
      <c r="EX31" s="1543"/>
      <c r="EY31" s="1543"/>
      <c r="EZ31" s="1543"/>
    </row>
    <row r="32" spans="1:156" s="323" customFormat="1" ht="15" customHeight="1">
      <c r="A32" s="350"/>
      <c r="B32" s="381"/>
      <c r="C32" s="1510"/>
      <c r="D32" s="1510"/>
      <c r="E32" s="1510"/>
      <c r="F32" s="1510"/>
      <c r="G32" s="1510"/>
      <c r="H32" s="1510"/>
      <c r="I32" s="1510"/>
      <c r="J32" s="1510"/>
      <c r="K32" s="1510"/>
      <c r="L32" s="1510"/>
      <c r="M32" s="1510"/>
      <c r="N32" s="1510"/>
      <c r="O32" s="1510"/>
      <c r="P32" s="1510"/>
      <c r="Q32" s="1510"/>
      <c r="R32" s="205"/>
      <c r="S32" s="1046"/>
      <c r="T32" s="1518"/>
      <c r="U32" s="1518"/>
      <c r="V32" s="1518"/>
      <c r="W32" s="1518"/>
      <c r="X32" s="1518"/>
      <c r="Y32" s="1518"/>
      <c r="Z32" s="1518"/>
      <c r="AA32" s="1518"/>
      <c r="AB32" s="1518"/>
      <c r="AC32" s="1518"/>
      <c r="AD32" s="1518"/>
      <c r="AE32" s="1518"/>
      <c r="AF32" s="1518"/>
      <c r="AG32" s="1518"/>
      <c r="AH32" s="1518"/>
      <c r="AI32" s="1518"/>
      <c r="AJ32" s="1518"/>
      <c r="AK32" s="1518"/>
      <c r="AL32" s="1518"/>
      <c r="AM32" s="1518"/>
      <c r="AN32" s="1518"/>
      <c r="AO32" s="1518"/>
      <c r="AP32" s="1518"/>
      <c r="AQ32" s="1518"/>
      <c r="AR32" s="1518"/>
      <c r="AS32" s="1518"/>
      <c r="AT32" s="1046"/>
      <c r="AU32" s="1046"/>
      <c r="AV32" s="382"/>
      <c r="AW32" s="382"/>
      <c r="AX32" s="1542"/>
      <c r="AY32" s="1542"/>
      <c r="AZ32" s="1542"/>
      <c r="BA32" s="1542"/>
      <c r="BB32" s="1542"/>
      <c r="BC32" s="1542"/>
      <c r="BD32" s="1542"/>
      <c r="BE32" s="1542"/>
      <c r="BF32" s="1542"/>
      <c r="BG32" s="1542"/>
      <c r="BH32" s="1542"/>
      <c r="BI32" s="1542"/>
      <c r="BJ32" s="1542"/>
      <c r="BK32" s="1542"/>
      <c r="BL32" s="1542"/>
      <c r="BM32" s="1542"/>
      <c r="BN32" s="1542"/>
      <c r="BO32" s="1542"/>
      <c r="BP32" s="1542"/>
      <c r="BQ32" s="1542"/>
      <c r="BR32" s="1542"/>
      <c r="BS32" s="1542"/>
      <c r="BT32" s="1542"/>
      <c r="BU32" s="1542"/>
      <c r="BV32" s="1542"/>
      <c r="BW32" s="1542"/>
      <c r="BX32" s="1542"/>
      <c r="BY32" s="1542"/>
      <c r="BZ32" s="1542"/>
      <c r="CA32" s="1542"/>
      <c r="CB32" s="1542"/>
      <c r="CC32" s="1542"/>
      <c r="CD32" s="1542"/>
      <c r="CE32" s="1542"/>
      <c r="CF32" s="1542"/>
      <c r="CG32" s="1542"/>
      <c r="CH32" s="1542"/>
      <c r="CI32" s="1542"/>
      <c r="CJ32" s="1542"/>
      <c r="CK32" s="1542"/>
      <c r="CL32" s="1542"/>
      <c r="CM32" s="1542"/>
      <c r="CN32" s="1542"/>
      <c r="CO32" s="1542"/>
      <c r="CP32" s="1542"/>
      <c r="CQ32" s="1542"/>
      <c r="CR32" s="1542"/>
      <c r="CS32" s="1542"/>
      <c r="CT32" s="1542"/>
      <c r="CU32" s="1542"/>
      <c r="CV32" s="1542"/>
      <c r="CW32" s="1542"/>
      <c r="CX32" s="1542"/>
      <c r="CY32" s="1542"/>
      <c r="CZ32" s="1542"/>
      <c r="DA32" s="1542"/>
      <c r="DB32" s="1542"/>
      <c r="DC32" s="1542"/>
      <c r="DD32" s="1542"/>
      <c r="DE32" s="1542"/>
      <c r="DF32" s="1542"/>
      <c r="DG32" s="1542"/>
      <c r="DH32" s="1542"/>
      <c r="DI32" s="1542"/>
      <c r="DJ32" s="1542"/>
      <c r="DK32" s="1542"/>
      <c r="DL32" s="1542"/>
      <c r="DM32" s="1542"/>
      <c r="DN32" s="1542"/>
      <c r="DO32" s="1542"/>
      <c r="DP32" s="1542"/>
      <c r="DQ32" s="1542"/>
      <c r="DR32" s="1542"/>
      <c r="DS32" s="1542"/>
      <c r="DT32" s="1542"/>
      <c r="DU32" s="1542"/>
      <c r="DV32" s="1542"/>
      <c r="DW32" s="1542"/>
      <c r="DX32" s="1542"/>
      <c r="DY32" s="1542"/>
      <c r="DZ32" s="1542"/>
      <c r="EA32" s="1542"/>
      <c r="EB32" s="1542"/>
      <c r="EC32" s="1542"/>
      <c r="ED32" s="1542"/>
      <c r="EE32" s="1542"/>
      <c r="EF32" s="1042"/>
      <c r="EG32" s="1042"/>
      <c r="EH32" s="1543"/>
      <c r="EI32" s="1543"/>
      <c r="EJ32" s="1543"/>
      <c r="EK32" s="1543"/>
      <c r="EL32" s="1543"/>
      <c r="EM32" s="1543"/>
      <c r="EN32" s="1543"/>
      <c r="EO32" s="1543"/>
      <c r="EP32" s="1543"/>
      <c r="EQ32" s="1543"/>
      <c r="ER32" s="1543"/>
      <c r="ES32" s="1543"/>
      <c r="ET32" s="1543"/>
      <c r="EU32" s="1543"/>
      <c r="EV32" s="1543"/>
      <c r="EW32" s="1543"/>
      <c r="EX32" s="1543"/>
      <c r="EY32" s="1543"/>
      <c r="EZ32" s="1543"/>
    </row>
    <row r="33" spans="1:156" s="323" customFormat="1" ht="15" customHeight="1">
      <c r="A33" s="350"/>
      <c r="B33" s="381"/>
      <c r="C33" s="1510"/>
      <c r="D33" s="1510"/>
      <c r="E33" s="1510"/>
      <c r="F33" s="1510"/>
      <c r="G33" s="1510"/>
      <c r="H33" s="1510"/>
      <c r="I33" s="1510"/>
      <c r="J33" s="1510"/>
      <c r="K33" s="1510"/>
      <c r="L33" s="1510"/>
      <c r="M33" s="1510"/>
      <c r="N33" s="1510"/>
      <c r="O33" s="1510"/>
      <c r="P33" s="1510"/>
      <c r="Q33" s="1510"/>
      <c r="R33" s="205"/>
      <c r="S33" s="1046"/>
      <c r="T33" s="1518"/>
      <c r="U33" s="1518"/>
      <c r="V33" s="1518"/>
      <c r="W33" s="1518"/>
      <c r="X33" s="1518"/>
      <c r="Y33" s="1518"/>
      <c r="Z33" s="1518"/>
      <c r="AA33" s="1518"/>
      <c r="AB33" s="1518"/>
      <c r="AC33" s="1518"/>
      <c r="AD33" s="1518"/>
      <c r="AE33" s="1518"/>
      <c r="AF33" s="1518"/>
      <c r="AG33" s="1518"/>
      <c r="AH33" s="1518"/>
      <c r="AI33" s="1518"/>
      <c r="AJ33" s="1518"/>
      <c r="AK33" s="1518"/>
      <c r="AL33" s="1518"/>
      <c r="AM33" s="1518"/>
      <c r="AN33" s="1518"/>
      <c r="AO33" s="1518"/>
      <c r="AP33" s="1518"/>
      <c r="AQ33" s="1518"/>
      <c r="AR33" s="1518"/>
      <c r="AS33" s="1518"/>
      <c r="AT33" s="1046"/>
      <c r="AU33" s="1046"/>
      <c r="AV33" s="382"/>
      <c r="AW33" s="382"/>
      <c r="AX33" s="1542"/>
      <c r="AY33" s="1542"/>
      <c r="AZ33" s="1542"/>
      <c r="BA33" s="1542"/>
      <c r="BB33" s="1542"/>
      <c r="BC33" s="1542"/>
      <c r="BD33" s="1542"/>
      <c r="BE33" s="1542"/>
      <c r="BF33" s="1542"/>
      <c r="BG33" s="1542"/>
      <c r="BH33" s="1542"/>
      <c r="BI33" s="1542"/>
      <c r="BJ33" s="1542"/>
      <c r="BK33" s="1542"/>
      <c r="BL33" s="1542"/>
      <c r="BM33" s="1542"/>
      <c r="BN33" s="1542"/>
      <c r="BO33" s="1542"/>
      <c r="BP33" s="1542"/>
      <c r="BQ33" s="1542"/>
      <c r="BR33" s="1542"/>
      <c r="BS33" s="1542"/>
      <c r="BT33" s="1542"/>
      <c r="BU33" s="1542"/>
      <c r="BV33" s="1542"/>
      <c r="BW33" s="1542"/>
      <c r="BX33" s="1542"/>
      <c r="BY33" s="1542"/>
      <c r="BZ33" s="1542"/>
      <c r="CA33" s="1542"/>
      <c r="CB33" s="1542"/>
      <c r="CC33" s="1542"/>
      <c r="CD33" s="1542"/>
      <c r="CE33" s="1542"/>
      <c r="CF33" s="1542"/>
      <c r="CG33" s="1542"/>
      <c r="CH33" s="1542"/>
      <c r="CI33" s="1542"/>
      <c r="CJ33" s="1542"/>
      <c r="CK33" s="1542"/>
      <c r="CL33" s="1542"/>
      <c r="CM33" s="1542"/>
      <c r="CN33" s="1542"/>
      <c r="CO33" s="1542"/>
      <c r="CP33" s="1542"/>
      <c r="CQ33" s="1542"/>
      <c r="CR33" s="1542"/>
      <c r="CS33" s="1542"/>
      <c r="CT33" s="1542"/>
      <c r="CU33" s="1542"/>
      <c r="CV33" s="1542"/>
      <c r="CW33" s="1542"/>
      <c r="CX33" s="1542"/>
      <c r="CY33" s="1542"/>
      <c r="CZ33" s="1542"/>
      <c r="DA33" s="1542"/>
      <c r="DB33" s="1542"/>
      <c r="DC33" s="1542"/>
      <c r="DD33" s="1542"/>
      <c r="DE33" s="1542"/>
      <c r="DF33" s="1542"/>
      <c r="DG33" s="1542"/>
      <c r="DH33" s="1542"/>
      <c r="DI33" s="1542"/>
      <c r="DJ33" s="1542"/>
      <c r="DK33" s="1542"/>
      <c r="DL33" s="1542"/>
      <c r="DM33" s="1542"/>
      <c r="DN33" s="1542"/>
      <c r="DO33" s="1542"/>
      <c r="DP33" s="1542"/>
      <c r="DQ33" s="1542"/>
      <c r="DR33" s="1542"/>
      <c r="DS33" s="1542"/>
      <c r="DT33" s="1542"/>
      <c r="DU33" s="1542"/>
      <c r="DV33" s="1542"/>
      <c r="DW33" s="1542"/>
      <c r="DX33" s="1542"/>
      <c r="DY33" s="1542"/>
      <c r="DZ33" s="1542"/>
      <c r="EA33" s="1542"/>
      <c r="EB33" s="1542"/>
      <c r="EC33" s="1542"/>
      <c r="ED33" s="1542"/>
      <c r="EE33" s="1542"/>
      <c r="EF33" s="1042"/>
      <c r="EG33" s="1042"/>
      <c r="EH33" s="1543"/>
      <c r="EI33" s="1543"/>
      <c r="EJ33" s="1543"/>
      <c r="EK33" s="1543"/>
      <c r="EL33" s="1543"/>
      <c r="EM33" s="1543"/>
      <c r="EN33" s="1543"/>
      <c r="EO33" s="1543"/>
      <c r="EP33" s="1543"/>
      <c r="EQ33" s="1543"/>
      <c r="ER33" s="1543"/>
      <c r="ES33" s="1543"/>
      <c r="ET33" s="1543"/>
      <c r="EU33" s="1543"/>
      <c r="EV33" s="1543"/>
      <c r="EW33" s="1543"/>
      <c r="EX33" s="1543"/>
      <c r="EY33" s="1543"/>
      <c r="EZ33" s="1543"/>
    </row>
    <row r="34" spans="1:156" s="323" customFormat="1" ht="15" customHeight="1">
      <c r="A34" s="350"/>
      <c r="B34" s="381"/>
      <c r="C34" s="1510"/>
      <c r="D34" s="1510"/>
      <c r="E34" s="1510"/>
      <c r="F34" s="1510"/>
      <c r="G34" s="1510"/>
      <c r="H34" s="1510"/>
      <c r="I34" s="1510"/>
      <c r="J34" s="1510"/>
      <c r="K34" s="1510"/>
      <c r="L34" s="1510"/>
      <c r="M34" s="1510"/>
      <c r="N34" s="1510"/>
      <c r="O34" s="1510"/>
      <c r="P34" s="1510"/>
      <c r="Q34" s="1510"/>
      <c r="R34" s="205"/>
      <c r="S34" s="1046"/>
      <c r="T34" s="1518"/>
      <c r="U34" s="1518"/>
      <c r="V34" s="1518"/>
      <c r="W34" s="1518"/>
      <c r="X34" s="1518"/>
      <c r="Y34" s="1518"/>
      <c r="Z34" s="1518"/>
      <c r="AA34" s="1518"/>
      <c r="AB34" s="1518"/>
      <c r="AC34" s="1518"/>
      <c r="AD34" s="1518"/>
      <c r="AE34" s="1518"/>
      <c r="AF34" s="1518"/>
      <c r="AG34" s="1518"/>
      <c r="AH34" s="1518"/>
      <c r="AI34" s="1518"/>
      <c r="AJ34" s="1518"/>
      <c r="AK34" s="1518"/>
      <c r="AL34" s="1518"/>
      <c r="AM34" s="1518"/>
      <c r="AN34" s="1518"/>
      <c r="AO34" s="1518"/>
      <c r="AP34" s="1518"/>
      <c r="AQ34" s="1518"/>
      <c r="AR34" s="1518"/>
      <c r="AS34" s="1518"/>
      <c r="AT34" s="1046"/>
      <c r="AU34" s="1046"/>
      <c r="AV34" s="382"/>
      <c r="AW34" s="382"/>
      <c r="AX34" s="1542"/>
      <c r="AY34" s="1542"/>
      <c r="AZ34" s="1542"/>
      <c r="BA34" s="1542"/>
      <c r="BB34" s="1542"/>
      <c r="BC34" s="1542"/>
      <c r="BD34" s="1542"/>
      <c r="BE34" s="1542"/>
      <c r="BF34" s="1542"/>
      <c r="BG34" s="1542"/>
      <c r="BH34" s="1542"/>
      <c r="BI34" s="1542"/>
      <c r="BJ34" s="1542"/>
      <c r="BK34" s="1542"/>
      <c r="BL34" s="1542"/>
      <c r="BM34" s="1542"/>
      <c r="BN34" s="1542"/>
      <c r="BO34" s="1542"/>
      <c r="BP34" s="1542"/>
      <c r="BQ34" s="1542"/>
      <c r="BR34" s="1542"/>
      <c r="BS34" s="1542"/>
      <c r="BT34" s="1542"/>
      <c r="BU34" s="1542"/>
      <c r="BV34" s="1542"/>
      <c r="BW34" s="1542"/>
      <c r="BX34" s="1542"/>
      <c r="BY34" s="1542"/>
      <c r="BZ34" s="1542"/>
      <c r="CA34" s="1542"/>
      <c r="CB34" s="1542"/>
      <c r="CC34" s="1542"/>
      <c r="CD34" s="1542"/>
      <c r="CE34" s="1542"/>
      <c r="CF34" s="1542"/>
      <c r="CG34" s="1542"/>
      <c r="CH34" s="1542"/>
      <c r="CI34" s="1542"/>
      <c r="CJ34" s="1542"/>
      <c r="CK34" s="1542"/>
      <c r="CL34" s="1542"/>
      <c r="CM34" s="1542"/>
      <c r="CN34" s="1542"/>
      <c r="CO34" s="1542"/>
      <c r="CP34" s="1542"/>
      <c r="CQ34" s="1542"/>
      <c r="CR34" s="1542"/>
      <c r="CS34" s="1542"/>
      <c r="CT34" s="1542"/>
      <c r="CU34" s="1542"/>
      <c r="CV34" s="1542"/>
      <c r="CW34" s="1542"/>
      <c r="CX34" s="1542"/>
      <c r="CY34" s="1542"/>
      <c r="CZ34" s="1542"/>
      <c r="DA34" s="1542"/>
      <c r="DB34" s="1542"/>
      <c r="DC34" s="1542"/>
      <c r="DD34" s="1542"/>
      <c r="DE34" s="1542"/>
      <c r="DF34" s="1542"/>
      <c r="DG34" s="1542"/>
      <c r="DH34" s="1542"/>
      <c r="DI34" s="1542"/>
      <c r="DJ34" s="1542"/>
      <c r="DK34" s="1542"/>
      <c r="DL34" s="1542"/>
      <c r="DM34" s="1542"/>
      <c r="DN34" s="1542"/>
      <c r="DO34" s="1542"/>
      <c r="DP34" s="1542"/>
      <c r="DQ34" s="1542"/>
      <c r="DR34" s="1542"/>
      <c r="DS34" s="1542"/>
      <c r="DT34" s="1542"/>
      <c r="DU34" s="1542"/>
      <c r="DV34" s="1542"/>
      <c r="DW34" s="1542"/>
      <c r="DX34" s="1542"/>
      <c r="DY34" s="1542"/>
      <c r="DZ34" s="1542"/>
      <c r="EA34" s="1542"/>
      <c r="EB34" s="1542"/>
      <c r="EC34" s="1542"/>
      <c r="ED34" s="1542"/>
      <c r="EE34" s="1542"/>
      <c r="EF34" s="1042"/>
      <c r="EG34" s="1042"/>
      <c r="EH34" s="1543"/>
      <c r="EI34" s="1543"/>
      <c r="EJ34" s="1543"/>
      <c r="EK34" s="1543"/>
      <c r="EL34" s="1543"/>
      <c r="EM34" s="1543"/>
      <c r="EN34" s="1543"/>
      <c r="EO34" s="1543"/>
      <c r="EP34" s="1543"/>
      <c r="EQ34" s="1543"/>
      <c r="ER34" s="1543"/>
      <c r="ES34" s="1543"/>
      <c r="ET34" s="1543"/>
      <c r="EU34" s="1543"/>
      <c r="EV34" s="1543"/>
      <c r="EW34" s="1543"/>
      <c r="EX34" s="1543"/>
      <c r="EY34" s="1543"/>
      <c r="EZ34" s="1543"/>
    </row>
    <row r="35" spans="1:156" s="323" customFormat="1" ht="15" customHeight="1">
      <c r="A35" s="350"/>
      <c r="B35" s="381"/>
      <c r="C35" s="1510"/>
      <c r="D35" s="1510"/>
      <c r="E35" s="1510"/>
      <c r="F35" s="1510"/>
      <c r="G35" s="1510"/>
      <c r="H35" s="1510"/>
      <c r="I35" s="1510"/>
      <c r="J35" s="1510"/>
      <c r="K35" s="1510"/>
      <c r="L35" s="1510"/>
      <c r="M35" s="1510"/>
      <c r="N35" s="1510"/>
      <c r="O35" s="1510"/>
      <c r="P35" s="1510"/>
      <c r="Q35" s="1510"/>
      <c r="R35" s="205"/>
      <c r="S35" s="1046"/>
      <c r="T35" s="1518"/>
      <c r="U35" s="1518"/>
      <c r="V35" s="1518"/>
      <c r="W35" s="1518"/>
      <c r="X35" s="1518"/>
      <c r="Y35" s="1518"/>
      <c r="Z35" s="1518"/>
      <c r="AA35" s="1518"/>
      <c r="AB35" s="1518"/>
      <c r="AC35" s="1518"/>
      <c r="AD35" s="1518"/>
      <c r="AE35" s="1518"/>
      <c r="AF35" s="1518"/>
      <c r="AG35" s="1518"/>
      <c r="AH35" s="1518"/>
      <c r="AI35" s="1518"/>
      <c r="AJ35" s="1518"/>
      <c r="AK35" s="1518"/>
      <c r="AL35" s="1518"/>
      <c r="AM35" s="1518"/>
      <c r="AN35" s="1518"/>
      <c r="AO35" s="1518"/>
      <c r="AP35" s="1518"/>
      <c r="AQ35" s="1518"/>
      <c r="AR35" s="1518"/>
      <c r="AS35" s="1518"/>
      <c r="AT35" s="1046"/>
      <c r="AU35" s="1046"/>
      <c r="AV35" s="382"/>
      <c r="AW35" s="382"/>
      <c r="AX35" s="1542"/>
      <c r="AY35" s="1542"/>
      <c r="AZ35" s="1542"/>
      <c r="BA35" s="1542"/>
      <c r="BB35" s="1542"/>
      <c r="BC35" s="1542"/>
      <c r="BD35" s="1542"/>
      <c r="BE35" s="1542"/>
      <c r="BF35" s="1542"/>
      <c r="BG35" s="1542"/>
      <c r="BH35" s="1542"/>
      <c r="BI35" s="1542"/>
      <c r="BJ35" s="1542"/>
      <c r="BK35" s="1542"/>
      <c r="BL35" s="1542"/>
      <c r="BM35" s="1542"/>
      <c r="BN35" s="1542"/>
      <c r="BO35" s="1542"/>
      <c r="BP35" s="1542"/>
      <c r="BQ35" s="1542"/>
      <c r="BR35" s="1542"/>
      <c r="BS35" s="1542"/>
      <c r="BT35" s="1542"/>
      <c r="BU35" s="1542"/>
      <c r="BV35" s="1542"/>
      <c r="BW35" s="1542"/>
      <c r="BX35" s="1542"/>
      <c r="BY35" s="1542"/>
      <c r="BZ35" s="1542"/>
      <c r="CA35" s="1542"/>
      <c r="CB35" s="1542"/>
      <c r="CC35" s="1542"/>
      <c r="CD35" s="1542"/>
      <c r="CE35" s="1542"/>
      <c r="CF35" s="1542"/>
      <c r="CG35" s="1542"/>
      <c r="CH35" s="1542"/>
      <c r="CI35" s="1542"/>
      <c r="CJ35" s="1542"/>
      <c r="CK35" s="1542"/>
      <c r="CL35" s="1542"/>
      <c r="CM35" s="1542"/>
      <c r="CN35" s="1542"/>
      <c r="CO35" s="1542"/>
      <c r="CP35" s="1542"/>
      <c r="CQ35" s="1542"/>
      <c r="CR35" s="1542"/>
      <c r="CS35" s="1542"/>
      <c r="CT35" s="1542"/>
      <c r="CU35" s="1542"/>
      <c r="CV35" s="1542"/>
      <c r="CW35" s="1542"/>
      <c r="CX35" s="1542"/>
      <c r="CY35" s="1542"/>
      <c r="CZ35" s="1542"/>
      <c r="DA35" s="1542"/>
      <c r="DB35" s="1542"/>
      <c r="DC35" s="1542"/>
      <c r="DD35" s="1542"/>
      <c r="DE35" s="1542"/>
      <c r="DF35" s="1542"/>
      <c r="DG35" s="1542"/>
      <c r="DH35" s="1542"/>
      <c r="DI35" s="1542"/>
      <c r="DJ35" s="1542"/>
      <c r="DK35" s="1542"/>
      <c r="DL35" s="1542"/>
      <c r="DM35" s="1542"/>
      <c r="DN35" s="1542"/>
      <c r="DO35" s="1542"/>
      <c r="DP35" s="1542"/>
      <c r="DQ35" s="1542"/>
      <c r="DR35" s="1542"/>
      <c r="DS35" s="1542"/>
      <c r="DT35" s="1542"/>
      <c r="DU35" s="1542"/>
      <c r="DV35" s="1542"/>
      <c r="DW35" s="1542"/>
      <c r="DX35" s="1542"/>
      <c r="DY35" s="1542"/>
      <c r="DZ35" s="1542"/>
      <c r="EA35" s="1542"/>
      <c r="EB35" s="1542"/>
      <c r="EC35" s="1542"/>
      <c r="ED35" s="1542"/>
      <c r="EE35" s="1542"/>
      <c r="EF35" s="1042"/>
      <c r="EG35" s="1042"/>
      <c r="EH35" s="1543"/>
      <c r="EI35" s="1543"/>
      <c r="EJ35" s="1543"/>
      <c r="EK35" s="1543"/>
      <c r="EL35" s="1543"/>
      <c r="EM35" s="1543"/>
      <c r="EN35" s="1543"/>
      <c r="EO35" s="1543"/>
      <c r="EP35" s="1543"/>
      <c r="EQ35" s="1543"/>
      <c r="ER35" s="1543"/>
      <c r="ES35" s="1543"/>
      <c r="ET35" s="1543"/>
      <c r="EU35" s="1543"/>
      <c r="EV35" s="1543"/>
      <c r="EW35" s="1543"/>
      <c r="EX35" s="1543"/>
      <c r="EY35" s="1543"/>
      <c r="EZ35" s="1543"/>
    </row>
    <row r="36" spans="1:156" s="323" customFormat="1" ht="15" customHeight="1">
      <c r="A36" s="350"/>
      <c r="B36" s="381"/>
      <c r="C36" s="1510"/>
      <c r="D36" s="1510"/>
      <c r="E36" s="1510"/>
      <c r="F36" s="1510"/>
      <c r="G36" s="1510"/>
      <c r="H36" s="1510"/>
      <c r="I36" s="1510"/>
      <c r="J36" s="1510"/>
      <c r="K36" s="1510"/>
      <c r="L36" s="1510"/>
      <c r="M36" s="1510"/>
      <c r="N36" s="1510"/>
      <c r="O36" s="1510"/>
      <c r="P36" s="1510"/>
      <c r="Q36" s="1510"/>
      <c r="R36" s="205"/>
      <c r="S36" s="1046"/>
      <c r="T36" s="1518"/>
      <c r="U36" s="1518"/>
      <c r="V36" s="1518"/>
      <c r="W36" s="1518"/>
      <c r="X36" s="1518"/>
      <c r="Y36" s="1518"/>
      <c r="Z36" s="1518"/>
      <c r="AA36" s="1518"/>
      <c r="AB36" s="1518"/>
      <c r="AC36" s="1518"/>
      <c r="AD36" s="1518"/>
      <c r="AE36" s="1518"/>
      <c r="AF36" s="1518"/>
      <c r="AG36" s="1518"/>
      <c r="AH36" s="1518"/>
      <c r="AI36" s="1518"/>
      <c r="AJ36" s="1518"/>
      <c r="AK36" s="1518"/>
      <c r="AL36" s="1518"/>
      <c r="AM36" s="1518"/>
      <c r="AN36" s="1518"/>
      <c r="AO36" s="1518"/>
      <c r="AP36" s="1518"/>
      <c r="AQ36" s="1518"/>
      <c r="AR36" s="1518"/>
      <c r="AS36" s="1518"/>
      <c r="AT36" s="1046"/>
      <c r="AU36" s="1046"/>
      <c r="AV36" s="382"/>
      <c r="AW36" s="382"/>
      <c r="AX36" s="1542"/>
      <c r="AY36" s="1542"/>
      <c r="AZ36" s="1542"/>
      <c r="BA36" s="1542"/>
      <c r="BB36" s="1542"/>
      <c r="BC36" s="1542"/>
      <c r="BD36" s="1542"/>
      <c r="BE36" s="1542"/>
      <c r="BF36" s="1542"/>
      <c r="BG36" s="1542"/>
      <c r="BH36" s="1542"/>
      <c r="BI36" s="1542"/>
      <c r="BJ36" s="1542"/>
      <c r="BK36" s="1542"/>
      <c r="BL36" s="1542"/>
      <c r="BM36" s="1542"/>
      <c r="BN36" s="1542"/>
      <c r="BO36" s="1542"/>
      <c r="BP36" s="1542"/>
      <c r="BQ36" s="1542"/>
      <c r="BR36" s="1542"/>
      <c r="BS36" s="1542"/>
      <c r="BT36" s="1542"/>
      <c r="BU36" s="1542"/>
      <c r="BV36" s="1542"/>
      <c r="BW36" s="1542"/>
      <c r="BX36" s="1542"/>
      <c r="BY36" s="1542"/>
      <c r="BZ36" s="1542"/>
      <c r="CA36" s="1542"/>
      <c r="CB36" s="1542"/>
      <c r="CC36" s="1542"/>
      <c r="CD36" s="1542"/>
      <c r="CE36" s="1542"/>
      <c r="CF36" s="1542"/>
      <c r="CG36" s="1542"/>
      <c r="CH36" s="1542"/>
      <c r="CI36" s="1542"/>
      <c r="CJ36" s="1542"/>
      <c r="CK36" s="1542"/>
      <c r="CL36" s="1542"/>
      <c r="CM36" s="1542"/>
      <c r="CN36" s="1542"/>
      <c r="CO36" s="1542"/>
      <c r="CP36" s="1542"/>
      <c r="CQ36" s="1542"/>
      <c r="CR36" s="1542"/>
      <c r="CS36" s="1542"/>
      <c r="CT36" s="1542"/>
      <c r="CU36" s="1542"/>
      <c r="CV36" s="1542"/>
      <c r="CW36" s="1542"/>
      <c r="CX36" s="1542"/>
      <c r="CY36" s="1542"/>
      <c r="CZ36" s="1542"/>
      <c r="DA36" s="1542"/>
      <c r="DB36" s="1542"/>
      <c r="DC36" s="1542"/>
      <c r="DD36" s="1542"/>
      <c r="DE36" s="1542"/>
      <c r="DF36" s="1542"/>
      <c r="DG36" s="1542"/>
      <c r="DH36" s="1542"/>
      <c r="DI36" s="1542"/>
      <c r="DJ36" s="1542"/>
      <c r="DK36" s="1542"/>
      <c r="DL36" s="1542"/>
      <c r="DM36" s="1542"/>
      <c r="DN36" s="1542"/>
      <c r="DO36" s="1542"/>
      <c r="DP36" s="1542"/>
      <c r="DQ36" s="1542"/>
      <c r="DR36" s="1542"/>
      <c r="DS36" s="1542"/>
      <c r="DT36" s="1542"/>
      <c r="DU36" s="1542"/>
      <c r="DV36" s="1542"/>
      <c r="DW36" s="1542"/>
      <c r="DX36" s="1542"/>
      <c r="DY36" s="1542"/>
      <c r="DZ36" s="1542"/>
      <c r="EA36" s="1542"/>
      <c r="EB36" s="1542"/>
      <c r="EC36" s="1542"/>
      <c r="ED36" s="1542"/>
      <c r="EE36" s="1542"/>
      <c r="EF36" s="1042"/>
      <c r="EG36" s="1042"/>
      <c r="EH36" s="1543"/>
      <c r="EI36" s="1543"/>
      <c r="EJ36" s="1543"/>
      <c r="EK36" s="1543"/>
      <c r="EL36" s="1543"/>
      <c r="EM36" s="1543"/>
      <c r="EN36" s="1543"/>
      <c r="EO36" s="1543"/>
      <c r="EP36" s="1543"/>
      <c r="EQ36" s="1543"/>
      <c r="ER36" s="1543"/>
      <c r="ES36" s="1543"/>
      <c r="ET36" s="1543"/>
      <c r="EU36" s="1543"/>
      <c r="EV36" s="1543"/>
      <c r="EW36" s="1543"/>
      <c r="EX36" s="1543"/>
      <c r="EY36" s="1543"/>
      <c r="EZ36" s="1543"/>
    </row>
    <row r="37" spans="1:156" s="323" customFormat="1" ht="15" customHeight="1">
      <c r="A37" s="350"/>
      <c r="B37" s="381"/>
      <c r="C37" s="1510"/>
      <c r="D37" s="1510"/>
      <c r="E37" s="1510"/>
      <c r="F37" s="1510"/>
      <c r="G37" s="1510"/>
      <c r="H37" s="1510"/>
      <c r="I37" s="1510"/>
      <c r="J37" s="1510"/>
      <c r="K37" s="1510"/>
      <c r="L37" s="1510"/>
      <c r="M37" s="1510"/>
      <c r="N37" s="1510"/>
      <c r="O37" s="1510"/>
      <c r="P37" s="1510"/>
      <c r="Q37" s="1510"/>
      <c r="R37" s="205"/>
      <c r="S37" s="1046"/>
      <c r="T37" s="1518"/>
      <c r="U37" s="1518"/>
      <c r="V37" s="1518"/>
      <c r="W37" s="1518"/>
      <c r="X37" s="1518"/>
      <c r="Y37" s="1518"/>
      <c r="Z37" s="1518"/>
      <c r="AA37" s="1518"/>
      <c r="AB37" s="1518"/>
      <c r="AC37" s="1518"/>
      <c r="AD37" s="1518"/>
      <c r="AE37" s="1518"/>
      <c r="AF37" s="1518"/>
      <c r="AG37" s="1518"/>
      <c r="AH37" s="1518"/>
      <c r="AI37" s="1518"/>
      <c r="AJ37" s="1518"/>
      <c r="AK37" s="1518"/>
      <c r="AL37" s="1518"/>
      <c r="AM37" s="1518"/>
      <c r="AN37" s="1518"/>
      <c r="AO37" s="1518"/>
      <c r="AP37" s="1518"/>
      <c r="AQ37" s="1518"/>
      <c r="AR37" s="1518"/>
      <c r="AS37" s="1518"/>
      <c r="AT37" s="1046"/>
      <c r="AU37" s="1046"/>
      <c r="AV37" s="382"/>
      <c r="AW37" s="382"/>
      <c r="AX37" s="1542"/>
      <c r="AY37" s="1542"/>
      <c r="AZ37" s="1542"/>
      <c r="BA37" s="1542"/>
      <c r="BB37" s="1542"/>
      <c r="BC37" s="1542"/>
      <c r="BD37" s="1542"/>
      <c r="BE37" s="1542"/>
      <c r="BF37" s="1542"/>
      <c r="BG37" s="1542"/>
      <c r="BH37" s="1542"/>
      <c r="BI37" s="1542"/>
      <c r="BJ37" s="1542"/>
      <c r="BK37" s="1542"/>
      <c r="BL37" s="1542"/>
      <c r="BM37" s="1542"/>
      <c r="BN37" s="1542"/>
      <c r="BO37" s="1542"/>
      <c r="BP37" s="1542"/>
      <c r="BQ37" s="1542"/>
      <c r="BR37" s="1542"/>
      <c r="BS37" s="1542"/>
      <c r="BT37" s="1542"/>
      <c r="BU37" s="1542"/>
      <c r="BV37" s="1542"/>
      <c r="BW37" s="1542"/>
      <c r="BX37" s="1542"/>
      <c r="BY37" s="1542"/>
      <c r="BZ37" s="1542"/>
      <c r="CA37" s="1542"/>
      <c r="CB37" s="1542"/>
      <c r="CC37" s="1542"/>
      <c r="CD37" s="1542"/>
      <c r="CE37" s="1542"/>
      <c r="CF37" s="1542"/>
      <c r="CG37" s="1542"/>
      <c r="CH37" s="1542"/>
      <c r="CI37" s="1542"/>
      <c r="CJ37" s="1542"/>
      <c r="CK37" s="1542"/>
      <c r="CL37" s="1542"/>
      <c r="CM37" s="1542"/>
      <c r="CN37" s="1542"/>
      <c r="CO37" s="1542"/>
      <c r="CP37" s="1542"/>
      <c r="CQ37" s="1542"/>
      <c r="CR37" s="1542"/>
      <c r="CS37" s="1542"/>
      <c r="CT37" s="1542"/>
      <c r="CU37" s="1542"/>
      <c r="CV37" s="1542"/>
      <c r="CW37" s="1542"/>
      <c r="CX37" s="1542"/>
      <c r="CY37" s="1542"/>
      <c r="CZ37" s="1542"/>
      <c r="DA37" s="1542"/>
      <c r="DB37" s="1542"/>
      <c r="DC37" s="1542"/>
      <c r="DD37" s="1542"/>
      <c r="DE37" s="1542"/>
      <c r="DF37" s="1542"/>
      <c r="DG37" s="1542"/>
      <c r="DH37" s="1542"/>
      <c r="DI37" s="1542"/>
      <c r="DJ37" s="1542"/>
      <c r="DK37" s="1542"/>
      <c r="DL37" s="1542"/>
      <c r="DM37" s="1542"/>
      <c r="DN37" s="1542"/>
      <c r="DO37" s="1542"/>
      <c r="DP37" s="1542"/>
      <c r="DQ37" s="1542"/>
      <c r="DR37" s="1542"/>
      <c r="DS37" s="1542"/>
      <c r="DT37" s="1542"/>
      <c r="DU37" s="1542"/>
      <c r="DV37" s="1542"/>
      <c r="DW37" s="1542"/>
      <c r="DX37" s="1542"/>
      <c r="DY37" s="1542"/>
      <c r="DZ37" s="1542"/>
      <c r="EA37" s="1542"/>
      <c r="EB37" s="1542"/>
      <c r="EC37" s="1542"/>
      <c r="ED37" s="1542"/>
      <c r="EE37" s="1542"/>
      <c r="EF37" s="1042"/>
      <c r="EG37" s="1042"/>
      <c r="EH37" s="1543"/>
      <c r="EI37" s="1543"/>
      <c r="EJ37" s="1543"/>
      <c r="EK37" s="1543"/>
      <c r="EL37" s="1543"/>
      <c r="EM37" s="1543"/>
      <c r="EN37" s="1543"/>
      <c r="EO37" s="1543"/>
      <c r="EP37" s="1543"/>
      <c r="EQ37" s="1543"/>
      <c r="ER37" s="1543"/>
      <c r="ES37" s="1543"/>
      <c r="ET37" s="1543"/>
      <c r="EU37" s="1543"/>
      <c r="EV37" s="1543"/>
      <c r="EW37" s="1543"/>
      <c r="EX37" s="1543"/>
      <c r="EY37" s="1543"/>
      <c r="EZ37" s="1543"/>
    </row>
    <row r="38" spans="1:156" s="323" customFormat="1" ht="15" customHeight="1">
      <c r="A38" s="350"/>
      <c r="B38" s="381"/>
      <c r="C38" s="1510"/>
      <c r="D38" s="1510"/>
      <c r="E38" s="1510"/>
      <c r="F38" s="1510"/>
      <c r="G38" s="1510"/>
      <c r="H38" s="1510"/>
      <c r="I38" s="1510"/>
      <c r="J38" s="1510"/>
      <c r="K38" s="1510"/>
      <c r="L38" s="1510"/>
      <c r="M38" s="1510"/>
      <c r="N38" s="1510"/>
      <c r="O38" s="1510"/>
      <c r="P38" s="1510"/>
      <c r="Q38" s="1510"/>
      <c r="R38" s="205"/>
      <c r="S38" s="1046"/>
      <c r="T38" s="1518"/>
      <c r="U38" s="1518"/>
      <c r="V38" s="1518"/>
      <c r="W38" s="1518"/>
      <c r="X38" s="1518"/>
      <c r="Y38" s="1518"/>
      <c r="Z38" s="1518"/>
      <c r="AA38" s="1518"/>
      <c r="AB38" s="1518"/>
      <c r="AC38" s="1518"/>
      <c r="AD38" s="1518"/>
      <c r="AE38" s="1518"/>
      <c r="AF38" s="1518"/>
      <c r="AG38" s="1518"/>
      <c r="AH38" s="1518"/>
      <c r="AI38" s="1518"/>
      <c r="AJ38" s="1518"/>
      <c r="AK38" s="1518"/>
      <c r="AL38" s="1518"/>
      <c r="AM38" s="1518"/>
      <c r="AN38" s="1518"/>
      <c r="AO38" s="1518"/>
      <c r="AP38" s="1518"/>
      <c r="AQ38" s="1518"/>
      <c r="AR38" s="1518"/>
      <c r="AS38" s="1518"/>
      <c r="AT38" s="1046"/>
      <c r="AU38" s="1046"/>
      <c r="AV38" s="382"/>
      <c r="AW38" s="382"/>
      <c r="AX38" s="1542"/>
      <c r="AY38" s="1542"/>
      <c r="AZ38" s="1542"/>
      <c r="BA38" s="1542"/>
      <c r="BB38" s="1542"/>
      <c r="BC38" s="1542"/>
      <c r="BD38" s="1542"/>
      <c r="BE38" s="1542"/>
      <c r="BF38" s="1542"/>
      <c r="BG38" s="1542"/>
      <c r="BH38" s="1542"/>
      <c r="BI38" s="1542"/>
      <c r="BJ38" s="1542"/>
      <c r="BK38" s="1542"/>
      <c r="BL38" s="1542"/>
      <c r="BM38" s="1542"/>
      <c r="BN38" s="1542"/>
      <c r="BO38" s="1542"/>
      <c r="BP38" s="1542"/>
      <c r="BQ38" s="1542"/>
      <c r="BR38" s="1542"/>
      <c r="BS38" s="1542"/>
      <c r="BT38" s="1542"/>
      <c r="BU38" s="1542"/>
      <c r="BV38" s="1542"/>
      <c r="BW38" s="1542"/>
      <c r="BX38" s="1542"/>
      <c r="BY38" s="1542"/>
      <c r="BZ38" s="1542"/>
      <c r="CA38" s="1542"/>
      <c r="CB38" s="1542"/>
      <c r="CC38" s="1542"/>
      <c r="CD38" s="1542"/>
      <c r="CE38" s="1542"/>
      <c r="CF38" s="1542"/>
      <c r="CG38" s="1542"/>
      <c r="CH38" s="1542"/>
      <c r="CI38" s="1542"/>
      <c r="CJ38" s="1542"/>
      <c r="CK38" s="1542"/>
      <c r="CL38" s="1542"/>
      <c r="CM38" s="1542"/>
      <c r="CN38" s="1542"/>
      <c r="CO38" s="1542"/>
      <c r="CP38" s="1542"/>
      <c r="CQ38" s="1542"/>
      <c r="CR38" s="1542"/>
      <c r="CS38" s="1542"/>
      <c r="CT38" s="1542"/>
      <c r="CU38" s="1542"/>
      <c r="CV38" s="1542"/>
      <c r="CW38" s="1542"/>
      <c r="CX38" s="1542"/>
      <c r="CY38" s="1542"/>
      <c r="CZ38" s="1542"/>
      <c r="DA38" s="1542"/>
      <c r="DB38" s="1542"/>
      <c r="DC38" s="1542"/>
      <c r="DD38" s="1542"/>
      <c r="DE38" s="1542"/>
      <c r="DF38" s="1542"/>
      <c r="DG38" s="1542"/>
      <c r="DH38" s="1542"/>
      <c r="DI38" s="1542"/>
      <c r="DJ38" s="1542"/>
      <c r="DK38" s="1542"/>
      <c r="DL38" s="1542"/>
      <c r="DM38" s="1542"/>
      <c r="DN38" s="1542"/>
      <c r="DO38" s="1542"/>
      <c r="DP38" s="1542"/>
      <c r="DQ38" s="1542"/>
      <c r="DR38" s="1542"/>
      <c r="DS38" s="1542"/>
      <c r="DT38" s="1542"/>
      <c r="DU38" s="1542"/>
      <c r="DV38" s="1542"/>
      <c r="DW38" s="1542"/>
      <c r="DX38" s="1542"/>
      <c r="DY38" s="1542"/>
      <c r="DZ38" s="1542"/>
      <c r="EA38" s="1542"/>
      <c r="EB38" s="1542"/>
      <c r="EC38" s="1542"/>
      <c r="ED38" s="1542"/>
      <c r="EE38" s="1542"/>
      <c r="EF38" s="1042"/>
      <c r="EG38" s="1042"/>
      <c r="EH38" s="1543"/>
      <c r="EI38" s="1543"/>
      <c r="EJ38" s="1543"/>
      <c r="EK38" s="1543"/>
      <c r="EL38" s="1543"/>
      <c r="EM38" s="1543"/>
      <c r="EN38" s="1543"/>
      <c r="EO38" s="1543"/>
      <c r="EP38" s="1543"/>
      <c r="EQ38" s="1543"/>
      <c r="ER38" s="1543"/>
      <c r="ES38" s="1543"/>
      <c r="ET38" s="1543"/>
      <c r="EU38" s="1543"/>
      <c r="EV38" s="1543"/>
      <c r="EW38" s="1543"/>
      <c r="EX38" s="1543"/>
      <c r="EY38" s="1543"/>
      <c r="EZ38" s="1543"/>
    </row>
    <row r="39" spans="1:156" s="323" customFormat="1" ht="15" customHeight="1">
      <c r="A39" s="350"/>
      <c r="B39" s="381"/>
      <c r="C39" s="1510"/>
      <c r="D39" s="1510"/>
      <c r="E39" s="1510"/>
      <c r="F39" s="1510"/>
      <c r="G39" s="1510"/>
      <c r="H39" s="1510"/>
      <c r="I39" s="1510"/>
      <c r="J39" s="1510"/>
      <c r="K39" s="1510"/>
      <c r="L39" s="1510"/>
      <c r="M39" s="1510"/>
      <c r="N39" s="1510"/>
      <c r="O39" s="1510"/>
      <c r="P39" s="1510"/>
      <c r="Q39" s="1510"/>
      <c r="R39" s="205"/>
      <c r="S39" s="1046"/>
      <c r="T39" s="1518"/>
      <c r="U39" s="1518"/>
      <c r="V39" s="1518"/>
      <c r="W39" s="1518"/>
      <c r="X39" s="1518"/>
      <c r="Y39" s="1518"/>
      <c r="Z39" s="1518"/>
      <c r="AA39" s="1518"/>
      <c r="AB39" s="1518"/>
      <c r="AC39" s="1518"/>
      <c r="AD39" s="1518"/>
      <c r="AE39" s="1518"/>
      <c r="AF39" s="1518"/>
      <c r="AG39" s="1518"/>
      <c r="AH39" s="1518"/>
      <c r="AI39" s="1518"/>
      <c r="AJ39" s="1518"/>
      <c r="AK39" s="1518"/>
      <c r="AL39" s="1518"/>
      <c r="AM39" s="1518"/>
      <c r="AN39" s="1518"/>
      <c r="AO39" s="1518"/>
      <c r="AP39" s="1518"/>
      <c r="AQ39" s="1518"/>
      <c r="AR39" s="1518"/>
      <c r="AS39" s="1518"/>
      <c r="AT39" s="1046"/>
      <c r="AU39" s="1046"/>
      <c r="AV39" s="382"/>
      <c r="AW39" s="382"/>
      <c r="AX39" s="1542"/>
      <c r="AY39" s="1542"/>
      <c r="AZ39" s="1542"/>
      <c r="BA39" s="1542"/>
      <c r="BB39" s="1542"/>
      <c r="BC39" s="1542"/>
      <c r="BD39" s="1542"/>
      <c r="BE39" s="1542"/>
      <c r="BF39" s="1542"/>
      <c r="BG39" s="1542"/>
      <c r="BH39" s="1542"/>
      <c r="BI39" s="1542"/>
      <c r="BJ39" s="1542"/>
      <c r="BK39" s="1542"/>
      <c r="BL39" s="1542"/>
      <c r="BM39" s="1542"/>
      <c r="BN39" s="1542"/>
      <c r="BO39" s="1542"/>
      <c r="BP39" s="1542"/>
      <c r="BQ39" s="1542"/>
      <c r="BR39" s="1542"/>
      <c r="BS39" s="1542"/>
      <c r="BT39" s="1542"/>
      <c r="BU39" s="1542"/>
      <c r="BV39" s="1542"/>
      <c r="BW39" s="1542"/>
      <c r="BX39" s="1542"/>
      <c r="BY39" s="1542"/>
      <c r="BZ39" s="1542"/>
      <c r="CA39" s="1542"/>
      <c r="CB39" s="1542"/>
      <c r="CC39" s="1542"/>
      <c r="CD39" s="1542"/>
      <c r="CE39" s="1542"/>
      <c r="CF39" s="1542"/>
      <c r="CG39" s="1542"/>
      <c r="CH39" s="1542"/>
      <c r="CI39" s="1542"/>
      <c r="CJ39" s="1542"/>
      <c r="CK39" s="1542"/>
      <c r="CL39" s="1542"/>
      <c r="CM39" s="1542"/>
      <c r="CN39" s="1542"/>
      <c r="CO39" s="1542"/>
      <c r="CP39" s="1542"/>
      <c r="CQ39" s="1542"/>
      <c r="CR39" s="1542"/>
      <c r="CS39" s="1542"/>
      <c r="CT39" s="1542"/>
      <c r="CU39" s="1542"/>
      <c r="CV39" s="1542"/>
      <c r="CW39" s="1542"/>
      <c r="CX39" s="1542"/>
      <c r="CY39" s="1542"/>
      <c r="CZ39" s="1542"/>
      <c r="DA39" s="1542"/>
      <c r="DB39" s="1542"/>
      <c r="DC39" s="1542"/>
      <c r="DD39" s="1542"/>
      <c r="DE39" s="1542"/>
      <c r="DF39" s="1542"/>
      <c r="DG39" s="1542"/>
      <c r="DH39" s="1542"/>
      <c r="DI39" s="1542"/>
      <c r="DJ39" s="1542"/>
      <c r="DK39" s="1542"/>
      <c r="DL39" s="1542"/>
      <c r="DM39" s="1542"/>
      <c r="DN39" s="1542"/>
      <c r="DO39" s="1542"/>
      <c r="DP39" s="1542"/>
      <c r="DQ39" s="1542"/>
      <c r="DR39" s="1542"/>
      <c r="DS39" s="1542"/>
      <c r="DT39" s="1542"/>
      <c r="DU39" s="1542"/>
      <c r="DV39" s="1542"/>
      <c r="DW39" s="1542"/>
      <c r="DX39" s="1542"/>
      <c r="DY39" s="1542"/>
      <c r="DZ39" s="1542"/>
      <c r="EA39" s="1542"/>
      <c r="EB39" s="1542"/>
      <c r="EC39" s="1542"/>
      <c r="ED39" s="1542"/>
      <c r="EE39" s="1542"/>
      <c r="EF39" s="1042"/>
      <c r="EG39" s="1042"/>
      <c r="EH39" s="1543"/>
      <c r="EI39" s="1543"/>
      <c r="EJ39" s="1543"/>
      <c r="EK39" s="1543"/>
      <c r="EL39" s="1543"/>
      <c r="EM39" s="1543"/>
      <c r="EN39" s="1543"/>
      <c r="EO39" s="1543"/>
      <c r="EP39" s="1543"/>
      <c r="EQ39" s="1543"/>
      <c r="ER39" s="1543"/>
      <c r="ES39" s="1543"/>
      <c r="ET39" s="1543"/>
      <c r="EU39" s="1543"/>
      <c r="EV39" s="1543"/>
      <c r="EW39" s="1543"/>
      <c r="EX39" s="1543"/>
      <c r="EY39" s="1543"/>
      <c r="EZ39" s="1543"/>
    </row>
    <row r="40" spans="1:156" s="323" customFormat="1" ht="15" customHeight="1">
      <c r="A40" s="350"/>
      <c r="B40" s="381"/>
      <c r="C40" s="1510"/>
      <c r="D40" s="1510"/>
      <c r="E40" s="1510"/>
      <c r="F40" s="1510"/>
      <c r="G40" s="1510"/>
      <c r="H40" s="1510"/>
      <c r="I40" s="1510"/>
      <c r="J40" s="1510"/>
      <c r="K40" s="1510"/>
      <c r="L40" s="1510"/>
      <c r="M40" s="1510"/>
      <c r="N40" s="1510"/>
      <c r="O40" s="1510"/>
      <c r="P40" s="1510"/>
      <c r="Q40" s="1510"/>
      <c r="R40" s="205"/>
      <c r="S40" s="1046"/>
      <c r="T40" s="1518"/>
      <c r="U40" s="1518"/>
      <c r="V40" s="1518"/>
      <c r="W40" s="1518"/>
      <c r="X40" s="1518"/>
      <c r="Y40" s="1518"/>
      <c r="Z40" s="1518"/>
      <c r="AA40" s="1518"/>
      <c r="AB40" s="1518"/>
      <c r="AC40" s="1518"/>
      <c r="AD40" s="1518"/>
      <c r="AE40" s="1518"/>
      <c r="AF40" s="1518"/>
      <c r="AG40" s="1518"/>
      <c r="AH40" s="1518"/>
      <c r="AI40" s="1518"/>
      <c r="AJ40" s="1518"/>
      <c r="AK40" s="1518"/>
      <c r="AL40" s="1518"/>
      <c r="AM40" s="1518"/>
      <c r="AN40" s="1518"/>
      <c r="AO40" s="1518"/>
      <c r="AP40" s="1518"/>
      <c r="AQ40" s="1518"/>
      <c r="AR40" s="1518"/>
      <c r="AS40" s="1518"/>
      <c r="AT40" s="1046"/>
      <c r="AU40" s="1046"/>
      <c r="AV40" s="382"/>
      <c r="AW40" s="382"/>
      <c r="AX40" s="1542"/>
      <c r="AY40" s="1542"/>
      <c r="AZ40" s="1542"/>
      <c r="BA40" s="1542"/>
      <c r="BB40" s="1542"/>
      <c r="BC40" s="1542"/>
      <c r="BD40" s="1542"/>
      <c r="BE40" s="1542"/>
      <c r="BF40" s="1542"/>
      <c r="BG40" s="1542"/>
      <c r="BH40" s="1542"/>
      <c r="BI40" s="1542"/>
      <c r="BJ40" s="1542"/>
      <c r="BK40" s="1542"/>
      <c r="BL40" s="1542"/>
      <c r="BM40" s="1542"/>
      <c r="BN40" s="1542"/>
      <c r="BO40" s="1542"/>
      <c r="BP40" s="1542"/>
      <c r="BQ40" s="1542"/>
      <c r="BR40" s="1542"/>
      <c r="BS40" s="1542"/>
      <c r="BT40" s="1542"/>
      <c r="BU40" s="1542"/>
      <c r="BV40" s="1542"/>
      <c r="BW40" s="1542"/>
      <c r="BX40" s="1542"/>
      <c r="BY40" s="1542"/>
      <c r="BZ40" s="1542"/>
      <c r="CA40" s="1542"/>
      <c r="CB40" s="1542"/>
      <c r="CC40" s="1542"/>
      <c r="CD40" s="1542"/>
      <c r="CE40" s="1542"/>
      <c r="CF40" s="1542"/>
      <c r="CG40" s="1542"/>
      <c r="CH40" s="1542"/>
      <c r="CI40" s="1542"/>
      <c r="CJ40" s="1542"/>
      <c r="CK40" s="1542"/>
      <c r="CL40" s="1542"/>
      <c r="CM40" s="1542"/>
      <c r="CN40" s="1542"/>
      <c r="CO40" s="1542"/>
      <c r="CP40" s="1542"/>
      <c r="CQ40" s="1542"/>
      <c r="CR40" s="1542"/>
      <c r="CS40" s="1542"/>
      <c r="CT40" s="1542"/>
      <c r="CU40" s="1542"/>
      <c r="CV40" s="1542"/>
      <c r="CW40" s="1542"/>
      <c r="CX40" s="1542"/>
      <c r="CY40" s="1542"/>
      <c r="CZ40" s="1542"/>
      <c r="DA40" s="1542"/>
      <c r="DB40" s="1542"/>
      <c r="DC40" s="1542"/>
      <c r="DD40" s="1542"/>
      <c r="DE40" s="1542"/>
      <c r="DF40" s="1542"/>
      <c r="DG40" s="1542"/>
      <c r="DH40" s="1542"/>
      <c r="DI40" s="1542"/>
      <c r="DJ40" s="1542"/>
      <c r="DK40" s="1542"/>
      <c r="DL40" s="1542"/>
      <c r="DM40" s="1542"/>
      <c r="DN40" s="1542"/>
      <c r="DO40" s="1542"/>
      <c r="DP40" s="1542"/>
      <c r="DQ40" s="1542"/>
      <c r="DR40" s="1542"/>
      <c r="DS40" s="1542"/>
      <c r="DT40" s="1542"/>
      <c r="DU40" s="1542"/>
      <c r="DV40" s="1542"/>
      <c r="DW40" s="1542"/>
      <c r="DX40" s="1542"/>
      <c r="DY40" s="1542"/>
      <c r="DZ40" s="1542"/>
      <c r="EA40" s="1542"/>
      <c r="EB40" s="1542"/>
      <c r="EC40" s="1542"/>
      <c r="ED40" s="1542"/>
      <c r="EE40" s="1542"/>
      <c r="EF40" s="1042"/>
      <c r="EG40" s="1042"/>
      <c r="EH40" s="1543"/>
      <c r="EI40" s="1543"/>
      <c r="EJ40" s="1543"/>
      <c r="EK40" s="1543"/>
      <c r="EL40" s="1543"/>
      <c r="EM40" s="1543"/>
      <c r="EN40" s="1543"/>
      <c r="EO40" s="1543"/>
      <c r="EP40" s="1543"/>
      <c r="EQ40" s="1543"/>
      <c r="ER40" s="1543"/>
      <c r="ES40" s="1543"/>
      <c r="ET40" s="1543"/>
      <c r="EU40" s="1543"/>
      <c r="EV40" s="1543"/>
      <c r="EW40" s="1543"/>
      <c r="EX40" s="1543"/>
      <c r="EY40" s="1543"/>
      <c r="EZ40" s="1543"/>
    </row>
    <row r="41" spans="1:156" s="323" customFormat="1" ht="15" customHeight="1">
      <c r="A41" s="350"/>
      <c r="B41" s="381"/>
      <c r="C41" s="1510"/>
      <c r="D41" s="1510"/>
      <c r="E41" s="1510"/>
      <c r="F41" s="1510"/>
      <c r="G41" s="1510"/>
      <c r="H41" s="1510"/>
      <c r="I41" s="1510"/>
      <c r="J41" s="1510"/>
      <c r="K41" s="1510"/>
      <c r="L41" s="1510"/>
      <c r="M41" s="1510"/>
      <c r="N41" s="1510"/>
      <c r="O41" s="1510"/>
      <c r="P41" s="1510"/>
      <c r="Q41" s="1510"/>
      <c r="R41" s="205"/>
      <c r="S41" s="1046"/>
      <c r="T41" s="1518"/>
      <c r="U41" s="1518"/>
      <c r="V41" s="1518"/>
      <c r="W41" s="1518"/>
      <c r="X41" s="1518"/>
      <c r="Y41" s="1518"/>
      <c r="Z41" s="1518"/>
      <c r="AA41" s="1518"/>
      <c r="AB41" s="1518"/>
      <c r="AC41" s="1518"/>
      <c r="AD41" s="1518"/>
      <c r="AE41" s="1518"/>
      <c r="AF41" s="1518"/>
      <c r="AG41" s="1518"/>
      <c r="AH41" s="1518"/>
      <c r="AI41" s="1518"/>
      <c r="AJ41" s="1518"/>
      <c r="AK41" s="1518"/>
      <c r="AL41" s="1518"/>
      <c r="AM41" s="1518"/>
      <c r="AN41" s="1518"/>
      <c r="AO41" s="1518"/>
      <c r="AP41" s="1518"/>
      <c r="AQ41" s="1518"/>
      <c r="AR41" s="1518"/>
      <c r="AS41" s="1518"/>
      <c r="AT41" s="1046"/>
      <c r="AU41" s="1046"/>
      <c r="AV41" s="382"/>
      <c r="AW41" s="382"/>
      <c r="AX41" s="1542"/>
      <c r="AY41" s="1542"/>
      <c r="AZ41" s="1542"/>
      <c r="BA41" s="1542"/>
      <c r="BB41" s="1542"/>
      <c r="BC41" s="1542"/>
      <c r="BD41" s="1542"/>
      <c r="BE41" s="1542"/>
      <c r="BF41" s="1542"/>
      <c r="BG41" s="1542"/>
      <c r="BH41" s="1542"/>
      <c r="BI41" s="1542"/>
      <c r="BJ41" s="1542"/>
      <c r="BK41" s="1542"/>
      <c r="BL41" s="1542"/>
      <c r="BM41" s="1542"/>
      <c r="BN41" s="1542"/>
      <c r="BO41" s="1542"/>
      <c r="BP41" s="1542"/>
      <c r="BQ41" s="1542"/>
      <c r="BR41" s="1542"/>
      <c r="BS41" s="1542"/>
      <c r="BT41" s="1542"/>
      <c r="BU41" s="1542"/>
      <c r="BV41" s="1542"/>
      <c r="BW41" s="1542"/>
      <c r="BX41" s="1542"/>
      <c r="BY41" s="1542"/>
      <c r="BZ41" s="1542"/>
      <c r="CA41" s="1542"/>
      <c r="CB41" s="1542"/>
      <c r="CC41" s="1542"/>
      <c r="CD41" s="1542"/>
      <c r="CE41" s="1542"/>
      <c r="CF41" s="1542"/>
      <c r="CG41" s="1542"/>
      <c r="CH41" s="1542"/>
      <c r="CI41" s="1542"/>
      <c r="CJ41" s="1542"/>
      <c r="CK41" s="1542"/>
      <c r="CL41" s="1542"/>
      <c r="CM41" s="1542"/>
      <c r="CN41" s="1542"/>
      <c r="CO41" s="1542"/>
      <c r="CP41" s="1542"/>
      <c r="CQ41" s="1542"/>
      <c r="CR41" s="1542"/>
      <c r="CS41" s="1542"/>
      <c r="CT41" s="1542"/>
      <c r="CU41" s="1542"/>
      <c r="CV41" s="1542"/>
      <c r="CW41" s="1542"/>
      <c r="CX41" s="1542"/>
      <c r="CY41" s="1542"/>
      <c r="CZ41" s="1542"/>
      <c r="DA41" s="1542"/>
      <c r="DB41" s="1542"/>
      <c r="DC41" s="1542"/>
      <c r="DD41" s="1542"/>
      <c r="DE41" s="1542"/>
      <c r="DF41" s="1542"/>
      <c r="DG41" s="1542"/>
      <c r="DH41" s="1542"/>
      <c r="DI41" s="1542"/>
      <c r="DJ41" s="1542"/>
      <c r="DK41" s="1542"/>
      <c r="DL41" s="1542"/>
      <c r="DM41" s="1542"/>
      <c r="DN41" s="1542"/>
      <c r="DO41" s="1542"/>
      <c r="DP41" s="1542"/>
      <c r="DQ41" s="1542"/>
      <c r="DR41" s="1542"/>
      <c r="DS41" s="1542"/>
      <c r="DT41" s="1542"/>
      <c r="DU41" s="1542"/>
      <c r="DV41" s="1542"/>
      <c r="DW41" s="1542"/>
      <c r="DX41" s="1542"/>
      <c r="DY41" s="1542"/>
      <c r="DZ41" s="1542"/>
      <c r="EA41" s="1542"/>
      <c r="EB41" s="1542"/>
      <c r="EC41" s="1542"/>
      <c r="ED41" s="1542"/>
      <c r="EE41" s="1542"/>
      <c r="EF41" s="1042"/>
      <c r="EG41" s="1042"/>
      <c r="EH41" s="1543"/>
      <c r="EI41" s="1543"/>
      <c r="EJ41" s="1543"/>
      <c r="EK41" s="1543"/>
      <c r="EL41" s="1543"/>
      <c r="EM41" s="1543"/>
      <c r="EN41" s="1543"/>
      <c r="EO41" s="1543"/>
      <c r="EP41" s="1543"/>
      <c r="EQ41" s="1543"/>
      <c r="ER41" s="1543"/>
      <c r="ES41" s="1543"/>
      <c r="ET41" s="1543"/>
      <c r="EU41" s="1543"/>
      <c r="EV41" s="1543"/>
      <c r="EW41" s="1543"/>
      <c r="EX41" s="1543"/>
      <c r="EY41" s="1543"/>
      <c r="EZ41" s="1543"/>
    </row>
    <row r="42" spans="1:156" s="323" customFormat="1" ht="15" customHeight="1">
      <c r="A42" s="350"/>
      <c r="B42" s="381"/>
      <c r="C42" s="1510"/>
      <c r="D42" s="1510"/>
      <c r="E42" s="1510"/>
      <c r="F42" s="1510"/>
      <c r="G42" s="1510"/>
      <c r="H42" s="1510"/>
      <c r="I42" s="1510"/>
      <c r="J42" s="1510"/>
      <c r="K42" s="1510"/>
      <c r="L42" s="1510"/>
      <c r="M42" s="1510"/>
      <c r="N42" s="1510"/>
      <c r="O42" s="1510"/>
      <c r="P42" s="1510"/>
      <c r="Q42" s="1510"/>
      <c r="R42" s="205"/>
      <c r="S42" s="1046"/>
      <c r="T42" s="1518"/>
      <c r="U42" s="1518"/>
      <c r="V42" s="1518"/>
      <c r="W42" s="1518"/>
      <c r="X42" s="1518"/>
      <c r="Y42" s="1518"/>
      <c r="Z42" s="1518"/>
      <c r="AA42" s="1518"/>
      <c r="AB42" s="1518"/>
      <c r="AC42" s="1518"/>
      <c r="AD42" s="1518"/>
      <c r="AE42" s="1518"/>
      <c r="AF42" s="1518"/>
      <c r="AG42" s="1518"/>
      <c r="AH42" s="1518"/>
      <c r="AI42" s="1518"/>
      <c r="AJ42" s="1518"/>
      <c r="AK42" s="1518"/>
      <c r="AL42" s="1518"/>
      <c r="AM42" s="1518"/>
      <c r="AN42" s="1518"/>
      <c r="AO42" s="1518"/>
      <c r="AP42" s="1518"/>
      <c r="AQ42" s="1518"/>
      <c r="AR42" s="1518"/>
      <c r="AS42" s="1518"/>
      <c r="AT42" s="1046"/>
      <c r="AU42" s="1046"/>
      <c r="AV42" s="382"/>
      <c r="AW42" s="382"/>
      <c r="AX42" s="1542"/>
      <c r="AY42" s="1542"/>
      <c r="AZ42" s="1542"/>
      <c r="BA42" s="1542"/>
      <c r="BB42" s="1542"/>
      <c r="BC42" s="1542"/>
      <c r="BD42" s="1542"/>
      <c r="BE42" s="1542"/>
      <c r="BF42" s="1542"/>
      <c r="BG42" s="1542"/>
      <c r="BH42" s="1542"/>
      <c r="BI42" s="1542"/>
      <c r="BJ42" s="1542"/>
      <c r="BK42" s="1542"/>
      <c r="BL42" s="1542"/>
      <c r="BM42" s="1542"/>
      <c r="BN42" s="1542"/>
      <c r="BO42" s="1542"/>
      <c r="BP42" s="1542"/>
      <c r="BQ42" s="1542"/>
      <c r="BR42" s="1542"/>
      <c r="BS42" s="1542"/>
      <c r="BT42" s="1542"/>
      <c r="BU42" s="1542"/>
      <c r="BV42" s="1542"/>
      <c r="BW42" s="1542"/>
      <c r="BX42" s="1542"/>
      <c r="BY42" s="1542"/>
      <c r="BZ42" s="1542"/>
      <c r="CA42" s="1542"/>
      <c r="CB42" s="1542"/>
      <c r="CC42" s="1542"/>
      <c r="CD42" s="1542"/>
      <c r="CE42" s="1542"/>
      <c r="CF42" s="1542"/>
      <c r="CG42" s="1542"/>
      <c r="CH42" s="1542"/>
      <c r="CI42" s="1542"/>
      <c r="CJ42" s="1542"/>
      <c r="CK42" s="1542"/>
      <c r="CL42" s="1542"/>
      <c r="CM42" s="1542"/>
      <c r="CN42" s="1542"/>
      <c r="CO42" s="1542"/>
      <c r="CP42" s="1542"/>
      <c r="CQ42" s="1542"/>
      <c r="CR42" s="1542"/>
      <c r="CS42" s="1542"/>
      <c r="CT42" s="1542"/>
      <c r="CU42" s="1542"/>
      <c r="CV42" s="1542"/>
      <c r="CW42" s="1542"/>
      <c r="CX42" s="1542"/>
      <c r="CY42" s="1542"/>
      <c r="CZ42" s="1542"/>
      <c r="DA42" s="1542"/>
      <c r="DB42" s="1542"/>
      <c r="DC42" s="1542"/>
      <c r="DD42" s="1542"/>
      <c r="DE42" s="1542"/>
      <c r="DF42" s="1542"/>
      <c r="DG42" s="1542"/>
      <c r="DH42" s="1542"/>
      <c r="DI42" s="1542"/>
      <c r="DJ42" s="1542"/>
      <c r="DK42" s="1542"/>
      <c r="DL42" s="1542"/>
      <c r="DM42" s="1542"/>
      <c r="DN42" s="1542"/>
      <c r="DO42" s="1542"/>
      <c r="DP42" s="1542"/>
      <c r="DQ42" s="1542"/>
      <c r="DR42" s="1542"/>
      <c r="DS42" s="1542"/>
      <c r="DT42" s="1542"/>
      <c r="DU42" s="1542"/>
      <c r="DV42" s="1542"/>
      <c r="DW42" s="1542"/>
      <c r="DX42" s="1542"/>
      <c r="DY42" s="1542"/>
      <c r="DZ42" s="1542"/>
      <c r="EA42" s="1542"/>
      <c r="EB42" s="1542"/>
      <c r="EC42" s="1542"/>
      <c r="ED42" s="1542"/>
      <c r="EE42" s="1542"/>
      <c r="EF42" s="1042"/>
      <c r="EG42" s="1042"/>
      <c r="EH42" s="1543"/>
      <c r="EI42" s="1543"/>
      <c r="EJ42" s="1543"/>
      <c r="EK42" s="1543"/>
      <c r="EL42" s="1543"/>
      <c r="EM42" s="1543"/>
      <c r="EN42" s="1543"/>
      <c r="EO42" s="1543"/>
      <c r="EP42" s="1543"/>
      <c r="EQ42" s="1543"/>
      <c r="ER42" s="1543"/>
      <c r="ES42" s="1543"/>
      <c r="ET42" s="1543"/>
      <c r="EU42" s="1543"/>
      <c r="EV42" s="1543"/>
      <c r="EW42" s="1543"/>
      <c r="EX42" s="1543"/>
      <c r="EY42" s="1543"/>
      <c r="EZ42" s="1543"/>
    </row>
    <row r="43" spans="1:156" s="323" customFormat="1" ht="15" customHeight="1">
      <c r="A43" s="350"/>
      <c r="B43" s="381"/>
      <c r="C43" s="1510"/>
      <c r="D43" s="1510"/>
      <c r="E43" s="1510"/>
      <c r="F43" s="1510"/>
      <c r="G43" s="1510"/>
      <c r="H43" s="1510"/>
      <c r="I43" s="1510"/>
      <c r="J43" s="1510"/>
      <c r="K43" s="1510"/>
      <c r="L43" s="1510"/>
      <c r="M43" s="1510"/>
      <c r="N43" s="1510"/>
      <c r="O43" s="1510"/>
      <c r="P43" s="1510"/>
      <c r="Q43" s="1510"/>
      <c r="R43" s="205"/>
      <c r="S43" s="1046"/>
      <c r="T43" s="1518"/>
      <c r="U43" s="1518"/>
      <c r="V43" s="1518"/>
      <c r="W43" s="1518"/>
      <c r="X43" s="1518"/>
      <c r="Y43" s="1518"/>
      <c r="Z43" s="1518"/>
      <c r="AA43" s="1518"/>
      <c r="AB43" s="1518"/>
      <c r="AC43" s="1518"/>
      <c r="AD43" s="1518"/>
      <c r="AE43" s="1518"/>
      <c r="AF43" s="1518"/>
      <c r="AG43" s="1518"/>
      <c r="AH43" s="1518"/>
      <c r="AI43" s="1518"/>
      <c r="AJ43" s="1518"/>
      <c r="AK43" s="1518"/>
      <c r="AL43" s="1518"/>
      <c r="AM43" s="1518"/>
      <c r="AN43" s="1518"/>
      <c r="AO43" s="1518"/>
      <c r="AP43" s="1518"/>
      <c r="AQ43" s="1518"/>
      <c r="AR43" s="1518"/>
      <c r="AS43" s="1518"/>
      <c r="AT43" s="1046"/>
      <c r="AU43" s="1046"/>
      <c r="AV43" s="382"/>
      <c r="AW43" s="382"/>
      <c r="AX43" s="1542"/>
      <c r="AY43" s="1542"/>
      <c r="AZ43" s="1542"/>
      <c r="BA43" s="1542"/>
      <c r="BB43" s="1542"/>
      <c r="BC43" s="1542"/>
      <c r="BD43" s="1542"/>
      <c r="BE43" s="1542"/>
      <c r="BF43" s="1542"/>
      <c r="BG43" s="1542"/>
      <c r="BH43" s="1542"/>
      <c r="BI43" s="1542"/>
      <c r="BJ43" s="1542"/>
      <c r="BK43" s="1542"/>
      <c r="BL43" s="1542"/>
      <c r="BM43" s="1542"/>
      <c r="BN43" s="1542"/>
      <c r="BO43" s="1542"/>
      <c r="BP43" s="1542"/>
      <c r="BQ43" s="1542"/>
      <c r="BR43" s="1542"/>
      <c r="BS43" s="1542"/>
      <c r="BT43" s="1542"/>
      <c r="BU43" s="1542"/>
      <c r="BV43" s="1542"/>
      <c r="BW43" s="1542"/>
      <c r="BX43" s="1542"/>
      <c r="BY43" s="1542"/>
      <c r="BZ43" s="1542"/>
      <c r="CA43" s="1542"/>
      <c r="CB43" s="1542"/>
      <c r="CC43" s="1542"/>
      <c r="CD43" s="1542"/>
      <c r="CE43" s="1542"/>
      <c r="CF43" s="1542"/>
      <c r="CG43" s="1542"/>
      <c r="CH43" s="1542"/>
      <c r="CI43" s="1542"/>
      <c r="CJ43" s="1542"/>
      <c r="CK43" s="1542"/>
      <c r="CL43" s="1542"/>
      <c r="CM43" s="1542"/>
      <c r="CN43" s="1542"/>
      <c r="CO43" s="1542"/>
      <c r="CP43" s="1542"/>
      <c r="CQ43" s="1542"/>
      <c r="CR43" s="1542"/>
      <c r="CS43" s="1542"/>
      <c r="CT43" s="1542"/>
      <c r="CU43" s="1542"/>
      <c r="CV43" s="1542"/>
      <c r="CW43" s="1542"/>
      <c r="CX43" s="1542"/>
      <c r="CY43" s="1542"/>
      <c r="CZ43" s="1542"/>
      <c r="DA43" s="1542"/>
      <c r="DB43" s="1542"/>
      <c r="DC43" s="1542"/>
      <c r="DD43" s="1542"/>
      <c r="DE43" s="1542"/>
      <c r="DF43" s="1542"/>
      <c r="DG43" s="1542"/>
      <c r="DH43" s="1542"/>
      <c r="DI43" s="1542"/>
      <c r="DJ43" s="1542"/>
      <c r="DK43" s="1542"/>
      <c r="DL43" s="1542"/>
      <c r="DM43" s="1542"/>
      <c r="DN43" s="1542"/>
      <c r="DO43" s="1542"/>
      <c r="DP43" s="1542"/>
      <c r="DQ43" s="1542"/>
      <c r="DR43" s="1542"/>
      <c r="DS43" s="1542"/>
      <c r="DT43" s="1542"/>
      <c r="DU43" s="1542"/>
      <c r="DV43" s="1542"/>
      <c r="DW43" s="1542"/>
      <c r="DX43" s="1542"/>
      <c r="DY43" s="1542"/>
      <c r="DZ43" s="1542"/>
      <c r="EA43" s="1542"/>
      <c r="EB43" s="1542"/>
      <c r="EC43" s="1542"/>
      <c r="ED43" s="1542"/>
      <c r="EE43" s="1542"/>
      <c r="EF43" s="1042"/>
      <c r="EG43" s="1042"/>
      <c r="EH43" s="1543"/>
      <c r="EI43" s="1543"/>
      <c r="EJ43" s="1543"/>
      <c r="EK43" s="1543"/>
      <c r="EL43" s="1543"/>
      <c r="EM43" s="1543"/>
      <c r="EN43" s="1543"/>
      <c r="EO43" s="1543"/>
      <c r="EP43" s="1543"/>
      <c r="EQ43" s="1543"/>
      <c r="ER43" s="1543"/>
      <c r="ES43" s="1543"/>
      <c r="ET43" s="1543"/>
      <c r="EU43" s="1543"/>
      <c r="EV43" s="1543"/>
      <c r="EW43" s="1543"/>
      <c r="EX43" s="1543"/>
      <c r="EY43" s="1543"/>
      <c r="EZ43" s="1543"/>
    </row>
    <row r="44" spans="1:156" s="323" customFormat="1" ht="15" customHeight="1">
      <c r="A44" s="350"/>
      <c r="B44" s="381"/>
      <c r="C44" s="1510"/>
      <c r="D44" s="1510"/>
      <c r="E44" s="1510"/>
      <c r="F44" s="1510"/>
      <c r="G44" s="1510"/>
      <c r="H44" s="1510"/>
      <c r="I44" s="1510"/>
      <c r="J44" s="1510"/>
      <c r="K44" s="1510"/>
      <c r="L44" s="1510"/>
      <c r="M44" s="1510"/>
      <c r="N44" s="1510"/>
      <c r="O44" s="1510"/>
      <c r="P44" s="1510"/>
      <c r="Q44" s="1510"/>
      <c r="R44" s="205"/>
      <c r="S44" s="1046"/>
      <c r="T44" s="1518"/>
      <c r="U44" s="1518"/>
      <c r="V44" s="1518"/>
      <c r="W44" s="1518"/>
      <c r="X44" s="1518"/>
      <c r="Y44" s="1518"/>
      <c r="Z44" s="1518"/>
      <c r="AA44" s="1518"/>
      <c r="AB44" s="1518"/>
      <c r="AC44" s="1518"/>
      <c r="AD44" s="1518"/>
      <c r="AE44" s="1518"/>
      <c r="AF44" s="1518"/>
      <c r="AG44" s="1518"/>
      <c r="AH44" s="1518"/>
      <c r="AI44" s="1518"/>
      <c r="AJ44" s="1518"/>
      <c r="AK44" s="1518"/>
      <c r="AL44" s="1518"/>
      <c r="AM44" s="1518"/>
      <c r="AN44" s="1518"/>
      <c r="AO44" s="1518"/>
      <c r="AP44" s="1518"/>
      <c r="AQ44" s="1518"/>
      <c r="AR44" s="1518"/>
      <c r="AS44" s="1518"/>
      <c r="AT44" s="1046"/>
      <c r="AU44" s="1046"/>
      <c r="AV44" s="382"/>
      <c r="AW44" s="382"/>
      <c r="AX44" s="1542"/>
      <c r="AY44" s="1542"/>
      <c r="AZ44" s="1542"/>
      <c r="BA44" s="1542"/>
      <c r="BB44" s="1542"/>
      <c r="BC44" s="1542"/>
      <c r="BD44" s="1542"/>
      <c r="BE44" s="1542"/>
      <c r="BF44" s="1542"/>
      <c r="BG44" s="1542"/>
      <c r="BH44" s="1542"/>
      <c r="BI44" s="1542"/>
      <c r="BJ44" s="1542"/>
      <c r="BK44" s="1542"/>
      <c r="BL44" s="1542"/>
      <c r="BM44" s="1542"/>
      <c r="BN44" s="1542"/>
      <c r="BO44" s="1542"/>
      <c r="BP44" s="1542"/>
      <c r="BQ44" s="1542"/>
      <c r="BR44" s="1542"/>
      <c r="BS44" s="1542"/>
      <c r="BT44" s="1542"/>
      <c r="BU44" s="1542"/>
      <c r="BV44" s="1542"/>
      <c r="BW44" s="1542"/>
      <c r="BX44" s="1542"/>
      <c r="BY44" s="1542"/>
      <c r="BZ44" s="1542"/>
      <c r="CA44" s="1542"/>
      <c r="CB44" s="1542"/>
      <c r="CC44" s="1542"/>
      <c r="CD44" s="1542"/>
      <c r="CE44" s="1542"/>
      <c r="CF44" s="1542"/>
      <c r="CG44" s="1542"/>
      <c r="CH44" s="1542"/>
      <c r="CI44" s="1542"/>
      <c r="CJ44" s="1542"/>
      <c r="CK44" s="1542"/>
      <c r="CL44" s="1542"/>
      <c r="CM44" s="1542"/>
      <c r="CN44" s="1542"/>
      <c r="CO44" s="1542"/>
      <c r="CP44" s="1542"/>
      <c r="CQ44" s="1542"/>
      <c r="CR44" s="1542"/>
      <c r="CS44" s="1542"/>
      <c r="CT44" s="1542"/>
      <c r="CU44" s="1542"/>
      <c r="CV44" s="1542"/>
      <c r="CW44" s="1542"/>
      <c r="CX44" s="1542"/>
      <c r="CY44" s="1542"/>
      <c r="CZ44" s="1542"/>
      <c r="DA44" s="1542"/>
      <c r="DB44" s="1542"/>
      <c r="DC44" s="1542"/>
      <c r="DD44" s="1542"/>
      <c r="DE44" s="1542"/>
      <c r="DF44" s="1542"/>
      <c r="DG44" s="1542"/>
      <c r="DH44" s="1542"/>
      <c r="DI44" s="1542"/>
      <c r="DJ44" s="1542"/>
      <c r="DK44" s="1542"/>
      <c r="DL44" s="1542"/>
      <c r="DM44" s="1542"/>
      <c r="DN44" s="1542"/>
      <c r="DO44" s="1542"/>
      <c r="DP44" s="1542"/>
      <c r="DQ44" s="1542"/>
      <c r="DR44" s="1542"/>
      <c r="DS44" s="1542"/>
      <c r="DT44" s="1542"/>
      <c r="DU44" s="1542"/>
      <c r="DV44" s="1542"/>
      <c r="DW44" s="1542"/>
      <c r="DX44" s="1542"/>
      <c r="DY44" s="1542"/>
      <c r="DZ44" s="1542"/>
      <c r="EA44" s="1542"/>
      <c r="EB44" s="1542"/>
      <c r="EC44" s="1542"/>
      <c r="ED44" s="1542"/>
      <c r="EE44" s="1542"/>
      <c r="EF44" s="1042"/>
      <c r="EG44" s="1042"/>
      <c r="EH44" s="1543"/>
      <c r="EI44" s="1543"/>
      <c r="EJ44" s="1543"/>
      <c r="EK44" s="1543"/>
      <c r="EL44" s="1543"/>
      <c r="EM44" s="1543"/>
      <c r="EN44" s="1543"/>
      <c r="EO44" s="1543"/>
      <c r="EP44" s="1543"/>
      <c r="EQ44" s="1543"/>
      <c r="ER44" s="1543"/>
      <c r="ES44" s="1543"/>
      <c r="ET44" s="1543"/>
      <c r="EU44" s="1543"/>
      <c r="EV44" s="1543"/>
      <c r="EW44" s="1543"/>
      <c r="EX44" s="1543"/>
      <c r="EY44" s="1543"/>
      <c r="EZ44" s="1543"/>
    </row>
    <row r="45" spans="1:156" s="323" customFormat="1" ht="15" customHeight="1">
      <c r="A45" s="350"/>
      <c r="B45" s="381"/>
      <c r="C45" s="1510"/>
      <c r="D45" s="1510"/>
      <c r="E45" s="1510"/>
      <c r="F45" s="1510"/>
      <c r="G45" s="1510"/>
      <c r="H45" s="1510"/>
      <c r="I45" s="1510"/>
      <c r="J45" s="1510"/>
      <c r="K45" s="1510"/>
      <c r="L45" s="1510"/>
      <c r="M45" s="1510"/>
      <c r="N45" s="1510"/>
      <c r="O45" s="1510"/>
      <c r="P45" s="1510"/>
      <c r="Q45" s="1510"/>
      <c r="R45" s="205"/>
      <c r="S45" s="1046"/>
      <c r="T45" s="1518"/>
      <c r="U45" s="1518"/>
      <c r="V45" s="1518"/>
      <c r="W45" s="1518"/>
      <c r="X45" s="1518"/>
      <c r="Y45" s="1518"/>
      <c r="Z45" s="1518"/>
      <c r="AA45" s="1518"/>
      <c r="AB45" s="1518"/>
      <c r="AC45" s="1518"/>
      <c r="AD45" s="1518"/>
      <c r="AE45" s="1518"/>
      <c r="AF45" s="1518"/>
      <c r="AG45" s="1518"/>
      <c r="AH45" s="1518"/>
      <c r="AI45" s="1518"/>
      <c r="AJ45" s="1518"/>
      <c r="AK45" s="1518"/>
      <c r="AL45" s="1518"/>
      <c r="AM45" s="1518"/>
      <c r="AN45" s="1518"/>
      <c r="AO45" s="1518"/>
      <c r="AP45" s="1518"/>
      <c r="AQ45" s="1518"/>
      <c r="AR45" s="1518"/>
      <c r="AS45" s="1518"/>
      <c r="AT45" s="1046"/>
      <c r="AU45" s="1046"/>
      <c r="AV45" s="382"/>
      <c r="AW45" s="382"/>
      <c r="AX45" s="1542"/>
      <c r="AY45" s="1542"/>
      <c r="AZ45" s="1542"/>
      <c r="BA45" s="1542"/>
      <c r="BB45" s="1542"/>
      <c r="BC45" s="1542"/>
      <c r="BD45" s="1542"/>
      <c r="BE45" s="1542"/>
      <c r="BF45" s="1542"/>
      <c r="BG45" s="1542"/>
      <c r="BH45" s="1542"/>
      <c r="BI45" s="1542"/>
      <c r="BJ45" s="1542"/>
      <c r="BK45" s="1542"/>
      <c r="BL45" s="1542"/>
      <c r="BM45" s="1542"/>
      <c r="BN45" s="1542"/>
      <c r="BO45" s="1542"/>
      <c r="BP45" s="1542"/>
      <c r="BQ45" s="1542"/>
      <c r="BR45" s="1542"/>
      <c r="BS45" s="1542"/>
      <c r="BT45" s="1542"/>
      <c r="BU45" s="1542"/>
      <c r="BV45" s="1542"/>
      <c r="BW45" s="1542"/>
      <c r="BX45" s="1542"/>
      <c r="BY45" s="1542"/>
      <c r="BZ45" s="1542"/>
      <c r="CA45" s="1542"/>
      <c r="CB45" s="1542"/>
      <c r="CC45" s="1542"/>
      <c r="CD45" s="1542"/>
      <c r="CE45" s="1542"/>
      <c r="CF45" s="1542"/>
      <c r="CG45" s="1542"/>
      <c r="CH45" s="1542"/>
      <c r="CI45" s="1542"/>
      <c r="CJ45" s="1542"/>
      <c r="CK45" s="1542"/>
      <c r="CL45" s="1542"/>
      <c r="CM45" s="1542"/>
      <c r="CN45" s="1542"/>
      <c r="CO45" s="1542"/>
      <c r="CP45" s="1542"/>
      <c r="CQ45" s="1542"/>
      <c r="CR45" s="1542"/>
      <c r="CS45" s="1542"/>
      <c r="CT45" s="1542"/>
      <c r="CU45" s="1542"/>
      <c r="CV45" s="1542"/>
      <c r="CW45" s="1542"/>
      <c r="CX45" s="1542"/>
      <c r="CY45" s="1542"/>
      <c r="CZ45" s="1542"/>
      <c r="DA45" s="1542"/>
      <c r="DB45" s="1542"/>
      <c r="DC45" s="1542"/>
      <c r="DD45" s="1542"/>
      <c r="DE45" s="1542"/>
      <c r="DF45" s="1542"/>
      <c r="DG45" s="1542"/>
      <c r="DH45" s="1542"/>
      <c r="DI45" s="1542"/>
      <c r="DJ45" s="1542"/>
      <c r="DK45" s="1542"/>
      <c r="DL45" s="1542"/>
      <c r="DM45" s="1542"/>
      <c r="DN45" s="1542"/>
      <c r="DO45" s="1542"/>
      <c r="DP45" s="1542"/>
      <c r="DQ45" s="1542"/>
      <c r="DR45" s="1542"/>
      <c r="DS45" s="1542"/>
      <c r="DT45" s="1542"/>
      <c r="DU45" s="1542"/>
      <c r="DV45" s="1542"/>
      <c r="DW45" s="1542"/>
      <c r="DX45" s="1542"/>
      <c r="DY45" s="1542"/>
      <c r="DZ45" s="1542"/>
      <c r="EA45" s="1542"/>
      <c r="EB45" s="1542"/>
      <c r="EC45" s="1542"/>
      <c r="ED45" s="1542"/>
      <c r="EE45" s="1542"/>
      <c r="EF45" s="1042"/>
      <c r="EG45" s="1042"/>
      <c r="EH45" s="1543"/>
      <c r="EI45" s="1543"/>
      <c r="EJ45" s="1543"/>
      <c r="EK45" s="1543"/>
      <c r="EL45" s="1543"/>
      <c r="EM45" s="1543"/>
      <c r="EN45" s="1543"/>
      <c r="EO45" s="1543"/>
      <c r="EP45" s="1543"/>
      <c r="EQ45" s="1543"/>
      <c r="ER45" s="1543"/>
      <c r="ES45" s="1543"/>
      <c r="ET45" s="1543"/>
      <c r="EU45" s="1543"/>
      <c r="EV45" s="1543"/>
      <c r="EW45" s="1543"/>
      <c r="EX45" s="1543"/>
      <c r="EY45" s="1543"/>
      <c r="EZ45" s="1543"/>
    </row>
    <row r="46" spans="1:156" s="323" customFormat="1" ht="15" customHeight="1">
      <c r="A46" s="350"/>
      <c r="B46" s="381"/>
      <c r="C46" s="1510"/>
      <c r="D46" s="1510"/>
      <c r="E46" s="1510"/>
      <c r="F46" s="1510"/>
      <c r="G46" s="1510"/>
      <c r="H46" s="1510"/>
      <c r="I46" s="1510"/>
      <c r="J46" s="1510"/>
      <c r="K46" s="1510"/>
      <c r="L46" s="1510"/>
      <c r="M46" s="1510"/>
      <c r="N46" s="1510"/>
      <c r="O46" s="1510"/>
      <c r="P46" s="1510"/>
      <c r="Q46" s="1510"/>
      <c r="R46" s="205"/>
      <c r="S46" s="1046"/>
      <c r="T46" s="1518"/>
      <c r="U46" s="1518"/>
      <c r="V46" s="1518"/>
      <c r="W46" s="1518"/>
      <c r="X46" s="1518"/>
      <c r="Y46" s="1518"/>
      <c r="Z46" s="1518"/>
      <c r="AA46" s="1518"/>
      <c r="AB46" s="1518"/>
      <c r="AC46" s="1518"/>
      <c r="AD46" s="1518"/>
      <c r="AE46" s="1518"/>
      <c r="AF46" s="1518"/>
      <c r="AG46" s="1518"/>
      <c r="AH46" s="1518"/>
      <c r="AI46" s="1518"/>
      <c r="AJ46" s="1518"/>
      <c r="AK46" s="1518"/>
      <c r="AL46" s="1518"/>
      <c r="AM46" s="1518"/>
      <c r="AN46" s="1518"/>
      <c r="AO46" s="1518"/>
      <c r="AP46" s="1518"/>
      <c r="AQ46" s="1518"/>
      <c r="AR46" s="1518"/>
      <c r="AS46" s="1518"/>
      <c r="AT46" s="1046"/>
      <c r="AU46" s="1046"/>
      <c r="AV46" s="382"/>
      <c r="AW46" s="382"/>
      <c r="AX46" s="1542"/>
      <c r="AY46" s="1542"/>
      <c r="AZ46" s="1542"/>
      <c r="BA46" s="1542"/>
      <c r="BB46" s="1542"/>
      <c r="BC46" s="1542"/>
      <c r="BD46" s="1542"/>
      <c r="BE46" s="1542"/>
      <c r="BF46" s="1542"/>
      <c r="BG46" s="1542"/>
      <c r="BH46" s="1542"/>
      <c r="BI46" s="1542"/>
      <c r="BJ46" s="1542"/>
      <c r="BK46" s="1542"/>
      <c r="BL46" s="1542"/>
      <c r="BM46" s="1542"/>
      <c r="BN46" s="1542"/>
      <c r="BO46" s="1542"/>
      <c r="BP46" s="1542"/>
      <c r="BQ46" s="1542"/>
      <c r="BR46" s="1542"/>
      <c r="BS46" s="1542"/>
      <c r="BT46" s="1542"/>
      <c r="BU46" s="1542"/>
      <c r="BV46" s="1542"/>
      <c r="BW46" s="1542"/>
      <c r="BX46" s="1542"/>
      <c r="BY46" s="1542"/>
      <c r="BZ46" s="1542"/>
      <c r="CA46" s="1542"/>
      <c r="CB46" s="1542"/>
      <c r="CC46" s="1542"/>
      <c r="CD46" s="1542"/>
      <c r="CE46" s="1542"/>
      <c r="CF46" s="1542"/>
      <c r="CG46" s="1542"/>
      <c r="CH46" s="1542"/>
      <c r="CI46" s="1542"/>
      <c r="CJ46" s="1542"/>
      <c r="CK46" s="1542"/>
      <c r="CL46" s="1542"/>
      <c r="CM46" s="1542"/>
      <c r="CN46" s="1542"/>
      <c r="CO46" s="1542"/>
      <c r="CP46" s="1542"/>
      <c r="CQ46" s="1542"/>
      <c r="CR46" s="1542"/>
      <c r="CS46" s="1542"/>
      <c r="CT46" s="1542"/>
      <c r="CU46" s="1542"/>
      <c r="CV46" s="1542"/>
      <c r="CW46" s="1542"/>
      <c r="CX46" s="1542"/>
      <c r="CY46" s="1542"/>
      <c r="CZ46" s="1542"/>
      <c r="DA46" s="1542"/>
      <c r="DB46" s="1542"/>
      <c r="DC46" s="1542"/>
      <c r="DD46" s="1542"/>
      <c r="DE46" s="1542"/>
      <c r="DF46" s="1542"/>
      <c r="DG46" s="1542"/>
      <c r="DH46" s="1542"/>
      <c r="DI46" s="1542"/>
      <c r="DJ46" s="1542"/>
      <c r="DK46" s="1542"/>
      <c r="DL46" s="1542"/>
      <c r="DM46" s="1542"/>
      <c r="DN46" s="1542"/>
      <c r="DO46" s="1542"/>
      <c r="DP46" s="1542"/>
      <c r="DQ46" s="1542"/>
      <c r="DR46" s="1542"/>
      <c r="DS46" s="1542"/>
      <c r="DT46" s="1542"/>
      <c r="DU46" s="1542"/>
      <c r="DV46" s="1542"/>
      <c r="DW46" s="1542"/>
      <c r="DX46" s="1542"/>
      <c r="DY46" s="1542"/>
      <c r="DZ46" s="1542"/>
      <c r="EA46" s="1542"/>
      <c r="EB46" s="1542"/>
      <c r="EC46" s="1542"/>
      <c r="ED46" s="1542"/>
      <c r="EE46" s="1542"/>
      <c r="EF46" s="1042"/>
      <c r="EG46" s="1042"/>
      <c r="EH46" s="1543"/>
      <c r="EI46" s="1543"/>
      <c r="EJ46" s="1543"/>
      <c r="EK46" s="1543"/>
      <c r="EL46" s="1543"/>
      <c r="EM46" s="1543"/>
      <c r="EN46" s="1543"/>
      <c r="EO46" s="1543"/>
      <c r="EP46" s="1543"/>
      <c r="EQ46" s="1543"/>
      <c r="ER46" s="1543"/>
      <c r="ES46" s="1543"/>
      <c r="ET46" s="1543"/>
      <c r="EU46" s="1543"/>
      <c r="EV46" s="1543"/>
      <c r="EW46" s="1543"/>
      <c r="EX46" s="1543"/>
      <c r="EY46" s="1543"/>
      <c r="EZ46" s="1543"/>
    </row>
    <row r="47" spans="1:156" s="323" customFormat="1" ht="15" customHeight="1">
      <c r="A47" s="350"/>
      <c r="B47" s="381"/>
      <c r="C47" s="1510"/>
      <c r="D47" s="1510"/>
      <c r="E47" s="1510"/>
      <c r="F47" s="1510"/>
      <c r="G47" s="1510"/>
      <c r="H47" s="1510"/>
      <c r="I47" s="1510"/>
      <c r="J47" s="1510"/>
      <c r="K47" s="1510"/>
      <c r="L47" s="1510"/>
      <c r="M47" s="1510"/>
      <c r="N47" s="1510"/>
      <c r="O47" s="1510"/>
      <c r="P47" s="1510"/>
      <c r="Q47" s="1510"/>
      <c r="R47" s="205"/>
      <c r="S47" s="1046"/>
      <c r="T47" s="1518"/>
      <c r="U47" s="1518"/>
      <c r="V47" s="1518"/>
      <c r="W47" s="1518"/>
      <c r="X47" s="1518"/>
      <c r="Y47" s="1518"/>
      <c r="Z47" s="1518"/>
      <c r="AA47" s="1518"/>
      <c r="AB47" s="1518"/>
      <c r="AC47" s="1518"/>
      <c r="AD47" s="1518"/>
      <c r="AE47" s="1518"/>
      <c r="AF47" s="1518"/>
      <c r="AG47" s="1518"/>
      <c r="AH47" s="1518"/>
      <c r="AI47" s="1518"/>
      <c r="AJ47" s="1518"/>
      <c r="AK47" s="1518"/>
      <c r="AL47" s="1518"/>
      <c r="AM47" s="1518"/>
      <c r="AN47" s="1518"/>
      <c r="AO47" s="1518"/>
      <c r="AP47" s="1518"/>
      <c r="AQ47" s="1518"/>
      <c r="AR47" s="1518"/>
      <c r="AS47" s="1518"/>
      <c r="AT47" s="1046"/>
      <c r="AU47" s="1046"/>
      <c r="AV47" s="382"/>
      <c r="AW47" s="382"/>
      <c r="AX47" s="1542"/>
      <c r="AY47" s="1542"/>
      <c r="AZ47" s="1542"/>
      <c r="BA47" s="1542"/>
      <c r="BB47" s="1542"/>
      <c r="BC47" s="1542"/>
      <c r="BD47" s="1542"/>
      <c r="BE47" s="1542"/>
      <c r="BF47" s="1542"/>
      <c r="BG47" s="1542"/>
      <c r="BH47" s="1542"/>
      <c r="BI47" s="1542"/>
      <c r="BJ47" s="1542"/>
      <c r="BK47" s="1542"/>
      <c r="BL47" s="1542"/>
      <c r="BM47" s="1542"/>
      <c r="BN47" s="1542"/>
      <c r="BO47" s="1542"/>
      <c r="BP47" s="1542"/>
      <c r="BQ47" s="1542"/>
      <c r="BR47" s="1542"/>
      <c r="BS47" s="1542"/>
      <c r="BT47" s="1542"/>
      <c r="BU47" s="1542"/>
      <c r="BV47" s="1542"/>
      <c r="BW47" s="1542"/>
      <c r="BX47" s="1542"/>
      <c r="BY47" s="1542"/>
      <c r="BZ47" s="1542"/>
      <c r="CA47" s="1542"/>
      <c r="CB47" s="1542"/>
      <c r="CC47" s="1542"/>
      <c r="CD47" s="1542"/>
      <c r="CE47" s="1542"/>
      <c r="CF47" s="1542"/>
      <c r="CG47" s="1542"/>
      <c r="CH47" s="1542"/>
      <c r="CI47" s="1542"/>
      <c r="CJ47" s="1542"/>
      <c r="CK47" s="1542"/>
      <c r="CL47" s="1542"/>
      <c r="CM47" s="1542"/>
      <c r="CN47" s="1542"/>
      <c r="CO47" s="1542"/>
      <c r="CP47" s="1542"/>
      <c r="CQ47" s="1542"/>
      <c r="CR47" s="1542"/>
      <c r="CS47" s="1542"/>
      <c r="CT47" s="1542"/>
      <c r="CU47" s="1542"/>
      <c r="CV47" s="1542"/>
      <c r="CW47" s="1542"/>
      <c r="CX47" s="1542"/>
      <c r="CY47" s="1542"/>
      <c r="CZ47" s="1542"/>
      <c r="DA47" s="1542"/>
      <c r="DB47" s="1542"/>
      <c r="DC47" s="1542"/>
      <c r="DD47" s="1542"/>
      <c r="DE47" s="1542"/>
      <c r="DF47" s="1542"/>
      <c r="DG47" s="1542"/>
      <c r="DH47" s="1542"/>
      <c r="DI47" s="1542"/>
      <c r="DJ47" s="1542"/>
      <c r="DK47" s="1542"/>
      <c r="DL47" s="1542"/>
      <c r="DM47" s="1542"/>
      <c r="DN47" s="1542"/>
      <c r="DO47" s="1542"/>
      <c r="DP47" s="1542"/>
      <c r="DQ47" s="1542"/>
      <c r="DR47" s="1542"/>
      <c r="DS47" s="1542"/>
      <c r="DT47" s="1542"/>
      <c r="DU47" s="1542"/>
      <c r="DV47" s="1542"/>
      <c r="DW47" s="1542"/>
      <c r="DX47" s="1542"/>
      <c r="DY47" s="1542"/>
      <c r="DZ47" s="1542"/>
      <c r="EA47" s="1542"/>
      <c r="EB47" s="1542"/>
      <c r="EC47" s="1542"/>
      <c r="ED47" s="1542"/>
      <c r="EE47" s="1542"/>
      <c r="EF47" s="1042"/>
      <c r="EG47" s="1042"/>
      <c r="EH47" s="1543"/>
      <c r="EI47" s="1543"/>
      <c r="EJ47" s="1543"/>
      <c r="EK47" s="1543"/>
      <c r="EL47" s="1543"/>
      <c r="EM47" s="1543"/>
      <c r="EN47" s="1543"/>
      <c r="EO47" s="1543"/>
      <c r="EP47" s="1543"/>
      <c r="EQ47" s="1543"/>
      <c r="ER47" s="1543"/>
      <c r="ES47" s="1543"/>
      <c r="ET47" s="1543"/>
      <c r="EU47" s="1543"/>
      <c r="EV47" s="1543"/>
      <c r="EW47" s="1543"/>
      <c r="EX47" s="1543"/>
      <c r="EY47" s="1543"/>
      <c r="EZ47" s="1543"/>
    </row>
    <row r="48" spans="1:156" s="323" customFormat="1" ht="15" customHeight="1">
      <c r="A48" s="350"/>
      <c r="B48" s="381"/>
      <c r="C48" s="1510"/>
      <c r="D48" s="1510"/>
      <c r="E48" s="1510"/>
      <c r="F48" s="1510"/>
      <c r="G48" s="1510"/>
      <c r="H48" s="1510"/>
      <c r="I48" s="1510"/>
      <c r="J48" s="1510"/>
      <c r="K48" s="1510"/>
      <c r="L48" s="1510"/>
      <c r="M48" s="1510"/>
      <c r="N48" s="1510"/>
      <c r="O48" s="1510"/>
      <c r="P48" s="1510"/>
      <c r="Q48" s="1510"/>
      <c r="R48" s="205"/>
      <c r="S48" s="1046"/>
      <c r="T48" s="1518"/>
      <c r="U48" s="1518"/>
      <c r="V48" s="1518"/>
      <c r="W48" s="1518"/>
      <c r="X48" s="1518"/>
      <c r="Y48" s="1518"/>
      <c r="Z48" s="1518"/>
      <c r="AA48" s="1518"/>
      <c r="AB48" s="1518"/>
      <c r="AC48" s="1518"/>
      <c r="AD48" s="1518"/>
      <c r="AE48" s="1518"/>
      <c r="AF48" s="1518"/>
      <c r="AG48" s="1518"/>
      <c r="AH48" s="1518"/>
      <c r="AI48" s="1518"/>
      <c r="AJ48" s="1518"/>
      <c r="AK48" s="1518"/>
      <c r="AL48" s="1518"/>
      <c r="AM48" s="1518"/>
      <c r="AN48" s="1518"/>
      <c r="AO48" s="1518"/>
      <c r="AP48" s="1518"/>
      <c r="AQ48" s="1518"/>
      <c r="AR48" s="1518"/>
      <c r="AS48" s="1518"/>
      <c r="AT48" s="1046"/>
      <c r="AU48" s="1046"/>
      <c r="AV48" s="382"/>
      <c r="AW48" s="382"/>
      <c r="AX48" s="1542"/>
      <c r="AY48" s="1542"/>
      <c r="AZ48" s="1542"/>
      <c r="BA48" s="1542"/>
      <c r="BB48" s="1542"/>
      <c r="BC48" s="1542"/>
      <c r="BD48" s="1542"/>
      <c r="BE48" s="1542"/>
      <c r="BF48" s="1542"/>
      <c r="BG48" s="1542"/>
      <c r="BH48" s="1542"/>
      <c r="BI48" s="1542"/>
      <c r="BJ48" s="1542"/>
      <c r="BK48" s="1542"/>
      <c r="BL48" s="1542"/>
      <c r="BM48" s="1542"/>
      <c r="BN48" s="1542"/>
      <c r="BO48" s="1542"/>
      <c r="BP48" s="1542"/>
      <c r="BQ48" s="1542"/>
      <c r="BR48" s="1542"/>
      <c r="BS48" s="1542"/>
      <c r="BT48" s="1542"/>
      <c r="BU48" s="1542"/>
      <c r="BV48" s="1542"/>
      <c r="BW48" s="1542"/>
      <c r="BX48" s="1542"/>
      <c r="BY48" s="1542"/>
      <c r="BZ48" s="1542"/>
      <c r="CA48" s="1542"/>
      <c r="CB48" s="1542"/>
      <c r="CC48" s="1542"/>
      <c r="CD48" s="1542"/>
      <c r="CE48" s="1542"/>
      <c r="CF48" s="1542"/>
      <c r="CG48" s="1542"/>
      <c r="CH48" s="1542"/>
      <c r="CI48" s="1542"/>
      <c r="CJ48" s="1542"/>
      <c r="CK48" s="1542"/>
      <c r="CL48" s="1542"/>
      <c r="CM48" s="1542"/>
      <c r="CN48" s="1542"/>
      <c r="CO48" s="1542"/>
      <c r="CP48" s="1542"/>
      <c r="CQ48" s="1542"/>
      <c r="CR48" s="1542"/>
      <c r="CS48" s="1542"/>
      <c r="CT48" s="1542"/>
      <c r="CU48" s="1542"/>
      <c r="CV48" s="1542"/>
      <c r="CW48" s="1542"/>
      <c r="CX48" s="1542"/>
      <c r="CY48" s="1542"/>
      <c r="CZ48" s="1542"/>
      <c r="DA48" s="1542"/>
      <c r="DB48" s="1542"/>
      <c r="DC48" s="1542"/>
      <c r="DD48" s="1542"/>
      <c r="DE48" s="1542"/>
      <c r="DF48" s="1542"/>
      <c r="DG48" s="1542"/>
      <c r="DH48" s="1542"/>
      <c r="DI48" s="1542"/>
      <c r="DJ48" s="1542"/>
      <c r="DK48" s="1542"/>
      <c r="DL48" s="1542"/>
      <c r="DM48" s="1542"/>
      <c r="DN48" s="1542"/>
      <c r="DO48" s="1542"/>
      <c r="DP48" s="1542"/>
      <c r="DQ48" s="1542"/>
      <c r="DR48" s="1542"/>
      <c r="DS48" s="1542"/>
      <c r="DT48" s="1542"/>
      <c r="DU48" s="1542"/>
      <c r="DV48" s="1542"/>
      <c r="DW48" s="1542"/>
      <c r="DX48" s="1542"/>
      <c r="DY48" s="1542"/>
      <c r="DZ48" s="1542"/>
      <c r="EA48" s="1542"/>
      <c r="EB48" s="1542"/>
      <c r="EC48" s="1542"/>
      <c r="ED48" s="1542"/>
      <c r="EE48" s="1542"/>
      <c r="EF48" s="1042"/>
      <c r="EG48" s="1042"/>
      <c r="EH48" s="1543"/>
      <c r="EI48" s="1543"/>
      <c r="EJ48" s="1543"/>
      <c r="EK48" s="1543"/>
      <c r="EL48" s="1543"/>
      <c r="EM48" s="1543"/>
      <c r="EN48" s="1543"/>
      <c r="EO48" s="1543"/>
      <c r="EP48" s="1543"/>
      <c r="EQ48" s="1543"/>
      <c r="ER48" s="1543"/>
      <c r="ES48" s="1543"/>
      <c r="ET48" s="1543"/>
      <c r="EU48" s="1543"/>
      <c r="EV48" s="1543"/>
      <c r="EW48" s="1543"/>
      <c r="EX48" s="1543"/>
      <c r="EY48" s="1543"/>
      <c r="EZ48" s="1543"/>
    </row>
    <row r="49" spans="1:156" s="323" customFormat="1" ht="15" customHeight="1">
      <c r="A49" s="350"/>
      <c r="B49" s="381"/>
      <c r="C49" s="1510"/>
      <c r="D49" s="1510"/>
      <c r="E49" s="1510"/>
      <c r="F49" s="1510"/>
      <c r="G49" s="1510"/>
      <c r="H49" s="1510"/>
      <c r="I49" s="1510"/>
      <c r="J49" s="1510"/>
      <c r="K49" s="1510"/>
      <c r="L49" s="1510"/>
      <c r="M49" s="1510"/>
      <c r="N49" s="1510"/>
      <c r="O49" s="1510"/>
      <c r="P49" s="1510"/>
      <c r="Q49" s="1510"/>
      <c r="R49" s="205"/>
      <c r="S49" s="1046"/>
      <c r="T49" s="1518"/>
      <c r="U49" s="1518"/>
      <c r="V49" s="1518"/>
      <c r="W49" s="1518"/>
      <c r="X49" s="1518"/>
      <c r="Y49" s="1518"/>
      <c r="Z49" s="1518"/>
      <c r="AA49" s="1518"/>
      <c r="AB49" s="1518"/>
      <c r="AC49" s="1518"/>
      <c r="AD49" s="1518"/>
      <c r="AE49" s="1518"/>
      <c r="AF49" s="1518"/>
      <c r="AG49" s="1518"/>
      <c r="AH49" s="1518"/>
      <c r="AI49" s="1518"/>
      <c r="AJ49" s="1518"/>
      <c r="AK49" s="1518"/>
      <c r="AL49" s="1518"/>
      <c r="AM49" s="1518"/>
      <c r="AN49" s="1518"/>
      <c r="AO49" s="1518"/>
      <c r="AP49" s="1518"/>
      <c r="AQ49" s="1518"/>
      <c r="AR49" s="1518"/>
      <c r="AS49" s="1518"/>
      <c r="AT49" s="1046"/>
      <c r="AU49" s="1046"/>
      <c r="AV49" s="382"/>
      <c r="AW49" s="382"/>
      <c r="AX49" s="1542"/>
      <c r="AY49" s="1542"/>
      <c r="AZ49" s="1542"/>
      <c r="BA49" s="1542"/>
      <c r="BB49" s="1542"/>
      <c r="BC49" s="1542"/>
      <c r="BD49" s="1542"/>
      <c r="BE49" s="1542"/>
      <c r="BF49" s="1542"/>
      <c r="BG49" s="1542"/>
      <c r="BH49" s="1542"/>
      <c r="BI49" s="1542"/>
      <c r="BJ49" s="1542"/>
      <c r="BK49" s="1542"/>
      <c r="BL49" s="1542"/>
      <c r="BM49" s="1542"/>
      <c r="BN49" s="1542"/>
      <c r="BO49" s="1542"/>
      <c r="BP49" s="1542"/>
      <c r="BQ49" s="1542"/>
      <c r="BR49" s="1542"/>
      <c r="BS49" s="1542"/>
      <c r="BT49" s="1542"/>
      <c r="BU49" s="1542"/>
      <c r="BV49" s="1542"/>
      <c r="BW49" s="1542"/>
      <c r="BX49" s="1542"/>
      <c r="BY49" s="1542"/>
      <c r="BZ49" s="1542"/>
      <c r="CA49" s="1542"/>
      <c r="CB49" s="1542"/>
      <c r="CC49" s="1542"/>
      <c r="CD49" s="1542"/>
      <c r="CE49" s="1542"/>
      <c r="CF49" s="1542"/>
      <c r="CG49" s="1542"/>
      <c r="CH49" s="1542"/>
      <c r="CI49" s="1542"/>
      <c r="CJ49" s="1542"/>
      <c r="CK49" s="1542"/>
      <c r="CL49" s="1542"/>
      <c r="CM49" s="1542"/>
      <c r="CN49" s="1542"/>
      <c r="CO49" s="1542"/>
      <c r="CP49" s="1542"/>
      <c r="CQ49" s="1542"/>
      <c r="CR49" s="1542"/>
      <c r="CS49" s="1542"/>
      <c r="CT49" s="1542"/>
      <c r="CU49" s="1542"/>
      <c r="CV49" s="1542"/>
      <c r="CW49" s="1542"/>
      <c r="CX49" s="1542"/>
      <c r="CY49" s="1542"/>
      <c r="CZ49" s="1542"/>
      <c r="DA49" s="1542"/>
      <c r="DB49" s="1542"/>
      <c r="DC49" s="1542"/>
      <c r="DD49" s="1542"/>
      <c r="DE49" s="1542"/>
      <c r="DF49" s="1542"/>
      <c r="DG49" s="1542"/>
      <c r="DH49" s="1542"/>
      <c r="DI49" s="1542"/>
      <c r="DJ49" s="1542"/>
      <c r="DK49" s="1542"/>
      <c r="DL49" s="1542"/>
      <c r="DM49" s="1542"/>
      <c r="DN49" s="1542"/>
      <c r="DO49" s="1542"/>
      <c r="DP49" s="1542"/>
      <c r="DQ49" s="1542"/>
      <c r="DR49" s="1542"/>
      <c r="DS49" s="1542"/>
      <c r="DT49" s="1542"/>
      <c r="DU49" s="1542"/>
      <c r="DV49" s="1542"/>
      <c r="DW49" s="1542"/>
      <c r="DX49" s="1542"/>
      <c r="DY49" s="1542"/>
      <c r="DZ49" s="1542"/>
      <c r="EA49" s="1542"/>
      <c r="EB49" s="1542"/>
      <c r="EC49" s="1542"/>
      <c r="ED49" s="1542"/>
      <c r="EE49" s="1542"/>
      <c r="EF49" s="1042"/>
      <c r="EG49" s="1042"/>
      <c r="EH49" s="1543"/>
      <c r="EI49" s="1543"/>
      <c r="EJ49" s="1543"/>
      <c r="EK49" s="1543"/>
      <c r="EL49" s="1543"/>
      <c r="EM49" s="1543"/>
      <c r="EN49" s="1543"/>
      <c r="EO49" s="1543"/>
      <c r="EP49" s="1543"/>
      <c r="EQ49" s="1543"/>
      <c r="ER49" s="1543"/>
      <c r="ES49" s="1543"/>
      <c r="ET49" s="1543"/>
      <c r="EU49" s="1543"/>
      <c r="EV49" s="1543"/>
      <c r="EW49" s="1543"/>
      <c r="EX49" s="1543"/>
      <c r="EY49" s="1543"/>
      <c r="EZ49" s="1543"/>
    </row>
    <row r="50" spans="1:156" s="323" customFormat="1" ht="15" customHeight="1">
      <c r="A50" s="350"/>
      <c r="B50" s="381"/>
      <c r="C50" s="1510"/>
      <c r="D50" s="1510"/>
      <c r="E50" s="1510"/>
      <c r="F50" s="1510"/>
      <c r="G50" s="1510"/>
      <c r="H50" s="1510"/>
      <c r="I50" s="1510"/>
      <c r="J50" s="1510"/>
      <c r="K50" s="1510"/>
      <c r="L50" s="1510"/>
      <c r="M50" s="1510"/>
      <c r="N50" s="1510"/>
      <c r="O50" s="1510"/>
      <c r="P50" s="1510"/>
      <c r="Q50" s="1510"/>
      <c r="R50" s="205"/>
      <c r="S50" s="1046"/>
      <c r="T50" s="1518"/>
      <c r="U50" s="1518"/>
      <c r="V50" s="1518"/>
      <c r="W50" s="1518"/>
      <c r="X50" s="1518"/>
      <c r="Y50" s="1518"/>
      <c r="Z50" s="1518"/>
      <c r="AA50" s="1518"/>
      <c r="AB50" s="1518"/>
      <c r="AC50" s="1518"/>
      <c r="AD50" s="1518"/>
      <c r="AE50" s="1518"/>
      <c r="AF50" s="1518"/>
      <c r="AG50" s="1518"/>
      <c r="AH50" s="1518"/>
      <c r="AI50" s="1518"/>
      <c r="AJ50" s="1518"/>
      <c r="AK50" s="1518"/>
      <c r="AL50" s="1518"/>
      <c r="AM50" s="1518"/>
      <c r="AN50" s="1518"/>
      <c r="AO50" s="1518"/>
      <c r="AP50" s="1518"/>
      <c r="AQ50" s="1518"/>
      <c r="AR50" s="1518"/>
      <c r="AS50" s="1518"/>
      <c r="AT50" s="1046"/>
      <c r="AU50" s="1046"/>
      <c r="AV50" s="382"/>
      <c r="AW50" s="382"/>
      <c r="AX50" s="1542"/>
      <c r="AY50" s="1542"/>
      <c r="AZ50" s="1542"/>
      <c r="BA50" s="1542"/>
      <c r="BB50" s="1542"/>
      <c r="BC50" s="1542"/>
      <c r="BD50" s="1542"/>
      <c r="BE50" s="1542"/>
      <c r="BF50" s="1542"/>
      <c r="BG50" s="1542"/>
      <c r="BH50" s="1542"/>
      <c r="BI50" s="1542"/>
      <c r="BJ50" s="1542"/>
      <c r="BK50" s="1542"/>
      <c r="BL50" s="1542"/>
      <c r="BM50" s="1542"/>
      <c r="BN50" s="1542"/>
      <c r="BO50" s="1542"/>
      <c r="BP50" s="1542"/>
      <c r="BQ50" s="1542"/>
      <c r="BR50" s="1542"/>
      <c r="BS50" s="1542"/>
      <c r="BT50" s="1542"/>
      <c r="BU50" s="1542"/>
      <c r="BV50" s="1542"/>
      <c r="BW50" s="1542"/>
      <c r="BX50" s="1542"/>
      <c r="BY50" s="1542"/>
      <c r="BZ50" s="1542"/>
      <c r="CA50" s="1542"/>
      <c r="CB50" s="1542"/>
      <c r="CC50" s="1542"/>
      <c r="CD50" s="1542"/>
      <c r="CE50" s="1542"/>
      <c r="CF50" s="1542"/>
      <c r="CG50" s="1542"/>
      <c r="CH50" s="1542"/>
      <c r="CI50" s="1542"/>
      <c r="CJ50" s="1542"/>
      <c r="CK50" s="1542"/>
      <c r="CL50" s="1542"/>
      <c r="CM50" s="1542"/>
      <c r="CN50" s="1542"/>
      <c r="CO50" s="1542"/>
      <c r="CP50" s="1542"/>
      <c r="CQ50" s="1542"/>
      <c r="CR50" s="1542"/>
      <c r="CS50" s="1542"/>
      <c r="CT50" s="1542"/>
      <c r="CU50" s="1542"/>
      <c r="CV50" s="1542"/>
      <c r="CW50" s="1542"/>
      <c r="CX50" s="1542"/>
      <c r="CY50" s="1542"/>
      <c r="CZ50" s="1542"/>
      <c r="DA50" s="1542"/>
      <c r="DB50" s="1542"/>
      <c r="DC50" s="1542"/>
      <c r="DD50" s="1542"/>
      <c r="DE50" s="1542"/>
      <c r="DF50" s="1542"/>
      <c r="DG50" s="1542"/>
      <c r="DH50" s="1542"/>
      <c r="DI50" s="1542"/>
      <c r="DJ50" s="1542"/>
      <c r="DK50" s="1542"/>
      <c r="DL50" s="1542"/>
      <c r="DM50" s="1542"/>
      <c r="DN50" s="1542"/>
      <c r="DO50" s="1542"/>
      <c r="DP50" s="1542"/>
      <c r="DQ50" s="1542"/>
      <c r="DR50" s="1542"/>
      <c r="DS50" s="1542"/>
      <c r="DT50" s="1542"/>
      <c r="DU50" s="1542"/>
      <c r="DV50" s="1542"/>
      <c r="DW50" s="1542"/>
      <c r="DX50" s="1542"/>
      <c r="DY50" s="1542"/>
      <c r="DZ50" s="1542"/>
      <c r="EA50" s="1542"/>
      <c r="EB50" s="1542"/>
      <c r="EC50" s="1542"/>
      <c r="ED50" s="1542"/>
      <c r="EE50" s="1542"/>
      <c r="EF50" s="1042"/>
      <c r="EG50" s="1042"/>
      <c r="EH50" s="1543"/>
      <c r="EI50" s="1543"/>
      <c r="EJ50" s="1543"/>
      <c r="EK50" s="1543"/>
      <c r="EL50" s="1543"/>
      <c r="EM50" s="1543"/>
      <c r="EN50" s="1543"/>
      <c r="EO50" s="1543"/>
      <c r="EP50" s="1543"/>
      <c r="EQ50" s="1543"/>
      <c r="ER50" s="1543"/>
      <c r="ES50" s="1543"/>
      <c r="ET50" s="1543"/>
      <c r="EU50" s="1543"/>
      <c r="EV50" s="1543"/>
      <c r="EW50" s="1543"/>
      <c r="EX50" s="1543"/>
      <c r="EY50" s="1543"/>
      <c r="EZ50" s="1543"/>
    </row>
    <row r="51" spans="1:156" s="323" customFormat="1" ht="15" customHeight="1">
      <c r="A51" s="350"/>
      <c r="B51" s="381"/>
      <c r="C51" s="1510"/>
      <c r="D51" s="1510"/>
      <c r="E51" s="1510"/>
      <c r="F51" s="1510"/>
      <c r="G51" s="1510"/>
      <c r="H51" s="1510"/>
      <c r="I51" s="1510"/>
      <c r="J51" s="1510"/>
      <c r="K51" s="1510"/>
      <c r="L51" s="1510"/>
      <c r="M51" s="1510"/>
      <c r="N51" s="1510"/>
      <c r="O51" s="1510"/>
      <c r="P51" s="1510"/>
      <c r="Q51" s="1510"/>
      <c r="R51" s="205"/>
      <c r="S51" s="1046"/>
      <c r="T51" s="1518"/>
      <c r="U51" s="1518"/>
      <c r="V51" s="1518"/>
      <c r="W51" s="1518"/>
      <c r="X51" s="1518"/>
      <c r="Y51" s="1518"/>
      <c r="Z51" s="1518"/>
      <c r="AA51" s="1518"/>
      <c r="AB51" s="1518"/>
      <c r="AC51" s="1518"/>
      <c r="AD51" s="1518"/>
      <c r="AE51" s="1518"/>
      <c r="AF51" s="1518"/>
      <c r="AG51" s="1518"/>
      <c r="AH51" s="1518"/>
      <c r="AI51" s="1518"/>
      <c r="AJ51" s="1518"/>
      <c r="AK51" s="1518"/>
      <c r="AL51" s="1518"/>
      <c r="AM51" s="1518"/>
      <c r="AN51" s="1518"/>
      <c r="AO51" s="1518"/>
      <c r="AP51" s="1518"/>
      <c r="AQ51" s="1518"/>
      <c r="AR51" s="1518"/>
      <c r="AS51" s="1518"/>
      <c r="AT51" s="1046"/>
      <c r="AU51" s="1046"/>
      <c r="AV51" s="382"/>
      <c r="AW51" s="382"/>
      <c r="AX51" s="1542"/>
      <c r="AY51" s="1542"/>
      <c r="AZ51" s="1542"/>
      <c r="BA51" s="1542"/>
      <c r="BB51" s="1542"/>
      <c r="BC51" s="1542"/>
      <c r="BD51" s="1542"/>
      <c r="BE51" s="1542"/>
      <c r="BF51" s="1542"/>
      <c r="BG51" s="1542"/>
      <c r="BH51" s="1542"/>
      <c r="BI51" s="1542"/>
      <c r="BJ51" s="1542"/>
      <c r="BK51" s="1542"/>
      <c r="BL51" s="1542"/>
      <c r="BM51" s="1542"/>
      <c r="BN51" s="1542"/>
      <c r="BO51" s="1542"/>
      <c r="BP51" s="1542"/>
      <c r="BQ51" s="1542"/>
      <c r="BR51" s="1542"/>
      <c r="BS51" s="1542"/>
      <c r="BT51" s="1542"/>
      <c r="BU51" s="1542"/>
      <c r="BV51" s="1542"/>
      <c r="BW51" s="1542"/>
      <c r="BX51" s="1542"/>
      <c r="BY51" s="1542"/>
      <c r="BZ51" s="1542"/>
      <c r="CA51" s="1542"/>
      <c r="CB51" s="1542"/>
      <c r="CC51" s="1542"/>
      <c r="CD51" s="1542"/>
      <c r="CE51" s="1542"/>
      <c r="CF51" s="1542"/>
      <c r="CG51" s="1542"/>
      <c r="CH51" s="1542"/>
      <c r="CI51" s="1542"/>
      <c r="CJ51" s="1542"/>
      <c r="CK51" s="1542"/>
      <c r="CL51" s="1542"/>
      <c r="CM51" s="1542"/>
      <c r="CN51" s="1542"/>
      <c r="CO51" s="1542"/>
      <c r="CP51" s="1542"/>
      <c r="CQ51" s="1542"/>
      <c r="CR51" s="1542"/>
      <c r="CS51" s="1542"/>
      <c r="CT51" s="1542"/>
      <c r="CU51" s="1542"/>
      <c r="CV51" s="1542"/>
      <c r="CW51" s="1542"/>
      <c r="CX51" s="1542"/>
      <c r="CY51" s="1542"/>
      <c r="CZ51" s="1542"/>
      <c r="DA51" s="1542"/>
      <c r="DB51" s="1542"/>
      <c r="DC51" s="1542"/>
      <c r="DD51" s="1542"/>
      <c r="DE51" s="1542"/>
      <c r="DF51" s="1542"/>
      <c r="DG51" s="1542"/>
      <c r="DH51" s="1542"/>
      <c r="DI51" s="1542"/>
      <c r="DJ51" s="1542"/>
      <c r="DK51" s="1542"/>
      <c r="DL51" s="1542"/>
      <c r="DM51" s="1542"/>
      <c r="DN51" s="1542"/>
      <c r="DO51" s="1542"/>
      <c r="DP51" s="1542"/>
      <c r="DQ51" s="1542"/>
      <c r="DR51" s="1542"/>
      <c r="DS51" s="1542"/>
      <c r="DT51" s="1542"/>
      <c r="DU51" s="1542"/>
      <c r="DV51" s="1542"/>
      <c r="DW51" s="1542"/>
      <c r="DX51" s="1542"/>
      <c r="DY51" s="1542"/>
      <c r="DZ51" s="1542"/>
      <c r="EA51" s="1542"/>
      <c r="EB51" s="1542"/>
      <c r="EC51" s="1542"/>
      <c r="ED51" s="1542"/>
      <c r="EE51" s="1542"/>
      <c r="EF51" s="1042"/>
      <c r="EG51" s="1042"/>
      <c r="EH51" s="1543"/>
      <c r="EI51" s="1543"/>
      <c r="EJ51" s="1543"/>
      <c r="EK51" s="1543"/>
      <c r="EL51" s="1543"/>
      <c r="EM51" s="1543"/>
      <c r="EN51" s="1543"/>
      <c r="EO51" s="1543"/>
      <c r="EP51" s="1543"/>
      <c r="EQ51" s="1543"/>
      <c r="ER51" s="1543"/>
      <c r="ES51" s="1543"/>
      <c r="ET51" s="1543"/>
      <c r="EU51" s="1543"/>
      <c r="EV51" s="1543"/>
      <c r="EW51" s="1543"/>
      <c r="EX51" s="1543"/>
      <c r="EY51" s="1543"/>
      <c r="EZ51" s="1543"/>
    </row>
  </sheetData>
  <mergeCells count="483">
    <mergeCell ref="S2:AU2"/>
    <mergeCell ref="BZ4:DB4"/>
    <mergeCell ref="DC4:EE4"/>
    <mergeCell ref="BZ3:EE3"/>
    <mergeCell ref="AW2:BY4"/>
    <mergeCell ref="BZ2:EG2"/>
    <mergeCell ref="EF3:EG4"/>
    <mergeCell ref="C4:Q4"/>
    <mergeCell ref="C5:Q5"/>
    <mergeCell ref="AV2:AV5"/>
    <mergeCell ref="R2:R5"/>
    <mergeCell ref="AX51:BG51"/>
    <mergeCell ref="BH51:BY51"/>
    <mergeCell ref="BZ51:CJ51"/>
    <mergeCell ref="DC48:DM48"/>
    <mergeCell ref="DN48:EE48"/>
    <mergeCell ref="EH48:EZ48"/>
    <mergeCell ref="CK48:DB48"/>
    <mergeCell ref="CK49:DB49"/>
    <mergeCell ref="DC49:DM49"/>
    <mergeCell ref="DN49:EE49"/>
    <mergeCell ref="AX50:BG50"/>
    <mergeCell ref="BH50:BY50"/>
    <mergeCell ref="BZ50:CJ50"/>
    <mergeCell ref="AX49:BG49"/>
    <mergeCell ref="BH49:BY49"/>
    <mergeCell ref="BZ49:CJ49"/>
    <mergeCell ref="EH51:EZ51"/>
    <mergeCell ref="DC50:DM50"/>
    <mergeCell ref="DN50:EE50"/>
    <mergeCell ref="EH50:EZ50"/>
    <mergeCell ref="CK50:DB50"/>
    <mergeCell ref="CK51:DB51"/>
    <mergeCell ref="DC51:DM51"/>
    <mergeCell ref="DN51:EE51"/>
    <mergeCell ref="CK47:DB47"/>
    <mergeCell ref="DC47:DM47"/>
    <mergeCell ref="EH47:EZ47"/>
    <mergeCell ref="DN47:EE47"/>
    <mergeCell ref="EH49:EZ49"/>
    <mergeCell ref="AX48:BG48"/>
    <mergeCell ref="BH48:BY48"/>
    <mergeCell ref="BZ48:CJ48"/>
    <mergeCell ref="AX47:BG47"/>
    <mergeCell ref="BH47:BY47"/>
    <mergeCell ref="BZ47:CJ47"/>
    <mergeCell ref="CK45:DB45"/>
    <mergeCell ref="DC45:DM45"/>
    <mergeCell ref="EH45:EZ45"/>
    <mergeCell ref="DN45:EE45"/>
    <mergeCell ref="AX46:BG46"/>
    <mergeCell ref="BH46:BY46"/>
    <mergeCell ref="BZ46:CJ46"/>
    <mergeCell ref="AX45:BG45"/>
    <mergeCell ref="BH45:BY45"/>
    <mergeCell ref="BZ45:CJ45"/>
    <mergeCell ref="DC46:DM46"/>
    <mergeCell ref="DN46:EE46"/>
    <mergeCell ref="EH46:EZ46"/>
    <mergeCell ref="CK46:DB46"/>
    <mergeCell ref="CK43:DB43"/>
    <mergeCell ref="DC43:DM43"/>
    <mergeCell ref="EH43:EZ43"/>
    <mergeCell ref="DN43:EE43"/>
    <mergeCell ref="AX44:BG44"/>
    <mergeCell ref="BH44:BY44"/>
    <mergeCell ref="BZ44:CJ44"/>
    <mergeCell ref="AX43:BG43"/>
    <mergeCell ref="BH43:BY43"/>
    <mergeCell ref="BZ43:CJ43"/>
    <mergeCell ref="DC44:DM44"/>
    <mergeCell ref="DN44:EE44"/>
    <mergeCell ref="EH44:EZ44"/>
    <mergeCell ref="CK44:DB44"/>
    <mergeCell ref="CK41:DB41"/>
    <mergeCell ref="DC41:DM41"/>
    <mergeCell ref="EH41:EZ41"/>
    <mergeCell ref="DN41:EE41"/>
    <mergeCell ref="AX42:BG42"/>
    <mergeCell ref="BH42:BY42"/>
    <mergeCell ref="BZ42:CJ42"/>
    <mergeCell ref="AX41:BG41"/>
    <mergeCell ref="BH41:BY41"/>
    <mergeCell ref="BZ41:CJ41"/>
    <mergeCell ref="DC42:DM42"/>
    <mergeCell ref="DN42:EE42"/>
    <mergeCell ref="EH42:EZ42"/>
    <mergeCell ref="CK42:DB42"/>
    <mergeCell ref="CK39:DB39"/>
    <mergeCell ref="DC39:DM39"/>
    <mergeCell ref="EH39:EZ39"/>
    <mergeCell ref="DN39:EE39"/>
    <mergeCell ref="AX40:BG40"/>
    <mergeCell ref="BH40:BY40"/>
    <mergeCell ref="BZ40:CJ40"/>
    <mergeCell ref="AX39:BG39"/>
    <mergeCell ref="BH39:BY39"/>
    <mergeCell ref="BZ39:CJ39"/>
    <mergeCell ref="DC40:DM40"/>
    <mergeCell ref="DN40:EE40"/>
    <mergeCell ref="EH40:EZ40"/>
    <mergeCell ref="CK40:DB40"/>
    <mergeCell ref="CK37:DB37"/>
    <mergeCell ref="DC37:DM37"/>
    <mergeCell ref="EH37:EZ37"/>
    <mergeCell ref="DN37:EE37"/>
    <mergeCell ref="AX38:BG38"/>
    <mergeCell ref="BH38:BY38"/>
    <mergeCell ref="BZ38:CJ38"/>
    <mergeCell ref="AX37:BG37"/>
    <mergeCell ref="BH37:BY37"/>
    <mergeCell ref="BZ37:CJ37"/>
    <mergeCell ref="DC38:DM38"/>
    <mergeCell ref="DN38:EE38"/>
    <mergeCell ref="EH38:EZ38"/>
    <mergeCell ref="CK38:DB38"/>
    <mergeCell ref="CK35:DB35"/>
    <mergeCell ref="DC35:DM35"/>
    <mergeCell ref="EH35:EZ35"/>
    <mergeCell ref="DN35:EE35"/>
    <mergeCell ref="AX36:BG36"/>
    <mergeCell ref="BH36:BY36"/>
    <mergeCell ref="BZ36:CJ36"/>
    <mergeCell ref="AX35:BG35"/>
    <mergeCell ref="BH35:BY35"/>
    <mergeCell ref="BZ35:CJ35"/>
    <mergeCell ref="DC36:DM36"/>
    <mergeCell ref="DN36:EE36"/>
    <mergeCell ref="EH36:EZ36"/>
    <mergeCell ref="CK36:DB36"/>
    <mergeCell ref="CK33:DB33"/>
    <mergeCell ref="DC33:DM33"/>
    <mergeCell ref="EH33:EZ33"/>
    <mergeCell ref="DN33:EE33"/>
    <mergeCell ref="AX34:BG34"/>
    <mergeCell ref="BH34:BY34"/>
    <mergeCell ref="BZ34:CJ34"/>
    <mergeCell ref="AX33:BG33"/>
    <mergeCell ref="BH33:BY33"/>
    <mergeCell ref="BZ33:CJ33"/>
    <mergeCell ref="DC34:DM34"/>
    <mergeCell ref="DN34:EE34"/>
    <mergeCell ref="EH34:EZ34"/>
    <mergeCell ref="CK34:DB34"/>
    <mergeCell ref="AX32:BG32"/>
    <mergeCell ref="BH32:BY32"/>
    <mergeCell ref="BZ32:CJ32"/>
    <mergeCell ref="AX31:BG31"/>
    <mergeCell ref="BH31:BY31"/>
    <mergeCell ref="BZ31:CJ31"/>
    <mergeCell ref="DC32:DM32"/>
    <mergeCell ref="DN32:EE32"/>
    <mergeCell ref="EH32:EZ32"/>
    <mergeCell ref="CK32:DB32"/>
    <mergeCell ref="AX27:BG27"/>
    <mergeCell ref="BH27:BY27"/>
    <mergeCell ref="BZ27:CJ27"/>
    <mergeCell ref="EH29:EZ29"/>
    <mergeCell ref="DC30:DM30"/>
    <mergeCell ref="DN30:EE30"/>
    <mergeCell ref="EH30:EZ30"/>
    <mergeCell ref="CK30:DB30"/>
    <mergeCell ref="CK31:DB31"/>
    <mergeCell ref="DC31:DM31"/>
    <mergeCell ref="DN29:EE29"/>
    <mergeCell ref="EH31:EZ31"/>
    <mergeCell ref="DN31:EE31"/>
    <mergeCell ref="CK29:DB29"/>
    <mergeCell ref="DC29:DM29"/>
    <mergeCell ref="AX30:BG30"/>
    <mergeCell ref="BH30:BY30"/>
    <mergeCell ref="BZ30:CJ30"/>
    <mergeCell ref="AX29:BG29"/>
    <mergeCell ref="BH29:BY29"/>
    <mergeCell ref="BZ29:CJ29"/>
    <mergeCell ref="AX28:BG28"/>
    <mergeCell ref="BH28:BY28"/>
    <mergeCell ref="BZ28:CJ28"/>
    <mergeCell ref="EH27:EZ27"/>
    <mergeCell ref="DC28:DM28"/>
    <mergeCell ref="DN28:EE28"/>
    <mergeCell ref="EH28:EZ28"/>
    <mergeCell ref="DC27:DM27"/>
    <mergeCell ref="CK28:DB28"/>
    <mergeCell ref="CK26:DB26"/>
    <mergeCell ref="DN25:EE25"/>
    <mergeCell ref="EH25:EZ25"/>
    <mergeCell ref="DN26:EE26"/>
    <mergeCell ref="EH26:EZ26"/>
    <mergeCell ref="CK25:DB25"/>
    <mergeCell ref="DC26:DM26"/>
    <mergeCell ref="DC25:DM25"/>
    <mergeCell ref="DN27:EE27"/>
    <mergeCell ref="CK27:DB27"/>
    <mergeCell ref="EH24:EZ24"/>
    <mergeCell ref="CK24:DB24"/>
    <mergeCell ref="DC24:DM24"/>
    <mergeCell ref="DN24:EE24"/>
    <mergeCell ref="BZ24:CJ24"/>
    <mergeCell ref="AX26:BG26"/>
    <mergeCell ref="BH26:BY26"/>
    <mergeCell ref="BZ26:CJ26"/>
    <mergeCell ref="AX25:BG25"/>
    <mergeCell ref="BH25:BY25"/>
    <mergeCell ref="AX24:BG24"/>
    <mergeCell ref="BH24:BY24"/>
    <mergeCell ref="BZ25:CJ25"/>
    <mergeCell ref="EH23:EZ23"/>
    <mergeCell ref="AX22:BG22"/>
    <mergeCell ref="BH22:BY22"/>
    <mergeCell ref="BZ22:CJ22"/>
    <mergeCell ref="AX23:BG23"/>
    <mergeCell ref="BH23:BY23"/>
    <mergeCell ref="BZ23:CJ23"/>
    <mergeCell ref="CK23:DB23"/>
    <mergeCell ref="DC23:DM23"/>
    <mergeCell ref="DN23:EE23"/>
    <mergeCell ref="CK21:DB21"/>
    <mergeCell ref="DC21:DM21"/>
    <mergeCell ref="DN21:EE21"/>
    <mergeCell ref="AX21:BG21"/>
    <mergeCell ref="BH21:BY21"/>
    <mergeCell ref="BZ21:CJ21"/>
    <mergeCell ref="EH22:EZ22"/>
    <mergeCell ref="EH21:EZ21"/>
    <mergeCell ref="CK22:DB22"/>
    <mergeCell ref="DC22:DM22"/>
    <mergeCell ref="DN22:EE22"/>
    <mergeCell ref="CK19:DB19"/>
    <mergeCell ref="DC19:DM19"/>
    <mergeCell ref="DN19:EE19"/>
    <mergeCell ref="EH19:EZ19"/>
    <mergeCell ref="AX20:BG20"/>
    <mergeCell ref="BH20:BY20"/>
    <mergeCell ref="BZ20:CJ20"/>
    <mergeCell ref="AX19:BG19"/>
    <mergeCell ref="BH19:BY19"/>
    <mergeCell ref="BZ19:CJ19"/>
    <mergeCell ref="DC20:DM20"/>
    <mergeCell ref="DN20:EE20"/>
    <mergeCell ref="EH20:EZ20"/>
    <mergeCell ref="CK20:DB20"/>
    <mergeCell ref="AX18:BG18"/>
    <mergeCell ref="BH18:BY18"/>
    <mergeCell ref="BZ18:CJ18"/>
    <mergeCell ref="AX17:BG17"/>
    <mergeCell ref="BH17:BY17"/>
    <mergeCell ref="BZ17:CJ17"/>
    <mergeCell ref="DC18:DM18"/>
    <mergeCell ref="DN18:EE18"/>
    <mergeCell ref="EH18:EZ18"/>
    <mergeCell ref="CK18:DB18"/>
    <mergeCell ref="CK17:DB17"/>
    <mergeCell ref="DC17:DM17"/>
    <mergeCell ref="EH17:EZ17"/>
    <mergeCell ref="DN17:EE17"/>
    <mergeCell ref="AX16:BG16"/>
    <mergeCell ref="BH16:BY16"/>
    <mergeCell ref="BZ16:CJ16"/>
    <mergeCell ref="AX15:BG15"/>
    <mergeCell ref="BH15:BY15"/>
    <mergeCell ref="BZ15:CJ15"/>
    <mergeCell ref="DC16:DM16"/>
    <mergeCell ref="DN16:EE16"/>
    <mergeCell ref="EH16:EZ16"/>
    <mergeCell ref="CK16:DB16"/>
    <mergeCell ref="DC15:DM15"/>
    <mergeCell ref="DN13:EE13"/>
    <mergeCell ref="EH15:EZ15"/>
    <mergeCell ref="DN15:EE15"/>
    <mergeCell ref="CK13:DB13"/>
    <mergeCell ref="DC13:DM13"/>
    <mergeCell ref="CK10:DB10"/>
    <mergeCell ref="CK11:DB11"/>
    <mergeCell ref="DC11:DM11"/>
    <mergeCell ref="EH10:EZ10"/>
    <mergeCell ref="DN10:EE10"/>
    <mergeCell ref="DC10:DM10"/>
    <mergeCell ref="DN11:EE11"/>
    <mergeCell ref="EH11:EZ11"/>
    <mergeCell ref="DC12:DM12"/>
    <mergeCell ref="DN12:EE12"/>
    <mergeCell ref="EH12:EZ12"/>
    <mergeCell ref="CK12:DB12"/>
    <mergeCell ref="EH13:EZ13"/>
    <mergeCell ref="DC14:DM14"/>
    <mergeCell ref="DN14:EE14"/>
    <mergeCell ref="EH14:EZ14"/>
    <mergeCell ref="BZ12:CJ12"/>
    <mergeCell ref="AX11:BG11"/>
    <mergeCell ref="BH11:BY11"/>
    <mergeCell ref="BZ11:CJ11"/>
    <mergeCell ref="AX10:BG10"/>
    <mergeCell ref="BH10:BY10"/>
    <mergeCell ref="BZ10:CJ10"/>
    <mergeCell ref="CK14:DB14"/>
    <mergeCell ref="CK15:DB15"/>
    <mergeCell ref="AX14:BG14"/>
    <mergeCell ref="BH14:BY14"/>
    <mergeCell ref="BZ14:CJ14"/>
    <mergeCell ref="AX13:BG13"/>
    <mergeCell ref="BH13:BY13"/>
    <mergeCell ref="BZ13:CJ13"/>
    <mergeCell ref="EH7:EZ7"/>
    <mergeCell ref="AX6:BG6"/>
    <mergeCell ref="BH6:BY6"/>
    <mergeCell ref="BZ6:CJ6"/>
    <mergeCell ref="CK6:DB6"/>
    <mergeCell ref="AX9:BG9"/>
    <mergeCell ref="AC33:AS33"/>
    <mergeCell ref="AC36:AS36"/>
    <mergeCell ref="T18:AB18"/>
    <mergeCell ref="AX8:BG8"/>
    <mergeCell ref="BH8:BY8"/>
    <mergeCell ref="DC8:DM8"/>
    <mergeCell ref="DN8:EE8"/>
    <mergeCell ref="EH8:EZ8"/>
    <mergeCell ref="DN9:EE9"/>
    <mergeCell ref="EH9:EZ9"/>
    <mergeCell ref="BZ8:CJ8"/>
    <mergeCell ref="CK8:DB8"/>
    <mergeCell ref="CK9:DB9"/>
    <mergeCell ref="DC9:DM9"/>
    <mergeCell ref="BH9:BY9"/>
    <mergeCell ref="BZ9:CJ9"/>
    <mergeCell ref="AX12:BG12"/>
    <mergeCell ref="BH12:BY12"/>
    <mergeCell ref="T23:AB23"/>
    <mergeCell ref="AC23:AS23"/>
    <mergeCell ref="EH2:EZ5"/>
    <mergeCell ref="DC5:DM5"/>
    <mergeCell ref="DN5:EE5"/>
    <mergeCell ref="BZ5:CJ5"/>
    <mergeCell ref="CK5:DB5"/>
    <mergeCell ref="AX5:BG5"/>
    <mergeCell ref="BH5:BY5"/>
    <mergeCell ref="AC19:AS19"/>
    <mergeCell ref="T19:AB19"/>
    <mergeCell ref="T20:AB20"/>
    <mergeCell ref="AC20:AS20"/>
    <mergeCell ref="T21:AB21"/>
    <mergeCell ref="AC21:AS21"/>
    <mergeCell ref="T22:AB22"/>
    <mergeCell ref="DC6:DM6"/>
    <mergeCell ref="EH6:EZ6"/>
    <mergeCell ref="BH7:BY7"/>
    <mergeCell ref="BZ7:CJ7"/>
    <mergeCell ref="CK7:DB7"/>
    <mergeCell ref="DC7:DM7"/>
    <mergeCell ref="DN6:EE6"/>
    <mergeCell ref="DN7:EE7"/>
    <mergeCell ref="T24:AB24"/>
    <mergeCell ref="T26:AB26"/>
    <mergeCell ref="T33:AB33"/>
    <mergeCell ref="AC32:AS32"/>
    <mergeCell ref="T32:AB32"/>
    <mergeCell ref="AC31:AS31"/>
    <mergeCell ref="T29:AB29"/>
    <mergeCell ref="T31:AB31"/>
    <mergeCell ref="AC30:AS30"/>
    <mergeCell ref="T30:AB30"/>
    <mergeCell ref="AC29:AS29"/>
    <mergeCell ref="T25:AB25"/>
    <mergeCell ref="AC28:AS28"/>
    <mergeCell ref="T28:AB28"/>
    <mergeCell ref="T27:AB27"/>
    <mergeCell ref="AC27:AS27"/>
    <mergeCell ref="AC26:AS26"/>
    <mergeCell ref="AC24:AS24"/>
    <mergeCell ref="AC40:AS40"/>
    <mergeCell ref="T42:AB42"/>
    <mergeCell ref="AC42:AS42"/>
    <mergeCell ref="T41:AB41"/>
    <mergeCell ref="AC41:AS41"/>
    <mergeCell ref="T40:AB40"/>
    <mergeCell ref="C32:Q32"/>
    <mergeCell ref="C33:Q33"/>
    <mergeCell ref="T36:AB36"/>
    <mergeCell ref="AC34:AS34"/>
    <mergeCell ref="T34:AB34"/>
    <mergeCell ref="AC35:AS35"/>
    <mergeCell ref="T35:AB35"/>
    <mergeCell ref="AC37:AS37"/>
    <mergeCell ref="T39:AB39"/>
    <mergeCell ref="AC39:AS39"/>
    <mergeCell ref="AC38:AS38"/>
    <mergeCell ref="T38:AB38"/>
    <mergeCell ref="T37:AB37"/>
    <mergeCell ref="C35:Q35"/>
    <mergeCell ref="C34:Q34"/>
    <mergeCell ref="T46:AB46"/>
    <mergeCell ref="AC46:AS46"/>
    <mergeCell ref="T45:AB45"/>
    <mergeCell ref="C45:Q45"/>
    <mergeCell ref="AC45:AS45"/>
    <mergeCell ref="AC43:AS43"/>
    <mergeCell ref="C44:Q44"/>
    <mergeCell ref="T44:AB44"/>
    <mergeCell ref="AC44:AS44"/>
    <mergeCell ref="T43:AB43"/>
    <mergeCell ref="C43:Q43"/>
    <mergeCell ref="A2:A5"/>
    <mergeCell ref="AC25:AS25"/>
    <mergeCell ref="C20:Q20"/>
    <mergeCell ref="C21:Q21"/>
    <mergeCell ref="AC12:AS12"/>
    <mergeCell ref="T14:AB14"/>
    <mergeCell ref="T12:AB12"/>
    <mergeCell ref="T8:AB8"/>
    <mergeCell ref="T9:AB9"/>
    <mergeCell ref="T10:AB10"/>
    <mergeCell ref="AC10:AS10"/>
    <mergeCell ref="AC13:AS13"/>
    <mergeCell ref="T11:AB11"/>
    <mergeCell ref="AC16:AS16"/>
    <mergeCell ref="T17:AB17"/>
    <mergeCell ref="T3:AB5"/>
    <mergeCell ref="AC3:AS5"/>
    <mergeCell ref="AC6:AS6"/>
    <mergeCell ref="T7:AB7"/>
    <mergeCell ref="AC7:AS7"/>
    <mergeCell ref="C6:Q6"/>
    <mergeCell ref="C7:Q7"/>
    <mergeCell ref="C8:Q8"/>
    <mergeCell ref="C9:Q9"/>
    <mergeCell ref="C51:Q51"/>
    <mergeCell ref="C49:Q49"/>
    <mergeCell ref="C50:Q50"/>
    <mergeCell ref="C48:Q48"/>
    <mergeCell ref="AC47:AS47"/>
    <mergeCell ref="T47:AB47"/>
    <mergeCell ref="C47:Q47"/>
    <mergeCell ref="T51:AB51"/>
    <mergeCell ref="AC48:AS48"/>
    <mergeCell ref="AC49:AS49"/>
    <mergeCell ref="T48:AB48"/>
    <mergeCell ref="AC51:AS51"/>
    <mergeCell ref="T50:AB50"/>
    <mergeCell ref="AC50:AS50"/>
    <mergeCell ref="T49:AB49"/>
    <mergeCell ref="AX7:BG7"/>
    <mergeCell ref="AC14:AS14"/>
    <mergeCell ref="AC15:AS15"/>
    <mergeCell ref="C12:Q12"/>
    <mergeCell ref="C13:Q13"/>
    <mergeCell ref="T6:AB6"/>
    <mergeCell ref="C26:Q26"/>
    <mergeCell ref="AC17:AS17"/>
    <mergeCell ref="AC11:AS11"/>
    <mergeCell ref="C17:Q17"/>
    <mergeCell ref="C14:Q14"/>
    <mergeCell ref="C11:Q11"/>
    <mergeCell ref="C18:Q18"/>
    <mergeCell ref="AC8:AS8"/>
    <mergeCell ref="AC9:AS9"/>
    <mergeCell ref="AC18:AS18"/>
    <mergeCell ref="T15:AB15"/>
    <mergeCell ref="C22:Q22"/>
    <mergeCell ref="C19:Q19"/>
    <mergeCell ref="C25:Q25"/>
    <mergeCell ref="T16:AB16"/>
    <mergeCell ref="T13:AB13"/>
    <mergeCell ref="C15:Q15"/>
    <mergeCell ref="AC22:AS22"/>
    <mergeCell ref="C31:Q31"/>
    <mergeCell ref="C28:Q28"/>
    <mergeCell ref="C29:Q29"/>
    <mergeCell ref="C2:Q2"/>
    <mergeCell ref="C3:Q3"/>
    <mergeCell ref="C36:Q36"/>
    <mergeCell ref="C46:Q46"/>
    <mergeCell ref="C42:Q42"/>
    <mergeCell ref="C40:Q40"/>
    <mergeCell ref="C38:Q38"/>
    <mergeCell ref="C39:Q39"/>
    <mergeCell ref="C37:Q37"/>
    <mergeCell ref="C16:Q16"/>
    <mergeCell ref="C24:Q24"/>
    <mergeCell ref="C41:Q41"/>
    <mergeCell ref="C23:Q23"/>
    <mergeCell ref="C10:Q10"/>
    <mergeCell ref="C30:Q30"/>
    <mergeCell ref="C27:Q27"/>
  </mergeCells>
  <phoneticPr fontId="0" type="noConversion"/>
  <pageMargins left="0.39370078740157483" right="0.39370078740157483" top="0.59055118110236227" bottom="0.39370078740157483" header="0" footer="0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48"/>
  <dimension ref="A1:DC44"/>
  <sheetViews>
    <sheetView view="pageBreakPreview" zoomScaleNormal="100" zoomScaleSheetLayoutView="100" workbookViewId="0">
      <selection activeCell="BW40" sqref="BW40:CW40"/>
    </sheetView>
  </sheetViews>
  <sheetFormatPr defaultColWidth="0.85546875" defaultRowHeight="11.25"/>
  <cols>
    <col min="1" max="101" width="0.85546875" style="321"/>
    <col min="102" max="102" width="1.42578125" style="321" customWidth="1"/>
    <col min="103" max="106" width="0.85546875" style="321"/>
    <col min="107" max="107" width="1.7109375" style="321" customWidth="1"/>
    <col min="108" max="16384" width="0.85546875" style="321"/>
  </cols>
  <sheetData>
    <row r="1" spans="1:107">
      <c r="DC1" s="320" t="s">
        <v>706</v>
      </c>
    </row>
    <row r="3" spans="1:107" ht="13.7" customHeight="1">
      <c r="A3" s="1057" t="s">
        <v>707</v>
      </c>
      <c r="B3" s="1075"/>
      <c r="C3" s="1075"/>
      <c r="D3" s="1075"/>
      <c r="E3" s="1075"/>
      <c r="F3" s="1075"/>
      <c r="G3" s="1075"/>
      <c r="H3" s="1075"/>
      <c r="I3" s="1075"/>
      <c r="J3" s="1075"/>
      <c r="K3" s="1075"/>
      <c r="L3" s="1075"/>
      <c r="M3" s="1075"/>
      <c r="N3" s="1075"/>
      <c r="O3" s="1075"/>
      <c r="P3" s="1075"/>
      <c r="Q3" s="1075"/>
      <c r="R3" s="1075"/>
      <c r="S3" s="1075"/>
      <c r="T3" s="1075"/>
      <c r="U3" s="1075"/>
      <c r="V3" s="1075"/>
      <c r="W3" s="1075"/>
      <c r="X3" s="1075"/>
      <c r="Y3" s="1075"/>
      <c r="Z3" s="1075"/>
      <c r="AA3" s="1075"/>
      <c r="AB3" s="1075"/>
      <c r="AC3" s="1075"/>
      <c r="AD3" s="1075"/>
      <c r="AE3" s="1075"/>
      <c r="AF3" s="1075"/>
      <c r="AG3" s="1075"/>
      <c r="AH3" s="1075"/>
      <c r="AI3" s="1075"/>
      <c r="AJ3" s="1075"/>
      <c r="AK3" s="1075"/>
      <c r="AL3" s="1075"/>
      <c r="AM3" s="1075"/>
      <c r="AN3" s="1075"/>
      <c r="AO3" s="1075"/>
      <c r="AP3" s="1075"/>
      <c r="AQ3" s="1075"/>
      <c r="AR3" s="1075"/>
      <c r="AS3" s="1075"/>
      <c r="AT3" s="1075"/>
      <c r="AU3" s="1075"/>
      <c r="AV3" s="1075"/>
      <c r="AW3" s="1075"/>
      <c r="AX3" s="1075"/>
      <c r="AY3" s="1075"/>
      <c r="AZ3" s="1075"/>
      <c r="BA3" s="1075"/>
      <c r="BB3" s="1075"/>
      <c r="BC3" s="1075"/>
      <c r="BD3" s="1075"/>
      <c r="BE3" s="1075"/>
      <c r="BF3" s="1075"/>
      <c r="BG3" s="1075"/>
      <c r="BH3" s="1075"/>
      <c r="BI3" s="1075"/>
      <c r="BJ3" s="1075"/>
      <c r="BK3" s="366"/>
      <c r="BL3" s="366"/>
      <c r="BM3" s="366"/>
      <c r="BN3" s="366"/>
      <c r="BO3" s="366"/>
      <c r="BP3" s="366"/>
      <c r="CK3" s="1569" t="s">
        <v>292</v>
      </c>
      <c r="CL3" s="1569"/>
      <c r="CM3" s="1569"/>
      <c r="CN3" s="1569"/>
      <c r="CO3" s="1569"/>
      <c r="CP3" s="351" t="s">
        <v>280</v>
      </c>
      <c r="CQ3" s="1056"/>
      <c r="CU3" s="1070"/>
      <c r="CV3" s="1576" t="s">
        <v>39</v>
      </c>
      <c r="CW3" s="1576"/>
      <c r="CX3" s="1576"/>
      <c r="CY3" s="1576"/>
      <c r="CZ3" s="1576"/>
      <c r="DA3" s="1576"/>
      <c r="DB3" s="1576"/>
      <c r="DC3" s="1576"/>
    </row>
    <row r="4" spans="1:107" s="1075" customFormat="1" ht="12.75">
      <c r="A4" s="608" t="s">
        <v>708</v>
      </c>
    </row>
    <row r="5" spans="1:107" s="1075" customFormat="1" ht="12.75">
      <c r="A5" s="608" t="s">
        <v>709</v>
      </c>
    </row>
    <row r="6" spans="1:107" s="1075" customFormat="1" ht="12.75">
      <c r="A6" s="608" t="s">
        <v>710</v>
      </c>
    </row>
    <row r="7" spans="1:107" ht="29.25" customHeight="1">
      <c r="B7" s="608" t="s">
        <v>711</v>
      </c>
      <c r="AI7" s="1570"/>
      <c r="AJ7" s="1570"/>
      <c r="AK7" s="1570"/>
      <c r="AL7" s="1570"/>
      <c r="AM7" s="1570"/>
      <c r="AN7" s="1570"/>
      <c r="AO7" s="1570"/>
      <c r="AP7" s="1570"/>
      <c r="AQ7" s="1570"/>
      <c r="AR7" s="1570"/>
      <c r="AS7" s="1570"/>
      <c r="AT7" s="1570"/>
      <c r="AU7" s="1570"/>
      <c r="AV7" s="1570"/>
      <c r="AW7" s="1570"/>
      <c r="AX7" s="1570"/>
      <c r="AY7" s="1570"/>
      <c r="AZ7" s="1570"/>
      <c r="BA7" s="1570"/>
      <c r="BB7" s="1570"/>
      <c r="BC7" s="1570"/>
      <c r="BD7" s="1570"/>
      <c r="BE7" s="1570"/>
      <c r="BF7" s="1570"/>
      <c r="BG7" s="1570"/>
      <c r="BH7" s="1570"/>
      <c r="BI7" s="1570"/>
      <c r="BJ7" s="1570"/>
      <c r="BK7" s="1570"/>
      <c r="BL7" s="1570"/>
      <c r="BM7" s="1570"/>
      <c r="BN7" s="1570"/>
      <c r="BO7" s="1570"/>
      <c r="BP7" s="1570"/>
      <c r="BQ7" s="1570"/>
      <c r="BR7" s="1570"/>
      <c r="BS7" s="1570"/>
      <c r="BT7" s="1570"/>
      <c r="BU7" s="1570"/>
      <c r="BV7" s="1570"/>
      <c r="BW7" s="1570"/>
      <c r="BX7" s="1570"/>
      <c r="BY7" s="1570"/>
      <c r="BZ7" s="1570"/>
      <c r="CA7" s="1570"/>
      <c r="CB7" s="1570"/>
      <c r="CC7" s="1570"/>
      <c r="CD7" s="1570"/>
      <c r="CE7" s="1570"/>
      <c r="CF7" s="1570"/>
      <c r="CG7" s="1570"/>
      <c r="CH7" s="1570"/>
      <c r="CI7" s="1570"/>
      <c r="CJ7" s="1570"/>
      <c r="CK7" s="1570"/>
      <c r="CL7" s="1570"/>
      <c r="CM7" s="1570"/>
      <c r="CN7" s="1570"/>
      <c r="CO7" s="1570"/>
      <c r="CP7" s="1570"/>
      <c r="CQ7" s="1570"/>
      <c r="CR7" s="1570"/>
      <c r="CS7" s="1570"/>
      <c r="CT7" s="1570"/>
      <c r="CU7" s="1570"/>
      <c r="CV7" s="1570"/>
      <c r="CW7" s="1570"/>
      <c r="CX7" s="1570"/>
      <c r="CY7" s="1570"/>
      <c r="CZ7" s="1570"/>
      <c r="DA7" s="1570"/>
      <c r="DB7" s="1570"/>
      <c r="DC7" s="1570"/>
    </row>
    <row r="8" spans="1:107" ht="12.75" customHeight="1">
      <c r="A8" s="1571"/>
      <c r="B8" s="1571"/>
      <c r="C8" s="1571"/>
      <c r="D8" s="1571"/>
      <c r="E8" s="1571"/>
      <c r="F8" s="1571"/>
      <c r="G8" s="1571"/>
      <c r="H8" s="1571"/>
      <c r="I8" s="1571"/>
      <c r="J8" s="1571"/>
      <c r="K8" s="1571"/>
      <c r="L8" s="1571"/>
      <c r="M8" s="1571"/>
      <c r="N8" s="1571"/>
      <c r="O8" s="1571"/>
      <c r="P8" s="1571"/>
      <c r="Q8" s="1571"/>
      <c r="R8" s="1571"/>
      <c r="S8" s="1571"/>
      <c r="T8" s="1571"/>
      <c r="U8" s="1571"/>
      <c r="V8" s="1571"/>
      <c r="W8" s="1571"/>
      <c r="X8" s="1571"/>
      <c r="Y8" s="1571"/>
      <c r="Z8" s="1571"/>
      <c r="AA8" s="1571"/>
      <c r="AB8" s="1571"/>
      <c r="AC8" s="1571"/>
      <c r="AD8" s="1571"/>
      <c r="AE8" s="1571"/>
      <c r="AF8" s="1571"/>
      <c r="AG8" s="1571"/>
      <c r="AH8" s="1571"/>
      <c r="AI8" s="1571"/>
      <c r="AJ8" s="1571"/>
      <c r="AK8" s="1571"/>
      <c r="AL8" s="1571"/>
      <c r="AM8" s="1571"/>
      <c r="AN8" s="1571"/>
      <c r="AO8" s="1571"/>
      <c r="AP8" s="1571"/>
      <c r="AQ8" s="1571"/>
      <c r="AR8" s="1571"/>
      <c r="AS8" s="1571"/>
      <c r="AT8" s="1571"/>
      <c r="AU8" s="1571"/>
      <c r="AV8" s="1571"/>
      <c r="AW8" s="1571"/>
      <c r="AX8" s="1571"/>
      <c r="AY8" s="1571"/>
      <c r="AZ8" s="1571"/>
      <c r="BA8" s="1571"/>
      <c r="BB8" s="1571"/>
      <c r="BC8" s="1571"/>
      <c r="BD8" s="1571"/>
      <c r="BE8" s="1571"/>
      <c r="BF8" s="1571"/>
      <c r="BG8" s="1571"/>
      <c r="BH8" s="1571"/>
      <c r="BI8" s="1571"/>
      <c r="BJ8" s="1571"/>
      <c r="BK8" s="1571"/>
      <c r="BL8" s="1571"/>
      <c r="BM8" s="1571"/>
      <c r="BN8" s="1571"/>
      <c r="BO8" s="1571"/>
      <c r="BP8" s="1571"/>
      <c r="BQ8" s="1571"/>
      <c r="BR8" s="1571"/>
      <c r="BS8" s="1571"/>
      <c r="BT8" s="1571"/>
      <c r="BU8" s="1571"/>
      <c r="BV8" s="1571"/>
      <c r="BW8" s="1571"/>
      <c r="BX8" s="1571"/>
      <c r="BY8" s="1571"/>
      <c r="BZ8" s="1571"/>
      <c r="CA8" s="1571"/>
      <c r="CB8" s="1571"/>
      <c r="CC8" s="1571"/>
      <c r="CD8" s="1571"/>
      <c r="CE8" s="1571"/>
      <c r="CF8" s="1571"/>
      <c r="CG8" s="1571"/>
      <c r="CH8" s="1571"/>
      <c r="CI8" s="1571"/>
      <c r="CJ8" s="1571"/>
      <c r="CK8" s="1571"/>
      <c r="CL8" s="1571"/>
      <c r="CM8" s="1571"/>
      <c r="CN8" s="1571"/>
      <c r="CO8" s="1571"/>
      <c r="CP8" s="1571"/>
      <c r="CQ8" s="1571"/>
      <c r="CR8" s="1571"/>
      <c r="CS8" s="1571"/>
      <c r="CT8" s="1571"/>
      <c r="CU8" s="1571"/>
      <c r="CV8" s="1571"/>
      <c r="CW8" s="1571"/>
      <c r="CX8" s="1571"/>
      <c r="CY8" s="1571"/>
      <c r="CZ8" s="1571"/>
      <c r="DA8" s="1571"/>
      <c r="DB8" s="1571"/>
      <c r="DC8" s="1571"/>
    </row>
    <row r="9" spans="1:107" ht="13.5" customHeight="1">
      <c r="A9" s="1571"/>
      <c r="B9" s="1571"/>
      <c r="C9" s="1571"/>
      <c r="D9" s="1571"/>
      <c r="E9" s="1571"/>
      <c r="F9" s="1571"/>
      <c r="G9" s="1571"/>
      <c r="H9" s="1571"/>
      <c r="I9" s="1571"/>
      <c r="J9" s="1571"/>
      <c r="K9" s="1571"/>
      <c r="L9" s="1571"/>
      <c r="M9" s="1571"/>
      <c r="N9" s="1571"/>
      <c r="O9" s="1571"/>
      <c r="P9" s="1571"/>
      <c r="Q9" s="1571"/>
      <c r="R9" s="1571"/>
      <c r="S9" s="1571"/>
      <c r="T9" s="1571"/>
      <c r="U9" s="1571"/>
      <c r="V9" s="1571"/>
      <c r="W9" s="1571"/>
      <c r="X9" s="1571"/>
      <c r="Y9" s="1571"/>
      <c r="Z9" s="1571"/>
      <c r="AA9" s="1571"/>
      <c r="AB9" s="1571"/>
      <c r="AC9" s="1571"/>
      <c r="AD9" s="1571"/>
      <c r="AE9" s="1571"/>
      <c r="AF9" s="1571"/>
      <c r="AG9" s="1571"/>
      <c r="AH9" s="1571"/>
      <c r="AI9" s="1571"/>
      <c r="AJ9" s="1571"/>
      <c r="AK9" s="1571"/>
      <c r="AL9" s="1571"/>
      <c r="AM9" s="1571"/>
      <c r="AN9" s="1571"/>
      <c r="AO9" s="1571"/>
      <c r="AP9" s="1571"/>
      <c r="AQ9" s="1571"/>
      <c r="AR9" s="1571"/>
      <c r="AS9" s="1571"/>
      <c r="AT9" s="1571"/>
      <c r="AU9" s="1571"/>
      <c r="AV9" s="1571"/>
      <c r="AW9" s="1571"/>
      <c r="AX9" s="1571"/>
      <c r="AY9" s="1571"/>
      <c r="AZ9" s="1571"/>
      <c r="BA9" s="1571"/>
      <c r="BB9" s="1571"/>
      <c r="BC9" s="1571"/>
      <c r="BD9" s="1571"/>
      <c r="BE9" s="1571"/>
      <c r="BF9" s="1571"/>
      <c r="BG9" s="1571"/>
      <c r="BH9" s="1571"/>
      <c r="BI9" s="1571"/>
      <c r="BJ9" s="1571"/>
      <c r="BK9" s="1571"/>
      <c r="BL9" s="1571"/>
      <c r="BM9" s="1571"/>
      <c r="BN9" s="1571"/>
      <c r="BO9" s="1571"/>
      <c r="BP9" s="1571"/>
      <c r="BQ9" s="1571"/>
      <c r="BR9" s="1571"/>
      <c r="BS9" s="1571"/>
      <c r="BT9" s="1571"/>
      <c r="BU9" s="1571"/>
      <c r="BV9" s="1571"/>
      <c r="BW9" s="1571"/>
      <c r="BX9" s="1571"/>
      <c r="BY9" s="1571"/>
      <c r="BZ9" s="1571"/>
      <c r="CA9" s="1571"/>
      <c r="CB9" s="1571"/>
      <c r="CC9" s="1571"/>
      <c r="CD9" s="1571"/>
      <c r="CE9" s="1571"/>
      <c r="CF9" s="1571"/>
      <c r="CG9" s="1571"/>
      <c r="CH9" s="1571"/>
      <c r="CI9" s="1571"/>
      <c r="CJ9" s="1571"/>
      <c r="CK9" s="1571"/>
      <c r="CL9" s="1571"/>
      <c r="CM9" s="1571"/>
      <c r="CN9" s="1571"/>
      <c r="CO9" s="1571"/>
      <c r="CP9" s="1571"/>
      <c r="CQ9" s="1571"/>
      <c r="CR9" s="1571"/>
      <c r="CS9" s="1571"/>
      <c r="CT9" s="1571"/>
      <c r="CU9" s="1571"/>
      <c r="CV9" s="1571"/>
      <c r="CW9" s="1571"/>
      <c r="CX9" s="1571"/>
      <c r="CY9" s="1571"/>
      <c r="CZ9" s="1571"/>
      <c r="DA9" s="1571"/>
      <c r="DB9" s="1571"/>
      <c r="DC9" s="1571"/>
    </row>
    <row r="10" spans="1:107" ht="12.75" customHeight="1">
      <c r="A10" s="1571"/>
      <c r="B10" s="1571"/>
      <c r="C10" s="1571"/>
      <c r="D10" s="1571"/>
      <c r="E10" s="1571"/>
      <c r="F10" s="1571"/>
      <c r="G10" s="1571"/>
      <c r="H10" s="1571"/>
      <c r="I10" s="1571"/>
      <c r="J10" s="1571"/>
      <c r="K10" s="1571"/>
      <c r="L10" s="1571"/>
      <c r="M10" s="1571"/>
      <c r="N10" s="1571"/>
      <c r="O10" s="1571"/>
      <c r="P10" s="1571"/>
      <c r="Q10" s="1571"/>
      <c r="R10" s="1571"/>
      <c r="S10" s="1571"/>
      <c r="T10" s="1571"/>
      <c r="U10" s="1571"/>
      <c r="V10" s="1571"/>
      <c r="W10" s="1571"/>
      <c r="X10" s="1571"/>
      <c r="Y10" s="1571"/>
      <c r="Z10" s="1571"/>
      <c r="AA10" s="1571"/>
      <c r="AB10" s="1571"/>
      <c r="AC10" s="1571"/>
      <c r="AD10" s="1571"/>
      <c r="AE10" s="1571"/>
      <c r="AF10" s="1571"/>
      <c r="AG10" s="1571"/>
      <c r="AH10" s="1571"/>
      <c r="AI10" s="1571"/>
      <c r="AJ10" s="1571"/>
      <c r="AK10" s="1571"/>
      <c r="AL10" s="1571"/>
      <c r="AM10" s="1571"/>
      <c r="AN10" s="1571"/>
      <c r="AO10" s="1571"/>
      <c r="AP10" s="1571"/>
      <c r="AQ10" s="1571"/>
      <c r="AR10" s="1571"/>
      <c r="AS10" s="1571"/>
      <c r="AT10" s="1571"/>
      <c r="AU10" s="1571"/>
      <c r="AV10" s="1571"/>
      <c r="AW10" s="1571"/>
      <c r="AX10" s="1571"/>
      <c r="AY10" s="1571"/>
      <c r="AZ10" s="1571"/>
      <c r="BA10" s="1571"/>
      <c r="BB10" s="1571"/>
      <c r="BC10" s="1571"/>
      <c r="BD10" s="1571"/>
      <c r="BE10" s="1571"/>
      <c r="BF10" s="1571"/>
      <c r="BG10" s="1571"/>
      <c r="BH10" s="1571"/>
      <c r="BI10" s="1571"/>
      <c r="BJ10" s="1571"/>
      <c r="BK10" s="1571"/>
      <c r="BL10" s="1571"/>
      <c r="BM10" s="1571"/>
      <c r="BN10" s="1571"/>
      <c r="BO10" s="1571"/>
      <c r="BP10" s="1571"/>
      <c r="BQ10" s="1571"/>
      <c r="BR10" s="1571"/>
      <c r="BS10" s="1571"/>
      <c r="BT10" s="1571"/>
      <c r="BU10" s="1571"/>
      <c r="BV10" s="1571"/>
      <c r="BW10" s="1571"/>
      <c r="BX10" s="1571"/>
      <c r="BY10" s="1571"/>
      <c r="BZ10" s="1571"/>
      <c r="CA10" s="1571"/>
      <c r="CB10" s="1571"/>
      <c r="CC10" s="1571"/>
      <c r="CD10" s="1571"/>
      <c r="CE10" s="1571"/>
      <c r="CF10" s="1571"/>
      <c r="CG10" s="1571"/>
      <c r="CH10" s="1571"/>
      <c r="CI10" s="1571"/>
      <c r="CJ10" s="1571"/>
      <c r="CK10" s="1571"/>
      <c r="CL10" s="1571"/>
      <c r="CM10" s="1571"/>
      <c r="CN10" s="1571"/>
      <c r="CO10" s="1571"/>
      <c r="CP10" s="1571"/>
      <c r="CQ10" s="1571"/>
      <c r="CR10" s="1571"/>
      <c r="CS10" s="1571"/>
      <c r="CT10" s="1571"/>
      <c r="CU10" s="1571"/>
      <c r="CV10" s="1571"/>
      <c r="CW10" s="1571"/>
      <c r="CX10" s="1571"/>
      <c r="CY10" s="1571"/>
      <c r="CZ10" s="1571"/>
      <c r="DA10" s="1571"/>
      <c r="DB10" s="1571"/>
      <c r="DC10" s="1571"/>
    </row>
    <row r="11" spans="1:107" ht="12.75" customHeight="1">
      <c r="A11" s="1571"/>
      <c r="B11" s="1571"/>
      <c r="C11" s="1571"/>
      <c r="D11" s="1571"/>
      <c r="E11" s="1571"/>
      <c r="F11" s="1571"/>
      <c r="G11" s="1571"/>
      <c r="H11" s="1571"/>
      <c r="I11" s="1571"/>
      <c r="J11" s="1571"/>
      <c r="K11" s="1571"/>
      <c r="L11" s="1571"/>
      <c r="M11" s="1571"/>
      <c r="N11" s="1571"/>
      <c r="O11" s="1571"/>
      <c r="P11" s="1571"/>
      <c r="Q11" s="1571"/>
      <c r="R11" s="1571"/>
      <c r="S11" s="1571"/>
      <c r="T11" s="1571"/>
      <c r="U11" s="1571"/>
      <c r="V11" s="1571"/>
      <c r="W11" s="1571"/>
      <c r="X11" s="1571"/>
      <c r="Y11" s="1571"/>
      <c r="Z11" s="1571"/>
      <c r="AA11" s="1571"/>
      <c r="AB11" s="1571"/>
      <c r="AC11" s="1571"/>
      <c r="AD11" s="1571"/>
      <c r="AE11" s="1571"/>
      <c r="AF11" s="1571"/>
      <c r="AG11" s="1571"/>
      <c r="AH11" s="1571"/>
      <c r="AI11" s="1571"/>
      <c r="AJ11" s="1571"/>
      <c r="AK11" s="1571"/>
      <c r="AL11" s="1571"/>
      <c r="AM11" s="1571"/>
      <c r="AN11" s="1571"/>
      <c r="AO11" s="1571"/>
      <c r="AP11" s="1571"/>
      <c r="AQ11" s="1571"/>
      <c r="AR11" s="1571"/>
      <c r="AS11" s="1571"/>
      <c r="AT11" s="1571"/>
      <c r="AU11" s="1571"/>
      <c r="AV11" s="1571"/>
      <c r="AW11" s="1571"/>
      <c r="AX11" s="1571"/>
      <c r="AY11" s="1571"/>
      <c r="AZ11" s="1571"/>
      <c r="BA11" s="1571"/>
      <c r="BB11" s="1571"/>
      <c r="BC11" s="1571"/>
      <c r="BD11" s="1571"/>
      <c r="BE11" s="1571"/>
      <c r="BF11" s="1571"/>
      <c r="BG11" s="1571"/>
      <c r="BH11" s="1571"/>
      <c r="BI11" s="1571"/>
      <c r="BJ11" s="1571"/>
      <c r="BK11" s="1571"/>
      <c r="BL11" s="1571"/>
      <c r="BM11" s="1571"/>
      <c r="BN11" s="1571"/>
      <c r="BO11" s="1571"/>
      <c r="BP11" s="1571"/>
      <c r="BQ11" s="1571"/>
      <c r="BR11" s="1571"/>
      <c r="BS11" s="1571"/>
      <c r="BT11" s="1571"/>
      <c r="BU11" s="1571"/>
      <c r="BV11" s="1571"/>
      <c r="BW11" s="1571"/>
      <c r="BX11" s="1571"/>
      <c r="BY11" s="1571"/>
      <c r="BZ11" s="1571"/>
      <c r="CA11" s="1571"/>
      <c r="CB11" s="1571"/>
      <c r="CC11" s="1571"/>
      <c r="CD11" s="1571"/>
      <c r="CE11" s="1571"/>
      <c r="CF11" s="1571"/>
      <c r="CG11" s="1571"/>
      <c r="CH11" s="1571"/>
      <c r="CI11" s="1571"/>
      <c r="CJ11" s="1571"/>
      <c r="CK11" s="1571"/>
      <c r="CL11" s="1571"/>
      <c r="CM11" s="1571"/>
      <c r="CN11" s="1571"/>
      <c r="CO11" s="1571"/>
      <c r="CP11" s="1571"/>
      <c r="CQ11" s="1571"/>
      <c r="CR11" s="1571"/>
      <c r="CS11" s="1571"/>
      <c r="CT11" s="1571"/>
      <c r="CU11" s="1571"/>
      <c r="CV11" s="1571"/>
      <c r="CW11" s="1571"/>
      <c r="CX11" s="1571"/>
      <c r="CY11" s="1571"/>
      <c r="CZ11" s="1571"/>
      <c r="DA11" s="1571"/>
      <c r="DB11" s="1571"/>
      <c r="DC11" s="1571"/>
    </row>
    <row r="12" spans="1:107" ht="12.75" customHeight="1">
      <c r="A12" s="1571"/>
      <c r="B12" s="1571"/>
      <c r="C12" s="1571"/>
      <c r="D12" s="1571"/>
      <c r="E12" s="1571"/>
      <c r="F12" s="1571"/>
      <c r="G12" s="1571"/>
      <c r="H12" s="1571"/>
      <c r="I12" s="1571"/>
      <c r="J12" s="1571"/>
      <c r="K12" s="1571"/>
      <c r="L12" s="1571"/>
      <c r="M12" s="1571"/>
      <c r="N12" s="1571"/>
      <c r="O12" s="1571"/>
      <c r="P12" s="1571"/>
      <c r="Q12" s="1571"/>
      <c r="R12" s="1571"/>
      <c r="S12" s="1571"/>
      <c r="T12" s="1571"/>
      <c r="U12" s="1571"/>
      <c r="V12" s="1571"/>
      <c r="W12" s="1571"/>
      <c r="X12" s="1571"/>
      <c r="Y12" s="1571"/>
      <c r="Z12" s="1571"/>
      <c r="AA12" s="1571"/>
      <c r="AB12" s="1571"/>
      <c r="AC12" s="1571"/>
      <c r="AD12" s="1571"/>
      <c r="AE12" s="1571"/>
      <c r="AF12" s="1571"/>
      <c r="AG12" s="1571"/>
      <c r="AH12" s="1571"/>
      <c r="AI12" s="1571"/>
      <c r="AJ12" s="1571"/>
      <c r="AK12" s="1571"/>
      <c r="AL12" s="1571"/>
      <c r="AM12" s="1571"/>
      <c r="AN12" s="1571"/>
      <c r="AO12" s="1571"/>
      <c r="AP12" s="1571"/>
      <c r="AQ12" s="1571"/>
      <c r="AR12" s="1571"/>
      <c r="AS12" s="1571"/>
      <c r="AT12" s="1571"/>
      <c r="AU12" s="1571"/>
      <c r="AV12" s="1571"/>
      <c r="AW12" s="1571"/>
      <c r="AX12" s="1571"/>
      <c r="AY12" s="1571"/>
      <c r="AZ12" s="1571"/>
      <c r="BA12" s="1571"/>
      <c r="BB12" s="1571"/>
      <c r="BC12" s="1571"/>
      <c r="BD12" s="1571"/>
      <c r="BE12" s="1571"/>
      <c r="BF12" s="1571"/>
      <c r="BG12" s="1571"/>
      <c r="BH12" s="1571"/>
      <c r="BI12" s="1571"/>
      <c r="BJ12" s="1571"/>
      <c r="BK12" s="1571"/>
      <c r="BL12" s="1571"/>
      <c r="BM12" s="1571"/>
      <c r="BN12" s="1571"/>
      <c r="BO12" s="1571"/>
      <c r="BP12" s="1571"/>
      <c r="BQ12" s="1571"/>
      <c r="BR12" s="1571"/>
      <c r="BS12" s="1571"/>
      <c r="BT12" s="1571"/>
      <c r="BU12" s="1571"/>
      <c r="BV12" s="1571"/>
      <c r="BW12" s="1571"/>
      <c r="BX12" s="1571"/>
      <c r="BY12" s="1571"/>
      <c r="BZ12" s="1571"/>
      <c r="CA12" s="1571"/>
      <c r="CB12" s="1571"/>
      <c r="CC12" s="1571"/>
      <c r="CD12" s="1571"/>
      <c r="CE12" s="1571"/>
      <c r="CF12" s="1571"/>
      <c r="CG12" s="1571"/>
      <c r="CH12" s="1571"/>
      <c r="CI12" s="1571"/>
      <c r="CJ12" s="1571"/>
      <c r="CK12" s="1571"/>
      <c r="CL12" s="1571"/>
      <c r="CM12" s="1571"/>
      <c r="CN12" s="1571"/>
      <c r="CO12" s="1571"/>
      <c r="CP12" s="1571"/>
      <c r="CQ12" s="1571"/>
      <c r="CR12" s="1571"/>
      <c r="CS12" s="1571"/>
      <c r="CT12" s="1571"/>
      <c r="CU12" s="1571"/>
      <c r="CV12" s="1571"/>
      <c r="CW12" s="1571"/>
      <c r="CX12" s="1571"/>
      <c r="CY12" s="1571"/>
      <c r="CZ12" s="1571"/>
      <c r="DA12" s="1571"/>
      <c r="DB12" s="1571"/>
      <c r="DC12" s="1571"/>
    </row>
    <row r="13" spans="1:107" ht="12.75" customHeight="1">
      <c r="A13" s="1571"/>
      <c r="B13" s="1571"/>
      <c r="C13" s="1571"/>
      <c r="D13" s="1571"/>
      <c r="E13" s="1571"/>
      <c r="F13" s="1571"/>
      <c r="G13" s="1571"/>
      <c r="H13" s="1571"/>
      <c r="I13" s="1571"/>
      <c r="J13" s="1571"/>
      <c r="K13" s="1571"/>
      <c r="L13" s="1571"/>
      <c r="M13" s="1571"/>
      <c r="N13" s="1571"/>
      <c r="O13" s="1571"/>
      <c r="P13" s="1571"/>
      <c r="Q13" s="1571"/>
      <c r="R13" s="1571"/>
      <c r="S13" s="1571"/>
      <c r="T13" s="1571"/>
      <c r="U13" s="1571"/>
      <c r="V13" s="1571"/>
      <c r="W13" s="1571"/>
      <c r="X13" s="1571"/>
      <c r="Y13" s="1571"/>
      <c r="Z13" s="1571"/>
      <c r="AA13" s="1571"/>
      <c r="AB13" s="1571"/>
      <c r="AC13" s="1571"/>
      <c r="AD13" s="1571"/>
      <c r="AE13" s="1571"/>
      <c r="AF13" s="1571"/>
      <c r="AG13" s="1571"/>
      <c r="AH13" s="1571"/>
      <c r="AI13" s="1571"/>
      <c r="AJ13" s="1571"/>
      <c r="AK13" s="1571"/>
      <c r="AL13" s="1571"/>
      <c r="AM13" s="1571"/>
      <c r="AN13" s="1571"/>
      <c r="AO13" s="1571"/>
      <c r="AP13" s="1571"/>
      <c r="AQ13" s="1571"/>
      <c r="AR13" s="1571"/>
      <c r="AS13" s="1571"/>
      <c r="AT13" s="1571"/>
      <c r="AU13" s="1571"/>
      <c r="AV13" s="1571"/>
      <c r="AW13" s="1571"/>
      <c r="AX13" s="1571"/>
      <c r="AY13" s="1571"/>
      <c r="AZ13" s="1571"/>
      <c r="BA13" s="1571"/>
      <c r="BB13" s="1571"/>
      <c r="BC13" s="1571"/>
      <c r="BD13" s="1571"/>
      <c r="BE13" s="1571"/>
      <c r="BF13" s="1571"/>
      <c r="BG13" s="1571"/>
      <c r="BH13" s="1571"/>
      <c r="BI13" s="1571"/>
      <c r="BJ13" s="1571"/>
      <c r="BK13" s="1571"/>
      <c r="BL13" s="1571"/>
      <c r="BM13" s="1571"/>
      <c r="BN13" s="1571"/>
      <c r="BO13" s="1571"/>
      <c r="BP13" s="1571"/>
      <c r="BQ13" s="1571"/>
      <c r="BR13" s="1571"/>
      <c r="BS13" s="1571"/>
      <c r="BT13" s="1571"/>
      <c r="BU13" s="1571"/>
      <c r="BV13" s="1571"/>
      <c r="BW13" s="1571"/>
      <c r="BX13" s="1571"/>
      <c r="BY13" s="1571"/>
      <c r="BZ13" s="1571"/>
      <c r="CA13" s="1571"/>
      <c r="CB13" s="1571"/>
      <c r="CC13" s="1571"/>
      <c r="CD13" s="1571"/>
      <c r="CE13" s="1571"/>
      <c r="CF13" s="1571"/>
      <c r="CG13" s="1571"/>
      <c r="CH13" s="1571"/>
      <c r="CI13" s="1571"/>
      <c r="CJ13" s="1571"/>
      <c r="CK13" s="1571"/>
      <c r="CL13" s="1571"/>
      <c r="CM13" s="1571"/>
      <c r="CN13" s="1571"/>
      <c r="CO13" s="1571"/>
      <c r="CP13" s="1571"/>
      <c r="CQ13" s="1571"/>
      <c r="CR13" s="1571"/>
      <c r="CS13" s="1571"/>
      <c r="CT13" s="1571"/>
      <c r="CU13" s="1571"/>
      <c r="CV13" s="1571"/>
      <c r="CW13" s="1571"/>
      <c r="CX13" s="1571"/>
      <c r="CY13" s="1571"/>
      <c r="CZ13" s="1571"/>
      <c r="DA13" s="1571"/>
      <c r="DB13" s="1571"/>
      <c r="DC13" s="1571"/>
    </row>
    <row r="14" spans="1:107" ht="12.75" customHeight="1">
      <c r="A14" s="1571"/>
      <c r="B14" s="1571"/>
      <c r="C14" s="1571"/>
      <c r="D14" s="1571"/>
      <c r="E14" s="1571"/>
      <c r="F14" s="1571"/>
      <c r="G14" s="1571"/>
      <c r="H14" s="1571"/>
      <c r="I14" s="1571"/>
      <c r="J14" s="1571"/>
      <c r="K14" s="1571"/>
      <c r="L14" s="1571"/>
      <c r="M14" s="1571"/>
      <c r="N14" s="1571"/>
      <c r="O14" s="1571"/>
      <c r="P14" s="1571"/>
      <c r="Q14" s="1571"/>
      <c r="R14" s="1571"/>
      <c r="S14" s="1571"/>
      <c r="T14" s="1571"/>
      <c r="U14" s="1571"/>
      <c r="V14" s="1571"/>
      <c r="W14" s="1571"/>
      <c r="X14" s="1571"/>
      <c r="Y14" s="1571"/>
      <c r="Z14" s="1571"/>
      <c r="AA14" s="1571"/>
      <c r="AB14" s="1571"/>
      <c r="AC14" s="1571"/>
      <c r="AD14" s="1571"/>
      <c r="AE14" s="1571"/>
      <c r="AF14" s="1571"/>
      <c r="AG14" s="1571"/>
      <c r="AH14" s="1571"/>
      <c r="AI14" s="1571"/>
      <c r="AJ14" s="1571"/>
      <c r="AK14" s="1571"/>
      <c r="AL14" s="1571"/>
      <c r="AM14" s="1571"/>
      <c r="AN14" s="1571"/>
      <c r="AO14" s="1571"/>
      <c r="AP14" s="1571"/>
      <c r="AQ14" s="1571"/>
      <c r="AR14" s="1571"/>
      <c r="AS14" s="1571"/>
      <c r="AT14" s="1571"/>
      <c r="AU14" s="1571"/>
      <c r="AV14" s="1571"/>
      <c r="AW14" s="1571"/>
      <c r="AX14" s="1571"/>
      <c r="AY14" s="1571"/>
      <c r="AZ14" s="1571"/>
      <c r="BA14" s="1571"/>
      <c r="BB14" s="1571"/>
      <c r="BC14" s="1571"/>
      <c r="BD14" s="1571"/>
      <c r="BE14" s="1571"/>
      <c r="BF14" s="1571"/>
      <c r="BG14" s="1571"/>
      <c r="BH14" s="1571"/>
      <c r="BI14" s="1571"/>
      <c r="BJ14" s="1571"/>
      <c r="BK14" s="1571"/>
      <c r="BL14" s="1571"/>
      <c r="BM14" s="1571"/>
      <c r="BN14" s="1571"/>
      <c r="BO14" s="1571"/>
      <c r="BP14" s="1571"/>
      <c r="BQ14" s="1571"/>
      <c r="BR14" s="1571"/>
      <c r="BS14" s="1571"/>
      <c r="BT14" s="1571"/>
      <c r="BU14" s="1571"/>
      <c r="BV14" s="1571"/>
      <c r="BW14" s="1571"/>
      <c r="BX14" s="1571"/>
      <c r="BY14" s="1571"/>
      <c r="BZ14" s="1571"/>
      <c r="CA14" s="1571"/>
      <c r="CB14" s="1571"/>
      <c r="CC14" s="1571"/>
      <c r="CD14" s="1571"/>
      <c r="CE14" s="1571"/>
      <c r="CF14" s="1571"/>
      <c r="CG14" s="1571"/>
      <c r="CH14" s="1571"/>
      <c r="CI14" s="1571"/>
      <c r="CJ14" s="1571"/>
      <c r="CK14" s="1571"/>
      <c r="CL14" s="1571"/>
      <c r="CM14" s="1571"/>
      <c r="CN14" s="1571"/>
      <c r="CO14" s="1571"/>
      <c r="CP14" s="1571"/>
      <c r="CQ14" s="1571"/>
      <c r="CR14" s="1571"/>
      <c r="CS14" s="1571"/>
      <c r="CT14" s="1571"/>
      <c r="CU14" s="1571"/>
      <c r="CV14" s="1571"/>
      <c r="CW14" s="1571"/>
      <c r="CX14" s="1571"/>
      <c r="CY14" s="1571"/>
      <c r="CZ14" s="1571"/>
      <c r="DA14" s="1571"/>
      <c r="DB14" s="1571"/>
      <c r="DC14" s="1571"/>
    </row>
    <row r="15" spans="1:107" s="439" customFormat="1" ht="12.75" customHeight="1">
      <c r="A15" s="1059"/>
      <c r="B15" s="1059"/>
      <c r="C15" s="1059"/>
      <c r="D15" s="1059"/>
      <c r="E15" s="1059"/>
      <c r="F15" s="1059"/>
      <c r="G15" s="1059"/>
      <c r="H15" s="1059"/>
      <c r="I15" s="1059"/>
      <c r="J15" s="1059"/>
      <c r="K15" s="1059"/>
      <c r="L15" s="1059"/>
      <c r="M15" s="1059"/>
      <c r="N15" s="1059"/>
      <c r="O15" s="1059"/>
      <c r="P15" s="1059"/>
      <c r="Q15" s="1059"/>
      <c r="R15" s="1059"/>
      <c r="S15" s="1059"/>
      <c r="T15" s="1059"/>
      <c r="U15" s="1059"/>
      <c r="V15" s="1059"/>
      <c r="W15" s="1059"/>
      <c r="X15" s="1059"/>
      <c r="Y15" s="1059"/>
      <c r="Z15" s="1059"/>
      <c r="AA15" s="1059"/>
      <c r="AB15" s="1059"/>
      <c r="AC15" s="1059"/>
      <c r="AD15" s="1059"/>
      <c r="AE15" s="1059"/>
      <c r="AF15" s="1059"/>
      <c r="AG15" s="1059"/>
      <c r="AH15" s="1059"/>
      <c r="AI15" s="1059"/>
      <c r="AJ15" s="1059"/>
      <c r="AK15" s="1059"/>
      <c r="AL15" s="1059"/>
      <c r="AM15" s="1059"/>
      <c r="AN15" s="1059"/>
      <c r="AO15" s="1059"/>
      <c r="AP15" s="1059"/>
      <c r="AQ15" s="1059"/>
      <c r="AR15" s="1059"/>
      <c r="AS15" s="1059"/>
      <c r="AT15" s="1059"/>
      <c r="AU15" s="1059"/>
      <c r="AV15" s="1059"/>
      <c r="AW15" s="1059"/>
      <c r="AX15" s="1059"/>
      <c r="AY15" s="1059"/>
      <c r="AZ15" s="1059"/>
      <c r="BA15" s="1059"/>
      <c r="BB15" s="1059"/>
      <c r="BC15" s="1059"/>
      <c r="BD15" s="1059"/>
      <c r="BE15" s="1059"/>
      <c r="BF15" s="1059"/>
      <c r="BG15" s="1059"/>
      <c r="BH15" s="1059"/>
      <c r="BI15" s="1059"/>
      <c r="BJ15" s="1059"/>
      <c r="BK15" s="1059"/>
      <c r="BL15" s="1059"/>
      <c r="BM15" s="1059"/>
      <c r="BN15" s="1059"/>
      <c r="BO15" s="1059"/>
      <c r="BP15" s="1059"/>
      <c r="BQ15" s="1059"/>
      <c r="BR15" s="1059"/>
      <c r="BS15" s="1059"/>
      <c r="BT15" s="1059"/>
      <c r="BU15" s="1059"/>
      <c r="BV15" s="1059"/>
      <c r="BW15" s="1059"/>
      <c r="BX15" s="1059"/>
      <c r="BY15" s="1059"/>
      <c r="BZ15" s="1059"/>
      <c r="CA15" s="1059"/>
      <c r="CB15" s="1059"/>
      <c r="CC15" s="1059"/>
      <c r="CD15" s="1059"/>
      <c r="CE15" s="1059"/>
      <c r="CF15" s="1059"/>
      <c r="CG15" s="1059"/>
      <c r="CH15" s="1059"/>
      <c r="CI15" s="1059"/>
      <c r="CJ15" s="1059"/>
      <c r="CK15" s="1059"/>
      <c r="CL15" s="1059"/>
      <c r="CM15" s="1059"/>
      <c r="CN15" s="1059"/>
      <c r="CO15" s="1059"/>
      <c r="CP15" s="1059"/>
      <c r="CQ15" s="1059"/>
      <c r="CR15" s="1059"/>
      <c r="CS15" s="1059"/>
      <c r="CT15" s="1059"/>
      <c r="CU15" s="1059"/>
      <c r="CV15" s="1059"/>
      <c r="CW15" s="1059"/>
      <c r="CX15" s="1059"/>
      <c r="CY15" s="1059"/>
      <c r="CZ15" s="1059"/>
      <c r="DA15" s="1059"/>
      <c r="DB15" s="1059"/>
      <c r="DC15" s="1059"/>
    </row>
    <row r="16" spans="1:107" s="648" customFormat="1" ht="12">
      <c r="A16" s="858" t="s">
        <v>699</v>
      </c>
    </row>
    <row r="17" spans="1:107" s="439" customFormat="1" ht="12.75" customHeight="1">
      <c r="A17" s="858"/>
      <c r="B17" s="1562" t="s">
        <v>291</v>
      </c>
      <c r="C17" s="1562"/>
      <c r="D17" s="1562"/>
      <c r="E17" s="1562"/>
      <c r="F17" s="1562"/>
      <c r="G17" s="1562"/>
      <c r="H17" s="1562"/>
      <c r="I17" s="1562"/>
      <c r="J17" s="1562"/>
      <c r="K17" s="1562"/>
      <c r="L17" s="1562"/>
      <c r="M17" s="1562"/>
      <c r="N17" s="1562"/>
      <c r="O17" s="1562"/>
      <c r="P17" s="1562"/>
      <c r="Q17" s="1562"/>
      <c r="R17" s="1562"/>
      <c r="S17" s="1562"/>
      <c r="T17" s="1562"/>
      <c r="U17" s="1562"/>
      <c r="V17" s="1562"/>
      <c r="W17" s="1562"/>
      <c r="X17" s="1562"/>
      <c r="Y17" s="1562"/>
      <c r="Z17" s="1562"/>
      <c r="AA17" s="1562"/>
      <c r="AB17" s="1562"/>
      <c r="AC17" s="1562"/>
      <c r="AD17" s="1562"/>
      <c r="AE17" s="1562"/>
      <c r="AF17" s="1562"/>
      <c r="AG17" s="1562"/>
      <c r="AH17" s="1562"/>
      <c r="AI17" s="1562"/>
      <c r="AJ17" s="1562"/>
      <c r="AK17" s="1562"/>
      <c r="AL17" s="1562"/>
      <c r="AM17" s="1562"/>
      <c r="AN17" s="1562"/>
      <c r="AO17" s="1562"/>
      <c r="AP17" s="1562"/>
      <c r="AQ17" s="1562"/>
      <c r="AR17" s="1562"/>
      <c r="AS17" s="1562"/>
      <c r="AT17" s="1562"/>
      <c r="AU17" s="1078"/>
      <c r="AW17" s="1572"/>
      <c r="AX17" s="1572"/>
      <c r="AY17" s="1572"/>
      <c r="AZ17" s="1572"/>
      <c r="BA17" s="1572"/>
      <c r="BB17" s="1572"/>
      <c r="BC17" s="1572"/>
      <c r="BD17" s="1572"/>
      <c r="BE17" s="1572"/>
      <c r="BF17" s="1572"/>
      <c r="BG17" s="1572"/>
      <c r="BH17" s="1572"/>
      <c r="BI17" s="1572"/>
      <c r="BJ17" s="1572"/>
      <c r="BK17" s="1572"/>
      <c r="BL17" s="862"/>
      <c r="BM17" s="862"/>
      <c r="BN17" s="1563" t="s">
        <v>33</v>
      </c>
      <c r="BO17" s="1563"/>
      <c r="BP17" s="1563"/>
      <c r="BQ17" s="1563"/>
      <c r="BR17" s="1563"/>
      <c r="BS17" s="1563"/>
      <c r="BT17" s="1563"/>
      <c r="BU17" s="1563"/>
      <c r="BV17" s="1563"/>
      <c r="BW17" s="1563"/>
      <c r="BX17" s="1563"/>
      <c r="BY17" s="1563"/>
      <c r="BZ17" s="1563"/>
      <c r="CA17" s="1563"/>
      <c r="CB17" s="1563"/>
      <c r="CC17" s="1563"/>
      <c r="CD17" s="1563"/>
      <c r="CE17" s="1563"/>
      <c r="CF17" s="1563"/>
      <c r="CG17" s="1563"/>
      <c r="CH17" s="1563"/>
      <c r="CI17" s="1563"/>
      <c r="CJ17" s="1563"/>
      <c r="CK17" s="1563"/>
      <c r="CL17" s="1563"/>
      <c r="CM17" s="1563"/>
      <c r="CN17" s="1563"/>
      <c r="CO17" s="1563"/>
      <c r="CP17" s="1563"/>
      <c r="CQ17" s="1563"/>
      <c r="CR17" s="1563"/>
      <c r="CS17" s="1563"/>
      <c r="CT17" s="1563"/>
      <c r="CU17" s="1563"/>
      <c r="CV17" s="1563"/>
      <c r="CW17" s="1563"/>
      <c r="CX17" s="1563"/>
      <c r="CY17" s="1563"/>
      <c r="CZ17" s="1563"/>
      <c r="DA17" s="1563"/>
      <c r="DB17" s="1563"/>
    </row>
    <row r="18" spans="1:107" s="1061" customFormat="1" ht="12.75" customHeight="1">
      <c r="A18" s="1060"/>
      <c r="B18" s="1564" t="s">
        <v>183</v>
      </c>
      <c r="C18" s="1564"/>
      <c r="D18" s="1564"/>
      <c r="E18" s="1564"/>
      <c r="F18" s="1564"/>
      <c r="G18" s="1564"/>
      <c r="H18" s="1564"/>
      <c r="I18" s="1564"/>
      <c r="J18" s="1564"/>
      <c r="K18" s="1564"/>
      <c r="L18" s="1564"/>
      <c r="M18" s="1564"/>
      <c r="N18" s="1564"/>
      <c r="O18" s="1564"/>
      <c r="P18" s="1564"/>
      <c r="Q18" s="1564"/>
      <c r="R18" s="1564"/>
      <c r="S18" s="1564"/>
      <c r="T18" s="1564"/>
      <c r="U18" s="1564"/>
      <c r="V18" s="1564"/>
      <c r="W18" s="1564"/>
      <c r="X18" s="1564"/>
      <c r="Y18" s="1564"/>
      <c r="Z18" s="1564"/>
      <c r="AA18" s="1564"/>
      <c r="AB18" s="1564"/>
      <c r="AC18" s="1564"/>
      <c r="AD18" s="1564"/>
      <c r="AE18" s="1564"/>
      <c r="AF18" s="1564"/>
      <c r="AG18" s="1564"/>
      <c r="AH18" s="1564"/>
      <c r="AI18" s="1564"/>
      <c r="AJ18" s="1564"/>
      <c r="AK18" s="1564"/>
      <c r="AL18" s="1564"/>
      <c r="AM18" s="1564"/>
      <c r="AN18" s="1564"/>
      <c r="AO18" s="1564"/>
      <c r="AP18" s="1564"/>
      <c r="AQ18" s="1564"/>
      <c r="AR18" s="1564"/>
      <c r="AS18" s="1564"/>
      <c r="AT18" s="1564"/>
      <c r="AW18" s="1564" t="s">
        <v>80</v>
      </c>
      <c r="AX18" s="1564"/>
      <c r="AY18" s="1564"/>
      <c r="AZ18" s="1564"/>
      <c r="BA18" s="1564"/>
      <c r="BB18" s="1564"/>
      <c r="BC18" s="1564"/>
      <c r="BD18" s="1564"/>
      <c r="BE18" s="1564"/>
      <c r="BF18" s="1564"/>
      <c r="BG18" s="1564"/>
      <c r="BH18" s="1564"/>
      <c r="BI18" s="1564"/>
      <c r="BJ18" s="1564"/>
      <c r="BK18" s="1564"/>
      <c r="BL18" s="1062"/>
      <c r="BM18" s="1062"/>
      <c r="BN18" s="1565" t="s">
        <v>182</v>
      </c>
      <c r="BO18" s="1565"/>
      <c r="BP18" s="1565"/>
      <c r="BQ18" s="1565"/>
      <c r="BR18" s="1565"/>
      <c r="BS18" s="1565"/>
      <c r="BT18" s="1565"/>
      <c r="BU18" s="1565"/>
      <c r="BV18" s="1565"/>
      <c r="BW18" s="1565"/>
      <c r="BX18" s="1565"/>
      <c r="BY18" s="1565"/>
      <c r="BZ18" s="1565"/>
      <c r="CA18" s="1565"/>
      <c r="CB18" s="1565"/>
      <c r="CC18" s="1565"/>
      <c r="CD18" s="1565"/>
      <c r="CE18" s="1565"/>
      <c r="CF18" s="1565"/>
      <c r="CG18" s="1565"/>
      <c r="CH18" s="1565"/>
      <c r="CI18" s="1565"/>
      <c r="CJ18" s="1565"/>
      <c r="CK18" s="1565"/>
      <c r="CL18" s="1565"/>
      <c r="CM18" s="1565"/>
      <c r="CN18" s="1565"/>
      <c r="CO18" s="1565"/>
      <c r="CP18" s="1565"/>
      <c r="CQ18" s="1565"/>
      <c r="CR18" s="1565"/>
      <c r="CS18" s="1565"/>
      <c r="CT18" s="1565"/>
      <c r="CU18" s="1565"/>
      <c r="CV18" s="1565"/>
      <c r="CW18" s="1565"/>
      <c r="CX18" s="1565"/>
      <c r="CY18" s="1565"/>
      <c r="CZ18" s="1565"/>
      <c r="DA18" s="1565"/>
      <c r="DB18" s="1565"/>
      <c r="DC18" s="1060"/>
    </row>
    <row r="19" spans="1:107" s="439" customFormat="1" ht="12.75" customHeight="1">
      <c r="A19" s="858"/>
      <c r="B19" s="1562"/>
      <c r="C19" s="1562"/>
      <c r="D19" s="1562"/>
      <c r="E19" s="1562"/>
      <c r="F19" s="1562"/>
      <c r="G19" s="1562"/>
      <c r="H19" s="1562"/>
      <c r="I19" s="1562"/>
      <c r="J19" s="1562"/>
      <c r="K19" s="1562"/>
      <c r="L19" s="1562"/>
      <c r="M19" s="1562"/>
      <c r="N19" s="1562"/>
      <c r="O19" s="1562"/>
      <c r="P19" s="1562"/>
      <c r="Q19" s="1562"/>
      <c r="R19" s="1562"/>
      <c r="S19" s="1562"/>
      <c r="T19" s="1562"/>
      <c r="U19" s="1562"/>
      <c r="V19" s="1562"/>
      <c r="W19" s="1562"/>
      <c r="X19" s="1562"/>
      <c r="Y19" s="1562"/>
      <c r="Z19" s="1562"/>
      <c r="AA19" s="1562"/>
      <c r="AB19" s="1562"/>
      <c r="AC19" s="1562"/>
      <c r="AD19" s="1562"/>
      <c r="AE19" s="1562"/>
      <c r="AF19" s="1562"/>
      <c r="AG19" s="1562"/>
      <c r="AH19" s="1562"/>
      <c r="AI19" s="1562"/>
      <c r="AJ19" s="1562"/>
      <c r="AK19" s="1562"/>
      <c r="AL19" s="1562"/>
      <c r="AM19" s="1562"/>
      <c r="AN19" s="1562"/>
      <c r="AO19" s="1562"/>
      <c r="AP19" s="1562"/>
      <c r="AQ19" s="1562"/>
      <c r="AR19" s="1562"/>
      <c r="AS19" s="1562"/>
      <c r="AT19" s="1562"/>
      <c r="AW19" s="1572"/>
      <c r="AX19" s="1572"/>
      <c r="AY19" s="1572"/>
      <c r="AZ19" s="1572"/>
      <c r="BA19" s="1572"/>
      <c r="BB19" s="1572"/>
      <c r="BC19" s="1572"/>
      <c r="BD19" s="1572"/>
      <c r="BE19" s="1572"/>
      <c r="BF19" s="1572"/>
      <c r="BG19" s="1572"/>
      <c r="BH19" s="1572"/>
      <c r="BI19" s="1572"/>
      <c r="BJ19" s="1572"/>
      <c r="BK19" s="1572"/>
      <c r="BL19" s="862"/>
      <c r="BM19" s="862"/>
      <c r="BN19" s="1573"/>
      <c r="BO19" s="1573"/>
      <c r="BP19" s="1573"/>
      <c r="BQ19" s="1573"/>
      <c r="BR19" s="1573"/>
      <c r="BS19" s="1573"/>
      <c r="BT19" s="1573"/>
      <c r="BU19" s="1573"/>
      <c r="BV19" s="1573"/>
      <c r="BW19" s="1573"/>
      <c r="BX19" s="1573"/>
      <c r="BY19" s="1573"/>
      <c r="BZ19" s="1573"/>
      <c r="CA19" s="1573"/>
      <c r="CB19" s="1573"/>
      <c r="CC19" s="1573"/>
      <c r="CD19" s="1573"/>
      <c r="CE19" s="1573"/>
      <c r="CF19" s="1573"/>
      <c r="CG19" s="1573"/>
      <c r="CH19" s="1573"/>
      <c r="CI19" s="1573"/>
      <c r="CJ19" s="1573"/>
      <c r="CK19" s="1573"/>
      <c r="CL19" s="1573"/>
      <c r="CM19" s="1573"/>
      <c r="CN19" s="1573"/>
      <c r="CO19" s="1573"/>
      <c r="CP19" s="1573"/>
      <c r="CQ19" s="1573"/>
      <c r="CR19" s="1573"/>
      <c r="CS19" s="1573"/>
      <c r="CT19" s="1573"/>
      <c r="CU19" s="1573"/>
      <c r="CV19" s="1573"/>
      <c r="CW19" s="1573"/>
      <c r="CX19" s="1573"/>
      <c r="CY19" s="1573"/>
      <c r="CZ19" s="1573"/>
      <c r="DA19" s="1573"/>
      <c r="DB19" s="1573"/>
      <c r="DC19" s="1059"/>
    </row>
    <row r="20" spans="1:107" s="1061" customFormat="1" ht="12.75" customHeight="1">
      <c r="A20" s="1060"/>
      <c r="B20" s="1564" t="s">
        <v>183</v>
      </c>
      <c r="C20" s="1564"/>
      <c r="D20" s="1564"/>
      <c r="E20" s="1564"/>
      <c r="F20" s="1564"/>
      <c r="G20" s="1564"/>
      <c r="H20" s="1564"/>
      <c r="I20" s="1564"/>
      <c r="J20" s="1564"/>
      <c r="K20" s="1564"/>
      <c r="L20" s="1564"/>
      <c r="M20" s="1564"/>
      <c r="N20" s="1564"/>
      <c r="O20" s="1564"/>
      <c r="P20" s="1564"/>
      <c r="Q20" s="1564"/>
      <c r="R20" s="1564"/>
      <c r="S20" s="1564"/>
      <c r="T20" s="1564"/>
      <c r="U20" s="1564"/>
      <c r="V20" s="1564"/>
      <c r="W20" s="1564"/>
      <c r="X20" s="1564"/>
      <c r="Y20" s="1564"/>
      <c r="Z20" s="1564"/>
      <c r="AA20" s="1564"/>
      <c r="AB20" s="1564"/>
      <c r="AC20" s="1564"/>
      <c r="AD20" s="1564"/>
      <c r="AE20" s="1564"/>
      <c r="AF20" s="1564"/>
      <c r="AG20" s="1564"/>
      <c r="AH20" s="1564"/>
      <c r="AI20" s="1564"/>
      <c r="AJ20" s="1564"/>
      <c r="AK20" s="1564"/>
      <c r="AL20" s="1564"/>
      <c r="AM20" s="1564"/>
      <c r="AN20" s="1564"/>
      <c r="AO20" s="1564"/>
      <c r="AP20" s="1564"/>
      <c r="AQ20" s="1564"/>
      <c r="AR20" s="1564"/>
      <c r="AS20" s="1564"/>
      <c r="AT20" s="1564"/>
      <c r="AW20" s="1564" t="s">
        <v>80</v>
      </c>
      <c r="AX20" s="1564"/>
      <c r="AY20" s="1564"/>
      <c r="AZ20" s="1564"/>
      <c r="BA20" s="1564"/>
      <c r="BB20" s="1564"/>
      <c r="BC20" s="1564"/>
      <c r="BD20" s="1564"/>
      <c r="BE20" s="1564"/>
      <c r="BF20" s="1564"/>
      <c r="BG20" s="1564"/>
      <c r="BH20" s="1564"/>
      <c r="BI20" s="1564"/>
      <c r="BJ20" s="1564"/>
      <c r="BK20" s="1564"/>
      <c r="BL20" s="1062"/>
      <c r="BM20" s="1062"/>
      <c r="BN20" s="1565" t="s">
        <v>182</v>
      </c>
      <c r="BO20" s="1565"/>
      <c r="BP20" s="1565"/>
      <c r="BQ20" s="1565"/>
      <c r="BR20" s="1565"/>
      <c r="BS20" s="1565"/>
      <c r="BT20" s="1565"/>
      <c r="BU20" s="1565"/>
      <c r="BV20" s="1565"/>
      <c r="BW20" s="1565"/>
      <c r="BX20" s="1565"/>
      <c r="BY20" s="1565"/>
      <c r="BZ20" s="1565"/>
      <c r="CA20" s="1565"/>
      <c r="CB20" s="1565"/>
      <c r="CC20" s="1565"/>
      <c r="CD20" s="1565"/>
      <c r="CE20" s="1565"/>
      <c r="CF20" s="1565"/>
      <c r="CG20" s="1565"/>
      <c r="CH20" s="1565"/>
      <c r="CI20" s="1565"/>
      <c r="CJ20" s="1565"/>
      <c r="CK20" s="1565"/>
      <c r="CL20" s="1565"/>
      <c r="CM20" s="1565"/>
      <c r="CN20" s="1565"/>
      <c r="CO20" s="1565"/>
      <c r="CP20" s="1565"/>
      <c r="CQ20" s="1565"/>
      <c r="CR20" s="1565"/>
      <c r="CS20" s="1565"/>
      <c r="CT20" s="1565"/>
      <c r="CU20" s="1565"/>
      <c r="CV20" s="1565"/>
      <c r="CW20" s="1565"/>
      <c r="CX20" s="1565"/>
      <c r="CY20" s="1565"/>
      <c r="CZ20" s="1565"/>
      <c r="DA20" s="1565"/>
      <c r="DB20" s="1565"/>
      <c r="DC20" s="1060"/>
    </row>
    <row r="21" spans="1:107" s="439" customFormat="1"/>
    <row r="22" spans="1:107" s="1074" customFormat="1" ht="12.75">
      <c r="A22" s="613"/>
      <c r="B22" s="617" t="s">
        <v>83</v>
      </c>
      <c r="C22" s="1566"/>
      <c r="D22" s="1566"/>
      <c r="E22" s="1566"/>
      <c r="F22" s="615" t="s">
        <v>84</v>
      </c>
      <c r="G22" s="1073"/>
      <c r="H22" s="1566"/>
      <c r="I22" s="1566"/>
      <c r="J22" s="1566"/>
      <c r="K22" s="1566"/>
      <c r="L22" s="1566"/>
      <c r="M22" s="1566"/>
      <c r="N22" s="1566"/>
      <c r="O22" s="1566"/>
      <c r="P22" s="1566"/>
      <c r="Q22" s="1566"/>
      <c r="R22" s="1566"/>
      <c r="S22" s="1566"/>
      <c r="T22" s="613"/>
      <c r="U22" s="613"/>
      <c r="V22" s="1058" t="s">
        <v>460</v>
      </c>
      <c r="W22" s="1567"/>
      <c r="X22" s="1567"/>
      <c r="Y22" s="615" t="s">
        <v>85</v>
      </c>
      <c r="Z22" s="613"/>
      <c r="AA22" s="1072"/>
    </row>
    <row r="23" spans="1:107" s="1075" customFormat="1" ht="12.75"/>
    <row r="24" spans="1:107" s="1075" customFormat="1" ht="15" customHeight="1">
      <c r="A24" s="608" t="s">
        <v>281</v>
      </c>
      <c r="P24" s="613"/>
      <c r="Q24" s="609"/>
      <c r="R24" s="609"/>
      <c r="S24" s="609"/>
      <c r="T24" s="609"/>
      <c r="U24" s="609"/>
      <c r="V24" s="609"/>
      <c r="W24" s="1063"/>
      <c r="X24" s="1063"/>
      <c r="Y24" s="1063"/>
      <c r="Z24" s="1063"/>
      <c r="AA24" s="1063"/>
      <c r="AB24" s="1063"/>
      <c r="AC24" s="1063"/>
      <c r="AD24" s="1063"/>
      <c r="AE24" s="1063"/>
      <c r="AF24" s="1063"/>
      <c r="AG24" s="1063"/>
      <c r="AH24" s="1063"/>
      <c r="AI24" s="1063"/>
      <c r="AJ24" s="1063"/>
      <c r="AK24" s="1063"/>
      <c r="AL24" s="1063"/>
      <c r="AM24" s="1063"/>
      <c r="AN24" s="1063"/>
      <c r="AO24" s="1063"/>
      <c r="AP24" s="1063"/>
      <c r="AQ24" s="1063"/>
      <c r="AR24" s="1063"/>
      <c r="AS24" s="1063"/>
      <c r="AT24" s="1063"/>
      <c r="AU24" s="1063"/>
      <c r="AV24" s="1063"/>
      <c r="AW24" s="1063"/>
      <c r="AX24" s="1063"/>
      <c r="AY24" s="1063"/>
      <c r="AZ24" s="1063"/>
      <c r="BA24" s="1063"/>
      <c r="BB24" s="1063"/>
      <c r="BC24" s="1063"/>
      <c r="BD24" s="1063"/>
      <c r="BE24" s="1063"/>
      <c r="BF24" s="1063"/>
      <c r="BG24" s="1063"/>
      <c r="BH24" s="1063"/>
      <c r="BI24" s="1063"/>
      <c r="BJ24" s="1063"/>
      <c r="BK24" s="1063"/>
      <c r="BL24" s="1063"/>
      <c r="BM24" s="1063"/>
      <c r="BN24" s="1063"/>
      <c r="BO24" s="1063"/>
      <c r="BP24" s="1063"/>
      <c r="BQ24" s="1063"/>
      <c r="BR24" s="1063"/>
      <c r="BS24" s="1063"/>
      <c r="BT24" s="1063"/>
      <c r="BU24" s="1063"/>
      <c r="BV24" s="1063"/>
      <c r="BW24" s="1063"/>
      <c r="BX24" s="1063"/>
      <c r="BY24" s="1063"/>
      <c r="BZ24" s="1063"/>
      <c r="CA24" s="1063"/>
      <c r="CB24" s="1063"/>
      <c r="CC24" s="1071"/>
      <c r="CD24" s="1071"/>
      <c r="CE24" s="1071"/>
      <c r="CF24" s="1071"/>
      <c r="CG24" s="1071"/>
      <c r="CH24" s="1071"/>
      <c r="CI24" s="1071"/>
      <c r="CJ24" s="1071"/>
      <c r="CK24" s="1071"/>
      <c r="CL24" s="1071"/>
      <c r="CM24" s="1071"/>
      <c r="CN24" s="1071"/>
      <c r="CO24" s="1071"/>
      <c r="CP24" s="1071"/>
      <c r="CQ24" s="1071"/>
      <c r="CR24" s="1071"/>
      <c r="CS24" s="1071"/>
      <c r="CT24" s="1071"/>
      <c r="CU24" s="1071"/>
      <c r="CV24" s="1071"/>
      <c r="CW24" s="1071"/>
      <c r="CX24" s="1071"/>
      <c r="CY24" s="1071"/>
      <c r="CZ24" s="1071"/>
      <c r="DA24" s="1071"/>
      <c r="DB24" s="1071"/>
      <c r="DC24" s="1071"/>
    </row>
    <row r="25" spans="1:107" s="1075" customFormat="1" ht="15" customHeight="1">
      <c r="A25" s="1568"/>
      <c r="B25" s="1568"/>
      <c r="C25" s="1568"/>
      <c r="D25" s="1568"/>
      <c r="E25" s="1568"/>
      <c r="F25" s="1568"/>
      <c r="G25" s="1568"/>
      <c r="H25" s="1568"/>
      <c r="I25" s="1568"/>
      <c r="J25" s="1568"/>
      <c r="K25" s="1568"/>
      <c r="L25" s="1568"/>
      <c r="M25" s="1568"/>
      <c r="N25" s="1568"/>
      <c r="O25" s="1568"/>
      <c r="P25" s="1568"/>
      <c r="Q25" s="1568"/>
      <c r="R25" s="1568"/>
      <c r="S25" s="1568"/>
      <c r="T25" s="1568"/>
      <c r="U25" s="1568"/>
      <c r="V25" s="1568"/>
      <c r="W25" s="1568"/>
      <c r="X25" s="1568"/>
      <c r="Y25" s="1568"/>
      <c r="Z25" s="1568"/>
      <c r="AA25" s="1568"/>
      <c r="AB25" s="1568"/>
      <c r="AC25" s="1568"/>
      <c r="AD25" s="1568"/>
      <c r="AE25" s="1568"/>
      <c r="AF25" s="1568"/>
      <c r="AG25" s="1568"/>
      <c r="AH25" s="1568"/>
      <c r="AI25" s="1568"/>
      <c r="AJ25" s="1568"/>
      <c r="AK25" s="1568"/>
      <c r="AL25" s="1568"/>
      <c r="AM25" s="1568"/>
      <c r="AN25" s="1568"/>
      <c r="AO25" s="1568"/>
      <c r="AP25" s="1568"/>
      <c r="AQ25" s="1568"/>
      <c r="AR25" s="1568"/>
      <c r="AS25" s="1568"/>
      <c r="AT25" s="1568"/>
      <c r="AU25" s="1568"/>
      <c r="AV25" s="1568"/>
      <c r="AW25" s="1568"/>
      <c r="AX25" s="1568"/>
      <c r="AY25" s="1568"/>
      <c r="AZ25" s="1568"/>
      <c r="BA25" s="1568"/>
      <c r="BB25" s="1568"/>
      <c r="BC25" s="1568"/>
      <c r="BD25" s="1568"/>
      <c r="BE25" s="1568"/>
      <c r="BF25" s="1568"/>
      <c r="BG25" s="1568"/>
      <c r="BH25" s="1568"/>
      <c r="BI25" s="1568"/>
      <c r="BJ25" s="1568"/>
      <c r="BK25" s="1568"/>
      <c r="BL25" s="1568"/>
      <c r="BM25" s="1568"/>
      <c r="BN25" s="1568"/>
      <c r="BO25" s="1568"/>
      <c r="BP25" s="1568"/>
      <c r="BQ25" s="1568"/>
      <c r="BR25" s="1568"/>
      <c r="BS25" s="1568"/>
      <c r="BT25" s="1568"/>
      <c r="BU25" s="1568"/>
      <c r="BV25" s="1568"/>
      <c r="BW25" s="1568"/>
      <c r="BX25" s="1568"/>
      <c r="BY25" s="1568"/>
      <c r="BZ25" s="1568"/>
      <c r="CA25" s="1568"/>
      <c r="CB25" s="1568"/>
      <c r="CC25" s="1568"/>
      <c r="CD25" s="1568"/>
      <c r="CE25" s="1568"/>
      <c r="CF25" s="1568"/>
      <c r="CG25" s="1568"/>
      <c r="CH25" s="1568"/>
      <c r="CI25" s="1568"/>
      <c r="CJ25" s="1568"/>
      <c r="CK25" s="1568"/>
      <c r="CL25" s="1568"/>
      <c r="CM25" s="1568"/>
      <c r="CN25" s="1568"/>
      <c r="CO25" s="1568"/>
      <c r="CP25" s="1568"/>
      <c r="CQ25" s="1568"/>
      <c r="CR25" s="1568"/>
      <c r="CS25" s="1568"/>
      <c r="CT25" s="1568"/>
      <c r="CU25" s="1568"/>
      <c r="CV25" s="1568"/>
      <c r="CW25" s="1568"/>
      <c r="CX25" s="1568"/>
      <c r="CY25" s="1568"/>
      <c r="CZ25" s="1568"/>
      <c r="DA25" s="1568"/>
      <c r="DB25" s="1568"/>
      <c r="DC25" s="1568"/>
    </row>
    <row r="26" spans="1:107" s="1075" customFormat="1" ht="15" customHeight="1">
      <c r="A26" s="1561"/>
      <c r="B26" s="1561"/>
      <c r="C26" s="1561"/>
      <c r="D26" s="1561"/>
      <c r="E26" s="1561"/>
      <c r="F26" s="1561"/>
      <c r="G26" s="1561"/>
      <c r="H26" s="1561"/>
      <c r="I26" s="1561"/>
      <c r="J26" s="1561"/>
      <c r="K26" s="1561"/>
      <c r="L26" s="1561"/>
      <c r="M26" s="1561"/>
      <c r="N26" s="1561"/>
      <c r="O26" s="1561"/>
      <c r="P26" s="1561"/>
      <c r="Q26" s="1561"/>
      <c r="R26" s="1561"/>
      <c r="S26" s="1561"/>
      <c r="T26" s="1561"/>
      <c r="U26" s="1561"/>
      <c r="V26" s="1561"/>
      <c r="W26" s="1561"/>
      <c r="X26" s="1561"/>
      <c r="Y26" s="1561"/>
      <c r="Z26" s="1561"/>
      <c r="AA26" s="1561"/>
      <c r="AB26" s="1561"/>
      <c r="AC26" s="1561"/>
      <c r="AD26" s="1561"/>
      <c r="AE26" s="1561"/>
      <c r="AF26" s="1561"/>
      <c r="AG26" s="1561"/>
      <c r="AH26" s="1561"/>
      <c r="AI26" s="1561"/>
      <c r="AJ26" s="1561"/>
      <c r="AK26" s="1561"/>
      <c r="AL26" s="1561"/>
      <c r="AM26" s="1561"/>
      <c r="AN26" s="1561"/>
      <c r="AO26" s="1561"/>
      <c r="AP26" s="1561"/>
      <c r="AQ26" s="1561"/>
      <c r="AR26" s="1561"/>
      <c r="AS26" s="1561"/>
      <c r="AT26" s="1561"/>
      <c r="AU26" s="1561"/>
      <c r="AV26" s="1561"/>
      <c r="AW26" s="1561"/>
      <c r="AX26" s="1561"/>
      <c r="AY26" s="1561"/>
      <c r="AZ26" s="1561"/>
      <c r="BA26" s="1561"/>
      <c r="BB26" s="1561"/>
      <c r="BC26" s="1561"/>
      <c r="BD26" s="1561"/>
      <c r="BE26" s="1561"/>
      <c r="BF26" s="1561"/>
      <c r="BG26" s="1561"/>
      <c r="BH26" s="1561"/>
      <c r="BI26" s="1561"/>
      <c r="BJ26" s="1561"/>
      <c r="BK26" s="1561"/>
      <c r="BL26" s="1561"/>
      <c r="BM26" s="1561"/>
      <c r="BN26" s="1561"/>
      <c r="BO26" s="1561"/>
      <c r="BP26" s="1561"/>
      <c r="BQ26" s="1561"/>
      <c r="BR26" s="1561"/>
      <c r="BS26" s="1561"/>
      <c r="BT26" s="1561"/>
      <c r="BU26" s="1561"/>
      <c r="BV26" s="1561"/>
      <c r="BW26" s="1561"/>
      <c r="BX26" s="1561"/>
      <c r="BY26" s="1561"/>
      <c r="BZ26" s="1561"/>
      <c r="CA26" s="1561"/>
      <c r="CB26" s="1561"/>
      <c r="CC26" s="1561"/>
      <c r="CD26" s="1561"/>
      <c r="CE26" s="1561"/>
      <c r="CF26" s="1561"/>
      <c r="CG26" s="1561"/>
      <c r="CH26" s="1561"/>
      <c r="CI26" s="1561"/>
      <c r="CJ26" s="1561"/>
      <c r="CK26" s="1561"/>
      <c r="CL26" s="1561"/>
      <c r="CM26" s="1561"/>
      <c r="CN26" s="1561"/>
      <c r="CO26" s="1561"/>
      <c r="CP26" s="1561"/>
      <c r="CQ26" s="1561"/>
      <c r="CR26" s="1561"/>
      <c r="CS26" s="1561"/>
      <c r="CT26" s="1561"/>
      <c r="CU26" s="1561"/>
      <c r="CV26" s="1561"/>
      <c r="CW26" s="1561"/>
      <c r="CX26" s="1561"/>
      <c r="CY26" s="1561"/>
      <c r="CZ26" s="1561"/>
      <c r="DA26" s="1561"/>
      <c r="DB26" s="1561"/>
      <c r="DC26" s="1561"/>
    </row>
    <row r="27" spans="1:107" s="1075" customFormat="1" ht="15" customHeight="1">
      <c r="A27" s="1561"/>
      <c r="B27" s="1561"/>
      <c r="C27" s="1561"/>
      <c r="D27" s="1561"/>
      <c r="E27" s="1561"/>
      <c r="F27" s="1561"/>
      <c r="G27" s="1561"/>
      <c r="H27" s="1561"/>
      <c r="I27" s="1561"/>
      <c r="J27" s="1561"/>
      <c r="K27" s="1561"/>
      <c r="L27" s="1561"/>
      <c r="M27" s="1561"/>
      <c r="N27" s="1561"/>
      <c r="O27" s="1561"/>
      <c r="P27" s="1561"/>
      <c r="Q27" s="1561"/>
      <c r="R27" s="1561"/>
      <c r="S27" s="1561"/>
      <c r="T27" s="1561"/>
      <c r="U27" s="1561"/>
      <c r="V27" s="1561"/>
      <c r="W27" s="1561"/>
      <c r="X27" s="1561"/>
      <c r="Y27" s="1561"/>
      <c r="Z27" s="1561"/>
      <c r="AA27" s="1561"/>
      <c r="AB27" s="1561"/>
      <c r="AC27" s="1561"/>
      <c r="AD27" s="1561"/>
      <c r="AE27" s="1561"/>
      <c r="AF27" s="1561"/>
      <c r="AG27" s="1561"/>
      <c r="AH27" s="1561"/>
      <c r="AI27" s="1561"/>
      <c r="AJ27" s="1561"/>
      <c r="AK27" s="1561"/>
      <c r="AL27" s="1561"/>
      <c r="AM27" s="1561"/>
      <c r="AN27" s="1561"/>
      <c r="AO27" s="1561"/>
      <c r="AP27" s="1561"/>
      <c r="AQ27" s="1561"/>
      <c r="AR27" s="1561"/>
      <c r="AS27" s="1561"/>
      <c r="AT27" s="1561"/>
      <c r="AU27" s="1561"/>
      <c r="AV27" s="1561"/>
      <c r="AW27" s="1561"/>
      <c r="AX27" s="1561"/>
      <c r="AY27" s="1561"/>
      <c r="AZ27" s="1561"/>
      <c r="BA27" s="1561"/>
      <c r="BB27" s="1561"/>
      <c r="BC27" s="1561"/>
      <c r="BD27" s="1561"/>
      <c r="BE27" s="1561"/>
      <c r="BF27" s="1561"/>
      <c r="BG27" s="1561"/>
      <c r="BH27" s="1561"/>
      <c r="BI27" s="1561"/>
      <c r="BJ27" s="1561"/>
      <c r="BK27" s="1561"/>
      <c r="BL27" s="1561"/>
      <c r="BM27" s="1561"/>
      <c r="BN27" s="1561"/>
      <c r="BO27" s="1561"/>
      <c r="BP27" s="1561"/>
      <c r="BQ27" s="1561"/>
      <c r="BR27" s="1561"/>
      <c r="BS27" s="1561"/>
      <c r="BT27" s="1561"/>
      <c r="BU27" s="1561"/>
      <c r="BV27" s="1561"/>
      <c r="BW27" s="1561"/>
      <c r="BX27" s="1561"/>
      <c r="BY27" s="1561"/>
      <c r="BZ27" s="1561"/>
      <c r="CA27" s="1561"/>
      <c r="CB27" s="1561"/>
      <c r="CC27" s="1561"/>
      <c r="CD27" s="1561"/>
      <c r="CE27" s="1561"/>
      <c r="CF27" s="1561"/>
      <c r="CG27" s="1561"/>
      <c r="CH27" s="1561"/>
      <c r="CI27" s="1561"/>
      <c r="CJ27" s="1561"/>
      <c r="CK27" s="1561"/>
      <c r="CL27" s="1561"/>
      <c r="CM27" s="1561"/>
      <c r="CN27" s="1561"/>
      <c r="CO27" s="1561"/>
      <c r="CP27" s="1561"/>
      <c r="CQ27" s="1561"/>
      <c r="CR27" s="1561"/>
      <c r="CS27" s="1561"/>
      <c r="CT27" s="1561"/>
      <c r="CU27" s="1561"/>
      <c r="CV27" s="1561"/>
      <c r="CW27" s="1561"/>
      <c r="CX27" s="1561"/>
      <c r="CY27" s="1561"/>
      <c r="CZ27" s="1561"/>
      <c r="DA27" s="1561"/>
      <c r="DB27" s="1561"/>
      <c r="DC27" s="1561"/>
    </row>
    <row r="28" spans="1:107" s="1075" customFormat="1" ht="15" customHeight="1">
      <c r="A28" s="1561"/>
      <c r="B28" s="1561"/>
      <c r="C28" s="1561"/>
      <c r="D28" s="1561"/>
      <c r="E28" s="1561"/>
      <c r="F28" s="1561"/>
      <c r="G28" s="1561"/>
      <c r="H28" s="1561"/>
      <c r="I28" s="1561"/>
      <c r="J28" s="1561"/>
      <c r="K28" s="1561"/>
      <c r="L28" s="1561"/>
      <c r="M28" s="1561"/>
      <c r="N28" s="1561"/>
      <c r="O28" s="1561"/>
      <c r="P28" s="1561"/>
      <c r="Q28" s="1561"/>
      <c r="R28" s="1561"/>
      <c r="S28" s="1561"/>
      <c r="T28" s="1561"/>
      <c r="U28" s="1561"/>
      <c r="V28" s="1561"/>
      <c r="W28" s="1561"/>
      <c r="X28" s="1561"/>
      <c r="Y28" s="1561"/>
      <c r="Z28" s="1561"/>
      <c r="AA28" s="1561"/>
      <c r="AB28" s="1561"/>
      <c r="AC28" s="1561"/>
      <c r="AD28" s="1561"/>
      <c r="AE28" s="1561"/>
      <c r="AF28" s="1561"/>
      <c r="AG28" s="1561"/>
      <c r="AH28" s="1561"/>
      <c r="AI28" s="1561"/>
      <c r="AJ28" s="1561"/>
      <c r="AK28" s="1561"/>
      <c r="AL28" s="1561"/>
      <c r="AM28" s="1561"/>
      <c r="AN28" s="1561"/>
      <c r="AO28" s="1561"/>
      <c r="AP28" s="1561"/>
      <c r="AQ28" s="1561"/>
      <c r="AR28" s="1561"/>
      <c r="AS28" s="1561"/>
      <c r="AT28" s="1561"/>
      <c r="AU28" s="1561"/>
      <c r="AV28" s="1561"/>
      <c r="AW28" s="1561"/>
      <c r="AX28" s="1561"/>
      <c r="AY28" s="1561"/>
      <c r="AZ28" s="1561"/>
      <c r="BA28" s="1561"/>
      <c r="BB28" s="1561"/>
      <c r="BC28" s="1561"/>
      <c r="BD28" s="1561"/>
      <c r="BE28" s="1561"/>
      <c r="BF28" s="1561"/>
      <c r="BG28" s="1561"/>
      <c r="BH28" s="1561"/>
      <c r="BI28" s="1561"/>
      <c r="BJ28" s="1561"/>
      <c r="BK28" s="1561"/>
      <c r="BL28" s="1561"/>
      <c r="BM28" s="1561"/>
      <c r="BN28" s="1561"/>
      <c r="BO28" s="1561"/>
      <c r="BP28" s="1561"/>
      <c r="BQ28" s="1561"/>
      <c r="BR28" s="1561"/>
      <c r="BS28" s="1561"/>
      <c r="BT28" s="1561"/>
      <c r="BU28" s="1561"/>
      <c r="BV28" s="1561"/>
      <c r="BW28" s="1561"/>
      <c r="BX28" s="1561"/>
      <c r="BY28" s="1561"/>
      <c r="BZ28" s="1561"/>
      <c r="CA28" s="1561"/>
      <c r="CB28" s="1561"/>
      <c r="CC28" s="1561"/>
      <c r="CD28" s="1561"/>
      <c r="CE28" s="1561"/>
      <c r="CF28" s="1561"/>
      <c r="CG28" s="1561"/>
      <c r="CH28" s="1561"/>
      <c r="CI28" s="1561"/>
      <c r="CJ28" s="1561"/>
      <c r="CK28" s="1561"/>
      <c r="CL28" s="1561"/>
      <c r="CM28" s="1561"/>
      <c r="CN28" s="1561"/>
      <c r="CO28" s="1561"/>
      <c r="CP28" s="1561"/>
      <c r="CQ28" s="1561"/>
      <c r="CR28" s="1561"/>
      <c r="CS28" s="1561"/>
      <c r="CT28" s="1561"/>
      <c r="CU28" s="1561"/>
      <c r="CV28" s="1561"/>
      <c r="CW28" s="1561"/>
      <c r="CX28" s="1561"/>
      <c r="CY28" s="1561"/>
      <c r="CZ28" s="1561"/>
      <c r="DA28" s="1561"/>
      <c r="DB28" s="1561"/>
      <c r="DC28" s="1561"/>
    </row>
    <row r="29" spans="1:107" s="1075" customFormat="1" ht="15" customHeight="1">
      <c r="A29" s="1561"/>
      <c r="B29" s="1561"/>
      <c r="C29" s="1561"/>
      <c r="D29" s="1561"/>
      <c r="E29" s="1561"/>
      <c r="F29" s="1561"/>
      <c r="G29" s="1561"/>
      <c r="H29" s="1561"/>
      <c r="I29" s="1561"/>
      <c r="J29" s="1561"/>
      <c r="K29" s="1561"/>
      <c r="L29" s="1561"/>
      <c r="M29" s="1561"/>
      <c r="N29" s="1561"/>
      <c r="O29" s="1561"/>
      <c r="P29" s="1561"/>
      <c r="Q29" s="1561"/>
      <c r="R29" s="1561"/>
      <c r="S29" s="1561"/>
      <c r="T29" s="1561"/>
      <c r="U29" s="1561"/>
      <c r="V29" s="1561"/>
      <c r="W29" s="1561"/>
      <c r="X29" s="1561"/>
      <c r="Y29" s="1561"/>
      <c r="Z29" s="1561"/>
      <c r="AA29" s="1561"/>
      <c r="AB29" s="1561"/>
      <c r="AC29" s="1561"/>
      <c r="AD29" s="1561"/>
      <c r="AE29" s="1561"/>
      <c r="AF29" s="1561"/>
      <c r="AG29" s="1561"/>
      <c r="AH29" s="1561"/>
      <c r="AI29" s="1561"/>
      <c r="AJ29" s="1561"/>
      <c r="AK29" s="1561"/>
      <c r="AL29" s="1561"/>
      <c r="AM29" s="1561"/>
      <c r="AN29" s="1561"/>
      <c r="AO29" s="1561"/>
      <c r="AP29" s="1561"/>
      <c r="AQ29" s="1561"/>
      <c r="AR29" s="1561"/>
      <c r="AS29" s="1561"/>
      <c r="AT29" s="1561"/>
      <c r="AU29" s="1561"/>
      <c r="AV29" s="1561"/>
      <c r="AW29" s="1561"/>
      <c r="AX29" s="1561"/>
      <c r="AY29" s="1561"/>
      <c r="AZ29" s="1561"/>
      <c r="BA29" s="1561"/>
      <c r="BB29" s="1561"/>
      <c r="BC29" s="1561"/>
      <c r="BD29" s="1561"/>
      <c r="BE29" s="1561"/>
      <c r="BF29" s="1561"/>
      <c r="BG29" s="1561"/>
      <c r="BH29" s="1561"/>
      <c r="BI29" s="1561"/>
      <c r="BJ29" s="1561"/>
      <c r="BK29" s="1561"/>
      <c r="BL29" s="1561"/>
      <c r="BM29" s="1561"/>
      <c r="BN29" s="1561"/>
      <c r="BO29" s="1561"/>
      <c r="BP29" s="1561"/>
      <c r="BQ29" s="1561"/>
      <c r="BR29" s="1561"/>
      <c r="BS29" s="1561"/>
      <c r="BT29" s="1561"/>
      <c r="BU29" s="1561"/>
      <c r="BV29" s="1561"/>
      <c r="BW29" s="1561"/>
      <c r="BX29" s="1561"/>
      <c r="BY29" s="1561"/>
      <c r="BZ29" s="1561"/>
      <c r="CA29" s="1561"/>
      <c r="CB29" s="1561"/>
      <c r="CC29" s="1561"/>
      <c r="CD29" s="1561"/>
      <c r="CE29" s="1561"/>
      <c r="CF29" s="1561"/>
      <c r="CG29" s="1561"/>
      <c r="CH29" s="1561"/>
      <c r="CI29" s="1561"/>
      <c r="CJ29" s="1561"/>
      <c r="CK29" s="1561"/>
      <c r="CL29" s="1561"/>
      <c r="CM29" s="1561"/>
      <c r="CN29" s="1561"/>
      <c r="CO29" s="1561"/>
      <c r="CP29" s="1561"/>
      <c r="CQ29" s="1561"/>
      <c r="CR29" s="1561"/>
      <c r="CS29" s="1561"/>
      <c r="CT29" s="1561"/>
      <c r="CU29" s="1561"/>
      <c r="CV29" s="1561"/>
      <c r="CW29" s="1561"/>
      <c r="CX29" s="1561"/>
      <c r="CY29" s="1561"/>
      <c r="CZ29" s="1561"/>
      <c r="DA29" s="1561"/>
      <c r="DB29" s="1561"/>
      <c r="DC29" s="1561"/>
    </row>
    <row r="30" spans="1:107" s="1075" customFormat="1" ht="15" customHeight="1">
      <c r="A30" s="1561"/>
      <c r="B30" s="1561"/>
      <c r="C30" s="1561"/>
      <c r="D30" s="1561"/>
      <c r="E30" s="1561"/>
      <c r="F30" s="1561"/>
      <c r="G30" s="1561"/>
      <c r="H30" s="1561"/>
      <c r="I30" s="1561"/>
      <c r="J30" s="1561"/>
      <c r="K30" s="1561"/>
      <c r="L30" s="1561"/>
      <c r="M30" s="1561"/>
      <c r="N30" s="1561"/>
      <c r="O30" s="1561"/>
      <c r="P30" s="1561"/>
      <c r="Q30" s="1561"/>
      <c r="R30" s="1561"/>
      <c r="S30" s="1561"/>
      <c r="T30" s="1561"/>
      <c r="U30" s="1561"/>
      <c r="V30" s="1561"/>
      <c r="W30" s="1561"/>
      <c r="X30" s="1561"/>
      <c r="Y30" s="1561"/>
      <c r="Z30" s="1561"/>
      <c r="AA30" s="1561"/>
      <c r="AB30" s="1561"/>
      <c r="AC30" s="1561"/>
      <c r="AD30" s="1561"/>
      <c r="AE30" s="1561"/>
      <c r="AF30" s="1561"/>
      <c r="AG30" s="1561"/>
      <c r="AH30" s="1561"/>
      <c r="AI30" s="1561"/>
      <c r="AJ30" s="1561"/>
      <c r="AK30" s="1561"/>
      <c r="AL30" s="1561"/>
      <c r="AM30" s="1561"/>
      <c r="AN30" s="1561"/>
      <c r="AO30" s="1561"/>
      <c r="AP30" s="1561"/>
      <c r="AQ30" s="1561"/>
      <c r="AR30" s="1561"/>
      <c r="AS30" s="1561"/>
      <c r="AT30" s="1561"/>
      <c r="AU30" s="1561"/>
      <c r="AV30" s="1561"/>
      <c r="AW30" s="1561"/>
      <c r="AX30" s="1561"/>
      <c r="AY30" s="1561"/>
      <c r="AZ30" s="1561"/>
      <c r="BA30" s="1561"/>
      <c r="BB30" s="1561"/>
      <c r="BC30" s="1561"/>
      <c r="BD30" s="1561"/>
      <c r="BE30" s="1561"/>
      <c r="BF30" s="1561"/>
      <c r="BG30" s="1561"/>
      <c r="BH30" s="1561"/>
      <c r="BI30" s="1561"/>
      <c r="BJ30" s="1561"/>
      <c r="BK30" s="1561"/>
      <c r="BL30" s="1561"/>
      <c r="BM30" s="1561"/>
      <c r="BN30" s="1561"/>
      <c r="BO30" s="1561"/>
      <c r="BP30" s="1561"/>
      <c r="BQ30" s="1561"/>
      <c r="BR30" s="1561"/>
      <c r="BS30" s="1561"/>
      <c r="BT30" s="1561"/>
      <c r="BU30" s="1561"/>
      <c r="BV30" s="1561"/>
      <c r="BW30" s="1561"/>
      <c r="BX30" s="1561"/>
      <c r="BY30" s="1561"/>
      <c r="BZ30" s="1561"/>
      <c r="CA30" s="1561"/>
      <c r="CB30" s="1561"/>
      <c r="CC30" s="1561"/>
      <c r="CD30" s="1561"/>
      <c r="CE30" s="1561"/>
      <c r="CF30" s="1561"/>
      <c r="CG30" s="1561"/>
      <c r="CH30" s="1561"/>
      <c r="CI30" s="1561"/>
      <c r="CJ30" s="1561"/>
      <c r="CK30" s="1561"/>
      <c r="CL30" s="1561"/>
      <c r="CM30" s="1561"/>
      <c r="CN30" s="1561"/>
      <c r="CO30" s="1561"/>
      <c r="CP30" s="1561"/>
      <c r="CQ30" s="1561"/>
      <c r="CR30" s="1561"/>
      <c r="CS30" s="1561"/>
      <c r="CT30" s="1561"/>
      <c r="CU30" s="1561"/>
      <c r="CV30" s="1561"/>
      <c r="CW30" s="1561"/>
      <c r="CX30" s="1561"/>
      <c r="CY30" s="1561"/>
      <c r="CZ30" s="1561"/>
      <c r="DA30" s="1561"/>
      <c r="DB30" s="1561"/>
      <c r="DC30" s="1561"/>
    </row>
    <row r="31" spans="1:107" s="1075" customFormat="1" ht="15" customHeight="1">
      <c r="A31" s="1561"/>
      <c r="B31" s="1561"/>
      <c r="C31" s="1561"/>
      <c r="D31" s="1561"/>
      <c r="E31" s="1561"/>
      <c r="F31" s="1561"/>
      <c r="G31" s="1561"/>
      <c r="H31" s="1561"/>
      <c r="I31" s="1561"/>
      <c r="J31" s="1561"/>
      <c r="K31" s="1561"/>
      <c r="L31" s="1561"/>
      <c r="M31" s="1561"/>
      <c r="N31" s="1561"/>
      <c r="O31" s="1561"/>
      <c r="P31" s="1561"/>
      <c r="Q31" s="1561"/>
      <c r="R31" s="1561"/>
      <c r="S31" s="1561"/>
      <c r="T31" s="1561"/>
      <c r="U31" s="1561"/>
      <c r="V31" s="1561"/>
      <c r="W31" s="1561"/>
      <c r="X31" s="1561"/>
      <c r="Y31" s="1561"/>
      <c r="Z31" s="1561"/>
      <c r="AA31" s="1561"/>
      <c r="AB31" s="1561"/>
      <c r="AC31" s="1561"/>
      <c r="AD31" s="1561"/>
      <c r="AE31" s="1561"/>
      <c r="AF31" s="1561"/>
      <c r="AG31" s="1561"/>
      <c r="AH31" s="1561"/>
      <c r="AI31" s="1561"/>
      <c r="AJ31" s="1561"/>
      <c r="AK31" s="1561"/>
      <c r="AL31" s="1561"/>
      <c r="AM31" s="1561"/>
      <c r="AN31" s="1561"/>
      <c r="AO31" s="1561"/>
      <c r="AP31" s="1561"/>
      <c r="AQ31" s="1561"/>
      <c r="AR31" s="1561"/>
      <c r="AS31" s="1561"/>
      <c r="AT31" s="1561"/>
      <c r="AU31" s="1561"/>
      <c r="AV31" s="1561"/>
      <c r="AW31" s="1561"/>
      <c r="AX31" s="1561"/>
      <c r="AY31" s="1561"/>
      <c r="AZ31" s="1561"/>
      <c r="BA31" s="1561"/>
      <c r="BB31" s="1561"/>
      <c r="BC31" s="1561"/>
      <c r="BD31" s="1561"/>
      <c r="BE31" s="1561"/>
      <c r="BF31" s="1561"/>
      <c r="BG31" s="1561"/>
      <c r="BH31" s="1561"/>
      <c r="BI31" s="1561"/>
      <c r="BJ31" s="1561"/>
      <c r="BK31" s="1561"/>
      <c r="BL31" s="1561"/>
      <c r="BM31" s="1561"/>
      <c r="BN31" s="1561"/>
      <c r="BO31" s="1561"/>
      <c r="BP31" s="1561"/>
      <c r="BQ31" s="1561"/>
      <c r="BR31" s="1561"/>
      <c r="BS31" s="1561"/>
      <c r="BT31" s="1561"/>
      <c r="BU31" s="1561"/>
      <c r="BV31" s="1561"/>
      <c r="BW31" s="1561"/>
      <c r="BX31" s="1561"/>
      <c r="BY31" s="1561"/>
      <c r="BZ31" s="1561"/>
      <c r="CA31" s="1561"/>
      <c r="CB31" s="1561"/>
      <c r="CC31" s="1561"/>
      <c r="CD31" s="1561"/>
      <c r="CE31" s="1561"/>
      <c r="CF31" s="1561"/>
      <c r="CG31" s="1561"/>
      <c r="CH31" s="1561"/>
      <c r="CI31" s="1561"/>
      <c r="CJ31" s="1561"/>
      <c r="CK31" s="1561"/>
      <c r="CL31" s="1561"/>
      <c r="CM31" s="1561"/>
      <c r="CN31" s="1561"/>
      <c r="CO31" s="1561"/>
      <c r="CP31" s="1561"/>
      <c r="CQ31" s="1561"/>
      <c r="CR31" s="1561"/>
      <c r="CS31" s="1561"/>
      <c r="CT31" s="1561"/>
      <c r="CU31" s="1561"/>
      <c r="CV31" s="1561"/>
      <c r="CW31" s="1561"/>
      <c r="CX31" s="1561"/>
      <c r="CY31" s="1561"/>
      <c r="CZ31" s="1561"/>
      <c r="DA31" s="1561"/>
      <c r="DB31" s="1561"/>
      <c r="DC31" s="1561"/>
    </row>
    <row r="32" spans="1:107" s="1075" customFormat="1" ht="15" customHeight="1">
      <c r="A32" s="1561"/>
      <c r="B32" s="1561"/>
      <c r="C32" s="1561"/>
      <c r="D32" s="1561"/>
      <c r="E32" s="1561"/>
      <c r="F32" s="1561"/>
      <c r="G32" s="1561"/>
      <c r="H32" s="1561"/>
      <c r="I32" s="1561"/>
      <c r="J32" s="1561"/>
      <c r="K32" s="1561"/>
      <c r="L32" s="1561"/>
      <c r="M32" s="1561"/>
      <c r="N32" s="1561"/>
      <c r="O32" s="1561"/>
      <c r="P32" s="1561"/>
      <c r="Q32" s="1561"/>
      <c r="R32" s="1561"/>
      <c r="S32" s="1561"/>
      <c r="T32" s="1561"/>
      <c r="U32" s="1561"/>
      <c r="V32" s="1561"/>
      <c r="W32" s="1561"/>
      <c r="X32" s="1561"/>
      <c r="Y32" s="1561"/>
      <c r="Z32" s="1561"/>
      <c r="AA32" s="1561"/>
      <c r="AB32" s="1561"/>
      <c r="AC32" s="1561"/>
      <c r="AD32" s="1561"/>
      <c r="AE32" s="1561"/>
      <c r="AF32" s="1561"/>
      <c r="AG32" s="1561"/>
      <c r="AH32" s="1561"/>
      <c r="AI32" s="1561"/>
      <c r="AJ32" s="1561"/>
      <c r="AK32" s="1561"/>
      <c r="AL32" s="1561"/>
      <c r="AM32" s="1561"/>
      <c r="AN32" s="1561"/>
      <c r="AO32" s="1561"/>
      <c r="AP32" s="1561"/>
      <c r="AQ32" s="1561"/>
      <c r="AR32" s="1561"/>
      <c r="AS32" s="1561"/>
      <c r="AT32" s="1561"/>
      <c r="AU32" s="1561"/>
      <c r="AV32" s="1561"/>
      <c r="AW32" s="1561"/>
      <c r="AX32" s="1561"/>
      <c r="AY32" s="1561"/>
      <c r="AZ32" s="1561"/>
      <c r="BA32" s="1561"/>
      <c r="BB32" s="1561"/>
      <c r="BC32" s="1561"/>
      <c r="BD32" s="1561"/>
      <c r="BE32" s="1561"/>
      <c r="BF32" s="1561"/>
      <c r="BG32" s="1561"/>
      <c r="BH32" s="1561"/>
      <c r="BI32" s="1561"/>
      <c r="BJ32" s="1561"/>
      <c r="BK32" s="1561"/>
      <c r="BL32" s="1561"/>
      <c r="BM32" s="1561"/>
      <c r="BN32" s="1561"/>
      <c r="BO32" s="1561"/>
      <c r="BP32" s="1561"/>
      <c r="BQ32" s="1561"/>
      <c r="BR32" s="1561"/>
      <c r="BS32" s="1561"/>
      <c r="BT32" s="1561"/>
      <c r="BU32" s="1561"/>
      <c r="BV32" s="1561"/>
      <c r="BW32" s="1561"/>
      <c r="BX32" s="1561"/>
      <c r="BY32" s="1561"/>
      <c r="BZ32" s="1561"/>
      <c r="CA32" s="1561"/>
      <c r="CB32" s="1561"/>
      <c r="CC32" s="1561"/>
      <c r="CD32" s="1561"/>
      <c r="CE32" s="1561"/>
      <c r="CF32" s="1561"/>
      <c r="CG32" s="1561"/>
      <c r="CH32" s="1561"/>
      <c r="CI32" s="1561"/>
      <c r="CJ32" s="1561"/>
      <c r="CK32" s="1561"/>
      <c r="CL32" s="1561"/>
      <c r="CM32" s="1561"/>
      <c r="CN32" s="1561"/>
      <c r="CO32" s="1561"/>
      <c r="CP32" s="1561"/>
      <c r="CQ32" s="1561"/>
      <c r="CR32" s="1561"/>
      <c r="CS32" s="1561"/>
      <c r="CT32" s="1561"/>
      <c r="CU32" s="1561"/>
      <c r="CV32" s="1561"/>
      <c r="CW32" s="1561"/>
      <c r="CX32" s="1561"/>
      <c r="CY32" s="1561"/>
      <c r="CZ32" s="1561"/>
      <c r="DA32" s="1561"/>
      <c r="DB32" s="1561"/>
      <c r="DC32" s="1561"/>
    </row>
    <row r="33" spans="1:107" s="1075" customFormat="1" ht="15" customHeight="1">
      <c r="A33" s="1561"/>
      <c r="B33" s="1561"/>
      <c r="C33" s="1561"/>
      <c r="D33" s="1561"/>
      <c r="E33" s="1561"/>
      <c r="F33" s="1561"/>
      <c r="G33" s="1561"/>
      <c r="H33" s="1561"/>
      <c r="I33" s="1561"/>
      <c r="J33" s="1561"/>
      <c r="K33" s="1561"/>
      <c r="L33" s="1561"/>
      <c r="M33" s="1561"/>
      <c r="N33" s="1561"/>
      <c r="O33" s="1561"/>
      <c r="P33" s="1561"/>
      <c r="Q33" s="1561"/>
      <c r="R33" s="1561"/>
      <c r="S33" s="1561"/>
      <c r="T33" s="1561"/>
      <c r="U33" s="1561"/>
      <c r="V33" s="1561"/>
      <c r="W33" s="1561"/>
      <c r="X33" s="1561"/>
      <c r="Y33" s="1561"/>
      <c r="Z33" s="1561"/>
      <c r="AA33" s="1561"/>
      <c r="AB33" s="1561"/>
      <c r="AC33" s="1561"/>
      <c r="AD33" s="1561"/>
      <c r="AE33" s="1561"/>
      <c r="AF33" s="1561"/>
      <c r="AG33" s="1561"/>
      <c r="AH33" s="1561"/>
      <c r="AI33" s="1561"/>
      <c r="AJ33" s="1561"/>
      <c r="AK33" s="1561"/>
      <c r="AL33" s="1561"/>
      <c r="AM33" s="1561"/>
      <c r="AN33" s="1561"/>
      <c r="AO33" s="1561"/>
      <c r="AP33" s="1561"/>
      <c r="AQ33" s="1561"/>
      <c r="AR33" s="1561"/>
      <c r="AS33" s="1561"/>
      <c r="AT33" s="1561"/>
      <c r="AU33" s="1561"/>
      <c r="AV33" s="1561"/>
      <c r="AW33" s="1561"/>
      <c r="AX33" s="1561"/>
      <c r="AY33" s="1561"/>
      <c r="AZ33" s="1561"/>
      <c r="BA33" s="1561"/>
      <c r="BB33" s="1561"/>
      <c r="BC33" s="1561"/>
      <c r="BD33" s="1561"/>
      <c r="BE33" s="1561"/>
      <c r="BF33" s="1561"/>
      <c r="BG33" s="1561"/>
      <c r="BH33" s="1561"/>
      <c r="BI33" s="1561"/>
      <c r="BJ33" s="1561"/>
      <c r="BK33" s="1561"/>
      <c r="BL33" s="1561"/>
      <c r="BM33" s="1561"/>
      <c r="BN33" s="1561"/>
      <c r="BO33" s="1561"/>
      <c r="BP33" s="1561"/>
      <c r="BQ33" s="1561"/>
      <c r="BR33" s="1561"/>
      <c r="BS33" s="1561"/>
      <c r="BT33" s="1561"/>
      <c r="BU33" s="1561"/>
      <c r="BV33" s="1561"/>
      <c r="BW33" s="1561"/>
      <c r="BX33" s="1561"/>
      <c r="BY33" s="1561"/>
      <c r="BZ33" s="1561"/>
      <c r="CA33" s="1561"/>
      <c r="CB33" s="1561"/>
      <c r="CC33" s="1561"/>
      <c r="CD33" s="1561"/>
      <c r="CE33" s="1561"/>
      <c r="CF33" s="1561"/>
      <c r="CG33" s="1561"/>
      <c r="CH33" s="1561"/>
      <c r="CI33" s="1561"/>
      <c r="CJ33" s="1561"/>
      <c r="CK33" s="1561"/>
      <c r="CL33" s="1561"/>
      <c r="CM33" s="1561"/>
      <c r="CN33" s="1561"/>
      <c r="CO33" s="1561"/>
      <c r="CP33" s="1561"/>
      <c r="CQ33" s="1561"/>
      <c r="CR33" s="1561"/>
      <c r="CS33" s="1561"/>
      <c r="CT33" s="1561"/>
      <c r="CU33" s="1561"/>
      <c r="CV33" s="1561"/>
      <c r="CW33" s="1561"/>
      <c r="CX33" s="1561"/>
      <c r="CY33" s="1561"/>
      <c r="CZ33" s="1561"/>
      <c r="DA33" s="1561"/>
      <c r="DB33" s="1561"/>
      <c r="DC33" s="1561"/>
    </row>
    <row r="34" spans="1:107" s="1075" customFormat="1" ht="15" customHeight="1">
      <c r="A34" s="1561"/>
      <c r="B34" s="1561"/>
      <c r="C34" s="1561"/>
      <c r="D34" s="1561"/>
      <c r="E34" s="1561"/>
      <c r="F34" s="1561"/>
      <c r="G34" s="1561"/>
      <c r="H34" s="1561"/>
      <c r="I34" s="1561"/>
      <c r="J34" s="1561"/>
      <c r="K34" s="1561"/>
      <c r="L34" s="1561"/>
      <c r="M34" s="1561"/>
      <c r="N34" s="1561"/>
      <c r="O34" s="1561"/>
      <c r="P34" s="1561"/>
      <c r="Q34" s="1561"/>
      <c r="R34" s="1561"/>
      <c r="S34" s="1561"/>
      <c r="T34" s="1561"/>
      <c r="U34" s="1561"/>
      <c r="V34" s="1561"/>
      <c r="W34" s="1561"/>
      <c r="X34" s="1561"/>
      <c r="Y34" s="1561"/>
      <c r="Z34" s="1561"/>
      <c r="AA34" s="1561"/>
      <c r="AB34" s="1561"/>
      <c r="AC34" s="1561"/>
      <c r="AD34" s="1561"/>
      <c r="AE34" s="1561"/>
      <c r="AF34" s="1561"/>
      <c r="AG34" s="1561"/>
      <c r="AH34" s="1561"/>
      <c r="AI34" s="1561"/>
      <c r="AJ34" s="1561"/>
      <c r="AK34" s="1561"/>
      <c r="AL34" s="1561"/>
      <c r="AM34" s="1561"/>
      <c r="AN34" s="1561"/>
      <c r="AO34" s="1561"/>
      <c r="AP34" s="1561"/>
      <c r="AQ34" s="1561"/>
      <c r="AR34" s="1561"/>
      <c r="AS34" s="1561"/>
      <c r="AT34" s="1561"/>
      <c r="AU34" s="1561"/>
      <c r="AV34" s="1561"/>
      <c r="AW34" s="1561"/>
      <c r="AX34" s="1561"/>
      <c r="AY34" s="1561"/>
      <c r="AZ34" s="1561"/>
      <c r="BA34" s="1561"/>
      <c r="BB34" s="1561"/>
      <c r="BC34" s="1561"/>
      <c r="BD34" s="1561"/>
      <c r="BE34" s="1561"/>
      <c r="BF34" s="1561"/>
      <c r="BG34" s="1561"/>
      <c r="BH34" s="1561"/>
      <c r="BI34" s="1561"/>
      <c r="BJ34" s="1561"/>
      <c r="BK34" s="1561"/>
      <c r="BL34" s="1561"/>
      <c r="BM34" s="1561"/>
      <c r="BN34" s="1561"/>
      <c r="BO34" s="1561"/>
      <c r="BP34" s="1561"/>
      <c r="BQ34" s="1561"/>
      <c r="BR34" s="1561"/>
      <c r="BS34" s="1561"/>
      <c r="BT34" s="1561"/>
      <c r="BU34" s="1561"/>
      <c r="BV34" s="1561"/>
      <c r="BW34" s="1561"/>
      <c r="BX34" s="1561"/>
      <c r="BY34" s="1561"/>
      <c r="BZ34" s="1561"/>
      <c r="CA34" s="1561"/>
      <c r="CB34" s="1561"/>
      <c r="CC34" s="1561"/>
      <c r="CD34" s="1561"/>
      <c r="CE34" s="1561"/>
      <c r="CF34" s="1561"/>
      <c r="CG34" s="1561"/>
      <c r="CH34" s="1561"/>
      <c r="CI34" s="1561"/>
      <c r="CJ34" s="1561"/>
      <c r="CK34" s="1561"/>
      <c r="CL34" s="1561"/>
      <c r="CM34" s="1561"/>
      <c r="CN34" s="1561"/>
      <c r="CO34" s="1561"/>
      <c r="CP34" s="1561"/>
      <c r="CQ34" s="1561"/>
      <c r="CR34" s="1561"/>
      <c r="CS34" s="1561"/>
      <c r="CT34" s="1561"/>
      <c r="CU34" s="1561"/>
      <c r="CV34" s="1561"/>
      <c r="CW34" s="1561"/>
      <c r="CX34" s="1561"/>
      <c r="CY34" s="1561"/>
      <c r="CZ34" s="1561"/>
      <c r="DA34" s="1561"/>
      <c r="DB34" s="1561"/>
      <c r="DC34" s="1561"/>
    </row>
    <row r="35" spans="1:107" s="1075" customFormat="1" ht="15" customHeight="1">
      <c r="A35" s="1561"/>
      <c r="B35" s="1561"/>
      <c r="C35" s="1561"/>
      <c r="D35" s="1561"/>
      <c r="E35" s="1561"/>
      <c r="F35" s="1561"/>
      <c r="G35" s="1561"/>
      <c r="H35" s="1561"/>
      <c r="I35" s="1561"/>
      <c r="J35" s="1561"/>
      <c r="K35" s="1561"/>
      <c r="L35" s="1561"/>
      <c r="M35" s="1561"/>
      <c r="N35" s="1561"/>
      <c r="O35" s="1561"/>
      <c r="P35" s="1561"/>
      <c r="Q35" s="1561"/>
      <c r="R35" s="1561"/>
      <c r="S35" s="1561"/>
      <c r="T35" s="1561"/>
      <c r="U35" s="1561"/>
      <c r="V35" s="1561"/>
      <c r="W35" s="1561"/>
      <c r="X35" s="1561"/>
      <c r="Y35" s="1561"/>
      <c r="Z35" s="1561"/>
      <c r="AA35" s="1561"/>
      <c r="AB35" s="1561"/>
      <c r="AC35" s="1561"/>
      <c r="AD35" s="1561"/>
      <c r="AE35" s="1561"/>
      <c r="AF35" s="1561"/>
      <c r="AG35" s="1561"/>
      <c r="AH35" s="1561"/>
      <c r="AI35" s="1561"/>
      <c r="AJ35" s="1561"/>
      <c r="AK35" s="1561"/>
      <c r="AL35" s="1561"/>
      <c r="AM35" s="1561"/>
      <c r="AN35" s="1561"/>
      <c r="AO35" s="1561"/>
      <c r="AP35" s="1561"/>
      <c r="AQ35" s="1561"/>
      <c r="AR35" s="1561"/>
      <c r="AS35" s="1561"/>
      <c r="AT35" s="1561"/>
      <c r="AU35" s="1561"/>
      <c r="AV35" s="1561"/>
      <c r="AW35" s="1561"/>
      <c r="AX35" s="1561"/>
      <c r="AY35" s="1561"/>
      <c r="AZ35" s="1561"/>
      <c r="BA35" s="1561"/>
      <c r="BB35" s="1561"/>
      <c r="BC35" s="1561"/>
      <c r="BD35" s="1561"/>
      <c r="BE35" s="1561"/>
      <c r="BF35" s="1561"/>
      <c r="BG35" s="1561"/>
      <c r="BH35" s="1561"/>
      <c r="BI35" s="1561"/>
      <c r="BJ35" s="1561"/>
      <c r="BK35" s="1561"/>
      <c r="BL35" s="1561"/>
      <c r="BM35" s="1561"/>
      <c r="BN35" s="1561"/>
      <c r="BO35" s="1561"/>
      <c r="BP35" s="1561"/>
      <c r="BQ35" s="1561"/>
      <c r="BR35" s="1561"/>
      <c r="BS35" s="1561"/>
      <c r="BT35" s="1561"/>
      <c r="BU35" s="1561"/>
      <c r="BV35" s="1561"/>
      <c r="BW35" s="1561"/>
      <c r="BX35" s="1561"/>
      <c r="BY35" s="1561"/>
      <c r="BZ35" s="1561"/>
      <c r="CA35" s="1561"/>
      <c r="CB35" s="1561"/>
      <c r="CC35" s="1561"/>
      <c r="CD35" s="1561"/>
      <c r="CE35" s="1561"/>
      <c r="CF35" s="1561"/>
      <c r="CG35" s="1561"/>
      <c r="CH35" s="1561"/>
      <c r="CI35" s="1561"/>
      <c r="CJ35" s="1561"/>
      <c r="CK35" s="1561"/>
      <c r="CL35" s="1561"/>
      <c r="CM35" s="1561"/>
      <c r="CN35" s="1561"/>
      <c r="CO35" s="1561"/>
      <c r="CP35" s="1561"/>
      <c r="CQ35" s="1561"/>
      <c r="CR35" s="1561"/>
      <c r="CS35" s="1561"/>
      <c r="CT35" s="1561"/>
      <c r="CU35" s="1561"/>
      <c r="CV35" s="1561"/>
      <c r="CW35" s="1561"/>
      <c r="CX35" s="1561"/>
      <c r="CY35" s="1561"/>
      <c r="CZ35" s="1561"/>
      <c r="DA35" s="1561"/>
      <c r="DB35" s="1561"/>
      <c r="DC35" s="1561"/>
    </row>
    <row r="36" spans="1:107" s="439" customFormat="1">
      <c r="A36" s="439" t="s">
        <v>124</v>
      </c>
      <c r="W36" s="1572" t="s">
        <v>125</v>
      </c>
      <c r="X36" s="1572"/>
      <c r="Y36" s="1572"/>
      <c r="Z36" s="1572"/>
      <c r="AA36" s="1572"/>
      <c r="AB36" s="1572"/>
      <c r="AC36" s="1572"/>
      <c r="AD36" s="1572"/>
      <c r="AE36" s="1572"/>
      <c r="AF36" s="1572"/>
      <c r="AG36" s="1572"/>
      <c r="AH36" s="1572"/>
      <c r="AI36" s="1572"/>
      <c r="AJ36" s="1572"/>
      <c r="AK36" s="1572"/>
      <c r="AL36" s="1572"/>
      <c r="AM36" s="1572"/>
      <c r="AN36" s="1572"/>
      <c r="AO36" s="1572"/>
      <c r="AP36" s="1572"/>
      <c r="AQ36" s="1572"/>
      <c r="AR36" s="1572"/>
      <c r="AS36" s="1572"/>
      <c r="AT36" s="1572"/>
      <c r="AU36" s="1572"/>
      <c r="AV36" s="1572"/>
      <c r="AW36" s="1572"/>
      <c r="AX36" s="1572"/>
      <c r="AY36" s="1572"/>
      <c r="AZ36" s="1572"/>
      <c r="BA36" s="1572"/>
      <c r="BE36" s="1572"/>
      <c r="BF36" s="1572"/>
      <c r="BG36" s="1572"/>
      <c r="BH36" s="1572"/>
      <c r="BI36" s="1572"/>
      <c r="BJ36" s="1572"/>
      <c r="BK36" s="1572"/>
      <c r="BL36" s="1572"/>
      <c r="BM36" s="1572"/>
      <c r="BN36" s="1572"/>
      <c r="BO36" s="1572"/>
      <c r="BP36" s="1572"/>
      <c r="BQ36" s="1572"/>
      <c r="BR36" s="1572"/>
      <c r="BS36" s="1572"/>
      <c r="BT36" s="1572"/>
      <c r="BW36" s="1572" t="s">
        <v>126</v>
      </c>
      <c r="BX36" s="1572"/>
      <c r="BY36" s="1572"/>
      <c r="BZ36" s="1572"/>
      <c r="CA36" s="1572"/>
      <c r="CB36" s="1572"/>
      <c r="CC36" s="1572"/>
      <c r="CD36" s="1572"/>
      <c r="CE36" s="1572"/>
      <c r="CF36" s="1572"/>
      <c r="CG36" s="1572"/>
      <c r="CH36" s="1572"/>
      <c r="CI36" s="1572"/>
      <c r="CJ36" s="1572"/>
      <c r="CK36" s="1572"/>
      <c r="CL36" s="1572"/>
      <c r="CM36" s="1572"/>
      <c r="CN36" s="1572"/>
      <c r="CO36" s="1572"/>
      <c r="CP36" s="1572"/>
      <c r="CQ36" s="1572"/>
      <c r="CR36" s="1572"/>
      <c r="CS36" s="1572"/>
      <c r="CT36" s="1572"/>
      <c r="CU36" s="1572"/>
      <c r="CV36" s="1572"/>
      <c r="CW36" s="1572"/>
      <c r="CY36" s="862"/>
      <c r="CZ36" s="1077"/>
      <c r="DA36" s="572"/>
      <c r="DB36" s="572"/>
      <c r="DC36" s="572"/>
    </row>
    <row r="37" spans="1:107" s="1061" customFormat="1" ht="8.25">
      <c r="W37" s="1564" t="s">
        <v>183</v>
      </c>
      <c r="X37" s="1564"/>
      <c r="Y37" s="1564"/>
      <c r="Z37" s="1564"/>
      <c r="AA37" s="1564"/>
      <c r="AB37" s="1564"/>
      <c r="AC37" s="1564"/>
      <c r="AD37" s="1564"/>
      <c r="AE37" s="1564"/>
      <c r="AF37" s="1564"/>
      <c r="AG37" s="1564"/>
      <c r="AH37" s="1564"/>
      <c r="AI37" s="1564"/>
      <c r="AJ37" s="1564"/>
      <c r="AK37" s="1564"/>
      <c r="AL37" s="1564"/>
      <c r="AM37" s="1564"/>
      <c r="AN37" s="1564"/>
      <c r="AO37" s="1564"/>
      <c r="AP37" s="1564"/>
      <c r="AQ37" s="1564"/>
      <c r="AR37" s="1564"/>
      <c r="AS37" s="1564"/>
      <c r="AT37" s="1564"/>
      <c r="AU37" s="1564"/>
      <c r="AV37" s="1564"/>
      <c r="AW37" s="1564"/>
      <c r="AX37" s="1564"/>
      <c r="AY37" s="1564"/>
      <c r="AZ37" s="1564"/>
      <c r="BA37" s="1564"/>
      <c r="BE37" s="1565" t="s">
        <v>80</v>
      </c>
      <c r="BF37" s="1565"/>
      <c r="BG37" s="1565"/>
      <c r="BH37" s="1565"/>
      <c r="BI37" s="1565"/>
      <c r="BJ37" s="1565"/>
      <c r="BK37" s="1565"/>
      <c r="BL37" s="1565"/>
      <c r="BM37" s="1565"/>
      <c r="BN37" s="1565"/>
      <c r="BO37" s="1565"/>
      <c r="BP37" s="1565"/>
      <c r="BQ37" s="1565"/>
      <c r="BR37" s="1565"/>
      <c r="BS37" s="1565"/>
      <c r="BT37" s="1565"/>
      <c r="BW37" s="1564" t="s">
        <v>182</v>
      </c>
      <c r="BX37" s="1564"/>
      <c r="BY37" s="1564"/>
      <c r="BZ37" s="1564"/>
      <c r="CA37" s="1564"/>
      <c r="CB37" s="1564"/>
      <c r="CC37" s="1564"/>
      <c r="CD37" s="1564"/>
      <c r="CE37" s="1564"/>
      <c r="CF37" s="1564"/>
      <c r="CG37" s="1564"/>
      <c r="CH37" s="1564"/>
      <c r="CI37" s="1564"/>
      <c r="CJ37" s="1564"/>
      <c r="CK37" s="1564"/>
      <c r="CL37" s="1564"/>
      <c r="CM37" s="1564"/>
      <c r="CN37" s="1564"/>
      <c r="CO37" s="1564"/>
      <c r="CP37" s="1564"/>
      <c r="CQ37" s="1564"/>
      <c r="CR37" s="1564"/>
      <c r="CS37" s="1564"/>
      <c r="CT37" s="1564"/>
      <c r="CU37" s="1564"/>
      <c r="CV37" s="1564"/>
      <c r="CW37" s="1564"/>
    </row>
    <row r="38" spans="1:107" s="1061" customFormat="1">
      <c r="A38" s="439" t="s">
        <v>127</v>
      </c>
      <c r="W38" s="1076"/>
      <c r="X38" s="1076"/>
      <c r="Y38" s="1076"/>
      <c r="Z38" s="1076"/>
      <c r="AA38" s="1076"/>
      <c r="AB38" s="1076"/>
      <c r="AC38" s="1076"/>
      <c r="AD38" s="1076"/>
      <c r="AE38" s="1076"/>
      <c r="AF38" s="1076"/>
      <c r="AG38" s="1076"/>
      <c r="AH38" s="1076"/>
      <c r="AI38" s="1076"/>
      <c r="AJ38" s="1076"/>
      <c r="AK38" s="1076"/>
      <c r="AL38" s="1076"/>
      <c r="AM38" s="1076"/>
      <c r="AN38" s="1076"/>
      <c r="AO38" s="1076"/>
      <c r="AP38" s="1076"/>
      <c r="BE38" s="1076"/>
      <c r="BF38" s="1076"/>
      <c r="BG38" s="1076"/>
      <c r="BH38" s="1076"/>
      <c r="BI38" s="1076"/>
      <c r="BJ38" s="1076"/>
      <c r="BK38" s="1076"/>
      <c r="BL38" s="1076"/>
      <c r="BM38" s="1076"/>
      <c r="BN38" s="1076"/>
      <c r="BO38" s="1076"/>
      <c r="BP38" s="1076"/>
      <c r="BQ38" s="1076"/>
      <c r="BR38" s="1076"/>
      <c r="BS38" s="1076"/>
      <c r="BW38" s="1076"/>
      <c r="BX38" s="1076"/>
      <c r="BY38" s="1076"/>
      <c r="BZ38" s="1076"/>
      <c r="CA38" s="1076"/>
      <c r="CB38" s="1076"/>
      <c r="CC38" s="1076"/>
      <c r="CD38" s="1076"/>
      <c r="CE38" s="1076"/>
      <c r="CF38" s="1076"/>
      <c r="CG38" s="1076"/>
      <c r="CH38" s="1076"/>
      <c r="CI38" s="1076"/>
      <c r="CJ38" s="1076"/>
      <c r="CK38" s="1076"/>
      <c r="CL38" s="1076"/>
      <c r="CM38" s="1076"/>
      <c r="CN38" s="1076"/>
      <c r="CO38" s="1076"/>
      <c r="CP38" s="1076"/>
      <c r="CQ38" s="1076"/>
      <c r="CR38" s="1076"/>
      <c r="CS38" s="1076"/>
    </row>
    <row r="39" spans="1:107" s="439" customFormat="1">
      <c r="W39" s="1572" t="s">
        <v>3</v>
      </c>
      <c r="X39" s="1572"/>
      <c r="Y39" s="1572"/>
      <c r="Z39" s="1572"/>
      <c r="AA39" s="1572"/>
      <c r="AB39" s="1572"/>
      <c r="AC39" s="1572"/>
      <c r="AD39" s="1572"/>
      <c r="AE39" s="1572"/>
      <c r="AF39" s="1572"/>
      <c r="AG39" s="1572"/>
      <c r="AH39" s="1572"/>
      <c r="AI39" s="1572"/>
      <c r="AJ39" s="1572"/>
      <c r="AK39" s="1572"/>
      <c r="AL39" s="1572"/>
      <c r="AM39" s="1572"/>
      <c r="AN39" s="1572"/>
      <c r="AO39" s="1572"/>
      <c r="AP39" s="1572"/>
      <c r="AQ39" s="1572"/>
      <c r="AR39" s="1572"/>
      <c r="AS39" s="1572"/>
      <c r="AT39" s="1572"/>
      <c r="AU39" s="1572"/>
      <c r="AV39" s="1572"/>
      <c r="AW39" s="1572"/>
      <c r="AX39" s="1572"/>
      <c r="AY39" s="1572"/>
      <c r="AZ39" s="1572"/>
      <c r="BA39" s="1572"/>
      <c r="BE39" s="1572"/>
      <c r="BF39" s="1572"/>
      <c r="BG39" s="1572"/>
      <c r="BH39" s="1572"/>
      <c r="BI39" s="1572"/>
      <c r="BJ39" s="1572"/>
      <c r="BK39" s="1572"/>
      <c r="BL39" s="1572"/>
      <c r="BM39" s="1572"/>
      <c r="BN39" s="1572"/>
      <c r="BO39" s="1572"/>
      <c r="BP39" s="1572"/>
      <c r="BQ39" s="1572"/>
      <c r="BR39" s="1572"/>
      <c r="BS39" s="1572"/>
      <c r="BT39" s="1572"/>
      <c r="BW39" s="1572" t="s">
        <v>1</v>
      </c>
      <c r="BX39" s="1572"/>
      <c r="BY39" s="1572"/>
      <c r="BZ39" s="1572"/>
      <c r="CA39" s="1572"/>
      <c r="CB39" s="1572"/>
      <c r="CC39" s="1572"/>
      <c r="CD39" s="1572"/>
      <c r="CE39" s="1572"/>
      <c r="CF39" s="1572"/>
      <c r="CG39" s="1572"/>
      <c r="CH39" s="1572"/>
      <c r="CI39" s="1572"/>
      <c r="CJ39" s="1572"/>
      <c r="CK39" s="1572"/>
      <c r="CL39" s="1572"/>
      <c r="CM39" s="1572"/>
      <c r="CN39" s="1572"/>
      <c r="CO39" s="1572"/>
      <c r="CP39" s="1572"/>
      <c r="CQ39" s="1572"/>
      <c r="CR39" s="1572"/>
      <c r="CS39" s="1572"/>
      <c r="CT39" s="1572"/>
      <c r="CU39" s="1572"/>
      <c r="CV39" s="1572"/>
      <c r="CW39" s="1572"/>
      <c r="CX39" s="1076"/>
      <c r="CY39" s="1076"/>
      <c r="CZ39" s="1076"/>
      <c r="DA39" s="1076"/>
      <c r="DB39" s="1076"/>
      <c r="DC39" s="1076"/>
    </row>
    <row r="40" spans="1:107" s="439" customFormat="1" ht="8.4499999999999993" customHeight="1">
      <c r="W40" s="1564" t="s">
        <v>183</v>
      </c>
      <c r="X40" s="1564"/>
      <c r="Y40" s="1564"/>
      <c r="Z40" s="1564"/>
      <c r="AA40" s="1564"/>
      <c r="AB40" s="1564"/>
      <c r="AC40" s="1564"/>
      <c r="AD40" s="1564"/>
      <c r="AE40" s="1564"/>
      <c r="AF40" s="1564"/>
      <c r="AG40" s="1564"/>
      <c r="AH40" s="1564"/>
      <c r="AI40" s="1564"/>
      <c r="AJ40" s="1564"/>
      <c r="AK40" s="1564"/>
      <c r="AL40" s="1564"/>
      <c r="AM40" s="1564"/>
      <c r="AN40" s="1564"/>
      <c r="AO40" s="1564"/>
      <c r="AP40" s="1564"/>
      <c r="AQ40" s="1564"/>
      <c r="AR40" s="1564"/>
      <c r="AS40" s="1564"/>
      <c r="AT40" s="1564"/>
      <c r="AU40" s="1564"/>
      <c r="AV40" s="1564"/>
      <c r="AW40" s="1564"/>
      <c r="AX40" s="1564"/>
      <c r="AY40" s="1564"/>
      <c r="AZ40" s="1564"/>
      <c r="BA40" s="1564"/>
      <c r="BE40" s="1565" t="s">
        <v>80</v>
      </c>
      <c r="BF40" s="1565"/>
      <c r="BG40" s="1565"/>
      <c r="BH40" s="1565"/>
      <c r="BI40" s="1565"/>
      <c r="BJ40" s="1565"/>
      <c r="BK40" s="1565"/>
      <c r="BL40" s="1565"/>
      <c r="BM40" s="1565"/>
      <c r="BN40" s="1565"/>
      <c r="BO40" s="1565"/>
      <c r="BP40" s="1565"/>
      <c r="BQ40" s="1565"/>
      <c r="BR40" s="1565"/>
      <c r="BS40" s="1565"/>
      <c r="BT40" s="1565"/>
      <c r="BW40" s="1564" t="s">
        <v>182</v>
      </c>
      <c r="BX40" s="1564"/>
      <c r="BY40" s="1564"/>
      <c r="BZ40" s="1564"/>
      <c r="CA40" s="1564"/>
      <c r="CB40" s="1564"/>
      <c r="CC40" s="1564"/>
      <c r="CD40" s="1564"/>
      <c r="CE40" s="1564"/>
      <c r="CF40" s="1564"/>
      <c r="CG40" s="1564"/>
      <c r="CH40" s="1564"/>
      <c r="CI40" s="1564"/>
      <c r="CJ40" s="1564"/>
      <c r="CK40" s="1564"/>
      <c r="CL40" s="1564"/>
      <c r="CM40" s="1564"/>
      <c r="CN40" s="1564"/>
      <c r="CO40" s="1564"/>
      <c r="CP40" s="1564"/>
      <c r="CQ40" s="1564"/>
      <c r="CR40" s="1564"/>
      <c r="CS40" s="1564"/>
      <c r="CT40" s="1564"/>
      <c r="CU40" s="1564"/>
      <c r="CV40" s="1564"/>
      <c r="CW40" s="1564"/>
      <c r="CX40" s="1076"/>
      <c r="CY40" s="1076"/>
      <c r="CZ40" s="1076"/>
      <c r="DA40" s="1076"/>
      <c r="DB40" s="1076"/>
    </row>
    <row r="41" spans="1:107" s="439" customFormat="1"/>
    <row r="42" spans="1:107" s="439" customFormat="1">
      <c r="B42" s="1053" t="s">
        <v>279</v>
      </c>
      <c r="C42" s="1574"/>
      <c r="D42" s="1574"/>
      <c r="E42" s="1574"/>
      <c r="F42" s="1574"/>
      <c r="G42" s="439" t="s">
        <v>279</v>
      </c>
      <c r="J42" s="1572"/>
      <c r="K42" s="1572"/>
      <c r="L42" s="1572"/>
      <c r="M42" s="1572"/>
      <c r="N42" s="1572"/>
      <c r="O42" s="1572"/>
      <c r="P42" s="1572"/>
      <c r="Q42" s="1572"/>
      <c r="R42" s="1572"/>
      <c r="S42" s="1572"/>
      <c r="T42" s="1572"/>
      <c r="U42" s="1572"/>
      <c r="V42" s="1572"/>
      <c r="W42" s="1572"/>
      <c r="X42" s="1572"/>
      <c r="Y42" s="1572"/>
      <c r="Z42" s="1572"/>
      <c r="AA42" s="1572"/>
      <c r="AB42" s="1575">
        <v>20</v>
      </c>
      <c r="AC42" s="1575"/>
      <c r="AD42" s="1575"/>
      <c r="AE42" s="1572"/>
      <c r="AF42" s="1572"/>
      <c r="AG42" s="1572"/>
      <c r="AH42" s="1572"/>
      <c r="AI42" s="439" t="s">
        <v>147</v>
      </c>
    </row>
    <row r="43" spans="1:107" s="439" customFormat="1" ht="2.25" customHeight="1"/>
    <row r="44" spans="1:107" s="439" customFormat="1"/>
  </sheetData>
  <mergeCells count="52">
    <mergeCell ref="C42:F42"/>
    <mergeCell ref="J42:AA42"/>
    <mergeCell ref="AB42:AD42"/>
    <mergeCell ref="AE42:AH42"/>
    <mergeCell ref="CV3:DC3"/>
    <mergeCell ref="W39:BA39"/>
    <mergeCell ref="BE39:BT39"/>
    <mergeCell ref="BW39:CW39"/>
    <mergeCell ref="W40:BA40"/>
    <mergeCell ref="BE40:BT40"/>
    <mergeCell ref="BW40:CW40"/>
    <mergeCell ref="A11:DC11"/>
    <mergeCell ref="W36:BA36"/>
    <mergeCell ref="BE36:BT36"/>
    <mergeCell ref="BW36:CW36"/>
    <mergeCell ref="W37:BA37"/>
    <mergeCell ref="BE37:BT37"/>
    <mergeCell ref="BW37:CW37"/>
    <mergeCell ref="CK3:CO3"/>
    <mergeCell ref="AI7:DC7"/>
    <mergeCell ref="A8:DC8"/>
    <mergeCell ref="A9:DC9"/>
    <mergeCell ref="A10:DC10"/>
    <mergeCell ref="A12:DC12"/>
    <mergeCell ref="A13:DC13"/>
    <mergeCell ref="A14:DC14"/>
    <mergeCell ref="AW17:BK17"/>
    <mergeCell ref="B18:AT18"/>
    <mergeCell ref="AW18:BK18"/>
    <mergeCell ref="BN18:DB18"/>
    <mergeCell ref="AW19:BK19"/>
    <mergeCell ref="BN19:DB19"/>
    <mergeCell ref="A34:DC34"/>
    <mergeCell ref="A35:DC35"/>
    <mergeCell ref="A28:DC28"/>
    <mergeCell ref="A29:DC29"/>
    <mergeCell ref="A30:DC30"/>
    <mergeCell ref="A31:DC31"/>
    <mergeCell ref="A32:DC32"/>
    <mergeCell ref="A33:DC33"/>
    <mergeCell ref="A27:DC27"/>
    <mergeCell ref="B19:AT19"/>
    <mergeCell ref="B17:AT17"/>
    <mergeCell ref="BN17:DB17"/>
    <mergeCell ref="B20:AT20"/>
    <mergeCell ref="AW20:BK20"/>
    <mergeCell ref="BN20:DB20"/>
    <mergeCell ref="C22:E22"/>
    <mergeCell ref="H22:S22"/>
    <mergeCell ref="W22:X22"/>
    <mergeCell ref="A25:DC25"/>
    <mergeCell ref="A26:DC26"/>
  </mergeCells>
  <pageMargins left="0.78740157480314965" right="0.39370078740157483" top="0.59055118110236227" bottom="0.39370078740157483" header="0.19685039370078741" footer="0.19685039370078741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19"/>
  <dimension ref="A1:AG43"/>
  <sheetViews>
    <sheetView showGridLines="0" view="pageBreakPreview" zoomScaleNormal="100" workbookViewId="0">
      <selection activeCell="H13" sqref="H13"/>
    </sheetView>
  </sheetViews>
  <sheetFormatPr defaultColWidth="8.7109375" defaultRowHeight="12.75"/>
  <cols>
    <col min="1" max="1" width="29.5703125" customWidth="1"/>
    <col min="2" max="2" width="24" customWidth="1"/>
    <col min="3" max="3" width="8.85546875" customWidth="1"/>
    <col min="4" max="4" width="16.42578125" customWidth="1"/>
    <col min="5" max="5" width="10.28515625" customWidth="1"/>
    <col min="6" max="6" width="10.7109375" customWidth="1"/>
    <col min="7" max="7" width="21.140625" customWidth="1"/>
    <col min="8" max="8" width="20.42578125" customWidth="1"/>
    <col min="9" max="9" width="3.42578125" customWidth="1"/>
    <col min="10" max="10" width="11.7109375" customWidth="1"/>
    <col min="11" max="11" width="10.7109375" customWidth="1"/>
    <col min="12" max="12" width="16.7109375" customWidth="1"/>
    <col min="13" max="13" width="19.7109375" customWidth="1"/>
    <col min="14" max="14" width="15.7109375" customWidth="1"/>
    <col min="15" max="15" width="19.7109375" customWidth="1"/>
  </cols>
  <sheetData>
    <row r="1" spans="1:8" ht="3.75" customHeight="1"/>
    <row r="2" spans="1:8" ht="11.25" customHeight="1">
      <c r="G2" s="2" t="s">
        <v>305</v>
      </c>
    </row>
    <row r="3" spans="1:8" ht="11.25" customHeight="1">
      <c r="A3" t="s">
        <v>184</v>
      </c>
      <c r="G3" s="2" t="s">
        <v>306</v>
      </c>
    </row>
    <row r="4" spans="1:8" ht="11.25" customHeight="1">
      <c r="G4" s="2" t="s">
        <v>307</v>
      </c>
    </row>
    <row r="5" spans="1:8" ht="5.25" customHeight="1">
      <c r="G5" s="34"/>
    </row>
    <row r="6" spans="1:8" ht="13.5" thickBot="1">
      <c r="H6" s="388" t="s">
        <v>308</v>
      </c>
    </row>
    <row r="7" spans="1:8">
      <c r="G7" s="115" t="s">
        <v>309</v>
      </c>
      <c r="H7" s="389" t="s">
        <v>310</v>
      </c>
    </row>
    <row r="8" spans="1:8">
      <c r="A8" s="395" t="s">
        <v>35</v>
      </c>
      <c r="B8" s="9"/>
      <c r="C8" s="9"/>
      <c r="D8" s="9"/>
      <c r="E8" s="9"/>
      <c r="F8" s="9"/>
      <c r="G8" s="115" t="s">
        <v>311</v>
      </c>
      <c r="H8" s="390" t="s">
        <v>312</v>
      </c>
    </row>
    <row r="9" spans="1:8">
      <c r="A9" s="1234" t="s">
        <v>313</v>
      </c>
      <c r="B9" s="1234"/>
      <c r="C9" s="1234"/>
      <c r="D9" s="1234"/>
      <c r="E9" s="1234"/>
      <c r="F9" s="1234"/>
      <c r="H9" s="390"/>
    </row>
    <row r="10" spans="1:8" ht="13.5" thickBot="1">
      <c r="A10" s="395" t="s">
        <v>32</v>
      </c>
      <c r="B10" s="9"/>
      <c r="C10" s="9"/>
      <c r="D10" s="9"/>
      <c r="E10" s="9"/>
      <c r="F10" s="9"/>
      <c r="H10" s="391"/>
    </row>
    <row r="11" spans="1:8" ht="9.75" customHeight="1">
      <c r="A11" s="1234" t="s">
        <v>314</v>
      </c>
      <c r="B11" s="1234"/>
      <c r="C11" s="1234"/>
      <c r="D11" s="1234"/>
      <c r="E11" s="1234"/>
      <c r="F11" s="1234"/>
    </row>
    <row r="12" spans="1:8">
      <c r="G12" s="388" t="s">
        <v>140</v>
      </c>
      <c r="H12" s="388" t="s">
        <v>69</v>
      </c>
    </row>
    <row r="13" spans="1:8">
      <c r="G13" s="425" t="s">
        <v>331</v>
      </c>
      <c r="H13" s="425" t="s">
        <v>332</v>
      </c>
    </row>
    <row r="14" spans="1:8">
      <c r="D14" s="271" t="s">
        <v>315</v>
      </c>
    </row>
    <row r="15" spans="1:8">
      <c r="D15" s="3" t="s">
        <v>316</v>
      </c>
    </row>
    <row r="16" spans="1:8">
      <c r="D16" s="3" t="s">
        <v>317</v>
      </c>
    </row>
    <row r="17" spans="1:33" ht="4.7" customHeight="1"/>
    <row r="18" spans="1:33">
      <c r="B18" s="115" t="s">
        <v>318</v>
      </c>
      <c r="C18" s="9"/>
      <c r="D18" s="9"/>
      <c r="E18" s="9"/>
      <c r="F18" s="9"/>
      <c r="G18" s="9"/>
      <c r="H18" s="9"/>
    </row>
    <row r="19" spans="1:33">
      <c r="A19" s="9"/>
      <c r="B19" s="9"/>
      <c r="C19" s="9"/>
      <c r="D19" s="9"/>
      <c r="E19" s="9"/>
      <c r="F19" s="9"/>
      <c r="G19" s="9"/>
      <c r="H19" s="9"/>
    </row>
    <row r="20" spans="1:33" ht="7.5" customHeight="1"/>
    <row r="21" spans="1:33">
      <c r="A21" t="s">
        <v>319</v>
      </c>
    </row>
    <row r="22" spans="1:33" ht="25.5" customHeight="1">
      <c r="A22" s="115" t="s">
        <v>320</v>
      </c>
      <c r="B22" s="393" t="s">
        <v>125</v>
      </c>
      <c r="C22" s="393"/>
      <c r="D22" s="349"/>
      <c r="E22" s="393" t="s">
        <v>126</v>
      </c>
      <c r="F22" s="393"/>
      <c r="G22" s="393"/>
      <c r="H22" s="66"/>
      <c r="I22" s="394"/>
      <c r="J22" s="394"/>
      <c r="K22" s="394"/>
      <c r="L22" s="394"/>
      <c r="M22" s="394"/>
      <c r="N22" s="394"/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  <c r="Z22" s="394"/>
      <c r="AA22" s="394"/>
      <c r="AB22" s="394"/>
      <c r="AC22" s="394"/>
      <c r="AD22" s="394"/>
      <c r="AE22" s="394"/>
      <c r="AF22" s="394"/>
      <c r="AG22" s="66"/>
    </row>
    <row r="23" spans="1:33" ht="9" customHeight="1">
      <c r="B23" s="1234" t="s">
        <v>295</v>
      </c>
      <c r="C23" s="1234"/>
      <c r="E23" s="1234" t="s">
        <v>296</v>
      </c>
      <c r="F23" s="1234"/>
      <c r="G23" s="1234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</row>
    <row r="24" spans="1:33" ht="15" customHeight="1">
      <c r="A24" s="115" t="s">
        <v>321</v>
      </c>
      <c r="B24" s="387"/>
      <c r="C24" s="387"/>
      <c r="E24" s="387"/>
      <c r="F24" s="387"/>
      <c r="G24" s="387"/>
    </row>
    <row r="25" spans="1:33" ht="13.7" customHeight="1">
      <c r="B25" s="4" t="s">
        <v>3</v>
      </c>
      <c r="E25" s="4" t="s">
        <v>1</v>
      </c>
    </row>
    <row r="26" spans="1:33">
      <c r="B26" s="1234" t="s">
        <v>295</v>
      </c>
      <c r="C26" s="1234"/>
      <c r="E26" s="1234" t="s">
        <v>296</v>
      </c>
      <c r="F26" s="1234"/>
      <c r="G26" s="1234"/>
    </row>
    <row r="27" spans="1:33" ht="5.25" customHeight="1">
      <c r="B27" s="66"/>
      <c r="C27" s="66"/>
      <c r="D27" s="66"/>
      <c r="E27" s="93"/>
      <c r="F27" s="93"/>
      <c r="G27" s="66"/>
    </row>
    <row r="28" spans="1:33">
      <c r="A28" s="115" t="s">
        <v>322</v>
      </c>
      <c r="B28" s="392"/>
      <c r="C28" s="9"/>
      <c r="D28" s="9"/>
      <c r="E28" s="9"/>
      <c r="F28" s="9"/>
      <c r="G28" s="9"/>
    </row>
    <row r="29" spans="1:33">
      <c r="D29" s="40" t="s">
        <v>323</v>
      </c>
    </row>
    <row r="30" spans="1:33" ht="5.25" customHeight="1">
      <c r="A30" s="9"/>
      <c r="B30" s="9"/>
      <c r="C30" s="9"/>
      <c r="D30" s="9"/>
      <c r="E30" s="9"/>
      <c r="F30" s="9"/>
      <c r="G30" s="9"/>
      <c r="H30" s="9"/>
    </row>
    <row r="31" spans="1:33" ht="6.75" customHeight="1"/>
    <row r="32" spans="1:33">
      <c r="A32" s="115" t="s">
        <v>324</v>
      </c>
      <c r="C32" s="3" t="s">
        <v>297</v>
      </c>
      <c r="D32" t="s">
        <v>298</v>
      </c>
      <c r="E32" t="s">
        <v>299</v>
      </c>
      <c r="F32" t="s">
        <v>85</v>
      </c>
    </row>
    <row r="33" spans="1:8">
      <c r="A33" s="115" t="s">
        <v>300</v>
      </c>
      <c r="C33" s="3" t="s">
        <v>297</v>
      </c>
      <c r="D33" t="s">
        <v>298</v>
      </c>
      <c r="E33" t="s">
        <v>299</v>
      </c>
      <c r="F33" t="s">
        <v>85</v>
      </c>
    </row>
    <row r="34" spans="1:8" ht="6.75" customHeight="1"/>
    <row r="35" spans="1:8">
      <c r="A35" s="115" t="s">
        <v>325</v>
      </c>
      <c r="B35" s="9"/>
      <c r="C35" s="9"/>
      <c r="D35" s="9"/>
      <c r="E35" s="9"/>
      <c r="F35" s="9"/>
      <c r="G35" s="9"/>
      <c r="H35" s="9"/>
    </row>
    <row r="36" spans="1:8">
      <c r="D36" s="40" t="s">
        <v>326</v>
      </c>
    </row>
    <row r="37" spans="1:8">
      <c r="A37" s="9"/>
      <c r="B37" s="9"/>
      <c r="C37" s="9"/>
      <c r="D37" s="9"/>
      <c r="E37" s="9"/>
      <c r="F37" s="66"/>
    </row>
    <row r="38" spans="1:8" ht="7.5" customHeight="1"/>
    <row r="39" spans="1:8">
      <c r="A39" t="s">
        <v>301</v>
      </c>
    </row>
    <row r="40" spans="1:8" ht="8.4499999999999993" customHeight="1">
      <c r="A40" s="9"/>
      <c r="B40" s="9"/>
      <c r="C40" s="9"/>
      <c r="D40" s="9"/>
      <c r="E40" s="9"/>
      <c r="F40" s="66"/>
    </row>
    <row r="41" spans="1:8" ht="18" customHeight="1">
      <c r="B41" s="115" t="s">
        <v>327</v>
      </c>
      <c r="C41" s="3" t="s">
        <v>302</v>
      </c>
      <c r="D41" t="s">
        <v>298</v>
      </c>
      <c r="E41" t="s">
        <v>299</v>
      </c>
      <c r="F41" t="s">
        <v>85</v>
      </c>
    </row>
    <row r="42" spans="1:8" ht="15.75" customHeight="1">
      <c r="A42" s="115" t="s">
        <v>303</v>
      </c>
      <c r="B42" s="9"/>
      <c r="D42" s="9"/>
      <c r="G42" s="113"/>
      <c r="H42" s="9"/>
    </row>
    <row r="43" spans="1:8">
      <c r="B43" s="40" t="s">
        <v>295</v>
      </c>
      <c r="C43" s="39"/>
      <c r="D43" s="40" t="s">
        <v>304</v>
      </c>
      <c r="E43" s="39"/>
      <c r="F43" s="39"/>
      <c r="G43" s="1234" t="s">
        <v>296</v>
      </c>
      <c r="H43" s="1234"/>
    </row>
  </sheetData>
  <mergeCells count="7">
    <mergeCell ref="A9:F9"/>
    <mergeCell ref="A11:F11"/>
    <mergeCell ref="G43:H43"/>
    <mergeCell ref="E26:G26"/>
    <mergeCell ref="B26:C26"/>
    <mergeCell ref="E23:G23"/>
    <mergeCell ref="B23:C23"/>
  </mergeCells>
  <phoneticPr fontId="0" type="noConversion"/>
  <pageMargins left="0.6" right="0.51" top="0.33" bottom="0.37" header="0.22" footer="0.25"/>
  <pageSetup paperSize="9" scale="95" orientation="landscape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1"/>
  <dimension ref="A1:DD26"/>
  <sheetViews>
    <sheetView view="pageBreakPreview" zoomScaleNormal="100" workbookViewId="0">
      <selection sqref="A1:Q3"/>
    </sheetView>
  </sheetViews>
  <sheetFormatPr defaultColWidth="0.85546875" defaultRowHeight="12.75"/>
  <cols>
    <col min="1" max="16384" width="0.85546875" style="437"/>
  </cols>
  <sheetData>
    <row r="1" spans="1:108">
      <c r="A1" s="1201" t="s">
        <v>599</v>
      </c>
      <c r="B1" s="1201"/>
      <c r="C1" s="1201"/>
      <c r="D1" s="1201"/>
      <c r="E1" s="1201"/>
      <c r="F1" s="1201"/>
      <c r="G1" s="1201"/>
      <c r="H1" s="1201"/>
      <c r="I1" s="1201"/>
      <c r="J1" s="1201"/>
      <c r="K1" s="1201"/>
      <c r="L1" s="1201"/>
      <c r="M1" s="1201"/>
      <c r="N1" s="1201"/>
      <c r="O1" s="1201"/>
      <c r="P1" s="1201"/>
      <c r="Q1" s="1201"/>
      <c r="BL1" s="437" t="s">
        <v>339</v>
      </c>
    </row>
    <row r="2" spans="1:108">
      <c r="A2" s="1201"/>
      <c r="B2" s="1201"/>
      <c r="C2" s="1201"/>
      <c r="D2" s="1201"/>
      <c r="E2" s="1201"/>
      <c r="F2" s="1201"/>
      <c r="G2" s="1201"/>
      <c r="H2" s="1201"/>
      <c r="I2" s="1201"/>
      <c r="J2" s="1201"/>
      <c r="K2" s="1201"/>
      <c r="L2" s="1201"/>
      <c r="M2" s="1201"/>
      <c r="N2" s="1201"/>
      <c r="O2" s="1201"/>
      <c r="P2" s="1201"/>
      <c r="Q2" s="1201"/>
      <c r="BL2" s="437" t="s">
        <v>340</v>
      </c>
    </row>
    <row r="3" spans="1:108">
      <c r="A3" s="1201"/>
      <c r="B3" s="1201"/>
      <c r="C3" s="1201"/>
      <c r="D3" s="1201"/>
      <c r="E3" s="1201"/>
      <c r="F3" s="1201"/>
      <c r="G3" s="1201"/>
      <c r="H3" s="1201"/>
      <c r="I3" s="1201"/>
      <c r="J3" s="1201"/>
      <c r="K3" s="1201"/>
      <c r="L3" s="1201"/>
      <c r="M3" s="1201"/>
      <c r="N3" s="1201"/>
      <c r="O3" s="1201"/>
      <c r="P3" s="1201"/>
      <c r="Q3" s="1201"/>
      <c r="BL3" s="437" t="s">
        <v>341</v>
      </c>
    </row>
    <row r="6" spans="1:108" ht="15.75">
      <c r="A6" s="1577" t="s">
        <v>342</v>
      </c>
      <c r="B6" s="1577"/>
      <c r="C6" s="1577"/>
      <c r="D6" s="1577"/>
      <c r="E6" s="1577"/>
      <c r="F6" s="1577"/>
      <c r="G6" s="1577"/>
      <c r="H6" s="1577"/>
      <c r="I6" s="1577"/>
      <c r="J6" s="1577"/>
      <c r="K6" s="1577"/>
      <c r="L6" s="1577"/>
      <c r="M6" s="1577"/>
      <c r="N6" s="1577"/>
      <c r="O6" s="1577"/>
      <c r="P6" s="1577"/>
      <c r="Q6" s="1577"/>
      <c r="R6" s="1577"/>
      <c r="S6" s="1577"/>
      <c r="T6" s="1577"/>
      <c r="U6" s="1577"/>
      <c r="V6" s="1577"/>
      <c r="W6" s="1577"/>
      <c r="X6" s="1577"/>
      <c r="Y6" s="1577"/>
      <c r="Z6" s="1577"/>
      <c r="AA6" s="1577"/>
      <c r="AB6" s="1577"/>
      <c r="AC6" s="1577"/>
      <c r="AD6" s="1577"/>
      <c r="AE6" s="1577"/>
      <c r="AF6" s="1577"/>
      <c r="AG6" s="1577"/>
      <c r="AH6" s="1577"/>
      <c r="AI6" s="1577"/>
      <c r="AJ6" s="1577"/>
      <c r="AK6" s="1577"/>
      <c r="AL6" s="1577"/>
      <c r="AM6" s="1577"/>
      <c r="AN6" s="1577"/>
      <c r="AO6" s="1577"/>
      <c r="AP6" s="1577"/>
      <c r="AQ6" s="1577"/>
      <c r="AR6" s="1577"/>
      <c r="AS6" s="1577"/>
      <c r="AT6" s="1577"/>
      <c r="AU6" s="1577"/>
      <c r="AV6" s="1577"/>
      <c r="AW6" s="1577"/>
      <c r="AX6" s="1577"/>
      <c r="AY6" s="1577"/>
      <c r="AZ6" s="1577"/>
      <c r="BA6" s="1577"/>
      <c r="BB6" s="1577"/>
      <c r="BC6" s="1577"/>
      <c r="BD6" s="1577"/>
      <c r="BE6" s="1577"/>
      <c r="BF6" s="1577"/>
      <c r="BG6" s="1577"/>
      <c r="BH6" s="1577"/>
      <c r="BI6" s="1577"/>
      <c r="BJ6" s="1577"/>
      <c r="BK6" s="1577"/>
      <c r="BL6" s="1577"/>
      <c r="BM6" s="1577"/>
      <c r="BN6" s="1577"/>
      <c r="BO6" s="1577"/>
      <c r="BP6" s="1577"/>
      <c r="BQ6" s="1577"/>
      <c r="BR6" s="1577"/>
      <c r="BS6" s="1577"/>
      <c r="BT6" s="1577"/>
      <c r="BU6" s="1577"/>
      <c r="BV6" s="1577"/>
      <c r="BW6" s="1577"/>
      <c r="BX6" s="1577"/>
      <c r="BY6" s="1577"/>
      <c r="BZ6" s="1577"/>
      <c r="CA6" s="1577"/>
      <c r="CB6" s="1577"/>
      <c r="CC6" s="1577"/>
      <c r="CD6" s="1577"/>
      <c r="CE6" s="1577"/>
      <c r="CF6" s="1577"/>
      <c r="CG6" s="1577"/>
      <c r="CH6" s="1577"/>
      <c r="CI6" s="1577"/>
      <c r="CJ6" s="1577"/>
      <c r="CK6" s="1577"/>
      <c r="CL6" s="1577"/>
      <c r="CM6" s="1577"/>
      <c r="CN6" s="1577"/>
      <c r="CO6" s="1577"/>
      <c r="CP6" s="1577"/>
      <c r="CQ6" s="1577"/>
      <c r="CR6" s="1577"/>
      <c r="CS6" s="1577"/>
      <c r="CT6" s="1577"/>
      <c r="CU6" s="1577"/>
      <c r="CV6" s="1577"/>
      <c r="CW6" s="1577"/>
      <c r="CX6" s="1577"/>
      <c r="CY6" s="1577"/>
      <c r="CZ6" s="1577"/>
      <c r="DA6" s="1577"/>
      <c r="DB6" s="1577"/>
      <c r="DC6" s="1577"/>
      <c r="DD6" s="1577"/>
    </row>
    <row r="7" spans="1:108" ht="15.75">
      <c r="L7" s="1593" t="s">
        <v>343</v>
      </c>
      <c r="M7" s="1593"/>
      <c r="N7" s="1593"/>
      <c r="O7" s="1593"/>
      <c r="P7" s="1593"/>
      <c r="Q7" s="1593"/>
      <c r="R7" s="1593"/>
      <c r="S7" s="1593"/>
      <c r="T7" s="1593"/>
      <c r="U7" s="1593"/>
      <c r="V7" s="1593"/>
      <c r="W7" s="1593"/>
      <c r="X7" s="1593"/>
      <c r="Y7" s="1593"/>
      <c r="Z7" s="1593"/>
      <c r="AA7" s="1593"/>
      <c r="AB7" s="1593"/>
      <c r="AC7" s="1593"/>
      <c r="AD7" s="1593"/>
      <c r="AE7" s="1593"/>
      <c r="AF7" s="1593"/>
      <c r="AG7" s="1593"/>
      <c r="AH7" s="1593"/>
      <c r="AI7" s="1593"/>
      <c r="AJ7" s="1593"/>
      <c r="AK7" s="1593"/>
      <c r="AL7" s="1593"/>
      <c r="AM7" s="1593"/>
      <c r="AN7" s="1593"/>
      <c r="AO7" s="1593"/>
      <c r="AP7" s="1593"/>
      <c r="AQ7" s="1593"/>
      <c r="AR7" s="1593"/>
      <c r="AS7" s="1593"/>
      <c r="AT7" s="1593"/>
      <c r="AU7" s="1593"/>
      <c r="AV7" s="1593"/>
      <c r="AW7" s="1593"/>
      <c r="AX7" s="1593"/>
      <c r="AY7" s="1593"/>
      <c r="AZ7" s="1593"/>
      <c r="BA7" s="1593"/>
      <c r="BB7" s="1593"/>
      <c r="BC7" s="1593"/>
      <c r="BD7" s="1593"/>
      <c r="BE7" s="1593"/>
      <c r="BF7" s="1593"/>
      <c r="BG7" s="1593"/>
      <c r="BH7" s="1593"/>
      <c r="BI7" s="1593"/>
      <c r="BJ7" s="1593"/>
      <c r="BK7" s="1593"/>
      <c r="BL7" s="1593"/>
      <c r="BM7" s="1593"/>
      <c r="BN7" s="1593"/>
      <c r="BO7" s="1593"/>
      <c r="BP7" s="1593"/>
      <c r="BQ7" s="1593"/>
      <c r="BR7" s="1593"/>
      <c r="BS7" s="1593"/>
      <c r="BT7" s="1593"/>
      <c r="BU7" s="1593"/>
      <c r="BV7" s="1593"/>
      <c r="BW7" s="1593"/>
      <c r="BX7" s="1593"/>
      <c r="BY7" s="1593"/>
      <c r="BZ7" s="1593"/>
      <c r="CA7" s="1593"/>
      <c r="CB7" s="1585" t="s">
        <v>293</v>
      </c>
      <c r="CC7" s="1585"/>
      <c r="CD7" s="1585"/>
      <c r="CE7" s="1585"/>
      <c r="CF7" s="1585"/>
      <c r="CG7" s="1585"/>
      <c r="CH7" s="1585"/>
      <c r="CI7" s="1585"/>
      <c r="CJ7" s="1585"/>
      <c r="CK7" s="1585"/>
      <c r="CL7" s="1585"/>
      <c r="CM7" s="1585"/>
      <c r="CP7" s="1578" t="s">
        <v>266</v>
      </c>
      <c r="CQ7" s="1579"/>
      <c r="CR7" s="1579"/>
      <c r="CS7" s="1579"/>
      <c r="CT7" s="1579"/>
      <c r="CU7" s="1579"/>
      <c r="CV7" s="1579"/>
      <c r="CW7" s="1579"/>
      <c r="CX7" s="1579"/>
      <c r="CY7" s="1579"/>
      <c r="CZ7" s="1579"/>
      <c r="DA7" s="1579"/>
      <c r="DB7" s="1579"/>
      <c r="DC7" s="1579"/>
      <c r="DD7" s="1580"/>
    </row>
    <row r="8" spans="1:108" ht="15.75" customHeight="1">
      <c r="CN8" s="41" t="s">
        <v>344</v>
      </c>
      <c r="CP8" s="1581" t="s">
        <v>345</v>
      </c>
      <c r="CQ8" s="1582"/>
      <c r="CR8" s="1582"/>
      <c r="CS8" s="1582"/>
      <c r="CT8" s="1582"/>
      <c r="CU8" s="1582"/>
      <c r="CV8" s="1582"/>
      <c r="CW8" s="1582"/>
      <c r="CX8" s="1582"/>
      <c r="CY8" s="1582"/>
      <c r="CZ8" s="1582"/>
      <c r="DA8" s="1582"/>
      <c r="DB8" s="1582"/>
      <c r="DC8" s="1582"/>
      <c r="DD8" s="1583"/>
    </row>
    <row r="9" spans="1:108" ht="24.75" customHeight="1">
      <c r="A9" s="437" t="s">
        <v>346</v>
      </c>
      <c r="N9" s="1584" t="s">
        <v>35</v>
      </c>
      <c r="O9" s="1584"/>
      <c r="P9" s="1584"/>
      <c r="Q9" s="1584"/>
      <c r="R9" s="1584"/>
      <c r="S9" s="1584"/>
      <c r="T9" s="1584"/>
      <c r="U9" s="1584"/>
      <c r="V9" s="1584"/>
      <c r="W9" s="1584"/>
      <c r="X9" s="1584"/>
      <c r="Y9" s="1584"/>
      <c r="Z9" s="1584"/>
      <c r="AA9" s="1584"/>
      <c r="AB9" s="1584"/>
      <c r="AC9" s="1584"/>
      <c r="AD9" s="1584"/>
      <c r="AE9" s="1584"/>
      <c r="AF9" s="1584"/>
      <c r="AG9" s="1584"/>
      <c r="AH9" s="1584"/>
      <c r="AI9" s="1584"/>
      <c r="AJ9" s="1584"/>
      <c r="AK9" s="1584"/>
      <c r="AL9" s="1584"/>
      <c r="AM9" s="1584"/>
      <c r="AN9" s="1584"/>
      <c r="AO9" s="1584"/>
      <c r="AP9" s="1584"/>
      <c r="AQ9" s="1584"/>
      <c r="AR9" s="1584"/>
      <c r="AS9" s="1584"/>
      <c r="AT9" s="1584"/>
      <c r="AU9" s="1584"/>
      <c r="AV9" s="1584"/>
      <c r="AW9" s="1584"/>
      <c r="AX9" s="1584"/>
      <c r="AY9" s="1584"/>
      <c r="AZ9" s="1584"/>
      <c r="BA9" s="1584"/>
      <c r="BB9" s="1584"/>
      <c r="BC9" s="1584"/>
      <c r="BD9" s="1584"/>
      <c r="BE9" s="1584"/>
      <c r="BF9" s="1584"/>
      <c r="BG9" s="1584"/>
      <c r="BH9" s="1584"/>
      <c r="BI9" s="1584"/>
      <c r="BJ9" s="1584"/>
      <c r="BK9" s="1584"/>
      <c r="BL9" s="1584"/>
      <c r="BM9" s="1584"/>
      <c r="BN9" s="1584"/>
      <c r="BO9" s="1584"/>
      <c r="BP9" s="1584"/>
      <c r="BQ9" s="1584"/>
      <c r="BR9" s="1584"/>
      <c r="BS9" s="1584"/>
      <c r="BT9" s="1584"/>
      <c r="BU9" s="1584"/>
      <c r="BV9" s="1584"/>
      <c r="BW9" s="1584"/>
      <c r="BX9" s="1584"/>
      <c r="BY9" s="1584"/>
      <c r="BZ9" s="1584"/>
      <c r="CA9" s="1584"/>
      <c r="CB9" s="1584"/>
      <c r="CC9" s="1584"/>
      <c r="CN9" s="41" t="s">
        <v>57</v>
      </c>
      <c r="CP9" s="1581" t="s">
        <v>34</v>
      </c>
      <c r="CQ9" s="1582"/>
      <c r="CR9" s="1582"/>
      <c r="CS9" s="1582"/>
      <c r="CT9" s="1582"/>
      <c r="CU9" s="1582"/>
      <c r="CV9" s="1582"/>
      <c r="CW9" s="1582"/>
      <c r="CX9" s="1582"/>
      <c r="CY9" s="1582"/>
      <c r="CZ9" s="1582"/>
      <c r="DA9" s="1582"/>
      <c r="DB9" s="1582"/>
      <c r="DC9" s="1582"/>
      <c r="DD9" s="1583"/>
    </row>
    <row r="10" spans="1:108" ht="24.75" customHeight="1">
      <c r="A10" s="437" t="s">
        <v>347</v>
      </c>
      <c r="AH10" s="1590" t="s">
        <v>32</v>
      </c>
      <c r="AI10" s="1590"/>
      <c r="AJ10" s="1590"/>
      <c r="AK10" s="1590"/>
      <c r="AL10" s="1590"/>
      <c r="AM10" s="1590"/>
      <c r="AN10" s="1590"/>
      <c r="AO10" s="1590"/>
      <c r="AP10" s="1590"/>
      <c r="AQ10" s="1590"/>
      <c r="AR10" s="1590"/>
      <c r="AS10" s="1590"/>
      <c r="AT10" s="1590"/>
      <c r="AU10" s="1590"/>
      <c r="AV10" s="1590"/>
      <c r="AW10" s="1590"/>
      <c r="AX10" s="1590"/>
      <c r="AY10" s="1590"/>
      <c r="AZ10" s="1590"/>
      <c r="BA10" s="1590"/>
      <c r="BB10" s="1590"/>
      <c r="BC10" s="1590"/>
      <c r="BD10" s="1590"/>
      <c r="BE10" s="1590"/>
      <c r="BF10" s="1590"/>
      <c r="BG10" s="1590"/>
      <c r="BH10" s="1590"/>
      <c r="BI10" s="1590"/>
      <c r="BJ10" s="1590"/>
      <c r="BK10" s="1590"/>
      <c r="BL10" s="1590"/>
      <c r="BM10" s="1590"/>
      <c r="BN10" s="1590"/>
      <c r="BO10" s="1590"/>
      <c r="BP10" s="1590"/>
      <c r="BQ10" s="1590"/>
      <c r="BR10" s="1590"/>
      <c r="BS10" s="1590"/>
      <c r="BT10" s="1590"/>
      <c r="BU10" s="1590"/>
      <c r="BV10" s="1590"/>
      <c r="BW10" s="1590"/>
      <c r="BX10" s="1590"/>
      <c r="BY10" s="1590"/>
      <c r="BZ10" s="1590"/>
      <c r="CA10" s="1590"/>
      <c r="CB10" s="1590"/>
      <c r="CC10" s="1590"/>
      <c r="CP10" s="1581"/>
      <c r="CQ10" s="1582"/>
      <c r="CR10" s="1582"/>
      <c r="CS10" s="1582"/>
      <c r="CT10" s="1582"/>
      <c r="CU10" s="1582"/>
      <c r="CV10" s="1582"/>
      <c r="CW10" s="1582"/>
      <c r="CX10" s="1582"/>
      <c r="CY10" s="1582"/>
      <c r="CZ10" s="1582"/>
      <c r="DA10" s="1582"/>
      <c r="DB10" s="1582"/>
      <c r="DC10" s="1582"/>
      <c r="DD10" s="1583"/>
    </row>
    <row r="11" spans="1:108" ht="15" customHeight="1">
      <c r="A11" s="437" t="s">
        <v>348</v>
      </c>
      <c r="AP11" s="1588" t="s">
        <v>139</v>
      </c>
      <c r="AQ11" s="1588"/>
      <c r="AR11" s="1588"/>
      <c r="AS11" s="1588"/>
      <c r="AT11" s="1588"/>
      <c r="AU11" s="1588"/>
      <c r="AV11" s="1588"/>
      <c r="AW11" s="1588"/>
      <c r="AX11" s="1588"/>
      <c r="AY11" s="1588"/>
      <c r="AZ11" s="1588"/>
      <c r="BA11" s="1588"/>
      <c r="BB11" s="1588"/>
      <c r="BC11" s="1588"/>
      <c r="BD11" s="1588"/>
      <c r="BE11" s="1588"/>
      <c r="BF11" s="1588"/>
      <c r="BG11" s="1588"/>
      <c r="BH11" s="1588"/>
      <c r="BI11" s="1588"/>
      <c r="BJ11" s="1588"/>
      <c r="BK11" s="1588"/>
      <c r="BL11" s="1588"/>
      <c r="BM11" s="1588"/>
      <c r="BN11" s="1588"/>
      <c r="BO11" s="1588"/>
      <c r="BP11" s="1588"/>
      <c r="BQ11" s="1588"/>
      <c r="BR11" s="1588"/>
      <c r="BS11" s="1588"/>
      <c r="BT11" s="1588"/>
      <c r="BU11" s="1588"/>
      <c r="BV11" s="1588"/>
      <c r="BW11" s="1588"/>
      <c r="BX11" s="1588"/>
      <c r="BY11" s="1588"/>
      <c r="CN11" s="41" t="s">
        <v>89</v>
      </c>
      <c r="CP11" s="1581" t="s">
        <v>331</v>
      </c>
      <c r="CQ11" s="1582"/>
      <c r="CR11" s="1582"/>
      <c r="CS11" s="1582"/>
      <c r="CT11" s="1582"/>
      <c r="CU11" s="1582"/>
      <c r="CV11" s="1582"/>
      <c r="CW11" s="1582"/>
      <c r="CX11" s="1582"/>
      <c r="CY11" s="1582"/>
      <c r="CZ11" s="1582"/>
      <c r="DA11" s="1582"/>
      <c r="DB11" s="1582"/>
      <c r="DC11" s="1582"/>
      <c r="DD11" s="1583"/>
    </row>
    <row r="12" spans="1:108" ht="15" customHeight="1">
      <c r="AP12" s="1589" t="s">
        <v>63</v>
      </c>
      <c r="AQ12" s="1589"/>
      <c r="AR12" s="1589"/>
      <c r="AS12" s="1589"/>
      <c r="AT12" s="1589"/>
      <c r="AU12" s="1589"/>
      <c r="AV12" s="1589"/>
      <c r="AW12" s="1589"/>
      <c r="AX12" s="1589"/>
      <c r="AY12" s="1589"/>
      <c r="AZ12" s="1589"/>
      <c r="BA12" s="1589"/>
      <c r="BB12" s="1589"/>
      <c r="BC12" s="1589"/>
      <c r="BD12" s="1589"/>
      <c r="BE12" s="1589"/>
      <c r="BF12" s="1589"/>
      <c r="BG12" s="1589"/>
      <c r="BH12" s="1589"/>
      <c r="BI12" s="1589"/>
      <c r="BJ12" s="1589"/>
      <c r="BK12" s="1589"/>
      <c r="BL12" s="1589"/>
      <c r="BM12" s="1589"/>
      <c r="BN12" s="1589"/>
      <c r="BO12" s="1589"/>
      <c r="BP12" s="1589"/>
      <c r="BQ12" s="1589"/>
      <c r="BR12" s="1589"/>
      <c r="BS12" s="1589"/>
      <c r="BT12" s="1589"/>
      <c r="BU12" s="1589"/>
      <c r="BV12" s="1589"/>
      <c r="BW12" s="1589"/>
      <c r="BX12" s="1589"/>
      <c r="BY12" s="1589"/>
      <c r="CN12" s="41" t="s">
        <v>269</v>
      </c>
      <c r="CP12" s="1581" t="s">
        <v>332</v>
      </c>
      <c r="CQ12" s="1582"/>
      <c r="CR12" s="1582"/>
      <c r="CS12" s="1582"/>
      <c r="CT12" s="1582"/>
      <c r="CU12" s="1582"/>
      <c r="CV12" s="1582"/>
      <c r="CW12" s="1582"/>
      <c r="CX12" s="1582"/>
      <c r="CY12" s="1582"/>
      <c r="CZ12" s="1582"/>
      <c r="DA12" s="1582"/>
      <c r="DB12" s="1582"/>
      <c r="DC12" s="1582"/>
      <c r="DD12" s="1583"/>
    </row>
    <row r="13" spans="1:108" ht="15" customHeight="1">
      <c r="BH13" s="437" t="s">
        <v>65</v>
      </c>
      <c r="CN13" s="438"/>
      <c r="CP13" s="1581" t="s">
        <v>31</v>
      </c>
      <c r="CQ13" s="1582"/>
      <c r="CR13" s="1582"/>
      <c r="CS13" s="1582"/>
      <c r="CT13" s="1582"/>
      <c r="CU13" s="1582"/>
      <c r="CV13" s="1582"/>
      <c r="CW13" s="1582"/>
      <c r="CX13" s="1582"/>
      <c r="CY13" s="1582"/>
      <c r="CZ13" s="1582"/>
      <c r="DA13" s="1582"/>
      <c r="DB13" s="1582"/>
      <c r="DC13" s="1582"/>
      <c r="DD13" s="1583"/>
    </row>
    <row r="14" spans="1:108" ht="14.25" customHeight="1">
      <c r="BH14" s="437" t="s">
        <v>66</v>
      </c>
      <c r="CN14" s="438"/>
      <c r="CP14" s="1581" t="s">
        <v>330</v>
      </c>
      <c r="CQ14" s="1582"/>
      <c r="CR14" s="1582"/>
      <c r="CS14" s="1582"/>
      <c r="CT14" s="1582"/>
      <c r="CU14" s="1582"/>
      <c r="CV14" s="1582"/>
      <c r="CW14" s="1582"/>
      <c r="CX14" s="1582"/>
      <c r="CY14" s="1582"/>
      <c r="CZ14" s="1582"/>
      <c r="DA14" s="1582"/>
      <c r="DB14" s="1582"/>
      <c r="DC14" s="1582"/>
      <c r="DD14" s="1583"/>
    </row>
    <row r="15" spans="1:108" ht="14.25" customHeight="1">
      <c r="BH15" s="437" t="s">
        <v>349</v>
      </c>
      <c r="CN15" s="438"/>
      <c r="CP15" s="1581"/>
      <c r="CQ15" s="1582"/>
      <c r="CR15" s="1582"/>
      <c r="CS15" s="1582"/>
      <c r="CT15" s="1582"/>
      <c r="CU15" s="1582"/>
      <c r="CV15" s="1582"/>
      <c r="CW15" s="1582"/>
      <c r="CX15" s="1582"/>
      <c r="CY15" s="1582"/>
      <c r="CZ15" s="1582"/>
      <c r="DA15" s="1582"/>
      <c r="DB15" s="1582"/>
      <c r="DC15" s="1582"/>
      <c r="DD15" s="1583"/>
    </row>
    <row r="17" spans="1:108">
      <c r="A17" s="1586" t="s">
        <v>277</v>
      </c>
      <c r="B17" s="1586"/>
      <c r="C17" s="1586"/>
      <c r="D17" s="1586"/>
      <c r="E17" s="1586"/>
      <c r="F17" s="1586"/>
      <c r="G17" s="1586"/>
      <c r="H17" s="1586"/>
      <c r="I17" s="1586"/>
      <c r="J17" s="1586"/>
      <c r="K17" s="1586"/>
      <c r="L17" s="1586"/>
      <c r="M17" s="1586"/>
      <c r="N17" s="1586"/>
      <c r="O17" s="1586"/>
      <c r="P17" s="1586"/>
      <c r="Q17" s="1586"/>
      <c r="R17" s="1586"/>
      <c r="S17" s="1586"/>
      <c r="T17" s="1586"/>
      <c r="U17" s="1586"/>
      <c r="V17" s="1586"/>
      <c r="W17" s="1586"/>
      <c r="X17" s="1586"/>
      <c r="Y17" s="1586"/>
      <c r="Z17" s="1586"/>
      <c r="AA17" s="1586"/>
      <c r="AB17" s="1586"/>
      <c r="AC17" s="1586"/>
      <c r="AD17" s="1586"/>
      <c r="AE17" s="1586"/>
      <c r="AF17" s="1586"/>
      <c r="AG17" s="1586"/>
      <c r="AH17" s="1586"/>
      <c r="AI17" s="1586"/>
      <c r="AJ17" s="1586"/>
      <c r="AK17" s="1586"/>
      <c r="AL17" s="1586"/>
      <c r="AM17" s="1586"/>
      <c r="AN17" s="1586"/>
      <c r="AO17" s="1586"/>
      <c r="AP17" s="1586"/>
      <c r="AQ17" s="1586"/>
      <c r="AR17" s="1586"/>
      <c r="AS17" s="1586"/>
      <c r="AT17" s="1586"/>
      <c r="AU17" s="1586"/>
      <c r="AV17" s="1586"/>
      <c r="AW17" s="1586"/>
      <c r="AX17" s="1586"/>
      <c r="AY17" s="1586"/>
      <c r="AZ17" s="1586"/>
      <c r="BA17" s="1586"/>
      <c r="BB17" s="1586"/>
      <c r="BC17" s="1586"/>
      <c r="BD17" s="1586"/>
      <c r="BE17" s="1586"/>
      <c r="BF17" s="1586"/>
      <c r="BG17" s="1586"/>
      <c r="BH17" s="1586"/>
      <c r="BI17" s="1586"/>
      <c r="BJ17" s="1586"/>
      <c r="BK17" s="1586"/>
      <c r="BL17" s="1586"/>
      <c r="BM17" s="1586"/>
      <c r="BN17" s="1586"/>
      <c r="BO17" s="1586"/>
      <c r="BP17" s="1586"/>
      <c r="BQ17" s="1586"/>
      <c r="BR17" s="1586"/>
      <c r="BS17" s="1586"/>
      <c r="BT17" s="1586"/>
      <c r="BU17" s="1586"/>
      <c r="BV17" s="1586"/>
      <c r="BW17" s="1586"/>
      <c r="BX17" s="1586"/>
      <c r="BY17" s="1586"/>
      <c r="BZ17" s="1586"/>
      <c r="CA17" s="1586"/>
      <c r="CB17" s="1586"/>
      <c r="CC17" s="1586"/>
      <c r="CD17" s="1586"/>
      <c r="CE17" s="1586"/>
      <c r="CF17" s="1586"/>
      <c r="CG17" s="1586"/>
      <c r="CH17" s="1586"/>
      <c r="CI17" s="1586"/>
      <c r="CJ17" s="1586"/>
      <c r="CK17" s="1586"/>
      <c r="CL17" s="1586"/>
      <c r="CM17" s="1586"/>
      <c r="CN17" s="1586"/>
      <c r="CO17" s="1586"/>
      <c r="CP17" s="1586"/>
      <c r="CQ17" s="1586"/>
      <c r="CR17" s="1586"/>
      <c r="CS17" s="1586"/>
      <c r="CT17" s="1586"/>
      <c r="CU17" s="1586"/>
      <c r="CV17" s="1586"/>
      <c r="CW17" s="1586"/>
      <c r="CX17" s="1586"/>
      <c r="CY17" s="1586"/>
      <c r="CZ17" s="1586"/>
      <c r="DA17" s="1586"/>
      <c r="DB17" s="1586"/>
      <c r="DC17" s="1586"/>
      <c r="DD17" s="1586"/>
    </row>
    <row r="19" spans="1:108" ht="38.25" customHeight="1">
      <c r="A19" s="1587" t="s">
        <v>350</v>
      </c>
      <c r="B19" s="1587"/>
      <c r="C19" s="1587"/>
      <c r="D19" s="1587"/>
      <c r="E19" s="1587"/>
      <c r="F19" s="1587"/>
      <c r="G19" s="1587"/>
      <c r="H19" s="1587"/>
      <c r="I19" s="1587"/>
      <c r="J19" s="1587"/>
      <c r="K19" s="1587"/>
      <c r="L19" s="1587"/>
      <c r="M19" s="1587"/>
      <c r="N19" s="1587"/>
      <c r="O19" s="1587"/>
      <c r="P19" s="1587"/>
      <c r="Q19" s="1587"/>
      <c r="R19" s="1587"/>
      <c r="S19" s="1587"/>
      <c r="T19" s="1587"/>
      <c r="U19" s="1587"/>
      <c r="V19" s="1587"/>
      <c r="W19" s="1587"/>
      <c r="X19" s="1587"/>
      <c r="Y19" s="1587"/>
      <c r="Z19" s="1587"/>
      <c r="AA19" s="1587"/>
      <c r="AB19" s="1587"/>
      <c r="AC19" s="1587"/>
      <c r="AD19" s="1587"/>
      <c r="AE19" s="1587"/>
      <c r="AF19" s="1587"/>
      <c r="AG19" s="1587"/>
      <c r="AH19" s="1587"/>
      <c r="AI19" s="1587"/>
      <c r="AJ19" s="1587"/>
      <c r="AK19" s="1587"/>
      <c r="AL19" s="1587"/>
      <c r="AM19" s="1587"/>
      <c r="AN19" s="1587"/>
      <c r="AO19" s="1587"/>
      <c r="AP19" s="1587"/>
      <c r="AQ19" s="1587"/>
      <c r="AR19" s="1587"/>
      <c r="AS19" s="1587"/>
      <c r="AT19" s="1587"/>
      <c r="AU19" s="1587"/>
      <c r="AV19" s="1587"/>
      <c r="AW19" s="1587"/>
      <c r="AX19" s="1587"/>
      <c r="AY19" s="1587"/>
      <c r="AZ19" s="1587"/>
      <c r="BA19" s="1587"/>
      <c r="BB19" s="1587"/>
      <c r="BC19" s="1587"/>
      <c r="BD19" s="1587"/>
      <c r="BE19" s="1587"/>
      <c r="BF19" s="1587"/>
      <c r="BG19" s="1587"/>
      <c r="BH19" s="1587"/>
      <c r="BI19" s="1587"/>
      <c r="BJ19" s="1587"/>
      <c r="BK19" s="1587"/>
      <c r="BL19" s="1587"/>
      <c r="BM19" s="1587"/>
      <c r="BN19" s="1587"/>
      <c r="BO19" s="1587"/>
      <c r="BP19" s="1587"/>
      <c r="BQ19" s="1587"/>
      <c r="BR19" s="1587"/>
      <c r="BS19" s="1587"/>
      <c r="BT19" s="1587"/>
      <c r="BU19" s="1587"/>
      <c r="BV19" s="1587"/>
      <c r="BW19" s="1587"/>
      <c r="BX19" s="1587"/>
      <c r="BY19" s="1587"/>
      <c r="BZ19" s="1587"/>
      <c r="CA19" s="1587"/>
      <c r="CB19" s="1587"/>
      <c r="CC19" s="1587"/>
      <c r="CD19" s="1587"/>
      <c r="CE19" s="1587"/>
      <c r="CF19" s="1587"/>
      <c r="CG19" s="1587"/>
      <c r="CH19" s="1587"/>
      <c r="CI19" s="1587"/>
      <c r="CJ19" s="1587"/>
      <c r="CK19" s="1587"/>
      <c r="CL19" s="1587"/>
      <c r="CM19" s="1587"/>
      <c r="CN19" s="1587"/>
      <c r="CO19" s="1587"/>
      <c r="CP19" s="1587"/>
      <c r="CQ19" s="1587"/>
      <c r="CR19" s="1587"/>
      <c r="CS19" s="1587"/>
      <c r="CT19" s="1587"/>
      <c r="CU19" s="1587"/>
      <c r="CV19" s="1587"/>
      <c r="CW19" s="1587"/>
      <c r="CX19" s="1587"/>
      <c r="CY19" s="1587"/>
      <c r="CZ19" s="1587"/>
      <c r="DA19" s="1587"/>
      <c r="DB19" s="1587"/>
      <c r="DC19" s="1587"/>
      <c r="DD19" s="1587"/>
    </row>
    <row r="21" spans="1:108">
      <c r="A21" s="437" t="s">
        <v>78</v>
      </c>
    </row>
    <row r="23" spans="1:108">
      <c r="W23" s="1595" t="s">
        <v>291</v>
      </c>
      <c r="X23" s="1595"/>
      <c r="Y23" s="1595"/>
      <c r="Z23" s="1595"/>
      <c r="AA23" s="1595"/>
      <c r="AB23" s="1595"/>
      <c r="AC23" s="1595"/>
      <c r="AD23" s="1595"/>
      <c r="AE23" s="1595"/>
      <c r="AF23" s="1595"/>
      <c r="AG23" s="1595"/>
      <c r="AH23" s="1595"/>
      <c r="AI23" s="1595"/>
      <c r="AJ23" s="1595"/>
      <c r="AK23" s="1595"/>
      <c r="AL23" s="1595"/>
      <c r="AM23" s="1595"/>
      <c r="AN23" s="1595"/>
      <c r="AO23" s="1595"/>
      <c r="AP23" s="1595"/>
      <c r="AQ23" s="1595"/>
      <c r="AR23" s="1595"/>
      <c r="AS23" s="1595"/>
      <c r="AT23" s="1595"/>
      <c r="AU23" s="1595"/>
      <c r="AV23" s="1595"/>
      <c r="AW23" s="1595"/>
      <c r="AX23" s="1595"/>
      <c r="AY23" s="1595"/>
      <c r="AZ23" s="1595"/>
      <c r="BC23" s="1594"/>
      <c r="BD23" s="1594"/>
      <c r="BE23" s="1594"/>
      <c r="BF23" s="1594"/>
      <c r="BG23" s="1594"/>
      <c r="BH23" s="1594"/>
      <c r="BI23" s="1594"/>
      <c r="BJ23" s="1594"/>
      <c r="BK23" s="1594"/>
      <c r="BL23" s="1594"/>
      <c r="BM23" s="1594"/>
      <c r="BN23" s="1594"/>
      <c r="BO23" s="1594"/>
      <c r="BP23" s="1594"/>
      <c r="BQ23" s="1594"/>
      <c r="BR23" s="1594"/>
      <c r="BS23" s="1594"/>
      <c r="BV23" s="1595" t="s">
        <v>33</v>
      </c>
      <c r="BW23" s="1595"/>
      <c r="BX23" s="1595"/>
      <c r="BY23" s="1595"/>
      <c r="BZ23" s="1595"/>
      <c r="CA23" s="1595"/>
      <c r="CB23" s="1595"/>
      <c r="CC23" s="1595"/>
      <c r="CD23" s="1595"/>
      <c r="CE23" s="1595"/>
      <c r="CF23" s="1595"/>
      <c r="CG23" s="1595"/>
      <c r="CH23" s="1595"/>
      <c r="CI23" s="1595"/>
      <c r="CJ23" s="1595"/>
      <c r="CK23" s="1595"/>
      <c r="CL23" s="1595"/>
      <c r="CM23" s="1595"/>
      <c r="CN23" s="1595"/>
      <c r="CO23" s="1595"/>
      <c r="CP23" s="1595"/>
      <c r="CQ23" s="1595"/>
      <c r="CR23" s="1595"/>
      <c r="CS23" s="1595"/>
      <c r="CT23" s="1595"/>
      <c r="CU23" s="1595"/>
      <c r="CV23" s="1595"/>
      <c r="CW23" s="1595"/>
      <c r="CX23" s="1595"/>
      <c r="CY23" s="1595"/>
      <c r="CZ23" s="1595"/>
      <c r="DA23" s="1595"/>
      <c r="DB23" s="1595"/>
      <c r="DC23" s="1595"/>
      <c r="DD23" s="1595"/>
    </row>
    <row r="24" spans="1:108" s="439" customFormat="1" ht="12.75" customHeight="1">
      <c r="W24" s="1591" t="s">
        <v>183</v>
      </c>
      <c r="X24" s="1591"/>
      <c r="Y24" s="1591"/>
      <c r="Z24" s="1591"/>
      <c r="AA24" s="1591"/>
      <c r="AB24" s="1591"/>
      <c r="AC24" s="1591"/>
      <c r="AD24" s="1591"/>
      <c r="AE24" s="1591"/>
      <c r="AF24" s="1591"/>
      <c r="AG24" s="1591"/>
      <c r="AH24" s="1591"/>
      <c r="AI24" s="1591"/>
      <c r="AJ24" s="1591"/>
      <c r="AK24" s="1591"/>
      <c r="AL24" s="1591"/>
      <c r="AM24" s="1591"/>
      <c r="AN24" s="1591"/>
      <c r="AO24" s="1591"/>
      <c r="AP24" s="1591"/>
      <c r="AQ24" s="1591"/>
      <c r="AR24" s="1591"/>
      <c r="AS24" s="1591"/>
      <c r="AT24" s="1591"/>
      <c r="AU24" s="1591"/>
      <c r="AV24" s="1591"/>
      <c r="AW24" s="1591"/>
      <c r="AX24" s="1591"/>
      <c r="AY24" s="1591"/>
      <c r="AZ24" s="1591"/>
      <c r="BC24" s="1592" t="s">
        <v>80</v>
      </c>
      <c r="BD24" s="1592"/>
      <c r="BE24" s="1592"/>
      <c r="BF24" s="1592"/>
      <c r="BG24" s="1592"/>
      <c r="BH24" s="1592"/>
      <c r="BI24" s="1592"/>
      <c r="BJ24" s="1592"/>
      <c r="BK24" s="1592"/>
      <c r="BL24" s="1592"/>
      <c r="BM24" s="1592"/>
      <c r="BN24" s="1592"/>
      <c r="BO24" s="1592"/>
      <c r="BP24" s="1592"/>
      <c r="BQ24" s="1592"/>
      <c r="BR24" s="1592"/>
      <c r="BS24" s="1592"/>
      <c r="BV24" s="1592" t="s">
        <v>182</v>
      </c>
      <c r="BW24" s="1592"/>
      <c r="BX24" s="1592"/>
      <c r="BY24" s="1592"/>
      <c r="BZ24" s="1592"/>
      <c r="CA24" s="1592"/>
      <c r="CB24" s="1592"/>
      <c r="CC24" s="1592"/>
      <c r="CD24" s="1592"/>
      <c r="CE24" s="1592"/>
      <c r="CF24" s="1592"/>
      <c r="CG24" s="1592"/>
      <c r="CH24" s="1592"/>
      <c r="CI24" s="1592"/>
      <c r="CJ24" s="1592"/>
      <c r="CK24" s="1592"/>
      <c r="CL24" s="1592"/>
      <c r="CM24" s="1592"/>
      <c r="CN24" s="1592"/>
      <c r="CO24" s="1592"/>
      <c r="CP24" s="1592"/>
      <c r="CQ24" s="1592"/>
      <c r="CR24" s="1592"/>
      <c r="CS24" s="1592"/>
      <c r="CT24" s="1592"/>
      <c r="CU24" s="1592"/>
      <c r="CV24" s="1592"/>
      <c r="CW24" s="1592"/>
      <c r="CX24" s="1592"/>
      <c r="CY24" s="1592"/>
      <c r="CZ24" s="1592"/>
      <c r="DA24" s="1592"/>
      <c r="DB24" s="1592"/>
      <c r="DC24" s="1592"/>
      <c r="DD24" s="1592"/>
    </row>
    <row r="25" spans="1:108">
      <c r="W25" s="1594"/>
      <c r="X25" s="1594"/>
      <c r="Y25" s="1594"/>
      <c r="Z25" s="1594"/>
      <c r="AA25" s="1594"/>
      <c r="AB25" s="1594"/>
      <c r="AC25" s="1594"/>
      <c r="AD25" s="1594"/>
      <c r="AE25" s="1594"/>
      <c r="AF25" s="1594"/>
      <c r="AG25" s="1594"/>
      <c r="AH25" s="1594"/>
      <c r="AI25" s="1594"/>
      <c r="AJ25" s="1594"/>
      <c r="AK25" s="1594"/>
      <c r="AL25" s="1594"/>
      <c r="AM25" s="1594"/>
      <c r="AN25" s="1594"/>
      <c r="AO25" s="1594"/>
      <c r="AP25" s="1594"/>
      <c r="AQ25" s="1594"/>
      <c r="AR25" s="1594"/>
      <c r="AS25" s="1594"/>
      <c r="AT25" s="1594"/>
      <c r="AU25" s="1594"/>
      <c r="AV25" s="1594"/>
      <c r="AW25" s="1594"/>
      <c r="AX25" s="1594"/>
      <c r="AY25" s="1594"/>
      <c r="AZ25" s="1594"/>
      <c r="BC25" s="1594"/>
      <c r="BD25" s="1594"/>
      <c r="BE25" s="1594"/>
      <c r="BF25" s="1594"/>
      <c r="BG25" s="1594"/>
      <c r="BH25" s="1594"/>
      <c r="BI25" s="1594"/>
      <c r="BJ25" s="1594"/>
      <c r="BK25" s="1594"/>
      <c r="BL25" s="1594"/>
      <c r="BM25" s="1594"/>
      <c r="BN25" s="1594"/>
      <c r="BO25" s="1594"/>
      <c r="BP25" s="1594"/>
      <c r="BQ25" s="1594"/>
      <c r="BR25" s="1594"/>
      <c r="BS25" s="1594"/>
      <c r="BV25" s="1594"/>
      <c r="BW25" s="1594"/>
      <c r="BX25" s="1594"/>
      <c r="BY25" s="1594"/>
      <c r="BZ25" s="1594"/>
      <c r="CA25" s="1594"/>
      <c r="CB25" s="1594"/>
      <c r="CC25" s="1594"/>
      <c r="CD25" s="1594"/>
      <c r="CE25" s="1594"/>
      <c r="CF25" s="1594"/>
      <c r="CG25" s="1594"/>
      <c r="CH25" s="1594"/>
      <c r="CI25" s="1594"/>
      <c r="CJ25" s="1594"/>
      <c r="CK25" s="1594"/>
      <c r="CL25" s="1594"/>
      <c r="CM25" s="1594"/>
      <c r="CN25" s="1594"/>
      <c r="CO25" s="1594"/>
      <c r="CP25" s="1594"/>
      <c r="CQ25" s="1594"/>
      <c r="CR25" s="1594"/>
      <c r="CS25" s="1594"/>
      <c r="CT25" s="1594"/>
      <c r="CU25" s="1594"/>
      <c r="CV25" s="1594"/>
      <c r="CW25" s="1594"/>
      <c r="CX25" s="1594"/>
      <c r="CY25" s="1594"/>
      <c r="CZ25" s="1594"/>
      <c r="DA25" s="1594"/>
      <c r="DB25" s="1594"/>
      <c r="DC25" s="1594"/>
      <c r="DD25" s="1594"/>
    </row>
    <row r="26" spans="1:108" s="439" customFormat="1" ht="12.75" customHeight="1">
      <c r="W26" s="1591" t="s">
        <v>183</v>
      </c>
      <c r="X26" s="1591"/>
      <c r="Y26" s="1591"/>
      <c r="Z26" s="1591"/>
      <c r="AA26" s="1591"/>
      <c r="AB26" s="1591"/>
      <c r="AC26" s="1591"/>
      <c r="AD26" s="1591"/>
      <c r="AE26" s="1591"/>
      <c r="AF26" s="1591"/>
      <c r="AG26" s="1591"/>
      <c r="AH26" s="1591"/>
      <c r="AI26" s="1591"/>
      <c r="AJ26" s="1591"/>
      <c r="AK26" s="1591"/>
      <c r="AL26" s="1591"/>
      <c r="AM26" s="1591"/>
      <c r="AN26" s="1591"/>
      <c r="AO26" s="1591"/>
      <c r="AP26" s="1591"/>
      <c r="AQ26" s="1591"/>
      <c r="AR26" s="1591"/>
      <c r="AS26" s="1591"/>
      <c r="AT26" s="1591"/>
      <c r="AU26" s="1591"/>
      <c r="AV26" s="1591"/>
      <c r="AW26" s="1591"/>
      <c r="AX26" s="1591"/>
      <c r="AY26" s="1591"/>
      <c r="AZ26" s="1591"/>
      <c r="BC26" s="1592" t="s">
        <v>80</v>
      </c>
      <c r="BD26" s="1592"/>
      <c r="BE26" s="1592"/>
      <c r="BF26" s="1592"/>
      <c r="BG26" s="1592"/>
      <c r="BH26" s="1592"/>
      <c r="BI26" s="1592"/>
      <c r="BJ26" s="1592"/>
      <c r="BK26" s="1592"/>
      <c r="BL26" s="1592"/>
      <c r="BM26" s="1592"/>
      <c r="BN26" s="1592"/>
      <c r="BO26" s="1592"/>
      <c r="BP26" s="1592"/>
      <c r="BQ26" s="1592"/>
      <c r="BR26" s="1592"/>
      <c r="BS26" s="1592"/>
      <c r="BV26" s="1592" t="s">
        <v>182</v>
      </c>
      <c r="BW26" s="1592"/>
      <c r="BX26" s="1592"/>
      <c r="BY26" s="1592"/>
      <c r="BZ26" s="1592"/>
      <c r="CA26" s="1592"/>
      <c r="CB26" s="1592"/>
      <c r="CC26" s="1592"/>
      <c r="CD26" s="1592"/>
      <c r="CE26" s="1592"/>
      <c r="CF26" s="1592"/>
      <c r="CG26" s="1592"/>
      <c r="CH26" s="1592"/>
      <c r="CI26" s="1592"/>
      <c r="CJ26" s="1592"/>
      <c r="CK26" s="1592"/>
      <c r="CL26" s="1592"/>
      <c r="CM26" s="1592"/>
      <c r="CN26" s="1592"/>
      <c r="CO26" s="1592"/>
      <c r="CP26" s="1592"/>
      <c r="CQ26" s="1592"/>
      <c r="CR26" s="1592"/>
      <c r="CS26" s="1592"/>
      <c r="CT26" s="1592"/>
      <c r="CU26" s="1592"/>
      <c r="CV26" s="1592"/>
      <c r="CW26" s="1592"/>
      <c r="CX26" s="1592"/>
      <c r="CY26" s="1592"/>
      <c r="CZ26" s="1592"/>
      <c r="DA26" s="1592"/>
      <c r="DB26" s="1592"/>
      <c r="DC26" s="1592"/>
      <c r="DD26" s="1592"/>
    </row>
  </sheetData>
  <mergeCells count="31">
    <mergeCell ref="W26:AZ26"/>
    <mergeCell ref="BC26:BS26"/>
    <mergeCell ref="BV26:DD26"/>
    <mergeCell ref="L7:CA7"/>
    <mergeCell ref="BC24:BS24"/>
    <mergeCell ref="BV24:DD24"/>
    <mergeCell ref="BC25:BS25"/>
    <mergeCell ref="BV25:DD25"/>
    <mergeCell ref="BC23:BS23"/>
    <mergeCell ref="BV23:DD23"/>
    <mergeCell ref="W23:AZ23"/>
    <mergeCell ref="W24:AZ24"/>
    <mergeCell ref="W25:AZ25"/>
    <mergeCell ref="CP13:DD13"/>
    <mergeCell ref="CP14:DD14"/>
    <mergeCell ref="CP15:DD15"/>
    <mergeCell ref="A17:DD17"/>
    <mergeCell ref="A19:DD19"/>
    <mergeCell ref="CP10:DD10"/>
    <mergeCell ref="AP11:BY11"/>
    <mergeCell ref="CP11:DD11"/>
    <mergeCell ref="AP12:BY12"/>
    <mergeCell ref="CP12:DD12"/>
    <mergeCell ref="AH10:CC10"/>
    <mergeCell ref="A1:Q3"/>
    <mergeCell ref="A6:DD6"/>
    <mergeCell ref="CP7:DD7"/>
    <mergeCell ref="CP8:DD8"/>
    <mergeCell ref="N9:CC9"/>
    <mergeCell ref="CP9:DD9"/>
    <mergeCell ref="CB7:CM7"/>
  </mergeCells>
  <pageMargins left="0.78740157480314965" right="0.31496062992125984" top="0.59055118110236227" bottom="0.39370078740157483" header="0.19685039370078741" footer="0.19685039370078741"/>
  <pageSetup paperSize="9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"/>
  <dimension ref="A1:CI9"/>
  <sheetViews>
    <sheetView view="pageBreakPreview" zoomScaleNormal="100" workbookViewId="0">
      <selection activeCell="E8" sqref="E8"/>
    </sheetView>
  </sheetViews>
  <sheetFormatPr defaultColWidth="0.85546875" defaultRowHeight="12.75"/>
  <cols>
    <col min="1" max="1" width="5.85546875" style="437" customWidth="1"/>
    <col min="2" max="2" width="24.85546875" style="437" customWidth="1"/>
    <col min="3" max="3" width="10.42578125" style="437" customWidth="1"/>
    <col min="4" max="4" width="8" style="437" customWidth="1"/>
    <col min="5" max="6" width="8.5703125" style="437" customWidth="1"/>
    <col min="7" max="7" width="6" style="437" customWidth="1"/>
    <col min="8" max="8" width="8.42578125" style="437" customWidth="1"/>
    <col min="9" max="10" width="0.85546875" style="437" hidden="1" customWidth="1"/>
    <col min="11" max="11" width="8.5703125" style="437" customWidth="1"/>
    <col min="12" max="12" width="9" style="437" customWidth="1"/>
    <col min="13" max="13" width="8.28515625" style="437" customWidth="1"/>
    <col min="14" max="14" width="6" style="437" customWidth="1"/>
    <col min="15" max="16" width="8.140625" style="437" customWidth="1"/>
    <col min="17" max="17" width="8.5703125" style="437" customWidth="1"/>
    <col min="18" max="60" width="0.85546875" style="437"/>
    <col min="61" max="61" width="0.140625" style="437" customWidth="1"/>
    <col min="62" max="16384" width="0.85546875" style="437"/>
  </cols>
  <sheetData>
    <row r="1" spans="1:87">
      <c r="L1" s="41" t="s">
        <v>351</v>
      </c>
      <c r="CI1" s="41" t="s">
        <v>352</v>
      </c>
    </row>
    <row r="2" spans="1:87" ht="3.75" customHeight="1"/>
    <row r="3" spans="1:87" ht="12.75" customHeight="1">
      <c r="A3" s="1610" t="s">
        <v>283</v>
      </c>
      <c r="B3" s="1631" t="s">
        <v>353</v>
      </c>
      <c r="C3" s="1632"/>
      <c r="D3" s="1636" t="s">
        <v>153</v>
      </c>
      <c r="E3" s="1636"/>
      <c r="F3" s="1637" t="s">
        <v>285</v>
      </c>
      <c r="G3" s="1638"/>
      <c r="H3" s="1638"/>
      <c r="I3" s="1638"/>
      <c r="J3" s="1638"/>
      <c r="K3" s="1638"/>
      <c r="L3" s="1639"/>
      <c r="M3" s="1596" t="s">
        <v>354</v>
      </c>
      <c r="N3" s="1597"/>
      <c r="O3" s="1597"/>
      <c r="P3" s="1597"/>
      <c r="Q3" s="1598"/>
      <c r="R3" s="1602" t="s">
        <v>154</v>
      </c>
      <c r="S3" s="1588"/>
      <c r="T3" s="1588"/>
      <c r="U3" s="1588"/>
      <c r="V3" s="1588"/>
      <c r="W3" s="1588"/>
      <c r="X3" s="1588"/>
      <c r="Y3" s="1588"/>
      <c r="Z3" s="1588"/>
      <c r="AA3" s="1588"/>
      <c r="AB3" s="1588"/>
      <c r="AC3" s="1588"/>
      <c r="AD3" s="1588"/>
      <c r="AE3" s="1588"/>
      <c r="AF3" s="1588"/>
      <c r="AG3" s="1588"/>
      <c r="AH3" s="1588"/>
      <c r="AI3" s="1588"/>
      <c r="AJ3" s="1588"/>
      <c r="AK3" s="1588"/>
      <c r="AL3" s="1588"/>
      <c r="AM3" s="1588"/>
      <c r="AN3" s="1588"/>
      <c r="AO3" s="1588"/>
      <c r="AP3" s="1588"/>
      <c r="AQ3" s="1588"/>
      <c r="AR3" s="1588"/>
      <c r="AS3" s="1588"/>
      <c r="AT3" s="1588"/>
      <c r="AU3" s="1588"/>
      <c r="AV3" s="1588"/>
      <c r="AW3" s="1588"/>
      <c r="AX3" s="1588"/>
      <c r="AY3" s="1588"/>
      <c r="AZ3" s="1588"/>
      <c r="BA3" s="1588"/>
      <c r="BB3" s="1588"/>
      <c r="BC3" s="1588"/>
      <c r="BD3" s="1588"/>
      <c r="BE3" s="1588"/>
      <c r="BF3" s="1588"/>
      <c r="BG3" s="1588"/>
      <c r="BH3" s="1588"/>
      <c r="BI3" s="1588"/>
      <c r="BJ3" s="1588"/>
      <c r="BK3" s="1588"/>
      <c r="BL3" s="1588"/>
      <c r="BM3" s="1588"/>
      <c r="BN3" s="1588"/>
      <c r="BO3" s="1588"/>
      <c r="BP3" s="1588"/>
      <c r="BQ3" s="1588"/>
      <c r="BR3" s="1588"/>
      <c r="BS3" s="1588"/>
      <c r="BT3" s="1588"/>
      <c r="BU3" s="1588"/>
      <c r="BV3" s="1588"/>
      <c r="BW3" s="1588"/>
      <c r="BX3" s="1588"/>
      <c r="BY3" s="1588"/>
      <c r="BZ3" s="1588"/>
      <c r="CA3" s="1588"/>
      <c r="CB3" s="1588"/>
      <c r="CC3" s="1588"/>
      <c r="CD3" s="1588"/>
      <c r="CE3" s="1588"/>
      <c r="CF3" s="1588"/>
      <c r="CG3" s="1588"/>
      <c r="CH3" s="1588"/>
      <c r="CI3" s="1603"/>
    </row>
    <row r="4" spans="1:87">
      <c r="A4" s="1627"/>
      <c r="B4" s="1633"/>
      <c r="C4" s="1634"/>
      <c r="D4" s="1636"/>
      <c r="E4" s="1636"/>
      <c r="F4" s="1640"/>
      <c r="G4" s="1641"/>
      <c r="H4" s="1641"/>
      <c r="I4" s="1641"/>
      <c r="J4" s="1641"/>
      <c r="K4" s="1641"/>
      <c r="L4" s="1642"/>
      <c r="M4" s="1599"/>
      <c r="N4" s="1600"/>
      <c r="O4" s="1600"/>
      <c r="P4" s="1600"/>
      <c r="Q4" s="1601"/>
      <c r="R4" s="1602" t="s">
        <v>163</v>
      </c>
      <c r="S4" s="1588"/>
      <c r="T4" s="1588"/>
      <c r="U4" s="1588"/>
      <c r="V4" s="1588"/>
      <c r="W4" s="1588"/>
      <c r="X4" s="1588"/>
      <c r="Y4" s="1588"/>
      <c r="Z4" s="1588"/>
      <c r="AA4" s="1588"/>
      <c r="AB4" s="1588"/>
      <c r="AC4" s="1588"/>
      <c r="AD4" s="1588"/>
      <c r="AE4" s="1588"/>
      <c r="AF4" s="1588"/>
      <c r="AG4" s="1588"/>
      <c r="AH4" s="1588"/>
      <c r="AI4" s="1588"/>
      <c r="AJ4" s="1588"/>
      <c r="AK4" s="1588"/>
      <c r="AL4" s="1588"/>
      <c r="AM4" s="1588"/>
      <c r="AN4" s="1588"/>
      <c r="AO4" s="1588"/>
      <c r="AP4" s="1588"/>
      <c r="AQ4" s="1605"/>
      <c r="AR4" s="1605"/>
      <c r="AS4" s="1605"/>
      <c r="AT4" s="1605"/>
      <c r="AU4" s="1605"/>
      <c r="AV4" s="1605"/>
      <c r="AW4" s="1605"/>
      <c r="AX4" s="1605"/>
      <c r="AY4" s="1605"/>
      <c r="AZ4" s="1606"/>
      <c r="BA4" s="1602" t="s">
        <v>164</v>
      </c>
      <c r="BB4" s="1588"/>
      <c r="BC4" s="1588"/>
      <c r="BD4" s="1588"/>
      <c r="BE4" s="1588"/>
      <c r="BF4" s="1588"/>
      <c r="BG4" s="1588"/>
      <c r="BH4" s="1588"/>
      <c r="BI4" s="1588"/>
      <c r="BJ4" s="1588"/>
      <c r="BK4" s="1588"/>
      <c r="BL4" s="1588"/>
      <c r="BM4" s="1588"/>
      <c r="BN4" s="1588"/>
      <c r="BO4" s="1588"/>
      <c r="BP4" s="1588"/>
      <c r="BQ4" s="1588"/>
      <c r="BR4" s="1588"/>
      <c r="BS4" s="1588"/>
      <c r="BT4" s="1588"/>
      <c r="BU4" s="1588"/>
      <c r="BV4" s="1588"/>
      <c r="BW4" s="1588"/>
      <c r="BX4" s="1588"/>
      <c r="BY4" s="1588"/>
      <c r="BZ4" s="1605"/>
      <c r="CA4" s="1605"/>
      <c r="CB4" s="1605"/>
      <c r="CC4" s="1605"/>
      <c r="CD4" s="1605"/>
      <c r="CE4" s="1605"/>
      <c r="CF4" s="1605"/>
      <c r="CG4" s="1605"/>
      <c r="CH4" s="1605"/>
      <c r="CI4" s="1606"/>
    </row>
    <row r="5" spans="1:87" ht="12.75" customHeight="1">
      <c r="A5" s="1627"/>
      <c r="B5" s="1628" t="s">
        <v>8</v>
      </c>
      <c r="C5" s="1629" t="s">
        <v>7</v>
      </c>
      <c r="D5" s="1635" t="s">
        <v>355</v>
      </c>
      <c r="E5" s="1596" t="s">
        <v>356</v>
      </c>
      <c r="F5" s="1635" t="s">
        <v>357</v>
      </c>
      <c r="G5" s="1598" t="s">
        <v>358</v>
      </c>
      <c r="H5" s="455" t="s">
        <v>370</v>
      </c>
      <c r="I5" s="456"/>
      <c r="J5" s="457"/>
      <c r="K5" s="1596" t="s">
        <v>286</v>
      </c>
      <c r="L5" s="464" t="s">
        <v>360</v>
      </c>
      <c r="M5" s="1610" t="s">
        <v>357</v>
      </c>
      <c r="N5" s="1610" t="s">
        <v>358</v>
      </c>
      <c r="O5" s="464" t="s">
        <v>359</v>
      </c>
      <c r="P5" s="1610" t="s">
        <v>286</v>
      </c>
      <c r="Q5" s="455" t="s">
        <v>360</v>
      </c>
      <c r="R5" s="1596" t="s">
        <v>357</v>
      </c>
      <c r="S5" s="1597"/>
      <c r="T5" s="1597"/>
      <c r="U5" s="1597"/>
      <c r="V5" s="1597"/>
      <c r="W5" s="1597"/>
      <c r="X5" s="1597"/>
      <c r="Y5" s="1597"/>
      <c r="Z5" s="1597"/>
      <c r="AA5" s="1598"/>
      <c r="AB5" s="1596" t="s">
        <v>358</v>
      </c>
      <c r="AC5" s="1597"/>
      <c r="AD5" s="1597"/>
      <c r="AE5" s="1597"/>
      <c r="AF5" s="1597"/>
      <c r="AG5" s="1597"/>
      <c r="AH5" s="1598"/>
      <c r="AI5" s="1596" t="s">
        <v>286</v>
      </c>
      <c r="AJ5" s="1597"/>
      <c r="AK5" s="1597"/>
      <c r="AL5" s="1597"/>
      <c r="AM5" s="1597"/>
      <c r="AN5" s="1597"/>
      <c r="AO5" s="1597"/>
      <c r="AP5" s="1597"/>
      <c r="AQ5" s="1596" t="s">
        <v>360</v>
      </c>
      <c r="AR5" s="1597"/>
      <c r="AS5" s="1597"/>
      <c r="AT5" s="1597"/>
      <c r="AU5" s="1597"/>
      <c r="AV5" s="1597"/>
      <c r="AW5" s="1597"/>
      <c r="AX5" s="1597"/>
      <c r="AY5" s="1597"/>
      <c r="AZ5" s="1598"/>
      <c r="BA5" s="1596" t="s">
        <v>357</v>
      </c>
      <c r="BB5" s="1597"/>
      <c r="BC5" s="1597"/>
      <c r="BD5" s="1597"/>
      <c r="BE5" s="1597"/>
      <c r="BF5" s="1597"/>
      <c r="BG5" s="1597"/>
      <c r="BH5" s="1597"/>
      <c r="BI5" s="1597"/>
      <c r="BJ5" s="1598"/>
      <c r="BK5" s="1596" t="s">
        <v>358</v>
      </c>
      <c r="BL5" s="1597"/>
      <c r="BM5" s="1597"/>
      <c r="BN5" s="1597"/>
      <c r="BO5" s="1597"/>
      <c r="BP5" s="1597"/>
      <c r="BQ5" s="1598"/>
      <c r="BR5" s="1596" t="s">
        <v>286</v>
      </c>
      <c r="BS5" s="1597"/>
      <c r="BT5" s="1597"/>
      <c r="BU5" s="1597"/>
      <c r="BV5" s="1597"/>
      <c r="BW5" s="1597"/>
      <c r="BX5" s="1597"/>
      <c r="BY5" s="1597"/>
      <c r="BZ5" s="1596" t="s">
        <v>360</v>
      </c>
      <c r="CA5" s="1597"/>
      <c r="CB5" s="1597"/>
      <c r="CC5" s="1597"/>
      <c r="CD5" s="1597"/>
      <c r="CE5" s="1597"/>
      <c r="CF5" s="1597"/>
      <c r="CG5" s="1597"/>
      <c r="CH5" s="1597"/>
      <c r="CI5" s="1598"/>
    </row>
    <row r="6" spans="1:87" ht="15.75" customHeight="1">
      <c r="A6" s="1611"/>
      <c r="B6" s="1628"/>
      <c r="C6" s="1630"/>
      <c r="D6" s="1635"/>
      <c r="E6" s="1599"/>
      <c r="F6" s="1635"/>
      <c r="G6" s="1601"/>
      <c r="H6" s="462" t="s">
        <v>47</v>
      </c>
      <c r="I6" s="461"/>
      <c r="J6" s="463"/>
      <c r="K6" s="1599"/>
      <c r="L6" s="465" t="str">
        <f>H6</f>
        <v>SimvValR</v>
      </c>
      <c r="M6" s="1611"/>
      <c r="N6" s="1611"/>
      <c r="O6" s="465" t="str">
        <f>H6</f>
        <v>SimvValR</v>
      </c>
      <c r="P6" s="1611"/>
      <c r="Q6" s="462" t="str">
        <f>H6</f>
        <v>SimvValR</v>
      </c>
      <c r="R6" s="1599"/>
      <c r="S6" s="1600"/>
      <c r="T6" s="1600"/>
      <c r="U6" s="1600"/>
      <c r="V6" s="1600"/>
      <c r="W6" s="1600"/>
      <c r="X6" s="1600"/>
      <c r="Y6" s="1600"/>
      <c r="Z6" s="1600"/>
      <c r="AA6" s="1601"/>
      <c r="AB6" s="1599"/>
      <c r="AC6" s="1600"/>
      <c r="AD6" s="1600"/>
      <c r="AE6" s="1600"/>
      <c r="AF6" s="1600"/>
      <c r="AG6" s="1600"/>
      <c r="AH6" s="1601"/>
      <c r="AI6" s="1599"/>
      <c r="AJ6" s="1600"/>
      <c r="AK6" s="1600"/>
      <c r="AL6" s="1600"/>
      <c r="AM6" s="1600"/>
      <c r="AN6" s="1600"/>
      <c r="AO6" s="1600"/>
      <c r="AP6" s="1601"/>
      <c r="AQ6" s="1604" t="str">
        <f>H6</f>
        <v>SimvValR</v>
      </c>
      <c r="AR6" s="1600"/>
      <c r="AS6" s="1600"/>
      <c r="AT6" s="1600"/>
      <c r="AU6" s="1600"/>
      <c r="AV6" s="1600"/>
      <c r="AW6" s="1600"/>
      <c r="AX6" s="1600"/>
      <c r="AY6" s="1600"/>
      <c r="AZ6" s="1601"/>
      <c r="BA6" s="1599"/>
      <c r="BB6" s="1600"/>
      <c r="BC6" s="1600"/>
      <c r="BD6" s="1600"/>
      <c r="BE6" s="1600"/>
      <c r="BF6" s="1600"/>
      <c r="BG6" s="1600"/>
      <c r="BH6" s="1600"/>
      <c r="BI6" s="1600"/>
      <c r="BJ6" s="1601"/>
      <c r="BK6" s="1599"/>
      <c r="BL6" s="1600"/>
      <c r="BM6" s="1600"/>
      <c r="BN6" s="1600"/>
      <c r="BO6" s="1600"/>
      <c r="BP6" s="1600"/>
      <c r="BQ6" s="1601"/>
      <c r="BR6" s="1599"/>
      <c r="BS6" s="1600"/>
      <c r="BT6" s="1600"/>
      <c r="BU6" s="1600"/>
      <c r="BV6" s="1600"/>
      <c r="BW6" s="1600"/>
      <c r="BX6" s="1600"/>
      <c r="BY6" s="1601"/>
      <c r="BZ6" s="1604" t="str">
        <f>H6</f>
        <v>SimvValR</v>
      </c>
      <c r="CA6" s="1600"/>
      <c r="CB6" s="1600"/>
      <c r="CC6" s="1600"/>
      <c r="CD6" s="1600"/>
      <c r="CE6" s="1600"/>
      <c r="CF6" s="1600"/>
      <c r="CG6" s="1600"/>
      <c r="CH6" s="1600"/>
      <c r="CI6" s="1601"/>
    </row>
    <row r="7" spans="1:87">
      <c r="A7" s="443">
        <v>1</v>
      </c>
      <c r="B7" s="443">
        <v>2</v>
      </c>
      <c r="C7" s="443">
        <v>3</v>
      </c>
      <c r="D7" s="443">
        <v>4</v>
      </c>
      <c r="E7" s="445">
        <v>5</v>
      </c>
      <c r="F7" s="443">
        <v>6</v>
      </c>
      <c r="G7" s="443">
        <v>7</v>
      </c>
      <c r="H7" s="443">
        <v>8</v>
      </c>
      <c r="I7" s="454"/>
      <c r="J7" s="460"/>
      <c r="K7" s="443">
        <v>9</v>
      </c>
      <c r="L7" s="445">
        <v>10</v>
      </c>
      <c r="M7" s="445">
        <v>11</v>
      </c>
      <c r="N7" s="443">
        <v>12</v>
      </c>
      <c r="O7" s="443">
        <v>13</v>
      </c>
      <c r="P7" s="443">
        <v>14</v>
      </c>
      <c r="Q7" s="443">
        <v>15</v>
      </c>
      <c r="R7" s="1602">
        <v>16</v>
      </c>
      <c r="S7" s="1588"/>
      <c r="T7" s="1588"/>
      <c r="U7" s="1588"/>
      <c r="V7" s="1588"/>
      <c r="W7" s="1588"/>
      <c r="X7" s="1588"/>
      <c r="Y7" s="1588"/>
      <c r="Z7" s="1588"/>
      <c r="AA7" s="1603"/>
      <c r="AB7" s="1602">
        <v>17</v>
      </c>
      <c r="AC7" s="1588"/>
      <c r="AD7" s="1588"/>
      <c r="AE7" s="1588"/>
      <c r="AF7" s="1588"/>
      <c r="AG7" s="1588"/>
      <c r="AH7" s="1603"/>
      <c r="AI7" s="1602">
        <v>18</v>
      </c>
      <c r="AJ7" s="1588"/>
      <c r="AK7" s="1588"/>
      <c r="AL7" s="1588"/>
      <c r="AM7" s="1588"/>
      <c r="AN7" s="1588"/>
      <c r="AO7" s="1588"/>
      <c r="AP7" s="1603"/>
      <c r="AQ7" s="1602">
        <v>19</v>
      </c>
      <c r="AR7" s="1588"/>
      <c r="AS7" s="1588"/>
      <c r="AT7" s="1588"/>
      <c r="AU7" s="1588"/>
      <c r="AV7" s="1588"/>
      <c r="AW7" s="1588"/>
      <c r="AX7" s="1588"/>
      <c r="AY7" s="1588"/>
      <c r="AZ7" s="1603"/>
      <c r="BA7" s="1602">
        <v>20</v>
      </c>
      <c r="BB7" s="1588"/>
      <c r="BC7" s="1588"/>
      <c r="BD7" s="1588"/>
      <c r="BE7" s="1588"/>
      <c r="BF7" s="1588"/>
      <c r="BG7" s="1588"/>
      <c r="BH7" s="1588"/>
      <c r="BI7" s="1588"/>
      <c r="BJ7" s="1603"/>
      <c r="BK7" s="1602">
        <v>21</v>
      </c>
      <c r="BL7" s="1588"/>
      <c r="BM7" s="1588"/>
      <c r="BN7" s="1588"/>
      <c r="BO7" s="1588"/>
      <c r="BP7" s="1588"/>
      <c r="BQ7" s="1603"/>
      <c r="BR7" s="1602">
        <v>22</v>
      </c>
      <c r="BS7" s="1588"/>
      <c r="BT7" s="1588"/>
      <c r="BU7" s="1588"/>
      <c r="BV7" s="1588"/>
      <c r="BW7" s="1588"/>
      <c r="BX7" s="1588"/>
      <c r="BY7" s="1603"/>
      <c r="BZ7" s="1602">
        <v>23</v>
      </c>
      <c r="CA7" s="1588"/>
      <c r="CB7" s="1588"/>
      <c r="CC7" s="1588"/>
      <c r="CD7" s="1588"/>
      <c r="CE7" s="1588"/>
      <c r="CF7" s="1588"/>
      <c r="CG7" s="1588"/>
      <c r="CH7" s="1588"/>
      <c r="CI7" s="1603"/>
    </row>
    <row r="8" spans="1:87" ht="22.5">
      <c r="A8" s="470" t="s">
        <v>4</v>
      </c>
      <c r="B8" s="447" t="s">
        <v>6</v>
      </c>
      <c r="C8" s="448" t="s">
        <v>7</v>
      </c>
      <c r="D8" s="449" t="s">
        <v>8</v>
      </c>
      <c r="E8" s="450" t="s">
        <v>336</v>
      </c>
      <c r="F8" s="471" t="s">
        <v>371</v>
      </c>
      <c r="G8" s="471"/>
      <c r="H8" s="472" t="s">
        <v>9</v>
      </c>
      <c r="I8" s="473"/>
      <c r="J8" s="474"/>
      <c r="K8" s="475" t="s">
        <v>16</v>
      </c>
      <c r="L8" s="476" t="s">
        <v>17</v>
      </c>
      <c r="M8" s="477" t="str">
        <f>F8</f>
        <v>номер_БСО</v>
      </c>
      <c r="N8" s="471"/>
      <c r="O8" s="472" t="str">
        <f>H8</f>
        <v>цена</v>
      </c>
      <c r="P8" s="475" t="s">
        <v>18</v>
      </c>
      <c r="Q8" s="472" t="s">
        <v>19</v>
      </c>
      <c r="R8" s="1607"/>
      <c r="S8" s="1608"/>
      <c r="T8" s="1608"/>
      <c r="U8" s="1608"/>
      <c r="V8" s="1608"/>
      <c r="W8" s="1608"/>
      <c r="X8" s="1608"/>
      <c r="Y8" s="1608"/>
      <c r="Z8" s="1608"/>
      <c r="AA8" s="1609"/>
      <c r="AB8" s="1607"/>
      <c r="AC8" s="1608"/>
      <c r="AD8" s="1608"/>
      <c r="AE8" s="1608"/>
      <c r="AF8" s="1608"/>
      <c r="AG8" s="1608"/>
      <c r="AH8" s="1609"/>
      <c r="AI8" s="1615" t="s">
        <v>10</v>
      </c>
      <c r="AJ8" s="1616"/>
      <c r="AK8" s="1616"/>
      <c r="AL8" s="1616"/>
      <c r="AM8" s="1616"/>
      <c r="AN8" s="1616"/>
      <c r="AO8" s="1616"/>
      <c r="AP8" s="1617"/>
      <c r="AQ8" s="1612" t="s">
        <v>11</v>
      </c>
      <c r="AR8" s="1613"/>
      <c r="AS8" s="1613"/>
      <c r="AT8" s="1613"/>
      <c r="AU8" s="1613"/>
      <c r="AV8" s="1613"/>
      <c r="AW8" s="1613"/>
      <c r="AX8" s="1613"/>
      <c r="AY8" s="1613"/>
      <c r="AZ8" s="1614"/>
      <c r="BA8" s="1607"/>
      <c r="BB8" s="1608"/>
      <c r="BC8" s="1608"/>
      <c r="BD8" s="1608"/>
      <c r="BE8" s="1608"/>
      <c r="BF8" s="1608"/>
      <c r="BG8" s="1608"/>
      <c r="BH8" s="1608"/>
      <c r="BI8" s="1608"/>
      <c r="BJ8" s="1609"/>
      <c r="BK8" s="1607"/>
      <c r="BL8" s="1608"/>
      <c r="BM8" s="1608"/>
      <c r="BN8" s="1608"/>
      <c r="BO8" s="1608"/>
      <c r="BP8" s="1608"/>
      <c r="BQ8" s="1609"/>
      <c r="BR8" s="1615" t="s">
        <v>12</v>
      </c>
      <c r="BS8" s="1616"/>
      <c r="BT8" s="1616"/>
      <c r="BU8" s="1616"/>
      <c r="BV8" s="1616"/>
      <c r="BW8" s="1616"/>
      <c r="BX8" s="1616"/>
      <c r="BY8" s="1617"/>
      <c r="BZ8" s="1612" t="s">
        <v>13</v>
      </c>
      <c r="CA8" s="1613"/>
      <c r="CB8" s="1613"/>
      <c r="CC8" s="1613"/>
      <c r="CD8" s="1613"/>
      <c r="CE8" s="1613"/>
      <c r="CF8" s="1613"/>
      <c r="CG8" s="1613"/>
      <c r="CH8" s="1613"/>
      <c r="CI8" s="1614"/>
    </row>
    <row r="9" spans="1:87">
      <c r="A9" s="437" t="s">
        <v>115</v>
      </c>
      <c r="B9" s="446"/>
      <c r="C9" s="451"/>
      <c r="D9" s="451"/>
      <c r="E9" s="451"/>
      <c r="F9" s="451"/>
      <c r="G9" s="451"/>
      <c r="H9" s="41" t="s">
        <v>372</v>
      </c>
      <c r="I9" s="452" t="s">
        <v>361</v>
      </c>
      <c r="J9" s="451"/>
      <c r="K9" s="466"/>
      <c r="L9" s="467"/>
      <c r="M9" s="478" t="s">
        <v>177</v>
      </c>
      <c r="N9" s="459" t="s">
        <v>177</v>
      </c>
      <c r="O9" s="458" t="s">
        <v>177</v>
      </c>
      <c r="P9" s="468"/>
      <c r="Q9" s="469"/>
      <c r="R9" s="1621"/>
      <c r="S9" s="1622"/>
      <c r="T9" s="1622"/>
      <c r="U9" s="1622"/>
      <c r="V9" s="1622"/>
      <c r="W9" s="1622"/>
      <c r="X9" s="1622"/>
      <c r="Y9" s="1622"/>
      <c r="Z9" s="1622"/>
      <c r="AA9" s="1623"/>
      <c r="AB9" s="1621"/>
      <c r="AC9" s="1622"/>
      <c r="AD9" s="1622"/>
      <c r="AE9" s="1622"/>
      <c r="AF9" s="1622"/>
      <c r="AG9" s="1622"/>
      <c r="AH9" s="1623"/>
      <c r="AI9" s="1624" t="s">
        <v>177</v>
      </c>
      <c r="AJ9" s="1625"/>
      <c r="AK9" s="1625"/>
      <c r="AL9" s="1625"/>
      <c r="AM9" s="1625"/>
      <c r="AN9" s="1625"/>
      <c r="AO9" s="1625"/>
      <c r="AP9" s="1626"/>
      <c r="AQ9" s="1618" t="s">
        <v>177</v>
      </c>
      <c r="AR9" s="1619"/>
      <c r="AS9" s="1619"/>
      <c r="AT9" s="1619"/>
      <c r="AU9" s="1619"/>
      <c r="AV9" s="1619"/>
      <c r="AW9" s="1619"/>
      <c r="AX9" s="1619"/>
      <c r="AY9" s="1619"/>
      <c r="AZ9" s="1620"/>
      <c r="BA9" s="1621"/>
      <c r="BB9" s="1622"/>
      <c r="BC9" s="1622"/>
      <c r="BD9" s="1622"/>
      <c r="BE9" s="1622"/>
      <c r="BF9" s="1622"/>
      <c r="BG9" s="1622"/>
      <c r="BH9" s="1622"/>
      <c r="BI9" s="1622"/>
      <c r="BJ9" s="1623"/>
      <c r="BK9" s="1621"/>
      <c r="BL9" s="1622"/>
      <c r="BM9" s="1622"/>
      <c r="BN9" s="1622"/>
      <c r="BO9" s="1622"/>
      <c r="BP9" s="1622"/>
      <c r="BQ9" s="1623"/>
      <c r="BR9" s="1618" t="s">
        <v>177</v>
      </c>
      <c r="BS9" s="1619"/>
      <c r="BT9" s="1619"/>
      <c r="BU9" s="1619"/>
      <c r="BV9" s="1619"/>
      <c r="BW9" s="1619"/>
      <c r="BX9" s="1619"/>
      <c r="BY9" s="1620"/>
      <c r="BZ9" s="1618" t="s">
        <v>177</v>
      </c>
      <c r="CA9" s="1619"/>
      <c r="CB9" s="1619"/>
      <c r="CC9" s="1619"/>
      <c r="CD9" s="1619"/>
      <c r="CE9" s="1619"/>
      <c r="CF9" s="1619"/>
      <c r="CG9" s="1619"/>
      <c r="CH9" s="1619"/>
      <c r="CI9" s="1620"/>
    </row>
  </sheetData>
  <mergeCells count="52">
    <mergeCell ref="M3:Q4"/>
    <mergeCell ref="A3:A6"/>
    <mergeCell ref="B5:B6"/>
    <mergeCell ref="C5:C6"/>
    <mergeCell ref="B3:C4"/>
    <mergeCell ref="D5:D6"/>
    <mergeCell ref="D3:E4"/>
    <mergeCell ref="E5:E6"/>
    <mergeCell ref="F5:F6"/>
    <mergeCell ref="G5:G6"/>
    <mergeCell ref="F3:L4"/>
    <mergeCell ref="M5:M6"/>
    <mergeCell ref="K5:K6"/>
    <mergeCell ref="BR9:BY9"/>
    <mergeCell ref="BZ9:CI9"/>
    <mergeCell ref="R9:AA9"/>
    <mergeCell ref="AB9:AH9"/>
    <mergeCell ref="AI9:AP9"/>
    <mergeCell ref="AQ9:AZ9"/>
    <mergeCell ref="BA9:BJ9"/>
    <mergeCell ref="BK9:BQ9"/>
    <mergeCell ref="BA8:BJ8"/>
    <mergeCell ref="AQ5:AZ5"/>
    <mergeCell ref="N5:N6"/>
    <mergeCell ref="P5:P6"/>
    <mergeCell ref="BA4:CI4"/>
    <mergeCell ref="BA5:BJ6"/>
    <mergeCell ref="BK5:BQ6"/>
    <mergeCell ref="BZ8:CI8"/>
    <mergeCell ref="R8:AA8"/>
    <mergeCell ref="AB8:AH8"/>
    <mergeCell ref="AI8:AP8"/>
    <mergeCell ref="AQ8:AZ8"/>
    <mergeCell ref="BK8:BQ8"/>
    <mergeCell ref="BR8:BY8"/>
    <mergeCell ref="BR5:BY6"/>
    <mergeCell ref="BZ5:CI5"/>
    <mergeCell ref="AB5:AH6"/>
    <mergeCell ref="AI5:AP6"/>
    <mergeCell ref="R3:CI3"/>
    <mergeCell ref="AQ7:AZ7"/>
    <mergeCell ref="BA7:BJ7"/>
    <mergeCell ref="BK7:BQ7"/>
    <mergeCell ref="R5:AA6"/>
    <mergeCell ref="BR7:BY7"/>
    <mergeCell ref="BZ7:CI7"/>
    <mergeCell ref="R7:AA7"/>
    <mergeCell ref="AB7:AH7"/>
    <mergeCell ref="AI7:AP7"/>
    <mergeCell ref="BZ6:CI6"/>
    <mergeCell ref="AQ6:AZ6"/>
    <mergeCell ref="R4:AZ4"/>
  </mergeCells>
  <pageMargins left="0.39370078740157483" right="0.31496062992125984" top="0.59055118110236227" bottom="0.39370078740157483" header="0.19685039370078741" footer="0.19685039370078741"/>
  <pageSetup paperSize="9" orientation="portrait" r:id="rId1"/>
  <headerFooter alignWithMargins="0"/>
  <colBreaks count="1" manualBreakCount="1">
    <brk id="12" max="1048575" man="1"/>
  </colBreaks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25"/>
  <dimension ref="A1:DE51"/>
  <sheetViews>
    <sheetView view="pageBreakPreview" zoomScaleNormal="100" workbookViewId="0">
      <selection activeCell="Z19" sqref="Z19:AG19"/>
    </sheetView>
  </sheetViews>
  <sheetFormatPr defaultColWidth="0.85546875" defaultRowHeight="12.75"/>
  <cols>
    <col min="1" max="31" width="0.85546875" style="437"/>
    <col min="32" max="32" width="0.85546875" style="437" customWidth="1"/>
    <col min="33" max="47" width="0.85546875" style="437"/>
    <col min="48" max="48" width="1.140625" style="437" customWidth="1"/>
    <col min="49" max="76" width="0.85546875" style="437"/>
    <col min="77" max="77" width="1" style="437" customWidth="1"/>
    <col min="78" max="107" width="0.85546875" style="437"/>
    <col min="108" max="108" width="2.5703125" style="437" customWidth="1"/>
    <col min="109" max="16384" width="0.85546875" style="437"/>
  </cols>
  <sheetData>
    <row r="1" spans="1:109">
      <c r="DD1" s="41" t="s">
        <v>362</v>
      </c>
    </row>
    <row r="2" spans="1:109">
      <c r="A2" s="437" t="s">
        <v>122</v>
      </c>
      <c r="AV2" s="453"/>
    </row>
    <row r="3" spans="1:109">
      <c r="A3" s="437" t="s">
        <v>373</v>
      </c>
      <c r="AG3" s="1573" t="s">
        <v>51</v>
      </c>
      <c r="AH3" s="1573"/>
      <c r="AI3" s="1573"/>
      <c r="AJ3" s="1573"/>
      <c r="AK3" s="1573"/>
      <c r="AL3" s="1573"/>
      <c r="AM3" s="1573"/>
      <c r="AN3" s="1573"/>
      <c r="AO3" s="1573"/>
      <c r="AP3" s="1573"/>
      <c r="AQ3" s="1573"/>
      <c r="AR3" s="1573"/>
      <c r="AS3" s="1573"/>
      <c r="AT3" s="1573"/>
      <c r="AU3" s="1573"/>
      <c r="AV3" s="1573"/>
      <c r="AW3" s="1573"/>
      <c r="AX3" s="1573"/>
      <c r="AY3" s="1573"/>
      <c r="AZ3" s="1573"/>
      <c r="BA3" s="1573"/>
      <c r="BB3" s="1573"/>
      <c r="BC3" s="1573"/>
      <c r="BD3" s="1573"/>
      <c r="BE3" s="1573"/>
      <c r="BF3" s="1573"/>
      <c r="BG3" s="1573"/>
      <c r="BH3" s="1573"/>
      <c r="BI3" s="1573"/>
      <c r="BJ3" s="1573"/>
      <c r="BK3" s="1573"/>
      <c r="BL3" s="1573"/>
      <c r="BM3" s="1573"/>
      <c r="BN3" s="1573"/>
      <c r="BO3" s="1573"/>
      <c r="BP3" s="1573"/>
      <c r="BQ3" s="1573"/>
      <c r="BR3" s="1573"/>
      <c r="BS3" s="1573"/>
      <c r="BT3" s="1573"/>
      <c r="BU3" s="1573"/>
      <c r="BV3" s="1573"/>
      <c r="BW3" s="1573"/>
      <c r="BX3" s="1573"/>
      <c r="BY3" s="1573"/>
      <c r="BZ3" s="1573"/>
      <c r="CA3" s="1573"/>
      <c r="CB3" s="1573"/>
      <c r="CC3" s="1573"/>
      <c r="CD3" s="1573"/>
      <c r="CE3" s="1573"/>
      <c r="CF3" s="1573"/>
      <c r="CG3" s="1573"/>
      <c r="CH3" s="1573"/>
      <c r="CI3" s="1573"/>
      <c r="CJ3" s="1573"/>
      <c r="CK3" s="1573"/>
      <c r="CL3" s="1573"/>
      <c r="CM3" s="1573"/>
      <c r="CN3" s="1573"/>
      <c r="CO3" s="1573"/>
      <c r="CP3" s="1573"/>
      <c r="CQ3" s="1573"/>
      <c r="CR3" s="1573"/>
      <c r="CS3" s="1573"/>
      <c r="CT3" s="1573"/>
      <c r="CU3" s="1573"/>
      <c r="CV3" s="1573"/>
      <c r="CW3" s="1573"/>
      <c r="CX3" s="1573"/>
      <c r="CY3" s="1573"/>
      <c r="CZ3" s="1573"/>
      <c r="DA3" s="1573"/>
      <c r="DB3" s="1573"/>
      <c r="DC3" s="1573"/>
      <c r="DD3" s="1573"/>
      <c r="DE3"/>
    </row>
    <row r="4" spans="1:109" s="439" customFormat="1" ht="11.25">
      <c r="AV4" s="1591" t="s">
        <v>118</v>
      </c>
      <c r="AW4" s="1591"/>
      <c r="AX4" s="1591"/>
      <c r="AY4" s="1591"/>
      <c r="AZ4" s="1591"/>
      <c r="BA4" s="1591"/>
      <c r="BB4" s="1591"/>
      <c r="BC4" s="1591"/>
      <c r="BD4" s="1591"/>
      <c r="BE4" s="1591"/>
      <c r="BF4" s="1591"/>
      <c r="BG4" s="1591"/>
      <c r="BH4" s="1591"/>
      <c r="BI4" s="1591"/>
      <c r="BJ4" s="1591"/>
      <c r="BK4" s="1591"/>
      <c r="BL4" s="1591"/>
      <c r="BM4" s="1591"/>
      <c r="BN4" s="1591"/>
      <c r="BO4" s="1591"/>
      <c r="BP4" s="1591"/>
      <c r="BQ4" s="1591"/>
      <c r="BR4" s="1591"/>
      <c r="BS4" s="1591"/>
      <c r="BT4" s="1591"/>
      <c r="BU4" s="1591"/>
      <c r="BV4" s="1591"/>
      <c r="BW4" s="1591"/>
      <c r="BX4" s="1591"/>
      <c r="BY4" s="1591"/>
      <c r="BZ4" s="1591"/>
      <c r="CA4" s="1591"/>
      <c r="CB4" s="1591"/>
      <c r="CC4" s="1591"/>
      <c r="CD4" s="1591"/>
      <c r="CE4" s="1591"/>
      <c r="CF4" s="1591"/>
      <c r="CG4" s="1591"/>
      <c r="CH4" s="1591"/>
      <c r="CI4" s="1591"/>
      <c r="CJ4" s="1591"/>
      <c r="CK4" s="1591"/>
      <c r="CL4" s="1591"/>
      <c r="CM4" s="1591"/>
      <c r="CN4" s="1591"/>
      <c r="CO4" s="1591"/>
      <c r="CP4" s="1591"/>
      <c r="CQ4" s="1591"/>
      <c r="CR4" s="1591"/>
      <c r="CS4" s="1591"/>
      <c r="CT4" s="1591"/>
      <c r="CU4" s="1591"/>
      <c r="CV4" s="1591"/>
      <c r="CW4" s="1591"/>
      <c r="CX4" s="1591"/>
      <c r="CY4" s="1591"/>
      <c r="CZ4" s="1591"/>
      <c r="DA4" s="1591"/>
      <c r="DB4" s="1591"/>
      <c r="DC4" s="1591"/>
      <c r="DD4" s="1591"/>
    </row>
    <row r="5" spans="1:109">
      <c r="A5" s="437" t="s">
        <v>374</v>
      </c>
      <c r="AL5" s="1573"/>
      <c r="AM5" s="1573"/>
      <c r="AN5" s="1573"/>
      <c r="AO5" s="1573"/>
      <c r="AP5" s="1573"/>
      <c r="AQ5" s="1573"/>
      <c r="AR5" s="1573"/>
      <c r="AS5" s="1573"/>
      <c r="AT5" s="1573"/>
      <c r="AU5" s="1573"/>
      <c r="AV5" s="1573"/>
      <c r="AW5" s="1573"/>
      <c r="AX5" s="1573"/>
      <c r="AY5" s="1573"/>
      <c r="AZ5" s="1573"/>
      <c r="BA5" s="1573"/>
      <c r="BB5" s="1573"/>
      <c r="BC5" s="1573"/>
      <c r="BD5" s="1573"/>
      <c r="BE5" s="1573"/>
      <c r="BF5" s="1573"/>
      <c r="BG5" s="1573"/>
      <c r="BH5" s="1573"/>
      <c r="BI5" s="1573"/>
      <c r="BJ5" s="1573"/>
      <c r="BK5" s="1573"/>
      <c r="BL5" s="1573"/>
      <c r="BM5" s="1573"/>
      <c r="BN5" s="1573"/>
      <c r="BO5" s="1573"/>
      <c r="BP5" s="1573"/>
      <c r="BQ5" s="1573"/>
      <c r="BR5" s="1573"/>
      <c r="BS5" s="1573"/>
      <c r="BT5" s="1573"/>
      <c r="BU5" s="1573"/>
      <c r="BV5" s="1573"/>
      <c r="BW5" s="1573"/>
      <c r="BX5" s="1573"/>
      <c r="BY5" s="1573"/>
      <c r="BZ5" s="1573"/>
      <c r="CA5" s="1573"/>
      <c r="CB5" s="1573"/>
      <c r="CC5" s="1573"/>
      <c r="CD5" s="1573"/>
      <c r="CE5" s="1573"/>
      <c r="CF5" s="1573"/>
      <c r="CG5" s="1573"/>
      <c r="CH5" s="1573"/>
      <c r="CI5" s="1573"/>
      <c r="CJ5" s="1573"/>
      <c r="CK5" s="1573"/>
      <c r="CL5" s="1573"/>
      <c r="CM5" s="1573"/>
      <c r="CN5" s="1573"/>
      <c r="CO5" s="1573"/>
      <c r="CP5" s="1573"/>
      <c r="CQ5" s="1573"/>
      <c r="CR5" s="1573"/>
      <c r="CS5" s="1573"/>
      <c r="CT5" s="1573"/>
      <c r="CU5" s="1573"/>
      <c r="CV5" s="1573"/>
      <c r="CW5" s="1573"/>
      <c r="CX5" s="1573"/>
      <c r="CY5" s="1573"/>
      <c r="CZ5" s="1573"/>
      <c r="DA5" s="1573"/>
      <c r="DB5" s="1573"/>
      <c r="DC5" s="1573"/>
      <c r="DD5" s="1573"/>
    </row>
    <row r="6" spans="1:109" s="439" customFormat="1" ht="12.75" customHeight="1">
      <c r="AL6" s="1591" t="s">
        <v>118</v>
      </c>
      <c r="AM6" s="1591"/>
      <c r="AN6" s="1591"/>
      <c r="AO6" s="1591"/>
      <c r="AP6" s="1591"/>
      <c r="AQ6" s="1591"/>
      <c r="AR6" s="1591"/>
      <c r="AS6" s="1591"/>
      <c r="AT6" s="1591"/>
      <c r="AU6" s="1591"/>
      <c r="AV6" s="1591"/>
      <c r="AW6" s="1591"/>
      <c r="AX6" s="1591"/>
      <c r="AY6" s="1591"/>
      <c r="AZ6" s="1591"/>
      <c r="BA6" s="1591"/>
      <c r="BB6" s="1591"/>
      <c r="BC6" s="1591"/>
      <c r="BD6" s="1591"/>
      <c r="BE6" s="1591"/>
      <c r="BF6" s="1591"/>
      <c r="BG6" s="1591"/>
      <c r="BH6" s="1591"/>
      <c r="BI6" s="1591"/>
      <c r="BJ6" s="1591"/>
      <c r="BK6" s="1591"/>
      <c r="BL6" s="1591"/>
      <c r="BM6" s="1591"/>
      <c r="BN6" s="1591"/>
      <c r="BO6" s="1591"/>
      <c r="BP6" s="1591"/>
      <c r="BQ6" s="1591"/>
      <c r="BR6" s="1591"/>
      <c r="BS6" s="1591"/>
      <c r="BT6" s="1591"/>
      <c r="BU6" s="1591"/>
      <c r="BV6" s="1591"/>
      <c r="BW6" s="1591"/>
      <c r="BX6" s="1591"/>
      <c r="BY6" s="1591"/>
      <c r="BZ6" s="1591"/>
      <c r="CA6" s="1591"/>
      <c r="CB6" s="1591"/>
      <c r="CC6" s="1591"/>
      <c r="CD6" s="1591"/>
      <c r="CE6" s="1591"/>
      <c r="CF6" s="1591"/>
      <c r="CG6" s="1591"/>
      <c r="CH6" s="1591"/>
      <c r="CI6" s="1591"/>
      <c r="CJ6" s="1591"/>
      <c r="CK6" s="1591"/>
      <c r="CL6" s="1591"/>
      <c r="CM6" s="1591"/>
      <c r="CN6" s="1591"/>
      <c r="CO6" s="1591"/>
      <c r="CP6" s="1591"/>
      <c r="CQ6" s="1591"/>
      <c r="CR6" s="1591"/>
      <c r="CS6" s="1591"/>
      <c r="CT6" s="1591"/>
      <c r="CU6" s="1591"/>
      <c r="CV6" s="1591"/>
      <c r="CW6" s="1591"/>
      <c r="CX6" s="1591"/>
      <c r="CY6" s="1591"/>
      <c r="CZ6" s="1591"/>
      <c r="DA6" s="1591"/>
      <c r="DB6" s="1591"/>
      <c r="DC6" s="1591"/>
      <c r="DD6" s="1591"/>
    </row>
    <row r="7" spans="1:109">
      <c r="A7" s="437" t="s">
        <v>375</v>
      </c>
      <c r="AB7" s="1573"/>
      <c r="AC7" s="1573"/>
      <c r="AD7" s="1573"/>
      <c r="AE7" s="1573"/>
      <c r="AF7" s="1573"/>
      <c r="AG7" s="1573"/>
      <c r="AH7" s="1573"/>
      <c r="AI7" s="1573"/>
      <c r="AJ7" s="1573"/>
      <c r="AK7" s="1573"/>
      <c r="AL7" s="1573"/>
      <c r="AM7" s="1573"/>
      <c r="AN7" s="1573"/>
      <c r="AO7" s="1573"/>
      <c r="AP7" s="1573"/>
      <c r="AQ7" s="1573"/>
      <c r="AR7" s="1573"/>
      <c r="AS7" s="1573"/>
      <c r="AT7" s="1573"/>
      <c r="AU7" s="1573"/>
      <c r="AV7" s="1573"/>
      <c r="AW7" s="1573"/>
      <c r="AX7" s="1573"/>
      <c r="AY7" s="1573"/>
      <c r="AZ7" s="1573"/>
      <c r="BA7" s="1573"/>
      <c r="BB7" s="1573"/>
      <c r="BC7" s="1573"/>
      <c r="BD7" s="1573"/>
      <c r="BE7" s="1573"/>
      <c r="BF7" s="1573"/>
      <c r="BG7" s="1573"/>
      <c r="BH7" s="1573"/>
      <c r="BI7" s="1573"/>
      <c r="BJ7" s="1573"/>
      <c r="BK7" s="1573"/>
      <c r="BL7" s="1573"/>
      <c r="BM7" s="1573"/>
      <c r="BN7" s="1573"/>
      <c r="BO7" s="1573"/>
      <c r="BP7" s="1573"/>
      <c r="BQ7" s="1573"/>
      <c r="BR7" s="1573"/>
      <c r="BS7" s="1573"/>
      <c r="BT7" s="1573"/>
      <c r="BU7" s="1573"/>
      <c r="BV7" s="1573"/>
      <c r="BW7" s="1573"/>
      <c r="BX7" s="1573"/>
      <c r="BY7" s="1573"/>
      <c r="BZ7" s="1573"/>
      <c r="CA7" s="1573"/>
      <c r="CB7" s="1573"/>
      <c r="CC7" s="1573"/>
      <c r="CD7" s="1573"/>
      <c r="CE7" s="1573"/>
      <c r="CF7" s="1573"/>
      <c r="CG7" s="1573"/>
      <c r="CH7" s="1573"/>
      <c r="CI7" s="1573"/>
      <c r="CJ7" s="1573"/>
      <c r="CK7" s="1573"/>
      <c r="CL7" s="1573"/>
      <c r="CM7" s="1573"/>
      <c r="CN7" s="1573"/>
      <c r="CO7" s="1573"/>
      <c r="CP7" s="1573"/>
      <c r="CQ7" s="1573"/>
      <c r="CR7" s="1573"/>
      <c r="CS7" s="1573"/>
      <c r="CT7" s="1573"/>
      <c r="CU7" s="1573"/>
      <c r="CV7" s="1573"/>
      <c r="CW7" s="1573"/>
      <c r="CX7" s="1573"/>
      <c r="CY7" s="1573"/>
      <c r="CZ7" s="1573"/>
      <c r="DA7" s="1573"/>
      <c r="DB7" s="1573"/>
      <c r="DC7" s="1573"/>
      <c r="DD7" s="1573"/>
    </row>
    <row r="8" spans="1:109" s="439" customFormat="1" ht="12.75" customHeight="1">
      <c r="AB8" s="1592" t="s">
        <v>118</v>
      </c>
      <c r="AC8" s="1592"/>
      <c r="AD8" s="1592"/>
      <c r="AE8" s="1592"/>
      <c r="AF8" s="1592"/>
      <c r="AG8" s="1592"/>
      <c r="AH8" s="1592"/>
      <c r="AI8" s="1592"/>
      <c r="AJ8" s="1592"/>
      <c r="AK8" s="1592"/>
      <c r="AL8" s="1592"/>
      <c r="AM8" s="1592"/>
      <c r="AN8" s="1592"/>
      <c r="AO8" s="1592"/>
      <c r="AP8" s="1592"/>
      <c r="AQ8" s="1592"/>
      <c r="AR8" s="1592"/>
      <c r="AS8" s="1592"/>
      <c r="AT8" s="1592"/>
      <c r="AU8" s="1592"/>
      <c r="AV8" s="1592"/>
      <c r="AW8" s="1592"/>
      <c r="AX8" s="1592"/>
      <c r="AY8" s="1592"/>
      <c r="AZ8" s="1592"/>
      <c r="BA8" s="1592"/>
      <c r="BB8" s="1592"/>
      <c r="BC8" s="1592"/>
      <c r="BD8" s="1592"/>
      <c r="BE8" s="1592"/>
      <c r="BF8" s="1592"/>
      <c r="BG8" s="1592"/>
      <c r="BH8" s="1592"/>
      <c r="BI8" s="1592"/>
      <c r="BJ8" s="1592"/>
      <c r="BK8" s="1592"/>
      <c r="BL8" s="1592"/>
      <c r="BM8" s="1592"/>
      <c r="BN8" s="1592"/>
      <c r="BO8" s="1592"/>
      <c r="BP8" s="1592"/>
      <c r="BQ8" s="1592"/>
      <c r="BR8" s="1592"/>
      <c r="BS8" s="1592"/>
      <c r="BT8" s="1592"/>
      <c r="BU8" s="1592"/>
      <c r="BV8" s="1592"/>
      <c r="BW8" s="1592"/>
      <c r="BX8" s="1592"/>
      <c r="BY8" s="1592"/>
      <c r="BZ8" s="1592"/>
      <c r="CA8" s="1592"/>
      <c r="CB8" s="1592"/>
      <c r="CC8" s="1592"/>
      <c r="CD8" s="1592"/>
      <c r="CE8" s="1592"/>
      <c r="CF8" s="1592"/>
      <c r="CG8" s="1592"/>
      <c r="CH8" s="1592"/>
      <c r="CI8" s="1592"/>
      <c r="CJ8" s="1592"/>
      <c r="CK8" s="1592"/>
      <c r="CL8" s="1592"/>
      <c r="CM8" s="1592"/>
      <c r="CN8" s="1592"/>
      <c r="CO8" s="1592"/>
      <c r="CP8" s="1592"/>
      <c r="CQ8" s="1592"/>
      <c r="CR8" s="1592"/>
      <c r="CS8" s="1592"/>
      <c r="CT8" s="1592"/>
      <c r="CU8" s="1592"/>
      <c r="CV8" s="1592"/>
      <c r="CW8" s="1592"/>
      <c r="CX8" s="1592"/>
      <c r="CY8" s="1592"/>
      <c r="CZ8" s="1592"/>
      <c r="DA8" s="1592"/>
      <c r="DB8" s="1592"/>
      <c r="DC8" s="1592"/>
      <c r="DD8" s="1592"/>
    </row>
    <row r="9" spans="1:109">
      <c r="A9" s="1594"/>
      <c r="B9" s="1594"/>
      <c r="C9" s="1594"/>
      <c r="D9" s="1594"/>
      <c r="E9" s="1594"/>
      <c r="F9" s="1594"/>
      <c r="G9" s="1594"/>
      <c r="H9" s="1594"/>
      <c r="I9" s="1594"/>
      <c r="J9" s="1594"/>
      <c r="K9" s="1594"/>
      <c r="L9" s="1594"/>
      <c r="M9" s="1594"/>
      <c r="N9" s="1594"/>
      <c r="O9" s="1594"/>
      <c r="P9" s="1594"/>
      <c r="Q9" s="1594"/>
      <c r="R9" s="1594"/>
      <c r="S9" s="1594"/>
      <c r="T9" s="1594"/>
      <c r="U9" s="1594"/>
      <c r="V9" s="1594"/>
      <c r="W9" s="1594"/>
      <c r="X9" s="1594"/>
      <c r="Y9" s="1594"/>
      <c r="Z9" s="1594"/>
      <c r="AA9" s="1594"/>
      <c r="AB9" s="1594"/>
      <c r="AC9" s="1594"/>
      <c r="AD9" s="1594"/>
      <c r="AE9" s="1594"/>
      <c r="AF9" s="1594"/>
      <c r="AG9" s="1594"/>
      <c r="AH9" s="1594"/>
      <c r="AI9" s="1594"/>
      <c r="AJ9" s="1594"/>
      <c r="AK9" s="1594"/>
      <c r="AL9" s="1594"/>
      <c r="AM9" s="1594"/>
      <c r="AN9" s="1594"/>
      <c r="AO9" s="1594"/>
      <c r="AP9" s="1594"/>
      <c r="AQ9" s="1594"/>
      <c r="AR9" s="1594"/>
      <c r="AS9" s="1594"/>
      <c r="AT9" s="1594"/>
      <c r="AU9" s="1594"/>
      <c r="AV9" s="1594"/>
      <c r="AW9" s="1594"/>
      <c r="AX9" s="1594"/>
      <c r="AY9" s="1594"/>
      <c r="AZ9" s="1594"/>
      <c r="BA9" s="1594"/>
      <c r="BB9" s="1594"/>
      <c r="BC9" s="1594"/>
      <c r="BD9" s="1594"/>
      <c r="BE9" s="1594"/>
      <c r="BF9" s="1594"/>
      <c r="BG9" s="1594"/>
      <c r="BH9" s="1594"/>
      <c r="BI9" s="1594"/>
      <c r="BJ9" s="1594"/>
      <c r="BK9" s="1594"/>
      <c r="BL9" s="1594"/>
      <c r="BM9" s="1594"/>
      <c r="BN9" s="1594"/>
      <c r="BO9" s="1594"/>
      <c r="BP9" s="1594"/>
      <c r="BQ9" s="1594"/>
      <c r="BR9" s="1594"/>
      <c r="BS9" s="1594"/>
      <c r="BT9" s="1594"/>
      <c r="BU9" s="1594"/>
      <c r="BV9" s="1594"/>
      <c r="BW9" s="1594"/>
      <c r="BX9" s="1594"/>
      <c r="BY9" s="1594"/>
      <c r="BZ9" s="1594"/>
      <c r="CA9" s="1594"/>
      <c r="CB9" s="1594"/>
      <c r="CC9" s="1594"/>
      <c r="CD9" s="1594"/>
      <c r="CE9" s="1594"/>
      <c r="CF9" s="1594"/>
      <c r="CG9" s="1594"/>
      <c r="CH9" s="1594"/>
      <c r="CI9" s="1594"/>
      <c r="CJ9" s="1594"/>
      <c r="CK9" s="1594"/>
      <c r="CL9" s="1594"/>
      <c r="CM9" s="1594"/>
      <c r="CN9" s="1594"/>
      <c r="CO9" s="1594"/>
      <c r="CP9" s="1594"/>
      <c r="CQ9" s="1594"/>
      <c r="CR9" s="1594"/>
      <c r="CS9" s="1594"/>
      <c r="CT9" s="1594"/>
      <c r="CU9" s="1594"/>
      <c r="CV9" s="1594"/>
      <c r="CW9" s="1594"/>
      <c r="CX9" s="1594"/>
      <c r="CY9" s="1594"/>
      <c r="CZ9" s="1594"/>
      <c r="DA9" s="1594"/>
      <c r="DB9" s="1594"/>
      <c r="DC9" s="1594"/>
      <c r="DD9" s="1594"/>
    </row>
    <row r="10" spans="1:109">
      <c r="A10" s="1594"/>
      <c r="B10" s="1594"/>
      <c r="C10" s="1594"/>
      <c r="D10" s="1594"/>
      <c r="E10" s="1594"/>
      <c r="F10" s="1594"/>
      <c r="G10" s="1594"/>
      <c r="H10" s="1594"/>
      <c r="I10" s="1594"/>
      <c r="J10" s="1594"/>
      <c r="K10" s="1594"/>
      <c r="L10" s="1594"/>
      <c r="M10" s="1594"/>
      <c r="N10" s="1594"/>
      <c r="O10" s="1594"/>
      <c r="P10" s="1594"/>
      <c r="Q10" s="1594"/>
      <c r="R10" s="1594"/>
      <c r="S10" s="1594"/>
      <c r="T10" s="1594"/>
      <c r="U10" s="1594"/>
      <c r="V10" s="1594"/>
      <c r="W10" s="1594"/>
      <c r="X10" s="1594"/>
      <c r="Y10" s="1594"/>
      <c r="Z10" s="1594"/>
      <c r="AA10" s="1594"/>
      <c r="AB10" s="1594"/>
      <c r="AC10" s="1594"/>
      <c r="AD10" s="1594"/>
      <c r="AE10" s="1594"/>
      <c r="AF10" s="1594"/>
      <c r="AG10" s="1594"/>
      <c r="AH10" s="1594"/>
      <c r="AI10" s="1594"/>
      <c r="AJ10" s="1594"/>
      <c r="AK10" s="1594"/>
      <c r="AL10" s="1594"/>
      <c r="AM10" s="1594"/>
      <c r="AN10" s="1594"/>
      <c r="AO10" s="1594"/>
      <c r="AP10" s="1594"/>
      <c r="AQ10" s="1594"/>
      <c r="AR10" s="1594"/>
      <c r="AS10" s="1594"/>
      <c r="AT10" s="1594"/>
      <c r="AU10" s="1594"/>
      <c r="AV10" s="1594"/>
      <c r="AW10" s="1594"/>
      <c r="AX10" s="1594"/>
      <c r="AY10" s="1594"/>
      <c r="AZ10" s="1594"/>
      <c r="BA10" s="1594"/>
      <c r="BB10" s="1594"/>
      <c r="BC10" s="1594"/>
      <c r="BD10" s="1594"/>
      <c r="BE10" s="1594"/>
      <c r="BF10" s="1594"/>
      <c r="BG10" s="1594"/>
      <c r="BH10" s="1594"/>
      <c r="BI10" s="1594"/>
      <c r="BJ10" s="1594"/>
      <c r="BK10" s="1594"/>
      <c r="BL10" s="1594"/>
      <c r="BM10" s="1594"/>
      <c r="BN10" s="1594"/>
      <c r="BO10" s="1594"/>
      <c r="BP10" s="1594"/>
      <c r="BQ10" s="1594"/>
      <c r="BR10" s="1594"/>
      <c r="BS10" s="1594"/>
      <c r="BT10" s="1594"/>
      <c r="BU10" s="1594"/>
      <c r="BV10" s="1594"/>
      <c r="BW10" s="1594"/>
      <c r="BX10" s="1594"/>
      <c r="BY10" s="1594"/>
      <c r="BZ10" s="1594"/>
      <c r="CA10" s="1594"/>
      <c r="CB10" s="1594"/>
      <c r="CC10" s="1594"/>
      <c r="CD10" s="1594"/>
      <c r="CE10" s="1594"/>
      <c r="CF10" s="1594"/>
      <c r="CG10" s="1594"/>
      <c r="CH10" s="1594"/>
      <c r="CI10" s="1594"/>
      <c r="CJ10" s="1594"/>
      <c r="CK10" s="1594"/>
      <c r="CL10" s="1594"/>
      <c r="CM10" s="1594"/>
      <c r="CN10" s="1594"/>
      <c r="CO10" s="1594"/>
      <c r="CP10" s="1594"/>
      <c r="CQ10" s="1594"/>
      <c r="CR10" s="1594"/>
      <c r="CS10" s="1594"/>
      <c r="CT10" s="1594"/>
      <c r="CU10" s="1594"/>
      <c r="CV10" s="1594"/>
      <c r="CW10" s="1594"/>
      <c r="CX10" s="1594"/>
      <c r="CY10" s="1594"/>
      <c r="CZ10" s="1594"/>
      <c r="DA10" s="1594"/>
      <c r="DB10" s="1594"/>
      <c r="DC10" s="1594"/>
      <c r="DD10" s="1594"/>
    </row>
    <row r="12" spans="1:109">
      <c r="A12" s="437" t="s">
        <v>363</v>
      </c>
      <c r="Z12" s="1595" t="s">
        <v>125</v>
      </c>
      <c r="AA12" s="1595"/>
      <c r="AB12" s="1595"/>
      <c r="AC12" s="1595"/>
      <c r="AD12" s="1595"/>
      <c r="AE12" s="1595"/>
      <c r="AF12" s="1595"/>
      <c r="AG12" s="1595"/>
      <c r="AH12" s="1595"/>
      <c r="AI12" s="1595"/>
      <c r="AJ12" s="1595"/>
      <c r="AK12" s="1595"/>
      <c r="AL12" s="1595"/>
      <c r="AM12" s="1595"/>
      <c r="AN12" s="1595"/>
      <c r="AO12" s="1595"/>
      <c r="AP12" s="1595"/>
      <c r="AQ12" s="1595"/>
      <c r="AR12" s="1595"/>
      <c r="AS12" s="1595"/>
      <c r="AT12" s="1595"/>
      <c r="AU12" s="1595"/>
      <c r="AV12" s="1595"/>
      <c r="AW12" s="1595"/>
      <c r="AZ12" s="1594"/>
      <c r="BA12" s="1594"/>
      <c r="BB12" s="1594"/>
      <c r="BC12" s="1594"/>
      <c r="BD12" s="1594"/>
      <c r="BE12" s="1594"/>
      <c r="BF12" s="1594"/>
      <c r="BG12" s="1594"/>
      <c r="BH12" s="1594"/>
      <c r="BI12" s="1594"/>
      <c r="BJ12" s="1594"/>
      <c r="BK12" s="1594"/>
      <c r="BL12" s="1594"/>
      <c r="BM12" s="1594"/>
      <c r="BN12" s="1594"/>
      <c r="BO12" s="1594"/>
      <c r="BP12" s="1594"/>
      <c r="BS12" s="1595" t="s">
        <v>126</v>
      </c>
      <c r="BT12" s="1595"/>
      <c r="BU12" s="1595"/>
      <c r="BV12" s="1595"/>
      <c r="BW12" s="1595"/>
      <c r="BX12" s="1595"/>
      <c r="BY12" s="1595"/>
      <c r="BZ12" s="1595"/>
      <c r="CA12" s="1595"/>
      <c r="CB12" s="1595"/>
      <c r="CC12" s="1595"/>
      <c r="CD12" s="1595"/>
      <c r="CE12" s="1595"/>
      <c r="CF12" s="1595"/>
      <c r="CG12" s="1595"/>
      <c r="CH12" s="1595"/>
      <c r="CI12" s="1595"/>
      <c r="CJ12" s="1595"/>
      <c r="CK12" s="1595"/>
      <c r="CL12" s="1595"/>
      <c r="CM12" s="1595"/>
      <c r="CN12" s="1595"/>
      <c r="CO12" s="1595"/>
      <c r="CP12" s="1595"/>
      <c r="CQ12" s="1595"/>
      <c r="CR12" s="1595"/>
      <c r="CS12" s="1595"/>
      <c r="CT12" s="1595"/>
      <c r="CU12" s="1595"/>
      <c r="CV12" s="1595"/>
      <c r="CW12" s="1595"/>
      <c r="CX12" s="1595"/>
      <c r="CY12" s="1595"/>
      <c r="CZ12" s="1595"/>
      <c r="DA12" s="1595"/>
    </row>
    <row r="13" spans="1:109" s="439" customFormat="1" ht="11.25">
      <c r="Z13" s="1592" t="s">
        <v>183</v>
      </c>
      <c r="AA13" s="1592"/>
      <c r="AB13" s="1592"/>
      <c r="AC13" s="1592"/>
      <c r="AD13" s="1592"/>
      <c r="AE13" s="1592"/>
      <c r="AF13" s="1592"/>
      <c r="AG13" s="1592"/>
      <c r="AH13" s="1592"/>
      <c r="AI13" s="1592"/>
      <c r="AJ13" s="1592"/>
      <c r="AK13" s="1592"/>
      <c r="AL13" s="1592"/>
      <c r="AM13" s="1592"/>
      <c r="AN13" s="1592"/>
      <c r="AO13" s="1592"/>
      <c r="AP13" s="1592"/>
      <c r="AQ13" s="1592"/>
      <c r="AR13" s="1592"/>
      <c r="AS13" s="1592"/>
      <c r="AT13" s="1592"/>
      <c r="AU13" s="1592"/>
      <c r="AV13" s="1592"/>
      <c r="AW13" s="1592"/>
      <c r="AZ13" s="1592" t="s">
        <v>80</v>
      </c>
      <c r="BA13" s="1592"/>
      <c r="BB13" s="1592"/>
      <c r="BC13" s="1592"/>
      <c r="BD13" s="1592"/>
      <c r="BE13" s="1592"/>
      <c r="BF13" s="1592"/>
      <c r="BG13" s="1592"/>
      <c r="BH13" s="1592"/>
      <c r="BI13" s="1592"/>
      <c r="BJ13" s="1592"/>
      <c r="BK13" s="1592"/>
      <c r="BL13" s="1592"/>
      <c r="BM13" s="1592"/>
      <c r="BN13" s="1592"/>
      <c r="BO13" s="1592"/>
      <c r="BP13" s="1592"/>
      <c r="BS13" s="1592" t="s">
        <v>182</v>
      </c>
      <c r="BT13" s="1592"/>
      <c r="BU13" s="1592"/>
      <c r="BV13" s="1592"/>
      <c r="BW13" s="1592"/>
      <c r="BX13" s="1592"/>
      <c r="BY13" s="1592"/>
      <c r="BZ13" s="1592"/>
      <c r="CA13" s="1592"/>
      <c r="CB13" s="1592"/>
      <c r="CC13" s="1592"/>
      <c r="CD13" s="1592"/>
      <c r="CE13" s="1592"/>
      <c r="CF13" s="1592"/>
      <c r="CG13" s="1592"/>
      <c r="CH13" s="1592"/>
      <c r="CI13" s="1592"/>
      <c r="CJ13" s="1592"/>
      <c r="CK13" s="1592"/>
      <c r="CL13" s="1592"/>
      <c r="CM13" s="1592"/>
      <c r="CN13" s="1592"/>
      <c r="CO13" s="1592"/>
      <c r="CP13" s="1592"/>
      <c r="CQ13" s="1592"/>
      <c r="CR13" s="1592"/>
      <c r="CS13" s="1592"/>
      <c r="CT13" s="1592"/>
      <c r="CU13" s="1592"/>
      <c r="CV13" s="1592"/>
      <c r="CW13" s="1592"/>
      <c r="CX13" s="1592"/>
      <c r="CY13" s="1592"/>
      <c r="CZ13" s="1592"/>
      <c r="DA13" s="1592"/>
    </row>
    <row r="14" spans="1:109" s="439" customFormat="1" ht="9.75" customHeight="1">
      <c r="A14" s="437" t="s">
        <v>127</v>
      </c>
      <c r="Z14" s="442"/>
      <c r="AA14" s="442"/>
      <c r="AB14" s="442"/>
      <c r="AC14" s="442"/>
      <c r="AD14" s="442"/>
      <c r="AE14" s="442"/>
      <c r="AF14" s="442"/>
      <c r="AG14" s="442"/>
      <c r="AH14" s="442"/>
      <c r="AI14" s="442"/>
      <c r="AJ14" s="442"/>
      <c r="AK14" s="442"/>
      <c r="AL14" s="442"/>
      <c r="AM14" s="442"/>
      <c r="AN14" s="442"/>
      <c r="AO14" s="442"/>
      <c r="AP14" s="442"/>
      <c r="AQ14" s="442"/>
      <c r="AR14" s="442"/>
      <c r="AS14" s="442"/>
      <c r="AT14" s="442"/>
      <c r="AU14" s="442"/>
      <c r="AV14" s="442"/>
      <c r="AW14" s="442"/>
      <c r="AZ14" s="442"/>
      <c r="BA14" s="442"/>
      <c r="BB14" s="442"/>
      <c r="BC14" s="442"/>
      <c r="BD14" s="442"/>
      <c r="BE14" s="442"/>
      <c r="BF14" s="442"/>
      <c r="BG14" s="442"/>
      <c r="BH14" s="442"/>
      <c r="BI14" s="442"/>
      <c r="BJ14" s="442"/>
      <c r="BK14" s="442"/>
      <c r="BL14" s="442"/>
      <c r="BM14" s="442"/>
      <c r="BN14" s="442"/>
      <c r="BO14" s="442"/>
      <c r="BP14" s="442"/>
      <c r="BS14" s="442"/>
      <c r="BT14" s="442"/>
      <c r="BU14" s="442"/>
      <c r="BV14" s="442"/>
      <c r="BW14" s="442"/>
      <c r="BX14" s="442"/>
      <c r="BY14" s="442"/>
      <c r="BZ14" s="442"/>
      <c r="CA14" s="442"/>
      <c r="CB14" s="442"/>
      <c r="CC14" s="442"/>
      <c r="CD14" s="442"/>
      <c r="CE14" s="442"/>
      <c r="CF14" s="442"/>
      <c r="CG14" s="442"/>
      <c r="CH14" s="442"/>
      <c r="CI14" s="442"/>
      <c r="CJ14" s="442"/>
      <c r="CK14" s="442"/>
      <c r="CL14" s="442"/>
      <c r="CM14" s="442"/>
      <c r="CN14" s="442"/>
      <c r="CO14" s="442"/>
      <c r="CP14" s="442"/>
      <c r="CQ14" s="442"/>
      <c r="CR14" s="442"/>
      <c r="CS14" s="442"/>
      <c r="CT14" s="442"/>
      <c r="CU14" s="442"/>
      <c r="CV14" s="442"/>
      <c r="CW14" s="442"/>
      <c r="CX14" s="442"/>
      <c r="CY14" s="442"/>
      <c r="CZ14" s="442"/>
      <c r="DA14" s="442"/>
    </row>
    <row r="15" spans="1:109">
      <c r="Z15" s="1595" t="s">
        <v>3</v>
      </c>
      <c r="AA15" s="1595"/>
      <c r="AB15" s="1595"/>
      <c r="AC15" s="1595"/>
      <c r="AD15" s="1595"/>
      <c r="AE15" s="1595"/>
      <c r="AF15" s="1595"/>
      <c r="AG15" s="1595"/>
      <c r="AH15" s="1595"/>
      <c r="AI15" s="1595"/>
      <c r="AJ15" s="1595"/>
      <c r="AK15" s="1595"/>
      <c r="AL15" s="1595"/>
      <c r="AM15" s="1595"/>
      <c r="AN15" s="1595"/>
      <c r="AO15" s="1595"/>
      <c r="AP15" s="1595"/>
      <c r="AQ15" s="1595"/>
      <c r="AR15" s="1595"/>
      <c r="AS15" s="1595"/>
      <c r="AT15" s="1595"/>
      <c r="AU15" s="1595"/>
      <c r="AV15" s="1595"/>
      <c r="AW15" s="1595"/>
      <c r="AZ15" s="1594"/>
      <c r="BA15" s="1594"/>
      <c r="BB15" s="1594"/>
      <c r="BC15" s="1594"/>
      <c r="BD15" s="1594"/>
      <c r="BE15" s="1594"/>
      <c r="BF15" s="1594"/>
      <c r="BG15" s="1594"/>
      <c r="BH15" s="1594"/>
      <c r="BI15" s="1594"/>
      <c r="BJ15" s="1594"/>
      <c r="BK15" s="1594"/>
      <c r="BL15" s="1594"/>
      <c r="BM15" s="1594"/>
      <c r="BN15" s="1594"/>
      <c r="BO15" s="1594"/>
      <c r="BP15" s="1594"/>
      <c r="BS15" s="1595" t="s">
        <v>1</v>
      </c>
      <c r="BT15" s="1595"/>
      <c r="BU15" s="1595"/>
      <c r="BV15" s="1595"/>
      <c r="BW15" s="1595"/>
      <c r="BX15" s="1595"/>
      <c r="BY15" s="1595"/>
      <c r="BZ15" s="1595"/>
      <c r="CA15" s="1595"/>
      <c r="CB15" s="1595"/>
      <c r="CC15" s="1595"/>
      <c r="CD15" s="1595"/>
      <c r="CE15" s="1595"/>
      <c r="CF15" s="1595"/>
      <c r="CG15" s="1595"/>
      <c r="CH15" s="1595"/>
      <c r="CI15" s="1595"/>
      <c r="CJ15" s="1595"/>
      <c r="CK15" s="1595"/>
      <c r="CL15" s="1595"/>
      <c r="CM15" s="1595"/>
      <c r="CN15" s="1595"/>
      <c r="CO15" s="1595"/>
      <c r="CP15" s="1595"/>
      <c r="CQ15" s="1595"/>
      <c r="CR15" s="1595"/>
      <c r="CS15" s="1595"/>
      <c r="CT15" s="1595"/>
      <c r="CU15" s="1595"/>
      <c r="CV15" s="1595"/>
      <c r="CW15" s="1595"/>
      <c r="CX15" s="1595"/>
      <c r="CY15" s="1595"/>
      <c r="CZ15" s="1595"/>
      <c r="DA15" s="1595"/>
    </row>
    <row r="16" spans="1:109" s="439" customFormat="1" ht="11.25">
      <c r="Z16" s="1592" t="s">
        <v>183</v>
      </c>
      <c r="AA16" s="1592"/>
      <c r="AB16" s="1592"/>
      <c r="AC16" s="1592"/>
      <c r="AD16" s="1592"/>
      <c r="AE16" s="1592"/>
      <c r="AF16" s="1592"/>
      <c r="AG16" s="1592"/>
      <c r="AH16" s="1592"/>
      <c r="AI16" s="1592"/>
      <c r="AJ16" s="1592"/>
      <c r="AK16" s="1592"/>
      <c r="AL16" s="1592"/>
      <c r="AM16" s="1592"/>
      <c r="AN16" s="1592"/>
      <c r="AO16" s="1592"/>
      <c r="AP16" s="1592"/>
      <c r="AQ16" s="1592"/>
      <c r="AR16" s="1592"/>
      <c r="AS16" s="1592"/>
      <c r="AT16" s="1592"/>
      <c r="AU16" s="1592"/>
      <c r="AV16" s="1592"/>
      <c r="AW16" s="1592"/>
      <c r="AX16" s="442"/>
      <c r="AZ16" s="1592" t="s">
        <v>80</v>
      </c>
      <c r="BA16" s="1592"/>
      <c r="BB16" s="1592"/>
      <c r="BC16" s="1592"/>
      <c r="BD16" s="1592"/>
      <c r="BE16" s="1592"/>
      <c r="BF16" s="1592"/>
      <c r="BG16" s="1592"/>
      <c r="BH16" s="1592"/>
      <c r="BI16" s="1592"/>
      <c r="BJ16" s="1592"/>
      <c r="BK16" s="1592"/>
      <c r="BL16" s="1592"/>
      <c r="BM16" s="1592"/>
      <c r="BN16" s="1592"/>
      <c r="BO16" s="1592"/>
      <c r="BP16" s="1592"/>
      <c r="BS16" s="1591" t="s">
        <v>182</v>
      </c>
      <c r="BT16" s="1591"/>
      <c r="BU16" s="1591"/>
      <c r="BV16" s="1591"/>
      <c r="BW16" s="1591"/>
      <c r="BX16" s="1591"/>
      <c r="BY16" s="1591"/>
      <c r="BZ16" s="1591"/>
      <c r="CA16" s="1591"/>
      <c r="CB16" s="1591"/>
      <c r="CC16" s="1591"/>
      <c r="CD16" s="1591"/>
      <c r="CE16" s="1591"/>
      <c r="CF16" s="1591"/>
      <c r="CG16" s="1591"/>
      <c r="CH16" s="1591"/>
      <c r="CI16" s="1591"/>
      <c r="CJ16" s="1591"/>
      <c r="CK16" s="1591"/>
      <c r="CL16" s="1591"/>
      <c r="CM16" s="1591"/>
      <c r="CN16" s="1591"/>
      <c r="CO16" s="1591"/>
      <c r="CP16" s="1591"/>
      <c r="CQ16" s="1591"/>
      <c r="CR16" s="1591"/>
      <c r="CS16" s="1591"/>
      <c r="CT16" s="1591"/>
      <c r="CU16" s="1591"/>
      <c r="CV16" s="1591"/>
      <c r="CW16" s="1591"/>
      <c r="CX16" s="1591"/>
      <c r="CY16" s="1591"/>
      <c r="CZ16" s="1591"/>
      <c r="DA16" s="1591"/>
    </row>
    <row r="18" spans="1:108">
      <c r="A18" s="437" t="s">
        <v>364</v>
      </c>
    </row>
    <row r="19" spans="1:108">
      <c r="A19" s="437" t="s">
        <v>365</v>
      </c>
      <c r="L19" s="1566" t="s">
        <v>292</v>
      </c>
      <c r="M19" s="1566"/>
      <c r="N19" s="1566"/>
      <c r="O19" s="1566"/>
      <c r="P19" s="1566"/>
      <c r="Q19" s="1566"/>
      <c r="R19" s="1566"/>
      <c r="S19" s="1586" t="s">
        <v>280</v>
      </c>
      <c r="T19" s="1586"/>
      <c r="U19" s="1586"/>
      <c r="V19" s="1586"/>
      <c r="W19" s="1586"/>
      <c r="X19" s="1586"/>
      <c r="Y19" s="1586"/>
      <c r="Z19" s="1594" t="s">
        <v>39</v>
      </c>
      <c r="AA19" s="1594"/>
      <c r="AB19" s="1594"/>
      <c r="AC19" s="1594"/>
      <c r="AD19" s="1594"/>
      <c r="AE19" s="1594"/>
      <c r="AF19" s="1594"/>
      <c r="AG19" s="1594"/>
      <c r="AH19" s="437" t="s">
        <v>366</v>
      </c>
    </row>
    <row r="20" spans="1:108" ht="25.5" customHeight="1">
      <c r="A20" s="1587" t="s">
        <v>367</v>
      </c>
      <c r="B20" s="1587"/>
      <c r="C20" s="1587"/>
      <c r="D20" s="1587"/>
      <c r="E20" s="1587"/>
      <c r="F20" s="1587"/>
      <c r="G20" s="1587"/>
      <c r="H20" s="1587"/>
      <c r="I20" s="1587"/>
      <c r="J20" s="1587"/>
      <c r="K20" s="1587"/>
      <c r="L20" s="1587"/>
      <c r="M20" s="1587"/>
      <c r="N20" s="1587"/>
      <c r="O20" s="1587"/>
      <c r="P20" s="1587"/>
      <c r="Q20" s="1587"/>
      <c r="R20" s="1587"/>
      <c r="S20" s="1587"/>
      <c r="T20" s="1587"/>
      <c r="U20" s="1587"/>
      <c r="V20" s="1587"/>
      <c r="W20" s="1587"/>
      <c r="X20" s="1587"/>
      <c r="Y20" s="1587"/>
      <c r="Z20" s="1587"/>
      <c r="AA20" s="1587"/>
      <c r="AB20" s="1587"/>
      <c r="AC20" s="1587"/>
      <c r="AD20" s="1587"/>
      <c r="AE20" s="1587"/>
      <c r="AF20" s="1587"/>
      <c r="AG20" s="1587"/>
      <c r="AH20" s="1587"/>
      <c r="AI20" s="1587"/>
      <c r="AJ20" s="1587"/>
      <c r="AK20" s="1587"/>
      <c r="AL20" s="1587"/>
      <c r="AM20" s="1587"/>
      <c r="AN20" s="1587"/>
      <c r="AO20" s="1587"/>
      <c r="AP20" s="1587"/>
      <c r="AQ20" s="1587"/>
      <c r="AR20" s="1587"/>
      <c r="AS20" s="1587"/>
      <c r="AT20" s="1587"/>
      <c r="AU20" s="1587"/>
      <c r="AV20" s="1587"/>
      <c r="AW20" s="1587"/>
      <c r="AX20" s="1587"/>
      <c r="AY20" s="1587"/>
      <c r="AZ20" s="1587"/>
      <c r="BA20" s="1587"/>
      <c r="BB20" s="1587"/>
      <c r="BC20" s="1587"/>
      <c r="BD20" s="1587"/>
      <c r="BE20" s="1587"/>
      <c r="BF20" s="1587"/>
      <c r="BG20" s="1587"/>
      <c r="BH20" s="1587"/>
      <c r="BI20" s="1587"/>
      <c r="BJ20" s="1587"/>
      <c r="BK20" s="1587"/>
      <c r="BL20" s="1587"/>
      <c r="BM20" s="1587"/>
      <c r="BN20" s="1587"/>
      <c r="BO20" s="1587"/>
      <c r="BP20" s="1587"/>
      <c r="BQ20" s="1587"/>
      <c r="BR20" s="1587"/>
      <c r="BS20" s="1587"/>
      <c r="BT20" s="1587"/>
      <c r="BU20" s="1587"/>
      <c r="BV20" s="1587"/>
      <c r="BW20" s="1587"/>
      <c r="BX20" s="1587"/>
      <c r="BY20" s="1587"/>
      <c r="BZ20" s="1587"/>
      <c r="CA20" s="1587"/>
      <c r="CB20" s="1587"/>
      <c r="CC20" s="1587"/>
      <c r="CD20" s="1587"/>
      <c r="CE20" s="1587"/>
      <c r="CF20" s="1587"/>
      <c r="CG20" s="1587"/>
      <c r="CH20" s="1587"/>
      <c r="CI20" s="1587"/>
      <c r="CJ20" s="1587"/>
      <c r="CK20" s="1587"/>
      <c r="CL20" s="1587"/>
      <c r="CM20" s="1587"/>
      <c r="CN20" s="1587"/>
      <c r="CO20" s="1587"/>
      <c r="CP20" s="1587"/>
      <c r="CQ20" s="1587"/>
      <c r="CR20" s="1587"/>
      <c r="CS20" s="1587"/>
      <c r="CT20" s="1587"/>
      <c r="CU20" s="1587"/>
      <c r="CV20" s="1587"/>
      <c r="CW20" s="1587"/>
      <c r="CX20" s="1587"/>
      <c r="CY20" s="1587"/>
      <c r="CZ20" s="1587"/>
      <c r="DA20" s="1587"/>
      <c r="DB20" s="1587"/>
      <c r="DC20" s="1587"/>
      <c r="DD20" s="1587"/>
    </row>
    <row r="22" spans="1:108">
      <c r="A22" s="437" t="s">
        <v>78</v>
      </c>
    </row>
    <row r="23" spans="1:108">
      <c r="AF23" s="1644" t="s">
        <v>291</v>
      </c>
      <c r="AG23" s="1644"/>
      <c r="AH23" s="1644"/>
      <c r="AI23" s="1644"/>
      <c r="AJ23" s="1644"/>
      <c r="AK23" s="1644"/>
      <c r="AL23" s="1644"/>
      <c r="AM23" s="1644"/>
      <c r="AN23" s="1644"/>
      <c r="AO23" s="1644"/>
      <c r="AP23" s="1644"/>
      <c r="AQ23" s="1644"/>
      <c r="AR23" s="1644"/>
      <c r="AS23" s="1644"/>
      <c r="AT23" s="1644"/>
      <c r="AU23" s="1644"/>
      <c r="AV23" s="1644"/>
      <c r="AW23" s="1644"/>
      <c r="AX23" s="1644"/>
      <c r="AY23" s="1644"/>
      <c r="AZ23" s="1644"/>
      <c r="BA23" s="1644"/>
      <c r="BB23" s="1644"/>
      <c r="BC23" s="1644"/>
      <c r="BF23" s="1594"/>
      <c r="BG23" s="1594"/>
      <c r="BH23" s="1594"/>
      <c r="BI23" s="1594"/>
      <c r="BJ23" s="1594"/>
      <c r="BK23" s="1594"/>
      <c r="BL23" s="1594"/>
      <c r="BM23" s="1594"/>
      <c r="BN23" s="1594"/>
      <c r="BO23" s="1594"/>
      <c r="BP23" s="1594"/>
      <c r="BQ23" s="1594"/>
      <c r="BR23" s="1594"/>
      <c r="BS23" s="1594"/>
      <c r="BT23" s="1594"/>
      <c r="BU23" s="1594"/>
      <c r="BV23" s="1594"/>
      <c r="BY23" s="1644" t="s">
        <v>33</v>
      </c>
      <c r="BZ23" s="1644"/>
      <c r="CA23" s="1644"/>
      <c r="CB23" s="1644"/>
      <c r="CC23" s="1644"/>
      <c r="CD23" s="1644"/>
      <c r="CE23" s="1644"/>
      <c r="CF23" s="1644"/>
      <c r="CG23" s="1644"/>
      <c r="CH23" s="1644"/>
      <c r="CI23" s="1644"/>
      <c r="CJ23" s="1644"/>
      <c r="CK23" s="1644"/>
      <c r="CL23" s="1644"/>
      <c r="CM23" s="1644"/>
      <c r="CN23" s="1644"/>
      <c r="CO23" s="1644"/>
      <c r="CP23" s="1644"/>
      <c r="CQ23" s="1644"/>
      <c r="CR23" s="1644"/>
      <c r="CS23" s="1644"/>
      <c r="CT23" s="1644"/>
      <c r="CU23" s="1644"/>
      <c r="CV23" s="1644"/>
      <c r="CW23" s="1644"/>
      <c r="CX23" s="1644"/>
      <c r="CY23" s="1644"/>
      <c r="CZ23" s="1644"/>
      <c r="DA23" s="1644"/>
      <c r="DB23" s="1644"/>
      <c r="DC23" s="1644"/>
      <c r="DD23" s="1644"/>
    </row>
    <row r="24" spans="1:108" s="439" customFormat="1" ht="11.25">
      <c r="AF24" s="1592" t="s">
        <v>183</v>
      </c>
      <c r="AG24" s="1592"/>
      <c r="AH24" s="1592"/>
      <c r="AI24" s="1592"/>
      <c r="AJ24" s="1592"/>
      <c r="AK24" s="1592"/>
      <c r="AL24" s="1592"/>
      <c r="AM24" s="1592"/>
      <c r="AN24" s="1592"/>
      <c r="AO24" s="1592"/>
      <c r="AP24" s="1592"/>
      <c r="AQ24" s="1592"/>
      <c r="AR24" s="1592"/>
      <c r="AS24" s="1592"/>
      <c r="AT24" s="1592"/>
      <c r="AU24" s="1592"/>
      <c r="AV24" s="1592"/>
      <c r="AW24" s="1592"/>
      <c r="AX24" s="1592"/>
      <c r="AY24" s="1592"/>
      <c r="AZ24" s="1592"/>
      <c r="BA24" s="1592"/>
      <c r="BB24" s="1592"/>
      <c r="BC24" s="1592"/>
      <c r="BF24" s="1592" t="s">
        <v>80</v>
      </c>
      <c r="BG24" s="1592"/>
      <c r="BH24" s="1592"/>
      <c r="BI24" s="1592"/>
      <c r="BJ24" s="1592"/>
      <c r="BK24" s="1592"/>
      <c r="BL24" s="1592"/>
      <c r="BM24" s="1592"/>
      <c r="BN24" s="1592"/>
      <c r="BO24" s="1592"/>
      <c r="BP24" s="1592"/>
      <c r="BQ24" s="1592"/>
      <c r="BR24" s="1592"/>
      <c r="BS24" s="1592"/>
      <c r="BT24" s="1592"/>
      <c r="BU24" s="1592"/>
      <c r="BV24" s="1592"/>
      <c r="BY24" s="1592" t="s">
        <v>182</v>
      </c>
      <c r="BZ24" s="1592"/>
      <c r="CA24" s="1592"/>
      <c r="CB24" s="1592"/>
      <c r="CC24" s="1592"/>
      <c r="CD24" s="1592"/>
      <c r="CE24" s="1592"/>
      <c r="CF24" s="1592"/>
      <c r="CG24" s="1592"/>
      <c r="CH24" s="1592"/>
      <c r="CI24" s="1592"/>
      <c r="CJ24" s="1592"/>
      <c r="CK24" s="1592"/>
      <c r="CL24" s="1592"/>
      <c r="CM24" s="1592"/>
      <c r="CN24" s="1592"/>
      <c r="CO24" s="1592"/>
      <c r="CP24" s="1592"/>
      <c r="CQ24" s="1592"/>
      <c r="CR24" s="1592"/>
      <c r="CS24" s="1592"/>
      <c r="CT24" s="1592"/>
      <c r="CU24" s="1592"/>
      <c r="CV24" s="1592"/>
      <c r="CW24" s="1592"/>
      <c r="CX24" s="1592"/>
      <c r="CY24" s="1592"/>
      <c r="CZ24" s="1592"/>
      <c r="DA24" s="1592"/>
      <c r="DB24" s="1592"/>
      <c r="DC24" s="1592"/>
      <c r="DD24" s="1592"/>
    </row>
    <row r="25" spans="1:108">
      <c r="AF25" s="1594"/>
      <c r="AG25" s="1594"/>
      <c r="AH25" s="1594"/>
      <c r="AI25" s="1594"/>
      <c r="AJ25" s="1594"/>
      <c r="AK25" s="1594"/>
      <c r="AL25" s="1594"/>
      <c r="AM25" s="1594"/>
      <c r="AN25" s="1594"/>
      <c r="AO25" s="1594"/>
      <c r="AP25" s="1594"/>
      <c r="AQ25" s="1594"/>
      <c r="AR25" s="1594"/>
      <c r="AS25" s="1594"/>
      <c r="AT25" s="1594"/>
      <c r="AU25" s="1594"/>
      <c r="AV25" s="1594"/>
      <c r="AW25" s="1594"/>
      <c r="AX25" s="1594"/>
      <c r="AY25" s="1594"/>
      <c r="AZ25" s="1594"/>
      <c r="BA25" s="1594"/>
      <c r="BB25" s="1594"/>
      <c r="BC25" s="1594"/>
      <c r="BF25" s="1594"/>
      <c r="BG25" s="1594"/>
      <c r="BH25" s="1594"/>
      <c r="BI25" s="1594"/>
      <c r="BJ25" s="1594"/>
      <c r="BK25" s="1594"/>
      <c r="BL25" s="1594"/>
      <c r="BM25" s="1594"/>
      <c r="BN25" s="1594"/>
      <c r="BO25" s="1594"/>
      <c r="BP25" s="1594"/>
      <c r="BQ25" s="1594"/>
      <c r="BR25" s="1594"/>
      <c r="BS25" s="1594"/>
      <c r="BT25" s="1594"/>
      <c r="BU25" s="1594"/>
      <c r="BV25" s="1594"/>
      <c r="BY25" s="1594"/>
      <c r="BZ25" s="1594"/>
      <c r="CA25" s="1594"/>
      <c r="CB25" s="1594"/>
      <c r="CC25" s="1594"/>
      <c r="CD25" s="1594"/>
      <c r="CE25" s="1594"/>
      <c r="CF25" s="1594"/>
      <c r="CG25" s="1594"/>
      <c r="CH25" s="1594"/>
      <c r="CI25" s="1594"/>
      <c r="CJ25" s="1594"/>
      <c r="CK25" s="1594"/>
      <c r="CL25" s="1594"/>
      <c r="CM25" s="1594"/>
      <c r="CN25" s="1594"/>
      <c r="CO25" s="1594"/>
      <c r="CP25" s="1594"/>
      <c r="CQ25" s="1594"/>
      <c r="CR25" s="1594"/>
      <c r="CS25" s="1594"/>
      <c r="CT25" s="1594"/>
      <c r="CU25" s="1594"/>
      <c r="CV25" s="1594"/>
      <c r="CW25" s="1594"/>
      <c r="CX25" s="1594"/>
      <c r="CY25" s="1594"/>
      <c r="CZ25" s="1594"/>
      <c r="DA25" s="1594"/>
      <c r="DB25" s="1594"/>
      <c r="DC25" s="1594"/>
      <c r="DD25" s="1594"/>
    </row>
    <row r="26" spans="1:108" s="439" customFormat="1" ht="11.25">
      <c r="AF26" s="1592" t="s">
        <v>183</v>
      </c>
      <c r="AG26" s="1592"/>
      <c r="AH26" s="1592"/>
      <c r="AI26" s="1592"/>
      <c r="AJ26" s="1592"/>
      <c r="AK26" s="1592"/>
      <c r="AL26" s="1592"/>
      <c r="AM26" s="1592"/>
      <c r="AN26" s="1592"/>
      <c r="AO26" s="1592"/>
      <c r="AP26" s="1592"/>
      <c r="AQ26" s="1592"/>
      <c r="AR26" s="1592"/>
      <c r="AS26" s="1592"/>
      <c r="AT26" s="1592"/>
      <c r="AU26" s="1592"/>
      <c r="AV26" s="1592"/>
      <c r="AW26" s="1592"/>
      <c r="AX26" s="1592"/>
      <c r="AY26" s="1592"/>
      <c r="AZ26" s="1592"/>
      <c r="BA26" s="1592"/>
      <c r="BB26" s="1592"/>
      <c r="BC26" s="1592"/>
      <c r="BF26" s="1592" t="s">
        <v>80</v>
      </c>
      <c r="BG26" s="1592"/>
      <c r="BH26" s="1592"/>
      <c r="BI26" s="1592"/>
      <c r="BJ26" s="1592"/>
      <c r="BK26" s="1592"/>
      <c r="BL26" s="1592"/>
      <c r="BM26" s="1592"/>
      <c r="BN26" s="1592"/>
      <c r="BO26" s="1592"/>
      <c r="BP26" s="1592"/>
      <c r="BQ26" s="1592"/>
      <c r="BR26" s="1592"/>
      <c r="BS26" s="1592"/>
      <c r="BT26" s="1592"/>
      <c r="BU26" s="1592"/>
      <c r="BV26" s="1592"/>
      <c r="BY26" s="1592" t="s">
        <v>182</v>
      </c>
      <c r="BZ26" s="1592"/>
      <c r="CA26" s="1592"/>
      <c r="CB26" s="1592"/>
      <c r="CC26" s="1592"/>
      <c r="CD26" s="1592"/>
      <c r="CE26" s="1592"/>
      <c r="CF26" s="1592"/>
      <c r="CG26" s="1592"/>
      <c r="CH26" s="1592"/>
      <c r="CI26" s="1592"/>
      <c r="CJ26" s="1592"/>
      <c r="CK26" s="1592"/>
      <c r="CL26" s="1592"/>
      <c r="CM26" s="1592"/>
      <c r="CN26" s="1592"/>
      <c r="CO26" s="1592"/>
      <c r="CP26" s="1592"/>
      <c r="CQ26" s="1592"/>
      <c r="CR26" s="1592"/>
      <c r="CS26" s="1592"/>
      <c r="CT26" s="1592"/>
      <c r="CU26" s="1592"/>
      <c r="CV26" s="1592"/>
      <c r="CW26" s="1592"/>
      <c r="CX26" s="1592"/>
      <c r="CY26" s="1592"/>
      <c r="CZ26" s="1592"/>
      <c r="DA26" s="1592"/>
      <c r="DB26" s="1592"/>
      <c r="DC26" s="1592"/>
      <c r="DD26" s="1592"/>
    </row>
    <row r="28" spans="1:108">
      <c r="A28" s="437" t="s">
        <v>243</v>
      </c>
    </row>
    <row r="29" spans="1:108">
      <c r="AF29" s="1594"/>
      <c r="AG29" s="1594"/>
      <c r="AH29" s="1594"/>
      <c r="AI29" s="1594"/>
      <c r="AJ29" s="1594"/>
      <c r="AK29" s="1594"/>
      <c r="AL29" s="1594"/>
      <c r="AM29" s="1594"/>
      <c r="AN29" s="1594"/>
      <c r="AO29" s="1594"/>
      <c r="AP29" s="1594"/>
      <c r="AQ29" s="1594"/>
      <c r="AR29" s="1594"/>
      <c r="AS29" s="1594"/>
      <c r="AT29" s="1594"/>
      <c r="AU29" s="1594"/>
      <c r="AV29" s="1594"/>
      <c r="AW29" s="1594"/>
      <c r="AX29" s="1594"/>
      <c r="AY29" s="1594"/>
      <c r="AZ29" s="1594"/>
      <c r="BA29" s="1594"/>
      <c r="BB29" s="1594"/>
      <c r="BC29" s="1594"/>
      <c r="BF29" s="1594"/>
      <c r="BG29" s="1594"/>
      <c r="BH29" s="1594"/>
      <c r="BI29" s="1594"/>
      <c r="BJ29" s="1594"/>
      <c r="BK29" s="1594"/>
      <c r="BL29" s="1594"/>
      <c r="BM29" s="1594"/>
      <c r="BN29" s="1594"/>
      <c r="BO29" s="1594"/>
      <c r="BP29" s="1594"/>
      <c r="BQ29" s="1594"/>
      <c r="BR29" s="1594"/>
      <c r="BS29" s="1594"/>
      <c r="BT29" s="1594"/>
      <c r="BU29" s="1594"/>
      <c r="BV29" s="1594"/>
      <c r="BY29" s="1594"/>
      <c r="BZ29" s="1594"/>
      <c r="CA29" s="1594"/>
      <c r="CB29" s="1594"/>
      <c r="CC29" s="1594"/>
      <c r="CD29" s="1594"/>
      <c r="CE29" s="1594"/>
      <c r="CF29" s="1594"/>
      <c r="CG29" s="1594"/>
      <c r="CH29" s="1594"/>
      <c r="CI29" s="1594"/>
      <c r="CJ29" s="1594"/>
      <c r="CK29" s="1594"/>
      <c r="CL29" s="1594"/>
      <c r="CM29" s="1594"/>
      <c r="CN29" s="1594"/>
      <c r="CO29" s="1594"/>
      <c r="CP29" s="1594"/>
      <c r="CQ29" s="1594"/>
      <c r="CR29" s="1594"/>
      <c r="CS29" s="1594"/>
      <c r="CT29" s="1594"/>
      <c r="CU29" s="1594"/>
      <c r="CV29" s="1594"/>
      <c r="CW29" s="1594"/>
      <c r="CX29" s="1594"/>
      <c r="CY29" s="1594"/>
      <c r="CZ29" s="1594"/>
      <c r="DA29" s="1594"/>
      <c r="DB29" s="1594"/>
      <c r="DC29" s="1594"/>
      <c r="DD29" s="1594"/>
    </row>
    <row r="30" spans="1:108" s="439" customFormat="1" ht="11.25">
      <c r="AF30" s="1592" t="s">
        <v>183</v>
      </c>
      <c r="AG30" s="1592"/>
      <c r="AH30" s="1592"/>
      <c r="AI30" s="1592"/>
      <c r="AJ30" s="1592"/>
      <c r="AK30" s="1592"/>
      <c r="AL30" s="1592"/>
      <c r="AM30" s="1592"/>
      <c r="AN30" s="1592"/>
      <c r="AO30" s="1592"/>
      <c r="AP30" s="1592"/>
      <c r="AQ30" s="1592"/>
      <c r="AR30" s="1592"/>
      <c r="AS30" s="1592"/>
      <c r="AT30" s="1592"/>
      <c r="AU30" s="1592"/>
      <c r="AV30" s="1592"/>
      <c r="AW30" s="1592"/>
      <c r="AX30" s="1592"/>
      <c r="AY30" s="1592"/>
      <c r="AZ30" s="1592"/>
      <c r="BA30" s="1592"/>
      <c r="BB30" s="1592"/>
      <c r="BC30" s="1592"/>
      <c r="BF30" s="1592" t="s">
        <v>80</v>
      </c>
      <c r="BG30" s="1592"/>
      <c r="BH30" s="1592"/>
      <c r="BI30" s="1592"/>
      <c r="BJ30" s="1592"/>
      <c r="BK30" s="1592"/>
      <c r="BL30" s="1592"/>
      <c r="BM30" s="1592"/>
      <c r="BN30" s="1592"/>
      <c r="BO30" s="1592"/>
      <c r="BP30" s="1592"/>
      <c r="BQ30" s="1592"/>
      <c r="BR30" s="1592"/>
      <c r="BS30" s="1592"/>
      <c r="BT30" s="1592"/>
      <c r="BU30" s="1592"/>
      <c r="BV30" s="1592"/>
      <c r="BY30" s="1592" t="s">
        <v>182</v>
      </c>
      <c r="BZ30" s="1592"/>
      <c r="CA30" s="1592"/>
      <c r="CB30" s="1592"/>
      <c r="CC30" s="1592"/>
      <c r="CD30" s="1592"/>
      <c r="CE30" s="1592"/>
      <c r="CF30" s="1592"/>
      <c r="CG30" s="1592"/>
      <c r="CH30" s="1592"/>
      <c r="CI30" s="1592"/>
      <c r="CJ30" s="1592"/>
      <c r="CK30" s="1592"/>
      <c r="CL30" s="1592"/>
      <c r="CM30" s="1592"/>
      <c r="CN30" s="1592"/>
      <c r="CO30" s="1592"/>
      <c r="CP30" s="1592"/>
      <c r="CQ30" s="1592"/>
      <c r="CR30" s="1592"/>
      <c r="CS30" s="1592"/>
      <c r="CT30" s="1592"/>
      <c r="CU30" s="1592"/>
      <c r="CV30" s="1592"/>
      <c r="CW30" s="1592"/>
      <c r="CX30" s="1592"/>
      <c r="CY30" s="1592"/>
      <c r="CZ30" s="1592"/>
      <c r="DA30" s="1592"/>
      <c r="DB30" s="1592"/>
      <c r="DC30" s="1592"/>
      <c r="DD30" s="1592"/>
    </row>
    <row r="32" spans="1:108">
      <c r="A32" s="437" t="s">
        <v>368</v>
      </c>
      <c r="AN32" s="440"/>
      <c r="AO32" s="440"/>
      <c r="AP32" s="441"/>
      <c r="AQ32" s="1594"/>
      <c r="AR32" s="1594"/>
      <c r="AS32" s="1594"/>
      <c r="AT32" s="1594"/>
      <c r="AU32" s="1594"/>
      <c r="AV32" s="1594"/>
      <c r="AW32" s="1594"/>
      <c r="AX32" s="1594"/>
      <c r="AY32" s="1594"/>
      <c r="AZ32" s="1594"/>
      <c r="BA32" s="1594"/>
      <c r="BB32" s="1594"/>
      <c r="BC32" s="1594"/>
      <c r="BD32" s="1594"/>
      <c r="BE32" s="1594"/>
      <c r="BF32" s="1594"/>
      <c r="BG32" s="1594"/>
      <c r="BH32" s="1594"/>
      <c r="BI32" s="1594"/>
      <c r="BJ32" s="1594"/>
      <c r="BK32" s="1594"/>
      <c r="BL32" s="1594"/>
      <c r="BM32" s="1594"/>
      <c r="BN32" s="1594"/>
      <c r="BO32" s="1594"/>
      <c r="BP32" s="1594"/>
      <c r="BQ32" s="1594"/>
      <c r="BR32" s="1594"/>
      <c r="BS32" s="1594"/>
      <c r="BT32" s="1594"/>
      <c r="BU32" s="1594"/>
      <c r="BV32" s="1594"/>
      <c r="BW32" s="1594"/>
      <c r="BX32" s="1594"/>
      <c r="BY32" s="1594"/>
      <c r="BZ32" s="1594"/>
      <c r="CA32" s="1594"/>
      <c r="CB32" s="1594"/>
      <c r="CC32" s="1594"/>
      <c r="CD32" s="1594"/>
      <c r="CE32" s="1594"/>
      <c r="CF32" s="1594"/>
      <c r="CG32" s="1594"/>
      <c r="CH32" s="1594"/>
      <c r="CI32" s="1594"/>
      <c r="CJ32" s="1594"/>
      <c r="CK32" s="1594"/>
      <c r="CL32" s="1594"/>
      <c r="CM32" s="1594"/>
      <c r="CN32" s="1594"/>
      <c r="CO32" s="1594"/>
      <c r="CP32" s="1594"/>
      <c r="CQ32" s="1594"/>
      <c r="CR32" s="1594"/>
      <c r="CS32" s="1594"/>
      <c r="CT32" s="1594"/>
      <c r="CU32" s="1594"/>
      <c r="CV32" s="1594"/>
      <c r="CW32" s="1594"/>
      <c r="CX32" s="1594"/>
      <c r="CY32" s="1594"/>
      <c r="CZ32" s="1594"/>
      <c r="DA32" s="1594"/>
      <c r="DB32" s="1594"/>
      <c r="DC32" s="1594"/>
      <c r="DD32" s="1594"/>
    </row>
    <row r="33" spans="1:108">
      <c r="A33" s="1594"/>
      <c r="B33" s="1594"/>
      <c r="C33" s="1594"/>
      <c r="D33" s="1594"/>
      <c r="E33" s="1594"/>
      <c r="F33" s="1594"/>
      <c r="G33" s="1594"/>
      <c r="H33" s="1594"/>
      <c r="I33" s="1594"/>
      <c r="J33" s="1594"/>
      <c r="K33" s="1594"/>
      <c r="L33" s="1594"/>
      <c r="M33" s="1594"/>
      <c r="N33" s="1594"/>
      <c r="O33" s="1594"/>
      <c r="P33" s="1594"/>
      <c r="Q33" s="1594"/>
      <c r="R33" s="1594"/>
      <c r="S33" s="1594"/>
      <c r="T33" s="1594"/>
      <c r="U33" s="1594"/>
      <c r="V33" s="1594"/>
      <c r="W33" s="1594"/>
      <c r="X33" s="1594"/>
      <c r="Y33" s="1594"/>
      <c r="Z33" s="1594"/>
      <c r="AA33" s="1594"/>
      <c r="AB33" s="1594"/>
      <c r="AC33" s="1594"/>
      <c r="AD33" s="1594"/>
      <c r="AE33" s="1594"/>
      <c r="AF33" s="1594"/>
      <c r="AG33" s="1594"/>
      <c r="AH33" s="1594"/>
      <c r="AI33" s="1594"/>
      <c r="AJ33" s="1594"/>
      <c r="AK33" s="1594"/>
      <c r="AL33" s="1594"/>
      <c r="AM33" s="1594"/>
      <c r="AN33" s="1594"/>
      <c r="AO33" s="1594"/>
      <c r="AP33" s="1594"/>
      <c r="AQ33" s="1594"/>
      <c r="AR33" s="1594"/>
      <c r="AS33" s="1594"/>
      <c r="AT33" s="1594"/>
      <c r="AU33" s="1594"/>
      <c r="AV33" s="1594"/>
      <c r="AW33" s="1594"/>
      <c r="AX33" s="1594"/>
      <c r="AY33" s="1594"/>
      <c r="AZ33" s="1594"/>
      <c r="BA33" s="1594"/>
      <c r="BB33" s="1594"/>
      <c r="BC33" s="1594"/>
      <c r="BD33" s="1594"/>
      <c r="BE33" s="1594"/>
      <c r="BF33" s="1594"/>
      <c r="BG33" s="1594"/>
      <c r="BH33" s="1594"/>
      <c r="BI33" s="1594"/>
      <c r="BJ33" s="1594"/>
      <c r="BK33" s="1594"/>
      <c r="BL33" s="1594"/>
      <c r="BM33" s="1594"/>
      <c r="BN33" s="1594"/>
      <c r="BO33" s="1594"/>
      <c r="BP33" s="1594"/>
      <c r="BQ33" s="1594"/>
      <c r="BR33" s="1594"/>
      <c r="BS33" s="1594"/>
      <c r="BT33" s="1594"/>
      <c r="BU33" s="1594"/>
      <c r="BV33" s="1594"/>
      <c r="BW33" s="1594"/>
      <c r="BX33" s="1594"/>
      <c r="BY33" s="1594"/>
      <c r="BZ33" s="1594"/>
      <c r="CA33" s="1594"/>
      <c r="CB33" s="1594"/>
      <c r="CC33" s="1594"/>
      <c r="CD33" s="1594"/>
      <c r="CE33" s="1594"/>
      <c r="CF33" s="1594"/>
      <c r="CG33" s="1594"/>
      <c r="CH33" s="1594"/>
      <c r="CI33" s="1594"/>
      <c r="CJ33" s="1594"/>
      <c r="CK33" s="1594"/>
      <c r="CL33" s="1594"/>
      <c r="CM33" s="1594"/>
      <c r="CN33" s="1594"/>
      <c r="CO33" s="1594"/>
      <c r="CP33" s="1594"/>
      <c r="CQ33" s="1594"/>
      <c r="CR33" s="1594"/>
      <c r="CS33" s="1594"/>
      <c r="CT33" s="1594"/>
      <c r="CU33" s="1594"/>
      <c r="CV33" s="1594"/>
      <c r="CW33" s="1594"/>
      <c r="CX33" s="1594"/>
      <c r="CY33" s="1594"/>
      <c r="CZ33" s="1594"/>
      <c r="DA33" s="1594"/>
      <c r="DB33" s="1594"/>
      <c r="DC33" s="1594"/>
      <c r="DD33" s="1594"/>
    </row>
    <row r="34" spans="1:108">
      <c r="A34" s="1594"/>
      <c r="B34" s="1594"/>
      <c r="C34" s="1594"/>
      <c r="D34" s="1594"/>
      <c r="E34" s="1594"/>
      <c r="F34" s="1594"/>
      <c r="G34" s="1594"/>
      <c r="H34" s="1594"/>
      <c r="I34" s="1594"/>
      <c r="J34" s="1594"/>
      <c r="K34" s="1594"/>
      <c r="L34" s="1594"/>
      <c r="M34" s="1594"/>
      <c r="N34" s="1594"/>
      <c r="O34" s="1594"/>
      <c r="P34" s="1594"/>
      <c r="Q34" s="1594"/>
      <c r="R34" s="1594"/>
      <c r="S34" s="1594"/>
      <c r="T34" s="1594"/>
      <c r="U34" s="1594"/>
      <c r="V34" s="1594"/>
      <c r="W34" s="1594"/>
      <c r="X34" s="1594"/>
      <c r="Y34" s="1594"/>
      <c r="Z34" s="1594"/>
      <c r="AA34" s="1594"/>
      <c r="AB34" s="1594"/>
      <c r="AC34" s="1594"/>
      <c r="AD34" s="1594"/>
      <c r="AE34" s="1594"/>
      <c r="AF34" s="1594"/>
      <c r="AG34" s="1594"/>
      <c r="AH34" s="1594"/>
      <c r="AI34" s="1594"/>
      <c r="AJ34" s="1594"/>
      <c r="AK34" s="1594"/>
      <c r="AL34" s="1594"/>
      <c r="AM34" s="1594"/>
      <c r="AN34" s="1594"/>
      <c r="AO34" s="1594"/>
      <c r="AP34" s="1594"/>
      <c r="AQ34" s="1594"/>
      <c r="AR34" s="1594"/>
      <c r="AS34" s="1594"/>
      <c r="AT34" s="1594"/>
      <c r="AU34" s="1594"/>
      <c r="AV34" s="1594"/>
      <c r="AW34" s="1594"/>
      <c r="AX34" s="1594"/>
      <c r="AY34" s="1594"/>
      <c r="AZ34" s="1594"/>
      <c r="BA34" s="1594"/>
      <c r="BB34" s="1594"/>
      <c r="BC34" s="1594"/>
      <c r="BD34" s="1594"/>
      <c r="BE34" s="1594"/>
      <c r="BF34" s="1594"/>
      <c r="BG34" s="1594"/>
      <c r="BH34" s="1594"/>
      <c r="BI34" s="1594"/>
      <c r="BJ34" s="1594"/>
      <c r="BK34" s="1594"/>
      <c r="BL34" s="1594"/>
      <c r="BM34" s="1594"/>
      <c r="BN34" s="1594"/>
      <c r="BO34" s="1594"/>
      <c r="BP34" s="1594"/>
      <c r="BQ34" s="1594"/>
      <c r="BR34" s="1594"/>
      <c r="BS34" s="1594"/>
      <c r="BT34" s="1594"/>
      <c r="BU34" s="1594"/>
      <c r="BV34" s="1594"/>
      <c r="BW34" s="1594"/>
      <c r="BX34" s="1594"/>
      <c r="BY34" s="1594"/>
      <c r="BZ34" s="1594"/>
      <c r="CA34" s="1594"/>
      <c r="CB34" s="1594"/>
      <c r="CC34" s="1594"/>
      <c r="CD34" s="1594"/>
      <c r="CE34" s="1594"/>
      <c r="CF34" s="1594"/>
      <c r="CG34" s="1594"/>
      <c r="CH34" s="1594"/>
      <c r="CI34" s="1594"/>
      <c r="CJ34" s="1594"/>
      <c r="CK34" s="1594"/>
      <c r="CL34" s="1594"/>
      <c r="CM34" s="1594"/>
      <c r="CN34" s="1594"/>
      <c r="CO34" s="1594"/>
      <c r="CP34" s="1594"/>
      <c r="CQ34" s="1594"/>
      <c r="CR34" s="1594"/>
      <c r="CS34" s="1594"/>
      <c r="CT34" s="1594"/>
      <c r="CU34" s="1594"/>
      <c r="CV34" s="1594"/>
      <c r="CW34" s="1594"/>
      <c r="CX34" s="1594"/>
      <c r="CY34" s="1594"/>
      <c r="CZ34" s="1594"/>
      <c r="DA34" s="1594"/>
      <c r="DB34" s="1594"/>
      <c r="DC34" s="1594"/>
      <c r="DD34" s="1594"/>
    </row>
    <row r="35" spans="1:108">
      <c r="A35" s="1594"/>
      <c r="B35" s="1594"/>
      <c r="C35" s="1594"/>
      <c r="D35" s="1594"/>
      <c r="E35" s="1594"/>
      <c r="F35" s="1594"/>
      <c r="G35" s="1594"/>
      <c r="H35" s="1594"/>
      <c r="I35" s="1594"/>
      <c r="J35" s="1594"/>
      <c r="K35" s="1594"/>
      <c r="L35" s="1594"/>
      <c r="M35" s="1594"/>
      <c r="N35" s="1594"/>
      <c r="O35" s="1594"/>
      <c r="P35" s="1594"/>
      <c r="Q35" s="1594"/>
      <c r="R35" s="1594"/>
      <c r="S35" s="1594"/>
      <c r="T35" s="1594"/>
      <c r="U35" s="1594"/>
      <c r="V35" s="1594"/>
      <c r="W35" s="1594"/>
      <c r="X35" s="1594"/>
      <c r="Y35" s="1594"/>
      <c r="Z35" s="1594"/>
      <c r="AA35" s="1594"/>
      <c r="AB35" s="1594"/>
      <c r="AC35" s="1594"/>
      <c r="AD35" s="1594"/>
      <c r="AE35" s="1594"/>
      <c r="AF35" s="1594"/>
      <c r="AG35" s="1594"/>
      <c r="AH35" s="1594"/>
      <c r="AI35" s="1594"/>
      <c r="AJ35" s="1594"/>
      <c r="AK35" s="1594"/>
      <c r="AL35" s="1594"/>
      <c r="AM35" s="1594"/>
      <c r="AN35" s="1594"/>
      <c r="AO35" s="1594"/>
      <c r="AP35" s="1594"/>
      <c r="AQ35" s="1594"/>
      <c r="AR35" s="1594"/>
      <c r="AS35" s="1594"/>
      <c r="AT35" s="1594"/>
      <c r="AU35" s="1594"/>
      <c r="AV35" s="1594"/>
      <c r="AW35" s="1594"/>
      <c r="AX35" s="1594"/>
      <c r="AY35" s="1594"/>
      <c r="AZ35" s="1594"/>
      <c r="BA35" s="1594"/>
      <c r="BB35" s="1594"/>
      <c r="BC35" s="1594"/>
      <c r="BD35" s="1594"/>
      <c r="BE35" s="1594"/>
      <c r="BF35" s="1594"/>
      <c r="BG35" s="1594"/>
      <c r="BH35" s="1594"/>
      <c r="BI35" s="1594"/>
      <c r="BJ35" s="1594"/>
      <c r="BK35" s="1594"/>
      <c r="BL35" s="1594"/>
      <c r="BM35" s="1594"/>
      <c r="BN35" s="1594"/>
      <c r="BO35" s="1594"/>
      <c r="BP35" s="1594"/>
      <c r="BQ35" s="1594"/>
      <c r="BR35" s="1594"/>
      <c r="BS35" s="1594"/>
      <c r="BT35" s="1594"/>
      <c r="BU35" s="1594"/>
      <c r="BV35" s="1594"/>
      <c r="BW35" s="1594"/>
      <c r="BX35" s="1594"/>
      <c r="BY35" s="1594"/>
      <c r="BZ35" s="1594"/>
      <c r="CA35" s="1594"/>
      <c r="CB35" s="1594"/>
      <c r="CC35" s="1594"/>
      <c r="CD35" s="1594"/>
      <c r="CE35" s="1594"/>
      <c r="CF35" s="1594"/>
      <c r="CG35" s="1594"/>
      <c r="CH35" s="1594"/>
      <c r="CI35" s="1594"/>
      <c r="CJ35" s="1594"/>
      <c r="CK35" s="1594"/>
      <c r="CL35" s="1594"/>
      <c r="CM35" s="1594"/>
      <c r="CN35" s="1594"/>
      <c r="CO35" s="1594"/>
      <c r="CP35" s="1594"/>
      <c r="CQ35" s="1594"/>
      <c r="CR35" s="1594"/>
      <c r="CS35" s="1594"/>
      <c r="CT35" s="1594"/>
      <c r="CU35" s="1594"/>
      <c r="CV35" s="1594"/>
      <c r="CW35" s="1594"/>
      <c r="CX35" s="1594"/>
      <c r="CY35" s="1594"/>
      <c r="CZ35" s="1594"/>
      <c r="DA35" s="1594"/>
      <c r="DB35" s="1594"/>
      <c r="DC35" s="1594"/>
      <c r="DD35" s="1594"/>
    </row>
    <row r="36" spans="1:108">
      <c r="A36" s="1594"/>
      <c r="B36" s="1594"/>
      <c r="C36" s="1594"/>
      <c r="D36" s="1594"/>
      <c r="E36" s="1594"/>
      <c r="F36" s="1594"/>
      <c r="G36" s="1594"/>
      <c r="H36" s="1594"/>
      <c r="I36" s="1594"/>
      <c r="J36" s="1594"/>
      <c r="K36" s="1594"/>
      <c r="L36" s="1594"/>
      <c r="M36" s="1594"/>
      <c r="N36" s="1594"/>
      <c r="O36" s="1594"/>
      <c r="P36" s="1594"/>
      <c r="Q36" s="1594"/>
      <c r="R36" s="1594"/>
      <c r="S36" s="1594"/>
      <c r="T36" s="1594"/>
      <c r="U36" s="1594"/>
      <c r="V36" s="1594"/>
      <c r="W36" s="1594"/>
      <c r="X36" s="1594"/>
      <c r="Y36" s="1594"/>
      <c r="Z36" s="1594"/>
      <c r="AA36" s="1594"/>
      <c r="AB36" s="1594"/>
      <c r="AC36" s="1594"/>
      <c r="AD36" s="1594"/>
      <c r="AE36" s="1594"/>
      <c r="AF36" s="1594"/>
      <c r="AG36" s="1594"/>
      <c r="AH36" s="1594"/>
      <c r="AI36" s="1594"/>
      <c r="AJ36" s="1594"/>
      <c r="AK36" s="1594"/>
      <c r="AL36" s="1594"/>
      <c r="AM36" s="1594"/>
      <c r="AN36" s="1594"/>
      <c r="AO36" s="1594"/>
      <c r="AP36" s="1594"/>
      <c r="AQ36" s="1594"/>
      <c r="AR36" s="1594"/>
      <c r="AS36" s="1594"/>
      <c r="AT36" s="1594"/>
      <c r="AU36" s="1594"/>
      <c r="AV36" s="1594"/>
      <c r="AW36" s="1594"/>
      <c r="AX36" s="1594"/>
      <c r="AY36" s="1594"/>
      <c r="AZ36" s="1594"/>
      <c r="BA36" s="1594"/>
      <c r="BB36" s="1594"/>
      <c r="BC36" s="1594"/>
      <c r="BD36" s="1594"/>
      <c r="BE36" s="1594"/>
      <c r="BF36" s="1594"/>
      <c r="BG36" s="1594"/>
      <c r="BH36" s="1594"/>
      <c r="BI36" s="1594"/>
      <c r="BJ36" s="1594"/>
      <c r="BK36" s="1594"/>
      <c r="BL36" s="1594"/>
      <c r="BM36" s="1594"/>
      <c r="BN36" s="1594"/>
      <c r="BO36" s="1594"/>
      <c r="BP36" s="1594"/>
      <c r="BQ36" s="1594"/>
      <c r="BR36" s="1594"/>
      <c r="BS36" s="1594"/>
      <c r="BT36" s="1594"/>
      <c r="BU36" s="1594"/>
      <c r="BV36" s="1594"/>
      <c r="BW36" s="1594"/>
      <c r="BX36" s="1594"/>
      <c r="BY36" s="1594"/>
      <c r="BZ36" s="1594"/>
      <c r="CA36" s="1594"/>
      <c r="CB36" s="1594"/>
      <c r="CC36" s="1594"/>
      <c r="CD36" s="1594"/>
      <c r="CE36" s="1594"/>
      <c r="CF36" s="1594"/>
      <c r="CG36" s="1594"/>
      <c r="CH36" s="1594"/>
      <c r="CI36" s="1594"/>
      <c r="CJ36" s="1594"/>
      <c r="CK36" s="1594"/>
      <c r="CL36" s="1594"/>
      <c r="CM36" s="1594"/>
      <c r="CN36" s="1594"/>
      <c r="CO36" s="1594"/>
      <c r="CP36" s="1594"/>
      <c r="CQ36" s="1594"/>
      <c r="CR36" s="1594"/>
      <c r="CS36" s="1594"/>
      <c r="CT36" s="1594"/>
      <c r="CU36" s="1594"/>
      <c r="CV36" s="1594"/>
      <c r="CW36" s="1594"/>
      <c r="CX36" s="1594"/>
      <c r="CY36" s="1594"/>
      <c r="CZ36" s="1594"/>
      <c r="DA36" s="1594"/>
      <c r="DB36" s="1594"/>
      <c r="DC36" s="1594"/>
      <c r="DD36" s="1594"/>
    </row>
    <row r="37" spans="1:108">
      <c r="A37" s="1594"/>
      <c r="B37" s="1594"/>
      <c r="C37" s="1594"/>
      <c r="D37" s="1594"/>
      <c r="E37" s="1594"/>
      <c r="F37" s="1594"/>
      <c r="G37" s="1594"/>
      <c r="H37" s="1594"/>
      <c r="I37" s="1594"/>
      <c r="J37" s="1594"/>
      <c r="K37" s="1594"/>
      <c r="L37" s="1594"/>
      <c r="M37" s="1594"/>
      <c r="N37" s="1594"/>
      <c r="O37" s="1594"/>
      <c r="P37" s="1594"/>
      <c r="Q37" s="1594"/>
      <c r="R37" s="1594"/>
      <c r="S37" s="1594"/>
      <c r="T37" s="1594"/>
      <c r="U37" s="1594"/>
      <c r="V37" s="1594"/>
      <c r="W37" s="1594"/>
      <c r="X37" s="1594"/>
      <c r="Y37" s="1594"/>
      <c r="Z37" s="1594"/>
      <c r="AA37" s="1594"/>
      <c r="AB37" s="1594"/>
      <c r="AC37" s="1594"/>
      <c r="AD37" s="1594"/>
      <c r="AE37" s="1594"/>
      <c r="AF37" s="1594"/>
      <c r="AG37" s="1594"/>
      <c r="AH37" s="1594"/>
      <c r="AI37" s="1594"/>
      <c r="AJ37" s="1594"/>
      <c r="AK37" s="1594"/>
      <c r="AL37" s="1594"/>
      <c r="AM37" s="1594"/>
      <c r="AN37" s="1594"/>
      <c r="AO37" s="1594"/>
      <c r="AP37" s="1594"/>
      <c r="AQ37" s="1594"/>
      <c r="AR37" s="1594"/>
      <c r="AS37" s="1594"/>
      <c r="AT37" s="1594"/>
      <c r="AU37" s="1594"/>
      <c r="AV37" s="1594"/>
      <c r="AW37" s="1594"/>
      <c r="AX37" s="1594"/>
      <c r="AY37" s="1594"/>
      <c r="AZ37" s="1594"/>
      <c r="BA37" s="1594"/>
      <c r="BB37" s="1594"/>
      <c r="BC37" s="1594"/>
      <c r="BD37" s="1594"/>
      <c r="BE37" s="1594"/>
      <c r="BF37" s="1594"/>
      <c r="BG37" s="1594"/>
      <c r="BH37" s="1594"/>
      <c r="BI37" s="1594"/>
      <c r="BJ37" s="1594"/>
      <c r="BK37" s="1594"/>
      <c r="BL37" s="1594"/>
      <c r="BM37" s="1594"/>
      <c r="BN37" s="1594"/>
      <c r="BO37" s="1594"/>
      <c r="BP37" s="1594"/>
      <c r="BQ37" s="1594"/>
      <c r="BR37" s="1594"/>
      <c r="BS37" s="1594"/>
      <c r="BT37" s="1594"/>
      <c r="BU37" s="1594"/>
      <c r="BV37" s="1594"/>
      <c r="BW37" s="1594"/>
      <c r="BX37" s="1594"/>
      <c r="BY37" s="1594"/>
      <c r="BZ37" s="1594"/>
      <c r="CA37" s="1594"/>
      <c r="CB37" s="1594"/>
      <c r="CC37" s="1594"/>
      <c r="CD37" s="1594"/>
      <c r="CE37" s="1594"/>
      <c r="CF37" s="1594"/>
      <c r="CG37" s="1594"/>
      <c r="CH37" s="1594"/>
      <c r="CI37" s="1594"/>
      <c r="CJ37" s="1594"/>
      <c r="CK37" s="1594"/>
      <c r="CL37" s="1594"/>
      <c r="CM37" s="1594"/>
      <c r="CN37" s="1594"/>
      <c r="CO37" s="1594"/>
      <c r="CP37" s="1594"/>
      <c r="CQ37" s="1594"/>
      <c r="CR37" s="1594"/>
      <c r="CS37" s="1594"/>
      <c r="CT37" s="1594"/>
      <c r="CU37" s="1594"/>
      <c r="CV37" s="1594"/>
      <c r="CW37" s="1594"/>
      <c r="CX37" s="1594"/>
      <c r="CY37" s="1594"/>
      <c r="CZ37" s="1594"/>
      <c r="DA37" s="1594"/>
      <c r="DB37" s="1594"/>
      <c r="DC37" s="1594"/>
      <c r="DD37" s="1594"/>
    </row>
    <row r="39" spans="1:108">
      <c r="A39" s="437" t="s">
        <v>78</v>
      </c>
    </row>
    <row r="40" spans="1:108">
      <c r="AF40" s="1644" t="str">
        <f>AF23</f>
        <v>МОЛ_Должн</v>
      </c>
      <c r="AG40" s="1644"/>
      <c r="AH40" s="1644"/>
      <c r="AI40" s="1644"/>
      <c r="AJ40" s="1644"/>
      <c r="AK40" s="1644"/>
      <c r="AL40" s="1644"/>
      <c r="AM40" s="1644"/>
      <c r="AN40" s="1644"/>
      <c r="AO40" s="1644"/>
      <c r="AP40" s="1644"/>
      <c r="AQ40" s="1644"/>
      <c r="AR40" s="1644"/>
      <c r="AS40" s="1644"/>
      <c r="AT40" s="1644"/>
      <c r="AU40" s="1644"/>
      <c r="AV40" s="1644"/>
      <c r="AW40" s="1644"/>
      <c r="AX40" s="1644"/>
      <c r="AY40" s="1644"/>
      <c r="AZ40" s="1644"/>
      <c r="BA40" s="1644"/>
      <c r="BB40" s="1644"/>
      <c r="BC40" s="1644"/>
      <c r="BF40" s="1594"/>
      <c r="BG40" s="1594"/>
      <c r="BH40" s="1594"/>
      <c r="BI40" s="1594"/>
      <c r="BJ40" s="1594"/>
      <c r="BK40" s="1594"/>
      <c r="BL40" s="1594"/>
      <c r="BM40" s="1594"/>
      <c r="BN40" s="1594"/>
      <c r="BO40" s="1594"/>
      <c r="BP40" s="1594"/>
      <c r="BQ40" s="1594"/>
      <c r="BR40" s="1594"/>
      <c r="BS40" s="1594"/>
      <c r="BT40" s="1594"/>
      <c r="BU40" s="1594"/>
      <c r="BV40" s="1594"/>
      <c r="BY40" s="1644" t="str">
        <f>BY23</f>
        <v>МОЛ</v>
      </c>
      <c r="BZ40" s="1644"/>
      <c r="CA40" s="1644"/>
      <c r="CB40" s="1644"/>
      <c r="CC40" s="1644"/>
      <c r="CD40" s="1644"/>
      <c r="CE40" s="1644"/>
      <c r="CF40" s="1644"/>
      <c r="CG40" s="1644"/>
      <c r="CH40" s="1644"/>
      <c r="CI40" s="1644"/>
      <c r="CJ40" s="1644"/>
      <c r="CK40" s="1644"/>
      <c r="CL40" s="1644"/>
      <c r="CM40" s="1644"/>
      <c r="CN40" s="1644"/>
      <c r="CO40" s="1644"/>
      <c r="CP40" s="1644"/>
      <c r="CQ40" s="1644"/>
      <c r="CR40" s="1644"/>
      <c r="CS40" s="1644"/>
      <c r="CT40" s="1644"/>
      <c r="CU40" s="1644"/>
      <c r="CV40" s="1644"/>
      <c r="CW40" s="1644"/>
      <c r="CX40" s="1644"/>
      <c r="CY40" s="1644"/>
      <c r="CZ40" s="1644"/>
      <c r="DA40" s="1644"/>
      <c r="DB40" s="1644"/>
      <c r="DC40" s="1644"/>
      <c r="DD40" s="1644"/>
    </row>
    <row r="41" spans="1:108" s="439" customFormat="1" ht="11.25">
      <c r="AF41" s="1592" t="s">
        <v>183</v>
      </c>
      <c r="AG41" s="1592"/>
      <c r="AH41" s="1592"/>
      <c r="AI41" s="1592"/>
      <c r="AJ41" s="1592"/>
      <c r="AK41" s="1592"/>
      <c r="AL41" s="1592"/>
      <c r="AM41" s="1592"/>
      <c r="AN41" s="1592"/>
      <c r="AO41" s="1592"/>
      <c r="AP41" s="1592"/>
      <c r="AQ41" s="1592"/>
      <c r="AR41" s="1592"/>
      <c r="AS41" s="1592"/>
      <c r="AT41" s="1592"/>
      <c r="AU41" s="1592"/>
      <c r="AV41" s="1592"/>
      <c r="AW41" s="1592"/>
      <c r="AX41" s="1592"/>
      <c r="AY41" s="1592"/>
      <c r="AZ41" s="1592"/>
      <c r="BA41" s="1592"/>
      <c r="BB41" s="1592"/>
      <c r="BC41" s="1592"/>
      <c r="BF41" s="1592" t="s">
        <v>80</v>
      </c>
      <c r="BG41" s="1592"/>
      <c r="BH41" s="1592"/>
      <c r="BI41" s="1592"/>
      <c r="BJ41" s="1592"/>
      <c r="BK41" s="1592"/>
      <c r="BL41" s="1592"/>
      <c r="BM41" s="1592"/>
      <c r="BN41" s="1592"/>
      <c r="BO41" s="1592"/>
      <c r="BP41" s="1592"/>
      <c r="BQ41" s="1592"/>
      <c r="BR41" s="1592"/>
      <c r="BS41" s="1592"/>
      <c r="BT41" s="1592"/>
      <c r="BU41" s="1592"/>
      <c r="BV41" s="1592"/>
      <c r="BY41" s="1592" t="s">
        <v>182</v>
      </c>
      <c r="BZ41" s="1592"/>
      <c r="CA41" s="1592"/>
      <c r="CB41" s="1592"/>
      <c r="CC41" s="1592"/>
      <c r="CD41" s="1592"/>
      <c r="CE41" s="1592"/>
      <c r="CF41" s="1592"/>
      <c r="CG41" s="1592"/>
      <c r="CH41" s="1592"/>
      <c r="CI41" s="1592"/>
      <c r="CJ41" s="1592"/>
      <c r="CK41" s="1592"/>
      <c r="CL41" s="1592"/>
      <c r="CM41" s="1592"/>
      <c r="CN41" s="1592"/>
      <c r="CO41" s="1592"/>
      <c r="CP41" s="1592"/>
      <c r="CQ41" s="1592"/>
      <c r="CR41" s="1592"/>
      <c r="CS41" s="1592"/>
      <c r="CT41" s="1592"/>
      <c r="CU41" s="1592"/>
      <c r="CV41" s="1592"/>
      <c r="CW41" s="1592"/>
      <c r="CX41" s="1592"/>
      <c r="CY41" s="1592"/>
      <c r="CZ41" s="1592"/>
      <c r="DA41" s="1592"/>
      <c r="DB41" s="1592"/>
      <c r="DC41" s="1592"/>
      <c r="DD41" s="1592"/>
    </row>
    <row r="42" spans="1:108">
      <c r="AF42" s="1594"/>
      <c r="AG42" s="1594"/>
      <c r="AH42" s="1594"/>
      <c r="AI42" s="1594"/>
      <c r="AJ42" s="1594"/>
      <c r="AK42" s="1594"/>
      <c r="AL42" s="1594"/>
      <c r="AM42" s="1594"/>
      <c r="AN42" s="1594"/>
      <c r="AO42" s="1594"/>
      <c r="AP42" s="1594"/>
      <c r="AQ42" s="1594"/>
      <c r="AR42" s="1594"/>
      <c r="AS42" s="1594"/>
      <c r="AT42" s="1594"/>
      <c r="AU42" s="1594"/>
      <c r="AV42" s="1594"/>
      <c r="AW42" s="1594"/>
      <c r="AX42" s="1594"/>
      <c r="AY42" s="1594"/>
      <c r="AZ42" s="1594"/>
      <c r="BA42" s="1594"/>
      <c r="BB42" s="1594"/>
      <c r="BC42" s="1594"/>
      <c r="BF42" s="1594"/>
      <c r="BG42" s="1594"/>
      <c r="BH42" s="1594"/>
      <c r="BI42" s="1594"/>
      <c r="BJ42" s="1594"/>
      <c r="BK42" s="1594"/>
      <c r="BL42" s="1594"/>
      <c r="BM42" s="1594"/>
      <c r="BN42" s="1594"/>
      <c r="BO42" s="1594"/>
      <c r="BP42" s="1594"/>
      <c r="BQ42" s="1594"/>
      <c r="BR42" s="1594"/>
      <c r="BS42" s="1594"/>
      <c r="BT42" s="1594"/>
      <c r="BU42" s="1594"/>
      <c r="BV42" s="1594"/>
      <c r="BY42" s="1594"/>
      <c r="BZ42" s="1594"/>
      <c r="CA42" s="1594"/>
      <c r="CB42" s="1594"/>
      <c r="CC42" s="1594"/>
      <c r="CD42" s="1594"/>
      <c r="CE42" s="1594"/>
      <c r="CF42" s="1594"/>
      <c r="CG42" s="1594"/>
      <c r="CH42" s="1594"/>
      <c r="CI42" s="1594"/>
      <c r="CJ42" s="1594"/>
      <c r="CK42" s="1594"/>
      <c r="CL42" s="1594"/>
      <c r="CM42" s="1594"/>
      <c r="CN42" s="1594"/>
      <c r="CO42" s="1594"/>
      <c r="CP42" s="1594"/>
      <c r="CQ42" s="1594"/>
      <c r="CR42" s="1594"/>
      <c r="CS42" s="1594"/>
      <c r="CT42" s="1594"/>
      <c r="CU42" s="1594"/>
      <c r="CV42" s="1594"/>
      <c r="CW42" s="1594"/>
      <c r="CX42" s="1594"/>
      <c r="CY42" s="1594"/>
      <c r="CZ42" s="1594"/>
      <c r="DA42" s="1594"/>
      <c r="DB42" s="1594"/>
      <c r="DC42" s="1594"/>
      <c r="DD42" s="1594"/>
    </row>
    <row r="43" spans="1:108" s="439" customFormat="1" ht="11.25">
      <c r="AF43" s="1592" t="s">
        <v>183</v>
      </c>
      <c r="AG43" s="1592"/>
      <c r="AH43" s="1592"/>
      <c r="AI43" s="1592"/>
      <c r="AJ43" s="1592"/>
      <c r="AK43" s="1592"/>
      <c r="AL43" s="1592"/>
      <c r="AM43" s="1592"/>
      <c r="AN43" s="1592"/>
      <c r="AO43" s="1592"/>
      <c r="AP43" s="1592"/>
      <c r="AQ43" s="1592"/>
      <c r="AR43" s="1592"/>
      <c r="AS43" s="1592"/>
      <c r="AT43" s="1592"/>
      <c r="AU43" s="1592"/>
      <c r="AV43" s="1592"/>
      <c r="AW43" s="1592"/>
      <c r="AX43" s="1592"/>
      <c r="AY43" s="1592"/>
      <c r="AZ43" s="1592"/>
      <c r="BA43" s="1592"/>
      <c r="BB43" s="1592"/>
      <c r="BC43" s="1592"/>
      <c r="BF43" s="1592" t="s">
        <v>80</v>
      </c>
      <c r="BG43" s="1592"/>
      <c r="BH43" s="1592"/>
      <c r="BI43" s="1592"/>
      <c r="BJ43" s="1592"/>
      <c r="BK43" s="1592"/>
      <c r="BL43" s="1592"/>
      <c r="BM43" s="1592"/>
      <c r="BN43" s="1592"/>
      <c r="BO43" s="1592"/>
      <c r="BP43" s="1592"/>
      <c r="BQ43" s="1592"/>
      <c r="BR43" s="1592"/>
      <c r="BS43" s="1592"/>
      <c r="BT43" s="1592"/>
      <c r="BU43" s="1592"/>
      <c r="BV43" s="1592"/>
      <c r="BY43" s="1592" t="s">
        <v>182</v>
      </c>
      <c r="BZ43" s="1592"/>
      <c r="CA43" s="1592"/>
      <c r="CB43" s="1592"/>
      <c r="CC43" s="1592"/>
      <c r="CD43" s="1592"/>
      <c r="CE43" s="1592"/>
      <c r="CF43" s="1592"/>
      <c r="CG43" s="1592"/>
      <c r="CH43" s="1592"/>
      <c r="CI43" s="1592"/>
      <c r="CJ43" s="1592"/>
      <c r="CK43" s="1592"/>
      <c r="CL43" s="1592"/>
      <c r="CM43" s="1592"/>
      <c r="CN43" s="1592"/>
      <c r="CO43" s="1592"/>
      <c r="CP43" s="1592"/>
      <c r="CQ43" s="1592"/>
      <c r="CR43" s="1592"/>
      <c r="CS43" s="1592"/>
      <c r="CT43" s="1592"/>
      <c r="CU43" s="1592"/>
      <c r="CV43" s="1592"/>
      <c r="CW43" s="1592"/>
      <c r="CX43" s="1592"/>
      <c r="CY43" s="1592"/>
      <c r="CZ43" s="1592"/>
      <c r="DA43" s="1592"/>
      <c r="DB43" s="1592"/>
      <c r="DC43" s="1592"/>
      <c r="DD43" s="1592"/>
    </row>
    <row r="45" spans="1:108">
      <c r="A45" s="437" t="s">
        <v>369</v>
      </c>
      <c r="AI45" s="441"/>
      <c r="AJ45" s="1643"/>
      <c r="AK45" s="1643"/>
      <c r="AL45" s="1643"/>
      <c r="AM45" s="1643"/>
      <c r="AN45" s="1643"/>
      <c r="AO45" s="1643"/>
      <c r="AP45" s="1643"/>
      <c r="AQ45" s="1643"/>
      <c r="AR45" s="1643"/>
      <c r="AS45" s="1643"/>
      <c r="AT45" s="1643"/>
      <c r="AU45" s="1643"/>
      <c r="AV45" s="1643"/>
      <c r="AW45" s="1643"/>
      <c r="AX45" s="1643"/>
      <c r="AY45" s="1643"/>
      <c r="AZ45" s="1643"/>
      <c r="BA45" s="1643"/>
      <c r="BB45" s="1643"/>
      <c r="BC45" s="1643"/>
      <c r="BD45" s="1643"/>
      <c r="BE45" s="1643"/>
      <c r="BF45" s="1643"/>
      <c r="BG45" s="1643"/>
      <c r="BH45" s="1643"/>
      <c r="BI45" s="1643"/>
      <c r="BJ45" s="1643"/>
      <c r="BK45" s="1643"/>
      <c r="BL45" s="1643"/>
      <c r="BM45" s="1643"/>
      <c r="BN45" s="1643"/>
      <c r="BO45" s="1643"/>
      <c r="BP45" s="1643"/>
      <c r="BQ45" s="1643"/>
      <c r="BR45" s="1643"/>
      <c r="BS45" s="1643"/>
      <c r="BT45" s="1643"/>
      <c r="BU45" s="1643"/>
      <c r="BV45" s="1643"/>
      <c r="BW45" s="1643"/>
      <c r="BX45" s="1643"/>
      <c r="BY45" s="1643"/>
      <c r="BZ45" s="1643"/>
      <c r="CA45" s="1643"/>
      <c r="CB45" s="1643"/>
      <c r="CC45" s="1643"/>
      <c r="CD45" s="1643"/>
      <c r="CE45" s="1643"/>
      <c r="CF45" s="1643"/>
      <c r="CG45" s="1643"/>
      <c r="CH45" s="1643"/>
      <c r="CI45" s="1643"/>
      <c r="CJ45" s="1643"/>
      <c r="CK45" s="1643"/>
      <c r="CL45" s="1643"/>
      <c r="CM45" s="1643"/>
      <c r="CN45" s="1643"/>
      <c r="CO45" s="1643"/>
      <c r="CP45" s="1643"/>
      <c r="CQ45" s="1643"/>
      <c r="CR45" s="1643"/>
      <c r="CS45" s="1643"/>
      <c r="CT45" s="1643"/>
      <c r="CU45" s="1643"/>
      <c r="CV45" s="1643"/>
      <c r="CW45" s="1643"/>
      <c r="CX45" s="1643"/>
      <c r="CY45" s="1643"/>
      <c r="CZ45" s="1643"/>
      <c r="DA45" s="1643"/>
      <c r="DB45" s="1643"/>
      <c r="DC45" s="1643"/>
      <c r="DD45" s="1643"/>
    </row>
    <row r="46" spans="1:108">
      <c r="A46" s="1594"/>
      <c r="B46" s="1594"/>
      <c r="C46" s="1594"/>
      <c r="D46" s="1594"/>
      <c r="E46" s="1594"/>
      <c r="F46" s="1594"/>
      <c r="G46" s="1594"/>
      <c r="H46" s="1594"/>
      <c r="I46" s="1594"/>
      <c r="J46" s="1594"/>
      <c r="K46" s="1594"/>
      <c r="L46" s="1594"/>
      <c r="M46" s="1594"/>
      <c r="N46" s="1594"/>
      <c r="O46" s="1594"/>
      <c r="P46" s="1594"/>
      <c r="Q46" s="1594"/>
      <c r="R46" s="1594"/>
      <c r="S46" s="1594"/>
      <c r="T46" s="1594"/>
      <c r="U46" s="1594"/>
      <c r="V46" s="1594"/>
      <c r="W46" s="1594"/>
      <c r="X46" s="1594"/>
      <c r="Y46" s="1594"/>
      <c r="Z46" s="1594"/>
      <c r="AA46" s="1594"/>
      <c r="AB46" s="1594"/>
      <c r="AC46" s="1594"/>
      <c r="AD46" s="1594"/>
      <c r="AE46" s="1594"/>
      <c r="AF46" s="1594"/>
      <c r="AG46" s="1594"/>
      <c r="AH46" s="1594"/>
      <c r="AI46" s="1594"/>
      <c r="AJ46" s="1594"/>
      <c r="AK46" s="1594"/>
      <c r="AL46" s="1594"/>
      <c r="AM46" s="1594"/>
      <c r="AN46" s="1594"/>
      <c r="AO46" s="1594"/>
      <c r="AP46" s="1594"/>
      <c r="AQ46" s="1594"/>
      <c r="AR46" s="1594"/>
      <c r="AS46" s="1594"/>
      <c r="AT46" s="1594"/>
      <c r="AU46" s="1594"/>
      <c r="AV46" s="1594"/>
      <c r="AW46" s="1594"/>
      <c r="AX46" s="1594"/>
      <c r="AY46" s="1594"/>
      <c r="AZ46" s="1594"/>
      <c r="BA46" s="1594"/>
      <c r="BB46" s="1594"/>
      <c r="BC46" s="1594"/>
      <c r="BD46" s="1594"/>
      <c r="BE46" s="1594"/>
      <c r="BF46" s="1594"/>
      <c r="BG46" s="1594"/>
      <c r="BH46" s="1594"/>
      <c r="BI46" s="1594"/>
      <c r="BJ46" s="1594"/>
      <c r="BK46" s="1594"/>
      <c r="BL46" s="1594"/>
      <c r="BM46" s="1594"/>
      <c r="BN46" s="1594"/>
      <c r="BO46" s="1594"/>
      <c r="BP46" s="1594"/>
      <c r="BQ46" s="1594"/>
      <c r="BR46" s="1594"/>
      <c r="BS46" s="1594"/>
      <c r="BT46" s="1594"/>
      <c r="BU46" s="1594"/>
      <c r="BV46" s="1594"/>
      <c r="BW46" s="1594"/>
      <c r="BX46" s="1594"/>
      <c r="BY46" s="1594"/>
      <c r="BZ46" s="1594"/>
      <c r="CA46" s="1594"/>
      <c r="CB46" s="1594"/>
      <c r="CC46" s="1594"/>
      <c r="CD46" s="1594"/>
      <c r="CE46" s="1594"/>
      <c r="CF46" s="1594"/>
      <c r="CG46" s="1594"/>
      <c r="CH46" s="1594"/>
      <c r="CI46" s="1594"/>
      <c r="CJ46" s="1594"/>
      <c r="CK46" s="1594"/>
      <c r="CL46" s="1594"/>
      <c r="CM46" s="1594"/>
      <c r="CN46" s="1594"/>
      <c r="CO46" s="1594"/>
      <c r="CP46" s="1594"/>
      <c r="CQ46" s="1594"/>
      <c r="CR46" s="1594"/>
      <c r="CS46" s="1594"/>
      <c r="CT46" s="1594"/>
      <c r="CU46" s="1594"/>
      <c r="CV46" s="1594"/>
      <c r="CW46" s="1594"/>
      <c r="CX46" s="1594"/>
      <c r="CY46" s="1594"/>
      <c r="CZ46" s="1594"/>
      <c r="DA46" s="1594"/>
      <c r="DB46" s="1594"/>
      <c r="DC46" s="1594"/>
      <c r="DD46" s="1594"/>
    </row>
    <row r="47" spans="1:108">
      <c r="A47" s="1594"/>
      <c r="B47" s="1594"/>
      <c r="C47" s="1594"/>
      <c r="D47" s="1594"/>
      <c r="E47" s="1594"/>
      <c r="F47" s="1594"/>
      <c r="G47" s="1594"/>
      <c r="H47" s="1594"/>
      <c r="I47" s="1594"/>
      <c r="J47" s="1594"/>
      <c r="K47" s="1594"/>
      <c r="L47" s="1594"/>
      <c r="M47" s="1594"/>
      <c r="N47" s="1594"/>
      <c r="O47" s="1594"/>
      <c r="P47" s="1594"/>
      <c r="Q47" s="1594"/>
      <c r="R47" s="1594"/>
      <c r="S47" s="1594"/>
      <c r="T47" s="1594"/>
      <c r="U47" s="1594"/>
      <c r="V47" s="1594"/>
      <c r="W47" s="1594"/>
      <c r="X47" s="1594"/>
      <c r="Y47" s="1594"/>
      <c r="Z47" s="1594"/>
      <c r="AA47" s="1594"/>
      <c r="AB47" s="1594"/>
      <c r="AC47" s="1594"/>
      <c r="AD47" s="1594"/>
      <c r="AE47" s="1594"/>
      <c r="AF47" s="1594"/>
      <c r="AG47" s="1594"/>
      <c r="AH47" s="1594"/>
      <c r="AI47" s="1594"/>
      <c r="AJ47" s="1594"/>
      <c r="AK47" s="1594"/>
      <c r="AL47" s="1594"/>
      <c r="AM47" s="1594"/>
      <c r="AN47" s="1594"/>
      <c r="AO47" s="1594"/>
      <c r="AP47" s="1594"/>
      <c r="AQ47" s="1594"/>
      <c r="AR47" s="1594"/>
      <c r="AS47" s="1594"/>
      <c r="AT47" s="1594"/>
      <c r="AU47" s="1594"/>
      <c r="AV47" s="1594"/>
      <c r="AW47" s="1594"/>
      <c r="AX47" s="1594"/>
      <c r="AY47" s="1594"/>
      <c r="AZ47" s="1594"/>
      <c r="BA47" s="1594"/>
      <c r="BB47" s="1594"/>
      <c r="BC47" s="1594"/>
      <c r="BD47" s="1594"/>
      <c r="BE47" s="1594"/>
      <c r="BF47" s="1594"/>
      <c r="BG47" s="1594"/>
      <c r="BH47" s="1594"/>
      <c r="BI47" s="1594"/>
      <c r="BJ47" s="1594"/>
      <c r="BK47" s="1594"/>
      <c r="BL47" s="1594"/>
      <c r="BM47" s="1594"/>
      <c r="BN47" s="1594"/>
      <c r="BO47" s="1594"/>
      <c r="BP47" s="1594"/>
      <c r="BQ47" s="1594"/>
      <c r="BR47" s="1594"/>
      <c r="BS47" s="1594"/>
      <c r="BT47" s="1594"/>
      <c r="BU47" s="1594"/>
      <c r="BV47" s="1594"/>
      <c r="BW47" s="1594"/>
      <c r="BX47" s="1594"/>
      <c r="BY47" s="1594"/>
      <c r="BZ47" s="1594"/>
      <c r="CA47" s="1594"/>
      <c r="CB47" s="1594"/>
      <c r="CC47" s="1594"/>
      <c r="CD47" s="1594"/>
      <c r="CE47" s="1594"/>
      <c r="CF47" s="1594"/>
      <c r="CG47" s="1594"/>
      <c r="CH47" s="1594"/>
      <c r="CI47" s="1594"/>
      <c r="CJ47" s="1594"/>
      <c r="CK47" s="1594"/>
      <c r="CL47" s="1594"/>
      <c r="CM47" s="1594"/>
      <c r="CN47" s="1594"/>
      <c r="CO47" s="1594"/>
      <c r="CP47" s="1594"/>
      <c r="CQ47" s="1594"/>
      <c r="CR47" s="1594"/>
      <c r="CS47" s="1594"/>
      <c r="CT47" s="1594"/>
      <c r="CU47" s="1594"/>
      <c r="CV47" s="1594"/>
      <c r="CW47" s="1594"/>
      <c r="CX47" s="1594"/>
      <c r="CY47" s="1594"/>
      <c r="CZ47" s="1594"/>
      <c r="DA47" s="1594"/>
      <c r="DB47" s="1594"/>
      <c r="DC47" s="1594"/>
      <c r="DD47" s="1594"/>
    </row>
    <row r="48" spans="1:108">
      <c r="A48" s="1594"/>
      <c r="B48" s="1594"/>
      <c r="C48" s="1594"/>
      <c r="D48" s="1594"/>
      <c r="E48" s="1594"/>
      <c r="F48" s="1594"/>
      <c r="G48" s="1594"/>
      <c r="H48" s="1594"/>
      <c r="I48" s="1594"/>
      <c r="J48" s="1594"/>
      <c r="K48" s="1594"/>
      <c r="L48" s="1594"/>
      <c r="M48" s="1594"/>
      <c r="N48" s="1594"/>
      <c r="O48" s="1594"/>
      <c r="P48" s="1594"/>
      <c r="Q48" s="1594"/>
      <c r="R48" s="1594"/>
      <c r="S48" s="1594"/>
      <c r="T48" s="1594"/>
      <c r="U48" s="1594"/>
      <c r="V48" s="1594"/>
      <c r="W48" s="1594"/>
      <c r="X48" s="1594"/>
      <c r="Y48" s="1594"/>
      <c r="Z48" s="1594"/>
      <c r="AA48" s="1594"/>
      <c r="AB48" s="1594"/>
      <c r="AC48" s="1594"/>
      <c r="AD48" s="1594"/>
      <c r="AE48" s="1594"/>
      <c r="AF48" s="1594"/>
      <c r="AG48" s="1594"/>
      <c r="AH48" s="1594"/>
      <c r="AI48" s="1594"/>
      <c r="AJ48" s="1594"/>
      <c r="AK48" s="1594"/>
      <c r="AL48" s="1594"/>
      <c r="AM48" s="1594"/>
      <c r="AN48" s="1594"/>
      <c r="AO48" s="1594"/>
      <c r="AP48" s="1594"/>
      <c r="AQ48" s="1594"/>
      <c r="AR48" s="1594"/>
      <c r="AS48" s="1594"/>
      <c r="AT48" s="1594"/>
      <c r="AU48" s="1594"/>
      <c r="AV48" s="1594"/>
      <c r="AW48" s="1594"/>
      <c r="AX48" s="1594"/>
      <c r="AY48" s="1594"/>
      <c r="AZ48" s="1594"/>
      <c r="BA48" s="1594"/>
      <c r="BB48" s="1594"/>
      <c r="BC48" s="1594"/>
      <c r="BD48" s="1594"/>
      <c r="BE48" s="1594"/>
      <c r="BF48" s="1594"/>
      <c r="BG48" s="1594"/>
      <c r="BH48" s="1594"/>
      <c r="BI48" s="1594"/>
      <c r="BJ48" s="1594"/>
      <c r="BK48" s="1594"/>
      <c r="BL48" s="1594"/>
      <c r="BM48" s="1594"/>
      <c r="BN48" s="1594"/>
      <c r="BO48" s="1594"/>
      <c r="BP48" s="1594"/>
      <c r="BQ48" s="1594"/>
      <c r="BR48" s="1594"/>
      <c r="BS48" s="1594"/>
      <c r="BT48" s="1594"/>
      <c r="BU48" s="1594"/>
      <c r="BV48" s="1594"/>
      <c r="BW48" s="1594"/>
      <c r="BX48" s="1594"/>
      <c r="BY48" s="1594"/>
      <c r="BZ48" s="1594"/>
      <c r="CA48" s="1594"/>
      <c r="CB48" s="1594"/>
      <c r="CC48" s="1594"/>
      <c r="CD48" s="1594"/>
      <c r="CE48" s="1594"/>
      <c r="CF48" s="1594"/>
      <c r="CG48" s="1594"/>
      <c r="CH48" s="1594"/>
      <c r="CI48" s="1594"/>
      <c r="CJ48" s="1594"/>
      <c r="CK48" s="1594"/>
      <c r="CL48" s="1594"/>
      <c r="CM48" s="1594"/>
      <c r="CN48" s="1594"/>
      <c r="CO48" s="1594"/>
      <c r="CP48" s="1594"/>
      <c r="CQ48" s="1594"/>
      <c r="CR48" s="1594"/>
      <c r="CS48" s="1594"/>
      <c r="CT48" s="1594"/>
      <c r="CU48" s="1594"/>
      <c r="CV48" s="1594"/>
      <c r="CW48" s="1594"/>
      <c r="CX48" s="1594"/>
      <c r="CY48" s="1594"/>
      <c r="CZ48" s="1594"/>
      <c r="DA48" s="1594"/>
      <c r="DB48" s="1594"/>
      <c r="DC48" s="1594"/>
      <c r="DD48" s="1594"/>
    </row>
    <row r="50" spans="58:108">
      <c r="BF50" s="1594"/>
      <c r="BG50" s="1594"/>
      <c r="BH50" s="1594"/>
      <c r="BI50" s="1594"/>
      <c r="BJ50" s="1594"/>
      <c r="BK50" s="1594"/>
      <c r="BL50" s="1594"/>
      <c r="BM50" s="1594"/>
      <c r="BN50" s="1594"/>
      <c r="BO50" s="1594"/>
      <c r="BP50" s="1594"/>
      <c r="BQ50" s="1594"/>
      <c r="BR50" s="1594"/>
      <c r="BS50" s="1594"/>
      <c r="BT50" s="1594"/>
      <c r="BU50" s="1594"/>
      <c r="BV50" s="1594"/>
      <c r="BY50" s="1594"/>
      <c r="BZ50" s="1594"/>
      <c r="CA50" s="1594"/>
      <c r="CB50" s="1594"/>
      <c r="CC50" s="1594"/>
      <c r="CD50" s="1594"/>
      <c r="CE50" s="1594"/>
      <c r="CF50" s="1594"/>
      <c r="CG50" s="1594"/>
      <c r="CH50" s="1594"/>
      <c r="CI50" s="1594"/>
      <c r="CJ50" s="1594"/>
      <c r="CK50" s="1594"/>
      <c r="CL50" s="1594"/>
      <c r="CM50" s="1594"/>
      <c r="CN50" s="1594"/>
      <c r="CO50" s="1594"/>
      <c r="CP50" s="1594"/>
      <c r="CQ50" s="1594"/>
      <c r="CR50" s="1594"/>
      <c r="CS50" s="1594"/>
      <c r="CT50" s="1594"/>
      <c r="CU50" s="1594"/>
      <c r="CV50" s="1594"/>
      <c r="CW50" s="1594"/>
      <c r="CX50" s="1594"/>
      <c r="CY50" s="1594"/>
      <c r="CZ50" s="1594"/>
      <c r="DA50" s="1594"/>
      <c r="DB50" s="1594"/>
      <c r="DC50" s="1594"/>
      <c r="DD50" s="1594"/>
    </row>
    <row r="51" spans="58:108" s="439" customFormat="1" ht="11.25">
      <c r="BF51" s="1592" t="s">
        <v>80</v>
      </c>
      <c r="BG51" s="1592"/>
      <c r="BH51" s="1592"/>
      <c r="BI51" s="1592"/>
      <c r="BJ51" s="1592"/>
      <c r="BK51" s="1592"/>
      <c r="BL51" s="1592"/>
      <c r="BM51" s="1592"/>
      <c r="BN51" s="1592"/>
      <c r="BO51" s="1592"/>
      <c r="BP51" s="1592"/>
      <c r="BQ51" s="1592"/>
      <c r="BR51" s="1592"/>
      <c r="BS51" s="1592"/>
      <c r="BT51" s="1592"/>
      <c r="BU51" s="1592"/>
      <c r="BV51" s="1592"/>
      <c r="BY51" s="1592" t="s">
        <v>182</v>
      </c>
      <c r="BZ51" s="1592"/>
      <c r="CA51" s="1592"/>
      <c r="CB51" s="1592"/>
      <c r="CC51" s="1592"/>
      <c r="CD51" s="1592"/>
      <c r="CE51" s="1592"/>
      <c r="CF51" s="1592"/>
      <c r="CG51" s="1592"/>
      <c r="CH51" s="1592"/>
      <c r="CI51" s="1592"/>
      <c r="CJ51" s="1592"/>
      <c r="CK51" s="1592"/>
      <c r="CL51" s="1592"/>
      <c r="CM51" s="1592"/>
      <c r="CN51" s="1592"/>
      <c r="CO51" s="1592"/>
      <c r="CP51" s="1592"/>
      <c r="CQ51" s="1592"/>
      <c r="CR51" s="1592"/>
      <c r="CS51" s="1592"/>
      <c r="CT51" s="1592"/>
      <c r="CU51" s="1592"/>
      <c r="CV51" s="1592"/>
      <c r="CW51" s="1592"/>
      <c r="CX51" s="1592"/>
      <c r="CY51" s="1592"/>
      <c r="CZ51" s="1592"/>
      <c r="DA51" s="1592"/>
      <c r="DB51" s="1592"/>
      <c r="DC51" s="1592"/>
      <c r="DD51" s="1592"/>
    </row>
  </sheetData>
  <mergeCells count="68">
    <mergeCell ref="AF42:BC42"/>
    <mergeCell ref="AG3:DD3"/>
    <mergeCell ref="AL5:DD5"/>
    <mergeCell ref="AL6:DD6"/>
    <mergeCell ref="AB7:DD7"/>
    <mergeCell ref="AB8:DD8"/>
    <mergeCell ref="AF30:BC30"/>
    <mergeCell ref="BF30:BV30"/>
    <mergeCell ref="BY30:DD30"/>
    <mergeCell ref="BF42:BV42"/>
    <mergeCell ref="BY42:DD42"/>
    <mergeCell ref="A33:DD33"/>
    <mergeCell ref="A34:DD34"/>
    <mergeCell ref="A35:DD35"/>
    <mergeCell ref="A36:DD36"/>
    <mergeCell ref="A37:DD37"/>
    <mergeCell ref="BF50:BV50"/>
    <mergeCell ref="BY50:DD50"/>
    <mergeCell ref="BF51:BV51"/>
    <mergeCell ref="BY51:DD51"/>
    <mergeCell ref="AF43:BC43"/>
    <mergeCell ref="BF43:BV43"/>
    <mergeCell ref="BY43:DD43"/>
    <mergeCell ref="A46:DD46"/>
    <mergeCell ref="A47:DD47"/>
    <mergeCell ref="A48:DD48"/>
    <mergeCell ref="AF40:BC40"/>
    <mergeCell ref="BF40:BV40"/>
    <mergeCell ref="BY40:DD40"/>
    <mergeCell ref="AF41:BC41"/>
    <mergeCell ref="BF41:BV41"/>
    <mergeCell ref="BY41:DD41"/>
    <mergeCell ref="BF26:BV26"/>
    <mergeCell ref="BY26:DD26"/>
    <mergeCell ref="AF29:BC29"/>
    <mergeCell ref="BF29:BV29"/>
    <mergeCell ref="BY29:DD29"/>
    <mergeCell ref="AQ32:DD32"/>
    <mergeCell ref="AJ45:DD45"/>
    <mergeCell ref="L19:R19"/>
    <mergeCell ref="S19:Y19"/>
    <mergeCell ref="Z19:AG19"/>
    <mergeCell ref="A20:DD20"/>
    <mergeCell ref="AF23:BC23"/>
    <mergeCell ref="BF23:BV23"/>
    <mergeCell ref="BY23:DD23"/>
    <mergeCell ref="AF24:BC24"/>
    <mergeCell ref="BF24:BV24"/>
    <mergeCell ref="BY24:DD24"/>
    <mergeCell ref="AF25:BC25"/>
    <mergeCell ref="BF25:BV25"/>
    <mergeCell ref="BY25:DD25"/>
    <mergeCell ref="AF26:BC26"/>
    <mergeCell ref="Z15:AW15"/>
    <mergeCell ref="AZ15:BP15"/>
    <mergeCell ref="Z16:AW16"/>
    <mergeCell ref="AZ16:BP16"/>
    <mergeCell ref="BS15:DA15"/>
    <mergeCell ref="BS16:DA16"/>
    <mergeCell ref="AV4:DD4"/>
    <mergeCell ref="A9:DD9"/>
    <mergeCell ref="A10:DD10"/>
    <mergeCell ref="AZ12:BP12"/>
    <mergeCell ref="Z13:AW13"/>
    <mergeCell ref="AZ13:BP13"/>
    <mergeCell ref="Z12:AW12"/>
    <mergeCell ref="BS12:DA12"/>
    <mergeCell ref="BS13:DA13"/>
  </mergeCells>
  <pageMargins left="0.78740157480314965" right="0.31496062992125984" top="0.59055118110236227" bottom="0.39370078740157483" header="0.19685039370078741" footer="0.19685039370078741"/>
  <pageSetup paperSize="9" scale="98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>
  <sheetPr codeName="Лист40"/>
  <dimension ref="A1:EI38"/>
  <sheetViews>
    <sheetView view="pageBreakPreview" zoomScaleNormal="100" workbookViewId="0">
      <selection sqref="A1:R3"/>
    </sheetView>
  </sheetViews>
  <sheetFormatPr defaultRowHeight="12.75"/>
  <cols>
    <col min="1" max="73" width="1" style="437" customWidth="1"/>
    <col min="74" max="74" width="1.28515625" style="437" customWidth="1"/>
    <col min="75" max="77" width="1" style="437" customWidth="1"/>
    <col min="78" max="78" width="1.140625" style="437" customWidth="1"/>
    <col min="79" max="85" width="1" style="437" customWidth="1"/>
    <col min="86" max="87" width="1.28515625" style="437" customWidth="1"/>
    <col min="88" max="98" width="1" style="437" customWidth="1"/>
    <col min="99" max="99" width="1.42578125" style="437" customWidth="1"/>
    <col min="100" max="106" width="1" style="437" customWidth="1"/>
    <col min="107" max="108" width="0.7109375" style="437" customWidth="1"/>
    <col min="109" max="109" width="1" style="437" customWidth="1"/>
    <col min="110" max="110" width="1.28515625" style="437" customWidth="1"/>
    <col min="111" max="113" width="1" style="437" customWidth="1"/>
    <col min="114" max="114" width="4.28515625" style="437" customWidth="1"/>
    <col min="115" max="115" width="1" style="437" customWidth="1"/>
    <col min="116" max="116" width="0.7109375" style="437" customWidth="1"/>
    <col min="117" max="117" width="0.85546875" style="437" customWidth="1"/>
    <col min="118" max="121" width="1" style="437" customWidth="1"/>
    <col min="122" max="122" width="0.7109375" style="437" customWidth="1"/>
    <col min="123" max="130" width="1" style="437" customWidth="1"/>
    <col min="131" max="131" width="0.7109375" style="437" customWidth="1"/>
    <col min="132" max="139" width="1" style="437" customWidth="1"/>
    <col min="140" max="16384" width="9.140625" style="437"/>
  </cols>
  <sheetData>
    <row r="1" spans="1:139">
      <c r="A1" s="1201" t="s">
        <v>599</v>
      </c>
      <c r="B1" s="1201"/>
      <c r="C1" s="1201"/>
      <c r="D1" s="1201"/>
      <c r="E1" s="1201"/>
      <c r="F1" s="1201"/>
      <c r="G1" s="1201"/>
      <c r="H1" s="1201"/>
      <c r="I1" s="1201"/>
      <c r="J1" s="1201"/>
      <c r="K1" s="1201"/>
      <c r="L1" s="1201"/>
      <c r="M1" s="1201"/>
      <c r="N1" s="1201"/>
      <c r="O1" s="1201"/>
      <c r="P1" s="1201"/>
      <c r="Q1" s="1201"/>
      <c r="R1" s="1201"/>
    </row>
    <row r="2" spans="1:139">
      <c r="A2" s="1201"/>
      <c r="B2" s="1201"/>
      <c r="C2" s="1201"/>
      <c r="D2" s="1201"/>
      <c r="E2" s="1201"/>
      <c r="F2" s="1201"/>
      <c r="G2" s="1201"/>
      <c r="H2" s="1201"/>
      <c r="I2" s="1201"/>
      <c r="J2" s="1201"/>
      <c r="K2" s="1201"/>
      <c r="L2" s="1201"/>
      <c r="M2" s="1201"/>
      <c r="N2" s="1201"/>
      <c r="O2" s="1201"/>
      <c r="P2" s="1201"/>
      <c r="Q2" s="1201"/>
      <c r="R2" s="1201"/>
      <c r="S2" s="662"/>
      <c r="T2" s="662"/>
      <c r="U2" s="662"/>
      <c r="V2" s="662"/>
      <c r="W2" s="662"/>
      <c r="X2" s="662"/>
      <c r="Y2" s="662"/>
      <c r="Z2" s="662"/>
      <c r="AA2" s="662"/>
      <c r="AB2" s="662"/>
      <c r="AC2" s="662"/>
      <c r="AD2" s="662"/>
      <c r="AE2" s="662"/>
      <c r="AF2" s="662"/>
      <c r="AG2" s="662"/>
      <c r="AH2" s="662"/>
      <c r="AI2" s="662"/>
      <c r="AJ2" s="662"/>
      <c r="AK2" s="662"/>
      <c r="AL2" s="662"/>
      <c r="AM2" s="662"/>
      <c r="AN2" s="662"/>
      <c r="AO2" s="662"/>
      <c r="AP2" s="662"/>
      <c r="AQ2" s="662"/>
      <c r="AR2" s="662"/>
      <c r="AS2" s="662"/>
      <c r="AT2" s="662"/>
      <c r="AU2" s="662"/>
      <c r="AV2" s="662"/>
      <c r="AW2" s="662"/>
      <c r="AX2" s="662"/>
      <c r="AY2" s="662"/>
      <c r="AZ2" s="662"/>
      <c r="BA2" s="662"/>
      <c r="BB2" s="662"/>
      <c r="BC2" s="662"/>
      <c r="BD2" s="662"/>
      <c r="BE2" s="662"/>
      <c r="BF2" s="662"/>
      <c r="BG2" s="662"/>
      <c r="BH2" s="662"/>
      <c r="BI2" s="662"/>
      <c r="BJ2" s="662"/>
      <c r="BK2" s="662"/>
      <c r="BL2" s="662"/>
      <c r="BM2" s="662"/>
      <c r="BN2" s="662"/>
      <c r="BO2" s="662"/>
      <c r="BP2" s="662"/>
      <c r="BQ2" s="662"/>
      <c r="BR2" s="662"/>
      <c r="BS2" s="662"/>
      <c r="BT2" s="662"/>
      <c r="BU2" s="662"/>
      <c r="BV2" s="662"/>
      <c r="BW2" s="662"/>
      <c r="BX2" s="662"/>
      <c r="BY2" s="662"/>
      <c r="BZ2" s="662"/>
      <c r="CA2" s="662"/>
      <c r="CB2" s="662"/>
      <c r="CC2" s="662"/>
      <c r="CD2" s="662"/>
      <c r="CE2" s="662"/>
      <c r="CF2" s="662"/>
      <c r="CG2" s="662"/>
      <c r="CH2" s="662"/>
      <c r="CI2" s="662"/>
      <c r="CJ2" s="662"/>
      <c r="CK2" s="662"/>
      <c r="CL2" s="662"/>
      <c r="CM2" s="662"/>
      <c r="CN2" s="662"/>
      <c r="CO2" s="662"/>
      <c r="CP2" s="662"/>
      <c r="CQ2" s="662"/>
      <c r="CR2" s="662"/>
      <c r="CS2" s="662"/>
      <c r="CT2" s="662"/>
      <c r="CU2" s="662"/>
      <c r="CV2" s="662" t="s">
        <v>613</v>
      </c>
      <c r="CW2" s="662"/>
      <c r="CX2" s="662"/>
      <c r="CY2" s="662"/>
      <c r="CZ2" s="662"/>
      <c r="DA2" s="662"/>
      <c r="DB2" s="662"/>
      <c r="DC2" s="662"/>
      <c r="DD2" s="662"/>
      <c r="DE2" s="662"/>
      <c r="DF2" s="662"/>
      <c r="DG2" s="662"/>
      <c r="DH2" s="662"/>
      <c r="DI2" s="662"/>
      <c r="DJ2" s="662"/>
      <c r="DK2" s="662"/>
      <c r="DL2" s="662"/>
      <c r="DM2" s="662"/>
      <c r="DN2" s="662"/>
      <c r="DO2" s="662"/>
      <c r="DP2" s="662"/>
      <c r="DQ2" s="662"/>
      <c r="DR2" s="662"/>
      <c r="DS2" s="662"/>
      <c r="DT2" s="662"/>
      <c r="DU2" s="662"/>
      <c r="DV2" s="662"/>
      <c r="DW2" s="662"/>
      <c r="DX2" s="662"/>
      <c r="DY2" s="662"/>
      <c r="DZ2" s="662"/>
      <c r="EA2" s="662"/>
      <c r="EB2" s="662"/>
      <c r="EC2" s="662"/>
      <c r="ED2" s="662"/>
      <c r="EE2" s="662"/>
      <c r="EF2" s="662"/>
      <c r="EG2" s="662"/>
      <c r="EH2" s="662"/>
      <c r="EI2" s="662"/>
    </row>
    <row r="3" spans="1:139">
      <c r="A3" s="1201"/>
      <c r="B3" s="1201"/>
      <c r="C3" s="1201"/>
      <c r="D3" s="1201"/>
      <c r="E3" s="1201"/>
      <c r="F3" s="1201"/>
      <c r="G3" s="1201"/>
      <c r="H3" s="1201"/>
      <c r="I3" s="1201"/>
      <c r="J3" s="1201"/>
      <c r="K3" s="1201"/>
      <c r="L3" s="1201"/>
      <c r="M3" s="1201"/>
      <c r="N3" s="1201"/>
      <c r="O3" s="1201"/>
      <c r="P3" s="1201"/>
      <c r="Q3" s="1201"/>
      <c r="R3" s="1201"/>
      <c r="S3" s="662"/>
      <c r="T3" s="662"/>
      <c r="U3" s="662"/>
      <c r="V3" s="662"/>
      <c r="W3" s="662"/>
      <c r="X3" s="662"/>
      <c r="Y3" s="662"/>
      <c r="Z3" s="662"/>
      <c r="AA3" s="662"/>
      <c r="AB3" s="662"/>
      <c r="AC3" s="662"/>
      <c r="AD3" s="662"/>
      <c r="AE3" s="662"/>
      <c r="AF3" s="662"/>
      <c r="AG3" s="662"/>
      <c r="AH3" s="662"/>
      <c r="AI3" s="662"/>
      <c r="AJ3" s="662"/>
      <c r="AK3" s="662"/>
      <c r="AL3" s="662"/>
      <c r="AM3" s="662"/>
      <c r="AN3" s="662"/>
      <c r="AO3" s="662"/>
      <c r="AP3" s="662"/>
      <c r="AQ3" s="662"/>
      <c r="AR3" s="662"/>
      <c r="AS3" s="662"/>
      <c r="AT3" s="662"/>
      <c r="AU3" s="662"/>
      <c r="AV3" s="662"/>
      <c r="AW3" s="662"/>
      <c r="AX3" s="662"/>
      <c r="AY3" s="662"/>
      <c r="AZ3" s="662"/>
      <c r="BA3" s="662"/>
      <c r="BB3" s="662"/>
      <c r="BC3" s="662"/>
      <c r="BD3" s="662"/>
      <c r="BE3" s="662"/>
      <c r="BF3" s="662"/>
      <c r="BG3" s="662"/>
      <c r="BH3" s="662"/>
      <c r="BI3" s="662"/>
      <c r="BJ3" s="662"/>
      <c r="BK3" s="662"/>
      <c r="BL3" s="662"/>
      <c r="BM3" s="662"/>
      <c r="BN3" s="662"/>
      <c r="BO3" s="662"/>
      <c r="BP3" s="662"/>
      <c r="BQ3" s="662"/>
      <c r="BR3" s="662"/>
      <c r="BS3" s="662"/>
      <c r="BT3" s="662"/>
      <c r="BU3" s="662"/>
      <c r="BV3" s="662"/>
      <c r="BW3" s="662"/>
      <c r="BX3" s="662"/>
      <c r="BY3" s="662"/>
      <c r="BZ3" s="662"/>
      <c r="CA3" s="662"/>
      <c r="CB3" s="662"/>
      <c r="CC3" s="662"/>
      <c r="CD3" s="662"/>
      <c r="CE3" s="662"/>
      <c r="CF3" s="662"/>
      <c r="CG3" s="662"/>
      <c r="CH3" s="662"/>
      <c r="CI3" s="662"/>
      <c r="CJ3" s="662"/>
      <c r="CK3" s="662"/>
      <c r="CL3" s="662"/>
      <c r="CM3" s="662"/>
      <c r="CN3" s="662"/>
      <c r="CO3" s="662"/>
      <c r="CP3" s="662"/>
      <c r="CQ3" s="662"/>
      <c r="CR3" s="662"/>
      <c r="CS3" s="662"/>
      <c r="CT3" s="662"/>
      <c r="CU3" s="662"/>
      <c r="CV3" s="662"/>
      <c r="CW3" s="662"/>
      <c r="CX3" s="662"/>
      <c r="CY3" s="662"/>
      <c r="CZ3" s="662"/>
      <c r="DA3" s="662"/>
      <c r="DB3" s="662"/>
      <c r="DC3" s="662"/>
      <c r="DD3" s="662"/>
      <c r="DE3" s="662"/>
      <c r="DF3" s="662"/>
      <c r="DG3" s="662"/>
      <c r="DH3" s="662"/>
      <c r="DI3" s="662"/>
      <c r="DJ3" s="662"/>
      <c r="DK3" s="662"/>
      <c r="DL3" s="662"/>
      <c r="DM3" s="662"/>
      <c r="DN3" s="662"/>
      <c r="DO3" s="662"/>
      <c r="DP3" s="662"/>
      <c r="DQ3" s="662"/>
      <c r="DR3" s="662"/>
      <c r="DS3" s="662"/>
      <c r="DT3" s="662"/>
      <c r="DU3" s="662"/>
      <c r="DV3" s="662"/>
      <c r="DW3" s="662"/>
      <c r="DX3" s="662"/>
      <c r="DY3" s="662"/>
      <c r="DZ3" s="662"/>
      <c r="EA3" s="662"/>
      <c r="EB3" s="662"/>
      <c r="EC3" s="662"/>
      <c r="ED3" s="662"/>
      <c r="EE3" s="662"/>
      <c r="EF3" s="662"/>
      <c r="EG3" s="662"/>
      <c r="EH3" s="662"/>
      <c r="EI3" s="662"/>
    </row>
    <row r="4" spans="1:139" ht="3.75" customHeight="1">
      <c r="A4" s="851"/>
      <c r="B4" s="851"/>
      <c r="C4" s="851"/>
      <c r="D4" s="851"/>
      <c r="E4" s="851"/>
      <c r="F4" s="851"/>
      <c r="G4" s="851"/>
      <c r="H4" s="851"/>
      <c r="I4" s="851"/>
      <c r="J4" s="851"/>
      <c r="K4" s="851"/>
      <c r="L4" s="851"/>
      <c r="M4" s="851"/>
      <c r="N4" s="851"/>
      <c r="O4" s="851"/>
      <c r="P4" s="851"/>
      <c r="Q4" s="851"/>
      <c r="R4" s="851"/>
      <c r="S4" s="662"/>
      <c r="T4" s="662"/>
      <c r="U4" s="662"/>
      <c r="V4" s="662"/>
      <c r="W4" s="662"/>
      <c r="X4" s="662"/>
      <c r="Y4" s="662"/>
      <c r="Z4" s="662"/>
      <c r="AA4" s="662"/>
      <c r="AB4" s="662"/>
      <c r="AC4" s="662"/>
      <c r="AD4" s="662"/>
      <c r="AE4" s="662"/>
      <c r="AF4" s="662"/>
      <c r="AG4" s="662"/>
      <c r="AH4" s="662"/>
      <c r="AI4" s="662"/>
      <c r="AJ4" s="662"/>
      <c r="AK4" s="662"/>
      <c r="AL4" s="662"/>
      <c r="AM4" s="662"/>
      <c r="AN4" s="662"/>
      <c r="AO4" s="662"/>
      <c r="AP4" s="662"/>
      <c r="AQ4" s="662"/>
      <c r="AR4" s="662"/>
      <c r="AS4" s="662"/>
      <c r="AT4" s="662"/>
      <c r="AU4" s="662"/>
      <c r="AV4" s="662"/>
      <c r="AW4" s="662"/>
      <c r="AX4" s="662"/>
      <c r="AY4" s="662"/>
      <c r="AZ4" s="662"/>
      <c r="BA4" s="662"/>
      <c r="BB4" s="662"/>
      <c r="BC4" s="662"/>
      <c r="BD4" s="662"/>
      <c r="BE4" s="662"/>
      <c r="BF4" s="662"/>
      <c r="BG4" s="662"/>
      <c r="BH4" s="662"/>
      <c r="BI4" s="662"/>
      <c r="BJ4" s="662"/>
      <c r="BK4" s="662"/>
      <c r="BL4" s="662"/>
      <c r="BM4" s="662"/>
      <c r="BN4" s="662"/>
      <c r="BO4" s="662"/>
      <c r="BP4" s="662"/>
      <c r="BQ4" s="662"/>
      <c r="BR4" s="662"/>
      <c r="BS4" s="662"/>
      <c r="BT4" s="662"/>
      <c r="BU4" s="662"/>
      <c r="BV4" s="662"/>
      <c r="BW4" s="662"/>
      <c r="BX4" s="662"/>
      <c r="BY4" s="662"/>
      <c r="BZ4" s="662"/>
      <c r="CA4" s="662"/>
      <c r="CB4" s="662"/>
      <c r="CC4" s="662"/>
      <c r="CD4" s="662"/>
      <c r="CE4" s="662"/>
      <c r="CF4" s="662"/>
      <c r="CG4" s="662"/>
      <c r="CH4" s="662"/>
      <c r="CI4" s="662"/>
      <c r="CJ4" s="662"/>
      <c r="CK4" s="662"/>
      <c r="CL4" s="662"/>
      <c r="CM4" s="662"/>
      <c r="CN4" s="662"/>
      <c r="CO4" s="662"/>
      <c r="CP4" s="662"/>
      <c r="CQ4" s="662"/>
      <c r="CR4" s="662"/>
      <c r="CS4" s="662"/>
      <c r="CT4" s="662"/>
      <c r="CU4" s="662"/>
      <c r="CV4" s="662"/>
      <c r="CW4" s="662"/>
      <c r="CX4" s="662"/>
      <c r="CY4" s="662"/>
      <c r="CZ4" s="662"/>
      <c r="DA4" s="662"/>
      <c r="DB4" s="662"/>
      <c r="DC4" s="662"/>
      <c r="DD4" s="662"/>
      <c r="DE4" s="662"/>
      <c r="DF4" s="662"/>
      <c r="DG4" s="662"/>
      <c r="DH4" s="662"/>
      <c r="DI4" s="662"/>
      <c r="DJ4" s="662"/>
      <c r="DK4" s="662"/>
      <c r="DL4" s="662"/>
      <c r="DM4" s="662"/>
      <c r="DN4" s="662"/>
      <c r="DO4" s="662"/>
      <c r="DP4" s="662"/>
      <c r="DQ4" s="662"/>
      <c r="DR4" s="662"/>
      <c r="DS4" s="662"/>
      <c r="DT4" s="662"/>
      <c r="DU4" s="662"/>
      <c r="DV4" s="662"/>
      <c r="DW4" s="662"/>
      <c r="DX4" s="662"/>
      <c r="DY4" s="662"/>
      <c r="DZ4" s="662"/>
      <c r="EA4" s="662"/>
      <c r="EB4" s="662"/>
      <c r="EC4" s="662"/>
      <c r="ED4" s="662"/>
      <c r="EE4" s="662"/>
      <c r="EF4" s="662"/>
      <c r="EG4" s="662"/>
      <c r="EH4" s="662"/>
      <c r="EI4" s="662"/>
    </row>
    <row r="5" spans="1:139">
      <c r="A5" s="662"/>
      <c r="B5" s="662"/>
      <c r="C5" s="662"/>
      <c r="D5" s="662"/>
      <c r="E5" s="662"/>
      <c r="F5" s="662"/>
      <c r="G5" s="662"/>
      <c r="H5" s="662"/>
      <c r="I5" s="662"/>
      <c r="J5" s="662"/>
      <c r="K5" s="662"/>
      <c r="L5" s="662"/>
      <c r="M5" s="662"/>
      <c r="N5" s="662"/>
      <c r="O5" s="662"/>
      <c r="P5" s="662"/>
      <c r="Q5" s="662"/>
      <c r="R5" s="662"/>
      <c r="S5" s="662"/>
      <c r="T5" s="662"/>
      <c r="U5" s="662"/>
      <c r="V5" s="662"/>
      <c r="W5" s="662"/>
      <c r="X5" s="662"/>
      <c r="Y5" s="662"/>
      <c r="Z5" s="662"/>
      <c r="AA5" s="662"/>
      <c r="AB5" s="662"/>
      <c r="AC5" s="662"/>
      <c r="AD5" s="662"/>
      <c r="AE5" s="662"/>
      <c r="AF5" s="662"/>
      <c r="AG5" s="662"/>
      <c r="AH5" s="662"/>
      <c r="AI5" s="662"/>
      <c r="AJ5" s="662"/>
      <c r="AK5" s="662"/>
      <c r="AL5" s="662"/>
      <c r="AM5" s="662"/>
      <c r="AN5" s="662"/>
      <c r="AO5" s="662"/>
      <c r="AP5" s="662"/>
      <c r="AQ5" s="662"/>
      <c r="AR5" s="662"/>
      <c r="AS5" s="662"/>
      <c r="AT5" s="662"/>
      <c r="AU5" s="662"/>
      <c r="AV5" s="662"/>
      <c r="AW5" s="662"/>
      <c r="AX5" s="662"/>
      <c r="AY5" s="662"/>
      <c r="AZ5" s="662"/>
      <c r="BA5" s="662"/>
      <c r="BB5" s="662"/>
      <c r="BC5" s="662"/>
      <c r="BD5" s="662"/>
      <c r="BE5" s="662"/>
      <c r="BF5" s="662"/>
      <c r="BG5" s="662"/>
      <c r="BH5" s="662"/>
      <c r="BI5" s="662"/>
      <c r="BJ5" s="662"/>
      <c r="BK5" s="662"/>
      <c r="BL5" s="662"/>
      <c r="BM5" s="662"/>
      <c r="BN5" s="662"/>
      <c r="BO5" s="662"/>
      <c r="BP5" s="662"/>
      <c r="BQ5" s="662"/>
      <c r="BR5" s="662"/>
      <c r="BS5" s="662"/>
      <c r="BT5" s="662"/>
      <c r="BU5" s="662"/>
      <c r="BV5" s="662"/>
      <c r="BW5" s="662"/>
      <c r="BX5" s="662"/>
      <c r="BY5" s="662"/>
      <c r="BZ5" s="662"/>
      <c r="CA5" s="662"/>
      <c r="CB5" s="662"/>
      <c r="CC5" s="662"/>
      <c r="CD5" s="662"/>
      <c r="CE5" s="662"/>
      <c r="CF5" s="662"/>
      <c r="CG5" s="662"/>
      <c r="CH5" s="662"/>
      <c r="CI5" s="662"/>
      <c r="CJ5" s="662"/>
      <c r="CK5" s="662"/>
      <c r="CL5" s="662"/>
      <c r="CM5" s="662"/>
      <c r="CN5" s="662"/>
      <c r="CO5" s="662"/>
      <c r="CP5" s="662"/>
      <c r="CQ5" s="662"/>
      <c r="CR5" s="662"/>
      <c r="CS5" s="662"/>
      <c r="CT5" s="662"/>
      <c r="CU5" s="662"/>
      <c r="CV5" s="662"/>
      <c r="CW5" s="662"/>
      <c r="CX5" s="662"/>
      <c r="CY5" s="662"/>
      <c r="CZ5" s="662"/>
      <c r="DA5" s="662"/>
      <c r="DB5" s="662"/>
      <c r="DC5" s="662"/>
      <c r="DD5" s="662"/>
      <c r="DE5" s="662"/>
      <c r="DF5" s="662"/>
      <c r="DG5" s="662"/>
      <c r="DH5" s="662"/>
      <c r="DI5" s="662"/>
      <c r="DJ5" s="662"/>
      <c r="DK5" s="662"/>
      <c r="DL5" s="662"/>
      <c r="DM5" s="662"/>
      <c r="DN5" s="662"/>
      <c r="DO5" s="662"/>
      <c r="DP5" s="662"/>
      <c r="DQ5" s="663"/>
      <c r="DR5" s="663"/>
      <c r="DS5" s="663"/>
      <c r="DT5" s="663"/>
      <c r="DU5" s="663"/>
      <c r="DV5" s="663"/>
      <c r="DW5" s="662"/>
      <c r="DX5" s="662"/>
      <c r="DY5" s="662"/>
      <c r="DZ5" s="662"/>
      <c r="EA5" s="662"/>
      <c r="EB5" s="662"/>
      <c r="EC5" s="662"/>
      <c r="ED5" s="662"/>
      <c r="EE5" s="662"/>
      <c r="EF5" s="662"/>
      <c r="EG5" s="662"/>
      <c r="EH5" s="662"/>
      <c r="EI5" s="662"/>
    </row>
    <row r="6" spans="1:139" ht="3.95" customHeight="1">
      <c r="DQ6" s="440"/>
      <c r="DR6" s="440"/>
      <c r="DS6" s="440"/>
      <c r="DT6" s="440"/>
      <c r="DU6" s="440"/>
      <c r="DV6" s="440"/>
    </row>
    <row r="7" spans="1:139" ht="15" customHeight="1">
      <c r="DJ7" s="1676" t="s">
        <v>55</v>
      </c>
      <c r="DK7" s="1677"/>
      <c r="DL7" s="1677"/>
      <c r="DM7" s="1677"/>
      <c r="DN7" s="1677"/>
      <c r="DO7" s="1677"/>
      <c r="DP7" s="1677"/>
      <c r="DQ7" s="1677"/>
      <c r="DR7" s="1677"/>
      <c r="DS7" s="1677"/>
      <c r="DT7" s="1677"/>
      <c r="DU7" s="1677"/>
      <c r="DV7" s="1677"/>
      <c r="DW7" s="1677"/>
      <c r="DX7" s="1677"/>
      <c r="DY7" s="1677"/>
      <c r="DZ7" s="1677"/>
      <c r="EA7" s="1677"/>
      <c r="EB7" s="1677"/>
      <c r="EC7" s="1677"/>
      <c r="ED7" s="1677"/>
      <c r="EE7" s="1677"/>
      <c r="EF7" s="1678"/>
      <c r="EG7" s="745"/>
      <c r="EH7" s="440"/>
      <c r="EI7" s="440"/>
    </row>
    <row r="8" spans="1:139" ht="21.2" customHeight="1">
      <c r="B8" s="1679" t="s">
        <v>35</v>
      </c>
      <c r="C8" s="1679"/>
      <c r="D8" s="1679"/>
      <c r="E8" s="1679"/>
      <c r="F8" s="1679"/>
      <c r="G8" s="1679"/>
      <c r="H8" s="1679"/>
      <c r="I8" s="1679"/>
      <c r="J8" s="1679"/>
      <c r="K8" s="1679"/>
      <c r="L8" s="1679"/>
      <c r="M8" s="1679"/>
      <c r="N8" s="1679"/>
      <c r="O8" s="1679"/>
      <c r="P8" s="1679"/>
      <c r="Q8" s="1679"/>
      <c r="R8" s="1679"/>
      <c r="S8" s="1679"/>
      <c r="T8" s="1679"/>
      <c r="U8" s="1679"/>
      <c r="V8" s="1679"/>
      <c r="W8" s="1679"/>
      <c r="X8" s="1679"/>
      <c r="Y8" s="1679"/>
      <c r="Z8" s="1679"/>
      <c r="AA8" s="1679"/>
      <c r="AB8" s="1679"/>
      <c r="AC8" s="1679"/>
      <c r="AD8" s="1679"/>
      <c r="AE8" s="1679"/>
      <c r="AF8" s="1679"/>
      <c r="AG8" s="1679"/>
      <c r="AH8" s="1679"/>
      <c r="AI8" s="1679"/>
      <c r="AJ8" s="1679"/>
      <c r="AK8" s="1679"/>
      <c r="AL8" s="1679"/>
      <c r="AM8" s="1679"/>
      <c r="AN8" s="1679"/>
      <c r="AO8" s="1679"/>
      <c r="AP8" s="1679"/>
      <c r="AQ8" s="1679"/>
      <c r="AR8" s="1679"/>
      <c r="AS8" s="1679"/>
      <c r="AT8" s="1679"/>
      <c r="AU8" s="1679"/>
      <c r="AV8" s="1679"/>
      <c r="AW8" s="1679"/>
      <c r="AX8" s="1679"/>
      <c r="AY8" s="1679"/>
      <c r="AZ8" s="1679"/>
      <c r="BA8" s="1679"/>
      <c r="BB8" s="1679"/>
      <c r="BC8" s="1679"/>
      <c r="BD8" s="1679"/>
      <c r="BE8" s="1679"/>
      <c r="BF8" s="1679"/>
      <c r="BG8" s="1679"/>
      <c r="BH8" s="1679"/>
      <c r="BI8" s="1679"/>
      <c r="BJ8" s="1679"/>
      <c r="BK8" s="1679"/>
      <c r="BL8" s="1679"/>
      <c r="BM8" s="1679"/>
      <c r="BN8" s="1679"/>
      <c r="BO8" s="1679"/>
      <c r="BP8" s="1679"/>
      <c r="BQ8" s="1679"/>
      <c r="BR8" s="1679"/>
      <c r="BS8" s="1679"/>
      <c r="BT8" s="1679"/>
      <c r="BU8" s="1679"/>
      <c r="BV8" s="1679"/>
      <c r="BW8" s="1679"/>
      <c r="BX8" s="1679"/>
      <c r="BY8" s="1679"/>
      <c r="BZ8" s="1679"/>
      <c r="CA8" s="1679"/>
      <c r="CB8" s="1679"/>
      <c r="CC8" s="1679"/>
      <c r="CD8" s="1679"/>
      <c r="CE8" s="1679"/>
      <c r="CF8" s="1679"/>
      <c r="CG8" s="1679"/>
      <c r="CH8" s="1679"/>
      <c r="CI8" s="1679"/>
      <c r="CJ8" s="1679"/>
      <c r="CK8" s="1679"/>
      <c r="CL8" s="1679"/>
      <c r="CM8" s="1679"/>
      <c r="CN8" s="1679"/>
      <c r="CO8" s="1679"/>
      <c r="CP8" s="1679"/>
      <c r="CQ8" s="1679"/>
      <c r="CR8" s="1679"/>
      <c r="CS8" s="1679"/>
      <c r="CT8" s="1679"/>
      <c r="CU8" s="1679"/>
      <c r="CV8" s="1679"/>
      <c r="CW8" s="663"/>
      <c r="CX8" s="663"/>
      <c r="CY8" s="662"/>
      <c r="CZ8" s="662"/>
      <c r="DA8" s="662"/>
      <c r="DB8" s="662"/>
      <c r="DC8" s="662"/>
      <c r="DD8" s="662"/>
      <c r="DE8" s="662"/>
      <c r="DF8" s="662"/>
      <c r="DG8" s="662"/>
      <c r="DH8" s="664" t="s">
        <v>57</v>
      </c>
      <c r="DI8" s="665"/>
      <c r="DJ8" s="1654" t="s">
        <v>34</v>
      </c>
      <c r="DK8" s="1655"/>
      <c r="DL8" s="1655"/>
      <c r="DM8" s="1655"/>
      <c r="DN8" s="1655"/>
      <c r="DO8" s="1655"/>
      <c r="DP8" s="1655"/>
      <c r="DQ8" s="1655"/>
      <c r="DR8" s="1655"/>
      <c r="DS8" s="1655"/>
      <c r="DT8" s="1655"/>
      <c r="DU8" s="1655"/>
      <c r="DV8" s="1655"/>
      <c r="DW8" s="1655"/>
      <c r="DX8" s="1655"/>
      <c r="DY8" s="1655"/>
      <c r="DZ8" s="1655"/>
      <c r="EA8" s="1655"/>
      <c r="EB8" s="1655"/>
      <c r="EC8" s="1655"/>
      <c r="ED8" s="1655"/>
      <c r="EE8" s="1655"/>
      <c r="EF8" s="1656"/>
    </row>
    <row r="9" spans="1:139" ht="9" customHeight="1">
      <c r="B9" s="662"/>
      <c r="C9" s="662"/>
      <c r="D9" s="662"/>
      <c r="E9" s="662"/>
      <c r="F9" s="662"/>
      <c r="G9" s="662"/>
      <c r="H9" s="662"/>
      <c r="I9" s="662"/>
      <c r="J9" s="662"/>
      <c r="K9" s="662"/>
      <c r="L9" s="662"/>
      <c r="M9" s="662"/>
      <c r="N9" s="662"/>
      <c r="O9" s="662"/>
      <c r="P9" s="662"/>
      <c r="Q9" s="662"/>
      <c r="R9" s="1680" t="s">
        <v>58</v>
      </c>
      <c r="S9" s="1680"/>
      <c r="T9" s="1680"/>
      <c r="U9" s="1680"/>
      <c r="V9" s="1680"/>
      <c r="W9" s="1680"/>
      <c r="X9" s="1680"/>
      <c r="Y9" s="1680"/>
      <c r="Z9" s="1680"/>
      <c r="AA9" s="1680"/>
      <c r="AB9" s="1680"/>
      <c r="AC9" s="1680"/>
      <c r="AD9" s="1680"/>
      <c r="AE9" s="1680"/>
      <c r="AF9" s="1680"/>
      <c r="AG9" s="1680"/>
      <c r="AH9" s="1680"/>
      <c r="AI9" s="1680"/>
      <c r="AJ9" s="1680"/>
      <c r="AK9" s="1680"/>
      <c r="AL9" s="1680"/>
      <c r="AM9" s="1680"/>
      <c r="AN9" s="1680"/>
      <c r="AO9" s="1680"/>
      <c r="AP9" s="1680"/>
      <c r="AQ9" s="1680"/>
      <c r="AR9" s="1680"/>
      <c r="AS9" s="1680"/>
      <c r="AT9" s="1680"/>
      <c r="AU9" s="1680"/>
      <c r="AV9" s="1680"/>
      <c r="AW9" s="1680"/>
      <c r="AX9" s="1680"/>
      <c r="AY9" s="1680"/>
      <c r="AZ9" s="1680"/>
      <c r="BA9" s="1680"/>
      <c r="BB9" s="1680"/>
      <c r="BC9" s="1680"/>
      <c r="BD9" s="1680"/>
      <c r="BE9" s="1680"/>
      <c r="BF9" s="1680"/>
      <c r="BG9" s="1680"/>
      <c r="BH9" s="1680"/>
      <c r="BI9" s="1680"/>
      <c r="BJ9" s="1680"/>
      <c r="BK9" s="1680"/>
      <c r="BL9" s="1680"/>
      <c r="BM9" s="1680"/>
      <c r="BN9" s="1680"/>
      <c r="BO9" s="1680"/>
      <c r="BP9" s="1680"/>
      <c r="BQ9" s="1680"/>
      <c r="BR9" s="1680"/>
      <c r="BS9" s="1680"/>
      <c r="BT9" s="1680"/>
      <c r="BU9" s="1680"/>
      <c r="BV9" s="1680"/>
      <c r="BW9" s="1680"/>
      <c r="BX9" s="1680"/>
      <c r="BY9" s="1680"/>
      <c r="BZ9" s="1680"/>
      <c r="CA9" s="1680"/>
      <c r="CB9" s="1680"/>
      <c r="CC9" s="1680"/>
      <c r="CD9" s="1680"/>
      <c r="CE9" s="1680"/>
      <c r="CF9" s="1680"/>
      <c r="CG9" s="1680"/>
      <c r="CH9" s="1680"/>
      <c r="CI9" s="1680"/>
      <c r="CJ9" s="1680"/>
      <c r="CK9" s="1680"/>
      <c r="CL9" s="1680"/>
      <c r="CM9" s="662"/>
      <c r="CN9" s="662"/>
      <c r="CO9" s="662"/>
      <c r="CP9" s="662"/>
      <c r="CQ9" s="662"/>
      <c r="CR9" s="662"/>
      <c r="CS9" s="662"/>
      <c r="CT9" s="662"/>
      <c r="CU9" s="662"/>
      <c r="CV9" s="662"/>
      <c r="CW9" s="662"/>
      <c r="CX9" s="662"/>
      <c r="CY9" s="662"/>
      <c r="CZ9" s="666"/>
      <c r="DA9" s="662"/>
      <c r="DB9" s="662"/>
      <c r="DC9" s="662"/>
      <c r="DD9" s="662"/>
      <c r="DE9" s="662"/>
      <c r="DF9" s="662"/>
      <c r="DG9" s="662"/>
      <c r="DH9" s="662"/>
      <c r="DI9" s="665"/>
      <c r="DJ9" s="749"/>
      <c r="DK9" s="750"/>
      <c r="DL9" s="750"/>
      <c r="DM9" s="750"/>
      <c r="DN9" s="750"/>
      <c r="DO9" s="750"/>
      <c r="DP9" s="750"/>
      <c r="DQ9" s="750"/>
      <c r="DR9" s="750"/>
      <c r="DS9" s="750"/>
      <c r="DT9" s="750"/>
      <c r="DU9" s="750"/>
      <c r="DV9" s="750"/>
      <c r="DW9" s="750"/>
      <c r="DX9" s="750"/>
      <c r="DY9" s="750"/>
      <c r="DZ9" s="750"/>
      <c r="EA9" s="750"/>
      <c r="EB9" s="750"/>
      <c r="EC9" s="750"/>
      <c r="ED9" s="750"/>
      <c r="EE9" s="750"/>
      <c r="EF9" s="751"/>
    </row>
    <row r="10" spans="1:139" ht="12.75" customHeight="1">
      <c r="B10" s="1681" t="s">
        <v>32</v>
      </c>
      <c r="C10" s="1681"/>
      <c r="D10" s="1681"/>
      <c r="E10" s="1681"/>
      <c r="F10" s="1681"/>
      <c r="G10" s="1681"/>
      <c r="H10" s="1681"/>
      <c r="I10" s="1681"/>
      <c r="J10" s="1681"/>
      <c r="K10" s="1681"/>
      <c r="L10" s="1681"/>
      <c r="M10" s="1681"/>
      <c r="N10" s="1681"/>
      <c r="O10" s="1681"/>
      <c r="P10" s="1681"/>
      <c r="Q10" s="1681"/>
      <c r="R10" s="1681"/>
      <c r="S10" s="1681"/>
      <c r="T10" s="1681"/>
      <c r="U10" s="1681"/>
      <c r="V10" s="1681"/>
      <c r="W10" s="1681"/>
      <c r="X10" s="1681"/>
      <c r="Y10" s="1681"/>
      <c r="Z10" s="1681"/>
      <c r="AA10" s="1681"/>
      <c r="AB10" s="1681"/>
      <c r="AC10" s="1681"/>
      <c r="AD10" s="1681"/>
      <c r="AE10" s="1681"/>
      <c r="AF10" s="1681"/>
      <c r="AG10" s="1681"/>
      <c r="AH10" s="1681"/>
      <c r="AI10" s="1681"/>
      <c r="AJ10" s="1681"/>
      <c r="AK10" s="1681"/>
      <c r="AL10" s="1681"/>
      <c r="AM10" s="1681"/>
      <c r="AN10" s="1681"/>
      <c r="AO10" s="1681"/>
      <c r="AP10" s="1681"/>
      <c r="AQ10" s="1681"/>
      <c r="AR10" s="1681"/>
      <c r="AS10" s="1681"/>
      <c r="AT10" s="1681"/>
      <c r="AU10" s="1681"/>
      <c r="AV10" s="1681"/>
      <c r="AW10" s="1681"/>
      <c r="AX10" s="1681"/>
      <c r="AY10" s="1681"/>
      <c r="AZ10" s="1681"/>
      <c r="BA10" s="1681"/>
      <c r="BB10" s="1681"/>
      <c r="BC10" s="1681"/>
      <c r="BD10" s="1681"/>
      <c r="BE10" s="1681"/>
      <c r="BF10" s="1681"/>
      <c r="BG10" s="1681"/>
      <c r="BH10" s="1681"/>
      <c r="BI10" s="1681"/>
      <c r="BJ10" s="1681"/>
      <c r="BK10" s="1681"/>
      <c r="BL10" s="1681"/>
      <c r="BM10" s="1681"/>
      <c r="BN10" s="1681"/>
      <c r="BO10" s="1681"/>
      <c r="BP10" s="1681"/>
      <c r="BQ10" s="1681"/>
      <c r="BR10" s="1681"/>
      <c r="BS10" s="1681"/>
      <c r="BT10" s="1681"/>
      <c r="BU10" s="1681"/>
      <c r="BV10" s="1681"/>
      <c r="BW10" s="1681"/>
      <c r="BX10" s="1681"/>
      <c r="BY10" s="1681"/>
      <c r="BZ10" s="1681"/>
      <c r="CA10" s="1681"/>
      <c r="CB10" s="1681"/>
      <c r="CC10" s="1681"/>
      <c r="CD10" s="1681"/>
      <c r="CE10" s="1681"/>
      <c r="CF10" s="1681"/>
      <c r="CG10" s="1681"/>
      <c r="CH10" s="1681"/>
      <c r="CI10" s="1681"/>
      <c r="CJ10" s="1681"/>
      <c r="CK10" s="1681"/>
      <c r="CL10" s="1681"/>
      <c r="CM10" s="1681"/>
      <c r="CN10" s="1681"/>
      <c r="CO10" s="1681"/>
      <c r="CP10" s="1681"/>
      <c r="CQ10" s="1681"/>
      <c r="CR10" s="1681"/>
      <c r="CS10" s="1681"/>
      <c r="CT10" s="1681"/>
      <c r="CU10" s="1681"/>
      <c r="CV10" s="1681"/>
      <c r="CW10" s="1681"/>
      <c r="CX10" s="1681"/>
      <c r="CY10" s="1681"/>
      <c r="CZ10" s="1681"/>
      <c r="DA10" s="1681"/>
      <c r="DB10" s="1681"/>
      <c r="DC10" s="1681"/>
      <c r="DD10" s="1681"/>
      <c r="DE10" s="1681"/>
      <c r="DF10" s="1681"/>
      <c r="DG10" s="1681"/>
      <c r="DH10" s="1681"/>
      <c r="DI10" s="1681"/>
      <c r="DJ10" s="746"/>
      <c r="DK10" s="747"/>
      <c r="DL10" s="747"/>
      <c r="DM10" s="747"/>
      <c r="DN10" s="747"/>
      <c r="DO10" s="747"/>
      <c r="DP10" s="747"/>
      <c r="DQ10" s="747"/>
      <c r="DR10" s="747"/>
      <c r="DS10" s="747"/>
      <c r="DT10" s="747"/>
      <c r="DU10" s="747"/>
      <c r="DV10" s="747"/>
      <c r="DW10" s="747"/>
      <c r="DX10" s="747"/>
      <c r="DY10" s="747"/>
      <c r="DZ10" s="747"/>
      <c r="EA10" s="747"/>
      <c r="EB10" s="747"/>
      <c r="EC10" s="747"/>
      <c r="ED10" s="747"/>
      <c r="EE10" s="747"/>
      <c r="EF10" s="748"/>
    </row>
    <row r="11" spans="1:139" ht="9" customHeight="1">
      <c r="B11" s="662"/>
      <c r="C11" s="662"/>
      <c r="D11" s="662"/>
      <c r="E11" s="662"/>
      <c r="F11" s="662"/>
      <c r="G11" s="662"/>
      <c r="H11" s="662"/>
      <c r="I11" s="662"/>
      <c r="J11" s="662"/>
      <c r="K11" s="662"/>
      <c r="L11" s="662"/>
      <c r="M11" s="662"/>
      <c r="N11" s="662"/>
      <c r="O11" s="662"/>
      <c r="P11" s="662"/>
      <c r="Q11" s="662"/>
      <c r="R11" s="1649" t="s">
        <v>59</v>
      </c>
      <c r="S11" s="1649"/>
      <c r="T11" s="1649"/>
      <c r="U11" s="1649"/>
      <c r="V11" s="1649"/>
      <c r="W11" s="1649"/>
      <c r="X11" s="1649"/>
      <c r="Y11" s="1649"/>
      <c r="Z11" s="1649"/>
      <c r="AA11" s="1649"/>
      <c r="AB11" s="1649"/>
      <c r="AC11" s="1649"/>
      <c r="AD11" s="1649"/>
      <c r="AE11" s="1649"/>
      <c r="AF11" s="1649"/>
      <c r="AG11" s="1649"/>
      <c r="AH11" s="1649"/>
      <c r="AI11" s="1649"/>
      <c r="AJ11" s="1649"/>
      <c r="AK11" s="1649"/>
      <c r="AL11" s="1649"/>
      <c r="AM11" s="1649"/>
      <c r="AN11" s="1649"/>
      <c r="AO11" s="1649"/>
      <c r="AP11" s="1649"/>
      <c r="AQ11" s="1649"/>
      <c r="AR11" s="1649"/>
      <c r="AS11" s="1649"/>
      <c r="AT11" s="1649"/>
      <c r="AU11" s="1649"/>
      <c r="AV11" s="1649"/>
      <c r="AW11" s="1649"/>
      <c r="AX11" s="1649"/>
      <c r="AY11" s="1649"/>
      <c r="AZ11" s="1649"/>
      <c r="BA11" s="1649"/>
      <c r="BB11" s="1649"/>
      <c r="BC11" s="1649"/>
      <c r="BD11" s="1649"/>
      <c r="BE11" s="1649"/>
      <c r="BF11" s="1649"/>
      <c r="BG11" s="1649"/>
      <c r="BH11" s="1649"/>
      <c r="BI11" s="1649"/>
      <c r="BJ11" s="1649"/>
      <c r="BK11" s="1649"/>
      <c r="BL11" s="1649"/>
      <c r="BM11" s="1649"/>
      <c r="BN11" s="1649"/>
      <c r="BO11" s="1649"/>
      <c r="BP11" s="1649"/>
      <c r="BQ11" s="1649"/>
      <c r="BR11" s="1649"/>
      <c r="BS11" s="1649"/>
      <c r="BT11" s="1649"/>
      <c r="BU11" s="1649"/>
      <c r="BV11" s="1649"/>
      <c r="BW11" s="1649"/>
      <c r="BX11" s="1649"/>
      <c r="BY11" s="1649"/>
      <c r="BZ11" s="1649"/>
      <c r="CA11" s="1649"/>
      <c r="CB11" s="1649"/>
      <c r="CC11" s="1649"/>
      <c r="CD11" s="1649"/>
      <c r="CE11" s="1649"/>
      <c r="CF11" s="1649"/>
      <c r="CG11" s="1649"/>
      <c r="CH11" s="1649"/>
      <c r="CI11" s="1649"/>
      <c r="CJ11" s="1649"/>
      <c r="CK11" s="1649"/>
      <c r="CL11" s="1649"/>
      <c r="CM11" s="1682"/>
      <c r="CN11" s="1682"/>
      <c r="CO11" s="1682"/>
      <c r="CP11" s="1682"/>
      <c r="CQ11" s="1682"/>
      <c r="CR11" s="1682"/>
      <c r="CS11" s="1682"/>
      <c r="CT11" s="1682"/>
      <c r="CU11" s="1682"/>
      <c r="CV11" s="1682"/>
      <c r="CW11" s="1682"/>
      <c r="CX11" s="1682"/>
      <c r="CY11" s="1682"/>
      <c r="CZ11" s="1682"/>
      <c r="DA11" s="1682"/>
      <c r="DB11" s="1682"/>
      <c r="DC11" s="1682"/>
      <c r="DD11" s="1682"/>
      <c r="DE11" s="1682"/>
      <c r="DF11" s="1682"/>
      <c r="DG11" s="1682"/>
      <c r="DH11" s="1682"/>
      <c r="DI11" s="848"/>
      <c r="DJ11" s="749"/>
      <c r="DK11" s="750"/>
      <c r="DL11" s="750"/>
      <c r="DM11" s="750"/>
      <c r="DN11" s="750"/>
      <c r="DO11" s="750"/>
      <c r="DP11" s="750"/>
      <c r="DQ11" s="750"/>
      <c r="DR11" s="750"/>
      <c r="DS11" s="750"/>
      <c r="DT11" s="750"/>
      <c r="DU11" s="750"/>
      <c r="DV11" s="750"/>
      <c r="DW11" s="750"/>
      <c r="DX11" s="750"/>
      <c r="DY11" s="750"/>
      <c r="DZ11" s="750"/>
      <c r="EA11" s="750"/>
      <c r="EB11" s="750"/>
      <c r="EC11" s="750"/>
      <c r="ED11" s="750"/>
      <c r="EE11" s="750"/>
      <c r="EF11" s="751"/>
    </row>
    <row r="12" spans="1:139" ht="11.25" customHeight="1">
      <c r="B12" s="662"/>
      <c r="C12" s="662"/>
      <c r="D12" s="662"/>
      <c r="E12" s="662"/>
      <c r="F12" s="662"/>
      <c r="G12" s="662"/>
      <c r="H12" s="662"/>
      <c r="I12" s="662"/>
      <c r="J12" s="662"/>
      <c r="K12" s="662"/>
      <c r="L12" s="662"/>
      <c r="M12" s="662"/>
      <c r="N12" s="662"/>
      <c r="O12" s="662"/>
      <c r="P12" s="662"/>
      <c r="Q12" s="662"/>
      <c r="R12" s="662"/>
      <c r="S12" s="662"/>
      <c r="T12" s="662"/>
      <c r="U12" s="662"/>
      <c r="V12" s="662"/>
      <c r="W12" s="662"/>
      <c r="X12" s="662"/>
      <c r="Y12" s="662"/>
      <c r="Z12" s="662"/>
      <c r="AA12" s="662"/>
      <c r="AB12" s="662"/>
      <c r="AC12" s="668"/>
      <c r="AD12" s="668"/>
      <c r="AE12" s="668"/>
      <c r="AF12" s="668"/>
      <c r="AG12" s="662"/>
      <c r="AH12" s="662"/>
      <c r="AI12" s="662"/>
      <c r="AJ12" s="662"/>
      <c r="AK12" s="662"/>
      <c r="AL12" s="662"/>
      <c r="AM12" s="662"/>
      <c r="AN12" s="662"/>
      <c r="AO12" s="662"/>
      <c r="AP12" s="662"/>
      <c r="AQ12" s="662"/>
      <c r="AR12" s="662"/>
      <c r="AS12" s="662"/>
      <c r="AT12" s="662"/>
      <c r="AU12" s="662"/>
      <c r="AV12" s="662"/>
      <c r="AW12" s="662"/>
      <c r="AX12" s="662"/>
      <c r="AY12" s="662"/>
      <c r="AZ12" s="662"/>
      <c r="BA12" s="662"/>
      <c r="BB12" s="662"/>
      <c r="BC12" s="662"/>
      <c r="BD12" s="662"/>
      <c r="BE12" s="662"/>
      <c r="BF12" s="662"/>
      <c r="BG12" s="669"/>
      <c r="BH12" s="662"/>
      <c r="BI12" s="662"/>
      <c r="BJ12" s="662"/>
      <c r="BK12" s="662"/>
      <c r="BL12" s="662"/>
      <c r="BM12" s="662"/>
      <c r="BN12" s="662"/>
      <c r="BO12" s="662"/>
      <c r="BP12" s="662"/>
      <c r="BQ12" s="662"/>
      <c r="BR12" s="662"/>
      <c r="BS12" s="662"/>
      <c r="BT12" s="662"/>
      <c r="BU12" s="662"/>
      <c r="BV12" s="662"/>
      <c r="BW12" s="662"/>
      <c r="BX12" s="662"/>
      <c r="BY12" s="662"/>
      <c r="BZ12" s="662"/>
      <c r="CA12" s="662"/>
      <c r="CB12" s="662"/>
      <c r="CC12" s="662"/>
      <c r="CD12" s="662"/>
      <c r="CE12" s="662"/>
      <c r="CF12" s="662"/>
      <c r="CG12" s="662"/>
      <c r="CH12" s="662"/>
      <c r="CI12" s="662"/>
      <c r="CJ12" s="662"/>
      <c r="CK12" s="662"/>
      <c r="CL12" s="662"/>
      <c r="CM12" s="1683"/>
      <c r="CN12" s="1683"/>
      <c r="CO12" s="1683"/>
      <c r="CP12" s="1683"/>
      <c r="CQ12" s="1683"/>
      <c r="CR12" s="1683"/>
      <c r="CS12" s="1683"/>
      <c r="CT12" s="1683"/>
      <c r="CU12" s="1683"/>
      <c r="CV12" s="1683"/>
      <c r="CW12" s="1683"/>
      <c r="CX12" s="1683"/>
      <c r="CY12" s="1683"/>
      <c r="CZ12" s="1683"/>
      <c r="DA12" s="1683"/>
      <c r="DB12" s="1683"/>
      <c r="DC12" s="1683"/>
      <c r="DD12" s="1683"/>
      <c r="DE12" s="1683"/>
      <c r="DF12" s="1683"/>
      <c r="DG12" s="1683"/>
      <c r="DH12" s="1683"/>
      <c r="DI12" s="670"/>
      <c r="DJ12" s="746"/>
      <c r="DK12" s="747"/>
      <c r="DL12" s="747"/>
      <c r="DM12" s="747"/>
      <c r="DN12" s="747"/>
      <c r="DO12" s="747"/>
      <c r="DP12" s="747"/>
      <c r="DQ12" s="747"/>
      <c r="DR12" s="747"/>
      <c r="DS12" s="747"/>
      <c r="DT12" s="747"/>
      <c r="DU12" s="747"/>
      <c r="DV12" s="747"/>
      <c r="DW12" s="747"/>
      <c r="DX12" s="747"/>
      <c r="DY12" s="747"/>
      <c r="DZ12" s="747"/>
      <c r="EA12" s="747"/>
      <c r="EB12" s="747"/>
      <c r="EC12" s="747"/>
      <c r="ED12" s="747"/>
      <c r="EE12" s="747"/>
      <c r="EF12" s="748"/>
    </row>
    <row r="13" spans="1:139" ht="15" customHeight="1">
      <c r="B13" s="662"/>
      <c r="C13" s="662"/>
      <c r="D13" s="671" t="s">
        <v>61</v>
      </c>
      <c r="E13" s="662"/>
      <c r="F13" s="662"/>
      <c r="G13" s="662"/>
      <c r="H13" s="662"/>
      <c r="I13" s="662"/>
      <c r="J13" s="662"/>
      <c r="K13" s="662"/>
      <c r="L13" s="662"/>
      <c r="M13" s="662"/>
      <c r="N13" s="662"/>
      <c r="O13" s="662"/>
      <c r="P13" s="662"/>
      <c r="Q13" s="662"/>
      <c r="R13" s="662"/>
      <c r="S13" s="662"/>
      <c r="T13" s="662"/>
      <c r="U13" s="663"/>
      <c r="V13" s="663"/>
      <c r="W13" s="663"/>
      <c r="X13" s="663"/>
      <c r="Y13" s="663"/>
      <c r="Z13" s="663"/>
      <c r="AA13" s="668"/>
      <c r="AB13" s="668"/>
      <c r="AC13" s="668"/>
      <c r="AD13" s="668"/>
      <c r="AE13" s="668"/>
      <c r="AF13" s="668"/>
      <c r="AG13" s="663"/>
      <c r="AH13" s="663"/>
      <c r="AI13" s="663"/>
      <c r="AJ13" s="663"/>
      <c r="AK13" s="663"/>
      <c r="AL13" s="663"/>
      <c r="AM13" s="663"/>
      <c r="AN13" s="663"/>
      <c r="AO13" s="663"/>
      <c r="AP13" s="663"/>
      <c r="AQ13" s="663"/>
      <c r="AR13" s="663"/>
      <c r="AS13" s="663"/>
      <c r="AT13" s="663"/>
      <c r="AU13" s="663"/>
      <c r="AV13" s="663"/>
      <c r="AW13" s="1684" t="s">
        <v>139</v>
      </c>
      <c r="AX13" s="1684"/>
      <c r="AY13" s="1684"/>
      <c r="AZ13" s="1684"/>
      <c r="BA13" s="1684"/>
      <c r="BB13" s="1684"/>
      <c r="BC13" s="1684"/>
      <c r="BD13" s="1684"/>
      <c r="BE13" s="1684"/>
      <c r="BF13" s="1684"/>
      <c r="BG13" s="1684"/>
      <c r="BH13" s="1684"/>
      <c r="BI13" s="1684"/>
      <c r="BJ13" s="1684"/>
      <c r="BK13" s="1684"/>
      <c r="BL13" s="1684"/>
      <c r="BM13" s="1684"/>
      <c r="BN13" s="1684"/>
      <c r="BO13" s="1684"/>
      <c r="BP13" s="1684"/>
      <c r="BQ13" s="1684"/>
      <c r="BR13" s="1684"/>
      <c r="BS13" s="1684"/>
      <c r="BT13" s="1684"/>
      <c r="BU13" s="1684"/>
      <c r="BV13" s="1684"/>
      <c r="BW13" s="1684"/>
      <c r="BX13" s="1684"/>
      <c r="BY13" s="1684"/>
      <c r="BZ13" s="1684"/>
      <c r="CA13" s="1684"/>
      <c r="CB13" s="1684"/>
      <c r="CC13" s="1684"/>
      <c r="CD13" s="1684"/>
      <c r="CE13" s="1684"/>
      <c r="CF13" s="1684"/>
      <c r="CG13" s="1684"/>
      <c r="CH13" s="1684"/>
      <c r="CI13" s="1684"/>
      <c r="CJ13" s="1684"/>
      <c r="CK13" s="1684"/>
      <c r="CL13" s="1684"/>
      <c r="CM13" s="1684"/>
      <c r="CN13" s="1684"/>
      <c r="CO13" s="1684"/>
      <c r="CP13" s="1684"/>
      <c r="CQ13" s="1684"/>
      <c r="CR13" s="1684"/>
      <c r="CS13" s="1684"/>
      <c r="CT13" s="1684"/>
      <c r="CU13" s="1684"/>
      <c r="CV13" s="1684"/>
      <c r="CW13" s="1684"/>
      <c r="CX13" s="1684"/>
      <c r="CY13" s="1685"/>
      <c r="CZ13" s="1686" t="s">
        <v>4</v>
      </c>
      <c r="DA13" s="1687"/>
      <c r="DB13" s="1687"/>
      <c r="DC13" s="1687"/>
      <c r="DD13" s="1687"/>
      <c r="DE13" s="1687"/>
      <c r="DF13" s="1687"/>
      <c r="DG13" s="1687"/>
      <c r="DH13" s="1687"/>
      <c r="DI13" s="672"/>
      <c r="DJ13" s="1654" t="s">
        <v>331</v>
      </c>
      <c r="DK13" s="1655"/>
      <c r="DL13" s="1655"/>
      <c r="DM13" s="1655"/>
      <c r="DN13" s="1655"/>
      <c r="DO13" s="1655"/>
      <c r="DP13" s="1655"/>
      <c r="DQ13" s="1655"/>
      <c r="DR13" s="1655"/>
      <c r="DS13" s="1655"/>
      <c r="DT13" s="1655"/>
      <c r="DU13" s="1655"/>
      <c r="DV13" s="1655"/>
      <c r="DW13" s="1655"/>
      <c r="DX13" s="1655"/>
      <c r="DY13" s="1655"/>
      <c r="DZ13" s="1655"/>
      <c r="EA13" s="1655"/>
      <c r="EB13" s="1655"/>
      <c r="EC13" s="1655"/>
      <c r="ED13" s="1655"/>
      <c r="EE13" s="1655"/>
      <c r="EF13" s="1656"/>
    </row>
    <row r="14" spans="1:139" ht="9" customHeight="1">
      <c r="B14" s="662"/>
      <c r="C14" s="662"/>
      <c r="D14" s="662"/>
      <c r="E14" s="662"/>
      <c r="F14" s="662"/>
      <c r="G14" s="662"/>
      <c r="H14" s="662"/>
      <c r="I14" s="662"/>
      <c r="J14" s="662"/>
      <c r="K14" s="662"/>
      <c r="L14" s="662"/>
      <c r="M14" s="662"/>
      <c r="N14" s="662"/>
      <c r="O14" s="662"/>
      <c r="P14" s="662"/>
      <c r="Q14" s="662"/>
      <c r="R14" s="662"/>
      <c r="S14" s="662"/>
      <c r="T14" s="662"/>
      <c r="U14" s="662"/>
      <c r="V14" s="662"/>
      <c r="W14" s="662"/>
      <c r="X14" s="662"/>
      <c r="Y14" s="662"/>
      <c r="Z14" s="662"/>
      <c r="AA14" s="673"/>
      <c r="AB14" s="673"/>
      <c r="AC14" s="662"/>
      <c r="AD14" s="662"/>
      <c r="AE14" s="662"/>
      <c r="AF14" s="662"/>
      <c r="AG14" s="662"/>
      <c r="AH14" s="662"/>
      <c r="AI14" s="662"/>
      <c r="AJ14" s="662"/>
      <c r="AK14" s="662"/>
      <c r="AL14" s="662"/>
      <c r="AM14" s="662"/>
      <c r="AN14" s="662"/>
      <c r="AO14" s="662"/>
      <c r="AP14" s="662"/>
      <c r="AQ14" s="662"/>
      <c r="AR14" s="662"/>
      <c r="AS14" s="662"/>
      <c r="AT14" s="662"/>
      <c r="AU14" s="662"/>
      <c r="AV14" s="662"/>
      <c r="AW14" s="1649" t="s">
        <v>63</v>
      </c>
      <c r="AX14" s="1649"/>
      <c r="AY14" s="1649"/>
      <c r="AZ14" s="1649"/>
      <c r="BA14" s="1649"/>
      <c r="BB14" s="1649"/>
      <c r="BC14" s="1649"/>
      <c r="BD14" s="1649"/>
      <c r="BE14" s="1649"/>
      <c r="BF14" s="1649"/>
      <c r="BG14" s="1649"/>
      <c r="BH14" s="1649"/>
      <c r="BI14" s="1649"/>
      <c r="BJ14" s="1649"/>
      <c r="BK14" s="1649"/>
      <c r="BL14" s="1649"/>
      <c r="BM14" s="1649"/>
      <c r="BN14" s="1649"/>
      <c r="BO14" s="1649"/>
      <c r="BP14" s="1649"/>
      <c r="BQ14" s="1649"/>
      <c r="BR14" s="1649"/>
      <c r="BS14" s="1649"/>
      <c r="BT14" s="1649"/>
      <c r="BU14" s="1649"/>
      <c r="BV14" s="1649"/>
      <c r="BW14" s="1649"/>
      <c r="BX14" s="1649"/>
      <c r="BY14" s="1649"/>
      <c r="BZ14" s="1649"/>
      <c r="CA14" s="1649"/>
      <c r="CB14" s="1649"/>
      <c r="CC14" s="1649"/>
      <c r="CD14" s="1649"/>
      <c r="CE14" s="1649"/>
      <c r="CF14" s="1649"/>
      <c r="CG14" s="1649"/>
      <c r="CH14" s="1649"/>
      <c r="CI14" s="1649"/>
      <c r="CJ14" s="1649"/>
      <c r="CK14" s="1649"/>
      <c r="CL14" s="1649"/>
      <c r="CM14" s="1649"/>
      <c r="CN14" s="1649"/>
      <c r="CO14" s="1649"/>
      <c r="CP14" s="1649"/>
      <c r="CQ14" s="1649"/>
      <c r="CR14" s="1649"/>
      <c r="CS14" s="1649"/>
      <c r="CT14" s="1649"/>
      <c r="CU14" s="1649"/>
      <c r="CV14" s="1649"/>
      <c r="CW14" s="1649"/>
      <c r="CX14" s="1649"/>
      <c r="CY14" s="1665"/>
      <c r="CZ14" s="1666" t="s">
        <v>64</v>
      </c>
      <c r="DA14" s="1667"/>
      <c r="DB14" s="1667"/>
      <c r="DC14" s="1667"/>
      <c r="DD14" s="1667"/>
      <c r="DE14" s="1667"/>
      <c r="DF14" s="1667"/>
      <c r="DG14" s="1667"/>
      <c r="DH14" s="1667"/>
      <c r="DI14" s="674"/>
      <c r="DJ14" s="1670" t="s">
        <v>332</v>
      </c>
      <c r="DK14" s="1671"/>
      <c r="DL14" s="1671"/>
      <c r="DM14" s="1671"/>
      <c r="DN14" s="1671"/>
      <c r="DO14" s="1671"/>
      <c r="DP14" s="1671"/>
      <c r="DQ14" s="1671"/>
      <c r="DR14" s="1671"/>
      <c r="DS14" s="1671"/>
      <c r="DT14" s="1671"/>
      <c r="DU14" s="1671"/>
      <c r="DV14" s="1671"/>
      <c r="DW14" s="1671"/>
      <c r="DX14" s="1671"/>
      <c r="DY14" s="1671"/>
      <c r="DZ14" s="1671"/>
      <c r="EA14" s="1671"/>
      <c r="EB14" s="1671"/>
      <c r="EC14" s="1671"/>
      <c r="ED14" s="1671"/>
      <c r="EE14" s="1671"/>
      <c r="EF14" s="1672"/>
    </row>
    <row r="15" spans="1:139" ht="6" customHeight="1">
      <c r="B15" s="662"/>
      <c r="C15" s="662"/>
      <c r="D15" s="662"/>
      <c r="E15" s="662"/>
      <c r="F15" s="662"/>
      <c r="G15" s="662"/>
      <c r="H15" s="662"/>
      <c r="I15" s="662"/>
      <c r="J15" s="662"/>
      <c r="K15" s="662"/>
      <c r="L15" s="662"/>
      <c r="M15" s="662"/>
      <c r="N15" s="662"/>
      <c r="O15" s="662"/>
      <c r="P15" s="662"/>
      <c r="Q15" s="662"/>
      <c r="R15" s="662"/>
      <c r="S15" s="662"/>
      <c r="T15" s="662"/>
      <c r="U15" s="662"/>
      <c r="V15" s="662"/>
      <c r="W15" s="662"/>
      <c r="X15" s="662"/>
      <c r="Y15" s="662"/>
      <c r="Z15" s="662"/>
      <c r="AA15" s="673"/>
      <c r="AB15" s="673"/>
      <c r="AC15" s="662"/>
      <c r="AD15" s="662"/>
      <c r="AE15" s="662"/>
      <c r="AF15" s="662"/>
      <c r="AG15" s="662"/>
      <c r="AH15" s="662"/>
      <c r="AI15" s="662"/>
      <c r="AJ15" s="662"/>
      <c r="AK15" s="662"/>
      <c r="AL15" s="662"/>
      <c r="AM15" s="662"/>
      <c r="AN15" s="662"/>
      <c r="AO15" s="662"/>
      <c r="AP15" s="662"/>
      <c r="AQ15" s="662"/>
      <c r="AR15" s="662"/>
      <c r="AS15" s="662"/>
      <c r="AT15" s="662"/>
      <c r="AU15" s="662"/>
      <c r="AV15" s="662"/>
      <c r="AW15" s="662"/>
      <c r="AX15" s="662"/>
      <c r="AY15" s="662"/>
      <c r="AZ15" s="662"/>
      <c r="BA15" s="662"/>
      <c r="BB15" s="662"/>
      <c r="BC15" s="675"/>
      <c r="BD15" s="675"/>
      <c r="BE15" s="675"/>
      <c r="BF15" s="675"/>
      <c r="BG15" s="675"/>
      <c r="BH15" s="675"/>
      <c r="BI15" s="676"/>
      <c r="BJ15" s="663"/>
      <c r="BK15" s="663"/>
      <c r="BL15" s="663"/>
      <c r="BM15" s="663"/>
      <c r="BN15" s="663"/>
      <c r="BO15" s="663"/>
      <c r="BP15" s="663"/>
      <c r="BQ15" s="663"/>
      <c r="BR15" s="663"/>
      <c r="BS15" s="663"/>
      <c r="BT15" s="663"/>
      <c r="BU15" s="663"/>
      <c r="BV15" s="663"/>
      <c r="BW15" s="663"/>
      <c r="BX15" s="663"/>
      <c r="BY15" s="663"/>
      <c r="BZ15" s="663"/>
      <c r="CA15" s="663"/>
      <c r="CB15" s="663"/>
      <c r="CC15" s="663"/>
      <c r="CD15" s="663"/>
      <c r="CE15" s="663"/>
      <c r="CF15" s="663"/>
      <c r="CG15" s="662"/>
      <c r="CH15" s="662"/>
      <c r="CI15" s="662"/>
      <c r="CJ15" s="662"/>
      <c r="CK15" s="662"/>
      <c r="CL15" s="662"/>
      <c r="CM15" s="662"/>
      <c r="CN15" s="662"/>
      <c r="CO15" s="662"/>
      <c r="CP15" s="662"/>
      <c r="CQ15" s="662"/>
      <c r="CR15" s="662"/>
      <c r="CS15" s="677"/>
      <c r="CT15" s="677"/>
      <c r="CU15" s="677"/>
      <c r="CV15" s="677"/>
      <c r="CW15" s="677"/>
      <c r="CX15" s="677"/>
      <c r="CY15" s="677"/>
      <c r="CZ15" s="1668"/>
      <c r="DA15" s="1669"/>
      <c r="DB15" s="1669"/>
      <c r="DC15" s="1669"/>
      <c r="DD15" s="1669"/>
      <c r="DE15" s="1669"/>
      <c r="DF15" s="1669"/>
      <c r="DG15" s="1669"/>
      <c r="DH15" s="1669"/>
      <c r="DI15" s="847"/>
      <c r="DJ15" s="1673"/>
      <c r="DK15" s="1674"/>
      <c r="DL15" s="1674"/>
      <c r="DM15" s="1674"/>
      <c r="DN15" s="1674"/>
      <c r="DO15" s="1674"/>
      <c r="DP15" s="1674"/>
      <c r="DQ15" s="1674"/>
      <c r="DR15" s="1674"/>
      <c r="DS15" s="1674"/>
      <c r="DT15" s="1674"/>
      <c r="DU15" s="1674"/>
      <c r="DV15" s="1674"/>
      <c r="DW15" s="1674"/>
      <c r="DX15" s="1674"/>
      <c r="DY15" s="1674"/>
      <c r="DZ15" s="1674"/>
      <c r="EA15" s="1674"/>
      <c r="EB15" s="1674"/>
      <c r="EC15" s="1674"/>
      <c r="ED15" s="1674"/>
      <c r="EE15" s="1674"/>
      <c r="EF15" s="1675"/>
    </row>
    <row r="16" spans="1:139" ht="15" customHeight="1">
      <c r="B16" s="662"/>
      <c r="C16" s="662"/>
      <c r="D16" s="662"/>
      <c r="E16" s="662"/>
      <c r="F16" s="662"/>
      <c r="G16" s="662"/>
      <c r="H16" s="662"/>
      <c r="I16" s="662"/>
      <c r="J16" s="662"/>
      <c r="K16" s="662"/>
      <c r="L16" s="662"/>
      <c r="M16" s="662"/>
      <c r="N16" s="662"/>
      <c r="O16" s="662"/>
      <c r="P16" s="662"/>
      <c r="Q16" s="662"/>
      <c r="R16" s="662"/>
      <c r="S16" s="662"/>
      <c r="T16" s="662"/>
      <c r="U16" s="662"/>
      <c r="V16" s="662"/>
      <c r="W16" s="662"/>
      <c r="X16" s="662"/>
      <c r="Y16" s="662"/>
      <c r="Z16" s="662"/>
      <c r="AA16" s="673"/>
      <c r="AB16" s="673"/>
      <c r="AC16" s="662"/>
      <c r="AD16" s="662"/>
      <c r="AE16" s="662"/>
      <c r="AF16" s="662"/>
      <c r="AG16" s="662"/>
      <c r="AH16" s="662"/>
      <c r="AI16" s="662"/>
      <c r="AJ16" s="662"/>
      <c r="AK16" s="662"/>
      <c r="AL16" s="662"/>
      <c r="AM16" s="662"/>
      <c r="AN16" s="662"/>
      <c r="AO16" s="662"/>
      <c r="AP16" s="662"/>
      <c r="AQ16" s="662"/>
      <c r="AR16" s="662"/>
      <c r="AS16" s="662"/>
      <c r="AT16" s="662"/>
      <c r="AU16" s="662"/>
      <c r="AV16" s="662"/>
      <c r="AW16" s="662"/>
      <c r="AX16" s="662"/>
      <c r="AY16" s="662"/>
      <c r="AZ16" s="662"/>
      <c r="BA16" s="662"/>
      <c r="BB16" s="662"/>
      <c r="BC16" s="675"/>
      <c r="BD16" s="675"/>
      <c r="BE16" s="675"/>
      <c r="BF16" s="675"/>
      <c r="BG16" s="675"/>
      <c r="BH16" s="675"/>
      <c r="BI16" s="676"/>
      <c r="BJ16" s="663"/>
      <c r="BK16" s="663"/>
      <c r="BL16" s="663"/>
      <c r="BM16" s="663"/>
      <c r="BN16" s="663"/>
      <c r="BO16" s="663"/>
      <c r="BP16" s="663"/>
      <c r="BQ16" s="663"/>
      <c r="BR16" s="663"/>
      <c r="BS16" s="663"/>
      <c r="BT16" s="663"/>
      <c r="BU16" s="663"/>
      <c r="BV16" s="663"/>
      <c r="BW16" s="663"/>
      <c r="BX16" s="663"/>
      <c r="BY16" s="663"/>
      <c r="BZ16" s="663"/>
      <c r="CA16" s="663"/>
      <c r="CB16" s="663"/>
      <c r="CC16" s="663"/>
      <c r="CD16" s="663"/>
      <c r="CE16" s="663"/>
      <c r="CF16" s="663"/>
      <c r="CG16" s="662"/>
      <c r="CH16" s="662"/>
      <c r="CI16" s="662"/>
      <c r="CJ16" s="662"/>
      <c r="CK16" s="662"/>
      <c r="CL16" s="662"/>
      <c r="CM16" s="662"/>
      <c r="CN16" s="662"/>
      <c r="CO16" s="662"/>
      <c r="CP16" s="662"/>
      <c r="CQ16" s="662"/>
      <c r="CR16" s="662"/>
      <c r="CS16" s="677"/>
      <c r="CT16" s="677"/>
      <c r="CU16" s="677"/>
      <c r="CV16" s="677"/>
      <c r="CW16" s="677"/>
      <c r="CX16" s="677"/>
      <c r="CY16" s="677"/>
      <c r="CZ16" s="677"/>
      <c r="DA16" s="677"/>
      <c r="DB16" s="677"/>
      <c r="DC16" s="677"/>
      <c r="DD16" s="677"/>
      <c r="DE16" s="677"/>
      <c r="DF16" s="677"/>
      <c r="DG16" s="677"/>
      <c r="DH16" s="670" t="s">
        <v>65</v>
      </c>
      <c r="DI16" s="677"/>
      <c r="DJ16" s="1654" t="s">
        <v>31</v>
      </c>
      <c r="DK16" s="1655"/>
      <c r="DL16" s="1655"/>
      <c r="DM16" s="1655"/>
      <c r="DN16" s="1655"/>
      <c r="DO16" s="1655"/>
      <c r="DP16" s="1655"/>
      <c r="DQ16" s="1655"/>
      <c r="DR16" s="1655"/>
      <c r="DS16" s="1655"/>
      <c r="DT16" s="1655"/>
      <c r="DU16" s="1655"/>
      <c r="DV16" s="1655"/>
      <c r="DW16" s="1655"/>
      <c r="DX16" s="1655"/>
      <c r="DY16" s="1655"/>
      <c r="DZ16" s="1655"/>
      <c r="EA16" s="1655"/>
      <c r="EB16" s="1655"/>
      <c r="EC16" s="1655"/>
      <c r="ED16" s="1655"/>
      <c r="EE16" s="1655"/>
      <c r="EF16" s="1656"/>
    </row>
    <row r="17" spans="2:139" ht="15" customHeight="1">
      <c r="B17" s="662"/>
      <c r="C17" s="662"/>
      <c r="D17" s="662"/>
      <c r="E17" s="662"/>
      <c r="F17" s="662"/>
      <c r="G17" s="662"/>
      <c r="H17" s="662"/>
      <c r="I17" s="662"/>
      <c r="J17" s="662"/>
      <c r="K17" s="662"/>
      <c r="L17" s="662"/>
      <c r="M17" s="662"/>
      <c r="N17" s="662"/>
      <c r="O17" s="662"/>
      <c r="P17" s="662"/>
      <c r="Q17" s="662"/>
      <c r="R17" s="662"/>
      <c r="S17" s="662"/>
      <c r="T17" s="662"/>
      <c r="U17" s="662"/>
      <c r="V17" s="662"/>
      <c r="W17" s="662"/>
      <c r="X17" s="662"/>
      <c r="Y17" s="662"/>
      <c r="Z17" s="662"/>
      <c r="AA17" s="673"/>
      <c r="AB17" s="673"/>
      <c r="AC17" s="662"/>
      <c r="AD17" s="662"/>
      <c r="AE17" s="662"/>
      <c r="AF17" s="662"/>
      <c r="AG17" s="662"/>
      <c r="AH17" s="662"/>
      <c r="AI17" s="662"/>
      <c r="AJ17" s="662"/>
      <c r="AK17" s="662"/>
      <c r="AL17" s="662"/>
      <c r="AM17" s="662"/>
      <c r="AN17" s="662"/>
      <c r="AO17" s="662"/>
      <c r="AP17" s="662"/>
      <c r="AQ17" s="662"/>
      <c r="AR17" s="662"/>
      <c r="AS17" s="662"/>
      <c r="AT17" s="662"/>
      <c r="AU17" s="662"/>
      <c r="AV17" s="662"/>
      <c r="AW17" s="662"/>
      <c r="AX17" s="662"/>
      <c r="AY17" s="662"/>
      <c r="AZ17" s="662"/>
      <c r="BA17" s="662"/>
      <c r="BB17" s="662"/>
      <c r="BC17" s="675"/>
      <c r="BD17" s="675"/>
      <c r="BE17" s="675"/>
      <c r="BF17" s="675"/>
      <c r="BG17" s="675"/>
      <c r="BH17" s="675"/>
      <c r="BI17" s="676"/>
      <c r="BJ17" s="663"/>
      <c r="BK17" s="663"/>
      <c r="BL17" s="663"/>
      <c r="BM17" s="663"/>
      <c r="BN17" s="663"/>
      <c r="BO17" s="663"/>
      <c r="BP17" s="663"/>
      <c r="BQ17" s="663"/>
      <c r="BR17" s="663"/>
      <c r="BS17" s="663"/>
      <c r="BT17" s="663"/>
      <c r="BU17" s="663"/>
      <c r="BV17" s="663"/>
      <c r="BW17" s="663"/>
      <c r="BX17" s="663"/>
      <c r="BY17" s="663"/>
      <c r="BZ17" s="663"/>
      <c r="CA17" s="663"/>
      <c r="CB17" s="663"/>
      <c r="CC17" s="663"/>
      <c r="CD17" s="663"/>
      <c r="CE17" s="663"/>
      <c r="CF17" s="663"/>
      <c r="CG17" s="662"/>
      <c r="CH17" s="662"/>
      <c r="CI17" s="662"/>
      <c r="CJ17" s="662"/>
      <c r="CK17" s="662"/>
      <c r="CL17" s="662"/>
      <c r="CM17" s="662"/>
      <c r="CN17" s="662"/>
      <c r="CO17" s="662"/>
      <c r="CP17" s="662"/>
      <c r="CQ17" s="662"/>
      <c r="CR17" s="662"/>
      <c r="CS17" s="677"/>
      <c r="CT17" s="677"/>
      <c r="CU17" s="677"/>
      <c r="CV17" s="677"/>
      <c r="CW17" s="677"/>
      <c r="CX17" s="677"/>
      <c r="CY17" s="677"/>
      <c r="CZ17" s="677"/>
      <c r="DA17" s="677"/>
      <c r="DB17" s="677"/>
      <c r="DC17" s="677"/>
      <c r="DD17" s="677"/>
      <c r="DE17" s="677"/>
      <c r="DF17" s="677"/>
      <c r="DG17" s="677"/>
      <c r="DH17" s="670" t="s">
        <v>66</v>
      </c>
      <c r="DI17" s="677"/>
      <c r="DJ17" s="1654" t="s">
        <v>330</v>
      </c>
      <c r="DK17" s="1655"/>
      <c r="DL17" s="1655"/>
      <c r="DM17" s="1655"/>
      <c r="DN17" s="1655"/>
      <c r="DO17" s="1655"/>
      <c r="DP17" s="1655"/>
      <c r="DQ17" s="1655"/>
      <c r="DR17" s="1655"/>
      <c r="DS17" s="1655"/>
      <c r="DT17" s="1655"/>
      <c r="DU17" s="1655"/>
      <c r="DV17" s="1655"/>
      <c r="DW17" s="1655"/>
      <c r="DX17" s="1655"/>
      <c r="DY17" s="1655"/>
      <c r="DZ17" s="1655"/>
      <c r="EA17" s="1655"/>
      <c r="EB17" s="1655"/>
      <c r="EC17" s="1655"/>
      <c r="ED17" s="1655"/>
      <c r="EE17" s="1655"/>
      <c r="EF17" s="1656"/>
    </row>
    <row r="18" spans="2:139" ht="9.75" customHeight="1">
      <c r="B18" s="662"/>
      <c r="C18" s="662"/>
      <c r="D18" s="662"/>
      <c r="E18" s="662"/>
      <c r="F18" s="662"/>
      <c r="G18" s="662"/>
      <c r="H18" s="662"/>
      <c r="I18" s="662"/>
      <c r="J18" s="662"/>
      <c r="K18" s="662"/>
      <c r="L18" s="662"/>
      <c r="M18" s="662"/>
      <c r="N18" s="662"/>
      <c r="O18" s="662"/>
      <c r="P18" s="662"/>
      <c r="Q18" s="662"/>
      <c r="R18" s="662"/>
      <c r="S18" s="662"/>
      <c r="T18" s="662"/>
      <c r="U18" s="662"/>
      <c r="V18" s="662"/>
      <c r="W18" s="662"/>
      <c r="X18" s="662"/>
      <c r="Y18" s="662"/>
      <c r="Z18" s="662"/>
      <c r="AA18" s="673"/>
      <c r="AB18" s="673"/>
      <c r="AC18" s="662"/>
      <c r="AD18" s="662"/>
      <c r="AE18" s="662"/>
      <c r="AF18" s="662"/>
      <c r="AG18" s="662"/>
      <c r="AH18" s="662"/>
      <c r="AI18" s="662"/>
      <c r="AJ18" s="662"/>
      <c r="AK18" s="662"/>
      <c r="AL18" s="662"/>
      <c r="AM18" s="662"/>
      <c r="AN18" s="662"/>
      <c r="AO18" s="662"/>
      <c r="AP18" s="662"/>
      <c r="AQ18" s="662"/>
      <c r="AR18" s="662"/>
      <c r="AS18" s="662"/>
      <c r="AT18" s="662"/>
      <c r="AU18" s="662"/>
      <c r="AV18" s="662"/>
      <c r="AW18" s="662"/>
      <c r="AX18" s="662"/>
      <c r="AY18" s="662"/>
      <c r="AZ18" s="662"/>
      <c r="BA18" s="662"/>
      <c r="BB18" s="662"/>
      <c r="BC18" s="675"/>
      <c r="BD18" s="675"/>
      <c r="BE18" s="675"/>
      <c r="BF18" s="675"/>
      <c r="BG18" s="675"/>
      <c r="BH18" s="675"/>
      <c r="BI18" s="676"/>
      <c r="BJ18" s="663"/>
      <c r="BK18" s="663"/>
      <c r="BL18" s="663"/>
      <c r="BM18" s="663"/>
      <c r="BN18" s="663"/>
      <c r="BO18" s="663"/>
      <c r="BP18" s="663"/>
      <c r="BQ18" s="663"/>
      <c r="BR18" s="663"/>
      <c r="BS18" s="663"/>
      <c r="BT18" s="663"/>
      <c r="BU18" s="663"/>
      <c r="BV18" s="663"/>
      <c r="BW18" s="663"/>
      <c r="BX18" s="663"/>
      <c r="BY18" s="663"/>
      <c r="BZ18" s="663"/>
      <c r="CA18" s="663"/>
      <c r="CB18" s="663"/>
      <c r="CC18" s="663"/>
      <c r="CD18" s="663"/>
      <c r="CE18" s="663"/>
      <c r="CF18" s="663"/>
      <c r="CG18" s="662"/>
      <c r="CH18" s="662"/>
      <c r="CI18" s="662"/>
      <c r="CJ18" s="662"/>
      <c r="CK18" s="662"/>
      <c r="CL18" s="662"/>
      <c r="CM18" s="662"/>
      <c r="CN18" s="662"/>
      <c r="CO18" s="662"/>
      <c r="CP18" s="662"/>
      <c r="CQ18" s="662"/>
      <c r="CR18" s="662"/>
      <c r="CS18" s="677"/>
      <c r="CT18" s="677"/>
      <c r="CU18" s="677"/>
      <c r="CV18" s="677"/>
      <c r="CW18" s="677"/>
      <c r="CX18" s="677"/>
      <c r="CY18" s="677"/>
      <c r="CZ18" s="677"/>
      <c r="DA18" s="677"/>
      <c r="DB18" s="677"/>
      <c r="DC18" s="677"/>
      <c r="DD18" s="677"/>
      <c r="DE18" s="677"/>
      <c r="DF18" s="677"/>
      <c r="DG18" s="677"/>
      <c r="DH18" s="670"/>
      <c r="DI18" s="677"/>
      <c r="DJ18" s="854"/>
      <c r="DK18" s="854"/>
      <c r="DL18" s="854"/>
      <c r="DM18" s="854"/>
      <c r="DN18" s="854"/>
      <c r="DO18" s="854"/>
      <c r="DP18" s="854"/>
      <c r="DQ18" s="854"/>
      <c r="DR18" s="854"/>
      <c r="DS18" s="854"/>
      <c r="DT18" s="854"/>
      <c r="DU18" s="854"/>
      <c r="DV18" s="854"/>
      <c r="DW18" s="854"/>
      <c r="DX18" s="854"/>
      <c r="DY18" s="854"/>
      <c r="DZ18" s="854"/>
      <c r="EA18" s="854"/>
      <c r="EB18" s="854"/>
      <c r="EC18" s="854"/>
      <c r="ED18" s="854"/>
      <c r="EE18" s="854"/>
      <c r="EF18" s="854"/>
    </row>
    <row r="19" spans="2:139" ht="9.75" customHeight="1">
      <c r="B19" s="662"/>
      <c r="C19" s="662"/>
      <c r="D19" s="662"/>
      <c r="E19" s="662"/>
      <c r="F19" s="662"/>
      <c r="G19" s="662"/>
      <c r="H19" s="662"/>
      <c r="I19" s="662"/>
      <c r="J19" s="662"/>
      <c r="K19" s="662"/>
      <c r="L19" s="662"/>
      <c r="M19" s="662"/>
      <c r="N19" s="662"/>
      <c r="O19" s="662"/>
      <c r="P19" s="662"/>
      <c r="Q19" s="662"/>
      <c r="R19" s="662"/>
      <c r="S19" s="662"/>
      <c r="T19" s="662"/>
      <c r="U19" s="662"/>
      <c r="V19" s="662"/>
      <c r="W19" s="662"/>
      <c r="X19" s="662"/>
      <c r="Y19" s="662"/>
      <c r="Z19" s="662"/>
      <c r="AA19" s="662"/>
      <c r="AB19" s="662"/>
      <c r="AC19" s="662"/>
      <c r="AD19" s="662"/>
      <c r="AE19" s="662"/>
      <c r="AF19" s="662"/>
      <c r="AG19" s="662"/>
      <c r="AH19" s="662"/>
      <c r="AI19" s="662"/>
      <c r="AJ19" s="662"/>
      <c r="AK19" s="662"/>
      <c r="AL19" s="662"/>
      <c r="AM19" s="662"/>
      <c r="AN19" s="662"/>
      <c r="AO19" s="662"/>
      <c r="AP19" s="662"/>
      <c r="AQ19" s="662"/>
      <c r="AR19" s="662"/>
      <c r="AS19" s="662"/>
      <c r="AT19" s="662"/>
      <c r="AU19" s="662"/>
      <c r="AV19" s="662"/>
      <c r="AW19" s="662"/>
      <c r="AX19" s="662"/>
      <c r="AY19" s="662"/>
      <c r="AZ19" s="662"/>
      <c r="BA19" s="662"/>
      <c r="BB19" s="662"/>
      <c r="BC19" s="662"/>
      <c r="BD19" s="662"/>
      <c r="BE19" s="663"/>
      <c r="BF19" s="663"/>
      <c r="BG19" s="663"/>
      <c r="BH19" s="663"/>
      <c r="BI19" s="662"/>
      <c r="BJ19" s="662"/>
      <c r="BK19" s="662"/>
      <c r="BL19" s="662"/>
      <c r="BM19" s="662"/>
      <c r="BN19" s="662"/>
      <c r="BO19" s="662"/>
      <c r="BP19" s="662"/>
      <c r="BQ19" s="662"/>
      <c r="BR19" s="662"/>
      <c r="BS19" s="662"/>
      <c r="BT19" s="662"/>
      <c r="BU19" s="662"/>
      <c r="BV19" s="662"/>
      <c r="BW19" s="662"/>
      <c r="BX19" s="662"/>
      <c r="BY19" s="662"/>
      <c r="BZ19" s="662"/>
      <c r="CA19" s="662"/>
      <c r="CB19" s="662"/>
      <c r="CC19" s="662"/>
      <c r="CD19" s="662"/>
      <c r="CE19" s="662"/>
      <c r="CF19" s="662"/>
      <c r="CG19" s="662"/>
      <c r="CH19" s="662"/>
      <c r="CI19" s="662"/>
      <c r="CJ19" s="662"/>
      <c r="CK19" s="662"/>
      <c r="CL19" s="662"/>
      <c r="CM19" s="662"/>
      <c r="CN19" s="662"/>
      <c r="CO19" s="662"/>
      <c r="CP19" s="662"/>
      <c r="CQ19" s="662"/>
      <c r="CR19" s="662"/>
      <c r="CS19" s="662"/>
      <c r="CT19" s="662"/>
      <c r="CU19" s="662"/>
      <c r="CV19" s="663"/>
      <c r="CW19" s="663"/>
      <c r="CX19" s="663"/>
      <c r="CY19" s="663"/>
      <c r="CZ19" s="663"/>
      <c r="DA19" s="663"/>
      <c r="DB19" s="663"/>
      <c r="DC19" s="663"/>
      <c r="DD19" s="663"/>
      <c r="DE19" s="663"/>
      <c r="DF19" s="663"/>
      <c r="DG19" s="663"/>
      <c r="DH19" s="663"/>
      <c r="DI19" s="663"/>
      <c r="DJ19" s="679"/>
      <c r="DK19" s="663"/>
      <c r="DL19" s="663"/>
      <c r="DM19" s="663"/>
      <c r="DN19" s="679"/>
      <c r="DO19" s="679"/>
      <c r="DP19" s="680"/>
      <c r="DQ19" s="680"/>
      <c r="DR19" s="680"/>
      <c r="DS19" s="680"/>
      <c r="DT19" s="680"/>
      <c r="DU19" s="680"/>
      <c r="DV19" s="680"/>
      <c r="DW19" s="680"/>
      <c r="DX19" s="680"/>
      <c r="DY19" s="680"/>
      <c r="DZ19" s="680"/>
      <c r="EA19" s="680"/>
      <c r="EB19" s="680"/>
      <c r="EC19" s="680"/>
      <c r="ED19" s="680"/>
      <c r="EE19" s="663"/>
      <c r="EF19" s="663"/>
      <c r="EG19" s="663"/>
      <c r="EH19" s="440"/>
      <c r="EI19" s="440"/>
    </row>
    <row r="20" spans="2:139" ht="29.1" customHeight="1" thickBot="1">
      <c r="B20" s="662"/>
      <c r="C20" s="662"/>
      <c r="D20" s="662"/>
      <c r="E20" s="662"/>
      <c r="F20" s="662"/>
      <c r="G20" s="662"/>
      <c r="H20" s="662"/>
      <c r="I20" s="662"/>
      <c r="J20" s="662"/>
      <c r="K20" s="662"/>
      <c r="L20" s="662"/>
      <c r="M20" s="662"/>
      <c r="N20" s="662"/>
      <c r="O20" s="662"/>
      <c r="P20" s="662"/>
      <c r="Q20" s="662"/>
      <c r="R20" s="662"/>
      <c r="S20" s="662"/>
      <c r="T20" s="662"/>
      <c r="U20" s="662"/>
      <c r="V20" s="662"/>
      <c r="W20" s="662"/>
      <c r="X20" s="662"/>
      <c r="Y20" s="662"/>
      <c r="Z20" s="662"/>
      <c r="AA20" s="662"/>
      <c r="AB20" s="662"/>
      <c r="AC20" s="662"/>
      <c r="AD20" s="662"/>
      <c r="AE20" s="662"/>
      <c r="AF20" s="662"/>
      <c r="AG20" s="662"/>
      <c r="AH20" s="662"/>
      <c r="AI20" s="662"/>
      <c r="AJ20" s="662"/>
      <c r="AK20" s="662"/>
      <c r="AL20" s="662"/>
      <c r="AM20" s="662"/>
      <c r="AN20" s="662"/>
      <c r="AO20" s="662"/>
      <c r="AP20" s="662"/>
      <c r="AQ20" s="662"/>
      <c r="AR20" s="662"/>
      <c r="AS20" s="662"/>
      <c r="AT20" s="662"/>
      <c r="AU20" s="662"/>
      <c r="AV20" s="662"/>
      <c r="AW20" s="662"/>
      <c r="AX20" s="662"/>
      <c r="AY20" s="662"/>
      <c r="AZ20" s="662"/>
      <c r="BA20" s="662"/>
      <c r="BB20" s="662"/>
      <c r="BC20" s="662"/>
      <c r="BD20" s="662"/>
      <c r="BE20" s="662"/>
      <c r="BF20" s="677"/>
      <c r="BG20" s="677"/>
      <c r="BH20" s="677"/>
      <c r="BI20" s="677"/>
      <c r="BJ20" s="662"/>
      <c r="BK20" s="662"/>
      <c r="BL20" s="662"/>
      <c r="BM20" s="662"/>
      <c r="BN20" s="662"/>
      <c r="BO20" s="662"/>
      <c r="BP20" s="662"/>
      <c r="BQ20" s="662"/>
      <c r="BR20" s="662"/>
      <c r="BS20" s="662"/>
      <c r="BT20" s="662"/>
      <c r="BU20" s="662"/>
      <c r="BV20" s="662"/>
      <c r="BW20" s="662"/>
      <c r="BX20" s="662"/>
      <c r="BY20" s="662"/>
      <c r="BZ20" s="662"/>
      <c r="CA20" s="662"/>
      <c r="CB20" s="662"/>
      <c r="CC20" s="662"/>
      <c r="CD20" s="662"/>
      <c r="CE20" s="662"/>
      <c r="CF20" s="662"/>
      <c r="CG20" s="662"/>
      <c r="CH20" s="662"/>
      <c r="CI20" s="662"/>
      <c r="CJ20" s="662"/>
      <c r="CK20" s="662"/>
      <c r="CL20" s="662"/>
      <c r="CM20" s="662"/>
      <c r="CN20" s="1657" t="s">
        <v>140</v>
      </c>
      <c r="CO20" s="1657"/>
      <c r="CP20" s="1657"/>
      <c r="CQ20" s="1657"/>
      <c r="CR20" s="1657"/>
      <c r="CS20" s="1657"/>
      <c r="CT20" s="1657"/>
      <c r="CU20" s="1657"/>
      <c r="CV20" s="1657"/>
      <c r="CW20" s="1657"/>
      <c r="CX20" s="1657"/>
      <c r="CY20" s="1657"/>
      <c r="CZ20" s="1657"/>
      <c r="DA20" s="1658" t="s">
        <v>69</v>
      </c>
      <c r="DB20" s="1658"/>
      <c r="DC20" s="1658"/>
      <c r="DD20" s="1658"/>
      <c r="DE20" s="1658"/>
      <c r="DF20" s="1658"/>
      <c r="DG20" s="1658"/>
      <c r="DH20" s="1658"/>
      <c r="DI20" s="1658"/>
      <c r="DJ20" s="1658"/>
      <c r="DK20" s="1658"/>
      <c r="DL20" s="1658"/>
      <c r="DM20" s="1658"/>
      <c r="DN20" s="1659"/>
      <c r="DO20" s="680"/>
      <c r="DP20" s="680"/>
      <c r="DQ20" s="680"/>
      <c r="DR20" s="680"/>
      <c r="DS20" s="680"/>
      <c r="DT20" s="680"/>
      <c r="DU20" s="680"/>
      <c r="DV20" s="680"/>
      <c r="DW20" s="680"/>
      <c r="DX20" s="680"/>
      <c r="DY20" s="680"/>
      <c r="DZ20" s="680"/>
      <c r="EA20" s="680"/>
      <c r="EB20" s="680"/>
      <c r="EC20" s="680"/>
      <c r="ED20" s="680"/>
      <c r="EE20" s="680"/>
      <c r="EF20" s="680"/>
      <c r="EG20" s="680"/>
      <c r="EH20" s="633"/>
      <c r="EI20" s="633"/>
    </row>
    <row r="21" spans="2:139" ht="14.25" customHeight="1" thickBot="1">
      <c r="B21" s="662"/>
      <c r="C21" s="662"/>
      <c r="D21" s="662"/>
      <c r="E21" s="662"/>
      <c r="F21" s="662"/>
      <c r="G21" s="662"/>
      <c r="H21" s="662"/>
      <c r="I21" s="662"/>
      <c r="J21" s="662"/>
      <c r="K21" s="662"/>
      <c r="L21" s="662"/>
      <c r="M21" s="662"/>
      <c r="N21" s="662"/>
      <c r="O21" s="662"/>
      <c r="P21" s="662"/>
      <c r="Q21" s="662"/>
      <c r="R21" s="662"/>
      <c r="S21" s="662"/>
      <c r="T21" s="662"/>
      <c r="U21" s="662"/>
      <c r="V21" s="662"/>
      <c r="W21" s="662"/>
      <c r="X21" s="662"/>
      <c r="Y21" s="662"/>
      <c r="Z21" s="662"/>
      <c r="AA21" s="662"/>
      <c r="AB21" s="662"/>
      <c r="AC21" s="662"/>
      <c r="AD21" s="662"/>
      <c r="AE21" s="662"/>
      <c r="AF21" s="662"/>
      <c r="AG21" s="662"/>
      <c r="AH21" s="662"/>
      <c r="AI21" s="662"/>
      <c r="AJ21" s="662"/>
      <c r="AK21" s="662"/>
      <c r="AL21" s="662"/>
      <c r="AM21" s="662"/>
      <c r="AN21" s="662"/>
      <c r="AO21" s="662"/>
      <c r="AP21" s="662"/>
      <c r="AQ21" s="662"/>
      <c r="AR21" s="662"/>
      <c r="AS21" s="662"/>
      <c r="AT21" s="662"/>
      <c r="AU21" s="662"/>
      <c r="AV21" s="662"/>
      <c r="AW21" s="662"/>
      <c r="AX21" s="662"/>
      <c r="AY21" s="662"/>
      <c r="AZ21" s="662"/>
      <c r="BA21" s="662"/>
      <c r="BB21" s="662"/>
      <c r="BC21" s="662"/>
      <c r="BD21" s="662"/>
      <c r="BE21" s="662"/>
      <c r="BF21" s="662"/>
      <c r="BG21" s="662"/>
      <c r="BH21" s="662"/>
      <c r="BI21" s="662"/>
      <c r="BJ21" s="662"/>
      <c r="BK21" s="662"/>
      <c r="BL21" s="662"/>
      <c r="BM21" s="662"/>
      <c r="BN21" s="662"/>
      <c r="BO21" s="662"/>
      <c r="BP21" s="662"/>
      <c r="BQ21" s="662"/>
      <c r="BR21" s="662"/>
      <c r="BS21" s="662"/>
      <c r="BT21" s="662"/>
      <c r="BU21" s="662"/>
      <c r="BV21" s="662"/>
      <c r="BW21" s="662"/>
      <c r="BX21" s="662"/>
      <c r="BY21" s="662"/>
      <c r="BZ21" s="662"/>
      <c r="CA21" s="662"/>
      <c r="CB21" s="662"/>
      <c r="CC21" s="662"/>
      <c r="CD21" s="662"/>
      <c r="CE21" s="662"/>
      <c r="CF21" s="662"/>
      <c r="CG21" s="662"/>
      <c r="CH21" s="662"/>
      <c r="CI21" s="681" t="s">
        <v>342</v>
      </c>
      <c r="CJ21" s="682"/>
      <c r="CK21" s="662"/>
      <c r="CL21" s="662"/>
      <c r="CM21" s="683"/>
      <c r="CN21" s="1660" t="s">
        <v>293</v>
      </c>
      <c r="CO21" s="1661"/>
      <c r="CP21" s="1661"/>
      <c r="CQ21" s="1661"/>
      <c r="CR21" s="1661"/>
      <c r="CS21" s="1661"/>
      <c r="CT21" s="1661"/>
      <c r="CU21" s="1661"/>
      <c r="CV21" s="1661"/>
      <c r="CW21" s="1661"/>
      <c r="CX21" s="1661"/>
      <c r="CY21" s="1661"/>
      <c r="CZ21" s="1661"/>
      <c r="DA21" s="1662" t="str">
        <f>DJ16</f>
        <v>Дата_Инвентар</v>
      </c>
      <c r="DB21" s="1663"/>
      <c r="DC21" s="1663"/>
      <c r="DD21" s="1663"/>
      <c r="DE21" s="1663"/>
      <c r="DF21" s="1663"/>
      <c r="DG21" s="1663"/>
      <c r="DH21" s="1663"/>
      <c r="DI21" s="1663"/>
      <c r="DJ21" s="1663"/>
      <c r="DK21" s="1663"/>
      <c r="DL21" s="1663"/>
      <c r="DM21" s="1663"/>
      <c r="DN21" s="1664"/>
      <c r="DO21" s="684"/>
      <c r="DP21" s="684"/>
      <c r="DQ21" s="684"/>
      <c r="DR21" s="684"/>
      <c r="DS21" s="684"/>
      <c r="DT21" s="684"/>
      <c r="DU21" s="684"/>
      <c r="DV21" s="684"/>
      <c r="DW21" s="684"/>
      <c r="DX21" s="684"/>
      <c r="DY21" s="684"/>
      <c r="DZ21" s="684"/>
      <c r="EA21" s="684"/>
      <c r="EB21" s="684"/>
      <c r="EC21" s="684"/>
      <c r="ED21" s="684"/>
      <c r="EE21" s="663"/>
      <c r="EF21" s="663"/>
      <c r="EG21" s="663"/>
      <c r="EH21" s="440"/>
      <c r="EI21" s="440"/>
    </row>
    <row r="22" spans="2:139" ht="16.5" customHeight="1">
      <c r="B22" s="662"/>
      <c r="C22" s="662"/>
      <c r="D22" s="662"/>
      <c r="E22" s="662"/>
      <c r="F22" s="662"/>
      <c r="G22" s="662"/>
      <c r="H22" s="662"/>
      <c r="I22" s="662"/>
      <c r="J22" s="662"/>
      <c r="K22" s="662"/>
      <c r="L22" s="662"/>
      <c r="M22" s="662"/>
      <c r="N22" s="662"/>
      <c r="O22" s="662"/>
      <c r="P22" s="662"/>
      <c r="Q22" s="662"/>
      <c r="R22" s="662"/>
      <c r="S22" s="662"/>
      <c r="T22" s="662"/>
      <c r="U22" s="662"/>
      <c r="V22" s="662"/>
      <c r="W22" s="662"/>
      <c r="X22" s="662"/>
      <c r="Y22" s="662"/>
      <c r="Z22" s="662"/>
      <c r="AA22" s="662"/>
      <c r="AB22" s="662"/>
      <c r="AC22" s="662"/>
      <c r="AD22" s="662"/>
      <c r="AE22" s="662"/>
      <c r="AF22" s="662"/>
      <c r="AG22" s="662"/>
      <c r="AH22" s="662"/>
      <c r="AI22" s="662"/>
      <c r="AJ22" s="662"/>
      <c r="AK22" s="662"/>
      <c r="AL22" s="662"/>
      <c r="AM22" s="662"/>
      <c r="AN22" s="662"/>
      <c r="AO22" s="685" t="s">
        <v>538</v>
      </c>
      <c r="AP22" s="662"/>
      <c r="AQ22" s="662"/>
      <c r="AR22" s="662"/>
      <c r="AS22" s="662"/>
      <c r="AT22" s="662"/>
      <c r="AU22" s="662"/>
      <c r="AV22" s="662"/>
      <c r="AW22" s="662"/>
      <c r="AX22" s="662"/>
      <c r="AY22" s="662"/>
      <c r="AZ22" s="662"/>
      <c r="BA22" s="662"/>
      <c r="BB22" s="662"/>
      <c r="BC22" s="662"/>
      <c r="BD22" s="662"/>
      <c r="BE22" s="662"/>
      <c r="BF22" s="662"/>
      <c r="BG22" s="662"/>
      <c r="BH22" s="662"/>
      <c r="BI22" s="662"/>
      <c r="BJ22" s="662"/>
      <c r="BK22" s="662"/>
      <c r="BL22" s="662"/>
      <c r="BM22" s="662"/>
      <c r="BN22" s="662"/>
      <c r="BO22" s="662"/>
      <c r="BP22" s="662"/>
      <c r="BQ22" s="662"/>
      <c r="BR22" s="662"/>
      <c r="BS22" s="662"/>
      <c r="BT22" s="662"/>
      <c r="BU22" s="662"/>
      <c r="BV22" s="662"/>
      <c r="BW22" s="662"/>
      <c r="BX22" s="662"/>
      <c r="BY22" s="662"/>
      <c r="BZ22" s="662"/>
      <c r="CA22" s="662"/>
      <c r="CB22" s="662"/>
      <c r="CC22" s="662"/>
      <c r="CD22" s="662"/>
      <c r="CE22" s="662"/>
      <c r="CF22" s="662"/>
      <c r="CG22" s="662"/>
      <c r="CH22" s="662"/>
      <c r="CI22" s="662"/>
      <c r="CJ22" s="662"/>
      <c r="CK22" s="662"/>
      <c r="CL22" s="662"/>
      <c r="CM22" s="662"/>
      <c r="CN22" s="662"/>
      <c r="CO22" s="662"/>
      <c r="CP22" s="662"/>
      <c r="CQ22" s="662"/>
      <c r="CR22" s="683"/>
      <c r="CS22" s="683"/>
      <c r="CT22" s="683"/>
      <c r="CU22" s="683"/>
      <c r="CV22" s="680"/>
      <c r="CW22" s="680"/>
      <c r="CX22" s="680"/>
      <c r="CY22" s="680"/>
      <c r="CZ22" s="663"/>
      <c r="DA22" s="663"/>
      <c r="DB22" s="663"/>
      <c r="DC22" s="663"/>
      <c r="DD22" s="663"/>
      <c r="DE22" s="663"/>
      <c r="DF22" s="663"/>
      <c r="DG22" s="663"/>
      <c r="DH22" s="663"/>
      <c r="DI22" s="663"/>
      <c r="DJ22" s="663"/>
      <c r="DK22" s="663"/>
      <c r="DL22" s="663"/>
      <c r="DM22" s="663"/>
      <c r="DN22" s="663"/>
      <c r="DO22" s="663"/>
      <c r="DP22" s="663"/>
      <c r="DQ22" s="663"/>
      <c r="DR22" s="663"/>
      <c r="DS22" s="663"/>
      <c r="DT22" s="663"/>
      <c r="DU22" s="663"/>
      <c r="DV22" s="663"/>
      <c r="DW22" s="663"/>
      <c r="DX22" s="663"/>
      <c r="DY22" s="663"/>
      <c r="DZ22" s="663"/>
      <c r="EA22" s="663"/>
      <c r="EB22" s="663"/>
      <c r="EC22" s="663"/>
      <c r="ED22" s="663"/>
      <c r="EE22" s="663"/>
      <c r="EF22" s="663"/>
      <c r="EG22" s="663"/>
      <c r="EH22" s="440"/>
      <c r="EI22" s="440"/>
    </row>
    <row r="23" spans="2:139" ht="16.5" customHeight="1">
      <c r="B23" s="671"/>
      <c r="C23" s="662"/>
      <c r="D23" s="662"/>
      <c r="E23" s="662"/>
      <c r="F23" s="662"/>
      <c r="G23" s="662"/>
      <c r="H23" s="662"/>
      <c r="I23" s="662"/>
      <c r="J23" s="662"/>
      <c r="K23" s="662"/>
      <c r="L23" s="662"/>
      <c r="M23" s="662"/>
      <c r="N23" s="662"/>
      <c r="O23" s="662"/>
      <c r="P23" s="662"/>
      <c r="Q23" s="662"/>
      <c r="R23" s="662"/>
      <c r="S23" s="662"/>
      <c r="T23" s="662"/>
      <c r="U23" s="662"/>
      <c r="V23" s="662"/>
      <c r="W23" s="662"/>
      <c r="X23" s="662"/>
      <c r="Y23" s="662"/>
      <c r="Z23" s="662"/>
      <c r="AA23" s="662"/>
      <c r="AB23" s="662"/>
      <c r="AC23" s="662"/>
      <c r="AD23" s="662"/>
      <c r="AE23" s="662"/>
      <c r="AF23" s="662"/>
      <c r="AG23" s="662"/>
      <c r="AH23" s="662"/>
      <c r="AI23" s="662"/>
      <c r="AJ23" s="662"/>
      <c r="AK23" s="662"/>
      <c r="AL23" s="662"/>
      <c r="AM23" s="662"/>
      <c r="AN23" s="662"/>
      <c r="AO23" s="686"/>
      <c r="AP23" s="662"/>
      <c r="AQ23" s="662"/>
      <c r="AR23" s="662"/>
      <c r="AS23" s="662"/>
      <c r="AT23" s="662"/>
      <c r="AU23" s="662"/>
      <c r="AV23" s="662"/>
      <c r="AW23" s="662"/>
      <c r="AX23" s="662"/>
      <c r="AY23" s="662"/>
      <c r="AZ23" s="662"/>
      <c r="BA23" s="662"/>
      <c r="BB23" s="662"/>
      <c r="BC23" s="662"/>
      <c r="BD23" s="662"/>
      <c r="BE23" s="662"/>
      <c r="BF23" s="662"/>
      <c r="BG23" s="662"/>
      <c r="BH23" s="662"/>
      <c r="BI23" s="662"/>
      <c r="BJ23" s="662"/>
      <c r="BK23" s="662"/>
      <c r="BL23" s="662"/>
      <c r="BM23" s="662"/>
      <c r="BN23" s="662"/>
      <c r="BO23" s="662"/>
      <c r="BP23" s="662"/>
      <c r="BQ23" s="662"/>
      <c r="BR23" s="662"/>
      <c r="BS23" s="662"/>
      <c r="BT23" s="662"/>
      <c r="BU23" s="662"/>
      <c r="BV23" s="662"/>
      <c r="BW23" s="662"/>
      <c r="BX23" s="662"/>
      <c r="BY23" s="662"/>
      <c r="BZ23" s="662"/>
      <c r="CA23" s="662"/>
      <c r="CB23" s="662"/>
      <c r="CC23" s="662"/>
      <c r="CD23" s="662"/>
      <c r="CE23" s="662"/>
      <c r="CF23" s="662"/>
      <c r="CG23" s="662"/>
      <c r="CH23" s="662"/>
      <c r="CI23" s="662"/>
      <c r="CJ23" s="662"/>
      <c r="CK23" s="662"/>
      <c r="CL23" s="662"/>
      <c r="CM23" s="662"/>
      <c r="CN23" s="662"/>
      <c r="CO23" s="662"/>
      <c r="CP23" s="662"/>
      <c r="CQ23" s="662"/>
      <c r="CR23" s="683"/>
      <c r="CS23" s="683"/>
      <c r="CT23" s="683"/>
      <c r="CU23" s="683"/>
      <c r="CV23" s="680"/>
      <c r="CW23" s="680"/>
      <c r="CX23" s="680"/>
      <c r="CY23" s="680"/>
      <c r="CZ23" s="663"/>
      <c r="DA23" s="663"/>
      <c r="DB23" s="663"/>
      <c r="DC23" s="663"/>
      <c r="DD23" s="663"/>
      <c r="DE23" s="663"/>
      <c r="DF23" s="663"/>
      <c r="DG23" s="663"/>
      <c r="DH23" s="663"/>
      <c r="DI23" s="663"/>
      <c r="DJ23" s="663"/>
      <c r="DK23" s="663"/>
      <c r="DL23" s="663"/>
      <c r="DM23" s="663"/>
      <c r="DN23" s="663"/>
      <c r="DO23" s="663"/>
      <c r="DP23" s="663"/>
      <c r="DQ23" s="663"/>
      <c r="DR23" s="663"/>
      <c r="DS23" s="663"/>
      <c r="DT23" s="663"/>
      <c r="DU23" s="663"/>
      <c r="DV23" s="663"/>
      <c r="DW23" s="663"/>
      <c r="DX23" s="663"/>
      <c r="DY23" s="663"/>
      <c r="DZ23" s="663"/>
      <c r="EA23" s="663"/>
      <c r="EB23" s="663"/>
      <c r="EC23" s="663"/>
      <c r="ED23" s="663"/>
      <c r="EE23" s="663"/>
      <c r="EF23" s="663"/>
      <c r="EG23" s="663"/>
      <c r="EH23" s="440"/>
      <c r="EI23" s="440"/>
    </row>
    <row r="24" spans="2:139" ht="15" customHeight="1">
      <c r="AX24" s="440"/>
      <c r="AY24" s="440"/>
      <c r="AZ24" s="440"/>
      <c r="BA24" s="440"/>
      <c r="BB24" s="440"/>
      <c r="BC24" s="440"/>
      <c r="BD24" s="440"/>
      <c r="BE24" s="440"/>
      <c r="BF24" s="440"/>
      <c r="BG24" s="440"/>
      <c r="BH24" s="440"/>
      <c r="BI24" s="440"/>
      <c r="BJ24" s="440"/>
      <c r="BK24" s="440"/>
      <c r="BL24" s="634" t="s">
        <v>277</v>
      </c>
      <c r="BM24" s="440"/>
      <c r="BN24" s="440"/>
      <c r="BO24" s="440"/>
      <c r="BP24" s="440"/>
      <c r="BQ24" s="440"/>
      <c r="BR24" s="440"/>
      <c r="BS24" s="440"/>
      <c r="BT24" s="440"/>
      <c r="BU24" s="440"/>
      <c r="BV24" s="440"/>
      <c r="CA24" s="41"/>
      <c r="CB24" s="631"/>
      <c r="CC24" s="631"/>
      <c r="CD24" s="631"/>
      <c r="CE24" s="631"/>
      <c r="CF24" s="631"/>
      <c r="CI24" s="440"/>
      <c r="CJ24" s="440"/>
      <c r="CK24" s="440"/>
      <c r="CL24" s="440"/>
      <c r="CM24" s="440"/>
      <c r="CN24" s="440"/>
      <c r="CO24" s="440"/>
      <c r="CP24" s="440"/>
      <c r="CQ24" s="440"/>
      <c r="CR24" s="440"/>
      <c r="CS24" s="440"/>
      <c r="CT24" s="440"/>
      <c r="CU24" s="440"/>
      <c r="CV24" s="440"/>
      <c r="CW24" s="440"/>
      <c r="CY24" s="631"/>
      <c r="CZ24" s="631"/>
      <c r="DA24" s="631"/>
      <c r="DB24" s="631"/>
      <c r="DC24" s="631"/>
      <c r="DD24" s="631"/>
    </row>
    <row r="25" spans="2:139" ht="15.75" customHeight="1">
      <c r="B25" s="536"/>
      <c r="AX25" s="440"/>
      <c r="AY25" s="440"/>
      <c r="AZ25" s="440"/>
      <c r="BA25" s="440"/>
      <c r="BB25" s="440"/>
      <c r="BC25" s="440"/>
      <c r="BD25" s="440"/>
      <c r="BE25" s="440"/>
      <c r="BF25" s="440"/>
      <c r="BG25" s="440"/>
      <c r="BH25" s="440"/>
      <c r="BI25" s="440"/>
      <c r="BJ25" s="440"/>
      <c r="BK25" s="440"/>
      <c r="BL25" s="634"/>
      <c r="BM25" s="440"/>
      <c r="BN25" s="440"/>
      <c r="BO25" s="440"/>
      <c r="BP25" s="440"/>
      <c r="BQ25" s="440"/>
      <c r="BR25" s="440"/>
      <c r="BS25" s="440"/>
      <c r="BT25" s="440"/>
      <c r="BU25" s="440"/>
      <c r="BV25" s="440"/>
      <c r="CA25" s="41"/>
      <c r="CB25" s="631"/>
      <c r="CC25" s="631"/>
      <c r="CD25" s="631"/>
      <c r="CE25" s="631"/>
      <c r="CF25" s="631"/>
      <c r="CI25" s="440"/>
      <c r="CJ25" s="440"/>
      <c r="CK25" s="440"/>
      <c r="CL25" s="440"/>
      <c r="CM25" s="440"/>
      <c r="CN25" s="440"/>
      <c r="CO25" s="440"/>
      <c r="CP25" s="440"/>
      <c r="CQ25" s="440"/>
      <c r="CR25" s="440"/>
      <c r="CS25" s="440"/>
      <c r="CT25" s="440"/>
      <c r="CU25" s="440"/>
      <c r="CV25" s="440"/>
      <c r="CW25" s="440"/>
      <c r="CY25" s="631"/>
      <c r="CZ25" s="631"/>
      <c r="DA25" s="631"/>
      <c r="DB25" s="631"/>
      <c r="DC25" s="631"/>
      <c r="DD25" s="631"/>
    </row>
    <row r="26" spans="2:139" ht="16.5" customHeight="1">
      <c r="C26" s="536"/>
      <c r="F26" s="635" t="s">
        <v>561</v>
      </c>
      <c r="G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632"/>
      <c r="AW26" s="632"/>
      <c r="AX26" s="632"/>
      <c r="AY26" s="632"/>
      <c r="AZ26" s="632"/>
      <c r="BA26" s="632"/>
      <c r="BB26" s="632"/>
      <c r="BC26" s="632"/>
      <c r="BD26" s="632"/>
      <c r="BE26" s="632"/>
      <c r="BF26" s="632"/>
      <c r="BG26" s="632"/>
      <c r="BH26" s="632"/>
      <c r="BI26" s="632"/>
      <c r="BJ26" s="632"/>
      <c r="BK26" s="632"/>
      <c r="BL26" s="632"/>
      <c r="BM26" s="632"/>
      <c r="BN26" s="632"/>
      <c r="BO26" s="632"/>
      <c r="BP26" s="632"/>
      <c r="BQ26" s="632"/>
      <c r="BR26" s="632"/>
      <c r="BS26" s="632"/>
      <c r="BT26" s="632"/>
      <c r="BU26" s="632"/>
      <c r="BV26" s="632"/>
      <c r="BW26" s="632"/>
      <c r="BX26" s="632"/>
      <c r="BY26" s="632"/>
      <c r="BZ26" s="632"/>
      <c r="CA26" s="632"/>
      <c r="CB26" s="632"/>
      <c r="CC26" s="632"/>
      <c r="CD26" s="632"/>
      <c r="CE26" s="632"/>
      <c r="CF26" s="632"/>
      <c r="CG26" s="632"/>
      <c r="CH26" s="632"/>
      <c r="CI26" s="632"/>
      <c r="CJ26" s="632"/>
      <c r="CK26" s="632"/>
      <c r="CL26" s="632"/>
      <c r="CM26" s="632"/>
      <c r="CN26" s="632"/>
      <c r="CO26" s="632"/>
      <c r="CP26" s="632"/>
      <c r="CQ26" s="632"/>
      <c r="CR26" s="632"/>
      <c r="CS26" s="632"/>
      <c r="CT26" s="632"/>
      <c r="CU26" s="632"/>
      <c r="CV26" s="632"/>
      <c r="CW26" s="632"/>
      <c r="CX26" s="632"/>
      <c r="CY26" s="632"/>
      <c r="CZ26" s="632"/>
      <c r="DA26" s="632"/>
      <c r="DB26" s="632"/>
      <c r="DC26" s="632"/>
      <c r="DD26" s="632"/>
      <c r="DE26" s="632"/>
      <c r="DF26" s="632"/>
      <c r="DG26" s="632"/>
      <c r="DH26" s="632"/>
      <c r="DI26" s="632"/>
      <c r="DJ26" s="632"/>
      <c r="DK26" s="632"/>
      <c r="DL26" s="632"/>
      <c r="DM26" s="632"/>
      <c r="DN26" s="632"/>
      <c r="DO26" s="632"/>
      <c r="DP26" s="632"/>
      <c r="DQ26" s="632"/>
      <c r="DR26" s="632"/>
      <c r="DS26" s="632"/>
      <c r="DT26" s="632"/>
      <c r="DU26" s="632"/>
      <c r="DV26" s="632"/>
      <c r="DW26" s="632"/>
      <c r="DX26" s="632"/>
      <c r="DY26" s="632"/>
      <c r="DZ26" s="632"/>
      <c r="EA26" s="632"/>
      <c r="EB26" s="632"/>
      <c r="EC26" s="632"/>
      <c r="ED26" s="632"/>
      <c r="EE26" s="632"/>
      <c r="EF26" s="632"/>
      <c r="EG26" s="632"/>
      <c r="EH26" s="632"/>
      <c r="EI26" s="632"/>
    </row>
    <row r="27" spans="2:139" s="638" customFormat="1" ht="15" customHeight="1">
      <c r="B27" s="635" t="s">
        <v>562</v>
      </c>
      <c r="C27" s="636"/>
      <c r="D27" s="636"/>
      <c r="E27" s="637"/>
      <c r="F27" s="636"/>
      <c r="H27" s="636"/>
      <c r="I27" s="636"/>
      <c r="J27" s="636"/>
      <c r="K27" s="636"/>
      <c r="L27" s="636"/>
      <c r="M27" s="636"/>
      <c r="N27" s="636"/>
      <c r="O27" s="636"/>
      <c r="P27" s="636"/>
      <c r="Q27" s="636"/>
      <c r="R27" s="636"/>
      <c r="S27" s="636"/>
      <c r="T27" s="636"/>
      <c r="U27" s="636"/>
      <c r="V27" s="636"/>
      <c r="W27" s="636"/>
      <c r="X27" s="636"/>
      <c r="Y27" s="636"/>
      <c r="Z27" s="636"/>
      <c r="AA27" s="636"/>
      <c r="AB27" s="636"/>
      <c r="AC27" s="636"/>
      <c r="AD27" s="636"/>
      <c r="AE27" s="636"/>
      <c r="AF27" s="636"/>
      <c r="AG27" s="636"/>
      <c r="AH27" s="636"/>
      <c r="AI27" s="636"/>
      <c r="AJ27" s="636"/>
      <c r="AK27" s="636"/>
      <c r="AL27" s="636"/>
      <c r="AM27" s="636"/>
      <c r="AN27" s="636"/>
      <c r="AO27" s="636"/>
      <c r="AP27" s="636"/>
      <c r="AQ27" s="636"/>
      <c r="AR27" s="636"/>
      <c r="AS27" s="636"/>
      <c r="AT27" s="636"/>
      <c r="AU27" s="636"/>
      <c r="AV27" s="636"/>
      <c r="AW27" s="636"/>
      <c r="AX27" s="636"/>
      <c r="AY27" s="636"/>
      <c r="AZ27" s="636"/>
      <c r="BA27" s="636"/>
      <c r="BB27" s="636"/>
      <c r="BC27" s="636"/>
      <c r="BD27" s="636"/>
      <c r="BE27" s="636"/>
      <c r="BF27" s="636"/>
      <c r="BG27" s="636"/>
      <c r="BH27" s="636"/>
      <c r="BI27" s="636"/>
      <c r="BJ27" s="636"/>
      <c r="BK27" s="636"/>
      <c r="BL27" s="636"/>
      <c r="BM27" s="636"/>
      <c r="BN27" s="636"/>
      <c r="BO27" s="636"/>
      <c r="BP27" s="636"/>
      <c r="BQ27" s="636"/>
      <c r="BR27" s="639"/>
      <c r="BS27" s="639"/>
      <c r="BT27" s="639"/>
      <c r="BU27" s="639"/>
      <c r="BV27" s="639"/>
      <c r="BW27" s="639"/>
      <c r="BX27" s="639"/>
      <c r="BY27" s="639"/>
      <c r="BZ27" s="639"/>
      <c r="CA27" s="639"/>
      <c r="CB27" s="639"/>
      <c r="CC27" s="639"/>
      <c r="CD27" s="639"/>
      <c r="CE27" s="639"/>
      <c r="CF27" s="639"/>
      <c r="CG27" s="639"/>
      <c r="CH27" s="639"/>
      <c r="CI27" s="639"/>
      <c r="CJ27" s="639"/>
      <c r="CK27" s="639"/>
      <c r="CL27" s="639"/>
      <c r="CM27" s="636"/>
      <c r="CN27" s="636"/>
      <c r="CO27" s="636"/>
      <c r="CP27" s="636"/>
      <c r="CQ27" s="636"/>
      <c r="CR27" s="636"/>
      <c r="CS27" s="636"/>
      <c r="CT27" s="636"/>
      <c r="CU27" s="636"/>
      <c r="CV27" s="636"/>
      <c r="CW27" s="636"/>
      <c r="CX27" s="636"/>
      <c r="CY27" s="636"/>
      <c r="CZ27" s="636"/>
      <c r="DA27" s="636"/>
      <c r="DB27" s="636"/>
      <c r="DC27" s="636"/>
      <c r="DD27" s="636"/>
      <c r="DE27" s="636"/>
      <c r="DF27" s="636"/>
      <c r="DG27" s="636"/>
      <c r="DH27" s="636"/>
      <c r="DI27" s="640"/>
      <c r="DJ27" s="640"/>
      <c r="DK27" s="640"/>
      <c r="DL27" s="640"/>
      <c r="DM27" s="640"/>
      <c r="DN27" s="640"/>
      <c r="DO27" s="640"/>
      <c r="DP27" s="640"/>
      <c r="DQ27" s="640"/>
      <c r="DR27" s="640"/>
      <c r="DS27" s="640"/>
      <c r="DT27" s="640"/>
      <c r="DU27" s="640"/>
      <c r="DV27" s="640"/>
      <c r="DW27" s="640"/>
      <c r="DX27" s="640"/>
      <c r="DY27" s="640"/>
      <c r="DZ27" s="640"/>
      <c r="EA27" s="640"/>
      <c r="EB27" s="640"/>
      <c r="EC27" s="640"/>
      <c r="ED27" s="640"/>
    </row>
    <row r="28" spans="2:139" s="630" customFormat="1" ht="15" customHeight="1">
      <c r="B28" s="635" t="s">
        <v>563</v>
      </c>
      <c r="C28" s="636"/>
      <c r="D28" s="636"/>
      <c r="E28" s="636"/>
      <c r="F28" s="636"/>
      <c r="G28" s="636"/>
      <c r="H28" s="636"/>
      <c r="I28" s="636"/>
      <c r="J28" s="636"/>
      <c r="K28" s="636"/>
      <c r="L28" s="636"/>
      <c r="M28" s="636"/>
      <c r="N28" s="636"/>
      <c r="O28" s="636"/>
      <c r="P28" s="636"/>
      <c r="Q28" s="636"/>
      <c r="R28" s="636"/>
      <c r="S28" s="636"/>
      <c r="T28" s="636"/>
      <c r="U28" s="636"/>
      <c r="V28" s="636"/>
      <c r="W28" s="636"/>
      <c r="X28" s="636"/>
      <c r="Y28" s="636"/>
      <c r="Z28" s="636"/>
      <c r="AA28" s="636"/>
      <c r="AB28" s="636"/>
      <c r="AC28" s="636"/>
      <c r="AD28" s="636"/>
      <c r="AE28" s="636"/>
      <c r="AF28" s="636"/>
      <c r="AG28" s="636"/>
      <c r="AH28" s="636"/>
      <c r="AI28" s="636"/>
      <c r="AJ28" s="636"/>
      <c r="AK28" s="636"/>
      <c r="AL28" s="636"/>
      <c r="AM28" s="636"/>
      <c r="AN28" s="636"/>
      <c r="AO28" s="636"/>
      <c r="AP28" s="636"/>
      <c r="AQ28" s="636"/>
      <c r="AR28" s="636"/>
      <c r="AS28" s="636"/>
      <c r="AT28" s="636"/>
      <c r="AU28" s="636"/>
      <c r="AV28" s="636"/>
      <c r="AW28" s="636"/>
      <c r="AX28" s="636"/>
      <c r="AY28" s="636"/>
      <c r="AZ28" s="636"/>
      <c r="BA28" s="636"/>
      <c r="BB28" s="636"/>
      <c r="BC28" s="636"/>
      <c r="BD28" s="636"/>
      <c r="BE28" s="636"/>
      <c r="BF28" s="636"/>
      <c r="BG28" s="636"/>
      <c r="BH28" s="636"/>
      <c r="BI28" s="636"/>
      <c r="BJ28" s="636"/>
      <c r="BK28" s="636"/>
      <c r="BL28" s="636"/>
      <c r="BM28" s="636"/>
      <c r="BN28" s="636"/>
      <c r="BO28" s="636"/>
      <c r="BP28" s="636"/>
      <c r="BQ28" s="636"/>
      <c r="BR28" s="641"/>
      <c r="BS28" s="641"/>
      <c r="BT28" s="641"/>
      <c r="BU28" s="641"/>
      <c r="BV28" s="641"/>
      <c r="BW28" s="637"/>
      <c r="BX28" s="637"/>
      <c r="BY28" s="642"/>
      <c r="BZ28" s="642"/>
      <c r="CA28" s="639"/>
      <c r="CB28" s="639"/>
      <c r="CC28" s="639"/>
      <c r="CD28" s="639"/>
      <c r="CE28" s="639"/>
      <c r="CF28" s="639"/>
      <c r="CG28" s="639"/>
      <c r="CH28" s="639"/>
      <c r="CI28" s="639"/>
      <c r="CJ28" s="641"/>
      <c r="CK28" s="641"/>
      <c r="CL28" s="641"/>
      <c r="CM28" s="636"/>
      <c r="CN28" s="636"/>
      <c r="CO28" s="636"/>
      <c r="CP28" s="636"/>
      <c r="CQ28" s="636"/>
      <c r="CR28" s="636"/>
      <c r="CS28" s="636"/>
      <c r="CT28" s="636"/>
      <c r="CU28" s="636"/>
      <c r="CV28" s="636"/>
      <c r="CW28" s="636"/>
      <c r="CX28" s="636"/>
      <c r="CY28" s="636"/>
      <c r="CZ28" s="636"/>
      <c r="DA28" s="636"/>
      <c r="DB28" s="636"/>
      <c r="DC28" s="636"/>
      <c r="DD28" s="636"/>
      <c r="DE28" s="636"/>
      <c r="DF28" s="636"/>
      <c r="DG28" s="636"/>
      <c r="DH28" s="636"/>
      <c r="DI28" s="640"/>
      <c r="DJ28" s="640"/>
      <c r="DK28" s="640"/>
      <c r="DL28" s="640"/>
      <c r="DM28" s="640"/>
      <c r="DN28" s="640"/>
      <c r="DO28" s="640"/>
      <c r="DP28" s="640"/>
      <c r="DQ28" s="640"/>
      <c r="DR28" s="640"/>
      <c r="DS28" s="640"/>
      <c r="DT28" s="640"/>
      <c r="DU28" s="640"/>
      <c r="DV28" s="640"/>
      <c r="DW28" s="640"/>
      <c r="DX28" s="640"/>
      <c r="DY28" s="640"/>
      <c r="DZ28" s="640"/>
      <c r="EA28" s="640"/>
      <c r="EB28" s="640"/>
      <c r="EC28" s="640"/>
      <c r="ED28" s="640"/>
    </row>
    <row r="29" spans="2:139" s="648" customFormat="1" ht="15" customHeight="1">
      <c r="B29" s="636"/>
      <c r="C29" s="636"/>
      <c r="D29" s="636"/>
      <c r="E29" s="636"/>
      <c r="F29" s="636"/>
      <c r="G29" s="636"/>
      <c r="H29" s="643"/>
      <c r="I29" s="643"/>
      <c r="J29" s="643"/>
      <c r="K29" s="643"/>
      <c r="L29" s="643"/>
      <c r="M29" s="637"/>
      <c r="N29" s="643"/>
      <c r="O29" s="643"/>
      <c r="P29" s="643"/>
      <c r="Q29" s="643"/>
      <c r="R29" s="643"/>
      <c r="S29" s="643"/>
      <c r="T29" s="643"/>
      <c r="U29" s="643"/>
      <c r="V29" s="643"/>
      <c r="W29" s="643"/>
      <c r="X29" s="643"/>
      <c r="Y29" s="643"/>
      <c r="Z29" s="643"/>
      <c r="AA29" s="643"/>
      <c r="AB29" s="643"/>
      <c r="AC29" s="643"/>
      <c r="AD29" s="643"/>
      <c r="AE29" s="643"/>
      <c r="AF29" s="643"/>
      <c r="AG29" s="643"/>
      <c r="AH29" s="643"/>
      <c r="AI29" s="643"/>
      <c r="AJ29" s="643"/>
      <c r="AK29" s="643"/>
      <c r="AL29" s="643"/>
      <c r="AM29" s="643"/>
      <c r="AN29" s="643"/>
      <c r="AO29" s="643"/>
      <c r="AP29" s="643"/>
      <c r="AQ29" s="643"/>
      <c r="AR29" s="643"/>
      <c r="AS29" s="643"/>
      <c r="AT29" s="643"/>
      <c r="AU29" s="643"/>
      <c r="AV29" s="643"/>
      <c r="AW29" s="643"/>
      <c r="AX29" s="643"/>
      <c r="AY29" s="643"/>
      <c r="AZ29" s="643"/>
      <c r="BA29" s="643"/>
      <c r="BB29" s="643"/>
      <c r="BC29" s="643"/>
      <c r="BD29" s="643"/>
      <c r="BE29" s="643"/>
      <c r="BF29" s="643"/>
      <c r="BG29" s="643"/>
      <c r="BH29" s="643"/>
      <c r="BI29" s="643"/>
      <c r="BJ29" s="643"/>
      <c r="BK29" s="643"/>
      <c r="BL29" s="643"/>
      <c r="BM29" s="643"/>
      <c r="BN29" s="643"/>
      <c r="BO29" s="643"/>
      <c r="BP29" s="643"/>
      <c r="BQ29" s="643"/>
      <c r="BR29" s="644"/>
      <c r="BS29" s="644"/>
      <c r="BT29" s="644"/>
      <c r="BU29" s="644"/>
      <c r="BV29" s="644"/>
      <c r="BW29" s="645"/>
      <c r="BX29" s="645"/>
      <c r="BY29" s="645"/>
      <c r="BZ29" s="645"/>
      <c r="CA29" s="646"/>
      <c r="CB29" s="646"/>
      <c r="CC29" s="646"/>
      <c r="CD29" s="646"/>
      <c r="CE29" s="646"/>
      <c r="CF29" s="646"/>
      <c r="CG29" s="646"/>
      <c r="CH29" s="646"/>
      <c r="CI29" s="646"/>
      <c r="CJ29" s="644"/>
      <c r="CK29" s="644"/>
      <c r="CL29" s="644"/>
      <c r="CM29" s="643"/>
      <c r="CN29" s="643"/>
      <c r="CO29" s="643"/>
      <c r="CP29" s="643"/>
      <c r="CQ29" s="643"/>
      <c r="CR29" s="643"/>
      <c r="CS29" s="643"/>
      <c r="CT29" s="643"/>
      <c r="CU29" s="643"/>
      <c r="CV29" s="643"/>
      <c r="CW29" s="643"/>
      <c r="CX29" s="643"/>
      <c r="CY29" s="643"/>
      <c r="CZ29" s="643"/>
      <c r="DA29" s="643"/>
      <c r="DB29" s="643"/>
      <c r="DC29" s="643"/>
      <c r="DD29" s="643"/>
      <c r="DE29" s="643"/>
      <c r="DF29" s="643"/>
      <c r="DG29" s="643"/>
      <c r="DH29" s="643"/>
      <c r="DI29" s="647"/>
      <c r="DJ29" s="647"/>
      <c r="DK29" s="647"/>
      <c r="DL29" s="647"/>
      <c r="DM29" s="647"/>
      <c r="DN29" s="647"/>
      <c r="DO29" s="647"/>
      <c r="DP29" s="647"/>
      <c r="DQ29" s="647"/>
      <c r="DR29" s="647"/>
      <c r="DS29" s="647"/>
      <c r="DT29" s="647"/>
      <c r="DU29" s="647"/>
      <c r="DV29" s="647"/>
      <c r="DW29" s="647"/>
      <c r="DX29" s="647"/>
      <c r="DY29" s="647"/>
      <c r="DZ29" s="647"/>
      <c r="EA29" s="647"/>
      <c r="EB29" s="647"/>
      <c r="EC29" s="647"/>
      <c r="ED29" s="647"/>
    </row>
    <row r="30" spans="2:139" s="648" customFormat="1" ht="15" customHeight="1">
      <c r="B30" s="635" t="s">
        <v>78</v>
      </c>
      <c r="C30" s="636"/>
      <c r="D30" s="636"/>
      <c r="E30" s="636"/>
      <c r="F30" s="636"/>
      <c r="G30" s="636"/>
      <c r="H30" s="643"/>
      <c r="I30" s="643"/>
      <c r="J30" s="643"/>
      <c r="K30" s="643"/>
      <c r="L30" s="643"/>
      <c r="M30" s="643"/>
      <c r="N30" s="643"/>
      <c r="O30" s="643"/>
      <c r="P30" s="643"/>
      <c r="Q30" s="643"/>
      <c r="R30" s="643"/>
      <c r="S30" s="643"/>
      <c r="T30" s="643"/>
      <c r="U30" s="643"/>
      <c r="V30" s="643"/>
      <c r="W30" s="643"/>
      <c r="X30" s="643"/>
      <c r="Y30" s="643"/>
      <c r="Z30" s="643"/>
      <c r="AA30" s="643"/>
      <c r="AB30" s="643"/>
      <c r="AC30" s="643"/>
      <c r="AD30" s="643"/>
      <c r="AE30" s="643"/>
      <c r="AF30" s="643"/>
      <c r="AG30" s="643"/>
      <c r="AH30" s="643"/>
      <c r="AI30" s="643"/>
      <c r="AJ30" s="643"/>
      <c r="AK30" s="643"/>
      <c r="AL30" s="643"/>
      <c r="AM30" s="643"/>
      <c r="AN30" s="643"/>
      <c r="AO30" s="649"/>
      <c r="AP30" s="649"/>
      <c r="AQ30" s="649"/>
      <c r="AR30" s="1650" t="s">
        <v>291</v>
      </c>
      <c r="AS30" s="1650"/>
      <c r="AT30" s="1650"/>
      <c r="AU30" s="1650"/>
      <c r="AV30" s="1650"/>
      <c r="AW30" s="1650"/>
      <c r="AX30" s="1650"/>
      <c r="AY30" s="1650"/>
      <c r="AZ30" s="1650"/>
      <c r="BA30" s="1650"/>
      <c r="BB30" s="1650"/>
      <c r="BC30" s="1650"/>
      <c r="BD30" s="1650"/>
      <c r="BE30" s="1650"/>
      <c r="BF30" s="1650"/>
      <c r="BG30" s="1650"/>
      <c r="BH30" s="1650"/>
      <c r="BI30" s="1650"/>
      <c r="BJ30" s="1650"/>
      <c r="BK30" s="1650"/>
      <c r="BL30" s="1650"/>
      <c r="BM30" s="1650"/>
      <c r="BN30" s="1650"/>
      <c r="BO30" s="1650"/>
      <c r="BP30" s="1650"/>
      <c r="BQ30" s="1650"/>
      <c r="BR30" s="650"/>
      <c r="BS30" s="651"/>
      <c r="BT30" s="1651"/>
      <c r="BU30" s="1651"/>
      <c r="BV30" s="1651"/>
      <c r="BW30" s="1651"/>
      <c r="BX30" s="1651"/>
      <c r="BY30" s="1651"/>
      <c r="BZ30" s="1651"/>
      <c r="CA30" s="1651"/>
      <c r="CB30" s="1651"/>
      <c r="CC30" s="1651"/>
      <c r="CD30" s="1651"/>
      <c r="CE30" s="1651"/>
      <c r="CF30" s="1651"/>
      <c r="CG30" s="1651"/>
      <c r="CH30" s="1651"/>
      <c r="CI30" s="1651"/>
      <c r="CJ30" s="1651"/>
      <c r="CK30" s="1651"/>
      <c r="CL30" s="1651"/>
      <c r="CM30" s="1651"/>
      <c r="CN30" s="651"/>
      <c r="CO30" s="651"/>
      <c r="CP30" s="1652" t="s">
        <v>33</v>
      </c>
      <c r="CQ30" s="1652"/>
      <c r="CR30" s="1652"/>
      <c r="CS30" s="1652"/>
      <c r="CT30" s="1652"/>
      <c r="CU30" s="1652"/>
      <c r="CV30" s="1652"/>
      <c r="CW30" s="1652"/>
      <c r="CX30" s="1652"/>
      <c r="CY30" s="1652"/>
      <c r="CZ30" s="1652"/>
      <c r="DA30" s="1652"/>
      <c r="DB30" s="1652"/>
      <c r="DC30" s="1652"/>
      <c r="DD30" s="1652"/>
      <c r="DE30" s="1652"/>
      <c r="DF30" s="1652"/>
      <c r="DG30" s="1652"/>
      <c r="DH30" s="1652"/>
      <c r="DI30" s="1652"/>
      <c r="DJ30" s="1652"/>
      <c r="DK30" s="1652"/>
      <c r="DL30" s="1652"/>
      <c r="DM30" s="1652"/>
      <c r="DN30" s="1652"/>
      <c r="DO30" s="1652"/>
      <c r="DP30" s="1652"/>
      <c r="DQ30" s="1652"/>
      <c r="DR30" s="1652"/>
      <c r="DS30" s="1652"/>
      <c r="DT30" s="1652"/>
      <c r="DU30" s="1652"/>
      <c r="DV30" s="1652"/>
      <c r="DW30" s="1652"/>
      <c r="DX30" s="1652"/>
      <c r="DY30" s="1652"/>
      <c r="DZ30" s="1652"/>
      <c r="EA30" s="1652"/>
      <c r="EB30" s="652"/>
      <c r="EC30" s="652"/>
      <c r="ED30" s="652"/>
      <c r="EE30" s="652"/>
    </row>
    <row r="31" spans="2:139" s="648" customFormat="1" ht="9" customHeight="1">
      <c r="B31" s="642"/>
      <c r="C31" s="642"/>
      <c r="D31" s="642"/>
      <c r="E31" s="642"/>
      <c r="F31" s="642"/>
      <c r="G31" s="642"/>
      <c r="H31" s="649"/>
      <c r="I31" s="649"/>
      <c r="J31" s="649"/>
      <c r="K31" s="649"/>
      <c r="L31" s="649"/>
      <c r="M31" s="649"/>
      <c r="N31" s="649"/>
      <c r="O31" s="649"/>
      <c r="P31" s="649"/>
      <c r="Q31" s="649"/>
      <c r="R31" s="649"/>
      <c r="S31" s="649"/>
      <c r="T31" s="649"/>
      <c r="U31" s="649"/>
      <c r="V31" s="649"/>
      <c r="W31" s="649"/>
      <c r="X31" s="649"/>
      <c r="Y31" s="649"/>
      <c r="Z31" s="649"/>
      <c r="AA31" s="649"/>
      <c r="AB31" s="649"/>
      <c r="AC31" s="649"/>
      <c r="AD31" s="649"/>
      <c r="AE31" s="649"/>
      <c r="AF31" s="649"/>
      <c r="AG31" s="649"/>
      <c r="AH31" s="649"/>
      <c r="AI31" s="649"/>
      <c r="AJ31" s="649"/>
      <c r="AK31" s="649"/>
      <c r="AL31" s="649"/>
      <c r="AM31" s="649"/>
      <c r="AN31" s="649"/>
      <c r="AR31" s="1653" t="s">
        <v>183</v>
      </c>
      <c r="AS31" s="1653"/>
      <c r="AT31" s="1653"/>
      <c r="AU31" s="1653"/>
      <c r="AV31" s="1653"/>
      <c r="AW31" s="1653"/>
      <c r="AX31" s="1653"/>
      <c r="AY31" s="1653"/>
      <c r="AZ31" s="1653"/>
      <c r="BA31" s="1653"/>
      <c r="BB31" s="1653"/>
      <c r="BC31" s="1653"/>
      <c r="BD31" s="1653"/>
      <c r="BE31" s="1653"/>
      <c r="BF31" s="1653"/>
      <c r="BG31" s="1653"/>
      <c r="BH31" s="1653"/>
      <c r="BI31" s="1653"/>
      <c r="BJ31" s="1653"/>
      <c r="BK31" s="1653"/>
      <c r="BL31" s="1653"/>
      <c r="BM31" s="1653"/>
      <c r="BN31" s="1653"/>
      <c r="BO31" s="1653"/>
      <c r="BP31" s="1653"/>
      <c r="BQ31" s="1653"/>
      <c r="BR31" s="653"/>
      <c r="BS31" s="653"/>
      <c r="BT31" s="1653" t="s">
        <v>80</v>
      </c>
      <c r="BU31" s="1653"/>
      <c r="BV31" s="1653"/>
      <c r="BW31" s="1653"/>
      <c r="BX31" s="1653"/>
      <c r="BY31" s="1653"/>
      <c r="BZ31" s="1653"/>
      <c r="CA31" s="1653"/>
      <c r="CB31" s="1653"/>
      <c r="CC31" s="1653"/>
      <c r="CD31" s="1653"/>
      <c r="CE31" s="1653"/>
      <c r="CF31" s="1653"/>
      <c r="CG31" s="1653"/>
      <c r="CH31" s="1653"/>
      <c r="CI31" s="1653"/>
      <c r="CJ31" s="1653"/>
      <c r="CK31" s="1653"/>
      <c r="CL31" s="1653"/>
      <c r="CM31" s="1653"/>
      <c r="CN31" s="649"/>
      <c r="CO31" s="649"/>
      <c r="CP31" s="1653" t="s">
        <v>182</v>
      </c>
      <c r="CQ31" s="1653"/>
      <c r="CR31" s="1653"/>
      <c r="CS31" s="1653"/>
      <c r="CT31" s="1653"/>
      <c r="CU31" s="1653"/>
      <c r="CV31" s="1653"/>
      <c r="CW31" s="1653"/>
      <c r="CX31" s="1653"/>
      <c r="CY31" s="1653"/>
      <c r="CZ31" s="1653"/>
      <c r="DA31" s="1653"/>
      <c r="DB31" s="1653"/>
      <c r="DC31" s="1653"/>
      <c r="DD31" s="1653"/>
      <c r="DE31" s="1653"/>
      <c r="DF31" s="1653"/>
      <c r="DG31" s="1653"/>
      <c r="DH31" s="1653"/>
      <c r="DI31" s="1653"/>
      <c r="DJ31" s="1653"/>
      <c r="DK31" s="1653"/>
      <c r="DL31" s="1653"/>
      <c r="DM31" s="1653"/>
      <c r="DN31" s="1653"/>
      <c r="DO31" s="1653"/>
      <c r="DP31" s="1653"/>
      <c r="DQ31" s="1653"/>
      <c r="DR31" s="1653"/>
      <c r="DS31" s="1653"/>
      <c r="DT31" s="1653"/>
      <c r="DU31" s="1653"/>
      <c r="DV31" s="1653"/>
      <c r="DW31" s="1653"/>
      <c r="DX31" s="1653"/>
      <c r="DY31" s="1653"/>
      <c r="DZ31" s="1653"/>
      <c r="EA31" s="1653"/>
      <c r="EB31" s="653"/>
      <c r="EC31" s="653"/>
      <c r="ED31" s="653"/>
      <c r="EE31" s="653"/>
    </row>
    <row r="32" spans="2:139" s="648" customFormat="1" ht="15" customHeight="1">
      <c r="B32" s="687"/>
      <c r="C32" s="687"/>
      <c r="D32" s="687"/>
      <c r="E32" s="687"/>
      <c r="F32" s="687"/>
      <c r="G32" s="687"/>
      <c r="H32" s="688"/>
      <c r="I32" s="688"/>
      <c r="J32" s="688"/>
      <c r="K32" s="688"/>
      <c r="L32" s="688"/>
      <c r="M32" s="688"/>
      <c r="N32" s="688"/>
      <c r="O32" s="688"/>
      <c r="P32" s="688"/>
      <c r="Q32" s="688"/>
      <c r="R32" s="688"/>
      <c r="S32" s="688"/>
      <c r="T32" s="688"/>
      <c r="U32" s="688"/>
      <c r="V32" s="688"/>
      <c r="W32" s="688"/>
      <c r="X32" s="688"/>
      <c r="Y32" s="688"/>
      <c r="Z32" s="688"/>
      <c r="AA32" s="688"/>
      <c r="AB32" s="688"/>
      <c r="AC32" s="688"/>
      <c r="AD32" s="688"/>
      <c r="AE32" s="688"/>
      <c r="AF32" s="688"/>
      <c r="AG32" s="688"/>
      <c r="AH32" s="688"/>
      <c r="AI32" s="688"/>
      <c r="AJ32" s="688"/>
      <c r="AK32" s="688"/>
      <c r="AL32" s="688"/>
      <c r="AM32" s="688"/>
      <c r="AN32" s="688"/>
      <c r="AO32" s="689"/>
      <c r="AP32" s="689"/>
      <c r="AQ32" s="689"/>
      <c r="AR32" s="1647"/>
      <c r="AS32" s="1647"/>
      <c r="AT32" s="1647"/>
      <c r="AU32" s="1647"/>
      <c r="AV32" s="1647"/>
      <c r="AW32" s="1647"/>
      <c r="AX32" s="1647"/>
      <c r="AY32" s="1647"/>
      <c r="AZ32" s="1647"/>
      <c r="BA32" s="1647"/>
      <c r="BB32" s="1647"/>
      <c r="BC32" s="1647"/>
      <c r="BD32" s="1647"/>
      <c r="BE32" s="1647"/>
      <c r="BF32" s="1647"/>
      <c r="BG32" s="1647"/>
      <c r="BH32" s="1647"/>
      <c r="BI32" s="1647"/>
      <c r="BJ32" s="1647"/>
      <c r="BK32" s="1647"/>
      <c r="BL32" s="1647"/>
      <c r="BM32" s="1647"/>
      <c r="BN32" s="1647"/>
      <c r="BO32" s="1647"/>
      <c r="BP32" s="1647"/>
      <c r="BQ32" s="1647"/>
      <c r="BR32" s="690"/>
      <c r="BS32" s="691"/>
      <c r="BT32" s="1645"/>
      <c r="BU32" s="1645"/>
      <c r="BV32" s="1645"/>
      <c r="BW32" s="1645"/>
      <c r="BX32" s="1645"/>
      <c r="BY32" s="1645"/>
      <c r="BZ32" s="1645"/>
      <c r="CA32" s="1645"/>
      <c r="CB32" s="1645"/>
      <c r="CC32" s="1645"/>
      <c r="CD32" s="1645"/>
      <c r="CE32" s="1645"/>
      <c r="CF32" s="1645"/>
      <c r="CG32" s="1645"/>
      <c r="CH32" s="1645"/>
      <c r="CI32" s="1645"/>
      <c r="CJ32" s="1645"/>
      <c r="CK32" s="1645"/>
      <c r="CL32" s="1645"/>
      <c r="CM32" s="1645"/>
      <c r="CN32" s="691"/>
      <c r="CO32" s="691"/>
      <c r="CP32" s="1648"/>
      <c r="CQ32" s="1648"/>
      <c r="CR32" s="1648"/>
      <c r="CS32" s="1648"/>
      <c r="CT32" s="1648"/>
      <c r="CU32" s="1648"/>
      <c r="CV32" s="1648"/>
      <c r="CW32" s="1648"/>
      <c r="CX32" s="1648"/>
      <c r="CY32" s="1648"/>
      <c r="CZ32" s="1648"/>
      <c r="DA32" s="1648"/>
      <c r="DB32" s="1648"/>
      <c r="DC32" s="1648"/>
      <c r="DD32" s="1648"/>
      <c r="DE32" s="1648"/>
      <c r="DF32" s="1648"/>
      <c r="DG32" s="1648"/>
      <c r="DH32" s="1648"/>
      <c r="DI32" s="1648"/>
      <c r="DJ32" s="1648"/>
      <c r="DK32" s="1648"/>
      <c r="DL32" s="1648"/>
      <c r="DM32" s="1648"/>
      <c r="DN32" s="1648"/>
      <c r="DO32" s="1648"/>
      <c r="DP32" s="1648"/>
      <c r="DQ32" s="1648"/>
      <c r="DR32" s="1648"/>
      <c r="DS32" s="1648"/>
      <c r="DT32" s="1648"/>
      <c r="DU32" s="1648"/>
      <c r="DV32" s="1648"/>
      <c r="DW32" s="1648"/>
      <c r="DX32" s="1648"/>
      <c r="DY32" s="1648"/>
      <c r="DZ32" s="1648"/>
      <c r="EA32" s="1648"/>
      <c r="EB32" s="692"/>
      <c r="EC32" s="692"/>
      <c r="ED32" s="692"/>
      <c r="EE32" s="692"/>
      <c r="EF32" s="688"/>
      <c r="EG32" s="689"/>
      <c r="EH32" s="689"/>
      <c r="EI32" s="689"/>
    </row>
    <row r="33" spans="2:139" s="648" customFormat="1" ht="9" customHeight="1">
      <c r="B33" s="687"/>
      <c r="C33" s="687"/>
      <c r="D33" s="687"/>
      <c r="E33" s="687"/>
      <c r="F33" s="687"/>
      <c r="G33" s="687"/>
      <c r="H33" s="688"/>
      <c r="I33" s="688"/>
      <c r="J33" s="688"/>
      <c r="K33" s="688"/>
      <c r="L33" s="688"/>
      <c r="M33" s="688"/>
      <c r="N33" s="688"/>
      <c r="O33" s="688"/>
      <c r="P33" s="688"/>
      <c r="Q33" s="688"/>
      <c r="R33" s="688"/>
      <c r="S33" s="688"/>
      <c r="T33" s="688"/>
      <c r="U33" s="688"/>
      <c r="V33" s="688"/>
      <c r="W33" s="688"/>
      <c r="X33" s="688"/>
      <c r="Y33" s="688"/>
      <c r="Z33" s="688"/>
      <c r="AA33" s="688"/>
      <c r="AB33" s="688"/>
      <c r="AC33" s="688"/>
      <c r="AD33" s="688"/>
      <c r="AE33" s="688"/>
      <c r="AF33" s="688"/>
      <c r="AG33" s="688"/>
      <c r="AH33" s="688"/>
      <c r="AI33" s="688"/>
      <c r="AJ33" s="688"/>
      <c r="AK33" s="688"/>
      <c r="AL33" s="688"/>
      <c r="AM33" s="688"/>
      <c r="AN33" s="688"/>
      <c r="AO33" s="689"/>
      <c r="AP33" s="689"/>
      <c r="AQ33" s="689"/>
      <c r="AR33" s="1649" t="s">
        <v>183</v>
      </c>
      <c r="AS33" s="1649"/>
      <c r="AT33" s="1649"/>
      <c r="AU33" s="1649"/>
      <c r="AV33" s="1649"/>
      <c r="AW33" s="1649"/>
      <c r="AX33" s="1649"/>
      <c r="AY33" s="1649"/>
      <c r="AZ33" s="1649"/>
      <c r="BA33" s="1649"/>
      <c r="BB33" s="1649"/>
      <c r="BC33" s="1649"/>
      <c r="BD33" s="1649"/>
      <c r="BE33" s="1649"/>
      <c r="BF33" s="1649"/>
      <c r="BG33" s="1649"/>
      <c r="BH33" s="1649"/>
      <c r="BI33" s="1649"/>
      <c r="BJ33" s="1649"/>
      <c r="BK33" s="1649"/>
      <c r="BL33" s="1649"/>
      <c r="BM33" s="1649"/>
      <c r="BN33" s="1649"/>
      <c r="BO33" s="1649"/>
      <c r="BP33" s="1649"/>
      <c r="BQ33" s="1649"/>
      <c r="BR33" s="849"/>
      <c r="BS33" s="849"/>
      <c r="BT33" s="1649" t="s">
        <v>80</v>
      </c>
      <c r="BU33" s="1649"/>
      <c r="BV33" s="1649"/>
      <c r="BW33" s="1649"/>
      <c r="BX33" s="1649"/>
      <c r="BY33" s="1649"/>
      <c r="BZ33" s="1649"/>
      <c r="CA33" s="1649"/>
      <c r="CB33" s="1649"/>
      <c r="CC33" s="1649"/>
      <c r="CD33" s="1649"/>
      <c r="CE33" s="1649"/>
      <c r="CF33" s="1649"/>
      <c r="CG33" s="1649"/>
      <c r="CH33" s="1649"/>
      <c r="CI33" s="1649"/>
      <c r="CJ33" s="1649"/>
      <c r="CK33" s="1649"/>
      <c r="CL33" s="1649"/>
      <c r="CM33" s="1649"/>
      <c r="CN33" s="688"/>
      <c r="CO33" s="688"/>
      <c r="CP33" s="1649" t="s">
        <v>182</v>
      </c>
      <c r="CQ33" s="1649"/>
      <c r="CR33" s="1649"/>
      <c r="CS33" s="1649"/>
      <c r="CT33" s="1649"/>
      <c r="CU33" s="1649"/>
      <c r="CV33" s="1649"/>
      <c r="CW33" s="1649"/>
      <c r="CX33" s="1649"/>
      <c r="CY33" s="1649"/>
      <c r="CZ33" s="1649"/>
      <c r="DA33" s="1649"/>
      <c r="DB33" s="1649"/>
      <c r="DC33" s="1649"/>
      <c r="DD33" s="1649"/>
      <c r="DE33" s="1649"/>
      <c r="DF33" s="1649"/>
      <c r="DG33" s="1649"/>
      <c r="DH33" s="1649"/>
      <c r="DI33" s="1649"/>
      <c r="DJ33" s="1649"/>
      <c r="DK33" s="1649"/>
      <c r="DL33" s="1649"/>
      <c r="DM33" s="1649"/>
      <c r="DN33" s="1649"/>
      <c r="DO33" s="1649"/>
      <c r="DP33" s="1649"/>
      <c r="DQ33" s="1649"/>
      <c r="DR33" s="1649"/>
      <c r="DS33" s="1649"/>
      <c r="DT33" s="1649"/>
      <c r="DU33" s="1649"/>
      <c r="DV33" s="1649"/>
      <c r="DW33" s="1649"/>
      <c r="DX33" s="1649"/>
      <c r="DY33" s="1649"/>
      <c r="DZ33" s="1649"/>
      <c r="EA33" s="1649"/>
      <c r="EB33" s="849"/>
      <c r="EC33" s="849"/>
      <c r="ED33" s="849"/>
      <c r="EE33" s="849"/>
      <c r="EF33" s="689"/>
      <c r="EG33" s="689"/>
      <c r="EH33" s="689"/>
      <c r="EI33" s="689"/>
    </row>
    <row r="34" spans="2:139" s="648" customFormat="1" ht="9" customHeight="1">
      <c r="B34" s="687"/>
      <c r="C34" s="687"/>
      <c r="D34" s="687"/>
      <c r="E34" s="687"/>
      <c r="F34" s="687"/>
      <c r="G34" s="687"/>
      <c r="H34" s="688"/>
      <c r="I34" s="688"/>
      <c r="J34" s="688"/>
      <c r="K34" s="688"/>
      <c r="L34" s="688"/>
      <c r="M34" s="688"/>
      <c r="N34" s="688"/>
      <c r="O34" s="688"/>
      <c r="P34" s="688"/>
      <c r="Q34" s="688"/>
      <c r="R34" s="688"/>
      <c r="S34" s="688"/>
      <c r="T34" s="688"/>
      <c r="U34" s="688"/>
      <c r="V34" s="688"/>
      <c r="W34" s="688"/>
      <c r="X34" s="688"/>
      <c r="Y34" s="688"/>
      <c r="Z34" s="688"/>
      <c r="AA34" s="688"/>
      <c r="AB34" s="688"/>
      <c r="AC34" s="688"/>
      <c r="AD34" s="688"/>
      <c r="AE34" s="688"/>
      <c r="AF34" s="688"/>
      <c r="AG34" s="688"/>
      <c r="AH34" s="688"/>
      <c r="AI34" s="688"/>
      <c r="AJ34" s="688"/>
      <c r="AK34" s="688"/>
      <c r="AL34" s="688"/>
      <c r="AM34" s="688"/>
      <c r="AN34" s="688"/>
      <c r="AO34" s="689"/>
      <c r="AP34" s="689"/>
      <c r="AQ34" s="689"/>
      <c r="AR34" s="849"/>
      <c r="AS34" s="849"/>
      <c r="AT34" s="849"/>
      <c r="AU34" s="849"/>
      <c r="AV34" s="849"/>
      <c r="AW34" s="849"/>
      <c r="AX34" s="849"/>
      <c r="AY34" s="849"/>
      <c r="AZ34" s="849"/>
      <c r="BA34" s="849"/>
      <c r="BB34" s="849"/>
      <c r="BC34" s="849"/>
      <c r="BD34" s="849"/>
      <c r="BE34" s="849"/>
      <c r="BF34" s="849"/>
      <c r="BG34" s="849"/>
      <c r="BH34" s="849"/>
      <c r="BI34" s="849"/>
      <c r="BJ34" s="849"/>
      <c r="BK34" s="849"/>
      <c r="BL34" s="849"/>
      <c r="BM34" s="849"/>
      <c r="BN34" s="849"/>
      <c r="BO34" s="849"/>
      <c r="BP34" s="849"/>
      <c r="BQ34" s="849"/>
      <c r="BR34" s="849"/>
      <c r="BS34" s="849"/>
      <c r="BT34" s="849"/>
      <c r="BU34" s="849"/>
      <c r="BV34" s="849"/>
      <c r="BW34" s="849"/>
      <c r="BX34" s="849"/>
      <c r="BY34" s="849"/>
      <c r="BZ34" s="849"/>
      <c r="CA34" s="849"/>
      <c r="CB34" s="849"/>
      <c r="CC34" s="849"/>
      <c r="CD34" s="849"/>
      <c r="CE34" s="849"/>
      <c r="CF34" s="849"/>
      <c r="CG34" s="849"/>
      <c r="CH34" s="849"/>
      <c r="CI34" s="849"/>
      <c r="CJ34" s="849"/>
      <c r="CK34" s="849"/>
      <c r="CL34" s="849"/>
      <c r="CM34" s="849"/>
      <c r="CN34" s="688"/>
      <c r="CO34" s="688"/>
      <c r="CP34" s="849"/>
      <c r="CQ34" s="849"/>
      <c r="CR34" s="849"/>
      <c r="CS34" s="849"/>
      <c r="CT34" s="849"/>
      <c r="CU34" s="849"/>
      <c r="CV34" s="849"/>
      <c r="CW34" s="849"/>
      <c r="CX34" s="849"/>
      <c r="CY34" s="849"/>
      <c r="CZ34" s="849"/>
      <c r="DA34" s="849"/>
      <c r="DB34" s="849"/>
      <c r="DC34" s="849"/>
      <c r="DD34" s="849"/>
      <c r="DE34" s="849"/>
      <c r="DF34" s="849"/>
      <c r="DG34" s="849"/>
      <c r="DH34" s="849"/>
      <c r="DI34" s="849"/>
      <c r="DJ34" s="849"/>
      <c r="DK34" s="849"/>
      <c r="DL34" s="849"/>
      <c r="DM34" s="849"/>
      <c r="DN34" s="849"/>
      <c r="DO34" s="849"/>
      <c r="DP34" s="849"/>
      <c r="DQ34" s="849"/>
      <c r="DR34" s="849"/>
      <c r="DS34" s="849"/>
      <c r="DT34" s="849"/>
      <c r="DU34" s="849"/>
      <c r="DV34" s="849"/>
      <c r="DW34" s="849"/>
      <c r="DX34" s="849"/>
      <c r="DY34" s="849"/>
      <c r="DZ34" s="849"/>
      <c r="EA34" s="849"/>
      <c r="EB34" s="849"/>
      <c r="EC34" s="849"/>
      <c r="ED34" s="849"/>
      <c r="EE34" s="849"/>
      <c r="EF34" s="689"/>
      <c r="EG34" s="689"/>
      <c r="EH34" s="689"/>
      <c r="EI34" s="689"/>
    </row>
    <row r="35" spans="2:139" s="648" customFormat="1" ht="15" customHeight="1">
      <c r="B35" s="687"/>
      <c r="C35" s="687"/>
      <c r="D35" s="687"/>
      <c r="E35" s="687"/>
      <c r="F35" s="694" t="s">
        <v>564</v>
      </c>
      <c r="G35" s="690"/>
      <c r="H35" s="688"/>
      <c r="I35" s="688"/>
      <c r="J35" s="688"/>
      <c r="K35" s="688"/>
      <c r="L35" s="688"/>
      <c r="M35" s="688"/>
      <c r="N35" s="688"/>
      <c r="O35" s="688"/>
      <c r="P35" s="688"/>
      <c r="Q35" s="688"/>
      <c r="R35" s="688"/>
      <c r="S35" s="688"/>
      <c r="T35" s="688"/>
      <c r="U35" s="688"/>
      <c r="V35" s="688"/>
      <c r="W35" s="688"/>
      <c r="X35" s="688"/>
      <c r="Y35" s="688"/>
      <c r="Z35" s="688"/>
      <c r="AA35" s="688"/>
      <c r="AB35" s="688"/>
      <c r="AC35" s="688"/>
      <c r="AD35" s="688"/>
      <c r="AE35" s="688"/>
      <c r="AF35" s="688"/>
      <c r="AG35" s="688"/>
      <c r="AH35" s="688"/>
      <c r="AI35" s="688"/>
      <c r="AJ35" s="688"/>
      <c r="AK35" s="688"/>
      <c r="AL35" s="688"/>
      <c r="AM35" s="688"/>
      <c r="AN35" s="688"/>
      <c r="AO35" s="689"/>
      <c r="AP35" s="689"/>
      <c r="AQ35" s="689"/>
      <c r="AR35" s="849"/>
      <c r="AS35" s="849"/>
      <c r="AT35" s="849"/>
      <c r="AU35" s="849"/>
      <c r="AV35" s="849"/>
      <c r="AW35" s="849"/>
      <c r="AX35" s="849"/>
      <c r="AY35" s="849"/>
      <c r="AZ35" s="849"/>
      <c r="BA35" s="849"/>
      <c r="BB35" s="849"/>
      <c r="BC35" s="849"/>
      <c r="BD35" s="849"/>
      <c r="BE35" s="849"/>
      <c r="BF35" s="849"/>
      <c r="BG35" s="849"/>
      <c r="BH35" s="849"/>
      <c r="BI35" s="849"/>
      <c r="BJ35" s="849"/>
      <c r="BK35" s="849"/>
      <c r="BL35" s="849"/>
      <c r="BM35" s="849"/>
      <c r="BN35" s="849"/>
      <c r="BO35" s="849"/>
      <c r="BP35" s="849"/>
      <c r="BQ35" s="849"/>
      <c r="BR35" s="849"/>
      <c r="BS35" s="849"/>
      <c r="BT35" s="849"/>
      <c r="BU35" s="849"/>
      <c r="BV35" s="849"/>
      <c r="BW35" s="849"/>
      <c r="BX35" s="849"/>
      <c r="BY35" s="849"/>
      <c r="BZ35" s="849"/>
      <c r="CA35" s="849"/>
      <c r="CB35" s="849"/>
      <c r="CC35" s="849"/>
      <c r="CD35" s="849"/>
      <c r="CE35" s="849"/>
      <c r="CF35" s="849"/>
      <c r="CG35" s="849"/>
      <c r="CH35" s="849"/>
      <c r="CI35" s="849"/>
      <c r="CJ35" s="849"/>
      <c r="CK35" s="849"/>
      <c r="CL35" s="849"/>
      <c r="CM35" s="849"/>
      <c r="CN35" s="688"/>
      <c r="CO35" s="688"/>
      <c r="CP35" s="849"/>
      <c r="CQ35" s="849"/>
      <c r="CR35" s="849"/>
      <c r="CS35" s="849"/>
      <c r="CT35" s="849"/>
      <c r="CU35" s="849"/>
      <c r="CV35" s="849"/>
      <c r="CW35" s="849"/>
      <c r="CX35" s="849"/>
      <c r="CY35" s="849"/>
      <c r="CZ35" s="849"/>
      <c r="DA35" s="849"/>
      <c r="DB35" s="849"/>
      <c r="DC35" s="849"/>
      <c r="DD35" s="849"/>
      <c r="DE35" s="849"/>
      <c r="DF35" s="849"/>
      <c r="DG35" s="849"/>
      <c r="DH35" s="849"/>
      <c r="DI35" s="849"/>
      <c r="DJ35" s="849"/>
      <c r="DK35" s="849"/>
      <c r="DL35" s="849"/>
      <c r="DM35" s="849"/>
      <c r="DN35" s="849"/>
      <c r="DO35" s="849"/>
      <c r="DP35" s="849"/>
      <c r="DQ35" s="849"/>
      <c r="DR35" s="849"/>
      <c r="DS35" s="849"/>
      <c r="DT35" s="849"/>
      <c r="DU35" s="849"/>
      <c r="DV35" s="849"/>
      <c r="DW35" s="849"/>
      <c r="DX35" s="849"/>
      <c r="DY35" s="849"/>
      <c r="DZ35" s="849"/>
      <c r="EA35" s="849"/>
      <c r="EB35" s="849"/>
      <c r="EC35" s="849"/>
      <c r="ED35" s="849"/>
      <c r="EE35" s="849"/>
      <c r="EF35" s="689"/>
      <c r="EG35" s="689"/>
      <c r="EH35" s="689"/>
      <c r="EI35" s="689"/>
    </row>
    <row r="36" spans="2:139" s="630" customFormat="1" ht="14.25" customHeight="1">
      <c r="B36" s="687"/>
      <c r="C36" s="687"/>
      <c r="D36" s="687"/>
      <c r="E36" s="687"/>
      <c r="F36" s="695" t="s">
        <v>565</v>
      </c>
      <c r="G36" s="690"/>
      <c r="H36" s="687"/>
      <c r="I36" s="687"/>
      <c r="J36" s="687"/>
      <c r="K36" s="687"/>
      <c r="L36" s="687"/>
      <c r="M36" s="687"/>
      <c r="N36" s="687"/>
      <c r="O36" s="687"/>
      <c r="P36" s="687"/>
      <c r="Q36" s="687"/>
      <c r="R36" s="687"/>
      <c r="S36" s="687"/>
      <c r="T36" s="687"/>
      <c r="U36" s="687"/>
      <c r="V36" s="687"/>
      <c r="W36" s="687"/>
      <c r="X36" s="687"/>
      <c r="Y36" s="687"/>
      <c r="Z36" s="687"/>
      <c r="AA36" s="687"/>
      <c r="AB36" s="687"/>
      <c r="AC36" s="687"/>
      <c r="AD36" s="687"/>
      <c r="AE36" s="687"/>
      <c r="AF36" s="687"/>
      <c r="AI36" s="696" t="s">
        <v>83</v>
      </c>
      <c r="AJ36" s="1645"/>
      <c r="AK36" s="1645"/>
      <c r="AL36" s="1645"/>
      <c r="AM36" s="694" t="s">
        <v>84</v>
      </c>
      <c r="AN36" s="690"/>
      <c r="AO36" s="1645"/>
      <c r="AP36" s="1645"/>
      <c r="AQ36" s="1645"/>
      <c r="AR36" s="1645"/>
      <c r="AS36" s="1645"/>
      <c r="AT36" s="1645"/>
      <c r="AU36" s="1645"/>
      <c r="AV36" s="1645"/>
      <c r="AW36" s="1645"/>
      <c r="AX36" s="1645"/>
      <c r="AY36" s="1645"/>
      <c r="AZ36" s="1645"/>
      <c r="BA36" s="1645"/>
      <c r="BB36" s="1645"/>
      <c r="BC36" s="1645"/>
      <c r="BD36" s="1645"/>
      <c r="BE36" s="690"/>
      <c r="BF36" s="1645"/>
      <c r="BG36" s="1645"/>
      <c r="BH36" s="1645"/>
      <c r="BI36" s="1645"/>
      <c r="BJ36" s="1645"/>
      <c r="BK36" s="1645"/>
      <c r="BL36" s="1645"/>
      <c r="BM36" s="694" t="s">
        <v>85</v>
      </c>
      <c r="BN36" s="690"/>
      <c r="BO36" s="690"/>
      <c r="BP36" s="687"/>
      <c r="BQ36" s="687"/>
      <c r="CY36" s="687"/>
      <c r="CZ36" s="687"/>
      <c r="DA36" s="687"/>
      <c r="DB36" s="687"/>
      <c r="DC36" s="687"/>
      <c r="DD36" s="687"/>
      <c r="DE36" s="687"/>
      <c r="DF36" s="687"/>
      <c r="DG36" s="687"/>
      <c r="DH36" s="687"/>
      <c r="DI36" s="687"/>
      <c r="DJ36" s="687"/>
      <c r="DK36" s="687"/>
      <c r="DL36" s="687"/>
      <c r="DM36" s="687"/>
      <c r="DN36" s="687"/>
      <c r="DO36" s="687"/>
      <c r="DP36" s="687"/>
      <c r="DQ36" s="687"/>
      <c r="DR36" s="687"/>
      <c r="DS36" s="687"/>
      <c r="DT36" s="687"/>
      <c r="DU36" s="687"/>
      <c r="DV36" s="687"/>
      <c r="DW36" s="687"/>
      <c r="DX36" s="687"/>
      <c r="DY36" s="687"/>
      <c r="DZ36" s="687"/>
      <c r="EA36" s="687"/>
      <c r="EB36" s="687"/>
      <c r="EC36" s="687"/>
      <c r="ED36" s="687"/>
      <c r="EE36" s="697"/>
      <c r="EF36" s="697"/>
      <c r="EG36" s="697"/>
      <c r="EH36" s="697"/>
      <c r="EI36" s="697"/>
    </row>
    <row r="37" spans="2:139" s="630" customFormat="1" ht="7.5" customHeight="1">
      <c r="B37" s="687"/>
      <c r="C37" s="687"/>
      <c r="D37" s="687"/>
      <c r="E37" s="687"/>
      <c r="F37" s="690"/>
      <c r="G37" s="690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7"/>
      <c r="AK37" s="687"/>
      <c r="AL37" s="687"/>
      <c r="AM37" s="687"/>
      <c r="AN37" s="687"/>
      <c r="AO37" s="687"/>
      <c r="AP37" s="687"/>
      <c r="AQ37" s="687"/>
      <c r="AR37" s="687"/>
      <c r="AS37" s="687"/>
      <c r="AT37" s="687"/>
      <c r="AU37" s="687"/>
      <c r="AV37" s="687"/>
      <c r="AW37" s="687"/>
      <c r="AX37" s="687"/>
      <c r="AY37" s="687"/>
      <c r="AZ37" s="687"/>
      <c r="BA37" s="687"/>
      <c r="BB37" s="687"/>
      <c r="BC37" s="687"/>
      <c r="BD37" s="687"/>
      <c r="BE37" s="687"/>
      <c r="BF37" s="687"/>
      <c r="BG37" s="687"/>
      <c r="BH37" s="687"/>
      <c r="BI37" s="687"/>
      <c r="BJ37" s="687"/>
      <c r="BK37" s="687"/>
      <c r="BL37" s="687"/>
      <c r="BM37" s="687"/>
      <c r="BN37" s="687"/>
      <c r="BO37" s="687"/>
      <c r="BP37" s="687"/>
      <c r="BQ37" s="687"/>
      <c r="BR37" s="687"/>
      <c r="BS37" s="687"/>
      <c r="BT37" s="687"/>
      <c r="BU37" s="687"/>
      <c r="BV37" s="687"/>
      <c r="BW37" s="687"/>
      <c r="BX37" s="687"/>
      <c r="BY37" s="687"/>
      <c r="BZ37" s="687"/>
      <c r="CA37" s="687"/>
      <c r="CB37" s="687"/>
      <c r="CC37" s="687"/>
      <c r="CD37" s="687"/>
      <c r="CE37" s="687"/>
      <c r="CF37" s="687"/>
      <c r="CG37" s="687"/>
      <c r="CH37" s="687"/>
      <c r="CI37" s="687"/>
      <c r="CJ37" s="687"/>
      <c r="CK37" s="687"/>
      <c r="CL37" s="687"/>
      <c r="CM37" s="687"/>
      <c r="CN37" s="687"/>
      <c r="CO37" s="687"/>
      <c r="CP37" s="687"/>
      <c r="CQ37" s="687"/>
      <c r="CR37" s="687"/>
      <c r="CS37" s="687"/>
      <c r="CT37" s="687"/>
      <c r="CU37" s="687"/>
      <c r="CV37" s="687"/>
      <c r="CW37" s="687"/>
      <c r="CX37" s="687"/>
      <c r="CY37" s="687"/>
      <c r="CZ37" s="687"/>
      <c r="DA37" s="687"/>
      <c r="DB37" s="687"/>
      <c r="DC37" s="687"/>
      <c r="DD37" s="687"/>
      <c r="DE37" s="687"/>
      <c r="DF37" s="687"/>
      <c r="DG37" s="687"/>
      <c r="DH37" s="687"/>
      <c r="DI37" s="687"/>
      <c r="DJ37" s="687"/>
      <c r="DK37" s="687"/>
      <c r="DL37" s="687"/>
      <c r="DM37" s="687"/>
      <c r="DN37" s="687"/>
      <c r="DO37" s="687"/>
      <c r="DP37" s="687"/>
      <c r="DQ37" s="687"/>
      <c r="DR37" s="687"/>
      <c r="DS37" s="687"/>
      <c r="DT37" s="687"/>
      <c r="DU37" s="687"/>
      <c r="DV37" s="687"/>
      <c r="DW37" s="687"/>
      <c r="DX37" s="687"/>
      <c r="DY37" s="687"/>
      <c r="DZ37" s="687"/>
      <c r="EA37" s="687"/>
      <c r="EB37" s="687"/>
      <c r="EC37" s="687"/>
      <c r="ED37" s="687"/>
      <c r="EE37" s="697"/>
      <c r="EF37" s="697"/>
      <c r="EG37" s="697"/>
      <c r="EH37" s="697"/>
      <c r="EI37" s="697"/>
    </row>
    <row r="38" spans="2:139" s="630" customFormat="1" ht="14.25" customHeight="1">
      <c r="B38" s="687"/>
      <c r="C38" s="687"/>
      <c r="D38" s="687"/>
      <c r="E38" s="687"/>
      <c r="F38" s="694" t="s">
        <v>148</v>
      </c>
      <c r="G38" s="690"/>
      <c r="H38" s="687"/>
      <c r="I38" s="687"/>
      <c r="J38" s="687"/>
      <c r="K38" s="687"/>
      <c r="L38" s="687"/>
      <c r="M38" s="687"/>
      <c r="N38" s="687"/>
      <c r="O38" s="687"/>
      <c r="P38" s="687"/>
      <c r="Q38" s="687"/>
      <c r="R38" s="687"/>
      <c r="S38" s="687"/>
      <c r="T38" s="687"/>
      <c r="U38" s="687"/>
      <c r="V38" s="687"/>
      <c r="W38" s="687"/>
      <c r="X38" s="687"/>
      <c r="Y38" s="687"/>
      <c r="Z38" s="687"/>
      <c r="AA38" s="687"/>
      <c r="AB38" s="687"/>
      <c r="AC38" s="687"/>
      <c r="AD38" s="687"/>
      <c r="AE38" s="687"/>
      <c r="AF38" s="687"/>
      <c r="AG38" s="687"/>
      <c r="AH38" s="687"/>
      <c r="AI38" s="687"/>
      <c r="AJ38" s="687"/>
      <c r="AK38" s="687"/>
      <c r="AL38" s="687"/>
      <c r="AM38" s="687"/>
      <c r="AN38" s="687"/>
      <c r="AO38" s="687"/>
      <c r="AP38" s="687"/>
      <c r="AQ38" s="687"/>
      <c r="AR38" s="687"/>
      <c r="AS38" s="687"/>
      <c r="AT38" s="687"/>
      <c r="AU38" s="687"/>
      <c r="AV38" s="687"/>
      <c r="AW38" s="687"/>
      <c r="AX38" s="687"/>
      <c r="AY38" s="687"/>
      <c r="AZ38" s="687"/>
      <c r="BA38" s="1646"/>
      <c r="BB38" s="1646"/>
      <c r="BC38" s="1646"/>
      <c r="BD38" s="1646"/>
      <c r="BE38" s="1646"/>
      <c r="BF38" s="1646"/>
      <c r="BG38" s="1646"/>
      <c r="BH38" s="1646"/>
      <c r="BI38" s="1646"/>
      <c r="BJ38" s="1646"/>
      <c r="BK38" s="1646"/>
      <c r="BL38" s="1646"/>
      <c r="BM38" s="1646"/>
      <c r="BN38" s="1646"/>
      <c r="BO38" s="1646"/>
      <c r="BP38" s="1646"/>
      <c r="BQ38" s="1646"/>
      <c r="BR38" s="1646"/>
      <c r="BS38" s="1646"/>
      <c r="BT38" s="1646"/>
      <c r="BU38" s="1646"/>
      <c r="BV38" s="1646"/>
      <c r="BW38" s="1646"/>
      <c r="BX38" s="1646"/>
      <c r="BY38" s="1646"/>
      <c r="BZ38" s="1646"/>
      <c r="CA38" s="1646"/>
      <c r="CB38" s="1646"/>
      <c r="CC38" s="1646"/>
      <c r="CD38" s="1646"/>
      <c r="CE38" s="1646"/>
      <c r="CF38" s="1646"/>
      <c r="CG38" s="1646"/>
      <c r="CH38" s="1646"/>
      <c r="CI38" s="1646"/>
      <c r="CJ38" s="1646"/>
      <c r="CK38" s="1646"/>
      <c r="CL38" s="1646"/>
      <c r="CM38" s="1646"/>
      <c r="CN38" s="1646"/>
      <c r="CO38" s="1646"/>
      <c r="CP38" s="1646"/>
      <c r="CQ38" s="1646"/>
      <c r="CR38" s="1646"/>
      <c r="CS38" s="1646"/>
      <c r="CT38" s="1646"/>
      <c r="CU38" s="1646"/>
      <c r="CV38" s="1646"/>
      <c r="CW38" s="1646"/>
      <c r="CX38" s="1646"/>
      <c r="CY38" s="1646"/>
      <c r="CZ38" s="1646"/>
      <c r="DA38" s="1646"/>
      <c r="DB38" s="1646"/>
      <c r="DC38" s="1646"/>
      <c r="DD38" s="1646"/>
      <c r="DE38" s="1646"/>
      <c r="DF38" s="1646"/>
      <c r="DG38" s="1646"/>
      <c r="DH38" s="1646"/>
      <c r="DI38" s="1646"/>
      <c r="DJ38" s="1646"/>
      <c r="DK38" s="1646"/>
      <c r="DL38" s="1646"/>
      <c r="DM38" s="1646"/>
      <c r="DN38" s="1646"/>
      <c r="DO38" s="1646"/>
      <c r="DP38" s="1646"/>
      <c r="DQ38" s="1646"/>
      <c r="DR38" s="1646"/>
      <c r="DS38" s="1646"/>
      <c r="DT38" s="1646"/>
      <c r="DU38" s="1646"/>
      <c r="DV38" s="1646"/>
      <c r="DW38" s="1646"/>
      <c r="DX38" s="1646"/>
      <c r="DY38" s="1646"/>
      <c r="DZ38" s="1646"/>
      <c r="EA38" s="1646"/>
      <c r="EB38" s="1646"/>
      <c r="EC38" s="1646"/>
      <c r="ED38" s="1646"/>
      <c r="EE38" s="1646"/>
      <c r="EF38" s="1646"/>
      <c r="EG38" s="1646"/>
      <c r="EH38" s="1646"/>
      <c r="EI38" s="1646"/>
    </row>
  </sheetData>
  <mergeCells count="36">
    <mergeCell ref="AW14:CY14"/>
    <mergeCell ref="CZ14:DH15"/>
    <mergeCell ref="DJ14:EF15"/>
    <mergeCell ref="A1:R3"/>
    <mergeCell ref="DJ7:EF7"/>
    <mergeCell ref="B8:CV8"/>
    <mergeCell ref="DJ8:EF8"/>
    <mergeCell ref="R9:CL9"/>
    <mergeCell ref="B10:DI10"/>
    <mergeCell ref="R11:CL11"/>
    <mergeCell ref="CM11:DH12"/>
    <mergeCell ref="AW13:CY13"/>
    <mergeCell ref="CZ13:DH13"/>
    <mergeCell ref="DJ13:EF13"/>
    <mergeCell ref="DJ16:EF16"/>
    <mergeCell ref="DJ17:EF17"/>
    <mergeCell ref="CN20:CZ20"/>
    <mergeCell ref="DA20:DN20"/>
    <mergeCell ref="CN21:CZ21"/>
    <mergeCell ref="DA21:DN21"/>
    <mergeCell ref="AR30:BQ30"/>
    <mergeCell ref="BT30:CM30"/>
    <mergeCell ref="CP30:EA30"/>
    <mergeCell ref="AR31:BQ31"/>
    <mergeCell ref="BT31:CM31"/>
    <mergeCell ref="CP31:EA31"/>
    <mergeCell ref="AJ36:AL36"/>
    <mergeCell ref="AO36:BD36"/>
    <mergeCell ref="BF36:BL36"/>
    <mergeCell ref="BA38:EI38"/>
    <mergeCell ref="AR32:BQ32"/>
    <mergeCell ref="BT32:CM32"/>
    <mergeCell ref="CP32:EA32"/>
    <mergeCell ref="AR33:BQ33"/>
    <mergeCell ref="BT33:CM33"/>
    <mergeCell ref="CP33:EA33"/>
  </mergeCells>
  <pageMargins left="0.55118110236220474" right="0.39370078740157483" top="0.59055118110236227" bottom="0.39370078740157483" header="0.19685039370078741" footer="0.19685039370078741"/>
  <pageSetup paperSize="9" orientation="landscape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>
  <sheetPr codeName="Лист26"/>
  <dimension ref="A1:EI38"/>
  <sheetViews>
    <sheetView view="pageBreakPreview" zoomScaleNormal="100" workbookViewId="0">
      <selection activeCell="Q18" sqref="Q18"/>
    </sheetView>
  </sheetViews>
  <sheetFormatPr defaultRowHeight="12.75"/>
  <cols>
    <col min="1" max="73" width="1" style="437" customWidth="1"/>
    <col min="74" max="74" width="1.28515625" style="437" customWidth="1"/>
    <col min="75" max="77" width="1" style="437" customWidth="1"/>
    <col min="78" max="78" width="1.140625" style="437" customWidth="1"/>
    <col min="79" max="85" width="1" style="437" customWidth="1"/>
    <col min="86" max="87" width="1.28515625" style="437" customWidth="1"/>
    <col min="88" max="98" width="1" style="437" customWidth="1"/>
    <col min="99" max="99" width="1.42578125" style="437" customWidth="1"/>
    <col min="100" max="106" width="1" style="437" customWidth="1"/>
    <col min="107" max="108" width="0.7109375" style="437" customWidth="1"/>
    <col min="109" max="109" width="1" style="437" customWidth="1"/>
    <col min="110" max="110" width="1.28515625" style="437" customWidth="1"/>
    <col min="111" max="113" width="1" style="437" customWidth="1"/>
    <col min="114" max="114" width="4.28515625" style="437" customWidth="1"/>
    <col min="115" max="115" width="1" style="437" customWidth="1"/>
    <col min="116" max="116" width="0.7109375" style="437" customWidth="1"/>
    <col min="117" max="117" width="0.85546875" style="437" customWidth="1"/>
    <col min="118" max="121" width="1" style="437" customWidth="1"/>
    <col min="122" max="122" width="0.7109375" style="437" customWidth="1"/>
    <col min="123" max="130" width="1" style="437" customWidth="1"/>
    <col min="131" max="131" width="0.7109375" style="437" customWidth="1"/>
    <col min="132" max="139" width="1" style="437" customWidth="1"/>
    <col min="140" max="16384" width="9.140625" style="437"/>
  </cols>
  <sheetData>
    <row r="1" spans="1:139">
      <c r="A1" s="1201" t="s">
        <v>599</v>
      </c>
      <c r="B1" s="1201"/>
      <c r="C1" s="1201"/>
      <c r="D1" s="1201"/>
      <c r="E1" s="1201"/>
      <c r="F1" s="1201"/>
      <c r="G1" s="1201"/>
      <c r="H1" s="1201"/>
      <c r="I1" s="1201"/>
      <c r="J1" s="1201"/>
      <c r="K1" s="1201"/>
      <c r="L1" s="1201"/>
      <c r="M1" s="1201"/>
      <c r="N1" s="1201"/>
      <c r="O1" s="1201"/>
      <c r="P1" s="1201"/>
      <c r="Q1" s="1201"/>
      <c r="R1" s="1201"/>
    </row>
    <row r="2" spans="1:139">
      <c r="A2" s="1201"/>
      <c r="B2" s="1201"/>
      <c r="C2" s="1201"/>
      <c r="D2" s="1201"/>
      <c r="E2" s="1201"/>
      <c r="F2" s="1201"/>
      <c r="G2" s="1201"/>
      <c r="H2" s="1201"/>
      <c r="I2" s="1201"/>
      <c r="J2" s="1201"/>
      <c r="K2" s="1201"/>
      <c r="L2" s="1201"/>
      <c r="M2" s="1201"/>
      <c r="N2" s="1201"/>
      <c r="O2" s="1201"/>
      <c r="P2" s="1201"/>
      <c r="Q2" s="1201"/>
      <c r="R2" s="1201"/>
      <c r="S2" s="662"/>
      <c r="T2" s="662"/>
      <c r="U2" s="662"/>
      <c r="V2" s="662"/>
      <c r="W2" s="662"/>
      <c r="X2" s="662"/>
      <c r="Y2" s="662"/>
      <c r="Z2" s="662"/>
      <c r="AA2" s="662"/>
      <c r="AB2" s="662"/>
      <c r="AC2" s="662"/>
      <c r="AD2" s="662"/>
      <c r="AE2" s="662"/>
      <c r="AF2" s="662"/>
      <c r="AG2" s="662"/>
      <c r="AH2" s="662"/>
      <c r="AI2" s="662"/>
      <c r="AJ2" s="662"/>
      <c r="AK2" s="662"/>
      <c r="AL2" s="662"/>
      <c r="AM2" s="662"/>
      <c r="AN2" s="662"/>
      <c r="AO2" s="662"/>
      <c r="AP2" s="662"/>
      <c r="AQ2" s="662"/>
      <c r="AR2" s="662"/>
      <c r="AS2" s="662"/>
      <c r="AT2" s="662"/>
      <c r="AU2" s="662"/>
      <c r="AV2" s="662"/>
      <c r="AW2" s="662"/>
      <c r="AX2" s="662"/>
      <c r="AY2" s="662"/>
      <c r="AZ2" s="662"/>
      <c r="BA2" s="662"/>
      <c r="BB2" s="662"/>
      <c r="BC2" s="662"/>
      <c r="BD2" s="662"/>
      <c r="BE2" s="662"/>
      <c r="BF2" s="662"/>
      <c r="BG2" s="662"/>
      <c r="BH2" s="662"/>
      <c r="BI2" s="662"/>
      <c r="BJ2" s="662"/>
      <c r="BK2" s="662"/>
      <c r="BL2" s="662"/>
      <c r="BM2" s="662"/>
      <c r="BN2" s="662"/>
      <c r="BO2" s="662"/>
      <c r="BP2" s="662"/>
      <c r="BQ2" s="662"/>
      <c r="BR2" s="662"/>
      <c r="BS2" s="662"/>
      <c r="BT2" s="662"/>
      <c r="BU2" s="662"/>
      <c r="BV2" s="662"/>
      <c r="BW2" s="662"/>
      <c r="BX2" s="662"/>
      <c r="BY2" s="662"/>
      <c r="BZ2" s="662"/>
      <c r="CA2" s="662"/>
      <c r="CB2" s="662"/>
      <c r="CC2" s="662"/>
      <c r="CD2" s="662"/>
      <c r="CE2" s="662"/>
      <c r="CF2" s="662"/>
      <c r="CG2" s="662"/>
      <c r="CH2" s="662"/>
      <c r="CI2" s="662"/>
      <c r="CJ2" s="662"/>
      <c r="CK2" s="662"/>
      <c r="CL2" s="662"/>
      <c r="CM2" s="662"/>
      <c r="CN2" s="662"/>
      <c r="CO2" s="662"/>
      <c r="CP2" s="662"/>
      <c r="CQ2" s="662"/>
      <c r="CR2" s="662"/>
      <c r="CS2" s="662"/>
      <c r="CT2" s="662"/>
      <c r="CU2" s="662"/>
      <c r="CV2" s="662" t="s">
        <v>535</v>
      </c>
      <c r="CW2" s="662"/>
      <c r="CX2" s="662"/>
      <c r="CY2" s="662"/>
      <c r="CZ2" s="662"/>
      <c r="DA2" s="662"/>
      <c r="DB2" s="662"/>
      <c r="DC2" s="662"/>
      <c r="DD2" s="662"/>
      <c r="DE2" s="662"/>
      <c r="DF2" s="662"/>
      <c r="DG2" s="662"/>
      <c r="DH2" s="662"/>
      <c r="DI2" s="662"/>
      <c r="DJ2" s="662"/>
      <c r="DK2" s="662"/>
      <c r="DL2" s="662"/>
      <c r="DM2" s="662"/>
      <c r="DN2" s="662"/>
      <c r="DO2" s="662"/>
      <c r="DP2" s="662"/>
      <c r="DQ2" s="662"/>
      <c r="DR2" s="662"/>
      <c r="DS2" s="662"/>
      <c r="DT2" s="662"/>
      <c r="DU2" s="662"/>
      <c r="DV2" s="662"/>
      <c r="DW2" s="662"/>
      <c r="DX2" s="662"/>
      <c r="DY2" s="662"/>
      <c r="DZ2" s="662"/>
      <c r="EA2" s="662"/>
      <c r="EB2" s="662"/>
      <c r="EC2" s="662"/>
      <c r="ED2" s="662"/>
      <c r="EE2" s="662"/>
      <c r="EF2" s="662"/>
      <c r="EG2" s="662"/>
      <c r="EH2" s="662"/>
      <c r="EI2" s="662"/>
    </row>
    <row r="3" spans="1:139">
      <c r="A3" s="1201"/>
      <c r="B3" s="1201"/>
      <c r="C3" s="1201"/>
      <c r="D3" s="1201"/>
      <c r="E3" s="1201"/>
      <c r="F3" s="1201"/>
      <c r="G3" s="1201"/>
      <c r="H3" s="1201"/>
      <c r="I3" s="1201"/>
      <c r="J3" s="1201"/>
      <c r="K3" s="1201"/>
      <c r="L3" s="1201"/>
      <c r="M3" s="1201"/>
      <c r="N3" s="1201"/>
      <c r="O3" s="1201"/>
      <c r="P3" s="1201"/>
      <c r="Q3" s="1201"/>
      <c r="R3" s="1201"/>
      <c r="S3" s="662"/>
      <c r="T3" s="662"/>
      <c r="U3" s="662"/>
      <c r="V3" s="662"/>
      <c r="W3" s="662"/>
      <c r="X3" s="662"/>
      <c r="Y3" s="662"/>
      <c r="Z3" s="662"/>
      <c r="AA3" s="662"/>
      <c r="AB3" s="662"/>
      <c r="AC3" s="662"/>
      <c r="AD3" s="662"/>
      <c r="AE3" s="662"/>
      <c r="AF3" s="662"/>
      <c r="AG3" s="662"/>
      <c r="AH3" s="662"/>
      <c r="AI3" s="662"/>
      <c r="AJ3" s="662"/>
      <c r="AK3" s="662"/>
      <c r="AL3" s="662"/>
      <c r="AM3" s="662"/>
      <c r="AN3" s="662"/>
      <c r="AO3" s="662"/>
      <c r="AP3" s="662"/>
      <c r="AQ3" s="662"/>
      <c r="AR3" s="662"/>
      <c r="AS3" s="662"/>
      <c r="AT3" s="662"/>
      <c r="AU3" s="662"/>
      <c r="AV3" s="662"/>
      <c r="AW3" s="662"/>
      <c r="AX3" s="662"/>
      <c r="AY3" s="662"/>
      <c r="AZ3" s="662"/>
      <c r="BA3" s="662"/>
      <c r="BB3" s="662"/>
      <c r="BC3" s="662"/>
      <c r="BD3" s="662"/>
      <c r="BE3" s="662"/>
      <c r="BF3" s="662"/>
      <c r="BG3" s="662"/>
      <c r="BH3" s="662"/>
      <c r="BI3" s="662"/>
      <c r="BJ3" s="662"/>
      <c r="BK3" s="662"/>
      <c r="BL3" s="662"/>
      <c r="BM3" s="662"/>
      <c r="BN3" s="662"/>
      <c r="BO3" s="662"/>
      <c r="BP3" s="662"/>
      <c r="BQ3" s="662"/>
      <c r="BR3" s="662"/>
      <c r="BS3" s="662"/>
      <c r="BT3" s="662"/>
      <c r="BU3" s="662"/>
      <c r="BV3" s="662"/>
      <c r="BW3" s="662"/>
      <c r="BX3" s="662"/>
      <c r="BY3" s="662"/>
      <c r="BZ3" s="662"/>
      <c r="CA3" s="662"/>
      <c r="CB3" s="662"/>
      <c r="CC3" s="662"/>
      <c r="CD3" s="662"/>
      <c r="CE3" s="662"/>
      <c r="CF3" s="662"/>
      <c r="CG3" s="662"/>
      <c r="CH3" s="662"/>
      <c r="CI3" s="662"/>
      <c r="CJ3" s="662"/>
      <c r="CK3" s="662"/>
      <c r="CL3" s="662"/>
      <c r="CM3" s="662"/>
      <c r="CN3" s="662"/>
      <c r="CO3" s="662"/>
      <c r="CP3" s="662"/>
      <c r="CQ3" s="662"/>
      <c r="CR3" s="662"/>
      <c r="CS3" s="662"/>
      <c r="CT3" s="662"/>
      <c r="CU3" s="662"/>
      <c r="CV3" s="662" t="s">
        <v>536</v>
      </c>
      <c r="CW3" s="662"/>
      <c r="CX3" s="662"/>
      <c r="CY3" s="662"/>
      <c r="CZ3" s="662"/>
      <c r="DA3" s="662"/>
      <c r="DB3" s="662"/>
      <c r="DC3" s="662"/>
      <c r="DD3" s="662"/>
      <c r="DE3" s="662"/>
      <c r="DF3" s="662"/>
      <c r="DG3" s="662"/>
      <c r="DH3" s="662"/>
      <c r="DI3" s="662"/>
      <c r="DJ3" s="662"/>
      <c r="DK3" s="662"/>
      <c r="DL3" s="662"/>
      <c r="DM3" s="662"/>
      <c r="DN3" s="662"/>
      <c r="DO3" s="662"/>
      <c r="DP3" s="662"/>
      <c r="DQ3" s="662"/>
      <c r="DR3" s="662"/>
      <c r="DS3" s="662"/>
      <c r="DT3" s="662"/>
      <c r="DU3" s="662"/>
      <c r="DV3" s="662"/>
      <c r="DW3" s="662"/>
      <c r="DX3" s="662"/>
      <c r="DY3" s="662"/>
      <c r="DZ3" s="662"/>
      <c r="EA3" s="662"/>
      <c r="EB3" s="662"/>
      <c r="EC3" s="662"/>
      <c r="ED3" s="662"/>
      <c r="EE3" s="662"/>
      <c r="EF3" s="662"/>
      <c r="EG3" s="662"/>
      <c r="EH3" s="662"/>
      <c r="EI3" s="662"/>
    </row>
    <row r="4" spans="1:139">
      <c r="A4" s="662"/>
      <c r="B4" s="662"/>
      <c r="C4" s="662"/>
      <c r="D4" s="662"/>
      <c r="E4" s="662"/>
      <c r="F4" s="662"/>
      <c r="G4" s="662"/>
      <c r="H4" s="662"/>
      <c r="I4" s="662"/>
      <c r="J4" s="662"/>
      <c r="K4" s="662"/>
      <c r="L4" s="662"/>
      <c r="M4" s="662"/>
      <c r="N4" s="662"/>
      <c r="O4" s="662"/>
      <c r="P4" s="662"/>
      <c r="Q4" s="662"/>
      <c r="R4" s="662"/>
      <c r="S4" s="662"/>
      <c r="T4" s="662"/>
      <c r="U4" s="662"/>
      <c r="V4" s="662"/>
      <c r="W4" s="662"/>
      <c r="X4" s="662"/>
      <c r="Y4" s="662"/>
      <c r="Z4" s="662"/>
      <c r="AA4" s="662"/>
      <c r="AB4" s="662"/>
      <c r="AC4" s="662"/>
      <c r="AD4" s="662"/>
      <c r="AE4" s="662"/>
      <c r="AF4" s="662"/>
      <c r="AG4" s="662"/>
      <c r="AH4" s="662"/>
      <c r="AI4" s="662"/>
      <c r="AJ4" s="662"/>
      <c r="AK4" s="662"/>
      <c r="AL4" s="662"/>
      <c r="AM4" s="662"/>
      <c r="AN4" s="662"/>
      <c r="AO4" s="662"/>
      <c r="AP4" s="662"/>
      <c r="AQ4" s="662"/>
      <c r="AR4" s="662"/>
      <c r="AS4" s="662"/>
      <c r="AT4" s="662"/>
      <c r="AU4" s="662"/>
      <c r="AV4" s="662"/>
      <c r="AW4" s="662"/>
      <c r="AX4" s="662"/>
      <c r="AY4" s="662"/>
      <c r="AZ4" s="662"/>
      <c r="BA4" s="662"/>
      <c r="BB4" s="662"/>
      <c r="BC4" s="662"/>
      <c r="BD4" s="662"/>
      <c r="BE4" s="662"/>
      <c r="BF4" s="662"/>
      <c r="BG4" s="662"/>
      <c r="BH4" s="662"/>
      <c r="BI4" s="662"/>
      <c r="BJ4" s="662"/>
      <c r="BK4" s="662"/>
      <c r="BL4" s="662"/>
      <c r="BM4" s="662"/>
      <c r="BN4" s="662"/>
      <c r="BO4" s="662"/>
      <c r="BP4" s="662"/>
      <c r="BQ4" s="662"/>
      <c r="BR4" s="662"/>
      <c r="BS4" s="662"/>
      <c r="BT4" s="662"/>
      <c r="BU4" s="662"/>
      <c r="BV4" s="662"/>
      <c r="BW4" s="662"/>
      <c r="BX4" s="662"/>
      <c r="BY4" s="662"/>
      <c r="BZ4" s="662"/>
      <c r="CA4" s="662"/>
      <c r="CB4" s="662"/>
      <c r="CC4" s="662"/>
      <c r="CD4" s="662"/>
      <c r="CE4" s="662"/>
      <c r="CF4" s="662"/>
      <c r="CG4" s="662"/>
      <c r="CH4" s="662"/>
      <c r="CI4" s="662"/>
      <c r="CJ4" s="662"/>
      <c r="CK4" s="662"/>
      <c r="CL4" s="662"/>
      <c r="CM4" s="662"/>
      <c r="CN4" s="662"/>
      <c r="CO4" s="662"/>
      <c r="CP4" s="662"/>
      <c r="CQ4" s="662"/>
      <c r="CR4" s="662"/>
      <c r="CS4" s="662"/>
      <c r="CT4" s="662"/>
      <c r="CU4" s="662"/>
      <c r="CV4" s="662" t="s">
        <v>400</v>
      </c>
      <c r="CW4" s="662"/>
      <c r="CX4" s="662"/>
      <c r="CY4" s="662"/>
      <c r="CZ4" s="662"/>
      <c r="DA4" s="662"/>
      <c r="DB4" s="662"/>
      <c r="DC4" s="662"/>
      <c r="DD4" s="662"/>
      <c r="DE4" s="662"/>
      <c r="DF4" s="662"/>
      <c r="DG4" s="662"/>
      <c r="DH4" s="662"/>
      <c r="DI4" s="662"/>
      <c r="DJ4" s="662"/>
      <c r="DK4" s="662"/>
      <c r="DL4" s="662"/>
      <c r="DM4" s="662"/>
      <c r="DN4" s="662"/>
      <c r="DO4" s="662"/>
      <c r="DP4" s="662"/>
      <c r="DQ4" s="663"/>
      <c r="DR4" s="663"/>
      <c r="DS4" s="663"/>
      <c r="DT4" s="663"/>
      <c r="DU4" s="663"/>
      <c r="DV4" s="663"/>
      <c r="DW4" s="662"/>
      <c r="DX4" s="662"/>
      <c r="DY4" s="662"/>
      <c r="DZ4" s="662"/>
      <c r="EA4" s="662"/>
      <c r="EB4" s="662"/>
      <c r="EC4" s="662"/>
      <c r="ED4" s="662"/>
      <c r="EE4" s="662"/>
      <c r="EF4" s="662"/>
      <c r="EG4" s="662"/>
      <c r="EH4" s="662"/>
      <c r="EI4" s="662"/>
    </row>
    <row r="5" spans="1:139" ht="3.95" customHeight="1">
      <c r="DQ5" s="440"/>
      <c r="DR5" s="440"/>
      <c r="DS5" s="440"/>
      <c r="DT5" s="440"/>
      <c r="DU5" s="440"/>
      <c r="DV5" s="440"/>
    </row>
    <row r="6" spans="1:139" ht="15" customHeight="1" thickBot="1">
      <c r="DJ6" s="1676" t="s">
        <v>55</v>
      </c>
      <c r="DK6" s="1677"/>
      <c r="DL6" s="1677"/>
      <c r="DM6" s="1677"/>
      <c r="DN6" s="1677"/>
      <c r="DO6" s="1677"/>
      <c r="DP6" s="1677"/>
      <c r="DQ6" s="1677"/>
      <c r="DR6" s="1677"/>
      <c r="DS6" s="1677"/>
      <c r="DT6" s="1677"/>
      <c r="DU6" s="1677"/>
      <c r="DV6" s="1677"/>
      <c r="DW6" s="1677"/>
      <c r="DX6" s="1677"/>
      <c r="DY6" s="1677"/>
      <c r="DZ6" s="1677"/>
      <c r="EA6" s="1677"/>
      <c r="EB6" s="1677"/>
      <c r="EC6" s="1677"/>
      <c r="ED6" s="1677"/>
      <c r="EE6" s="1677"/>
      <c r="EF6" s="1678"/>
      <c r="EG6" s="745"/>
      <c r="EH6" s="440"/>
      <c r="EI6" s="440"/>
    </row>
    <row r="7" spans="1:139" ht="21.2" customHeight="1">
      <c r="B7" s="662"/>
      <c r="C7" s="662"/>
      <c r="D7" s="662"/>
      <c r="E7" s="662"/>
      <c r="F7" s="662"/>
      <c r="G7" s="662"/>
      <c r="H7" s="662"/>
      <c r="I7" s="662"/>
      <c r="J7" s="662"/>
      <c r="K7" s="662"/>
      <c r="L7" s="662"/>
      <c r="M7" s="662"/>
      <c r="N7" s="662"/>
      <c r="O7" s="662"/>
      <c r="P7" s="662"/>
      <c r="Q7" s="662"/>
      <c r="R7" s="662"/>
      <c r="S7" s="662"/>
      <c r="T7" s="662"/>
      <c r="U7" s="662"/>
      <c r="V7" s="662"/>
      <c r="W7" s="662"/>
      <c r="X7" s="662"/>
      <c r="Y7" s="662"/>
      <c r="Z7" s="662"/>
      <c r="AA7" s="662"/>
      <c r="AB7" s="662"/>
      <c r="AC7" s="662"/>
      <c r="AD7" s="662"/>
      <c r="AE7" s="662"/>
      <c r="AF7" s="662"/>
      <c r="AG7" s="662"/>
      <c r="AH7" s="662"/>
      <c r="AI7" s="662"/>
      <c r="AJ7" s="662"/>
      <c r="AK7" s="662"/>
      <c r="AL7" s="662"/>
      <c r="AM7" s="662"/>
      <c r="AN7" s="662"/>
      <c r="AO7" s="662"/>
      <c r="AP7" s="662"/>
      <c r="AQ7" s="662"/>
      <c r="AR7" s="662"/>
      <c r="AS7" s="662"/>
      <c r="AT7" s="662"/>
      <c r="AU7" s="662"/>
      <c r="AV7" s="662"/>
      <c r="AW7" s="662"/>
      <c r="AX7" s="662"/>
      <c r="AY7" s="662"/>
      <c r="AZ7" s="662"/>
      <c r="BA7" s="662"/>
      <c r="BB7" s="662"/>
      <c r="BC7" s="662"/>
      <c r="BD7" s="662"/>
      <c r="BE7" s="662"/>
      <c r="BF7" s="662"/>
      <c r="BG7" s="662"/>
      <c r="BH7" s="662"/>
      <c r="BI7" s="662"/>
      <c r="BJ7" s="662"/>
      <c r="BK7" s="662"/>
      <c r="BL7" s="662"/>
      <c r="BM7" s="662"/>
      <c r="BN7" s="662"/>
      <c r="BO7" s="662"/>
      <c r="BP7" s="662"/>
      <c r="BQ7" s="662"/>
      <c r="BR7" s="662"/>
      <c r="BS7" s="662"/>
      <c r="BT7" s="662"/>
      <c r="BU7" s="662"/>
      <c r="BV7" s="662"/>
      <c r="BW7" s="662"/>
      <c r="BX7" s="662"/>
      <c r="BY7" s="662"/>
      <c r="BZ7" s="662"/>
      <c r="CA7" s="662"/>
      <c r="CB7" s="662"/>
      <c r="CC7" s="662"/>
      <c r="CD7" s="662"/>
      <c r="CE7" s="662"/>
      <c r="CF7" s="662"/>
      <c r="CG7" s="662"/>
      <c r="CH7" s="662"/>
      <c r="CI7" s="662"/>
      <c r="CJ7" s="662"/>
      <c r="CK7" s="662"/>
      <c r="CL7" s="662"/>
      <c r="CM7" s="662"/>
      <c r="CN7" s="662"/>
      <c r="CO7" s="662"/>
      <c r="CP7" s="662"/>
      <c r="CQ7" s="662"/>
      <c r="CR7" s="662"/>
      <c r="CS7" s="662"/>
      <c r="CT7" s="662"/>
      <c r="CU7" s="662"/>
      <c r="CV7" s="662"/>
      <c r="CW7" s="662"/>
      <c r="CX7" s="662"/>
      <c r="CY7" s="662"/>
      <c r="CZ7" s="662"/>
      <c r="DA7" s="662"/>
      <c r="DB7" s="662"/>
      <c r="DC7" s="662"/>
      <c r="DD7" s="662"/>
      <c r="DE7" s="662"/>
      <c r="DF7" s="662"/>
      <c r="DG7" s="662"/>
      <c r="DH7" s="664" t="s">
        <v>56</v>
      </c>
      <c r="DI7" s="662"/>
      <c r="DJ7" s="1688" t="s">
        <v>537</v>
      </c>
      <c r="DK7" s="1689"/>
      <c r="DL7" s="1689"/>
      <c r="DM7" s="1689"/>
      <c r="DN7" s="1689"/>
      <c r="DO7" s="1689"/>
      <c r="DP7" s="1689"/>
      <c r="DQ7" s="1689"/>
      <c r="DR7" s="1689"/>
      <c r="DS7" s="1689"/>
      <c r="DT7" s="1689"/>
      <c r="DU7" s="1689"/>
      <c r="DV7" s="1689"/>
      <c r="DW7" s="1689"/>
      <c r="DX7" s="1689"/>
      <c r="DY7" s="1689"/>
      <c r="DZ7" s="1689"/>
      <c r="EA7" s="1689"/>
      <c r="EB7" s="1689"/>
      <c r="EC7" s="1689"/>
      <c r="ED7" s="1689"/>
      <c r="EE7" s="1689"/>
      <c r="EF7" s="1690"/>
    </row>
    <row r="8" spans="1:139" ht="21.2" customHeight="1">
      <c r="B8" s="1679" t="s">
        <v>35</v>
      </c>
      <c r="C8" s="1679"/>
      <c r="D8" s="1679"/>
      <c r="E8" s="1679"/>
      <c r="F8" s="1679"/>
      <c r="G8" s="1679"/>
      <c r="H8" s="1679"/>
      <c r="I8" s="1679"/>
      <c r="J8" s="1679"/>
      <c r="K8" s="1679"/>
      <c r="L8" s="1679"/>
      <c r="M8" s="1679"/>
      <c r="N8" s="1679"/>
      <c r="O8" s="1679"/>
      <c r="P8" s="1679"/>
      <c r="Q8" s="1679"/>
      <c r="R8" s="1679"/>
      <c r="S8" s="1679"/>
      <c r="T8" s="1679"/>
      <c r="U8" s="1679"/>
      <c r="V8" s="1679"/>
      <c r="W8" s="1679"/>
      <c r="X8" s="1679"/>
      <c r="Y8" s="1679"/>
      <c r="Z8" s="1679"/>
      <c r="AA8" s="1679"/>
      <c r="AB8" s="1679"/>
      <c r="AC8" s="1679"/>
      <c r="AD8" s="1679"/>
      <c r="AE8" s="1679"/>
      <c r="AF8" s="1679"/>
      <c r="AG8" s="1679"/>
      <c r="AH8" s="1679"/>
      <c r="AI8" s="1679"/>
      <c r="AJ8" s="1679"/>
      <c r="AK8" s="1679"/>
      <c r="AL8" s="1679"/>
      <c r="AM8" s="1679"/>
      <c r="AN8" s="1679"/>
      <c r="AO8" s="1679"/>
      <c r="AP8" s="1679"/>
      <c r="AQ8" s="1679"/>
      <c r="AR8" s="1679"/>
      <c r="AS8" s="1679"/>
      <c r="AT8" s="1679"/>
      <c r="AU8" s="1679"/>
      <c r="AV8" s="1679"/>
      <c r="AW8" s="1679"/>
      <c r="AX8" s="1679"/>
      <c r="AY8" s="1679"/>
      <c r="AZ8" s="1679"/>
      <c r="BA8" s="1679"/>
      <c r="BB8" s="1679"/>
      <c r="BC8" s="1679"/>
      <c r="BD8" s="1679"/>
      <c r="BE8" s="1679"/>
      <c r="BF8" s="1679"/>
      <c r="BG8" s="1679"/>
      <c r="BH8" s="1679"/>
      <c r="BI8" s="1679"/>
      <c r="BJ8" s="1679"/>
      <c r="BK8" s="1679"/>
      <c r="BL8" s="1679"/>
      <c r="BM8" s="1679"/>
      <c r="BN8" s="1679"/>
      <c r="BO8" s="1679"/>
      <c r="BP8" s="1679"/>
      <c r="BQ8" s="1679"/>
      <c r="BR8" s="1679"/>
      <c r="BS8" s="1679"/>
      <c r="BT8" s="1679"/>
      <c r="BU8" s="1679"/>
      <c r="BV8" s="1679"/>
      <c r="BW8" s="1679"/>
      <c r="BX8" s="1679"/>
      <c r="BY8" s="1679"/>
      <c r="BZ8" s="1679"/>
      <c r="CA8" s="1679"/>
      <c r="CB8" s="1679"/>
      <c r="CC8" s="1679"/>
      <c r="CD8" s="1679"/>
      <c r="CE8" s="1679"/>
      <c r="CF8" s="1679"/>
      <c r="CG8" s="1679"/>
      <c r="CH8" s="1679"/>
      <c r="CI8" s="1679"/>
      <c r="CJ8" s="1679"/>
      <c r="CK8" s="1679"/>
      <c r="CL8" s="1679"/>
      <c r="CM8" s="1679"/>
      <c r="CN8" s="1679"/>
      <c r="CO8" s="1679"/>
      <c r="CP8" s="1679"/>
      <c r="CQ8" s="1679"/>
      <c r="CR8" s="1679"/>
      <c r="CS8" s="1679"/>
      <c r="CT8" s="1679"/>
      <c r="CU8" s="1679"/>
      <c r="CV8" s="1679"/>
      <c r="CW8" s="663"/>
      <c r="CX8" s="663"/>
      <c r="CY8" s="662"/>
      <c r="CZ8" s="662"/>
      <c r="DA8" s="662"/>
      <c r="DB8" s="662"/>
      <c r="DC8" s="662"/>
      <c r="DD8" s="662"/>
      <c r="DE8" s="662"/>
      <c r="DF8" s="662"/>
      <c r="DG8" s="662"/>
      <c r="DH8" s="664" t="s">
        <v>57</v>
      </c>
      <c r="DI8" s="665"/>
      <c r="DJ8" s="1654" t="s">
        <v>34</v>
      </c>
      <c r="DK8" s="1655"/>
      <c r="DL8" s="1655"/>
      <c r="DM8" s="1655"/>
      <c r="DN8" s="1655"/>
      <c r="DO8" s="1655"/>
      <c r="DP8" s="1655"/>
      <c r="DQ8" s="1655"/>
      <c r="DR8" s="1655"/>
      <c r="DS8" s="1655"/>
      <c r="DT8" s="1655"/>
      <c r="DU8" s="1655"/>
      <c r="DV8" s="1655"/>
      <c r="DW8" s="1655"/>
      <c r="DX8" s="1655"/>
      <c r="DY8" s="1655"/>
      <c r="DZ8" s="1655"/>
      <c r="EA8" s="1655"/>
      <c r="EB8" s="1655"/>
      <c r="EC8" s="1655"/>
      <c r="ED8" s="1655"/>
      <c r="EE8" s="1655"/>
      <c r="EF8" s="1656"/>
    </row>
    <row r="9" spans="1:139" ht="9" customHeight="1">
      <c r="B9" s="662"/>
      <c r="C9" s="662"/>
      <c r="D9" s="662"/>
      <c r="E9" s="662"/>
      <c r="F9" s="662"/>
      <c r="G9" s="662"/>
      <c r="H9" s="662"/>
      <c r="I9" s="662"/>
      <c r="J9" s="662"/>
      <c r="K9" s="662"/>
      <c r="L9" s="662"/>
      <c r="M9" s="662"/>
      <c r="N9" s="662"/>
      <c r="O9" s="662"/>
      <c r="P9" s="662"/>
      <c r="Q9" s="662"/>
      <c r="R9" s="1680" t="s">
        <v>58</v>
      </c>
      <c r="S9" s="1680"/>
      <c r="T9" s="1680"/>
      <c r="U9" s="1680"/>
      <c r="V9" s="1680"/>
      <c r="W9" s="1680"/>
      <c r="X9" s="1680"/>
      <c r="Y9" s="1680"/>
      <c r="Z9" s="1680"/>
      <c r="AA9" s="1680"/>
      <c r="AB9" s="1680"/>
      <c r="AC9" s="1680"/>
      <c r="AD9" s="1680"/>
      <c r="AE9" s="1680"/>
      <c r="AF9" s="1680"/>
      <c r="AG9" s="1680"/>
      <c r="AH9" s="1680"/>
      <c r="AI9" s="1680"/>
      <c r="AJ9" s="1680"/>
      <c r="AK9" s="1680"/>
      <c r="AL9" s="1680"/>
      <c r="AM9" s="1680"/>
      <c r="AN9" s="1680"/>
      <c r="AO9" s="1680"/>
      <c r="AP9" s="1680"/>
      <c r="AQ9" s="1680"/>
      <c r="AR9" s="1680"/>
      <c r="AS9" s="1680"/>
      <c r="AT9" s="1680"/>
      <c r="AU9" s="1680"/>
      <c r="AV9" s="1680"/>
      <c r="AW9" s="1680"/>
      <c r="AX9" s="1680"/>
      <c r="AY9" s="1680"/>
      <c r="AZ9" s="1680"/>
      <c r="BA9" s="1680"/>
      <c r="BB9" s="1680"/>
      <c r="BC9" s="1680"/>
      <c r="BD9" s="1680"/>
      <c r="BE9" s="1680"/>
      <c r="BF9" s="1680"/>
      <c r="BG9" s="1680"/>
      <c r="BH9" s="1680"/>
      <c r="BI9" s="1680"/>
      <c r="BJ9" s="1680"/>
      <c r="BK9" s="1680"/>
      <c r="BL9" s="1680"/>
      <c r="BM9" s="1680"/>
      <c r="BN9" s="1680"/>
      <c r="BO9" s="1680"/>
      <c r="BP9" s="1680"/>
      <c r="BQ9" s="1680"/>
      <c r="BR9" s="1680"/>
      <c r="BS9" s="1680"/>
      <c r="BT9" s="1680"/>
      <c r="BU9" s="1680"/>
      <c r="BV9" s="1680"/>
      <c r="BW9" s="1680"/>
      <c r="BX9" s="1680"/>
      <c r="BY9" s="1680"/>
      <c r="BZ9" s="1680"/>
      <c r="CA9" s="1680"/>
      <c r="CB9" s="1680"/>
      <c r="CC9" s="1680"/>
      <c r="CD9" s="1680"/>
      <c r="CE9" s="1680"/>
      <c r="CF9" s="1680"/>
      <c r="CG9" s="1680"/>
      <c r="CH9" s="1680"/>
      <c r="CI9" s="1680"/>
      <c r="CJ9" s="1680"/>
      <c r="CK9" s="1680"/>
      <c r="CL9" s="1680"/>
      <c r="CM9" s="662"/>
      <c r="CN9" s="662"/>
      <c r="CO9" s="662"/>
      <c r="CP9" s="662"/>
      <c r="CQ9" s="662"/>
      <c r="CR9" s="662"/>
      <c r="CS9" s="662"/>
      <c r="CT9" s="662"/>
      <c r="CU9" s="662"/>
      <c r="CV9" s="662"/>
      <c r="CW9" s="662"/>
      <c r="CX9" s="662"/>
      <c r="CY9" s="662"/>
      <c r="CZ9" s="666"/>
      <c r="DA9" s="662"/>
      <c r="DB9" s="662"/>
      <c r="DC9" s="662"/>
      <c r="DD9" s="662"/>
      <c r="DE9" s="662"/>
      <c r="DF9" s="662"/>
      <c r="DG9" s="662"/>
      <c r="DH9" s="662"/>
      <c r="DI9" s="665"/>
      <c r="DJ9" s="749"/>
      <c r="DK9" s="750"/>
      <c r="DL9" s="750"/>
      <c r="DM9" s="750"/>
      <c r="DN9" s="750"/>
      <c r="DO9" s="750"/>
      <c r="DP9" s="750"/>
      <c r="DQ9" s="750"/>
      <c r="DR9" s="750"/>
      <c r="DS9" s="750"/>
      <c r="DT9" s="750"/>
      <c r="DU9" s="750"/>
      <c r="DV9" s="750"/>
      <c r="DW9" s="750"/>
      <c r="DX9" s="750"/>
      <c r="DY9" s="750"/>
      <c r="DZ9" s="750"/>
      <c r="EA9" s="750"/>
      <c r="EB9" s="750"/>
      <c r="EC9" s="750"/>
      <c r="ED9" s="750"/>
      <c r="EE9" s="750"/>
      <c r="EF9" s="751"/>
    </row>
    <row r="10" spans="1:139" ht="12.75" customHeight="1">
      <c r="B10" s="1681" t="s">
        <v>32</v>
      </c>
      <c r="C10" s="1681"/>
      <c r="D10" s="1681"/>
      <c r="E10" s="1681"/>
      <c r="F10" s="1681"/>
      <c r="G10" s="1681"/>
      <c r="H10" s="1681"/>
      <c r="I10" s="1681"/>
      <c r="J10" s="1681"/>
      <c r="K10" s="1681"/>
      <c r="L10" s="1681"/>
      <c r="M10" s="1681"/>
      <c r="N10" s="1681"/>
      <c r="O10" s="1681"/>
      <c r="P10" s="1681"/>
      <c r="Q10" s="1681"/>
      <c r="R10" s="1681"/>
      <c r="S10" s="1681"/>
      <c r="T10" s="1681"/>
      <c r="U10" s="1681"/>
      <c r="V10" s="1681"/>
      <c r="W10" s="1681"/>
      <c r="X10" s="1681"/>
      <c r="Y10" s="1681"/>
      <c r="Z10" s="1681"/>
      <c r="AA10" s="1681"/>
      <c r="AB10" s="1681"/>
      <c r="AC10" s="1681"/>
      <c r="AD10" s="1681"/>
      <c r="AE10" s="1681"/>
      <c r="AF10" s="1681"/>
      <c r="AG10" s="1681"/>
      <c r="AH10" s="1681"/>
      <c r="AI10" s="1681"/>
      <c r="AJ10" s="1681"/>
      <c r="AK10" s="1681"/>
      <c r="AL10" s="1681"/>
      <c r="AM10" s="1681"/>
      <c r="AN10" s="1681"/>
      <c r="AO10" s="1681"/>
      <c r="AP10" s="1681"/>
      <c r="AQ10" s="1681"/>
      <c r="AR10" s="1681"/>
      <c r="AS10" s="1681"/>
      <c r="AT10" s="1681"/>
      <c r="AU10" s="1681"/>
      <c r="AV10" s="1681"/>
      <c r="AW10" s="1681"/>
      <c r="AX10" s="1681"/>
      <c r="AY10" s="1681"/>
      <c r="AZ10" s="1681"/>
      <c r="BA10" s="1681"/>
      <c r="BB10" s="1681"/>
      <c r="BC10" s="1681"/>
      <c r="BD10" s="1681"/>
      <c r="BE10" s="1681"/>
      <c r="BF10" s="1681"/>
      <c r="BG10" s="1681"/>
      <c r="BH10" s="1681"/>
      <c r="BI10" s="1681"/>
      <c r="BJ10" s="1681"/>
      <c r="BK10" s="1681"/>
      <c r="BL10" s="1681"/>
      <c r="BM10" s="1681"/>
      <c r="BN10" s="1681"/>
      <c r="BO10" s="1681"/>
      <c r="BP10" s="1681"/>
      <c r="BQ10" s="1681"/>
      <c r="BR10" s="1681"/>
      <c r="BS10" s="1681"/>
      <c r="BT10" s="1681"/>
      <c r="BU10" s="1681"/>
      <c r="BV10" s="1681"/>
      <c r="BW10" s="1681"/>
      <c r="BX10" s="1681"/>
      <c r="BY10" s="1681"/>
      <c r="BZ10" s="1681"/>
      <c r="CA10" s="1681"/>
      <c r="CB10" s="1681"/>
      <c r="CC10" s="1681"/>
      <c r="CD10" s="1681"/>
      <c r="CE10" s="1681"/>
      <c r="CF10" s="1681"/>
      <c r="CG10" s="1681"/>
      <c r="CH10" s="1681"/>
      <c r="CI10" s="1681"/>
      <c r="CJ10" s="1681"/>
      <c r="CK10" s="1681"/>
      <c r="CL10" s="1681"/>
      <c r="CM10" s="1681"/>
      <c r="CN10" s="1681"/>
      <c r="CO10" s="1681"/>
      <c r="CP10" s="1681"/>
      <c r="CQ10" s="1681"/>
      <c r="CR10" s="1681"/>
      <c r="CS10" s="1681"/>
      <c r="CT10" s="1681"/>
      <c r="CU10" s="1681"/>
      <c r="CV10" s="1681"/>
      <c r="CW10" s="1681"/>
      <c r="CX10" s="1681"/>
      <c r="CY10" s="1681"/>
      <c r="CZ10" s="1681"/>
      <c r="DA10" s="1681"/>
      <c r="DB10" s="1681"/>
      <c r="DC10" s="1681"/>
      <c r="DD10" s="1681"/>
      <c r="DE10" s="1681"/>
      <c r="DF10" s="1681"/>
      <c r="DG10" s="1681"/>
      <c r="DH10" s="1681"/>
      <c r="DI10" s="1681"/>
      <c r="DJ10" s="746"/>
      <c r="DK10" s="747"/>
      <c r="DL10" s="747"/>
      <c r="DM10" s="747"/>
      <c r="DN10" s="747"/>
      <c r="DO10" s="747"/>
      <c r="DP10" s="747"/>
      <c r="DQ10" s="747"/>
      <c r="DR10" s="747"/>
      <c r="DS10" s="747"/>
      <c r="DT10" s="747"/>
      <c r="DU10" s="747"/>
      <c r="DV10" s="747"/>
      <c r="DW10" s="747"/>
      <c r="DX10" s="747"/>
      <c r="DY10" s="747"/>
      <c r="DZ10" s="747"/>
      <c r="EA10" s="747"/>
      <c r="EB10" s="747"/>
      <c r="EC10" s="747"/>
      <c r="ED10" s="747"/>
      <c r="EE10" s="747"/>
      <c r="EF10" s="748"/>
    </row>
    <row r="11" spans="1:139" ht="9" customHeight="1">
      <c r="B11" s="662"/>
      <c r="C11" s="662"/>
      <c r="D11" s="662"/>
      <c r="E11" s="662"/>
      <c r="F11" s="662"/>
      <c r="G11" s="662"/>
      <c r="H11" s="662"/>
      <c r="I11" s="662"/>
      <c r="J11" s="662"/>
      <c r="K11" s="662"/>
      <c r="L11" s="662"/>
      <c r="M11" s="662"/>
      <c r="N11" s="662"/>
      <c r="O11" s="662"/>
      <c r="P11" s="662"/>
      <c r="Q11" s="662"/>
      <c r="R11" s="1649" t="s">
        <v>59</v>
      </c>
      <c r="S11" s="1649"/>
      <c r="T11" s="1649"/>
      <c r="U11" s="1649"/>
      <c r="V11" s="1649"/>
      <c r="W11" s="1649"/>
      <c r="X11" s="1649"/>
      <c r="Y11" s="1649"/>
      <c r="Z11" s="1649"/>
      <c r="AA11" s="1649"/>
      <c r="AB11" s="1649"/>
      <c r="AC11" s="1649"/>
      <c r="AD11" s="1649"/>
      <c r="AE11" s="1649"/>
      <c r="AF11" s="1649"/>
      <c r="AG11" s="1649"/>
      <c r="AH11" s="1649"/>
      <c r="AI11" s="1649"/>
      <c r="AJ11" s="1649"/>
      <c r="AK11" s="1649"/>
      <c r="AL11" s="1649"/>
      <c r="AM11" s="1649"/>
      <c r="AN11" s="1649"/>
      <c r="AO11" s="1649"/>
      <c r="AP11" s="1649"/>
      <c r="AQ11" s="1649"/>
      <c r="AR11" s="1649"/>
      <c r="AS11" s="1649"/>
      <c r="AT11" s="1649"/>
      <c r="AU11" s="1649"/>
      <c r="AV11" s="1649"/>
      <c r="AW11" s="1649"/>
      <c r="AX11" s="1649"/>
      <c r="AY11" s="1649"/>
      <c r="AZ11" s="1649"/>
      <c r="BA11" s="1649"/>
      <c r="BB11" s="1649"/>
      <c r="BC11" s="1649"/>
      <c r="BD11" s="1649"/>
      <c r="BE11" s="1649"/>
      <c r="BF11" s="1649"/>
      <c r="BG11" s="1649"/>
      <c r="BH11" s="1649"/>
      <c r="BI11" s="1649"/>
      <c r="BJ11" s="1649"/>
      <c r="BK11" s="1649"/>
      <c r="BL11" s="1649"/>
      <c r="BM11" s="1649"/>
      <c r="BN11" s="1649"/>
      <c r="BO11" s="1649"/>
      <c r="BP11" s="1649"/>
      <c r="BQ11" s="1649"/>
      <c r="BR11" s="1649"/>
      <c r="BS11" s="1649"/>
      <c r="BT11" s="1649"/>
      <c r="BU11" s="1649"/>
      <c r="BV11" s="1649"/>
      <c r="BW11" s="1649"/>
      <c r="BX11" s="1649"/>
      <c r="BY11" s="1649"/>
      <c r="BZ11" s="1649"/>
      <c r="CA11" s="1649"/>
      <c r="CB11" s="1649"/>
      <c r="CC11" s="1649"/>
      <c r="CD11" s="1649"/>
      <c r="CE11" s="1649"/>
      <c r="CF11" s="1649"/>
      <c r="CG11" s="1649"/>
      <c r="CH11" s="1649"/>
      <c r="CI11" s="1649"/>
      <c r="CJ11" s="1649"/>
      <c r="CK11" s="1649"/>
      <c r="CL11" s="1649"/>
      <c r="CM11" s="1682" t="s">
        <v>60</v>
      </c>
      <c r="CN11" s="1682"/>
      <c r="CO11" s="1682"/>
      <c r="CP11" s="1682"/>
      <c r="CQ11" s="1682"/>
      <c r="CR11" s="1682"/>
      <c r="CS11" s="1682"/>
      <c r="CT11" s="1682"/>
      <c r="CU11" s="1682"/>
      <c r="CV11" s="1682"/>
      <c r="CW11" s="1682"/>
      <c r="CX11" s="1682"/>
      <c r="CY11" s="1682"/>
      <c r="CZ11" s="1682"/>
      <c r="DA11" s="1682"/>
      <c r="DB11" s="1682"/>
      <c r="DC11" s="1682"/>
      <c r="DD11" s="1682"/>
      <c r="DE11" s="1682"/>
      <c r="DF11" s="1682"/>
      <c r="DG11" s="1682"/>
      <c r="DH11" s="1682"/>
      <c r="DI11" s="667"/>
      <c r="DJ11" s="749"/>
      <c r="DK11" s="750"/>
      <c r="DL11" s="750"/>
      <c r="DM11" s="750"/>
      <c r="DN11" s="750"/>
      <c r="DO11" s="750"/>
      <c r="DP11" s="750"/>
      <c r="DQ11" s="750"/>
      <c r="DR11" s="750"/>
      <c r="DS11" s="750"/>
      <c r="DT11" s="750"/>
      <c r="DU11" s="750"/>
      <c r="DV11" s="750"/>
      <c r="DW11" s="750"/>
      <c r="DX11" s="750"/>
      <c r="DY11" s="750"/>
      <c r="DZ11" s="750"/>
      <c r="EA11" s="750"/>
      <c r="EB11" s="750"/>
      <c r="EC11" s="750"/>
      <c r="ED11" s="750"/>
      <c r="EE11" s="750"/>
      <c r="EF11" s="751"/>
    </row>
    <row r="12" spans="1:139" ht="11.25" customHeight="1">
      <c r="B12" s="662"/>
      <c r="C12" s="662"/>
      <c r="D12" s="662"/>
      <c r="E12" s="662"/>
      <c r="F12" s="662"/>
      <c r="G12" s="662"/>
      <c r="H12" s="662"/>
      <c r="I12" s="662"/>
      <c r="J12" s="662"/>
      <c r="K12" s="662"/>
      <c r="L12" s="662"/>
      <c r="M12" s="662"/>
      <c r="N12" s="662"/>
      <c r="O12" s="662"/>
      <c r="P12" s="662"/>
      <c r="Q12" s="662"/>
      <c r="R12" s="662"/>
      <c r="S12" s="662"/>
      <c r="T12" s="662"/>
      <c r="U12" s="662"/>
      <c r="V12" s="662"/>
      <c r="W12" s="662"/>
      <c r="X12" s="662"/>
      <c r="Y12" s="662"/>
      <c r="Z12" s="662"/>
      <c r="AA12" s="662"/>
      <c r="AB12" s="662"/>
      <c r="AC12" s="668"/>
      <c r="AD12" s="668"/>
      <c r="AE12" s="668"/>
      <c r="AF12" s="668"/>
      <c r="AG12" s="662"/>
      <c r="AH12" s="662"/>
      <c r="AI12" s="662"/>
      <c r="AJ12" s="662"/>
      <c r="AK12" s="662"/>
      <c r="AL12" s="662"/>
      <c r="AM12" s="662"/>
      <c r="AN12" s="662"/>
      <c r="AO12" s="662"/>
      <c r="AP12" s="662"/>
      <c r="AQ12" s="662"/>
      <c r="AR12" s="662"/>
      <c r="AS12" s="662"/>
      <c r="AT12" s="662"/>
      <c r="AU12" s="662"/>
      <c r="AV12" s="662"/>
      <c r="AW12" s="662"/>
      <c r="AX12" s="662"/>
      <c r="AY12" s="662"/>
      <c r="AZ12" s="662"/>
      <c r="BA12" s="662"/>
      <c r="BB12" s="662"/>
      <c r="BC12" s="662"/>
      <c r="BD12" s="662"/>
      <c r="BE12" s="662"/>
      <c r="BF12" s="662"/>
      <c r="BG12" s="669"/>
      <c r="BH12" s="662"/>
      <c r="BI12" s="662"/>
      <c r="BJ12" s="662"/>
      <c r="BK12" s="662"/>
      <c r="BL12" s="662"/>
      <c r="BM12" s="662"/>
      <c r="BN12" s="662"/>
      <c r="BO12" s="662"/>
      <c r="BP12" s="662"/>
      <c r="BQ12" s="662"/>
      <c r="BR12" s="662"/>
      <c r="BS12" s="662"/>
      <c r="BT12" s="662"/>
      <c r="BU12" s="662"/>
      <c r="BV12" s="662"/>
      <c r="BW12" s="662"/>
      <c r="BX12" s="662"/>
      <c r="BY12" s="662"/>
      <c r="BZ12" s="662"/>
      <c r="CA12" s="662"/>
      <c r="CB12" s="662"/>
      <c r="CC12" s="662"/>
      <c r="CD12" s="662"/>
      <c r="CE12" s="662"/>
      <c r="CF12" s="662"/>
      <c r="CG12" s="662"/>
      <c r="CH12" s="662"/>
      <c r="CI12" s="662"/>
      <c r="CJ12" s="662"/>
      <c r="CK12" s="662"/>
      <c r="CL12" s="662"/>
      <c r="CM12" s="1683"/>
      <c r="CN12" s="1683"/>
      <c r="CO12" s="1683"/>
      <c r="CP12" s="1683"/>
      <c r="CQ12" s="1683"/>
      <c r="CR12" s="1683"/>
      <c r="CS12" s="1683"/>
      <c r="CT12" s="1683"/>
      <c r="CU12" s="1683"/>
      <c r="CV12" s="1683"/>
      <c r="CW12" s="1683"/>
      <c r="CX12" s="1683"/>
      <c r="CY12" s="1683"/>
      <c r="CZ12" s="1683"/>
      <c r="DA12" s="1683"/>
      <c r="DB12" s="1683"/>
      <c r="DC12" s="1683"/>
      <c r="DD12" s="1683"/>
      <c r="DE12" s="1683"/>
      <c r="DF12" s="1683"/>
      <c r="DG12" s="1683"/>
      <c r="DH12" s="1683"/>
      <c r="DI12" s="670"/>
      <c r="DJ12" s="746"/>
      <c r="DK12" s="747"/>
      <c r="DL12" s="747"/>
      <c r="DM12" s="747"/>
      <c r="DN12" s="747"/>
      <c r="DO12" s="747"/>
      <c r="DP12" s="747"/>
      <c r="DQ12" s="747"/>
      <c r="DR12" s="747"/>
      <c r="DS12" s="747"/>
      <c r="DT12" s="747"/>
      <c r="DU12" s="747"/>
      <c r="DV12" s="747"/>
      <c r="DW12" s="747"/>
      <c r="DX12" s="747"/>
      <c r="DY12" s="747"/>
      <c r="DZ12" s="747"/>
      <c r="EA12" s="747"/>
      <c r="EB12" s="747"/>
      <c r="EC12" s="747"/>
      <c r="ED12" s="747"/>
      <c r="EE12" s="747"/>
      <c r="EF12" s="748"/>
    </row>
    <row r="13" spans="1:139" ht="15" customHeight="1">
      <c r="B13" s="662"/>
      <c r="C13" s="662"/>
      <c r="D13" s="671" t="s">
        <v>61</v>
      </c>
      <c r="E13" s="662"/>
      <c r="F13" s="662"/>
      <c r="G13" s="662"/>
      <c r="H13" s="662"/>
      <c r="I13" s="662"/>
      <c r="J13" s="662"/>
      <c r="K13" s="662"/>
      <c r="L13" s="662"/>
      <c r="M13" s="662"/>
      <c r="N13" s="662"/>
      <c r="O13" s="662"/>
      <c r="P13" s="662"/>
      <c r="Q13" s="662"/>
      <c r="R13" s="662"/>
      <c r="S13" s="662"/>
      <c r="T13" s="662"/>
      <c r="U13" s="663"/>
      <c r="V13" s="663"/>
      <c r="W13" s="663"/>
      <c r="X13" s="663"/>
      <c r="Y13" s="663"/>
      <c r="Z13" s="663"/>
      <c r="AA13" s="668"/>
      <c r="AB13" s="668"/>
      <c r="AC13" s="668"/>
      <c r="AD13" s="668"/>
      <c r="AE13" s="668"/>
      <c r="AF13" s="668"/>
      <c r="AG13" s="663"/>
      <c r="AH13" s="663"/>
      <c r="AI13" s="663"/>
      <c r="AJ13" s="663"/>
      <c r="AK13" s="663"/>
      <c r="AL13" s="663"/>
      <c r="AM13" s="663"/>
      <c r="AN13" s="663"/>
      <c r="AO13" s="663"/>
      <c r="AP13" s="663"/>
      <c r="AQ13" s="663"/>
      <c r="AR13" s="663"/>
      <c r="AS13" s="663"/>
      <c r="AT13" s="663"/>
      <c r="AU13" s="663"/>
      <c r="AV13" s="663"/>
      <c r="AW13" s="1684" t="s">
        <v>139</v>
      </c>
      <c r="AX13" s="1684"/>
      <c r="AY13" s="1684"/>
      <c r="AZ13" s="1684"/>
      <c r="BA13" s="1684"/>
      <c r="BB13" s="1684"/>
      <c r="BC13" s="1684"/>
      <c r="BD13" s="1684"/>
      <c r="BE13" s="1684"/>
      <c r="BF13" s="1684"/>
      <c r="BG13" s="1684"/>
      <c r="BH13" s="1684"/>
      <c r="BI13" s="1684"/>
      <c r="BJ13" s="1684"/>
      <c r="BK13" s="1684"/>
      <c r="BL13" s="1684"/>
      <c r="BM13" s="1684"/>
      <c r="BN13" s="1684"/>
      <c r="BO13" s="1684"/>
      <c r="BP13" s="1684"/>
      <c r="BQ13" s="1684"/>
      <c r="BR13" s="1684"/>
      <c r="BS13" s="1684"/>
      <c r="BT13" s="1684"/>
      <c r="BU13" s="1684"/>
      <c r="BV13" s="1684"/>
      <c r="BW13" s="1684"/>
      <c r="BX13" s="1684"/>
      <c r="BY13" s="1684"/>
      <c r="BZ13" s="1684"/>
      <c r="CA13" s="1684"/>
      <c r="CB13" s="1684"/>
      <c r="CC13" s="1684"/>
      <c r="CD13" s="1684"/>
      <c r="CE13" s="1684"/>
      <c r="CF13" s="1684"/>
      <c r="CG13" s="1684"/>
      <c r="CH13" s="1684"/>
      <c r="CI13" s="1684"/>
      <c r="CJ13" s="1684"/>
      <c r="CK13" s="1684"/>
      <c r="CL13" s="1684"/>
      <c r="CM13" s="1684"/>
      <c r="CN13" s="1684"/>
      <c r="CO13" s="1684"/>
      <c r="CP13" s="1684"/>
      <c r="CQ13" s="1684"/>
      <c r="CR13" s="1684"/>
      <c r="CS13" s="1684"/>
      <c r="CT13" s="1684"/>
      <c r="CU13" s="1684"/>
      <c r="CV13" s="1684"/>
      <c r="CW13" s="1684"/>
      <c r="CX13" s="1684"/>
      <c r="CY13" s="1685"/>
      <c r="CZ13" s="1686" t="s">
        <v>4</v>
      </c>
      <c r="DA13" s="1687"/>
      <c r="DB13" s="1687"/>
      <c r="DC13" s="1687"/>
      <c r="DD13" s="1687"/>
      <c r="DE13" s="1687"/>
      <c r="DF13" s="1687"/>
      <c r="DG13" s="1687"/>
      <c r="DH13" s="1687"/>
      <c r="DI13" s="672"/>
      <c r="DJ13" s="1654" t="s">
        <v>331</v>
      </c>
      <c r="DK13" s="1655"/>
      <c r="DL13" s="1655"/>
      <c r="DM13" s="1655"/>
      <c r="DN13" s="1655"/>
      <c r="DO13" s="1655"/>
      <c r="DP13" s="1655"/>
      <c r="DQ13" s="1655"/>
      <c r="DR13" s="1655"/>
      <c r="DS13" s="1655"/>
      <c r="DT13" s="1655"/>
      <c r="DU13" s="1655"/>
      <c r="DV13" s="1655"/>
      <c r="DW13" s="1655"/>
      <c r="DX13" s="1655"/>
      <c r="DY13" s="1655"/>
      <c r="DZ13" s="1655"/>
      <c r="EA13" s="1655"/>
      <c r="EB13" s="1655"/>
      <c r="EC13" s="1655"/>
      <c r="ED13" s="1655"/>
      <c r="EE13" s="1655"/>
      <c r="EF13" s="1656"/>
    </row>
    <row r="14" spans="1:139" ht="9" customHeight="1">
      <c r="B14" s="662"/>
      <c r="C14" s="662"/>
      <c r="D14" s="662"/>
      <c r="E14" s="662"/>
      <c r="F14" s="662"/>
      <c r="G14" s="662"/>
      <c r="H14" s="662"/>
      <c r="I14" s="662"/>
      <c r="J14" s="662"/>
      <c r="K14" s="662"/>
      <c r="L14" s="662"/>
      <c r="M14" s="662"/>
      <c r="N14" s="662"/>
      <c r="O14" s="662"/>
      <c r="P14" s="662"/>
      <c r="Q14" s="662"/>
      <c r="R14" s="662"/>
      <c r="S14" s="662"/>
      <c r="T14" s="662"/>
      <c r="U14" s="662"/>
      <c r="V14" s="662"/>
      <c r="W14" s="662"/>
      <c r="X14" s="662"/>
      <c r="Y14" s="662"/>
      <c r="Z14" s="662"/>
      <c r="AA14" s="673"/>
      <c r="AB14" s="673"/>
      <c r="AC14" s="662"/>
      <c r="AD14" s="662"/>
      <c r="AE14" s="662"/>
      <c r="AF14" s="662"/>
      <c r="AG14" s="662"/>
      <c r="AH14" s="662"/>
      <c r="AI14" s="662"/>
      <c r="AJ14" s="662"/>
      <c r="AK14" s="662"/>
      <c r="AL14" s="662"/>
      <c r="AM14" s="662"/>
      <c r="AN14" s="662"/>
      <c r="AO14" s="662"/>
      <c r="AP14" s="662"/>
      <c r="AQ14" s="662"/>
      <c r="AR14" s="662"/>
      <c r="AS14" s="662"/>
      <c r="AT14" s="662"/>
      <c r="AU14" s="662"/>
      <c r="AV14" s="662"/>
      <c r="AW14" s="1649" t="s">
        <v>63</v>
      </c>
      <c r="AX14" s="1649"/>
      <c r="AY14" s="1649"/>
      <c r="AZ14" s="1649"/>
      <c r="BA14" s="1649"/>
      <c r="BB14" s="1649"/>
      <c r="BC14" s="1649"/>
      <c r="BD14" s="1649"/>
      <c r="BE14" s="1649"/>
      <c r="BF14" s="1649"/>
      <c r="BG14" s="1649"/>
      <c r="BH14" s="1649"/>
      <c r="BI14" s="1649"/>
      <c r="BJ14" s="1649"/>
      <c r="BK14" s="1649"/>
      <c r="BL14" s="1649"/>
      <c r="BM14" s="1649"/>
      <c r="BN14" s="1649"/>
      <c r="BO14" s="1649"/>
      <c r="BP14" s="1649"/>
      <c r="BQ14" s="1649"/>
      <c r="BR14" s="1649"/>
      <c r="BS14" s="1649"/>
      <c r="BT14" s="1649"/>
      <c r="BU14" s="1649"/>
      <c r="BV14" s="1649"/>
      <c r="BW14" s="1649"/>
      <c r="BX14" s="1649"/>
      <c r="BY14" s="1649"/>
      <c r="BZ14" s="1649"/>
      <c r="CA14" s="1649"/>
      <c r="CB14" s="1649"/>
      <c r="CC14" s="1649"/>
      <c r="CD14" s="1649"/>
      <c r="CE14" s="1649"/>
      <c r="CF14" s="1649"/>
      <c r="CG14" s="1649"/>
      <c r="CH14" s="1649"/>
      <c r="CI14" s="1649"/>
      <c r="CJ14" s="1649"/>
      <c r="CK14" s="1649"/>
      <c r="CL14" s="1649"/>
      <c r="CM14" s="1649"/>
      <c r="CN14" s="1649"/>
      <c r="CO14" s="1649"/>
      <c r="CP14" s="1649"/>
      <c r="CQ14" s="1649"/>
      <c r="CR14" s="1649"/>
      <c r="CS14" s="1649"/>
      <c r="CT14" s="1649"/>
      <c r="CU14" s="1649"/>
      <c r="CV14" s="1649"/>
      <c r="CW14" s="1649"/>
      <c r="CX14" s="1649"/>
      <c r="CY14" s="1665"/>
      <c r="CZ14" s="1666" t="s">
        <v>64</v>
      </c>
      <c r="DA14" s="1667"/>
      <c r="DB14" s="1667"/>
      <c r="DC14" s="1667"/>
      <c r="DD14" s="1667"/>
      <c r="DE14" s="1667"/>
      <c r="DF14" s="1667"/>
      <c r="DG14" s="1667"/>
      <c r="DH14" s="1667"/>
      <c r="DI14" s="674"/>
      <c r="DJ14" s="1670" t="s">
        <v>332</v>
      </c>
      <c r="DK14" s="1671"/>
      <c r="DL14" s="1671"/>
      <c r="DM14" s="1671"/>
      <c r="DN14" s="1671"/>
      <c r="DO14" s="1671"/>
      <c r="DP14" s="1671"/>
      <c r="DQ14" s="1671"/>
      <c r="DR14" s="1671"/>
      <c r="DS14" s="1671"/>
      <c r="DT14" s="1671"/>
      <c r="DU14" s="1671"/>
      <c r="DV14" s="1671"/>
      <c r="DW14" s="1671"/>
      <c r="DX14" s="1671"/>
      <c r="DY14" s="1671"/>
      <c r="DZ14" s="1671"/>
      <c r="EA14" s="1671"/>
      <c r="EB14" s="1671"/>
      <c r="EC14" s="1671"/>
      <c r="ED14" s="1671"/>
      <c r="EE14" s="1671"/>
      <c r="EF14" s="1672"/>
    </row>
    <row r="15" spans="1:139" ht="6" customHeight="1">
      <c r="B15" s="662"/>
      <c r="C15" s="662"/>
      <c r="D15" s="662"/>
      <c r="E15" s="662"/>
      <c r="F15" s="662"/>
      <c r="G15" s="662"/>
      <c r="H15" s="662"/>
      <c r="I15" s="662"/>
      <c r="J15" s="662"/>
      <c r="K15" s="662"/>
      <c r="L15" s="662"/>
      <c r="M15" s="662"/>
      <c r="N15" s="662"/>
      <c r="O15" s="662"/>
      <c r="P15" s="662"/>
      <c r="Q15" s="662"/>
      <c r="R15" s="662"/>
      <c r="S15" s="662"/>
      <c r="T15" s="662"/>
      <c r="U15" s="662"/>
      <c r="V15" s="662"/>
      <c r="W15" s="662"/>
      <c r="X15" s="662"/>
      <c r="Y15" s="662"/>
      <c r="Z15" s="662"/>
      <c r="AA15" s="673"/>
      <c r="AB15" s="673"/>
      <c r="AC15" s="662"/>
      <c r="AD15" s="662"/>
      <c r="AE15" s="662"/>
      <c r="AF15" s="662"/>
      <c r="AG15" s="662"/>
      <c r="AH15" s="662"/>
      <c r="AI15" s="662"/>
      <c r="AJ15" s="662"/>
      <c r="AK15" s="662"/>
      <c r="AL15" s="662"/>
      <c r="AM15" s="662"/>
      <c r="AN15" s="662"/>
      <c r="AO15" s="662"/>
      <c r="AP15" s="662"/>
      <c r="AQ15" s="662"/>
      <c r="AR15" s="662"/>
      <c r="AS15" s="662"/>
      <c r="AT15" s="662"/>
      <c r="AU15" s="662"/>
      <c r="AV15" s="662"/>
      <c r="AW15" s="662"/>
      <c r="AX15" s="662"/>
      <c r="AY15" s="662"/>
      <c r="AZ15" s="662"/>
      <c r="BA15" s="662"/>
      <c r="BB15" s="662"/>
      <c r="BC15" s="675"/>
      <c r="BD15" s="675"/>
      <c r="BE15" s="675"/>
      <c r="BF15" s="675"/>
      <c r="BG15" s="675"/>
      <c r="BH15" s="675"/>
      <c r="BI15" s="676"/>
      <c r="BJ15" s="663"/>
      <c r="BK15" s="663"/>
      <c r="BL15" s="663"/>
      <c r="BM15" s="663"/>
      <c r="BN15" s="663"/>
      <c r="BO15" s="663"/>
      <c r="BP15" s="663"/>
      <c r="BQ15" s="663"/>
      <c r="BR15" s="663"/>
      <c r="BS15" s="663"/>
      <c r="BT15" s="663"/>
      <c r="BU15" s="663"/>
      <c r="BV15" s="663"/>
      <c r="BW15" s="663"/>
      <c r="BX15" s="663"/>
      <c r="BY15" s="663"/>
      <c r="BZ15" s="663"/>
      <c r="CA15" s="663"/>
      <c r="CB15" s="663"/>
      <c r="CC15" s="663"/>
      <c r="CD15" s="663"/>
      <c r="CE15" s="663"/>
      <c r="CF15" s="663"/>
      <c r="CG15" s="662"/>
      <c r="CH15" s="662"/>
      <c r="CI15" s="662"/>
      <c r="CJ15" s="662"/>
      <c r="CK15" s="662"/>
      <c r="CL15" s="662"/>
      <c r="CM15" s="662"/>
      <c r="CN15" s="662"/>
      <c r="CO15" s="662"/>
      <c r="CP15" s="662"/>
      <c r="CQ15" s="662"/>
      <c r="CR15" s="662"/>
      <c r="CS15" s="677"/>
      <c r="CT15" s="677"/>
      <c r="CU15" s="677"/>
      <c r="CV15" s="677"/>
      <c r="CW15" s="677"/>
      <c r="CX15" s="677"/>
      <c r="CY15" s="677"/>
      <c r="CZ15" s="1668"/>
      <c r="DA15" s="1669"/>
      <c r="DB15" s="1669"/>
      <c r="DC15" s="1669"/>
      <c r="DD15" s="1669"/>
      <c r="DE15" s="1669"/>
      <c r="DF15" s="1669"/>
      <c r="DG15" s="1669"/>
      <c r="DH15" s="1669"/>
      <c r="DI15" s="678"/>
      <c r="DJ15" s="1673"/>
      <c r="DK15" s="1674"/>
      <c r="DL15" s="1674"/>
      <c r="DM15" s="1674"/>
      <c r="DN15" s="1674"/>
      <c r="DO15" s="1674"/>
      <c r="DP15" s="1674"/>
      <c r="DQ15" s="1674"/>
      <c r="DR15" s="1674"/>
      <c r="DS15" s="1674"/>
      <c r="DT15" s="1674"/>
      <c r="DU15" s="1674"/>
      <c r="DV15" s="1674"/>
      <c r="DW15" s="1674"/>
      <c r="DX15" s="1674"/>
      <c r="DY15" s="1674"/>
      <c r="DZ15" s="1674"/>
      <c r="EA15" s="1674"/>
      <c r="EB15" s="1674"/>
      <c r="EC15" s="1674"/>
      <c r="ED15" s="1674"/>
      <c r="EE15" s="1674"/>
      <c r="EF15" s="1675"/>
    </row>
    <row r="16" spans="1:139" ht="15" customHeight="1">
      <c r="B16" s="662"/>
      <c r="C16" s="662"/>
      <c r="D16" s="662"/>
      <c r="E16" s="662"/>
      <c r="F16" s="662"/>
      <c r="G16" s="662"/>
      <c r="H16" s="662"/>
      <c r="I16" s="662"/>
      <c r="J16" s="662"/>
      <c r="K16" s="662"/>
      <c r="L16" s="662"/>
      <c r="M16" s="662"/>
      <c r="N16" s="662"/>
      <c r="O16" s="662"/>
      <c r="P16" s="662"/>
      <c r="Q16" s="662"/>
      <c r="R16" s="662"/>
      <c r="S16" s="662"/>
      <c r="T16" s="662"/>
      <c r="U16" s="662"/>
      <c r="V16" s="662"/>
      <c r="W16" s="662"/>
      <c r="X16" s="662"/>
      <c r="Y16" s="662"/>
      <c r="Z16" s="662"/>
      <c r="AA16" s="673"/>
      <c r="AB16" s="673"/>
      <c r="AC16" s="662"/>
      <c r="AD16" s="662"/>
      <c r="AE16" s="662"/>
      <c r="AF16" s="662"/>
      <c r="AG16" s="662"/>
      <c r="AH16" s="662"/>
      <c r="AI16" s="662"/>
      <c r="AJ16" s="662"/>
      <c r="AK16" s="662"/>
      <c r="AL16" s="662"/>
      <c r="AM16" s="662"/>
      <c r="AN16" s="662"/>
      <c r="AO16" s="662"/>
      <c r="AP16" s="662"/>
      <c r="AQ16" s="662"/>
      <c r="AR16" s="662"/>
      <c r="AS16" s="662"/>
      <c r="AT16" s="662"/>
      <c r="AU16" s="662"/>
      <c r="AV16" s="662"/>
      <c r="AW16" s="662"/>
      <c r="AX16" s="662"/>
      <c r="AY16" s="662"/>
      <c r="AZ16" s="662"/>
      <c r="BA16" s="662"/>
      <c r="BB16" s="662"/>
      <c r="BC16" s="675"/>
      <c r="BD16" s="675"/>
      <c r="BE16" s="675"/>
      <c r="BF16" s="675"/>
      <c r="BG16" s="675"/>
      <c r="BH16" s="675"/>
      <c r="BI16" s="676"/>
      <c r="BJ16" s="663"/>
      <c r="BK16" s="663"/>
      <c r="BL16" s="663"/>
      <c r="BM16" s="663"/>
      <c r="BN16" s="663"/>
      <c r="BO16" s="663"/>
      <c r="BP16" s="663"/>
      <c r="BQ16" s="663"/>
      <c r="BR16" s="663"/>
      <c r="BS16" s="663"/>
      <c r="BT16" s="663"/>
      <c r="BU16" s="663"/>
      <c r="BV16" s="663"/>
      <c r="BW16" s="663"/>
      <c r="BX16" s="663"/>
      <c r="BY16" s="663"/>
      <c r="BZ16" s="663"/>
      <c r="CA16" s="663"/>
      <c r="CB16" s="663"/>
      <c r="CC16" s="663"/>
      <c r="CD16" s="663"/>
      <c r="CE16" s="663"/>
      <c r="CF16" s="663"/>
      <c r="CG16" s="662"/>
      <c r="CH16" s="662"/>
      <c r="CI16" s="662"/>
      <c r="CJ16" s="662"/>
      <c r="CK16" s="662"/>
      <c r="CL16" s="662"/>
      <c r="CM16" s="662"/>
      <c r="CN16" s="662"/>
      <c r="CO16" s="662"/>
      <c r="CP16" s="662"/>
      <c r="CQ16" s="662"/>
      <c r="CR16" s="662"/>
      <c r="CS16" s="677"/>
      <c r="CT16" s="677"/>
      <c r="CU16" s="677"/>
      <c r="CV16" s="677"/>
      <c r="CW16" s="677"/>
      <c r="CX16" s="677"/>
      <c r="CY16" s="677"/>
      <c r="CZ16" s="677"/>
      <c r="DA16" s="677"/>
      <c r="DB16" s="677"/>
      <c r="DC16" s="677"/>
      <c r="DD16" s="677"/>
      <c r="DE16" s="677"/>
      <c r="DF16" s="677"/>
      <c r="DG16" s="677"/>
      <c r="DH16" s="670" t="s">
        <v>65</v>
      </c>
      <c r="DI16" s="677"/>
      <c r="DJ16" s="1654" t="s">
        <v>31</v>
      </c>
      <c r="DK16" s="1655"/>
      <c r="DL16" s="1655"/>
      <c r="DM16" s="1655"/>
      <c r="DN16" s="1655"/>
      <c r="DO16" s="1655"/>
      <c r="DP16" s="1655"/>
      <c r="DQ16" s="1655"/>
      <c r="DR16" s="1655"/>
      <c r="DS16" s="1655"/>
      <c r="DT16" s="1655"/>
      <c r="DU16" s="1655"/>
      <c r="DV16" s="1655"/>
      <c r="DW16" s="1655"/>
      <c r="DX16" s="1655"/>
      <c r="DY16" s="1655"/>
      <c r="DZ16" s="1655"/>
      <c r="EA16" s="1655"/>
      <c r="EB16" s="1655"/>
      <c r="EC16" s="1655"/>
      <c r="ED16" s="1655"/>
      <c r="EE16" s="1655"/>
      <c r="EF16" s="1656"/>
    </row>
    <row r="17" spans="2:139" ht="15" customHeight="1">
      <c r="B17" s="662"/>
      <c r="C17" s="662"/>
      <c r="D17" s="662"/>
      <c r="E17" s="662"/>
      <c r="F17" s="662"/>
      <c r="G17" s="662"/>
      <c r="H17" s="662"/>
      <c r="I17" s="662"/>
      <c r="J17" s="662"/>
      <c r="K17" s="662"/>
      <c r="L17" s="662"/>
      <c r="M17" s="662"/>
      <c r="N17" s="662"/>
      <c r="O17" s="662"/>
      <c r="P17" s="662"/>
      <c r="Q17" s="662"/>
      <c r="R17" s="662"/>
      <c r="S17" s="662"/>
      <c r="T17" s="662"/>
      <c r="U17" s="662"/>
      <c r="V17" s="662"/>
      <c r="W17" s="662"/>
      <c r="X17" s="662"/>
      <c r="Y17" s="662"/>
      <c r="Z17" s="662"/>
      <c r="AA17" s="673"/>
      <c r="AB17" s="673"/>
      <c r="AC17" s="662"/>
      <c r="AD17" s="662"/>
      <c r="AE17" s="662"/>
      <c r="AF17" s="662"/>
      <c r="AG17" s="662"/>
      <c r="AH17" s="662"/>
      <c r="AI17" s="662"/>
      <c r="AJ17" s="662"/>
      <c r="AK17" s="662"/>
      <c r="AL17" s="662"/>
      <c r="AM17" s="662"/>
      <c r="AN17" s="662"/>
      <c r="AO17" s="662"/>
      <c r="AP17" s="662"/>
      <c r="AQ17" s="662"/>
      <c r="AR17" s="662"/>
      <c r="AS17" s="662"/>
      <c r="AT17" s="662"/>
      <c r="AU17" s="662"/>
      <c r="AV17" s="662"/>
      <c r="AW17" s="662"/>
      <c r="AX17" s="662"/>
      <c r="AY17" s="662"/>
      <c r="AZ17" s="662"/>
      <c r="BA17" s="662"/>
      <c r="BB17" s="662"/>
      <c r="BC17" s="675"/>
      <c r="BD17" s="675"/>
      <c r="BE17" s="675"/>
      <c r="BF17" s="675"/>
      <c r="BG17" s="675"/>
      <c r="BH17" s="675"/>
      <c r="BI17" s="676"/>
      <c r="BJ17" s="663"/>
      <c r="BK17" s="663"/>
      <c r="BL17" s="663"/>
      <c r="BM17" s="663"/>
      <c r="BN17" s="663"/>
      <c r="BO17" s="663"/>
      <c r="BP17" s="663"/>
      <c r="BQ17" s="663"/>
      <c r="BR17" s="663"/>
      <c r="BS17" s="663"/>
      <c r="BT17" s="663"/>
      <c r="BU17" s="663"/>
      <c r="BV17" s="663"/>
      <c r="BW17" s="663"/>
      <c r="BX17" s="663"/>
      <c r="BY17" s="663"/>
      <c r="BZ17" s="663"/>
      <c r="CA17" s="663"/>
      <c r="CB17" s="663"/>
      <c r="CC17" s="663"/>
      <c r="CD17" s="663"/>
      <c r="CE17" s="663"/>
      <c r="CF17" s="663"/>
      <c r="CG17" s="662"/>
      <c r="CH17" s="662"/>
      <c r="CI17" s="662"/>
      <c r="CJ17" s="662"/>
      <c r="CK17" s="662"/>
      <c r="CL17" s="662"/>
      <c r="CM17" s="662"/>
      <c r="CN17" s="662"/>
      <c r="CO17" s="662"/>
      <c r="CP17" s="662"/>
      <c r="CQ17" s="662"/>
      <c r="CR17" s="662"/>
      <c r="CS17" s="677"/>
      <c r="CT17" s="677"/>
      <c r="CU17" s="677"/>
      <c r="CV17" s="677"/>
      <c r="CW17" s="677"/>
      <c r="CX17" s="677"/>
      <c r="CY17" s="677"/>
      <c r="CZ17" s="677"/>
      <c r="DA17" s="677"/>
      <c r="DB17" s="677"/>
      <c r="DC17" s="677"/>
      <c r="DD17" s="677"/>
      <c r="DE17" s="677"/>
      <c r="DF17" s="677"/>
      <c r="DG17" s="677"/>
      <c r="DH17" s="670" t="s">
        <v>66</v>
      </c>
      <c r="DI17" s="677"/>
      <c r="DJ17" s="1654" t="s">
        <v>330</v>
      </c>
      <c r="DK17" s="1655"/>
      <c r="DL17" s="1655"/>
      <c r="DM17" s="1655"/>
      <c r="DN17" s="1655"/>
      <c r="DO17" s="1655"/>
      <c r="DP17" s="1655"/>
      <c r="DQ17" s="1655"/>
      <c r="DR17" s="1655"/>
      <c r="DS17" s="1655"/>
      <c r="DT17" s="1655"/>
      <c r="DU17" s="1655"/>
      <c r="DV17" s="1655"/>
      <c r="DW17" s="1655"/>
      <c r="DX17" s="1655"/>
      <c r="DY17" s="1655"/>
      <c r="DZ17" s="1655"/>
      <c r="EA17" s="1655"/>
      <c r="EB17" s="1655"/>
      <c r="EC17" s="1655"/>
      <c r="ED17" s="1655"/>
      <c r="EE17" s="1655"/>
      <c r="EF17" s="1656"/>
    </row>
    <row r="18" spans="2:139" ht="15" customHeight="1" thickBot="1">
      <c r="B18" s="662"/>
      <c r="C18" s="662"/>
      <c r="D18" s="662"/>
      <c r="E18" s="662"/>
      <c r="F18" s="662"/>
      <c r="G18" s="662"/>
      <c r="H18" s="662"/>
      <c r="I18" s="662"/>
      <c r="J18" s="662"/>
      <c r="K18" s="662"/>
      <c r="L18" s="662"/>
      <c r="M18" s="662"/>
      <c r="N18" s="662"/>
      <c r="O18" s="662"/>
      <c r="P18" s="662"/>
      <c r="Q18" s="662"/>
      <c r="R18" s="662"/>
      <c r="S18" s="662"/>
      <c r="T18" s="662"/>
      <c r="U18" s="662"/>
      <c r="V18" s="662"/>
      <c r="W18" s="662"/>
      <c r="X18" s="662"/>
      <c r="Y18" s="662"/>
      <c r="Z18" s="662"/>
      <c r="AA18" s="662"/>
      <c r="AB18" s="662"/>
      <c r="AC18" s="662"/>
      <c r="AD18" s="662"/>
      <c r="AE18" s="662"/>
      <c r="AF18" s="662"/>
      <c r="AG18" s="662"/>
      <c r="AH18" s="662"/>
      <c r="AI18" s="662"/>
      <c r="AJ18" s="662"/>
      <c r="AK18" s="662"/>
      <c r="AL18" s="662"/>
      <c r="AM18" s="662"/>
      <c r="AN18" s="662"/>
      <c r="AO18" s="662"/>
      <c r="AP18" s="662"/>
      <c r="AQ18" s="665"/>
      <c r="AR18" s="665"/>
      <c r="AS18" s="662"/>
      <c r="AT18" s="665"/>
      <c r="AU18" s="665"/>
      <c r="AV18" s="665"/>
      <c r="AW18" s="665"/>
      <c r="AX18" s="665"/>
      <c r="AY18" s="665"/>
      <c r="AZ18" s="665"/>
      <c r="BA18" s="665"/>
      <c r="BB18" s="665"/>
      <c r="BC18" s="665"/>
      <c r="BD18" s="665"/>
      <c r="BE18" s="677"/>
      <c r="BF18" s="677"/>
      <c r="BG18" s="677"/>
      <c r="BH18" s="677"/>
      <c r="BI18" s="662"/>
      <c r="BJ18" s="662"/>
      <c r="BK18" s="662"/>
      <c r="BL18" s="662"/>
      <c r="BM18" s="662"/>
      <c r="BN18" s="662"/>
      <c r="BO18" s="662"/>
      <c r="BP18" s="662"/>
      <c r="BQ18" s="662"/>
      <c r="BR18" s="662"/>
      <c r="BS18" s="662"/>
      <c r="BT18" s="662"/>
      <c r="BU18" s="662"/>
      <c r="BV18" s="662"/>
      <c r="BW18" s="662"/>
      <c r="BX18" s="662"/>
      <c r="BY18" s="662"/>
      <c r="BZ18" s="662"/>
      <c r="CA18" s="662"/>
      <c r="CB18" s="662"/>
      <c r="CC18" s="662"/>
      <c r="CD18" s="662"/>
      <c r="CE18" s="662"/>
      <c r="CF18" s="662"/>
      <c r="CG18" s="662"/>
      <c r="CH18" s="662"/>
      <c r="CI18" s="662"/>
      <c r="CJ18" s="662"/>
      <c r="CK18" s="662"/>
      <c r="CL18" s="662"/>
      <c r="CM18" s="662"/>
      <c r="CN18" s="662"/>
      <c r="CO18" s="662"/>
      <c r="CP18" s="662"/>
      <c r="CQ18" s="662"/>
      <c r="CR18" s="662"/>
      <c r="CS18" s="662"/>
      <c r="CT18" s="662"/>
      <c r="CU18" s="662"/>
      <c r="CV18" s="662"/>
      <c r="CW18" s="662"/>
      <c r="CX18" s="662"/>
      <c r="CY18" s="662"/>
      <c r="CZ18" s="662"/>
      <c r="DA18" s="662"/>
      <c r="DB18" s="663"/>
      <c r="DC18" s="662"/>
      <c r="DD18" s="662"/>
      <c r="DE18" s="665"/>
      <c r="DF18" s="662"/>
      <c r="DG18" s="662"/>
      <c r="DH18" s="670" t="s">
        <v>67</v>
      </c>
      <c r="DI18" s="662"/>
      <c r="DJ18" s="752"/>
      <c r="DK18" s="753"/>
      <c r="DL18" s="753"/>
      <c r="DM18" s="753"/>
      <c r="DN18" s="753"/>
      <c r="DO18" s="753"/>
      <c r="DP18" s="753"/>
      <c r="DQ18" s="753"/>
      <c r="DR18" s="753"/>
      <c r="DS18" s="753"/>
      <c r="DT18" s="753"/>
      <c r="DU18" s="753"/>
      <c r="DV18" s="753"/>
      <c r="DW18" s="753"/>
      <c r="DX18" s="753"/>
      <c r="DY18" s="753"/>
      <c r="DZ18" s="753"/>
      <c r="EA18" s="753"/>
      <c r="EB18" s="753"/>
      <c r="EC18" s="753"/>
      <c r="ED18" s="753"/>
      <c r="EE18" s="753"/>
      <c r="EF18" s="754"/>
    </row>
    <row r="19" spans="2:139" ht="9.75" customHeight="1">
      <c r="B19" s="662"/>
      <c r="C19" s="662"/>
      <c r="D19" s="662"/>
      <c r="E19" s="662"/>
      <c r="F19" s="662"/>
      <c r="G19" s="662"/>
      <c r="H19" s="662"/>
      <c r="I19" s="662"/>
      <c r="J19" s="662"/>
      <c r="K19" s="662"/>
      <c r="L19" s="662"/>
      <c r="M19" s="662"/>
      <c r="N19" s="662"/>
      <c r="O19" s="662"/>
      <c r="P19" s="662"/>
      <c r="Q19" s="662"/>
      <c r="R19" s="662"/>
      <c r="S19" s="662"/>
      <c r="T19" s="662"/>
      <c r="U19" s="662"/>
      <c r="V19" s="662"/>
      <c r="W19" s="662"/>
      <c r="X19" s="662"/>
      <c r="Y19" s="662"/>
      <c r="Z19" s="662"/>
      <c r="AA19" s="662"/>
      <c r="AB19" s="662"/>
      <c r="AC19" s="662"/>
      <c r="AD19" s="662"/>
      <c r="AE19" s="662"/>
      <c r="AF19" s="662"/>
      <c r="AG19" s="662"/>
      <c r="AH19" s="662"/>
      <c r="AI19" s="662"/>
      <c r="AJ19" s="662"/>
      <c r="AK19" s="662"/>
      <c r="AL19" s="662"/>
      <c r="AM19" s="662"/>
      <c r="AN19" s="662"/>
      <c r="AO19" s="662"/>
      <c r="AP19" s="662"/>
      <c r="AQ19" s="662"/>
      <c r="AR19" s="662"/>
      <c r="AS19" s="662"/>
      <c r="AT19" s="662"/>
      <c r="AU19" s="662"/>
      <c r="AV19" s="662"/>
      <c r="AW19" s="662"/>
      <c r="AX19" s="662"/>
      <c r="AY19" s="662"/>
      <c r="AZ19" s="662"/>
      <c r="BA19" s="662"/>
      <c r="BB19" s="662"/>
      <c r="BC19" s="662"/>
      <c r="BD19" s="662"/>
      <c r="BE19" s="663"/>
      <c r="BF19" s="663"/>
      <c r="BG19" s="663"/>
      <c r="BH19" s="663"/>
      <c r="BI19" s="662"/>
      <c r="BJ19" s="662"/>
      <c r="BK19" s="662"/>
      <c r="BL19" s="662"/>
      <c r="BM19" s="662"/>
      <c r="BN19" s="662"/>
      <c r="BO19" s="662"/>
      <c r="BP19" s="662"/>
      <c r="BQ19" s="662"/>
      <c r="BR19" s="662"/>
      <c r="BS19" s="662"/>
      <c r="BT19" s="662"/>
      <c r="BU19" s="662"/>
      <c r="BV19" s="662"/>
      <c r="BW19" s="662"/>
      <c r="BX19" s="662"/>
      <c r="BY19" s="662"/>
      <c r="BZ19" s="662"/>
      <c r="CA19" s="662"/>
      <c r="CB19" s="662"/>
      <c r="CC19" s="662"/>
      <c r="CD19" s="662"/>
      <c r="CE19" s="662"/>
      <c r="CF19" s="662"/>
      <c r="CG19" s="662"/>
      <c r="CH19" s="662"/>
      <c r="CI19" s="662"/>
      <c r="CJ19" s="662"/>
      <c r="CK19" s="662"/>
      <c r="CL19" s="662"/>
      <c r="CM19" s="662"/>
      <c r="CN19" s="662"/>
      <c r="CO19" s="662"/>
      <c r="CP19" s="662"/>
      <c r="CQ19" s="662"/>
      <c r="CR19" s="662"/>
      <c r="CS19" s="662"/>
      <c r="CT19" s="662"/>
      <c r="CU19" s="662"/>
      <c r="CV19" s="663"/>
      <c r="CW19" s="663"/>
      <c r="CX19" s="663"/>
      <c r="CY19" s="663"/>
      <c r="CZ19" s="663"/>
      <c r="DA19" s="663"/>
      <c r="DB19" s="663"/>
      <c r="DC19" s="663"/>
      <c r="DD19" s="663"/>
      <c r="DE19" s="663"/>
      <c r="DF19" s="663"/>
      <c r="DG19" s="663"/>
      <c r="DH19" s="663"/>
      <c r="DI19" s="663"/>
      <c r="DJ19" s="679"/>
      <c r="DK19" s="663"/>
      <c r="DL19" s="663"/>
      <c r="DM19" s="663"/>
      <c r="DN19" s="679"/>
      <c r="DO19" s="679"/>
      <c r="DP19" s="680"/>
      <c r="DQ19" s="680"/>
      <c r="DR19" s="680"/>
      <c r="DS19" s="680"/>
      <c r="DT19" s="680"/>
      <c r="DU19" s="680"/>
      <c r="DV19" s="680"/>
      <c r="DW19" s="680"/>
      <c r="DX19" s="680"/>
      <c r="DY19" s="680"/>
      <c r="DZ19" s="680"/>
      <c r="EA19" s="680"/>
      <c r="EB19" s="680"/>
      <c r="EC19" s="680"/>
      <c r="ED19" s="680"/>
      <c r="EE19" s="663"/>
      <c r="EF19" s="663"/>
      <c r="EG19" s="663"/>
      <c r="EH19" s="440"/>
      <c r="EI19" s="440"/>
    </row>
    <row r="20" spans="2:139" ht="29.1" customHeight="1" thickBot="1">
      <c r="B20" s="662"/>
      <c r="C20" s="662"/>
      <c r="D20" s="662"/>
      <c r="E20" s="662"/>
      <c r="F20" s="662"/>
      <c r="G20" s="662"/>
      <c r="H20" s="662"/>
      <c r="I20" s="662"/>
      <c r="J20" s="662"/>
      <c r="K20" s="662"/>
      <c r="L20" s="662"/>
      <c r="M20" s="662"/>
      <c r="N20" s="662"/>
      <c r="O20" s="662"/>
      <c r="P20" s="662"/>
      <c r="Q20" s="662"/>
      <c r="R20" s="662"/>
      <c r="S20" s="662"/>
      <c r="T20" s="662"/>
      <c r="U20" s="662"/>
      <c r="V20" s="662"/>
      <c r="W20" s="662"/>
      <c r="X20" s="662"/>
      <c r="Y20" s="662"/>
      <c r="Z20" s="662"/>
      <c r="AA20" s="662"/>
      <c r="AB20" s="662"/>
      <c r="AC20" s="662"/>
      <c r="AD20" s="662"/>
      <c r="AE20" s="662"/>
      <c r="AF20" s="662"/>
      <c r="AG20" s="662"/>
      <c r="AH20" s="662"/>
      <c r="AI20" s="662"/>
      <c r="AJ20" s="662"/>
      <c r="AK20" s="662"/>
      <c r="AL20" s="662"/>
      <c r="AM20" s="662"/>
      <c r="AN20" s="662"/>
      <c r="AO20" s="662"/>
      <c r="AP20" s="662"/>
      <c r="AQ20" s="662"/>
      <c r="AR20" s="662"/>
      <c r="AS20" s="662"/>
      <c r="AT20" s="662"/>
      <c r="AU20" s="662"/>
      <c r="AV20" s="662"/>
      <c r="AW20" s="662"/>
      <c r="AX20" s="662"/>
      <c r="AY20" s="662"/>
      <c r="AZ20" s="662"/>
      <c r="BA20" s="662"/>
      <c r="BB20" s="662"/>
      <c r="BC20" s="662"/>
      <c r="BD20" s="662"/>
      <c r="BE20" s="662"/>
      <c r="BF20" s="677"/>
      <c r="BG20" s="677"/>
      <c r="BH20" s="677"/>
      <c r="BI20" s="677"/>
      <c r="BJ20" s="662"/>
      <c r="BK20" s="662"/>
      <c r="BL20" s="662"/>
      <c r="BM20" s="662"/>
      <c r="BN20" s="662"/>
      <c r="BO20" s="662"/>
      <c r="BP20" s="662"/>
      <c r="BQ20" s="662"/>
      <c r="BR20" s="662"/>
      <c r="BS20" s="662"/>
      <c r="BT20" s="662"/>
      <c r="BU20" s="662"/>
      <c r="BV20" s="662"/>
      <c r="BW20" s="662"/>
      <c r="BX20" s="662"/>
      <c r="BY20" s="662"/>
      <c r="BZ20" s="662"/>
      <c r="CA20" s="662"/>
      <c r="CB20" s="662"/>
      <c r="CC20" s="662"/>
      <c r="CD20" s="662"/>
      <c r="CE20" s="662"/>
      <c r="CF20" s="662"/>
      <c r="CG20" s="662"/>
      <c r="CH20" s="662"/>
      <c r="CI20" s="662"/>
      <c r="CJ20" s="662"/>
      <c r="CK20" s="662"/>
      <c r="CL20" s="662"/>
      <c r="CM20" s="662"/>
      <c r="CN20" s="1657" t="s">
        <v>140</v>
      </c>
      <c r="CO20" s="1657"/>
      <c r="CP20" s="1657"/>
      <c r="CQ20" s="1657"/>
      <c r="CR20" s="1657"/>
      <c r="CS20" s="1657"/>
      <c r="CT20" s="1657"/>
      <c r="CU20" s="1657"/>
      <c r="CV20" s="1657"/>
      <c r="CW20" s="1657"/>
      <c r="CX20" s="1657"/>
      <c r="CY20" s="1657"/>
      <c r="CZ20" s="1657"/>
      <c r="DA20" s="1658" t="s">
        <v>69</v>
      </c>
      <c r="DB20" s="1658"/>
      <c r="DC20" s="1658"/>
      <c r="DD20" s="1658"/>
      <c r="DE20" s="1658"/>
      <c r="DF20" s="1658"/>
      <c r="DG20" s="1658"/>
      <c r="DH20" s="1658"/>
      <c r="DI20" s="1658"/>
      <c r="DJ20" s="1658"/>
      <c r="DK20" s="1658"/>
      <c r="DL20" s="1658"/>
      <c r="DM20" s="1658"/>
      <c r="DN20" s="1659"/>
      <c r="DO20" s="680"/>
      <c r="DP20" s="680"/>
      <c r="DQ20" s="680"/>
      <c r="DR20" s="680"/>
      <c r="DS20" s="680"/>
      <c r="DT20" s="680"/>
      <c r="DU20" s="680"/>
      <c r="DV20" s="680"/>
      <c r="DW20" s="680"/>
      <c r="DX20" s="680"/>
      <c r="DY20" s="680"/>
      <c r="DZ20" s="680"/>
      <c r="EA20" s="680"/>
      <c r="EB20" s="680"/>
      <c r="EC20" s="680"/>
      <c r="ED20" s="680"/>
      <c r="EE20" s="680"/>
      <c r="EF20" s="680"/>
      <c r="EG20" s="680"/>
      <c r="EH20" s="633"/>
      <c r="EI20" s="633"/>
    </row>
    <row r="21" spans="2:139" ht="14.25" customHeight="1" thickBot="1">
      <c r="B21" s="662"/>
      <c r="C21" s="662"/>
      <c r="D21" s="662"/>
      <c r="E21" s="662"/>
      <c r="F21" s="662"/>
      <c r="G21" s="662"/>
      <c r="H21" s="662"/>
      <c r="I21" s="662"/>
      <c r="J21" s="662"/>
      <c r="K21" s="662"/>
      <c r="L21" s="662"/>
      <c r="M21" s="662"/>
      <c r="N21" s="662"/>
      <c r="O21" s="662"/>
      <c r="P21" s="662"/>
      <c r="Q21" s="662"/>
      <c r="R21" s="662"/>
      <c r="S21" s="662"/>
      <c r="T21" s="662"/>
      <c r="U21" s="662"/>
      <c r="V21" s="662"/>
      <c r="W21" s="662"/>
      <c r="X21" s="662"/>
      <c r="Y21" s="662"/>
      <c r="Z21" s="662"/>
      <c r="AA21" s="662"/>
      <c r="AB21" s="662"/>
      <c r="AC21" s="662"/>
      <c r="AD21" s="662"/>
      <c r="AE21" s="662"/>
      <c r="AF21" s="662"/>
      <c r="AG21" s="662"/>
      <c r="AH21" s="662"/>
      <c r="AI21" s="662"/>
      <c r="AJ21" s="662"/>
      <c r="AK21" s="662"/>
      <c r="AL21" s="662"/>
      <c r="AM21" s="662"/>
      <c r="AN21" s="662"/>
      <c r="AO21" s="662"/>
      <c r="AP21" s="662"/>
      <c r="AQ21" s="662"/>
      <c r="AR21" s="662"/>
      <c r="AS21" s="662"/>
      <c r="AT21" s="662"/>
      <c r="AU21" s="662"/>
      <c r="AV21" s="662"/>
      <c r="AW21" s="662"/>
      <c r="AX21" s="662"/>
      <c r="AY21" s="662"/>
      <c r="AZ21" s="662"/>
      <c r="BA21" s="662"/>
      <c r="BB21" s="662"/>
      <c r="BC21" s="662"/>
      <c r="BD21" s="662"/>
      <c r="BE21" s="662"/>
      <c r="BF21" s="662"/>
      <c r="BG21" s="662"/>
      <c r="BH21" s="662"/>
      <c r="BI21" s="662"/>
      <c r="BJ21" s="662"/>
      <c r="BK21" s="662"/>
      <c r="BL21" s="662"/>
      <c r="BM21" s="662"/>
      <c r="BN21" s="662"/>
      <c r="BO21" s="662"/>
      <c r="BP21" s="662"/>
      <c r="BQ21" s="662"/>
      <c r="BR21" s="662"/>
      <c r="BS21" s="662"/>
      <c r="BT21" s="662"/>
      <c r="BU21" s="662"/>
      <c r="BV21" s="662"/>
      <c r="BW21" s="662"/>
      <c r="BX21" s="662"/>
      <c r="BY21" s="662"/>
      <c r="BZ21" s="662"/>
      <c r="CA21" s="662"/>
      <c r="CB21" s="662"/>
      <c r="CC21" s="662"/>
      <c r="CD21" s="662"/>
      <c r="CE21" s="662"/>
      <c r="CF21" s="662"/>
      <c r="CG21" s="662"/>
      <c r="CH21" s="662"/>
      <c r="CI21" s="681" t="s">
        <v>342</v>
      </c>
      <c r="CJ21" s="682"/>
      <c r="CK21" s="662"/>
      <c r="CL21" s="662"/>
      <c r="CM21" s="683"/>
      <c r="CN21" s="1660" t="s">
        <v>293</v>
      </c>
      <c r="CO21" s="1661"/>
      <c r="CP21" s="1661"/>
      <c r="CQ21" s="1661"/>
      <c r="CR21" s="1661"/>
      <c r="CS21" s="1661"/>
      <c r="CT21" s="1661"/>
      <c r="CU21" s="1661"/>
      <c r="CV21" s="1661"/>
      <c r="CW21" s="1661"/>
      <c r="CX21" s="1661"/>
      <c r="CY21" s="1661"/>
      <c r="CZ21" s="1661"/>
      <c r="DA21" s="1662" t="str">
        <f>DJ16</f>
        <v>Дата_Инвентар</v>
      </c>
      <c r="DB21" s="1663"/>
      <c r="DC21" s="1663"/>
      <c r="DD21" s="1663"/>
      <c r="DE21" s="1663"/>
      <c r="DF21" s="1663"/>
      <c r="DG21" s="1663"/>
      <c r="DH21" s="1663"/>
      <c r="DI21" s="1663"/>
      <c r="DJ21" s="1663"/>
      <c r="DK21" s="1663"/>
      <c r="DL21" s="1663"/>
      <c r="DM21" s="1663"/>
      <c r="DN21" s="1664"/>
      <c r="DO21" s="684"/>
      <c r="DP21" s="684"/>
      <c r="DQ21" s="684"/>
      <c r="DR21" s="684"/>
      <c r="DS21" s="684"/>
      <c r="DT21" s="684"/>
      <c r="DU21" s="684"/>
      <c r="DV21" s="684"/>
      <c r="DW21" s="684"/>
      <c r="DX21" s="684"/>
      <c r="DY21" s="684"/>
      <c r="DZ21" s="684"/>
      <c r="EA21" s="684"/>
      <c r="EB21" s="684"/>
      <c r="EC21" s="684"/>
      <c r="ED21" s="684"/>
      <c r="EE21" s="663"/>
      <c r="EF21" s="663"/>
      <c r="EG21" s="663"/>
      <c r="EH21" s="440"/>
      <c r="EI21" s="440"/>
    </row>
    <row r="22" spans="2:139" ht="16.5" customHeight="1">
      <c r="B22" s="662"/>
      <c r="C22" s="662"/>
      <c r="D22" s="662"/>
      <c r="E22" s="662"/>
      <c r="F22" s="662"/>
      <c r="G22" s="662"/>
      <c r="H22" s="662"/>
      <c r="I22" s="662"/>
      <c r="J22" s="662"/>
      <c r="K22" s="662"/>
      <c r="L22" s="662"/>
      <c r="M22" s="662"/>
      <c r="N22" s="662"/>
      <c r="O22" s="662"/>
      <c r="P22" s="662"/>
      <c r="Q22" s="662"/>
      <c r="R22" s="662"/>
      <c r="S22" s="662"/>
      <c r="T22" s="662"/>
      <c r="U22" s="662"/>
      <c r="V22" s="662"/>
      <c r="W22" s="662"/>
      <c r="X22" s="662"/>
      <c r="Y22" s="662"/>
      <c r="Z22" s="662"/>
      <c r="AA22" s="662"/>
      <c r="AB22" s="662"/>
      <c r="AC22" s="662"/>
      <c r="AD22" s="662"/>
      <c r="AE22" s="662"/>
      <c r="AF22" s="662"/>
      <c r="AG22" s="662"/>
      <c r="AH22" s="662"/>
      <c r="AI22" s="662"/>
      <c r="AJ22" s="662"/>
      <c r="AK22" s="662"/>
      <c r="AL22" s="662"/>
      <c r="AM22" s="662"/>
      <c r="AN22" s="662"/>
      <c r="AO22" s="685" t="s">
        <v>538</v>
      </c>
      <c r="AP22" s="662"/>
      <c r="AQ22" s="662"/>
      <c r="AR22" s="662"/>
      <c r="AS22" s="662"/>
      <c r="AT22" s="662"/>
      <c r="AU22" s="662"/>
      <c r="AV22" s="662"/>
      <c r="AW22" s="662"/>
      <c r="AX22" s="662"/>
      <c r="AY22" s="662"/>
      <c r="AZ22" s="662"/>
      <c r="BA22" s="662"/>
      <c r="BB22" s="662"/>
      <c r="BC22" s="662"/>
      <c r="BD22" s="662"/>
      <c r="BE22" s="662"/>
      <c r="BF22" s="662"/>
      <c r="BG22" s="662"/>
      <c r="BH22" s="662"/>
      <c r="BI22" s="662"/>
      <c r="BJ22" s="662"/>
      <c r="BK22" s="662"/>
      <c r="BL22" s="662"/>
      <c r="BM22" s="662"/>
      <c r="BN22" s="662"/>
      <c r="BO22" s="662"/>
      <c r="BP22" s="662"/>
      <c r="BQ22" s="662"/>
      <c r="BR22" s="662"/>
      <c r="BS22" s="662"/>
      <c r="BT22" s="662"/>
      <c r="BU22" s="662"/>
      <c r="BV22" s="662"/>
      <c r="BW22" s="662"/>
      <c r="BX22" s="662"/>
      <c r="BY22" s="662"/>
      <c r="BZ22" s="662"/>
      <c r="CA22" s="662"/>
      <c r="CB22" s="662"/>
      <c r="CC22" s="662"/>
      <c r="CD22" s="662"/>
      <c r="CE22" s="662"/>
      <c r="CF22" s="662"/>
      <c r="CG22" s="662"/>
      <c r="CH22" s="662"/>
      <c r="CI22" s="662"/>
      <c r="CJ22" s="662"/>
      <c r="CK22" s="662"/>
      <c r="CL22" s="662"/>
      <c r="CM22" s="662"/>
      <c r="CN22" s="662"/>
      <c r="CO22" s="662"/>
      <c r="CP22" s="662"/>
      <c r="CQ22" s="662"/>
      <c r="CR22" s="683"/>
      <c r="CS22" s="683"/>
      <c r="CT22" s="683"/>
      <c r="CU22" s="683"/>
      <c r="CV22" s="680"/>
      <c r="CW22" s="680"/>
      <c r="CX22" s="680"/>
      <c r="CY22" s="680"/>
      <c r="CZ22" s="663"/>
      <c r="DA22" s="663"/>
      <c r="DB22" s="663"/>
      <c r="DC22" s="663"/>
      <c r="DD22" s="663"/>
      <c r="DE22" s="663"/>
      <c r="DF22" s="663"/>
      <c r="DG22" s="663"/>
      <c r="DH22" s="663"/>
      <c r="DI22" s="663"/>
      <c r="DJ22" s="663"/>
      <c r="DK22" s="663"/>
      <c r="DL22" s="663"/>
      <c r="DM22" s="663"/>
      <c r="DN22" s="663"/>
      <c r="DO22" s="663"/>
      <c r="DP22" s="663"/>
      <c r="DQ22" s="663"/>
      <c r="DR22" s="663"/>
      <c r="DS22" s="663"/>
      <c r="DT22" s="663"/>
      <c r="DU22" s="663"/>
      <c r="DV22" s="663"/>
      <c r="DW22" s="663"/>
      <c r="DX22" s="663"/>
      <c r="DY22" s="663"/>
      <c r="DZ22" s="663"/>
      <c r="EA22" s="663"/>
      <c r="EB22" s="663"/>
      <c r="EC22" s="663"/>
      <c r="ED22" s="663"/>
      <c r="EE22" s="663"/>
      <c r="EF22" s="663"/>
      <c r="EG22" s="663"/>
      <c r="EH22" s="440"/>
      <c r="EI22" s="440"/>
    </row>
    <row r="23" spans="2:139" ht="16.5" customHeight="1">
      <c r="B23" s="671"/>
      <c r="C23" s="662"/>
      <c r="D23" s="662"/>
      <c r="E23" s="662"/>
      <c r="F23" s="662"/>
      <c r="G23" s="662"/>
      <c r="H23" s="662"/>
      <c r="I23" s="662"/>
      <c r="J23" s="662"/>
      <c r="K23" s="662"/>
      <c r="L23" s="662"/>
      <c r="M23" s="662"/>
      <c r="N23" s="662"/>
      <c r="O23" s="662"/>
      <c r="P23" s="662"/>
      <c r="Q23" s="662"/>
      <c r="R23" s="662"/>
      <c r="S23" s="662"/>
      <c r="T23" s="662"/>
      <c r="U23" s="662"/>
      <c r="V23" s="662"/>
      <c r="W23" s="662"/>
      <c r="X23" s="662"/>
      <c r="Y23" s="662"/>
      <c r="Z23" s="662"/>
      <c r="AA23" s="662"/>
      <c r="AB23" s="662"/>
      <c r="AC23" s="662"/>
      <c r="AD23" s="662"/>
      <c r="AE23" s="662"/>
      <c r="AF23" s="662"/>
      <c r="AG23" s="662"/>
      <c r="AH23" s="662"/>
      <c r="AI23" s="662"/>
      <c r="AJ23" s="662"/>
      <c r="AK23" s="662"/>
      <c r="AL23" s="662"/>
      <c r="AM23" s="662"/>
      <c r="AN23" s="662"/>
      <c r="AO23" s="686"/>
      <c r="AP23" s="662"/>
      <c r="AQ23" s="662"/>
      <c r="AR23" s="662"/>
      <c r="AS23" s="662"/>
      <c r="AT23" s="662"/>
      <c r="AU23" s="662"/>
      <c r="AV23" s="662"/>
      <c r="AW23" s="662"/>
      <c r="AX23" s="662"/>
      <c r="AY23" s="662"/>
      <c r="AZ23" s="662"/>
      <c r="BA23" s="662"/>
      <c r="BB23" s="662"/>
      <c r="BC23" s="662"/>
      <c r="BD23" s="662"/>
      <c r="BE23" s="662"/>
      <c r="BF23" s="662"/>
      <c r="BG23" s="662"/>
      <c r="BH23" s="662"/>
      <c r="BI23" s="662"/>
      <c r="BJ23" s="662"/>
      <c r="BK23" s="662"/>
      <c r="BL23" s="662"/>
      <c r="BM23" s="662"/>
      <c r="BN23" s="662"/>
      <c r="BO23" s="662"/>
      <c r="BP23" s="662"/>
      <c r="BQ23" s="662"/>
      <c r="BR23" s="662"/>
      <c r="BS23" s="662"/>
      <c r="BT23" s="662"/>
      <c r="BU23" s="662"/>
      <c r="BV23" s="662"/>
      <c r="BW23" s="662"/>
      <c r="BX23" s="662"/>
      <c r="BY23" s="662"/>
      <c r="BZ23" s="662"/>
      <c r="CA23" s="662"/>
      <c r="CB23" s="662"/>
      <c r="CC23" s="662"/>
      <c r="CD23" s="662"/>
      <c r="CE23" s="662"/>
      <c r="CF23" s="662"/>
      <c r="CG23" s="662"/>
      <c r="CH23" s="662"/>
      <c r="CI23" s="662"/>
      <c r="CJ23" s="662"/>
      <c r="CK23" s="662"/>
      <c r="CL23" s="662"/>
      <c r="CM23" s="662"/>
      <c r="CN23" s="662"/>
      <c r="CO23" s="662"/>
      <c r="CP23" s="662"/>
      <c r="CQ23" s="662"/>
      <c r="CR23" s="683"/>
      <c r="CS23" s="683"/>
      <c r="CT23" s="683"/>
      <c r="CU23" s="683"/>
      <c r="CV23" s="680"/>
      <c r="CW23" s="680"/>
      <c r="CX23" s="680"/>
      <c r="CY23" s="680"/>
      <c r="CZ23" s="663"/>
      <c r="DA23" s="663"/>
      <c r="DB23" s="663"/>
      <c r="DC23" s="663"/>
      <c r="DD23" s="663"/>
      <c r="DE23" s="663"/>
      <c r="DF23" s="663"/>
      <c r="DG23" s="663"/>
      <c r="DH23" s="663"/>
      <c r="DI23" s="663"/>
      <c r="DJ23" s="663"/>
      <c r="DK23" s="663"/>
      <c r="DL23" s="663"/>
      <c r="DM23" s="663"/>
      <c r="DN23" s="663"/>
      <c r="DO23" s="663"/>
      <c r="DP23" s="663"/>
      <c r="DQ23" s="663"/>
      <c r="DR23" s="663"/>
      <c r="DS23" s="663"/>
      <c r="DT23" s="663"/>
      <c r="DU23" s="663"/>
      <c r="DV23" s="663"/>
      <c r="DW23" s="663"/>
      <c r="DX23" s="663"/>
      <c r="DY23" s="663"/>
      <c r="DZ23" s="663"/>
      <c r="EA23" s="663"/>
      <c r="EB23" s="663"/>
      <c r="EC23" s="663"/>
      <c r="ED23" s="663"/>
      <c r="EE23" s="663"/>
      <c r="EF23" s="663"/>
      <c r="EG23" s="663"/>
      <c r="EH23" s="440"/>
      <c r="EI23" s="440"/>
    </row>
    <row r="24" spans="2:139" ht="15" customHeight="1">
      <c r="AX24" s="440"/>
      <c r="AY24" s="440"/>
      <c r="AZ24" s="440"/>
      <c r="BA24" s="440"/>
      <c r="BB24" s="440"/>
      <c r="BC24" s="440"/>
      <c r="BD24" s="440"/>
      <c r="BE24" s="440"/>
      <c r="BF24" s="440"/>
      <c r="BG24" s="440"/>
      <c r="BH24" s="440"/>
      <c r="BI24" s="440"/>
      <c r="BJ24" s="440"/>
      <c r="BK24" s="440"/>
      <c r="BL24" s="634" t="s">
        <v>277</v>
      </c>
      <c r="BM24" s="440"/>
      <c r="BN24" s="440"/>
      <c r="BO24" s="440"/>
      <c r="BP24" s="440"/>
      <c r="BQ24" s="440"/>
      <c r="BR24" s="440"/>
      <c r="BS24" s="440"/>
      <c r="BT24" s="440"/>
      <c r="BU24" s="440"/>
      <c r="BV24" s="440"/>
      <c r="CA24" s="41"/>
      <c r="CB24" s="631"/>
      <c r="CC24" s="631"/>
      <c r="CD24" s="631"/>
      <c r="CE24" s="631"/>
      <c r="CF24" s="631"/>
      <c r="CI24" s="440"/>
      <c r="CJ24" s="440"/>
      <c r="CK24" s="440"/>
      <c r="CL24" s="440"/>
      <c r="CM24" s="440"/>
      <c r="CN24" s="440"/>
      <c r="CO24" s="440"/>
      <c r="CP24" s="440"/>
      <c r="CQ24" s="440"/>
      <c r="CR24" s="440"/>
      <c r="CS24" s="440"/>
      <c r="CT24" s="440"/>
      <c r="CU24" s="440"/>
      <c r="CV24" s="440"/>
      <c r="CW24" s="440"/>
      <c r="CY24" s="631"/>
      <c r="CZ24" s="631"/>
      <c r="DA24" s="631"/>
      <c r="DB24" s="631"/>
      <c r="DC24" s="631"/>
      <c r="DD24" s="631"/>
    </row>
    <row r="25" spans="2:139" ht="15.75" customHeight="1">
      <c r="B25" s="536"/>
      <c r="AX25" s="440"/>
      <c r="AY25" s="440"/>
      <c r="AZ25" s="440"/>
      <c r="BA25" s="440"/>
      <c r="BB25" s="440"/>
      <c r="BC25" s="440"/>
      <c r="BD25" s="440"/>
      <c r="BE25" s="440"/>
      <c r="BF25" s="440"/>
      <c r="BG25" s="440"/>
      <c r="BH25" s="440"/>
      <c r="BI25" s="440"/>
      <c r="BJ25" s="440"/>
      <c r="BK25" s="440"/>
      <c r="BL25" s="634"/>
      <c r="BM25" s="440"/>
      <c r="BN25" s="440"/>
      <c r="BO25" s="440"/>
      <c r="BP25" s="440"/>
      <c r="BQ25" s="440"/>
      <c r="BR25" s="440"/>
      <c r="BS25" s="440"/>
      <c r="BT25" s="440"/>
      <c r="BU25" s="440"/>
      <c r="BV25" s="440"/>
      <c r="CA25" s="41"/>
      <c r="CB25" s="631"/>
      <c r="CC25" s="631"/>
      <c r="CD25" s="631"/>
      <c r="CE25" s="631"/>
      <c r="CF25" s="631"/>
      <c r="CI25" s="440"/>
      <c r="CJ25" s="440"/>
      <c r="CK25" s="440"/>
      <c r="CL25" s="440"/>
      <c r="CM25" s="440"/>
      <c r="CN25" s="440"/>
      <c r="CO25" s="440"/>
      <c r="CP25" s="440"/>
      <c r="CQ25" s="440"/>
      <c r="CR25" s="440"/>
      <c r="CS25" s="440"/>
      <c r="CT25" s="440"/>
      <c r="CU25" s="440"/>
      <c r="CV25" s="440"/>
      <c r="CW25" s="440"/>
      <c r="CY25" s="631"/>
      <c r="CZ25" s="631"/>
      <c r="DA25" s="631"/>
      <c r="DB25" s="631"/>
      <c r="DC25" s="631"/>
      <c r="DD25" s="631"/>
    </row>
    <row r="26" spans="2:139" ht="16.5" customHeight="1">
      <c r="C26" s="536"/>
      <c r="F26" s="635" t="s">
        <v>561</v>
      </c>
      <c r="G26" s="632"/>
      <c r="I26" s="632"/>
      <c r="J26" s="632"/>
      <c r="K26" s="632"/>
      <c r="L26" s="632"/>
      <c r="M26" s="632"/>
      <c r="N26" s="632"/>
      <c r="O26" s="632"/>
      <c r="P26" s="632"/>
      <c r="Q26" s="632"/>
      <c r="R26" s="632"/>
      <c r="S26" s="632"/>
      <c r="T26" s="632"/>
      <c r="U26" s="632"/>
      <c r="V26" s="632"/>
      <c r="W26" s="632"/>
      <c r="X26" s="632"/>
      <c r="Y26" s="632"/>
      <c r="Z26" s="632"/>
      <c r="AA26" s="632"/>
      <c r="AB26" s="632"/>
      <c r="AC26" s="632"/>
      <c r="AD26" s="632"/>
      <c r="AE26" s="632"/>
      <c r="AF26" s="632"/>
      <c r="AG26" s="632"/>
      <c r="AH26" s="632"/>
      <c r="AI26" s="632"/>
      <c r="AJ26" s="632"/>
      <c r="AK26" s="632"/>
      <c r="AL26" s="632"/>
      <c r="AM26" s="632"/>
      <c r="AN26" s="632"/>
      <c r="AO26" s="632"/>
      <c r="AP26" s="632"/>
      <c r="AQ26" s="632"/>
      <c r="AR26" s="632"/>
      <c r="AS26" s="632"/>
      <c r="AT26" s="632"/>
      <c r="AU26" s="632"/>
      <c r="AV26" s="632"/>
      <c r="AW26" s="632"/>
      <c r="AX26" s="632"/>
      <c r="AY26" s="632"/>
      <c r="AZ26" s="632"/>
      <c r="BA26" s="632"/>
      <c r="BB26" s="632"/>
      <c r="BC26" s="632"/>
      <c r="BD26" s="632"/>
      <c r="BE26" s="632"/>
      <c r="BF26" s="632"/>
      <c r="BG26" s="632"/>
      <c r="BH26" s="632"/>
      <c r="BI26" s="632"/>
      <c r="BJ26" s="632"/>
      <c r="BK26" s="632"/>
      <c r="BL26" s="632"/>
      <c r="BM26" s="632"/>
      <c r="BN26" s="632"/>
      <c r="BO26" s="632"/>
      <c r="BP26" s="632"/>
      <c r="BQ26" s="632"/>
      <c r="BR26" s="632"/>
      <c r="BS26" s="632"/>
      <c r="BT26" s="632"/>
      <c r="BU26" s="632"/>
      <c r="BV26" s="632"/>
      <c r="BW26" s="632"/>
      <c r="BX26" s="632"/>
      <c r="BY26" s="632"/>
      <c r="BZ26" s="632"/>
      <c r="CA26" s="632"/>
      <c r="CB26" s="632"/>
      <c r="CC26" s="632"/>
      <c r="CD26" s="632"/>
      <c r="CE26" s="632"/>
      <c r="CF26" s="632"/>
      <c r="CG26" s="632"/>
      <c r="CH26" s="632"/>
      <c r="CI26" s="632"/>
      <c r="CJ26" s="632"/>
      <c r="CK26" s="632"/>
      <c r="CL26" s="632"/>
      <c r="CM26" s="632"/>
      <c r="CN26" s="632"/>
      <c r="CO26" s="632"/>
      <c r="CP26" s="632"/>
      <c r="CQ26" s="632"/>
      <c r="CR26" s="632"/>
      <c r="CS26" s="632"/>
      <c r="CT26" s="632"/>
      <c r="CU26" s="632"/>
      <c r="CV26" s="632"/>
      <c r="CW26" s="632"/>
      <c r="CX26" s="632"/>
      <c r="CY26" s="632"/>
      <c r="CZ26" s="632"/>
      <c r="DA26" s="632"/>
      <c r="DB26" s="632"/>
      <c r="DC26" s="632"/>
      <c r="DD26" s="632"/>
      <c r="DE26" s="632"/>
      <c r="DF26" s="632"/>
      <c r="DG26" s="632"/>
      <c r="DH26" s="632"/>
      <c r="DI26" s="632"/>
      <c r="DJ26" s="632"/>
      <c r="DK26" s="632"/>
      <c r="DL26" s="632"/>
      <c r="DM26" s="632"/>
      <c r="DN26" s="632"/>
      <c r="DO26" s="632"/>
      <c r="DP26" s="632"/>
      <c r="DQ26" s="632"/>
      <c r="DR26" s="632"/>
      <c r="DS26" s="632"/>
      <c r="DT26" s="632"/>
      <c r="DU26" s="632"/>
      <c r="DV26" s="632"/>
      <c r="DW26" s="632"/>
      <c r="DX26" s="632"/>
      <c r="DY26" s="632"/>
      <c r="DZ26" s="632"/>
      <c r="EA26" s="632"/>
      <c r="EB26" s="632"/>
      <c r="EC26" s="632"/>
      <c r="ED26" s="632"/>
      <c r="EE26" s="632"/>
      <c r="EF26" s="632"/>
      <c r="EG26" s="632"/>
      <c r="EH26" s="632"/>
      <c r="EI26" s="632"/>
    </row>
    <row r="27" spans="2:139" s="638" customFormat="1" ht="15" customHeight="1">
      <c r="B27" s="635" t="s">
        <v>562</v>
      </c>
      <c r="C27" s="636"/>
      <c r="D27" s="636"/>
      <c r="E27" s="637"/>
      <c r="F27" s="636"/>
      <c r="H27" s="636"/>
      <c r="I27" s="636"/>
      <c r="J27" s="636"/>
      <c r="K27" s="636"/>
      <c r="L27" s="636"/>
      <c r="M27" s="636"/>
      <c r="N27" s="636"/>
      <c r="O27" s="636"/>
      <c r="P27" s="636"/>
      <c r="Q27" s="636"/>
      <c r="R27" s="636"/>
      <c r="S27" s="636"/>
      <c r="T27" s="636"/>
      <c r="U27" s="636"/>
      <c r="V27" s="636"/>
      <c r="W27" s="636"/>
      <c r="X27" s="636"/>
      <c r="Y27" s="636"/>
      <c r="Z27" s="636"/>
      <c r="AA27" s="636"/>
      <c r="AB27" s="636"/>
      <c r="AC27" s="636"/>
      <c r="AD27" s="636"/>
      <c r="AE27" s="636"/>
      <c r="AF27" s="636"/>
      <c r="AG27" s="636"/>
      <c r="AH27" s="636"/>
      <c r="AI27" s="636"/>
      <c r="AJ27" s="636"/>
      <c r="AK27" s="636"/>
      <c r="AL27" s="636"/>
      <c r="AM27" s="636"/>
      <c r="AN27" s="636"/>
      <c r="AO27" s="636"/>
      <c r="AP27" s="636"/>
      <c r="AQ27" s="636"/>
      <c r="AR27" s="636"/>
      <c r="AS27" s="636"/>
      <c r="AT27" s="636"/>
      <c r="AU27" s="636"/>
      <c r="AV27" s="636"/>
      <c r="AW27" s="636"/>
      <c r="AX27" s="636"/>
      <c r="AY27" s="636"/>
      <c r="AZ27" s="636"/>
      <c r="BA27" s="636"/>
      <c r="BB27" s="636"/>
      <c r="BC27" s="636"/>
      <c r="BD27" s="636"/>
      <c r="BE27" s="636"/>
      <c r="BF27" s="636"/>
      <c r="BG27" s="636"/>
      <c r="BH27" s="636"/>
      <c r="BI27" s="636"/>
      <c r="BJ27" s="636"/>
      <c r="BK27" s="636"/>
      <c r="BL27" s="636"/>
      <c r="BM27" s="636"/>
      <c r="BN27" s="636"/>
      <c r="BO27" s="636"/>
      <c r="BP27" s="636"/>
      <c r="BQ27" s="636"/>
      <c r="BR27" s="639"/>
      <c r="BS27" s="639"/>
      <c r="BT27" s="639"/>
      <c r="BU27" s="639"/>
      <c r="BV27" s="639"/>
      <c r="BW27" s="639"/>
      <c r="BX27" s="639"/>
      <c r="BY27" s="639"/>
      <c r="BZ27" s="639"/>
      <c r="CA27" s="639"/>
      <c r="CB27" s="639"/>
      <c r="CC27" s="639"/>
      <c r="CD27" s="639"/>
      <c r="CE27" s="639"/>
      <c r="CF27" s="639"/>
      <c r="CG27" s="639"/>
      <c r="CH27" s="639"/>
      <c r="CI27" s="639"/>
      <c r="CJ27" s="639"/>
      <c r="CK27" s="639"/>
      <c r="CL27" s="639"/>
      <c r="CM27" s="636"/>
      <c r="CN27" s="636"/>
      <c r="CO27" s="636"/>
      <c r="CP27" s="636"/>
      <c r="CQ27" s="636"/>
      <c r="CR27" s="636"/>
      <c r="CS27" s="636"/>
      <c r="CT27" s="636"/>
      <c r="CU27" s="636"/>
      <c r="CV27" s="636"/>
      <c r="CW27" s="636"/>
      <c r="CX27" s="636"/>
      <c r="CY27" s="636"/>
      <c r="CZ27" s="636"/>
      <c r="DA27" s="636"/>
      <c r="DB27" s="636"/>
      <c r="DC27" s="636"/>
      <c r="DD27" s="636"/>
      <c r="DE27" s="636"/>
      <c r="DF27" s="636"/>
      <c r="DG27" s="636"/>
      <c r="DH27" s="636"/>
      <c r="DI27" s="640"/>
      <c r="DJ27" s="640"/>
      <c r="DK27" s="640"/>
      <c r="DL27" s="640"/>
      <c r="DM27" s="640"/>
      <c r="DN27" s="640"/>
      <c r="DO27" s="640"/>
      <c r="DP27" s="640"/>
      <c r="DQ27" s="640"/>
      <c r="DR27" s="640"/>
      <c r="DS27" s="640"/>
      <c r="DT27" s="640"/>
      <c r="DU27" s="640"/>
      <c r="DV27" s="640"/>
      <c r="DW27" s="640"/>
      <c r="DX27" s="640"/>
      <c r="DY27" s="640"/>
      <c r="DZ27" s="640"/>
      <c r="EA27" s="640"/>
      <c r="EB27" s="640"/>
      <c r="EC27" s="640"/>
      <c r="ED27" s="640"/>
    </row>
    <row r="28" spans="2:139" s="630" customFormat="1" ht="15" customHeight="1">
      <c r="B28" s="635" t="s">
        <v>563</v>
      </c>
      <c r="C28" s="636"/>
      <c r="D28" s="636"/>
      <c r="E28" s="636"/>
      <c r="F28" s="636"/>
      <c r="G28" s="636"/>
      <c r="H28" s="636"/>
      <c r="I28" s="636"/>
      <c r="J28" s="636"/>
      <c r="K28" s="636"/>
      <c r="L28" s="636"/>
      <c r="M28" s="636"/>
      <c r="N28" s="636"/>
      <c r="O28" s="636"/>
      <c r="P28" s="636"/>
      <c r="Q28" s="636"/>
      <c r="R28" s="636"/>
      <c r="S28" s="636"/>
      <c r="T28" s="636"/>
      <c r="U28" s="636"/>
      <c r="V28" s="636"/>
      <c r="W28" s="636"/>
      <c r="X28" s="636"/>
      <c r="Y28" s="636"/>
      <c r="Z28" s="636"/>
      <c r="AA28" s="636"/>
      <c r="AB28" s="636"/>
      <c r="AC28" s="636"/>
      <c r="AD28" s="636"/>
      <c r="AE28" s="636"/>
      <c r="AF28" s="636"/>
      <c r="AG28" s="636"/>
      <c r="AH28" s="636"/>
      <c r="AI28" s="636"/>
      <c r="AJ28" s="636"/>
      <c r="AK28" s="636"/>
      <c r="AL28" s="636"/>
      <c r="AM28" s="636"/>
      <c r="AN28" s="636"/>
      <c r="AO28" s="636"/>
      <c r="AP28" s="636"/>
      <c r="AQ28" s="636"/>
      <c r="AR28" s="636"/>
      <c r="AS28" s="636"/>
      <c r="AT28" s="636"/>
      <c r="AU28" s="636"/>
      <c r="AV28" s="636"/>
      <c r="AW28" s="636"/>
      <c r="AX28" s="636"/>
      <c r="AY28" s="636"/>
      <c r="AZ28" s="636"/>
      <c r="BA28" s="636"/>
      <c r="BB28" s="636"/>
      <c r="BC28" s="636"/>
      <c r="BD28" s="636"/>
      <c r="BE28" s="636"/>
      <c r="BF28" s="636"/>
      <c r="BG28" s="636"/>
      <c r="BH28" s="636"/>
      <c r="BI28" s="636"/>
      <c r="BJ28" s="636"/>
      <c r="BK28" s="636"/>
      <c r="BL28" s="636"/>
      <c r="BM28" s="636"/>
      <c r="BN28" s="636"/>
      <c r="BO28" s="636"/>
      <c r="BP28" s="636"/>
      <c r="BQ28" s="636"/>
      <c r="BR28" s="641"/>
      <c r="BS28" s="641"/>
      <c r="BT28" s="641"/>
      <c r="BU28" s="641"/>
      <c r="BV28" s="641"/>
      <c r="BW28" s="637"/>
      <c r="BX28" s="637"/>
      <c r="BY28" s="642"/>
      <c r="BZ28" s="642"/>
      <c r="CA28" s="639"/>
      <c r="CB28" s="639"/>
      <c r="CC28" s="639"/>
      <c r="CD28" s="639"/>
      <c r="CE28" s="639"/>
      <c r="CF28" s="639"/>
      <c r="CG28" s="639"/>
      <c r="CH28" s="639"/>
      <c r="CI28" s="639"/>
      <c r="CJ28" s="641"/>
      <c r="CK28" s="641"/>
      <c r="CL28" s="641"/>
      <c r="CM28" s="636"/>
      <c r="CN28" s="636"/>
      <c r="CO28" s="636"/>
      <c r="CP28" s="636"/>
      <c r="CQ28" s="636"/>
      <c r="CR28" s="636"/>
      <c r="CS28" s="636"/>
      <c r="CT28" s="636"/>
      <c r="CU28" s="636"/>
      <c r="CV28" s="636"/>
      <c r="CW28" s="636"/>
      <c r="CX28" s="636"/>
      <c r="CY28" s="636"/>
      <c r="CZ28" s="636"/>
      <c r="DA28" s="636"/>
      <c r="DB28" s="636"/>
      <c r="DC28" s="636"/>
      <c r="DD28" s="636"/>
      <c r="DE28" s="636"/>
      <c r="DF28" s="636"/>
      <c r="DG28" s="636"/>
      <c r="DH28" s="636"/>
      <c r="DI28" s="640"/>
      <c r="DJ28" s="640"/>
      <c r="DK28" s="640"/>
      <c r="DL28" s="640"/>
      <c r="DM28" s="640"/>
      <c r="DN28" s="640"/>
      <c r="DO28" s="640"/>
      <c r="DP28" s="640"/>
      <c r="DQ28" s="640"/>
      <c r="DR28" s="640"/>
      <c r="DS28" s="640"/>
      <c r="DT28" s="640"/>
      <c r="DU28" s="640"/>
      <c r="DV28" s="640"/>
      <c r="DW28" s="640"/>
      <c r="DX28" s="640"/>
      <c r="DY28" s="640"/>
      <c r="DZ28" s="640"/>
      <c r="EA28" s="640"/>
      <c r="EB28" s="640"/>
      <c r="EC28" s="640"/>
      <c r="ED28" s="640"/>
    </row>
    <row r="29" spans="2:139" s="648" customFormat="1" ht="15" customHeight="1">
      <c r="B29" s="636"/>
      <c r="C29" s="636"/>
      <c r="D29" s="636"/>
      <c r="E29" s="636"/>
      <c r="F29" s="636"/>
      <c r="G29" s="636"/>
      <c r="H29" s="643"/>
      <c r="I29" s="643"/>
      <c r="J29" s="643"/>
      <c r="K29" s="643"/>
      <c r="L29" s="643"/>
      <c r="M29" s="637"/>
      <c r="N29" s="643"/>
      <c r="O29" s="643"/>
      <c r="P29" s="643"/>
      <c r="Q29" s="643"/>
      <c r="R29" s="643"/>
      <c r="S29" s="643"/>
      <c r="T29" s="643"/>
      <c r="U29" s="643"/>
      <c r="V29" s="643"/>
      <c r="W29" s="643"/>
      <c r="X29" s="643"/>
      <c r="Y29" s="643"/>
      <c r="Z29" s="643"/>
      <c r="AA29" s="643"/>
      <c r="AB29" s="643"/>
      <c r="AC29" s="643"/>
      <c r="AD29" s="643"/>
      <c r="AE29" s="643"/>
      <c r="AF29" s="643"/>
      <c r="AG29" s="643"/>
      <c r="AH29" s="643"/>
      <c r="AI29" s="643"/>
      <c r="AJ29" s="643"/>
      <c r="AK29" s="643"/>
      <c r="AL29" s="643"/>
      <c r="AM29" s="643"/>
      <c r="AN29" s="643"/>
      <c r="AO29" s="643"/>
      <c r="AP29" s="643"/>
      <c r="AQ29" s="643"/>
      <c r="AR29" s="643"/>
      <c r="AS29" s="643"/>
      <c r="AT29" s="643"/>
      <c r="AU29" s="643"/>
      <c r="AV29" s="643"/>
      <c r="AW29" s="643"/>
      <c r="AX29" s="643"/>
      <c r="AY29" s="643"/>
      <c r="AZ29" s="643"/>
      <c r="BA29" s="643"/>
      <c r="BB29" s="643"/>
      <c r="BC29" s="643"/>
      <c r="BD29" s="643"/>
      <c r="BE29" s="643"/>
      <c r="BF29" s="643"/>
      <c r="BG29" s="643"/>
      <c r="BH29" s="643"/>
      <c r="BI29" s="643"/>
      <c r="BJ29" s="643"/>
      <c r="BK29" s="643"/>
      <c r="BL29" s="643"/>
      <c r="BM29" s="643"/>
      <c r="BN29" s="643"/>
      <c r="BO29" s="643"/>
      <c r="BP29" s="643"/>
      <c r="BQ29" s="643"/>
      <c r="BR29" s="644"/>
      <c r="BS29" s="644"/>
      <c r="BT29" s="644"/>
      <c r="BU29" s="644"/>
      <c r="BV29" s="644"/>
      <c r="BW29" s="645"/>
      <c r="BX29" s="645"/>
      <c r="BY29" s="645"/>
      <c r="BZ29" s="645"/>
      <c r="CA29" s="646"/>
      <c r="CB29" s="646"/>
      <c r="CC29" s="646"/>
      <c r="CD29" s="646"/>
      <c r="CE29" s="646"/>
      <c r="CF29" s="646"/>
      <c r="CG29" s="646"/>
      <c r="CH29" s="646"/>
      <c r="CI29" s="646"/>
      <c r="CJ29" s="644"/>
      <c r="CK29" s="644"/>
      <c r="CL29" s="644"/>
      <c r="CM29" s="643"/>
      <c r="CN29" s="643"/>
      <c r="CO29" s="643"/>
      <c r="CP29" s="643"/>
      <c r="CQ29" s="643"/>
      <c r="CR29" s="643"/>
      <c r="CS29" s="643"/>
      <c r="CT29" s="643"/>
      <c r="CU29" s="643"/>
      <c r="CV29" s="643"/>
      <c r="CW29" s="643"/>
      <c r="CX29" s="643"/>
      <c r="CY29" s="643"/>
      <c r="CZ29" s="643"/>
      <c r="DA29" s="643"/>
      <c r="DB29" s="643"/>
      <c r="DC29" s="643"/>
      <c r="DD29" s="643"/>
      <c r="DE29" s="643"/>
      <c r="DF29" s="643"/>
      <c r="DG29" s="643"/>
      <c r="DH29" s="643"/>
      <c r="DI29" s="647"/>
      <c r="DJ29" s="647"/>
      <c r="DK29" s="647"/>
      <c r="DL29" s="647"/>
      <c r="DM29" s="647"/>
      <c r="DN29" s="647"/>
      <c r="DO29" s="647"/>
      <c r="DP29" s="647"/>
      <c r="DQ29" s="647"/>
      <c r="DR29" s="647"/>
      <c r="DS29" s="647"/>
      <c r="DT29" s="647"/>
      <c r="DU29" s="647"/>
      <c r="DV29" s="647"/>
      <c r="DW29" s="647"/>
      <c r="DX29" s="647"/>
      <c r="DY29" s="647"/>
      <c r="DZ29" s="647"/>
      <c r="EA29" s="647"/>
      <c r="EB29" s="647"/>
      <c r="EC29" s="647"/>
      <c r="ED29" s="647"/>
    </row>
    <row r="30" spans="2:139" s="648" customFormat="1" ht="15" customHeight="1">
      <c r="B30" s="635" t="s">
        <v>78</v>
      </c>
      <c r="C30" s="636"/>
      <c r="D30" s="636"/>
      <c r="E30" s="636"/>
      <c r="F30" s="636"/>
      <c r="G30" s="636"/>
      <c r="H30" s="643"/>
      <c r="I30" s="643"/>
      <c r="J30" s="643"/>
      <c r="K30" s="643"/>
      <c r="L30" s="643"/>
      <c r="M30" s="643"/>
      <c r="N30" s="643"/>
      <c r="O30" s="643"/>
      <c r="P30" s="643"/>
      <c r="Q30" s="643"/>
      <c r="R30" s="643"/>
      <c r="S30" s="643"/>
      <c r="T30" s="643"/>
      <c r="U30" s="643"/>
      <c r="V30" s="643"/>
      <c r="W30" s="643"/>
      <c r="X30" s="643"/>
      <c r="Y30" s="643"/>
      <c r="Z30" s="643"/>
      <c r="AA30" s="643"/>
      <c r="AB30" s="643"/>
      <c r="AC30" s="643"/>
      <c r="AD30" s="643"/>
      <c r="AE30" s="643"/>
      <c r="AF30" s="643"/>
      <c r="AG30" s="643"/>
      <c r="AH30" s="643"/>
      <c r="AI30" s="643"/>
      <c r="AJ30" s="643"/>
      <c r="AK30" s="643"/>
      <c r="AL30" s="643"/>
      <c r="AM30" s="643"/>
      <c r="AN30" s="643"/>
      <c r="AO30" s="649"/>
      <c r="AP30" s="649"/>
      <c r="AQ30" s="649"/>
      <c r="AR30" s="1650" t="s">
        <v>291</v>
      </c>
      <c r="AS30" s="1650"/>
      <c r="AT30" s="1650"/>
      <c r="AU30" s="1650"/>
      <c r="AV30" s="1650"/>
      <c r="AW30" s="1650"/>
      <c r="AX30" s="1650"/>
      <c r="AY30" s="1650"/>
      <c r="AZ30" s="1650"/>
      <c r="BA30" s="1650"/>
      <c r="BB30" s="1650"/>
      <c r="BC30" s="1650"/>
      <c r="BD30" s="1650"/>
      <c r="BE30" s="1650"/>
      <c r="BF30" s="1650"/>
      <c r="BG30" s="1650"/>
      <c r="BH30" s="1650"/>
      <c r="BI30" s="1650"/>
      <c r="BJ30" s="1650"/>
      <c r="BK30" s="1650"/>
      <c r="BL30" s="1650"/>
      <c r="BM30" s="1650"/>
      <c r="BN30" s="1650"/>
      <c r="BO30" s="1650"/>
      <c r="BP30" s="1650"/>
      <c r="BQ30" s="1650"/>
      <c r="BR30" s="650"/>
      <c r="BS30" s="651"/>
      <c r="BT30" s="1651"/>
      <c r="BU30" s="1651"/>
      <c r="BV30" s="1651"/>
      <c r="BW30" s="1651"/>
      <c r="BX30" s="1651"/>
      <c r="BY30" s="1651"/>
      <c r="BZ30" s="1651"/>
      <c r="CA30" s="1651"/>
      <c r="CB30" s="1651"/>
      <c r="CC30" s="1651"/>
      <c r="CD30" s="1651"/>
      <c r="CE30" s="1651"/>
      <c r="CF30" s="1651"/>
      <c r="CG30" s="1651"/>
      <c r="CH30" s="1651"/>
      <c r="CI30" s="1651"/>
      <c r="CJ30" s="1651"/>
      <c r="CK30" s="1651"/>
      <c r="CL30" s="1651"/>
      <c r="CM30" s="1651"/>
      <c r="CN30" s="651"/>
      <c r="CO30" s="651"/>
      <c r="CP30" s="1652" t="s">
        <v>33</v>
      </c>
      <c r="CQ30" s="1652"/>
      <c r="CR30" s="1652"/>
      <c r="CS30" s="1652"/>
      <c r="CT30" s="1652"/>
      <c r="CU30" s="1652"/>
      <c r="CV30" s="1652"/>
      <c r="CW30" s="1652"/>
      <c r="CX30" s="1652"/>
      <c r="CY30" s="1652"/>
      <c r="CZ30" s="1652"/>
      <c r="DA30" s="1652"/>
      <c r="DB30" s="1652"/>
      <c r="DC30" s="1652"/>
      <c r="DD30" s="1652"/>
      <c r="DE30" s="1652"/>
      <c r="DF30" s="1652"/>
      <c r="DG30" s="1652"/>
      <c r="DH30" s="1652"/>
      <c r="DI30" s="1652"/>
      <c r="DJ30" s="1652"/>
      <c r="DK30" s="1652"/>
      <c r="DL30" s="1652"/>
      <c r="DM30" s="1652"/>
      <c r="DN30" s="1652"/>
      <c r="DO30" s="1652"/>
      <c r="DP30" s="1652"/>
      <c r="DQ30" s="1652"/>
      <c r="DR30" s="1652"/>
      <c r="DS30" s="1652"/>
      <c r="DT30" s="1652"/>
      <c r="DU30" s="1652"/>
      <c r="DV30" s="1652"/>
      <c r="DW30" s="1652"/>
      <c r="DX30" s="1652"/>
      <c r="DY30" s="1652"/>
      <c r="DZ30" s="1652"/>
      <c r="EA30" s="1652"/>
      <c r="EB30" s="652"/>
      <c r="EC30" s="652"/>
      <c r="ED30" s="652"/>
      <c r="EE30" s="652"/>
    </row>
    <row r="31" spans="2:139" s="648" customFormat="1" ht="9" customHeight="1">
      <c r="B31" s="642"/>
      <c r="C31" s="642"/>
      <c r="D31" s="642"/>
      <c r="E31" s="642"/>
      <c r="F31" s="642"/>
      <c r="G31" s="642"/>
      <c r="H31" s="649"/>
      <c r="I31" s="649"/>
      <c r="J31" s="649"/>
      <c r="K31" s="649"/>
      <c r="L31" s="649"/>
      <c r="M31" s="649"/>
      <c r="N31" s="649"/>
      <c r="O31" s="649"/>
      <c r="P31" s="649"/>
      <c r="Q31" s="649"/>
      <c r="R31" s="649"/>
      <c r="S31" s="649"/>
      <c r="T31" s="649"/>
      <c r="U31" s="649"/>
      <c r="V31" s="649"/>
      <c r="W31" s="649"/>
      <c r="X31" s="649"/>
      <c r="Y31" s="649"/>
      <c r="Z31" s="649"/>
      <c r="AA31" s="649"/>
      <c r="AB31" s="649"/>
      <c r="AC31" s="649"/>
      <c r="AD31" s="649"/>
      <c r="AE31" s="649"/>
      <c r="AF31" s="649"/>
      <c r="AG31" s="649"/>
      <c r="AH31" s="649"/>
      <c r="AI31" s="649"/>
      <c r="AJ31" s="649"/>
      <c r="AK31" s="649"/>
      <c r="AL31" s="649"/>
      <c r="AM31" s="649"/>
      <c r="AN31" s="649"/>
      <c r="AR31" s="1653" t="s">
        <v>183</v>
      </c>
      <c r="AS31" s="1653"/>
      <c r="AT31" s="1653"/>
      <c r="AU31" s="1653"/>
      <c r="AV31" s="1653"/>
      <c r="AW31" s="1653"/>
      <c r="AX31" s="1653"/>
      <c r="AY31" s="1653"/>
      <c r="AZ31" s="1653"/>
      <c r="BA31" s="1653"/>
      <c r="BB31" s="1653"/>
      <c r="BC31" s="1653"/>
      <c r="BD31" s="1653"/>
      <c r="BE31" s="1653"/>
      <c r="BF31" s="1653"/>
      <c r="BG31" s="1653"/>
      <c r="BH31" s="1653"/>
      <c r="BI31" s="1653"/>
      <c r="BJ31" s="1653"/>
      <c r="BK31" s="1653"/>
      <c r="BL31" s="1653"/>
      <c r="BM31" s="1653"/>
      <c r="BN31" s="1653"/>
      <c r="BO31" s="1653"/>
      <c r="BP31" s="1653"/>
      <c r="BQ31" s="1653"/>
      <c r="BR31" s="653"/>
      <c r="BS31" s="653"/>
      <c r="BT31" s="1653" t="s">
        <v>80</v>
      </c>
      <c r="BU31" s="1653"/>
      <c r="BV31" s="1653"/>
      <c r="BW31" s="1653"/>
      <c r="BX31" s="1653"/>
      <c r="BY31" s="1653"/>
      <c r="BZ31" s="1653"/>
      <c r="CA31" s="1653"/>
      <c r="CB31" s="1653"/>
      <c r="CC31" s="1653"/>
      <c r="CD31" s="1653"/>
      <c r="CE31" s="1653"/>
      <c r="CF31" s="1653"/>
      <c r="CG31" s="1653"/>
      <c r="CH31" s="1653"/>
      <c r="CI31" s="1653"/>
      <c r="CJ31" s="1653"/>
      <c r="CK31" s="1653"/>
      <c r="CL31" s="1653"/>
      <c r="CM31" s="1653"/>
      <c r="CN31" s="649"/>
      <c r="CO31" s="649"/>
      <c r="CP31" s="1653" t="s">
        <v>182</v>
      </c>
      <c r="CQ31" s="1653"/>
      <c r="CR31" s="1653"/>
      <c r="CS31" s="1653"/>
      <c r="CT31" s="1653"/>
      <c r="CU31" s="1653"/>
      <c r="CV31" s="1653"/>
      <c r="CW31" s="1653"/>
      <c r="CX31" s="1653"/>
      <c r="CY31" s="1653"/>
      <c r="CZ31" s="1653"/>
      <c r="DA31" s="1653"/>
      <c r="DB31" s="1653"/>
      <c r="DC31" s="1653"/>
      <c r="DD31" s="1653"/>
      <c r="DE31" s="1653"/>
      <c r="DF31" s="1653"/>
      <c r="DG31" s="1653"/>
      <c r="DH31" s="1653"/>
      <c r="DI31" s="1653"/>
      <c r="DJ31" s="1653"/>
      <c r="DK31" s="1653"/>
      <c r="DL31" s="1653"/>
      <c r="DM31" s="1653"/>
      <c r="DN31" s="1653"/>
      <c r="DO31" s="1653"/>
      <c r="DP31" s="1653"/>
      <c r="DQ31" s="1653"/>
      <c r="DR31" s="1653"/>
      <c r="DS31" s="1653"/>
      <c r="DT31" s="1653"/>
      <c r="DU31" s="1653"/>
      <c r="DV31" s="1653"/>
      <c r="DW31" s="1653"/>
      <c r="DX31" s="1653"/>
      <c r="DY31" s="1653"/>
      <c r="DZ31" s="1653"/>
      <c r="EA31" s="1653"/>
      <c r="EB31" s="653"/>
      <c r="EC31" s="653"/>
      <c r="ED31" s="653"/>
      <c r="EE31" s="653"/>
    </row>
    <row r="32" spans="2:139" s="648" customFormat="1" ht="15" customHeight="1">
      <c r="B32" s="687"/>
      <c r="C32" s="687"/>
      <c r="D32" s="687"/>
      <c r="E32" s="687"/>
      <c r="F32" s="687"/>
      <c r="G32" s="687"/>
      <c r="H32" s="688"/>
      <c r="I32" s="688"/>
      <c r="J32" s="688"/>
      <c r="K32" s="688"/>
      <c r="L32" s="688"/>
      <c r="M32" s="688"/>
      <c r="N32" s="688"/>
      <c r="O32" s="688"/>
      <c r="P32" s="688"/>
      <c r="Q32" s="688"/>
      <c r="R32" s="688"/>
      <c r="S32" s="688"/>
      <c r="T32" s="688"/>
      <c r="U32" s="688"/>
      <c r="V32" s="688"/>
      <c r="W32" s="688"/>
      <c r="X32" s="688"/>
      <c r="Y32" s="688"/>
      <c r="Z32" s="688"/>
      <c r="AA32" s="688"/>
      <c r="AB32" s="688"/>
      <c r="AC32" s="688"/>
      <c r="AD32" s="688"/>
      <c r="AE32" s="688"/>
      <c r="AF32" s="688"/>
      <c r="AG32" s="688"/>
      <c r="AH32" s="688"/>
      <c r="AI32" s="688"/>
      <c r="AJ32" s="688"/>
      <c r="AK32" s="688"/>
      <c r="AL32" s="688"/>
      <c r="AM32" s="688"/>
      <c r="AN32" s="688"/>
      <c r="AO32" s="689"/>
      <c r="AP32" s="689"/>
      <c r="AQ32" s="689"/>
      <c r="AR32" s="1647"/>
      <c r="AS32" s="1647"/>
      <c r="AT32" s="1647"/>
      <c r="AU32" s="1647"/>
      <c r="AV32" s="1647"/>
      <c r="AW32" s="1647"/>
      <c r="AX32" s="1647"/>
      <c r="AY32" s="1647"/>
      <c r="AZ32" s="1647"/>
      <c r="BA32" s="1647"/>
      <c r="BB32" s="1647"/>
      <c r="BC32" s="1647"/>
      <c r="BD32" s="1647"/>
      <c r="BE32" s="1647"/>
      <c r="BF32" s="1647"/>
      <c r="BG32" s="1647"/>
      <c r="BH32" s="1647"/>
      <c r="BI32" s="1647"/>
      <c r="BJ32" s="1647"/>
      <c r="BK32" s="1647"/>
      <c r="BL32" s="1647"/>
      <c r="BM32" s="1647"/>
      <c r="BN32" s="1647"/>
      <c r="BO32" s="1647"/>
      <c r="BP32" s="1647"/>
      <c r="BQ32" s="1647"/>
      <c r="BR32" s="690"/>
      <c r="BS32" s="691"/>
      <c r="BT32" s="1645"/>
      <c r="BU32" s="1645"/>
      <c r="BV32" s="1645"/>
      <c r="BW32" s="1645"/>
      <c r="BX32" s="1645"/>
      <c r="BY32" s="1645"/>
      <c r="BZ32" s="1645"/>
      <c r="CA32" s="1645"/>
      <c r="CB32" s="1645"/>
      <c r="CC32" s="1645"/>
      <c r="CD32" s="1645"/>
      <c r="CE32" s="1645"/>
      <c r="CF32" s="1645"/>
      <c r="CG32" s="1645"/>
      <c r="CH32" s="1645"/>
      <c r="CI32" s="1645"/>
      <c r="CJ32" s="1645"/>
      <c r="CK32" s="1645"/>
      <c r="CL32" s="1645"/>
      <c r="CM32" s="1645"/>
      <c r="CN32" s="691"/>
      <c r="CO32" s="691"/>
      <c r="CP32" s="1648"/>
      <c r="CQ32" s="1648"/>
      <c r="CR32" s="1648"/>
      <c r="CS32" s="1648"/>
      <c r="CT32" s="1648"/>
      <c r="CU32" s="1648"/>
      <c r="CV32" s="1648"/>
      <c r="CW32" s="1648"/>
      <c r="CX32" s="1648"/>
      <c r="CY32" s="1648"/>
      <c r="CZ32" s="1648"/>
      <c r="DA32" s="1648"/>
      <c r="DB32" s="1648"/>
      <c r="DC32" s="1648"/>
      <c r="DD32" s="1648"/>
      <c r="DE32" s="1648"/>
      <c r="DF32" s="1648"/>
      <c r="DG32" s="1648"/>
      <c r="DH32" s="1648"/>
      <c r="DI32" s="1648"/>
      <c r="DJ32" s="1648"/>
      <c r="DK32" s="1648"/>
      <c r="DL32" s="1648"/>
      <c r="DM32" s="1648"/>
      <c r="DN32" s="1648"/>
      <c r="DO32" s="1648"/>
      <c r="DP32" s="1648"/>
      <c r="DQ32" s="1648"/>
      <c r="DR32" s="1648"/>
      <c r="DS32" s="1648"/>
      <c r="DT32" s="1648"/>
      <c r="DU32" s="1648"/>
      <c r="DV32" s="1648"/>
      <c r="DW32" s="1648"/>
      <c r="DX32" s="1648"/>
      <c r="DY32" s="1648"/>
      <c r="DZ32" s="1648"/>
      <c r="EA32" s="1648"/>
      <c r="EB32" s="692"/>
      <c r="EC32" s="692"/>
      <c r="ED32" s="692"/>
      <c r="EE32" s="692"/>
      <c r="EF32" s="688"/>
      <c r="EG32" s="689"/>
      <c r="EH32" s="689"/>
      <c r="EI32" s="689"/>
    </row>
    <row r="33" spans="2:139" s="648" customFormat="1" ht="9" customHeight="1">
      <c r="B33" s="687"/>
      <c r="C33" s="687"/>
      <c r="D33" s="687"/>
      <c r="E33" s="687"/>
      <c r="F33" s="687"/>
      <c r="G33" s="687"/>
      <c r="H33" s="688"/>
      <c r="I33" s="688"/>
      <c r="J33" s="688"/>
      <c r="K33" s="688"/>
      <c r="L33" s="688"/>
      <c r="M33" s="688"/>
      <c r="N33" s="688"/>
      <c r="O33" s="688"/>
      <c r="P33" s="688"/>
      <c r="Q33" s="688"/>
      <c r="R33" s="688"/>
      <c r="S33" s="688"/>
      <c r="T33" s="688"/>
      <c r="U33" s="688"/>
      <c r="V33" s="688"/>
      <c r="W33" s="688"/>
      <c r="X33" s="688"/>
      <c r="Y33" s="688"/>
      <c r="Z33" s="688"/>
      <c r="AA33" s="688"/>
      <c r="AB33" s="688"/>
      <c r="AC33" s="688"/>
      <c r="AD33" s="688"/>
      <c r="AE33" s="688"/>
      <c r="AF33" s="688"/>
      <c r="AG33" s="688"/>
      <c r="AH33" s="688"/>
      <c r="AI33" s="688"/>
      <c r="AJ33" s="688"/>
      <c r="AK33" s="688"/>
      <c r="AL33" s="688"/>
      <c r="AM33" s="688"/>
      <c r="AN33" s="688"/>
      <c r="AO33" s="689"/>
      <c r="AP33" s="689"/>
      <c r="AQ33" s="689"/>
      <c r="AR33" s="1649" t="s">
        <v>183</v>
      </c>
      <c r="AS33" s="1649"/>
      <c r="AT33" s="1649"/>
      <c r="AU33" s="1649"/>
      <c r="AV33" s="1649"/>
      <c r="AW33" s="1649"/>
      <c r="AX33" s="1649"/>
      <c r="AY33" s="1649"/>
      <c r="AZ33" s="1649"/>
      <c r="BA33" s="1649"/>
      <c r="BB33" s="1649"/>
      <c r="BC33" s="1649"/>
      <c r="BD33" s="1649"/>
      <c r="BE33" s="1649"/>
      <c r="BF33" s="1649"/>
      <c r="BG33" s="1649"/>
      <c r="BH33" s="1649"/>
      <c r="BI33" s="1649"/>
      <c r="BJ33" s="1649"/>
      <c r="BK33" s="1649"/>
      <c r="BL33" s="1649"/>
      <c r="BM33" s="1649"/>
      <c r="BN33" s="1649"/>
      <c r="BO33" s="1649"/>
      <c r="BP33" s="1649"/>
      <c r="BQ33" s="1649"/>
      <c r="BR33" s="693"/>
      <c r="BS33" s="693"/>
      <c r="BT33" s="1649" t="s">
        <v>80</v>
      </c>
      <c r="BU33" s="1649"/>
      <c r="BV33" s="1649"/>
      <c r="BW33" s="1649"/>
      <c r="BX33" s="1649"/>
      <c r="BY33" s="1649"/>
      <c r="BZ33" s="1649"/>
      <c r="CA33" s="1649"/>
      <c r="CB33" s="1649"/>
      <c r="CC33" s="1649"/>
      <c r="CD33" s="1649"/>
      <c r="CE33" s="1649"/>
      <c r="CF33" s="1649"/>
      <c r="CG33" s="1649"/>
      <c r="CH33" s="1649"/>
      <c r="CI33" s="1649"/>
      <c r="CJ33" s="1649"/>
      <c r="CK33" s="1649"/>
      <c r="CL33" s="1649"/>
      <c r="CM33" s="1649"/>
      <c r="CN33" s="688"/>
      <c r="CO33" s="688"/>
      <c r="CP33" s="1649" t="s">
        <v>182</v>
      </c>
      <c r="CQ33" s="1649"/>
      <c r="CR33" s="1649"/>
      <c r="CS33" s="1649"/>
      <c r="CT33" s="1649"/>
      <c r="CU33" s="1649"/>
      <c r="CV33" s="1649"/>
      <c r="CW33" s="1649"/>
      <c r="CX33" s="1649"/>
      <c r="CY33" s="1649"/>
      <c r="CZ33" s="1649"/>
      <c r="DA33" s="1649"/>
      <c r="DB33" s="1649"/>
      <c r="DC33" s="1649"/>
      <c r="DD33" s="1649"/>
      <c r="DE33" s="1649"/>
      <c r="DF33" s="1649"/>
      <c r="DG33" s="1649"/>
      <c r="DH33" s="1649"/>
      <c r="DI33" s="1649"/>
      <c r="DJ33" s="1649"/>
      <c r="DK33" s="1649"/>
      <c r="DL33" s="1649"/>
      <c r="DM33" s="1649"/>
      <c r="DN33" s="1649"/>
      <c r="DO33" s="1649"/>
      <c r="DP33" s="1649"/>
      <c r="DQ33" s="1649"/>
      <c r="DR33" s="1649"/>
      <c r="DS33" s="1649"/>
      <c r="DT33" s="1649"/>
      <c r="DU33" s="1649"/>
      <c r="DV33" s="1649"/>
      <c r="DW33" s="1649"/>
      <c r="DX33" s="1649"/>
      <c r="DY33" s="1649"/>
      <c r="DZ33" s="1649"/>
      <c r="EA33" s="1649"/>
      <c r="EB33" s="693"/>
      <c r="EC33" s="693"/>
      <c r="ED33" s="693"/>
      <c r="EE33" s="693"/>
      <c r="EF33" s="689"/>
      <c r="EG33" s="689"/>
      <c r="EH33" s="689"/>
      <c r="EI33" s="689"/>
    </row>
    <row r="34" spans="2:139" s="648" customFormat="1" ht="9" customHeight="1">
      <c r="B34" s="687"/>
      <c r="C34" s="687"/>
      <c r="D34" s="687"/>
      <c r="E34" s="687"/>
      <c r="F34" s="687"/>
      <c r="G34" s="687"/>
      <c r="H34" s="688"/>
      <c r="I34" s="688"/>
      <c r="J34" s="688"/>
      <c r="K34" s="688"/>
      <c r="L34" s="688"/>
      <c r="M34" s="688"/>
      <c r="N34" s="688"/>
      <c r="O34" s="688"/>
      <c r="P34" s="688"/>
      <c r="Q34" s="688"/>
      <c r="R34" s="688"/>
      <c r="S34" s="688"/>
      <c r="T34" s="688"/>
      <c r="U34" s="688"/>
      <c r="V34" s="688"/>
      <c r="W34" s="688"/>
      <c r="X34" s="688"/>
      <c r="Y34" s="688"/>
      <c r="Z34" s="688"/>
      <c r="AA34" s="688"/>
      <c r="AB34" s="688"/>
      <c r="AC34" s="688"/>
      <c r="AD34" s="688"/>
      <c r="AE34" s="688"/>
      <c r="AF34" s="688"/>
      <c r="AG34" s="688"/>
      <c r="AH34" s="688"/>
      <c r="AI34" s="688"/>
      <c r="AJ34" s="688"/>
      <c r="AK34" s="688"/>
      <c r="AL34" s="688"/>
      <c r="AM34" s="688"/>
      <c r="AN34" s="688"/>
      <c r="AO34" s="689"/>
      <c r="AP34" s="689"/>
      <c r="AQ34" s="689"/>
      <c r="AR34" s="693"/>
      <c r="AS34" s="693"/>
      <c r="AT34" s="693"/>
      <c r="AU34" s="693"/>
      <c r="AV34" s="693"/>
      <c r="AW34" s="693"/>
      <c r="AX34" s="693"/>
      <c r="AY34" s="693"/>
      <c r="AZ34" s="693"/>
      <c r="BA34" s="693"/>
      <c r="BB34" s="693"/>
      <c r="BC34" s="693"/>
      <c r="BD34" s="693"/>
      <c r="BE34" s="693"/>
      <c r="BF34" s="693"/>
      <c r="BG34" s="693"/>
      <c r="BH34" s="693"/>
      <c r="BI34" s="693"/>
      <c r="BJ34" s="693"/>
      <c r="BK34" s="693"/>
      <c r="BL34" s="693"/>
      <c r="BM34" s="693"/>
      <c r="BN34" s="693"/>
      <c r="BO34" s="693"/>
      <c r="BP34" s="693"/>
      <c r="BQ34" s="693"/>
      <c r="BR34" s="693"/>
      <c r="BS34" s="693"/>
      <c r="BT34" s="693"/>
      <c r="BU34" s="693"/>
      <c r="BV34" s="693"/>
      <c r="BW34" s="693"/>
      <c r="BX34" s="693"/>
      <c r="BY34" s="693"/>
      <c r="BZ34" s="693"/>
      <c r="CA34" s="693"/>
      <c r="CB34" s="693"/>
      <c r="CC34" s="693"/>
      <c r="CD34" s="693"/>
      <c r="CE34" s="693"/>
      <c r="CF34" s="693"/>
      <c r="CG34" s="693"/>
      <c r="CH34" s="693"/>
      <c r="CI34" s="693"/>
      <c r="CJ34" s="693"/>
      <c r="CK34" s="693"/>
      <c r="CL34" s="693"/>
      <c r="CM34" s="693"/>
      <c r="CN34" s="688"/>
      <c r="CO34" s="688"/>
      <c r="CP34" s="693"/>
      <c r="CQ34" s="693"/>
      <c r="CR34" s="693"/>
      <c r="CS34" s="693"/>
      <c r="CT34" s="693"/>
      <c r="CU34" s="693"/>
      <c r="CV34" s="693"/>
      <c r="CW34" s="693"/>
      <c r="CX34" s="693"/>
      <c r="CY34" s="693"/>
      <c r="CZ34" s="693"/>
      <c r="DA34" s="693"/>
      <c r="DB34" s="693"/>
      <c r="DC34" s="693"/>
      <c r="DD34" s="693"/>
      <c r="DE34" s="693"/>
      <c r="DF34" s="693"/>
      <c r="DG34" s="693"/>
      <c r="DH34" s="693"/>
      <c r="DI34" s="693"/>
      <c r="DJ34" s="693"/>
      <c r="DK34" s="693"/>
      <c r="DL34" s="693"/>
      <c r="DM34" s="693"/>
      <c r="DN34" s="693"/>
      <c r="DO34" s="693"/>
      <c r="DP34" s="693"/>
      <c r="DQ34" s="693"/>
      <c r="DR34" s="693"/>
      <c r="DS34" s="693"/>
      <c r="DT34" s="693"/>
      <c r="DU34" s="693"/>
      <c r="DV34" s="693"/>
      <c r="DW34" s="693"/>
      <c r="DX34" s="693"/>
      <c r="DY34" s="693"/>
      <c r="DZ34" s="693"/>
      <c r="EA34" s="693"/>
      <c r="EB34" s="693"/>
      <c r="EC34" s="693"/>
      <c r="ED34" s="693"/>
      <c r="EE34" s="693"/>
      <c r="EF34" s="689"/>
      <c r="EG34" s="689"/>
      <c r="EH34" s="689"/>
      <c r="EI34" s="689"/>
    </row>
    <row r="35" spans="2:139" s="648" customFormat="1" ht="15" customHeight="1">
      <c r="B35" s="687"/>
      <c r="C35" s="687"/>
      <c r="D35" s="687"/>
      <c r="E35" s="687"/>
      <c r="F35" s="694" t="s">
        <v>564</v>
      </c>
      <c r="G35" s="690"/>
      <c r="H35" s="688"/>
      <c r="I35" s="688"/>
      <c r="J35" s="688"/>
      <c r="K35" s="688"/>
      <c r="L35" s="688"/>
      <c r="M35" s="688"/>
      <c r="N35" s="688"/>
      <c r="O35" s="688"/>
      <c r="P35" s="688"/>
      <c r="Q35" s="688"/>
      <c r="R35" s="688"/>
      <c r="S35" s="688"/>
      <c r="T35" s="688"/>
      <c r="U35" s="688"/>
      <c r="V35" s="688"/>
      <c r="W35" s="688"/>
      <c r="X35" s="688"/>
      <c r="Y35" s="688"/>
      <c r="Z35" s="688"/>
      <c r="AA35" s="688"/>
      <c r="AB35" s="688"/>
      <c r="AC35" s="688"/>
      <c r="AD35" s="688"/>
      <c r="AE35" s="688"/>
      <c r="AF35" s="688"/>
      <c r="AG35" s="688"/>
      <c r="AH35" s="688"/>
      <c r="AI35" s="688"/>
      <c r="AJ35" s="688"/>
      <c r="AK35" s="688"/>
      <c r="AL35" s="688"/>
      <c r="AM35" s="688"/>
      <c r="AN35" s="688"/>
      <c r="AO35" s="689"/>
      <c r="AP35" s="689"/>
      <c r="AQ35" s="689"/>
      <c r="AR35" s="693"/>
      <c r="AS35" s="693"/>
      <c r="AT35" s="693"/>
      <c r="AU35" s="693"/>
      <c r="AV35" s="693"/>
      <c r="AW35" s="693"/>
      <c r="AX35" s="693"/>
      <c r="AY35" s="693"/>
      <c r="AZ35" s="693"/>
      <c r="BA35" s="693"/>
      <c r="BB35" s="693"/>
      <c r="BC35" s="693"/>
      <c r="BD35" s="693"/>
      <c r="BE35" s="693"/>
      <c r="BF35" s="693"/>
      <c r="BG35" s="693"/>
      <c r="BH35" s="693"/>
      <c r="BI35" s="693"/>
      <c r="BJ35" s="693"/>
      <c r="BK35" s="693"/>
      <c r="BL35" s="693"/>
      <c r="BM35" s="693"/>
      <c r="BN35" s="693"/>
      <c r="BO35" s="693"/>
      <c r="BP35" s="693"/>
      <c r="BQ35" s="693"/>
      <c r="BR35" s="693"/>
      <c r="BS35" s="693"/>
      <c r="BT35" s="693"/>
      <c r="BU35" s="693"/>
      <c r="BV35" s="693"/>
      <c r="BW35" s="693"/>
      <c r="BX35" s="693"/>
      <c r="BY35" s="693"/>
      <c r="BZ35" s="693"/>
      <c r="CA35" s="693"/>
      <c r="CB35" s="693"/>
      <c r="CC35" s="693"/>
      <c r="CD35" s="693"/>
      <c r="CE35" s="693"/>
      <c r="CF35" s="693"/>
      <c r="CG35" s="693"/>
      <c r="CH35" s="693"/>
      <c r="CI35" s="693"/>
      <c r="CJ35" s="693"/>
      <c r="CK35" s="693"/>
      <c r="CL35" s="693"/>
      <c r="CM35" s="693"/>
      <c r="CN35" s="688"/>
      <c r="CO35" s="688"/>
      <c r="CP35" s="693"/>
      <c r="CQ35" s="693"/>
      <c r="CR35" s="693"/>
      <c r="CS35" s="693"/>
      <c r="CT35" s="693"/>
      <c r="CU35" s="693"/>
      <c r="CV35" s="693"/>
      <c r="CW35" s="693"/>
      <c r="CX35" s="693"/>
      <c r="CY35" s="693"/>
      <c r="CZ35" s="693"/>
      <c r="DA35" s="693"/>
      <c r="DB35" s="693"/>
      <c r="DC35" s="693"/>
      <c r="DD35" s="693"/>
      <c r="DE35" s="693"/>
      <c r="DF35" s="693"/>
      <c r="DG35" s="693"/>
      <c r="DH35" s="693"/>
      <c r="DI35" s="693"/>
      <c r="DJ35" s="693"/>
      <c r="DK35" s="693"/>
      <c r="DL35" s="693"/>
      <c r="DM35" s="693"/>
      <c r="DN35" s="693"/>
      <c r="DO35" s="693"/>
      <c r="DP35" s="693"/>
      <c r="DQ35" s="693"/>
      <c r="DR35" s="693"/>
      <c r="DS35" s="693"/>
      <c r="DT35" s="693"/>
      <c r="DU35" s="693"/>
      <c r="DV35" s="693"/>
      <c r="DW35" s="693"/>
      <c r="DX35" s="693"/>
      <c r="DY35" s="693"/>
      <c r="DZ35" s="693"/>
      <c r="EA35" s="693"/>
      <c r="EB35" s="693"/>
      <c r="EC35" s="693"/>
      <c r="ED35" s="693"/>
      <c r="EE35" s="693"/>
      <c r="EF35" s="689"/>
      <c r="EG35" s="689"/>
      <c r="EH35" s="689"/>
      <c r="EI35" s="689"/>
    </row>
    <row r="36" spans="2:139" s="630" customFormat="1" ht="14.25" customHeight="1">
      <c r="B36" s="687"/>
      <c r="C36" s="687"/>
      <c r="D36" s="687"/>
      <c r="E36" s="687"/>
      <c r="F36" s="695" t="s">
        <v>565</v>
      </c>
      <c r="G36" s="690"/>
      <c r="H36" s="687"/>
      <c r="I36" s="687"/>
      <c r="J36" s="687"/>
      <c r="K36" s="687"/>
      <c r="L36" s="687"/>
      <c r="M36" s="687"/>
      <c r="N36" s="687"/>
      <c r="O36" s="687"/>
      <c r="P36" s="687"/>
      <c r="Q36" s="687"/>
      <c r="R36" s="687"/>
      <c r="S36" s="687"/>
      <c r="T36" s="687"/>
      <c r="U36" s="687"/>
      <c r="V36" s="687"/>
      <c r="W36" s="687"/>
      <c r="X36" s="687"/>
      <c r="Y36" s="687"/>
      <c r="Z36" s="687"/>
      <c r="AA36" s="687"/>
      <c r="AB36" s="687"/>
      <c r="AC36" s="687"/>
      <c r="AD36" s="687"/>
      <c r="AE36" s="687"/>
      <c r="AF36" s="687"/>
      <c r="AI36" s="696" t="s">
        <v>83</v>
      </c>
      <c r="AJ36" s="1645"/>
      <c r="AK36" s="1645"/>
      <c r="AL36" s="1645"/>
      <c r="AM36" s="694" t="s">
        <v>84</v>
      </c>
      <c r="AN36" s="690"/>
      <c r="AO36" s="1645"/>
      <c r="AP36" s="1645"/>
      <c r="AQ36" s="1645"/>
      <c r="AR36" s="1645"/>
      <c r="AS36" s="1645"/>
      <c r="AT36" s="1645"/>
      <c r="AU36" s="1645"/>
      <c r="AV36" s="1645"/>
      <c r="AW36" s="1645"/>
      <c r="AX36" s="1645"/>
      <c r="AY36" s="1645"/>
      <c r="AZ36" s="1645"/>
      <c r="BA36" s="1645"/>
      <c r="BB36" s="1645"/>
      <c r="BC36" s="1645"/>
      <c r="BD36" s="1645"/>
      <c r="BE36" s="690"/>
      <c r="BF36" s="1645"/>
      <c r="BG36" s="1645"/>
      <c r="BH36" s="1645"/>
      <c r="BI36" s="1645"/>
      <c r="BJ36" s="1645"/>
      <c r="BK36" s="1645"/>
      <c r="BL36" s="1645"/>
      <c r="BM36" s="694" t="s">
        <v>85</v>
      </c>
      <c r="BN36" s="690"/>
      <c r="BO36" s="690"/>
      <c r="BP36" s="687"/>
      <c r="BQ36" s="687"/>
      <c r="CY36" s="687"/>
      <c r="CZ36" s="687"/>
      <c r="DA36" s="687"/>
      <c r="DB36" s="687"/>
      <c r="DC36" s="687"/>
      <c r="DD36" s="687"/>
      <c r="DE36" s="687"/>
      <c r="DF36" s="687"/>
      <c r="DG36" s="687"/>
      <c r="DH36" s="687"/>
      <c r="DI36" s="687"/>
      <c r="DJ36" s="687"/>
      <c r="DK36" s="687"/>
      <c r="DL36" s="687"/>
      <c r="DM36" s="687"/>
      <c r="DN36" s="687"/>
      <c r="DO36" s="687"/>
      <c r="DP36" s="687"/>
      <c r="DQ36" s="687"/>
      <c r="DR36" s="687"/>
      <c r="DS36" s="687"/>
      <c r="DT36" s="687"/>
      <c r="DU36" s="687"/>
      <c r="DV36" s="687"/>
      <c r="DW36" s="687"/>
      <c r="DX36" s="687"/>
      <c r="DY36" s="687"/>
      <c r="DZ36" s="687"/>
      <c r="EA36" s="687"/>
      <c r="EB36" s="687"/>
      <c r="EC36" s="687"/>
      <c r="ED36" s="687"/>
      <c r="EE36" s="697"/>
      <c r="EF36" s="697"/>
      <c r="EG36" s="697"/>
      <c r="EH36" s="697"/>
      <c r="EI36" s="697"/>
    </row>
    <row r="37" spans="2:139" s="630" customFormat="1" ht="7.5" customHeight="1">
      <c r="B37" s="687"/>
      <c r="C37" s="687"/>
      <c r="D37" s="687"/>
      <c r="E37" s="687"/>
      <c r="F37" s="690"/>
      <c r="G37" s="690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7"/>
      <c r="AK37" s="687"/>
      <c r="AL37" s="687"/>
      <c r="AM37" s="687"/>
      <c r="AN37" s="687"/>
      <c r="AO37" s="687"/>
      <c r="AP37" s="687"/>
      <c r="AQ37" s="687"/>
      <c r="AR37" s="687"/>
      <c r="AS37" s="687"/>
      <c r="AT37" s="687"/>
      <c r="AU37" s="687"/>
      <c r="AV37" s="687"/>
      <c r="AW37" s="687"/>
      <c r="AX37" s="687"/>
      <c r="AY37" s="687"/>
      <c r="AZ37" s="687"/>
      <c r="BA37" s="687"/>
      <c r="BB37" s="687"/>
      <c r="BC37" s="687"/>
      <c r="BD37" s="687"/>
      <c r="BE37" s="687"/>
      <c r="BF37" s="687"/>
      <c r="BG37" s="687"/>
      <c r="BH37" s="687"/>
      <c r="BI37" s="687"/>
      <c r="BJ37" s="687"/>
      <c r="BK37" s="687"/>
      <c r="BL37" s="687"/>
      <c r="BM37" s="687"/>
      <c r="BN37" s="687"/>
      <c r="BO37" s="687"/>
      <c r="BP37" s="687"/>
      <c r="BQ37" s="687"/>
      <c r="BR37" s="687"/>
      <c r="BS37" s="687"/>
      <c r="BT37" s="687"/>
      <c r="BU37" s="687"/>
      <c r="BV37" s="687"/>
      <c r="BW37" s="687"/>
      <c r="BX37" s="687"/>
      <c r="BY37" s="687"/>
      <c r="BZ37" s="687"/>
      <c r="CA37" s="687"/>
      <c r="CB37" s="687"/>
      <c r="CC37" s="687"/>
      <c r="CD37" s="687"/>
      <c r="CE37" s="687"/>
      <c r="CF37" s="687"/>
      <c r="CG37" s="687"/>
      <c r="CH37" s="687"/>
      <c r="CI37" s="687"/>
      <c r="CJ37" s="687"/>
      <c r="CK37" s="687"/>
      <c r="CL37" s="687"/>
      <c r="CM37" s="687"/>
      <c r="CN37" s="687"/>
      <c r="CO37" s="687"/>
      <c r="CP37" s="687"/>
      <c r="CQ37" s="687"/>
      <c r="CR37" s="687"/>
      <c r="CS37" s="687"/>
      <c r="CT37" s="687"/>
      <c r="CU37" s="687"/>
      <c r="CV37" s="687"/>
      <c r="CW37" s="687"/>
      <c r="CX37" s="687"/>
      <c r="CY37" s="687"/>
      <c r="CZ37" s="687"/>
      <c r="DA37" s="687"/>
      <c r="DB37" s="687"/>
      <c r="DC37" s="687"/>
      <c r="DD37" s="687"/>
      <c r="DE37" s="687"/>
      <c r="DF37" s="687"/>
      <c r="DG37" s="687"/>
      <c r="DH37" s="687"/>
      <c r="DI37" s="687"/>
      <c r="DJ37" s="687"/>
      <c r="DK37" s="687"/>
      <c r="DL37" s="687"/>
      <c r="DM37" s="687"/>
      <c r="DN37" s="687"/>
      <c r="DO37" s="687"/>
      <c r="DP37" s="687"/>
      <c r="DQ37" s="687"/>
      <c r="DR37" s="687"/>
      <c r="DS37" s="687"/>
      <c r="DT37" s="687"/>
      <c r="DU37" s="687"/>
      <c r="DV37" s="687"/>
      <c r="DW37" s="687"/>
      <c r="DX37" s="687"/>
      <c r="DY37" s="687"/>
      <c r="DZ37" s="687"/>
      <c r="EA37" s="687"/>
      <c r="EB37" s="687"/>
      <c r="EC37" s="687"/>
      <c r="ED37" s="687"/>
      <c r="EE37" s="697"/>
      <c r="EF37" s="697"/>
      <c r="EG37" s="697"/>
      <c r="EH37" s="697"/>
      <c r="EI37" s="697"/>
    </row>
    <row r="38" spans="2:139" s="630" customFormat="1" ht="14.25" customHeight="1">
      <c r="B38" s="687"/>
      <c r="C38" s="687"/>
      <c r="D38" s="687"/>
      <c r="E38" s="687"/>
      <c r="F38" s="694" t="s">
        <v>148</v>
      </c>
      <c r="G38" s="690"/>
      <c r="H38" s="687"/>
      <c r="I38" s="687"/>
      <c r="J38" s="687"/>
      <c r="K38" s="687"/>
      <c r="L38" s="687"/>
      <c r="M38" s="687"/>
      <c r="N38" s="687"/>
      <c r="O38" s="687"/>
      <c r="P38" s="687"/>
      <c r="Q38" s="687"/>
      <c r="R38" s="687"/>
      <c r="S38" s="687"/>
      <c r="T38" s="687"/>
      <c r="U38" s="687"/>
      <c r="V38" s="687"/>
      <c r="W38" s="687"/>
      <c r="X38" s="687"/>
      <c r="Y38" s="687"/>
      <c r="Z38" s="687"/>
      <c r="AA38" s="687"/>
      <c r="AB38" s="687"/>
      <c r="AC38" s="687"/>
      <c r="AD38" s="687"/>
      <c r="AE38" s="687"/>
      <c r="AF38" s="687"/>
      <c r="AG38" s="687"/>
      <c r="AH38" s="687"/>
      <c r="AI38" s="687"/>
      <c r="AJ38" s="687"/>
      <c r="AK38" s="687"/>
      <c r="AL38" s="687"/>
      <c r="AM38" s="687"/>
      <c r="AN38" s="687"/>
      <c r="AO38" s="687"/>
      <c r="AP38" s="687"/>
      <c r="AQ38" s="687"/>
      <c r="AR38" s="687"/>
      <c r="AS38" s="687"/>
      <c r="AT38" s="687"/>
      <c r="AU38" s="687"/>
      <c r="AV38" s="687"/>
      <c r="AW38" s="687"/>
      <c r="AX38" s="687"/>
      <c r="AY38" s="687"/>
      <c r="AZ38" s="687"/>
      <c r="BA38" s="1646"/>
      <c r="BB38" s="1646"/>
      <c r="BC38" s="1646"/>
      <c r="BD38" s="1646"/>
      <c r="BE38" s="1646"/>
      <c r="BF38" s="1646"/>
      <c r="BG38" s="1646"/>
      <c r="BH38" s="1646"/>
      <c r="BI38" s="1646"/>
      <c r="BJ38" s="1646"/>
      <c r="BK38" s="1646"/>
      <c r="BL38" s="1646"/>
      <c r="BM38" s="1646"/>
      <c r="BN38" s="1646"/>
      <c r="BO38" s="1646"/>
      <c r="BP38" s="1646"/>
      <c r="BQ38" s="1646"/>
      <c r="BR38" s="1646"/>
      <c r="BS38" s="1646"/>
      <c r="BT38" s="1646"/>
      <c r="BU38" s="1646"/>
      <c r="BV38" s="1646"/>
      <c r="BW38" s="1646"/>
      <c r="BX38" s="1646"/>
      <c r="BY38" s="1646"/>
      <c r="BZ38" s="1646"/>
      <c r="CA38" s="1646"/>
      <c r="CB38" s="1646"/>
      <c r="CC38" s="1646"/>
      <c r="CD38" s="1646"/>
      <c r="CE38" s="1646"/>
      <c r="CF38" s="1646"/>
      <c r="CG38" s="1646"/>
      <c r="CH38" s="1646"/>
      <c r="CI38" s="1646"/>
      <c r="CJ38" s="1646"/>
      <c r="CK38" s="1646"/>
      <c r="CL38" s="1646"/>
      <c r="CM38" s="1646"/>
      <c r="CN38" s="1646"/>
      <c r="CO38" s="1646"/>
      <c r="CP38" s="1646"/>
      <c r="CQ38" s="1646"/>
      <c r="CR38" s="1646"/>
      <c r="CS38" s="1646"/>
      <c r="CT38" s="1646"/>
      <c r="CU38" s="1646"/>
      <c r="CV38" s="1646"/>
      <c r="CW38" s="1646"/>
      <c r="CX38" s="1646"/>
      <c r="CY38" s="1646"/>
      <c r="CZ38" s="1646"/>
      <c r="DA38" s="1646"/>
      <c r="DB38" s="1646"/>
      <c r="DC38" s="1646"/>
      <c r="DD38" s="1646"/>
      <c r="DE38" s="1646"/>
      <c r="DF38" s="1646"/>
      <c r="DG38" s="1646"/>
      <c r="DH38" s="1646"/>
      <c r="DI38" s="1646"/>
      <c r="DJ38" s="1646"/>
      <c r="DK38" s="1646"/>
      <c r="DL38" s="1646"/>
      <c r="DM38" s="1646"/>
      <c r="DN38" s="1646"/>
      <c r="DO38" s="1646"/>
      <c r="DP38" s="1646"/>
      <c r="DQ38" s="1646"/>
      <c r="DR38" s="1646"/>
      <c r="DS38" s="1646"/>
      <c r="DT38" s="1646"/>
      <c r="DU38" s="1646"/>
      <c r="DV38" s="1646"/>
      <c r="DW38" s="1646"/>
      <c r="DX38" s="1646"/>
      <c r="DY38" s="1646"/>
      <c r="DZ38" s="1646"/>
      <c r="EA38" s="1646"/>
      <c r="EB38" s="1646"/>
      <c r="EC38" s="1646"/>
      <c r="ED38" s="1646"/>
      <c r="EE38" s="1646"/>
      <c r="EF38" s="1646"/>
      <c r="EG38" s="1646"/>
      <c r="EH38" s="1646"/>
      <c r="EI38" s="1646"/>
    </row>
  </sheetData>
  <mergeCells count="37">
    <mergeCell ref="AJ36:AL36"/>
    <mergeCell ref="AO36:BD36"/>
    <mergeCell ref="BF36:BL36"/>
    <mergeCell ref="AR32:BQ32"/>
    <mergeCell ref="BT32:CM32"/>
    <mergeCell ref="CP32:EA32"/>
    <mergeCell ref="BA38:EI38"/>
    <mergeCell ref="AR33:BQ33"/>
    <mergeCell ref="BT33:CM33"/>
    <mergeCell ref="CP33:EA33"/>
    <mergeCell ref="AR30:BQ30"/>
    <mergeCell ref="BT30:CM30"/>
    <mergeCell ref="CP30:EA30"/>
    <mergeCell ref="AR31:BQ31"/>
    <mergeCell ref="BT31:CM31"/>
    <mergeCell ref="CP31:EA31"/>
    <mergeCell ref="B10:DI10"/>
    <mergeCell ref="CN20:CZ20"/>
    <mergeCell ref="DA20:DN20"/>
    <mergeCell ref="CN21:CZ21"/>
    <mergeCell ref="DA21:DN21"/>
    <mergeCell ref="A1:R3"/>
    <mergeCell ref="DJ6:EF6"/>
    <mergeCell ref="DJ16:EF16"/>
    <mergeCell ref="DJ17:EF17"/>
    <mergeCell ref="R11:CL11"/>
    <mergeCell ref="CM11:DH12"/>
    <mergeCell ref="AW13:CY13"/>
    <mergeCell ref="CZ13:DH13"/>
    <mergeCell ref="AW14:CY14"/>
    <mergeCell ref="CZ14:DH15"/>
    <mergeCell ref="DJ7:EF7"/>
    <mergeCell ref="DJ8:EF8"/>
    <mergeCell ref="DJ13:EF13"/>
    <mergeCell ref="DJ14:EF15"/>
    <mergeCell ref="B8:CV8"/>
    <mergeCell ref="R9:CL9"/>
  </mergeCells>
  <pageMargins left="0.55118110236220474" right="0.39370078740157483" top="0.59055118110236227" bottom="0.39370078740157483" header="0.19685039370078741" footer="0.19685039370078741"/>
  <pageSetup paperSize="9" orientation="landscape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>
  <sheetPr codeName="Лист36"/>
  <dimension ref="A1:AB9"/>
  <sheetViews>
    <sheetView view="pageBreakPreview" zoomScaleNormal="100" zoomScaleSheetLayoutView="100" workbookViewId="0">
      <selection activeCell="F8" sqref="F8"/>
    </sheetView>
  </sheetViews>
  <sheetFormatPr defaultColWidth="0.85546875" defaultRowHeight="12.75"/>
  <cols>
    <col min="1" max="1" width="5.85546875" style="437" customWidth="1"/>
    <col min="2" max="2" width="27.85546875" style="437" customWidth="1"/>
    <col min="3" max="3" width="9.5703125" style="437" customWidth="1"/>
    <col min="4" max="4" width="12.28515625" style="437" customWidth="1"/>
    <col min="5" max="5" width="11.140625" style="437" customWidth="1"/>
    <col min="6" max="6" width="13.5703125" style="437" customWidth="1"/>
    <col min="7" max="7" width="12.42578125" style="437" customWidth="1"/>
    <col min="8" max="9" width="12.7109375" style="437" customWidth="1"/>
    <col min="10" max="10" width="18.7109375" style="437" customWidth="1"/>
    <col min="11" max="12" width="0.85546875" style="437" hidden="1" customWidth="1"/>
    <col min="13" max="13" width="15" style="437" customWidth="1"/>
    <col min="14" max="14" width="20.42578125" style="437" customWidth="1"/>
    <col min="15" max="15" width="13.5703125" style="437" customWidth="1"/>
    <col min="16" max="17" width="11.140625" style="437" customWidth="1"/>
    <col min="18" max="18" width="18" style="437" customWidth="1"/>
    <col min="19" max="19" width="11" style="437" customWidth="1"/>
    <col min="20" max="20" width="13.7109375" style="437" customWidth="1"/>
    <col min="21" max="22" width="10.7109375" style="437" customWidth="1"/>
    <col min="23" max="23" width="11" style="437" customWidth="1"/>
    <col min="24" max="24" width="13.5703125" style="437" customWidth="1"/>
    <col min="25" max="25" width="12.140625" style="437" customWidth="1"/>
    <col min="26" max="27" width="11" style="437" customWidth="1"/>
    <col min="28" max="28" width="12.7109375" style="437" customWidth="1"/>
    <col min="29" max="16384" width="0.85546875" style="437"/>
  </cols>
  <sheetData>
    <row r="1" spans="1:28" ht="15">
      <c r="A1" s="659"/>
      <c r="B1" s="659"/>
      <c r="C1" s="659"/>
      <c r="D1" s="659"/>
      <c r="E1" s="659"/>
      <c r="F1" s="659"/>
      <c r="G1" s="659"/>
      <c r="H1" s="659"/>
      <c r="I1" s="659"/>
      <c r="J1" s="659"/>
      <c r="K1" s="659"/>
      <c r="L1" s="659"/>
      <c r="M1" s="659"/>
      <c r="N1" s="720" t="s">
        <v>553</v>
      </c>
      <c r="O1" s="659"/>
      <c r="P1" s="659"/>
      <c r="Q1" s="659"/>
      <c r="R1" s="659"/>
      <c r="S1" s="659"/>
      <c r="T1" s="659"/>
      <c r="U1" s="659"/>
      <c r="V1" s="659"/>
      <c r="W1" s="659"/>
      <c r="X1" s="659"/>
      <c r="Y1" s="659"/>
      <c r="Z1" s="659"/>
      <c r="AA1" s="659"/>
      <c r="AB1" s="720" t="s">
        <v>554</v>
      </c>
    </row>
    <row r="2" spans="1:28" ht="3.75" customHeight="1">
      <c r="A2" s="659"/>
      <c r="B2" s="659"/>
      <c r="C2" s="659"/>
      <c r="D2" s="659"/>
      <c r="E2" s="659"/>
      <c r="F2" s="659"/>
      <c r="G2" s="659"/>
      <c r="H2" s="659"/>
      <c r="I2" s="659"/>
      <c r="J2" s="659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659"/>
      <c r="Z2" s="659"/>
      <c r="AA2" s="659"/>
      <c r="AB2" s="659"/>
    </row>
    <row r="3" spans="1:28" ht="12.75" customHeight="1">
      <c r="A3" s="1691" t="s">
        <v>557</v>
      </c>
      <c r="B3" s="1694" t="s">
        <v>539</v>
      </c>
      <c r="C3" s="1695"/>
      <c r="D3" s="1696"/>
      <c r="E3" s="1700" t="s">
        <v>284</v>
      </c>
      <c r="F3" s="1700"/>
      <c r="G3" s="1701" t="s">
        <v>285</v>
      </c>
      <c r="H3" s="1702"/>
      <c r="I3" s="1702"/>
      <c r="J3" s="1702"/>
      <c r="K3" s="1702"/>
      <c r="L3" s="1702"/>
      <c r="M3" s="1702"/>
      <c r="N3" s="1703"/>
      <c r="O3" s="1694" t="s">
        <v>354</v>
      </c>
      <c r="P3" s="1695"/>
      <c r="Q3" s="1695"/>
      <c r="R3" s="1695"/>
      <c r="S3" s="1695"/>
      <c r="T3" s="1696"/>
      <c r="U3" s="1707" t="s">
        <v>154</v>
      </c>
      <c r="V3" s="1708"/>
      <c r="W3" s="1708"/>
      <c r="X3" s="1708"/>
      <c r="Y3" s="1708"/>
      <c r="Z3" s="1708"/>
      <c r="AA3" s="1708"/>
      <c r="AB3" s="1708"/>
    </row>
    <row r="4" spans="1:28" ht="15">
      <c r="A4" s="1692"/>
      <c r="B4" s="1697"/>
      <c r="C4" s="1698"/>
      <c r="D4" s="1699"/>
      <c r="E4" s="1700"/>
      <c r="F4" s="1700"/>
      <c r="G4" s="1704"/>
      <c r="H4" s="1705"/>
      <c r="I4" s="1705"/>
      <c r="J4" s="1705"/>
      <c r="K4" s="1705"/>
      <c r="L4" s="1705"/>
      <c r="M4" s="1705"/>
      <c r="N4" s="1706"/>
      <c r="O4" s="1697"/>
      <c r="P4" s="1698"/>
      <c r="Q4" s="1698"/>
      <c r="R4" s="1698"/>
      <c r="S4" s="1698"/>
      <c r="T4" s="1699"/>
      <c r="U4" s="1707" t="s">
        <v>163</v>
      </c>
      <c r="V4" s="1708"/>
      <c r="W4" s="1708"/>
      <c r="X4" s="1702"/>
      <c r="Y4" s="1707" t="s">
        <v>164</v>
      </c>
      <c r="Z4" s="1708"/>
      <c r="AA4" s="1708"/>
      <c r="AB4" s="1702"/>
    </row>
    <row r="5" spans="1:28" ht="31.7" customHeight="1">
      <c r="A5" s="1692"/>
      <c r="B5" s="1709" t="s">
        <v>555</v>
      </c>
      <c r="C5" s="1691" t="s">
        <v>556</v>
      </c>
      <c r="D5" s="1709" t="s">
        <v>7</v>
      </c>
      <c r="E5" s="1700" t="s">
        <v>355</v>
      </c>
      <c r="F5" s="1691" t="s">
        <v>422</v>
      </c>
      <c r="G5" s="1700" t="s">
        <v>558</v>
      </c>
      <c r="H5" s="1691" t="s">
        <v>540</v>
      </c>
      <c r="I5" s="1696" t="s">
        <v>358</v>
      </c>
      <c r="J5" s="719" t="s">
        <v>559</v>
      </c>
      <c r="K5" s="715"/>
      <c r="L5" s="716"/>
      <c r="M5" s="1691" t="s">
        <v>18</v>
      </c>
      <c r="N5" s="713" t="s">
        <v>187</v>
      </c>
      <c r="O5" s="1691" t="s">
        <v>541</v>
      </c>
      <c r="P5" s="1691" t="s">
        <v>540</v>
      </c>
      <c r="Q5" s="1691" t="s">
        <v>358</v>
      </c>
      <c r="R5" s="713" t="s">
        <v>560</v>
      </c>
      <c r="S5" s="1691" t="s">
        <v>423</v>
      </c>
      <c r="T5" s="714" t="s">
        <v>187</v>
      </c>
      <c r="U5" s="1691" t="s">
        <v>541</v>
      </c>
      <c r="V5" s="1691" t="s">
        <v>540</v>
      </c>
      <c r="W5" s="1691" t="s">
        <v>18</v>
      </c>
      <c r="X5" s="713" t="s">
        <v>187</v>
      </c>
      <c r="Y5" s="1691" t="s">
        <v>541</v>
      </c>
      <c r="Z5" s="1691" t="s">
        <v>540</v>
      </c>
      <c r="AA5" s="1691" t="s">
        <v>18</v>
      </c>
      <c r="AB5" s="713" t="s">
        <v>187</v>
      </c>
    </row>
    <row r="6" spans="1:28" ht="16.5" customHeight="1">
      <c r="A6" s="1693"/>
      <c r="B6" s="1710"/>
      <c r="C6" s="1693"/>
      <c r="D6" s="1710"/>
      <c r="E6" s="1700"/>
      <c r="F6" s="1693"/>
      <c r="G6" s="1700"/>
      <c r="H6" s="1693"/>
      <c r="I6" s="1699"/>
      <c r="J6" s="755" t="s">
        <v>46</v>
      </c>
      <c r="K6" s="717"/>
      <c r="L6" s="718"/>
      <c r="M6" s="1693"/>
      <c r="N6" s="756" t="str">
        <f>J6</f>
        <v>SimvVal</v>
      </c>
      <c r="O6" s="1693"/>
      <c r="P6" s="1693"/>
      <c r="Q6" s="1693"/>
      <c r="R6" s="756" t="str">
        <f>J6</f>
        <v>SimvVal</v>
      </c>
      <c r="S6" s="1693"/>
      <c r="T6" s="757" t="str">
        <f>J6</f>
        <v>SimvVal</v>
      </c>
      <c r="U6" s="1693"/>
      <c r="V6" s="1693"/>
      <c r="W6" s="1693"/>
      <c r="X6" s="756" t="str">
        <f>J6</f>
        <v>SimvVal</v>
      </c>
      <c r="Y6" s="1693"/>
      <c r="Z6" s="1693"/>
      <c r="AA6" s="1693"/>
      <c r="AB6" s="756" t="str">
        <f>J6</f>
        <v>SimvVal</v>
      </c>
    </row>
    <row r="7" spans="1:28" ht="15">
      <c r="A7" s="708">
        <v>1</v>
      </c>
      <c r="B7" s="708">
        <v>2</v>
      </c>
      <c r="C7" s="708">
        <v>3</v>
      </c>
      <c r="D7" s="708">
        <v>4</v>
      </c>
      <c r="E7" s="708">
        <v>5</v>
      </c>
      <c r="F7" s="711">
        <v>6</v>
      </c>
      <c r="G7" s="708">
        <v>7</v>
      </c>
      <c r="H7" s="708">
        <v>8</v>
      </c>
      <c r="I7" s="708">
        <v>9</v>
      </c>
      <c r="J7" s="708">
        <v>10</v>
      </c>
      <c r="K7" s="709"/>
      <c r="L7" s="710"/>
      <c r="M7" s="708">
        <v>11</v>
      </c>
      <c r="N7" s="711">
        <v>12</v>
      </c>
      <c r="O7" s="711">
        <v>13</v>
      </c>
      <c r="P7" s="708">
        <v>14</v>
      </c>
      <c r="Q7" s="708">
        <v>15</v>
      </c>
      <c r="R7" s="708">
        <v>16</v>
      </c>
      <c r="S7" s="708">
        <v>17</v>
      </c>
      <c r="T7" s="708">
        <v>18</v>
      </c>
      <c r="U7" s="708">
        <v>19</v>
      </c>
      <c r="V7" s="708">
        <v>20</v>
      </c>
      <c r="W7" s="708">
        <v>21</v>
      </c>
      <c r="X7" s="708">
        <v>22</v>
      </c>
      <c r="Y7" s="708">
        <v>23</v>
      </c>
      <c r="Z7" s="708">
        <v>24</v>
      </c>
      <c r="AA7" s="708">
        <v>25</v>
      </c>
      <c r="AB7" s="711">
        <v>26</v>
      </c>
    </row>
    <row r="8" spans="1:28">
      <c r="A8" s="470" t="s">
        <v>4</v>
      </c>
      <c r="B8" s="447" t="s">
        <v>6</v>
      </c>
      <c r="C8" s="712"/>
      <c r="D8" s="726" t="s">
        <v>7</v>
      </c>
      <c r="E8" s="727" t="s">
        <v>8</v>
      </c>
      <c r="F8" s="728" t="s">
        <v>336</v>
      </c>
      <c r="G8" s="712" t="s">
        <v>371</v>
      </c>
      <c r="H8" s="712"/>
      <c r="I8" s="712"/>
      <c r="J8" s="729" t="s">
        <v>9</v>
      </c>
      <c r="K8" s="730"/>
      <c r="L8" s="731"/>
      <c r="M8" s="725" t="s">
        <v>16</v>
      </c>
      <c r="N8" s="732" t="s">
        <v>17</v>
      </c>
      <c r="O8" s="760" t="str">
        <f>G8</f>
        <v>номер_БСО</v>
      </c>
      <c r="P8" s="712"/>
      <c r="Q8" s="712"/>
      <c r="R8" s="729" t="str">
        <f>J8</f>
        <v>цена</v>
      </c>
      <c r="S8" s="725" t="s">
        <v>18</v>
      </c>
      <c r="T8" s="729" t="s">
        <v>19</v>
      </c>
      <c r="U8" s="733"/>
      <c r="V8" s="733"/>
      <c r="W8" s="734" t="s">
        <v>10</v>
      </c>
      <c r="X8" s="735" t="s">
        <v>11</v>
      </c>
      <c r="Y8" s="733"/>
      <c r="Z8" s="733"/>
      <c r="AA8" s="734" t="s">
        <v>12</v>
      </c>
      <c r="AB8" s="736" t="s">
        <v>13</v>
      </c>
    </row>
    <row r="9" spans="1:28">
      <c r="A9" s="437" t="s">
        <v>115</v>
      </c>
      <c r="B9" s="446"/>
      <c r="C9" s="446"/>
      <c r="D9" s="451"/>
      <c r="E9" s="451"/>
      <c r="F9" s="451"/>
      <c r="G9" s="451"/>
      <c r="H9" s="451"/>
      <c r="I9" s="451"/>
      <c r="J9" s="739" t="s">
        <v>372</v>
      </c>
      <c r="K9" s="452" t="s">
        <v>361</v>
      </c>
      <c r="L9" s="451"/>
      <c r="M9" s="738"/>
      <c r="N9" s="736"/>
      <c r="O9" s="721" t="s">
        <v>177</v>
      </c>
      <c r="P9" s="722" t="s">
        <v>177</v>
      </c>
      <c r="Q9" s="724" t="s">
        <v>177</v>
      </c>
      <c r="R9" s="723" t="s">
        <v>177</v>
      </c>
      <c r="S9" s="734"/>
      <c r="T9" s="735"/>
      <c r="U9" s="737" t="s">
        <v>177</v>
      </c>
      <c r="V9" s="737" t="s">
        <v>177</v>
      </c>
      <c r="W9" s="740"/>
      <c r="X9" s="741"/>
      <c r="Y9" s="737" t="s">
        <v>177</v>
      </c>
      <c r="Z9" s="737" t="s">
        <v>177</v>
      </c>
      <c r="AA9" s="740"/>
      <c r="AB9" s="741"/>
    </row>
  </sheetData>
  <mergeCells count="27">
    <mergeCell ref="U3:AB3"/>
    <mergeCell ref="U4:X4"/>
    <mergeCell ref="Y4:AB4"/>
    <mergeCell ref="B5:B6"/>
    <mergeCell ref="D5:D6"/>
    <mergeCell ref="AA5:AA6"/>
    <mergeCell ref="Z5:Z6"/>
    <mergeCell ref="Y5:Y6"/>
    <mergeCell ref="V5:V6"/>
    <mergeCell ref="U5:U6"/>
    <mergeCell ref="S5:S6"/>
    <mergeCell ref="W5:W6"/>
    <mergeCell ref="A3:A6"/>
    <mergeCell ref="B3:D4"/>
    <mergeCell ref="E3:F4"/>
    <mergeCell ref="G3:N4"/>
    <mergeCell ref="O3:T4"/>
    <mergeCell ref="Q5:Q6"/>
    <mergeCell ref="P5:P6"/>
    <mergeCell ref="C5:C6"/>
    <mergeCell ref="H5:H6"/>
    <mergeCell ref="E5:E6"/>
    <mergeCell ref="F5:F6"/>
    <mergeCell ref="G5:G6"/>
    <mergeCell ref="I5:I6"/>
    <mergeCell ref="M5:M6"/>
    <mergeCell ref="O5:O6"/>
  </mergeCells>
  <pageMargins left="0.39370078740157483" right="0.31496062992125984" top="0.59055118110236227" bottom="0.39370078740157483" header="0.19685039370078741" footer="0.19685039370078741"/>
  <pageSetup paperSize="9" scale="83" orientation="landscape" r:id="rId1"/>
  <headerFooter alignWithMargins="0"/>
  <colBreaks count="1" manualBreakCount="1">
    <brk id="14" max="1048575" man="1"/>
  </colBreaks>
</worksheet>
</file>

<file path=xl/worksheets/sheet35.xml><?xml version="1.0" encoding="utf-8"?>
<worksheet xmlns="http://schemas.openxmlformats.org/spreadsheetml/2006/main" xmlns:r="http://schemas.openxmlformats.org/officeDocument/2006/relationships">
  <sheetPr codeName="Лист35"/>
  <dimension ref="A1:EJ42"/>
  <sheetViews>
    <sheetView view="pageBreakPreview" topLeftCell="F1" zoomScaleNormal="100" workbookViewId="0">
      <selection activeCell="BE49" sqref="BE49"/>
    </sheetView>
  </sheetViews>
  <sheetFormatPr defaultRowHeight="12.75"/>
  <cols>
    <col min="1" max="40" width="1" style="437" customWidth="1"/>
    <col min="41" max="41" width="2.42578125" style="437" customWidth="1"/>
    <col min="42" max="73" width="1" style="437" customWidth="1"/>
    <col min="74" max="74" width="1.28515625" style="437" customWidth="1"/>
    <col min="75" max="77" width="1" style="437" customWidth="1"/>
    <col min="78" max="78" width="1.140625" style="437" customWidth="1"/>
    <col min="79" max="79" width="1.42578125" style="437" customWidth="1"/>
    <col min="80" max="80" width="2" style="437" customWidth="1"/>
    <col min="81" max="85" width="1" style="437" customWidth="1"/>
    <col min="86" max="87" width="1.28515625" style="437" customWidth="1"/>
    <col min="88" max="98" width="1" style="437" customWidth="1"/>
    <col min="99" max="99" width="1.42578125" style="437" customWidth="1"/>
    <col min="100" max="106" width="1" style="437" customWidth="1"/>
    <col min="107" max="108" width="0.7109375" style="437" customWidth="1"/>
    <col min="109" max="109" width="1" style="437" customWidth="1"/>
    <col min="110" max="110" width="1.28515625" style="437" customWidth="1"/>
    <col min="111" max="115" width="1" style="437" customWidth="1"/>
    <col min="116" max="116" width="0.7109375" style="437" customWidth="1"/>
    <col min="117" max="117" width="0.85546875" style="437" customWidth="1"/>
    <col min="118" max="121" width="1" style="437" customWidth="1"/>
    <col min="122" max="122" width="0.7109375" style="437" customWidth="1"/>
    <col min="123" max="130" width="1" style="437" customWidth="1"/>
    <col min="131" max="131" width="0.7109375" style="437" customWidth="1"/>
    <col min="132" max="139" width="1" style="437" customWidth="1"/>
    <col min="140" max="16384" width="9.140625" style="437"/>
  </cols>
  <sheetData>
    <row r="1" spans="2:140" s="634" customFormat="1" ht="15" customHeight="1">
      <c r="W1" s="654"/>
      <c r="X1" s="654"/>
      <c r="Y1" s="654"/>
      <c r="Z1" s="654"/>
      <c r="AA1" s="654"/>
      <c r="AB1" s="654"/>
      <c r="AC1" s="654"/>
      <c r="AD1" s="654"/>
      <c r="AE1" s="654"/>
      <c r="AF1" s="654"/>
      <c r="AG1" s="654"/>
      <c r="AH1" s="654"/>
      <c r="AI1" s="654"/>
      <c r="AJ1" s="654"/>
      <c r="AK1" s="654"/>
      <c r="AL1" s="654"/>
      <c r="AM1" s="654"/>
      <c r="AN1" s="654"/>
      <c r="AO1" s="654"/>
      <c r="AP1" s="654"/>
      <c r="AQ1" s="654"/>
      <c r="AR1" s="654"/>
      <c r="AS1" s="654"/>
      <c r="AT1" s="654"/>
      <c r="AU1" s="654"/>
      <c r="AV1" s="654"/>
      <c r="AW1" s="654"/>
      <c r="AX1" s="654"/>
      <c r="AY1" s="654"/>
      <c r="AZ1" s="654"/>
      <c r="BA1" s="654"/>
      <c r="BB1" s="654"/>
      <c r="BC1" s="654"/>
      <c r="BD1" s="654"/>
      <c r="BE1" s="654"/>
      <c r="BF1" s="654"/>
      <c r="BG1" s="654"/>
      <c r="BH1" s="654"/>
      <c r="BI1" s="654"/>
      <c r="BJ1" s="654"/>
      <c r="BK1" s="654"/>
      <c r="BL1" s="654"/>
      <c r="BM1" s="654"/>
      <c r="BN1" s="654"/>
      <c r="BO1" s="654"/>
      <c r="BP1" s="654"/>
      <c r="BQ1" s="654"/>
      <c r="BR1" s="699"/>
      <c r="BS1" s="699"/>
      <c r="BT1" s="699"/>
      <c r="BU1" s="699"/>
      <c r="BV1" s="699"/>
      <c r="BW1" s="699"/>
      <c r="BX1" s="699"/>
      <c r="BY1" s="699"/>
      <c r="BZ1" s="699"/>
      <c r="CA1" s="699"/>
      <c r="CB1" s="699"/>
      <c r="CC1" s="699"/>
      <c r="CD1" s="699"/>
      <c r="CE1" s="699"/>
      <c r="CF1" s="699"/>
      <c r="CG1" s="699"/>
      <c r="CH1" s="699"/>
      <c r="CI1" s="699"/>
      <c r="CJ1" s="699"/>
      <c r="CK1" s="699"/>
      <c r="CL1" s="699"/>
      <c r="CM1" s="699"/>
      <c r="CN1" s="699"/>
      <c r="CO1" s="699"/>
      <c r="CP1" s="699"/>
      <c r="CQ1" s="699"/>
      <c r="CR1" s="699"/>
      <c r="CS1" s="699"/>
      <c r="CT1" s="699"/>
      <c r="CU1" s="699"/>
      <c r="CV1" s="699"/>
      <c r="CW1" s="699"/>
      <c r="CX1" s="699"/>
      <c r="CY1" s="699"/>
      <c r="CZ1" s="699"/>
      <c r="DA1" s="699"/>
      <c r="DB1" s="699"/>
      <c r="DC1" s="699"/>
      <c r="DD1" s="699"/>
      <c r="DE1" s="699"/>
      <c r="DF1" s="699"/>
      <c r="DG1" s="699"/>
      <c r="DH1" s="699"/>
      <c r="DI1" s="699"/>
      <c r="DJ1" s="699"/>
      <c r="DK1" s="699"/>
      <c r="DL1" s="699"/>
      <c r="DM1" s="699"/>
      <c r="DN1" s="699"/>
      <c r="DO1" s="699"/>
      <c r="DP1" s="699"/>
      <c r="DQ1" s="699"/>
      <c r="DR1" s="699"/>
      <c r="DS1" s="699"/>
      <c r="DT1" s="699"/>
      <c r="DU1" s="699"/>
      <c r="DV1" s="699"/>
      <c r="DW1" s="699"/>
      <c r="DX1" s="699"/>
      <c r="DY1" s="699"/>
      <c r="DZ1" s="699"/>
      <c r="EA1" s="699"/>
      <c r="EB1" s="699"/>
      <c r="EC1" s="670" t="s">
        <v>542</v>
      </c>
      <c r="ED1" s="698"/>
      <c r="EE1" s="699"/>
      <c r="EF1" s="698"/>
      <c r="EG1" s="698"/>
      <c r="EH1" s="698"/>
      <c r="EI1" s="698"/>
      <c r="EJ1" s="698"/>
    </row>
    <row r="2" spans="2:140" s="655" customFormat="1" ht="12.75" customHeight="1">
      <c r="D2" s="655" t="s">
        <v>122</v>
      </c>
    </row>
    <row r="3" spans="2:140" s="655" customFormat="1" ht="12.2" customHeight="1">
      <c r="R3" s="655" t="s">
        <v>543</v>
      </c>
      <c r="W3" s="656"/>
      <c r="X3" s="656"/>
      <c r="Y3" s="656"/>
      <c r="Z3" s="656"/>
      <c r="AA3" s="656"/>
      <c r="AB3" s="656"/>
      <c r="AC3" s="656"/>
      <c r="AD3" s="656"/>
      <c r="AE3" s="656"/>
      <c r="AF3" s="656"/>
      <c r="AG3" s="656"/>
      <c r="AH3" s="656"/>
      <c r="AI3" s="656"/>
      <c r="AJ3" s="656"/>
      <c r="AK3" s="656"/>
      <c r="AL3" s="656"/>
      <c r="AM3" s="656"/>
      <c r="AN3" s="656"/>
      <c r="AO3" s="656"/>
      <c r="AP3" s="656"/>
      <c r="AQ3" s="656"/>
      <c r="AR3" s="656"/>
      <c r="AS3" s="656"/>
      <c r="AT3" s="656"/>
      <c r="AU3" s="656"/>
      <c r="AV3" s="656"/>
      <c r="AW3" s="656"/>
      <c r="AX3" s="656"/>
      <c r="AY3" s="656"/>
      <c r="AZ3" s="656"/>
      <c r="BA3" s="656"/>
      <c r="BB3" s="656"/>
      <c r="BC3" s="1712" t="s">
        <v>51</v>
      </c>
      <c r="BD3" s="1712"/>
      <c r="BE3" s="1712"/>
      <c r="BF3" s="1712"/>
      <c r="BG3" s="1712"/>
      <c r="BH3" s="1712"/>
      <c r="BI3" s="1712"/>
      <c r="BJ3" s="1712"/>
      <c r="BK3" s="1712"/>
      <c r="BL3" s="1712"/>
      <c r="BM3" s="1712"/>
      <c r="BN3" s="1712"/>
      <c r="BO3" s="1712"/>
      <c r="BP3" s="1712"/>
      <c r="BQ3" s="1712"/>
      <c r="BR3" s="1712"/>
      <c r="BS3" s="1712"/>
      <c r="BT3" s="1712"/>
      <c r="BU3" s="1712"/>
      <c r="BV3" s="1712"/>
      <c r="BW3" s="1712"/>
      <c r="BX3" s="1712"/>
      <c r="BY3" s="1712"/>
      <c r="BZ3" s="1712"/>
      <c r="CA3" s="1712"/>
      <c r="CB3" s="1712"/>
      <c r="CC3" s="1712"/>
      <c r="CD3" s="1712"/>
      <c r="CE3" s="1712"/>
      <c r="CF3" s="1712"/>
      <c r="CG3" s="1712"/>
      <c r="CH3" s="1712"/>
      <c r="CI3" s="1712"/>
      <c r="CJ3" s="1712"/>
      <c r="CK3" s="1712"/>
      <c r="CL3" s="1712"/>
      <c r="CM3" s="1712"/>
      <c r="CN3" s="1712"/>
      <c r="CO3" s="1712"/>
      <c r="CP3" s="1712"/>
      <c r="CQ3" s="1712"/>
      <c r="CR3" s="1712"/>
      <c r="CS3" s="1712"/>
      <c r="CT3" s="1712"/>
      <c r="CU3" s="1712"/>
      <c r="CV3" s="1712"/>
      <c r="CW3" s="1712"/>
      <c r="CX3" s="1712"/>
      <c r="CY3" s="1712"/>
      <c r="CZ3" s="1712"/>
      <c r="DA3" s="1712"/>
      <c r="DB3" s="1712"/>
      <c r="DC3" s="1712"/>
      <c r="DD3" s="1712"/>
      <c r="DE3" s="1712"/>
      <c r="DF3" s="1712"/>
      <c r="DG3" s="1712"/>
      <c r="DH3" s="1712"/>
      <c r="DI3" s="1712"/>
      <c r="DJ3" s="1712"/>
      <c r="DK3" s="1712"/>
      <c r="DL3" s="1712"/>
      <c r="DM3" s="1712"/>
      <c r="DN3" s="1712"/>
      <c r="DO3" s="1712"/>
      <c r="DP3" s="1712"/>
      <c r="DQ3" s="1712"/>
      <c r="DR3" s="1712"/>
      <c r="DS3" s="1712"/>
      <c r="DT3" s="1712"/>
      <c r="DU3" s="1712"/>
      <c r="DV3" s="1712"/>
      <c r="DW3" s="1712"/>
      <c r="DX3" s="1712"/>
      <c r="DY3" s="1712"/>
      <c r="DZ3" s="1712"/>
      <c r="EA3" s="1712"/>
      <c r="EB3" s="1712"/>
      <c r="EC3" s="1712"/>
      <c r="ED3" s="1712"/>
      <c r="EE3" s="656"/>
    </row>
    <row r="4" spans="2:140" s="634" customFormat="1" ht="8.4499999999999993" customHeight="1">
      <c r="W4" s="654"/>
      <c r="X4" s="654"/>
      <c r="Y4" s="654"/>
      <c r="Z4" s="654"/>
      <c r="AA4" s="654"/>
      <c r="AB4" s="654"/>
      <c r="AC4" s="654"/>
      <c r="AD4" s="654"/>
      <c r="AE4" s="654"/>
      <c r="AF4" s="654"/>
      <c r="AG4" s="654"/>
      <c r="AH4" s="654"/>
      <c r="AI4" s="654"/>
      <c r="AJ4" s="654"/>
      <c r="AK4" s="654"/>
      <c r="AL4" s="654"/>
      <c r="AM4" s="654"/>
      <c r="AN4" s="654"/>
      <c r="AO4" s="654"/>
      <c r="AP4" s="654"/>
      <c r="AQ4" s="654"/>
      <c r="AR4" s="654"/>
      <c r="AS4" s="654"/>
      <c r="AT4" s="654"/>
      <c r="AU4" s="654"/>
      <c r="AV4" s="654"/>
      <c r="AW4" s="654"/>
      <c r="AX4" s="654"/>
      <c r="AY4" s="654"/>
      <c r="AZ4" s="654"/>
      <c r="BA4" s="654"/>
      <c r="BB4" s="654"/>
      <c r="BC4" s="1653" t="s">
        <v>118</v>
      </c>
      <c r="BD4" s="1653"/>
      <c r="BE4" s="1653"/>
      <c r="BF4" s="1653"/>
      <c r="BG4" s="1653"/>
      <c r="BH4" s="1653"/>
      <c r="BI4" s="1653"/>
      <c r="BJ4" s="1653"/>
      <c r="BK4" s="1653"/>
      <c r="BL4" s="1653"/>
      <c r="BM4" s="1653"/>
      <c r="BN4" s="1653"/>
      <c r="BO4" s="1653"/>
      <c r="BP4" s="1653"/>
      <c r="BQ4" s="1653"/>
      <c r="BR4" s="1653"/>
      <c r="BS4" s="1653"/>
      <c r="BT4" s="1653"/>
      <c r="BU4" s="1653"/>
      <c r="BV4" s="1653"/>
      <c r="BW4" s="1653"/>
      <c r="BX4" s="1653"/>
      <c r="BY4" s="1653"/>
      <c r="BZ4" s="1653"/>
      <c r="CA4" s="1653"/>
      <c r="CB4" s="1653"/>
      <c r="CC4" s="1653"/>
      <c r="CD4" s="1653"/>
      <c r="CE4" s="1653"/>
      <c r="CF4" s="1653"/>
      <c r="CG4" s="1653"/>
      <c r="CH4" s="1653"/>
      <c r="CI4" s="1653"/>
      <c r="CJ4" s="1653"/>
      <c r="CK4" s="1653"/>
      <c r="CL4" s="1653"/>
      <c r="CM4" s="1653"/>
      <c r="CN4" s="1653"/>
      <c r="CO4" s="1653"/>
      <c r="CP4" s="1653"/>
      <c r="CQ4" s="1653"/>
      <c r="CR4" s="1653"/>
      <c r="CS4" s="1653"/>
      <c r="CT4" s="1653"/>
      <c r="CU4" s="1653"/>
      <c r="CV4" s="1653"/>
      <c r="CW4" s="1653"/>
      <c r="CX4" s="1653"/>
      <c r="CY4" s="1653"/>
      <c r="CZ4" s="1653"/>
      <c r="DA4" s="1653"/>
      <c r="DB4" s="1653"/>
      <c r="DC4" s="1653"/>
      <c r="DD4" s="1653"/>
      <c r="DE4" s="1653"/>
      <c r="DF4" s="1653"/>
      <c r="DG4" s="1653"/>
      <c r="DH4" s="1653"/>
      <c r="DI4" s="1653"/>
      <c r="DJ4" s="1653"/>
      <c r="DK4" s="1653"/>
      <c r="DL4" s="1653"/>
      <c r="DM4" s="1653"/>
      <c r="DN4" s="1653"/>
      <c r="DO4" s="1653"/>
      <c r="DP4" s="1653"/>
      <c r="DQ4" s="1653"/>
      <c r="DR4" s="1653"/>
      <c r="DS4" s="1653"/>
      <c r="DT4" s="1653"/>
      <c r="DU4" s="1653"/>
      <c r="DV4" s="1653"/>
      <c r="DW4" s="1653"/>
      <c r="DX4" s="1653"/>
      <c r="DY4" s="1653"/>
      <c r="DZ4" s="1653"/>
      <c r="EA4" s="1653"/>
      <c r="EB4" s="1653"/>
      <c r="EC4" s="1653"/>
      <c r="ED4" s="1653"/>
    </row>
    <row r="5" spans="2:140" s="655" customFormat="1" ht="12.2" customHeight="1">
      <c r="B5" s="657"/>
      <c r="C5" s="657"/>
      <c r="D5" s="657"/>
      <c r="R5" s="655" t="s">
        <v>544</v>
      </c>
      <c r="BC5" s="1712"/>
      <c r="BD5" s="1712"/>
      <c r="BE5" s="1712"/>
      <c r="BF5" s="1712"/>
      <c r="BG5" s="1712"/>
      <c r="BH5" s="1712"/>
      <c r="BI5" s="1712"/>
      <c r="BJ5" s="1712"/>
      <c r="BK5" s="1712"/>
      <c r="BL5" s="1712"/>
      <c r="BM5" s="1712"/>
      <c r="BN5" s="1712"/>
      <c r="BO5" s="1712"/>
      <c r="BP5" s="1712"/>
      <c r="BQ5" s="1712"/>
      <c r="BR5" s="1712"/>
      <c r="BS5" s="1712"/>
      <c r="BT5" s="1712"/>
      <c r="BU5" s="1712"/>
      <c r="BV5" s="1712"/>
      <c r="BW5" s="1712"/>
      <c r="BX5" s="1712"/>
      <c r="BY5" s="1712"/>
      <c r="BZ5" s="1712"/>
      <c r="CA5" s="1712"/>
      <c r="CB5" s="1712"/>
      <c r="CC5" s="1712"/>
      <c r="CD5" s="1712"/>
      <c r="CE5" s="1712"/>
      <c r="CF5" s="1712"/>
      <c r="CG5" s="1712"/>
      <c r="CH5" s="1712"/>
      <c r="CI5" s="1712"/>
      <c r="CJ5" s="1712"/>
      <c r="CK5" s="1712"/>
      <c r="CL5" s="1712"/>
      <c r="CM5" s="1712"/>
      <c r="CN5" s="1712"/>
      <c r="CO5" s="1712"/>
      <c r="CP5" s="1712"/>
      <c r="CQ5" s="1712"/>
      <c r="CR5" s="1712"/>
      <c r="CS5" s="1712"/>
      <c r="CT5" s="1712"/>
      <c r="CU5" s="1712"/>
      <c r="CV5" s="1712"/>
      <c r="CW5" s="1712"/>
      <c r="CX5" s="1712"/>
      <c r="CY5" s="1712"/>
      <c r="CZ5" s="1712"/>
      <c r="DA5" s="1712"/>
      <c r="DB5" s="1712"/>
      <c r="DC5" s="1712"/>
      <c r="DD5" s="1712"/>
      <c r="DE5" s="1712"/>
      <c r="DF5" s="1712"/>
      <c r="DG5" s="1712"/>
      <c r="DH5" s="1712"/>
      <c r="DI5" s="1712"/>
      <c r="DJ5" s="1712"/>
      <c r="DK5" s="1712"/>
      <c r="DL5" s="1712"/>
      <c r="DM5" s="1712"/>
      <c r="DN5" s="1712"/>
      <c r="DO5" s="1712"/>
      <c r="DP5" s="1712"/>
      <c r="DQ5" s="1712"/>
      <c r="DR5" s="1712"/>
      <c r="DS5" s="1712"/>
      <c r="DT5" s="1712"/>
      <c r="DU5" s="1712"/>
      <c r="DV5" s="1712"/>
      <c r="DW5" s="1712"/>
      <c r="DX5" s="1712"/>
      <c r="DY5" s="1712"/>
      <c r="DZ5" s="1712"/>
      <c r="EA5" s="1712"/>
      <c r="EB5" s="1712"/>
      <c r="EC5" s="1712"/>
      <c r="ED5" s="1712"/>
    </row>
    <row r="6" spans="2:140" s="634" customFormat="1" ht="8.4499999999999993" customHeight="1">
      <c r="AD6" s="654"/>
      <c r="AE6" s="654"/>
      <c r="AF6" s="654"/>
      <c r="AG6" s="654"/>
      <c r="AH6" s="654"/>
      <c r="AI6" s="654"/>
      <c r="AJ6" s="654"/>
      <c r="AK6" s="654"/>
      <c r="AL6" s="654"/>
      <c r="AM6" s="654"/>
      <c r="AN6" s="654"/>
      <c r="AO6" s="654"/>
      <c r="AP6" s="654"/>
      <c r="AQ6" s="654"/>
      <c r="AR6" s="654"/>
      <c r="AS6" s="654"/>
      <c r="AT6" s="654"/>
      <c r="AU6" s="654"/>
      <c r="AV6" s="654"/>
      <c r="AW6" s="654"/>
      <c r="AX6" s="654"/>
      <c r="AY6" s="654"/>
      <c r="AZ6" s="654"/>
      <c r="BA6" s="654"/>
      <c r="BB6" s="654"/>
      <c r="BC6" s="1653" t="s">
        <v>118</v>
      </c>
      <c r="BD6" s="1653"/>
      <c r="BE6" s="1653"/>
      <c r="BF6" s="1653"/>
      <c r="BG6" s="1653"/>
      <c r="BH6" s="1653"/>
      <c r="BI6" s="1653"/>
      <c r="BJ6" s="1653"/>
      <c r="BK6" s="1653"/>
      <c r="BL6" s="1653"/>
      <c r="BM6" s="1653"/>
      <c r="BN6" s="1653"/>
      <c r="BO6" s="1653"/>
      <c r="BP6" s="1653"/>
      <c r="BQ6" s="1653"/>
      <c r="BR6" s="1653"/>
      <c r="BS6" s="1653"/>
      <c r="BT6" s="1653"/>
      <c r="BU6" s="1653"/>
      <c r="BV6" s="1653"/>
      <c r="BW6" s="1653"/>
      <c r="BX6" s="1653"/>
      <c r="BY6" s="1653"/>
      <c r="BZ6" s="1653"/>
      <c r="CA6" s="1653"/>
      <c r="CB6" s="1653"/>
      <c r="CC6" s="1653"/>
      <c r="CD6" s="1653"/>
      <c r="CE6" s="1653"/>
      <c r="CF6" s="1653"/>
      <c r="CG6" s="1653"/>
      <c r="CH6" s="1653"/>
      <c r="CI6" s="1653"/>
      <c r="CJ6" s="1653"/>
      <c r="CK6" s="1653"/>
      <c r="CL6" s="1653"/>
      <c r="CM6" s="1653"/>
      <c r="CN6" s="1653"/>
      <c r="CO6" s="1653"/>
      <c r="CP6" s="1653"/>
      <c r="CQ6" s="1653"/>
      <c r="CR6" s="1653"/>
      <c r="CS6" s="1653"/>
      <c r="CT6" s="1653"/>
      <c r="CU6" s="1653"/>
      <c r="CV6" s="1653"/>
      <c r="CW6" s="1653"/>
      <c r="CX6" s="1653"/>
      <c r="CY6" s="1653"/>
      <c r="CZ6" s="1653"/>
      <c r="DA6" s="1653"/>
      <c r="DB6" s="1653"/>
      <c r="DC6" s="1653"/>
      <c r="DD6" s="1653"/>
      <c r="DE6" s="1653"/>
      <c r="DF6" s="1653"/>
      <c r="DG6" s="1653"/>
      <c r="DH6" s="1653"/>
      <c r="DI6" s="1653"/>
      <c r="DJ6" s="1653"/>
      <c r="DK6" s="1653"/>
      <c r="DL6" s="1653"/>
      <c r="DM6" s="1653"/>
      <c r="DN6" s="1653"/>
      <c r="DO6" s="1653"/>
      <c r="DP6" s="1653"/>
      <c r="DQ6" s="1653"/>
      <c r="DR6" s="1653"/>
      <c r="DS6" s="1653"/>
      <c r="DT6" s="1653"/>
      <c r="DU6" s="1653"/>
      <c r="DV6" s="1653"/>
      <c r="DW6" s="1653"/>
      <c r="DX6" s="1653"/>
      <c r="DY6" s="1653"/>
      <c r="DZ6" s="1653"/>
      <c r="EA6" s="1653"/>
      <c r="EB6" s="1653"/>
      <c r="EC6" s="1653"/>
      <c r="ED6" s="1653"/>
      <c r="EE6" s="654"/>
    </row>
    <row r="7" spans="2:140" s="655" customFormat="1" ht="12.2" customHeight="1">
      <c r="R7" s="655" t="s">
        <v>545</v>
      </c>
      <c r="AC7" s="656"/>
      <c r="AD7" s="656"/>
      <c r="AE7" s="656"/>
      <c r="AF7" s="656"/>
      <c r="AG7" s="656"/>
      <c r="AH7" s="656"/>
      <c r="AI7" s="656"/>
      <c r="AJ7" s="656"/>
      <c r="AK7" s="656"/>
      <c r="AL7" s="656"/>
      <c r="AM7" s="656"/>
      <c r="AN7" s="656"/>
      <c r="AO7" s="656"/>
      <c r="AP7" s="656"/>
      <c r="AQ7" s="656"/>
      <c r="AR7" s="656"/>
      <c r="AS7" s="656"/>
      <c r="AT7" s="656"/>
      <c r="AU7" s="656"/>
      <c r="AV7" s="656"/>
      <c r="AW7" s="656"/>
      <c r="AX7" s="656"/>
      <c r="AY7" s="656"/>
      <c r="AZ7" s="656"/>
      <c r="BA7" s="656"/>
      <c r="BB7" s="656"/>
      <c r="BC7" s="1712"/>
      <c r="BD7" s="1712"/>
      <c r="BE7" s="1712"/>
      <c r="BF7" s="1712"/>
      <c r="BG7" s="1712"/>
      <c r="BH7" s="1712"/>
      <c r="BI7" s="1712"/>
      <c r="BJ7" s="1712"/>
      <c r="BK7" s="1712"/>
      <c r="BL7" s="1712"/>
      <c r="BM7" s="1712"/>
      <c r="BN7" s="1712"/>
      <c r="BO7" s="1712"/>
      <c r="BP7" s="1712"/>
      <c r="BQ7" s="1712"/>
      <c r="BR7" s="1712"/>
      <c r="BS7" s="1712"/>
      <c r="BT7" s="1712"/>
      <c r="BU7" s="1712"/>
      <c r="BV7" s="1712"/>
      <c r="BW7" s="1712"/>
      <c r="BX7" s="1712"/>
      <c r="BY7" s="1712"/>
      <c r="BZ7" s="1712"/>
      <c r="CA7" s="1712"/>
      <c r="CB7" s="1712"/>
      <c r="CC7" s="1712"/>
      <c r="CD7" s="1712"/>
      <c r="CE7" s="1712"/>
      <c r="CF7" s="1712"/>
      <c r="CG7" s="1712"/>
      <c r="CH7" s="1712"/>
      <c r="CI7" s="1712"/>
      <c r="CJ7" s="1712"/>
      <c r="CK7" s="1712"/>
      <c r="CL7" s="1712"/>
      <c r="CM7" s="1712"/>
      <c r="CN7" s="1712"/>
      <c r="CO7" s="1712"/>
      <c r="CP7" s="1712"/>
      <c r="CQ7" s="1712"/>
      <c r="CR7" s="1712"/>
      <c r="CS7" s="1712"/>
      <c r="CT7" s="1712"/>
      <c r="CU7" s="1712"/>
      <c r="CV7" s="1712"/>
      <c r="CW7" s="1712"/>
      <c r="CX7" s="1712"/>
      <c r="CY7" s="1712"/>
      <c r="CZ7" s="1712"/>
      <c r="DA7" s="1712"/>
      <c r="DB7" s="1712"/>
      <c r="DC7" s="1712"/>
      <c r="DD7" s="1712"/>
      <c r="DE7" s="1712"/>
      <c r="DF7" s="1712"/>
      <c r="DG7" s="1712"/>
      <c r="DH7" s="1712"/>
      <c r="DI7" s="1712"/>
      <c r="DJ7" s="1712"/>
      <c r="DK7" s="1712"/>
      <c r="DL7" s="1712"/>
      <c r="DM7" s="1712"/>
      <c r="DN7" s="1712"/>
      <c r="DO7" s="1712"/>
      <c r="DP7" s="1712"/>
      <c r="DQ7" s="1712"/>
      <c r="DR7" s="1712"/>
      <c r="DS7" s="1712"/>
      <c r="DT7" s="1712"/>
      <c r="DU7" s="1712"/>
      <c r="DV7" s="1712"/>
      <c r="DW7" s="1712"/>
      <c r="DX7" s="1712"/>
      <c r="DY7" s="1712"/>
      <c r="DZ7" s="1712"/>
      <c r="EA7" s="1712"/>
      <c r="EB7" s="1712"/>
      <c r="EC7" s="1712"/>
      <c r="ED7" s="1712"/>
    </row>
    <row r="8" spans="2:140" s="634" customFormat="1" ht="8.4499999999999993" customHeight="1">
      <c r="E8" s="658"/>
      <c r="BC8" s="1653" t="s">
        <v>118</v>
      </c>
      <c r="BD8" s="1653"/>
      <c r="BE8" s="1653"/>
      <c r="BF8" s="1653"/>
      <c r="BG8" s="1653"/>
      <c r="BH8" s="1653"/>
      <c r="BI8" s="1653"/>
      <c r="BJ8" s="1653"/>
      <c r="BK8" s="1653"/>
      <c r="BL8" s="1653"/>
      <c r="BM8" s="1653"/>
      <c r="BN8" s="1653"/>
      <c r="BO8" s="1653"/>
      <c r="BP8" s="1653"/>
      <c r="BQ8" s="1653"/>
      <c r="BR8" s="1653"/>
      <c r="BS8" s="1653"/>
      <c r="BT8" s="1653"/>
      <c r="BU8" s="1653"/>
      <c r="BV8" s="1653"/>
      <c r="BW8" s="1653"/>
      <c r="BX8" s="1653"/>
      <c r="BY8" s="1653"/>
      <c r="BZ8" s="1653"/>
      <c r="CA8" s="1653"/>
      <c r="CB8" s="1653"/>
      <c r="CC8" s="1653"/>
      <c r="CD8" s="1653"/>
      <c r="CE8" s="1653"/>
      <c r="CF8" s="1653"/>
      <c r="CG8" s="1653"/>
      <c r="CH8" s="1653"/>
      <c r="CI8" s="1653"/>
      <c r="CJ8" s="1653"/>
      <c r="CK8" s="1653"/>
      <c r="CL8" s="1653"/>
      <c r="CM8" s="1653"/>
      <c r="CN8" s="1653"/>
      <c r="CO8" s="1653"/>
      <c r="CP8" s="1653"/>
      <c r="CQ8" s="1653"/>
      <c r="CR8" s="1653"/>
      <c r="CS8" s="1653"/>
      <c r="CT8" s="1653"/>
      <c r="CU8" s="1653"/>
      <c r="CV8" s="1653"/>
      <c r="CW8" s="1653"/>
      <c r="CX8" s="1653"/>
      <c r="CY8" s="1653"/>
      <c r="CZ8" s="1653"/>
      <c r="DA8" s="1653"/>
      <c r="DB8" s="1653"/>
      <c r="DC8" s="1653"/>
      <c r="DD8" s="1653"/>
      <c r="DE8" s="1653"/>
      <c r="DF8" s="1653"/>
      <c r="DG8" s="1653"/>
      <c r="DH8" s="1653"/>
      <c r="DI8" s="1653"/>
      <c r="DJ8" s="1653"/>
      <c r="DK8" s="1653"/>
      <c r="DL8" s="1653"/>
      <c r="DM8" s="1653"/>
      <c r="DN8" s="1653"/>
      <c r="DO8" s="1653"/>
      <c r="DP8" s="1653"/>
      <c r="DQ8" s="1653"/>
      <c r="DR8" s="1653"/>
      <c r="DS8" s="1653"/>
      <c r="DT8" s="1653"/>
      <c r="DU8" s="1653"/>
      <c r="DV8" s="1653"/>
      <c r="DW8" s="1653"/>
      <c r="DX8" s="1653"/>
      <c r="DY8" s="1653"/>
      <c r="DZ8" s="1653"/>
      <c r="EA8" s="1653"/>
      <c r="EB8" s="1653"/>
      <c r="EC8" s="1653"/>
      <c r="ED8" s="1653"/>
    </row>
    <row r="9" spans="2:140" s="655" customFormat="1" ht="12.2" customHeight="1">
      <c r="R9" s="1713"/>
      <c r="S9" s="1713"/>
      <c r="T9" s="1713"/>
      <c r="U9" s="1713"/>
      <c r="V9" s="1713"/>
      <c r="W9" s="1713"/>
      <c r="X9" s="1713"/>
      <c r="Y9" s="1713"/>
      <c r="Z9" s="1713"/>
      <c r="AA9" s="1713"/>
      <c r="AB9" s="1713"/>
      <c r="AC9" s="1713"/>
      <c r="AD9" s="1713"/>
      <c r="AE9" s="1713"/>
      <c r="AF9" s="1713"/>
      <c r="AG9" s="1713"/>
      <c r="AH9" s="1713"/>
      <c r="AI9" s="1713"/>
      <c r="AJ9" s="1713"/>
      <c r="AK9" s="1713"/>
      <c r="AL9" s="1713"/>
      <c r="AM9" s="1713"/>
      <c r="AN9" s="1713"/>
      <c r="AO9" s="1713"/>
      <c r="AP9" s="1713"/>
      <c r="AQ9" s="1713"/>
      <c r="AR9" s="1713"/>
      <c r="AS9" s="1713"/>
      <c r="AT9" s="1713"/>
      <c r="AU9" s="1713"/>
      <c r="AV9" s="1713"/>
      <c r="AW9" s="1713"/>
      <c r="AX9" s="1713"/>
      <c r="AY9" s="1713"/>
      <c r="AZ9" s="1713"/>
      <c r="BA9" s="1713"/>
      <c r="BB9" s="1713"/>
      <c r="BC9" s="1713"/>
      <c r="BD9" s="1713"/>
      <c r="BE9" s="1713"/>
      <c r="BF9" s="1713"/>
      <c r="BG9" s="1713"/>
      <c r="BH9" s="1713"/>
      <c r="BI9" s="1713"/>
      <c r="BJ9" s="1713"/>
      <c r="BK9" s="1713"/>
      <c r="BL9" s="1713"/>
      <c r="BM9" s="1713"/>
      <c r="BN9" s="1713"/>
      <c r="BO9" s="1713"/>
      <c r="BP9" s="1713"/>
      <c r="BQ9" s="1713"/>
      <c r="BR9" s="1713"/>
      <c r="BS9" s="1713"/>
      <c r="BT9" s="1713"/>
      <c r="BU9" s="1713"/>
      <c r="BV9" s="1713"/>
      <c r="BW9" s="1713"/>
      <c r="BX9" s="1713"/>
      <c r="BY9" s="1713"/>
      <c r="BZ9" s="1713"/>
      <c r="CA9" s="1713"/>
      <c r="CB9" s="1713"/>
      <c r="CC9" s="1713"/>
      <c r="CD9" s="1713"/>
      <c r="CE9" s="1713"/>
      <c r="CF9" s="1713"/>
      <c r="CG9" s="1713"/>
      <c r="CH9" s="1713"/>
      <c r="CI9" s="1713"/>
      <c r="CJ9" s="1713"/>
      <c r="CK9" s="1713"/>
      <c r="CL9" s="1713"/>
      <c r="CM9" s="1713"/>
      <c r="CN9" s="1713"/>
      <c r="CO9" s="1713"/>
      <c r="CP9" s="1713"/>
      <c r="CQ9" s="1713"/>
      <c r="CR9" s="1713"/>
      <c r="CS9" s="1713"/>
      <c r="CT9" s="1713"/>
      <c r="CU9" s="1713"/>
      <c r="CV9" s="1713"/>
      <c r="CW9" s="1713"/>
      <c r="CX9" s="1713"/>
      <c r="CY9" s="1713"/>
      <c r="CZ9" s="1713"/>
      <c r="DA9" s="1713"/>
      <c r="DB9" s="1713"/>
      <c r="DC9" s="1713"/>
      <c r="DD9" s="656"/>
      <c r="DE9" s="655" t="s">
        <v>546</v>
      </c>
      <c r="DF9" s="656"/>
      <c r="DG9" s="656"/>
      <c r="DH9" s="656"/>
      <c r="DI9" s="656"/>
      <c r="DJ9" s="1714"/>
      <c r="DK9" s="1714"/>
      <c r="DL9" s="1714"/>
      <c r="DM9" s="1714"/>
      <c r="DN9" s="1714"/>
      <c r="DO9" s="1714"/>
      <c r="DP9" s="1714"/>
      <c r="DQ9" s="1714"/>
      <c r="DR9" s="1714"/>
      <c r="DS9" s="1714"/>
      <c r="DT9" s="1714"/>
      <c r="DU9" s="1714"/>
      <c r="DV9" s="1714"/>
      <c r="DW9" s="1714"/>
      <c r="DX9" s="1714"/>
      <c r="DZ9" s="655" t="s">
        <v>547</v>
      </c>
    </row>
    <row r="10" spans="2:140" s="655" customFormat="1" ht="15" customHeight="1">
      <c r="H10" s="655" t="s">
        <v>548</v>
      </c>
    </row>
    <row r="11" spans="2:140" s="634" customFormat="1" ht="7.5" customHeight="1"/>
    <row r="12" spans="2:140" s="655" customFormat="1" ht="12.2" customHeight="1">
      <c r="D12" s="655" t="s">
        <v>124</v>
      </c>
      <c r="AF12" s="1712" t="s">
        <v>125</v>
      </c>
      <c r="AG12" s="1712"/>
      <c r="AH12" s="1712"/>
      <c r="AI12" s="1712"/>
      <c r="AJ12" s="1712"/>
      <c r="AK12" s="1712"/>
      <c r="AL12" s="1712"/>
      <c r="AM12" s="1712"/>
      <c r="AN12" s="1712"/>
      <c r="AO12" s="1712"/>
      <c r="AP12" s="1712"/>
      <c r="AQ12" s="1712"/>
      <c r="AR12" s="1712"/>
      <c r="AS12" s="1712"/>
      <c r="AT12" s="1712"/>
      <c r="AU12" s="1712"/>
      <c r="AV12" s="1712"/>
      <c r="AW12" s="1712"/>
      <c r="AX12" s="1712"/>
      <c r="AY12" s="1712"/>
      <c r="AZ12" s="1712"/>
      <c r="BA12" s="1712"/>
      <c r="BB12" s="1712"/>
      <c r="BC12" s="1712"/>
      <c r="BD12" s="1712"/>
      <c r="BG12" s="553"/>
      <c r="BH12" s="553"/>
      <c r="BI12" s="553"/>
      <c r="BJ12" s="553"/>
      <c r="BK12" s="553"/>
      <c r="BL12" s="553"/>
      <c r="BM12" s="553"/>
      <c r="BN12" s="553"/>
      <c r="BO12" s="553"/>
      <c r="BP12" s="553"/>
      <c r="BQ12" s="553"/>
      <c r="BR12" s="553"/>
      <c r="BS12" s="553"/>
      <c r="BT12" s="553"/>
      <c r="BU12" s="553"/>
      <c r="BV12" s="553"/>
      <c r="BW12" s="553"/>
      <c r="BX12" s="553"/>
      <c r="BY12" s="553"/>
      <c r="BZ12" s="553"/>
      <c r="CA12" s="553"/>
      <c r="CB12" s="553"/>
      <c r="CC12" s="553"/>
      <c r="CD12" s="553"/>
      <c r="CG12" s="1715" t="s">
        <v>126</v>
      </c>
      <c r="CH12" s="1715"/>
      <c r="CI12" s="1715"/>
      <c r="CJ12" s="1715"/>
      <c r="CK12" s="1715"/>
      <c r="CL12" s="1715"/>
      <c r="CM12" s="1715"/>
      <c r="CN12" s="1715"/>
      <c r="CO12" s="1715"/>
      <c r="CP12" s="1715"/>
      <c r="CQ12" s="1715"/>
      <c r="CR12" s="1715"/>
      <c r="CS12" s="1715"/>
      <c r="CT12" s="1715"/>
      <c r="CU12" s="1715"/>
      <c r="CV12" s="1715"/>
      <c r="CW12" s="1715"/>
      <c r="CX12" s="1715"/>
      <c r="CY12" s="1715"/>
      <c r="CZ12" s="1715"/>
      <c r="DA12" s="1715"/>
      <c r="DB12" s="1715"/>
      <c r="DC12" s="1715"/>
      <c r="DD12" s="1715"/>
      <c r="DE12" s="1715"/>
      <c r="DF12" s="1715"/>
      <c r="DG12" s="1715"/>
      <c r="DH12" s="1715"/>
    </row>
    <row r="13" spans="2:140" s="659" customFormat="1" ht="8.4499999999999993" customHeight="1">
      <c r="AF13" s="1711" t="s">
        <v>183</v>
      </c>
      <c r="AG13" s="1711"/>
      <c r="AH13" s="1711"/>
      <c r="AI13" s="1711"/>
      <c r="AJ13" s="1711"/>
      <c r="AK13" s="1711"/>
      <c r="AL13" s="1711"/>
      <c r="AM13" s="1711"/>
      <c r="AN13" s="1711"/>
      <c r="AO13" s="1711"/>
      <c r="AP13" s="1711"/>
      <c r="AQ13" s="1711"/>
      <c r="AR13" s="1711"/>
      <c r="AS13" s="1711"/>
      <c r="AT13" s="1711"/>
      <c r="AU13" s="1711"/>
      <c r="AV13" s="1711"/>
      <c r="AW13" s="1711"/>
      <c r="AX13" s="1711"/>
      <c r="AY13" s="1711"/>
      <c r="AZ13" s="1711"/>
      <c r="BA13" s="1711"/>
      <c r="BB13" s="1711"/>
      <c r="BC13" s="1711"/>
      <c r="BD13" s="1711"/>
      <c r="BG13" s="1653" t="s">
        <v>80</v>
      </c>
      <c r="BH13" s="1653"/>
      <c r="BI13" s="1653"/>
      <c r="BJ13" s="1653"/>
      <c r="BK13" s="1653"/>
      <c r="BL13" s="1653"/>
      <c r="BM13" s="1653"/>
      <c r="BN13" s="1653"/>
      <c r="BO13" s="1653"/>
      <c r="BP13" s="1653"/>
      <c r="BQ13" s="1653"/>
      <c r="BR13" s="1653"/>
      <c r="BS13" s="1653"/>
      <c r="BT13" s="1653"/>
      <c r="BU13" s="1653"/>
      <c r="BV13" s="1653"/>
      <c r="BW13" s="1653"/>
      <c r="BX13" s="1653"/>
      <c r="BY13" s="1653"/>
      <c r="BZ13" s="1653"/>
      <c r="CA13" s="1653"/>
      <c r="CB13" s="1653"/>
      <c r="CC13" s="1653"/>
      <c r="CD13" s="1653"/>
      <c r="CE13" s="660"/>
      <c r="CF13" s="660"/>
      <c r="CG13" s="1653" t="s">
        <v>182</v>
      </c>
      <c r="CH13" s="1653"/>
      <c r="CI13" s="1653"/>
      <c r="CJ13" s="1653"/>
      <c r="CK13" s="1653"/>
      <c r="CL13" s="1653"/>
      <c r="CM13" s="1653"/>
      <c r="CN13" s="1653"/>
      <c r="CO13" s="1653"/>
      <c r="CP13" s="1653"/>
      <c r="CQ13" s="1653"/>
      <c r="CR13" s="1653"/>
      <c r="CS13" s="1653"/>
      <c r="CT13" s="1653"/>
      <c r="CU13" s="1653"/>
      <c r="CV13" s="1653"/>
      <c r="CW13" s="1653"/>
      <c r="CX13" s="1653"/>
      <c r="CY13" s="1653"/>
      <c r="CZ13" s="1653"/>
      <c r="DA13" s="1653"/>
      <c r="DB13" s="1653"/>
      <c r="DC13" s="1653"/>
      <c r="DD13" s="1653"/>
      <c r="DE13" s="1653"/>
      <c r="DF13" s="1653"/>
      <c r="DG13" s="1653"/>
      <c r="DH13" s="1653"/>
    </row>
    <row r="14" spans="2:140" s="659" customFormat="1" ht="12.75" customHeight="1">
      <c r="D14" s="552" t="s">
        <v>127</v>
      </c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60"/>
      <c r="AX14" s="660"/>
      <c r="AY14" s="653"/>
      <c r="AZ14" s="653"/>
      <c r="BA14" s="653"/>
      <c r="BB14" s="653"/>
      <c r="BC14" s="653"/>
      <c r="BD14" s="653"/>
      <c r="BE14" s="653"/>
      <c r="BF14" s="653"/>
      <c r="BG14" s="653"/>
      <c r="BH14" s="653"/>
      <c r="BI14" s="653"/>
      <c r="BJ14" s="653"/>
      <c r="BK14" s="653"/>
      <c r="BL14" s="653"/>
      <c r="BM14" s="653"/>
      <c r="BN14" s="653"/>
      <c r="BO14" s="653"/>
      <c r="BP14" s="653"/>
      <c r="BQ14" s="653"/>
      <c r="BR14" s="653"/>
      <c r="BS14" s="653"/>
      <c r="BT14" s="653"/>
      <c r="BU14" s="653"/>
      <c r="BV14" s="653"/>
      <c r="BW14" s="660"/>
      <c r="BX14" s="660"/>
      <c r="BY14" s="653"/>
      <c r="BZ14" s="653"/>
      <c r="CA14" s="653"/>
      <c r="CB14" s="653"/>
      <c r="CC14" s="653"/>
      <c r="CD14" s="653"/>
      <c r="CE14" s="653"/>
      <c r="CF14" s="653"/>
      <c r="CG14" s="653"/>
      <c r="CH14" s="653"/>
      <c r="CI14" s="653"/>
      <c r="CJ14" s="653"/>
      <c r="CK14" s="653"/>
      <c r="CL14" s="653"/>
      <c r="CM14" s="653"/>
      <c r="CN14" s="653"/>
      <c r="CO14" s="653"/>
      <c r="CP14" s="653"/>
      <c r="CQ14" s="653"/>
      <c r="CR14" s="653"/>
      <c r="CS14" s="653"/>
      <c r="CT14" s="653"/>
      <c r="CU14" s="653"/>
      <c r="CV14" s="653"/>
      <c r="CW14" s="653"/>
      <c r="CX14" s="653"/>
      <c r="CY14" s="653"/>
      <c r="CZ14" s="653"/>
    </row>
    <row r="15" spans="2:140" s="552" customFormat="1" ht="12.2" customHeight="1">
      <c r="AF15" s="1712" t="s">
        <v>3</v>
      </c>
      <c r="AG15" s="1712"/>
      <c r="AH15" s="1712"/>
      <c r="AI15" s="1712"/>
      <c r="AJ15" s="1712"/>
      <c r="AK15" s="1712"/>
      <c r="AL15" s="1712"/>
      <c r="AM15" s="1712"/>
      <c r="AN15" s="1712"/>
      <c r="AO15" s="1712"/>
      <c r="AP15" s="1712"/>
      <c r="AQ15" s="1712"/>
      <c r="AR15" s="1712"/>
      <c r="AS15" s="1712"/>
      <c r="AT15" s="1712"/>
      <c r="AU15" s="1712"/>
      <c r="AV15" s="1712"/>
      <c r="AW15" s="1712"/>
      <c r="AX15" s="1712"/>
      <c r="AY15" s="1712"/>
      <c r="AZ15" s="1712"/>
      <c r="BA15" s="1712"/>
      <c r="BB15" s="1712"/>
      <c r="BC15" s="1712"/>
      <c r="BD15" s="1712"/>
      <c r="BG15" s="553"/>
      <c r="BH15" s="553"/>
      <c r="BI15" s="553"/>
      <c r="BJ15" s="553"/>
      <c r="BK15" s="553"/>
      <c r="BL15" s="553"/>
      <c r="BM15" s="553"/>
      <c r="BN15" s="553"/>
      <c r="BO15" s="553"/>
      <c r="BP15" s="553"/>
      <c r="BQ15" s="553"/>
      <c r="BR15" s="553"/>
      <c r="BS15" s="553"/>
      <c r="BT15" s="553"/>
      <c r="BU15" s="553"/>
      <c r="BV15" s="553"/>
      <c r="BW15" s="553"/>
      <c r="BX15" s="553"/>
      <c r="BY15" s="553"/>
      <c r="BZ15" s="553"/>
      <c r="CA15" s="553"/>
      <c r="CB15" s="553"/>
      <c r="CC15" s="553"/>
      <c r="CD15" s="553"/>
      <c r="CE15" s="655"/>
      <c r="CF15" s="655"/>
      <c r="CG15" s="1715" t="s">
        <v>1</v>
      </c>
      <c r="CH15" s="1715"/>
      <c r="CI15" s="1715"/>
      <c r="CJ15" s="1715"/>
      <c r="CK15" s="1715"/>
      <c r="CL15" s="1715"/>
      <c r="CM15" s="1715"/>
      <c r="CN15" s="1715"/>
      <c r="CO15" s="1715"/>
      <c r="CP15" s="1715"/>
      <c r="CQ15" s="1715"/>
      <c r="CR15" s="1715"/>
      <c r="CS15" s="1715"/>
      <c r="CT15" s="1715"/>
      <c r="CU15" s="1715"/>
      <c r="CV15" s="1715"/>
      <c r="CW15" s="1715"/>
      <c r="CX15" s="1715"/>
      <c r="CY15" s="1715"/>
      <c r="CZ15" s="1715"/>
      <c r="DA15" s="1715"/>
      <c r="DB15" s="1715"/>
      <c r="DC15" s="1715"/>
      <c r="DD15" s="1715"/>
      <c r="DE15" s="1715"/>
      <c r="DF15" s="1715"/>
      <c r="DG15" s="1715"/>
      <c r="DH15" s="1715"/>
    </row>
    <row r="16" spans="2:140" s="659" customFormat="1" ht="8.4499999999999993" customHeight="1">
      <c r="AF16" s="1711" t="s">
        <v>183</v>
      </c>
      <c r="AG16" s="1711"/>
      <c r="AH16" s="1711"/>
      <c r="AI16" s="1711"/>
      <c r="AJ16" s="1711"/>
      <c r="AK16" s="1711"/>
      <c r="AL16" s="1711"/>
      <c r="AM16" s="1711"/>
      <c r="AN16" s="1711"/>
      <c r="AO16" s="1711"/>
      <c r="AP16" s="1711"/>
      <c r="AQ16" s="1711"/>
      <c r="AR16" s="1711"/>
      <c r="AS16" s="1711"/>
      <c r="AT16" s="1711"/>
      <c r="AU16" s="1711"/>
      <c r="AV16" s="1711"/>
      <c r="AW16" s="1711"/>
      <c r="AX16" s="1711"/>
      <c r="AY16" s="1711"/>
      <c r="AZ16" s="1711"/>
      <c r="BA16" s="1711"/>
      <c r="BB16" s="1711"/>
      <c r="BC16" s="1711"/>
      <c r="BD16" s="1711"/>
      <c r="BG16" s="1653" t="s">
        <v>80</v>
      </c>
      <c r="BH16" s="1653"/>
      <c r="BI16" s="1653"/>
      <c r="BJ16" s="1653"/>
      <c r="BK16" s="1653"/>
      <c r="BL16" s="1653"/>
      <c r="BM16" s="1653"/>
      <c r="BN16" s="1653"/>
      <c r="BO16" s="1653"/>
      <c r="BP16" s="1653"/>
      <c r="BQ16" s="1653"/>
      <c r="BR16" s="1653"/>
      <c r="BS16" s="1653"/>
      <c r="BT16" s="1653"/>
      <c r="BU16" s="1653"/>
      <c r="BV16" s="1653"/>
      <c r="BW16" s="1653"/>
      <c r="BX16" s="1653"/>
      <c r="BY16" s="1653"/>
      <c r="BZ16" s="1653"/>
      <c r="CA16" s="1653"/>
      <c r="CB16" s="1653"/>
      <c r="CC16" s="1653"/>
      <c r="CD16" s="1653"/>
      <c r="CE16" s="660"/>
      <c r="CF16" s="660"/>
      <c r="CG16" s="1653" t="s">
        <v>182</v>
      </c>
      <c r="CH16" s="1653"/>
      <c r="CI16" s="1653"/>
      <c r="CJ16" s="1653"/>
      <c r="CK16" s="1653"/>
      <c r="CL16" s="1653"/>
      <c r="CM16" s="1653"/>
      <c r="CN16" s="1653"/>
      <c r="CO16" s="1653"/>
      <c r="CP16" s="1653"/>
      <c r="CQ16" s="1653"/>
      <c r="CR16" s="1653"/>
      <c r="CS16" s="1653"/>
      <c r="CT16" s="1653"/>
      <c r="CU16" s="1653"/>
      <c r="CV16" s="1653"/>
      <c r="CW16" s="1653"/>
      <c r="CX16" s="1653"/>
      <c r="CY16" s="1653"/>
      <c r="CZ16" s="1653"/>
      <c r="DA16" s="1653"/>
      <c r="DB16" s="1653"/>
      <c r="DC16" s="1653"/>
      <c r="DD16" s="1653"/>
      <c r="DE16" s="1653"/>
      <c r="DF16" s="1653"/>
      <c r="DG16" s="1653"/>
      <c r="DH16" s="1653"/>
    </row>
    <row r="17" spans="1:139" s="659" customFormat="1" ht="7.5" customHeight="1"/>
    <row r="18" spans="1:139" s="552" customFormat="1" ht="14.25" customHeight="1">
      <c r="E18" s="552" t="s">
        <v>396</v>
      </c>
      <c r="CB18" s="655"/>
      <c r="CC18" s="655"/>
      <c r="CD18" s="655"/>
      <c r="CE18" s="655"/>
      <c r="CF18" s="655"/>
      <c r="CG18" s="655"/>
      <c r="CH18" s="655"/>
      <c r="CI18" s="655"/>
      <c r="CJ18" s="655"/>
      <c r="CK18" s="655"/>
      <c r="CL18" s="655"/>
      <c r="CM18" s="655"/>
      <c r="CN18" s="655"/>
      <c r="CO18" s="655"/>
      <c r="CV18" s="655"/>
      <c r="CW18" s="655"/>
      <c r="CX18" s="655"/>
      <c r="CY18" s="655"/>
      <c r="CZ18" s="655"/>
      <c r="DA18" s="655"/>
      <c r="DB18" s="1716" t="s">
        <v>292</v>
      </c>
      <c r="DC18" s="1716"/>
      <c r="DD18" s="1716"/>
      <c r="DE18" s="1716"/>
      <c r="DF18" s="1716"/>
      <c r="DG18" s="1716"/>
      <c r="DH18" s="1716"/>
      <c r="DI18" s="1716"/>
      <c r="DJ18" s="1716"/>
      <c r="DK18" s="1716"/>
      <c r="DL18" s="1716"/>
      <c r="DM18" s="1716"/>
      <c r="DN18" s="1716"/>
      <c r="DO18" s="1716"/>
      <c r="DP18" s="1716"/>
      <c r="DQ18" s="1716"/>
      <c r="DR18" s="655"/>
      <c r="DS18" s="655"/>
      <c r="DT18" s="655"/>
      <c r="DU18" s="655"/>
      <c r="DV18" s="655"/>
      <c r="DW18" s="655"/>
      <c r="DX18" s="655"/>
      <c r="DY18" s="655"/>
      <c r="ED18" s="661"/>
    </row>
    <row r="19" spans="1:139" s="552" customFormat="1" ht="14.25" customHeight="1">
      <c r="A19" s="552" t="s">
        <v>280</v>
      </c>
      <c r="F19" s="1716" t="s">
        <v>39</v>
      </c>
      <c r="G19" s="1716"/>
      <c r="H19" s="1716"/>
      <c r="I19" s="1716"/>
      <c r="J19" s="1716"/>
      <c r="K19" s="1716"/>
      <c r="L19" s="1716"/>
      <c r="M19" s="1716"/>
      <c r="N19" s="1716"/>
      <c r="O19" s="1716"/>
      <c r="P19" s="1716"/>
      <c r="Q19" s="1716"/>
      <c r="R19" s="1716"/>
      <c r="S19" s="1716"/>
      <c r="T19" s="1716"/>
      <c r="U19" s="1716"/>
      <c r="V19" s="1716"/>
      <c r="X19" s="552" t="s">
        <v>549</v>
      </c>
    </row>
    <row r="20" spans="1:139" s="552" customFormat="1" ht="14.25" customHeight="1">
      <c r="A20" s="552" t="s">
        <v>550</v>
      </c>
    </row>
    <row r="21" spans="1:139" ht="14.25" customHeight="1">
      <c r="A21" s="552" t="s">
        <v>551</v>
      </c>
    </row>
    <row r="22" spans="1:139" s="552" customFormat="1" ht="12.75" customHeight="1">
      <c r="E22" s="552" t="s">
        <v>78</v>
      </c>
      <c r="AO22" s="1715" t="s">
        <v>291</v>
      </c>
      <c r="AP22" s="1715"/>
      <c r="AQ22" s="1715"/>
      <c r="AR22" s="1715"/>
      <c r="AS22" s="1715"/>
      <c r="AT22" s="1715"/>
      <c r="AU22" s="1715"/>
      <c r="AV22" s="1715"/>
      <c r="AW22" s="1715"/>
      <c r="AX22" s="1715"/>
      <c r="AY22" s="1715"/>
      <c r="AZ22" s="1715"/>
      <c r="BA22" s="1715"/>
      <c r="BB22" s="1715"/>
      <c r="BC22" s="1715"/>
      <c r="BD22" s="1715"/>
      <c r="BE22" s="1715"/>
      <c r="BF22" s="1715"/>
      <c r="BG22" s="1715"/>
      <c r="BH22" s="1715"/>
      <c r="BI22" s="1715"/>
      <c r="BL22" s="1714"/>
      <c r="BM22" s="1714"/>
      <c r="BN22" s="1714"/>
      <c r="BO22" s="1714"/>
      <c r="BP22" s="1714"/>
      <c r="BQ22" s="1714"/>
      <c r="BR22" s="1714"/>
      <c r="BS22" s="1714"/>
      <c r="BT22" s="1714"/>
      <c r="BU22" s="1714"/>
      <c r="BV22" s="1714"/>
      <c r="BW22" s="1714"/>
      <c r="BX22" s="1714"/>
      <c r="BY22" s="1714"/>
      <c r="CB22" s="1715" t="s">
        <v>33</v>
      </c>
      <c r="CC22" s="1715"/>
      <c r="CD22" s="1715"/>
      <c r="CE22" s="1715"/>
      <c r="CF22" s="1715"/>
      <c r="CG22" s="1715"/>
      <c r="CH22" s="1715"/>
      <c r="CI22" s="1715"/>
      <c r="CJ22" s="1715"/>
      <c r="CK22" s="1715"/>
      <c r="CL22" s="1715"/>
      <c r="CM22" s="1715"/>
      <c r="CN22" s="1715"/>
      <c r="CO22" s="1715"/>
      <c r="CP22" s="1715"/>
      <c r="CQ22" s="1715"/>
      <c r="CR22" s="1715"/>
      <c r="CS22" s="1715"/>
      <c r="CT22" s="1715"/>
      <c r="CU22" s="1715"/>
      <c r="CV22" s="1715"/>
      <c r="CW22" s="1715"/>
      <c r="CX22" s="1715"/>
      <c r="CY22" s="1715"/>
      <c r="CZ22" s="1715"/>
      <c r="DA22" s="1715"/>
      <c r="DB22" s="1715"/>
      <c r="DC22" s="1715"/>
      <c r="DD22" s="1715"/>
      <c r="DE22" s="1715"/>
      <c r="DF22" s="1715"/>
      <c r="DG22" s="1715"/>
      <c r="DH22" s="1715"/>
      <c r="DI22" s="1715"/>
      <c r="DJ22" s="1715"/>
      <c r="DK22" s="1715"/>
      <c r="DL22" s="1715"/>
      <c r="DM22" s="1715"/>
      <c r="DN22" s="1715"/>
    </row>
    <row r="23" spans="1:139" ht="9" customHeight="1">
      <c r="AO23" s="1653" t="s">
        <v>183</v>
      </c>
      <c r="AP23" s="1653"/>
      <c r="AQ23" s="1653"/>
      <c r="AR23" s="1653"/>
      <c r="AS23" s="1653"/>
      <c r="AT23" s="1653"/>
      <c r="AU23" s="1653"/>
      <c r="AV23" s="1653"/>
      <c r="AW23" s="1653"/>
      <c r="AX23" s="1653"/>
      <c r="AY23" s="1653"/>
      <c r="AZ23" s="1653"/>
      <c r="BA23" s="1653"/>
      <c r="BB23" s="1653"/>
      <c r="BC23" s="1653"/>
      <c r="BD23" s="1653"/>
      <c r="BE23" s="1653"/>
      <c r="BF23" s="1653"/>
      <c r="BG23" s="1653"/>
      <c r="BH23" s="1653"/>
      <c r="BI23" s="1653"/>
      <c r="BJ23" s="660"/>
      <c r="BK23" s="660"/>
      <c r="BL23" s="1653" t="s">
        <v>80</v>
      </c>
      <c r="BM23" s="1653"/>
      <c r="BN23" s="1653"/>
      <c r="BO23" s="1653"/>
      <c r="BP23" s="1653"/>
      <c r="BQ23" s="1653"/>
      <c r="BR23" s="1653"/>
      <c r="BS23" s="1653"/>
      <c r="BT23" s="1653"/>
      <c r="BU23" s="1653"/>
      <c r="BV23" s="1653"/>
      <c r="BW23" s="1653"/>
      <c r="BX23" s="1653"/>
      <c r="BY23" s="1653"/>
      <c r="BZ23" s="660"/>
      <c r="CA23" s="660"/>
      <c r="CB23" s="1653" t="s">
        <v>182</v>
      </c>
      <c r="CC23" s="1653"/>
      <c r="CD23" s="1653"/>
      <c r="CE23" s="1653"/>
      <c r="CF23" s="1653"/>
      <c r="CG23" s="1653"/>
      <c r="CH23" s="1653"/>
      <c r="CI23" s="1653"/>
      <c r="CJ23" s="1653"/>
      <c r="CK23" s="1653"/>
      <c r="CL23" s="1653"/>
      <c r="CM23" s="1653"/>
      <c r="CN23" s="1653"/>
      <c r="CO23" s="1653"/>
      <c r="CP23" s="1653"/>
      <c r="CQ23" s="1653"/>
      <c r="CR23" s="1653"/>
      <c r="CS23" s="1653"/>
      <c r="CT23" s="1653"/>
      <c r="CU23" s="1653"/>
      <c r="CV23" s="1653"/>
      <c r="CW23" s="1653"/>
      <c r="CX23" s="1653"/>
      <c r="CY23" s="1653"/>
      <c r="CZ23" s="1653"/>
      <c r="DA23" s="1653"/>
      <c r="DB23" s="1653"/>
      <c r="DC23" s="1653"/>
      <c r="DD23" s="1653"/>
      <c r="DE23" s="1653"/>
      <c r="DF23" s="1653"/>
      <c r="DG23" s="1653"/>
      <c r="DH23" s="1653"/>
      <c r="DI23" s="1653"/>
      <c r="DJ23" s="1653"/>
      <c r="DK23" s="1653"/>
      <c r="DL23" s="1653"/>
      <c r="DM23" s="1653"/>
      <c r="DN23" s="1653"/>
    </row>
    <row r="24" spans="1:139" s="552" customFormat="1" ht="10.5" customHeight="1">
      <c r="A24" s="700"/>
      <c r="B24" s="700"/>
      <c r="C24" s="700"/>
      <c r="D24" s="700"/>
      <c r="E24" s="700"/>
      <c r="F24" s="700"/>
      <c r="G24" s="700"/>
      <c r="H24" s="700"/>
      <c r="I24" s="700"/>
      <c r="J24" s="700"/>
      <c r="K24" s="700"/>
      <c r="L24" s="700"/>
      <c r="M24" s="700"/>
      <c r="N24" s="700"/>
      <c r="O24" s="700"/>
      <c r="P24" s="700"/>
      <c r="Q24" s="700"/>
      <c r="R24" s="700"/>
      <c r="S24" s="700"/>
      <c r="T24" s="700"/>
      <c r="U24" s="700"/>
      <c r="V24" s="700"/>
      <c r="W24" s="700"/>
      <c r="X24" s="700"/>
      <c r="Y24" s="700"/>
      <c r="Z24" s="700"/>
      <c r="AA24" s="700"/>
      <c r="AB24" s="700"/>
      <c r="AC24" s="700"/>
      <c r="AD24" s="700"/>
      <c r="AE24" s="700"/>
      <c r="AF24" s="700"/>
      <c r="AG24" s="700"/>
      <c r="AH24" s="700"/>
      <c r="AI24" s="700"/>
      <c r="AJ24" s="700"/>
      <c r="AK24" s="700"/>
      <c r="AL24" s="700"/>
      <c r="AM24" s="700"/>
      <c r="AN24" s="700"/>
      <c r="AO24" s="1717"/>
      <c r="AP24" s="1717"/>
      <c r="AQ24" s="1717"/>
      <c r="AR24" s="1717"/>
      <c r="AS24" s="1717"/>
      <c r="AT24" s="1717"/>
      <c r="AU24" s="1717"/>
      <c r="AV24" s="1717"/>
      <c r="AW24" s="1717"/>
      <c r="AX24" s="1717"/>
      <c r="AY24" s="1717"/>
      <c r="AZ24" s="1717"/>
      <c r="BA24" s="1717"/>
      <c r="BB24" s="1717"/>
      <c r="BC24" s="1717"/>
      <c r="BD24" s="1717"/>
      <c r="BE24" s="1717"/>
      <c r="BF24" s="1717"/>
      <c r="BG24" s="1717"/>
      <c r="BH24" s="1717"/>
      <c r="BI24" s="1717"/>
      <c r="BJ24" s="700"/>
      <c r="BK24" s="700"/>
      <c r="BL24" s="1717"/>
      <c r="BM24" s="1717"/>
      <c r="BN24" s="1717"/>
      <c r="BO24" s="1717"/>
      <c r="BP24" s="1717"/>
      <c r="BQ24" s="1717"/>
      <c r="BR24" s="1717"/>
      <c r="BS24" s="1717"/>
      <c r="BT24" s="1717"/>
      <c r="BU24" s="1717"/>
      <c r="BV24" s="1717"/>
      <c r="BW24" s="1717"/>
      <c r="BX24" s="1717"/>
      <c r="BY24" s="1717"/>
      <c r="BZ24" s="700"/>
      <c r="CA24" s="700"/>
      <c r="CB24" s="1717"/>
      <c r="CC24" s="1717"/>
      <c r="CD24" s="1717"/>
      <c r="CE24" s="1717"/>
      <c r="CF24" s="1717"/>
      <c r="CG24" s="1717"/>
      <c r="CH24" s="1717"/>
      <c r="CI24" s="1717"/>
      <c r="CJ24" s="1717"/>
      <c r="CK24" s="1717"/>
      <c r="CL24" s="1717"/>
      <c r="CM24" s="1717"/>
      <c r="CN24" s="1717"/>
      <c r="CO24" s="1717"/>
      <c r="CP24" s="1717"/>
      <c r="CQ24" s="1717"/>
      <c r="CR24" s="1717"/>
      <c r="CS24" s="1717"/>
      <c r="CT24" s="1717"/>
      <c r="CU24" s="1717"/>
      <c r="CV24" s="1717"/>
      <c r="CW24" s="1717"/>
      <c r="CX24" s="1717"/>
      <c r="CY24" s="1717"/>
      <c r="CZ24" s="1717"/>
      <c r="DA24" s="1717"/>
      <c r="DB24" s="1717"/>
      <c r="DC24" s="1717"/>
      <c r="DD24" s="1717"/>
      <c r="DE24" s="1717"/>
      <c r="DF24" s="1717"/>
      <c r="DG24" s="1717"/>
      <c r="DH24" s="1717"/>
      <c r="DI24" s="1717"/>
      <c r="DJ24" s="1717"/>
      <c r="DK24" s="1717"/>
      <c r="DL24" s="1717"/>
      <c r="DM24" s="1717"/>
      <c r="DN24" s="1717"/>
      <c r="DO24" s="700"/>
      <c r="DP24" s="700"/>
      <c r="DQ24" s="700"/>
      <c r="DR24" s="700"/>
      <c r="DS24" s="700"/>
      <c r="DT24" s="700"/>
      <c r="DU24" s="700"/>
      <c r="DV24" s="700"/>
      <c r="DW24" s="700"/>
      <c r="DX24" s="700"/>
      <c r="DY24" s="700"/>
      <c r="DZ24" s="700"/>
      <c r="EA24" s="700"/>
      <c r="EB24" s="700"/>
      <c r="EC24" s="700"/>
      <c r="ED24" s="700"/>
      <c r="EE24" s="700"/>
      <c r="EF24" s="700"/>
      <c r="EG24" s="700"/>
      <c r="EH24" s="700"/>
      <c r="EI24" s="700"/>
    </row>
    <row r="25" spans="1:139" ht="9" customHeight="1">
      <c r="A25" s="662"/>
      <c r="B25" s="662"/>
      <c r="C25" s="662"/>
      <c r="D25" s="662"/>
      <c r="E25" s="662"/>
      <c r="F25" s="662"/>
      <c r="G25" s="662"/>
      <c r="H25" s="662"/>
      <c r="I25" s="662"/>
      <c r="J25" s="662"/>
      <c r="K25" s="662"/>
      <c r="L25" s="662"/>
      <c r="M25" s="662"/>
      <c r="N25" s="662"/>
      <c r="O25" s="662"/>
      <c r="P25" s="662"/>
      <c r="Q25" s="662"/>
      <c r="R25" s="662"/>
      <c r="S25" s="662"/>
      <c r="T25" s="662"/>
      <c r="U25" s="662"/>
      <c r="V25" s="662"/>
      <c r="W25" s="662"/>
      <c r="X25" s="662"/>
      <c r="Y25" s="662"/>
      <c r="Z25" s="662"/>
      <c r="AA25" s="662"/>
      <c r="AB25" s="662"/>
      <c r="AC25" s="662"/>
      <c r="AD25" s="662"/>
      <c r="AE25" s="662"/>
      <c r="AF25" s="662"/>
      <c r="AG25" s="662"/>
      <c r="AH25" s="662"/>
      <c r="AI25" s="662"/>
      <c r="AJ25" s="662"/>
      <c r="AK25" s="662"/>
      <c r="AL25" s="662"/>
      <c r="AM25" s="662"/>
      <c r="AN25" s="662"/>
      <c r="AO25" s="1649" t="s">
        <v>183</v>
      </c>
      <c r="AP25" s="1649"/>
      <c r="AQ25" s="1649"/>
      <c r="AR25" s="1649"/>
      <c r="AS25" s="1649"/>
      <c r="AT25" s="1649"/>
      <c r="AU25" s="1649"/>
      <c r="AV25" s="1649"/>
      <c r="AW25" s="1649"/>
      <c r="AX25" s="1649"/>
      <c r="AY25" s="1649"/>
      <c r="AZ25" s="1649"/>
      <c r="BA25" s="1649"/>
      <c r="BB25" s="1649"/>
      <c r="BC25" s="1649"/>
      <c r="BD25" s="1649"/>
      <c r="BE25" s="1649"/>
      <c r="BF25" s="1649"/>
      <c r="BG25" s="1649"/>
      <c r="BH25" s="1649"/>
      <c r="BI25" s="1649"/>
      <c r="BJ25" s="701"/>
      <c r="BK25" s="701"/>
      <c r="BL25" s="1649" t="s">
        <v>80</v>
      </c>
      <c r="BM25" s="1649"/>
      <c r="BN25" s="1649"/>
      <c r="BO25" s="1649"/>
      <c r="BP25" s="1649"/>
      <c r="BQ25" s="1649"/>
      <c r="BR25" s="1649"/>
      <c r="BS25" s="1649"/>
      <c r="BT25" s="1649"/>
      <c r="BU25" s="1649"/>
      <c r="BV25" s="1649"/>
      <c r="BW25" s="1649"/>
      <c r="BX25" s="1649"/>
      <c r="BY25" s="1649"/>
      <c r="BZ25" s="701"/>
      <c r="CA25" s="701"/>
      <c r="CB25" s="1649" t="s">
        <v>182</v>
      </c>
      <c r="CC25" s="1649"/>
      <c r="CD25" s="1649"/>
      <c r="CE25" s="1649"/>
      <c r="CF25" s="1649"/>
      <c r="CG25" s="1649"/>
      <c r="CH25" s="1649"/>
      <c r="CI25" s="1649"/>
      <c r="CJ25" s="1649"/>
      <c r="CK25" s="1649"/>
      <c r="CL25" s="1649"/>
      <c r="CM25" s="1649"/>
      <c r="CN25" s="1649"/>
      <c r="CO25" s="1649"/>
      <c r="CP25" s="1649"/>
      <c r="CQ25" s="1649"/>
      <c r="CR25" s="1649"/>
      <c r="CS25" s="1649"/>
      <c r="CT25" s="1649"/>
      <c r="CU25" s="1649"/>
      <c r="CV25" s="1649"/>
      <c r="CW25" s="1649"/>
      <c r="CX25" s="1649"/>
      <c r="CY25" s="1649"/>
      <c r="CZ25" s="1649"/>
      <c r="DA25" s="1649"/>
      <c r="DB25" s="1649"/>
      <c r="DC25" s="1649"/>
      <c r="DD25" s="1649"/>
      <c r="DE25" s="1649"/>
      <c r="DF25" s="1649"/>
      <c r="DG25" s="1649"/>
      <c r="DH25" s="1649"/>
      <c r="DI25" s="1649"/>
      <c r="DJ25" s="1649"/>
      <c r="DK25" s="1649"/>
      <c r="DL25" s="1649"/>
      <c r="DM25" s="1649"/>
      <c r="DN25" s="1649"/>
      <c r="DO25" s="662"/>
      <c r="DP25" s="662"/>
      <c r="DQ25" s="662"/>
      <c r="DR25" s="662"/>
      <c r="DS25" s="662"/>
      <c r="DT25" s="662"/>
      <c r="DU25" s="662"/>
      <c r="DV25" s="662"/>
      <c r="DW25" s="662"/>
      <c r="DX25" s="662"/>
      <c r="DY25" s="662"/>
      <c r="DZ25" s="662"/>
      <c r="EA25" s="662"/>
      <c r="EB25" s="662"/>
      <c r="EC25" s="662"/>
      <c r="ED25" s="662"/>
      <c r="EE25" s="662"/>
      <c r="EF25" s="662"/>
      <c r="EG25" s="662"/>
      <c r="EH25" s="662"/>
      <c r="EI25" s="662"/>
    </row>
    <row r="26" spans="1:139" s="552" customFormat="1" ht="15" customHeight="1">
      <c r="A26" s="700"/>
      <c r="B26" s="700"/>
      <c r="C26" s="700"/>
      <c r="D26" s="700"/>
      <c r="E26" s="700"/>
      <c r="F26" s="700"/>
      <c r="G26" s="700"/>
      <c r="H26" s="700"/>
      <c r="I26" s="700"/>
      <c r="J26" s="700"/>
      <c r="K26" s="700"/>
      <c r="L26" s="700"/>
      <c r="M26" s="700"/>
      <c r="N26" s="700"/>
      <c r="O26" s="700"/>
      <c r="P26" s="700"/>
      <c r="Q26" s="700"/>
      <c r="R26" s="700"/>
      <c r="S26" s="700"/>
      <c r="T26" s="700"/>
      <c r="U26" s="700"/>
      <c r="V26" s="700"/>
      <c r="W26" s="700"/>
      <c r="X26" s="700"/>
      <c r="Y26" s="700"/>
      <c r="Z26" s="700"/>
      <c r="AA26" s="700"/>
      <c r="AB26" s="700"/>
      <c r="AC26" s="700"/>
      <c r="AD26" s="700"/>
      <c r="AE26" s="700"/>
      <c r="AF26" s="700"/>
      <c r="AG26" s="700"/>
      <c r="AH26" s="700"/>
      <c r="AI26" s="700"/>
      <c r="AJ26" s="700"/>
      <c r="AK26" s="700"/>
      <c r="AL26" s="700"/>
      <c r="AM26" s="700"/>
      <c r="AN26" s="700"/>
      <c r="AO26" s="700"/>
      <c r="AP26" s="700"/>
      <c r="AQ26" s="700"/>
      <c r="AR26" s="700"/>
      <c r="AS26" s="700"/>
      <c r="AT26" s="700"/>
      <c r="AU26" s="700"/>
      <c r="AV26" s="700"/>
      <c r="AW26" s="700"/>
      <c r="AX26" s="700"/>
      <c r="AY26" s="700"/>
      <c r="AZ26" s="700"/>
      <c r="BA26" s="700"/>
      <c r="BB26" s="702" t="s">
        <v>83</v>
      </c>
      <c r="BC26" s="1717"/>
      <c r="BD26" s="1717"/>
      <c r="BE26" s="1717"/>
      <c r="BF26" s="1717"/>
      <c r="BG26" s="703" t="s">
        <v>84</v>
      </c>
      <c r="BH26" s="704"/>
      <c r="BI26" s="704"/>
      <c r="BJ26" s="1717"/>
      <c r="BK26" s="1717"/>
      <c r="BL26" s="1717"/>
      <c r="BM26" s="1717"/>
      <c r="BN26" s="1717"/>
      <c r="BO26" s="1717"/>
      <c r="BP26" s="1717"/>
      <c r="BQ26" s="1717"/>
      <c r="BR26" s="1717"/>
      <c r="BS26" s="1717"/>
      <c r="BT26" s="1717"/>
      <c r="BU26" s="1717"/>
      <c r="BV26" s="1717"/>
      <c r="BW26" s="1717"/>
      <c r="BX26" s="1717"/>
      <c r="BY26" s="1717"/>
      <c r="BZ26" s="1717"/>
      <c r="CA26" s="704"/>
      <c r="CB26" s="1718"/>
      <c r="CC26" s="1718"/>
      <c r="CD26" s="1718"/>
      <c r="CE26" s="1718"/>
      <c r="CF26" s="1718"/>
      <c r="CG26" s="700" t="s">
        <v>147</v>
      </c>
      <c r="CH26" s="700"/>
      <c r="CI26" s="705"/>
      <c r="CJ26" s="705"/>
      <c r="CK26" s="705"/>
      <c r="CL26" s="705"/>
      <c r="CM26" s="705"/>
      <c r="CN26" s="706"/>
      <c r="CO26" s="705"/>
      <c r="CP26" s="705"/>
      <c r="CQ26" s="705"/>
      <c r="CR26" s="705"/>
      <c r="CS26" s="705"/>
      <c r="CT26" s="706"/>
      <c r="CU26" s="706"/>
      <c r="CV26" s="706"/>
      <c r="CW26" s="706"/>
      <c r="CX26" s="700"/>
      <c r="CY26" s="700"/>
      <c r="CZ26" s="700"/>
      <c r="DA26" s="700"/>
      <c r="DB26" s="700"/>
      <c r="DC26" s="700"/>
      <c r="DD26" s="700"/>
      <c r="DE26" s="700"/>
      <c r="DF26" s="700"/>
      <c r="DG26" s="700"/>
      <c r="DH26" s="700"/>
      <c r="DI26" s="700"/>
      <c r="DJ26" s="700"/>
      <c r="DK26" s="700"/>
      <c r="DL26" s="700"/>
      <c r="DM26" s="700"/>
      <c r="DN26" s="700"/>
      <c r="DO26" s="700"/>
      <c r="DP26" s="700"/>
      <c r="DQ26" s="700"/>
      <c r="DR26" s="700"/>
      <c r="DS26" s="700"/>
      <c r="DT26" s="700"/>
      <c r="DU26" s="700"/>
      <c r="DV26" s="700"/>
      <c r="DW26" s="700"/>
      <c r="DX26" s="700"/>
      <c r="DY26" s="700"/>
      <c r="DZ26" s="700"/>
      <c r="EA26" s="700"/>
      <c r="EB26" s="700"/>
      <c r="EC26" s="700"/>
      <c r="ED26" s="700"/>
      <c r="EE26" s="700"/>
      <c r="EF26" s="700"/>
      <c r="EG26" s="700"/>
      <c r="EH26" s="700"/>
      <c r="EI26" s="700"/>
    </row>
    <row r="27" spans="1:139" s="552" customFormat="1" ht="15" customHeight="1">
      <c r="A27" s="700"/>
      <c r="B27" s="700"/>
      <c r="C27" s="700" t="s">
        <v>136</v>
      </c>
      <c r="D27" s="700"/>
      <c r="E27" s="700"/>
      <c r="F27" s="700"/>
      <c r="G27" s="700"/>
      <c r="H27" s="700"/>
      <c r="I27" s="700"/>
      <c r="J27" s="700"/>
      <c r="K27" s="700"/>
      <c r="L27" s="700"/>
      <c r="M27" s="700"/>
      <c r="N27" s="700"/>
      <c r="O27" s="700"/>
      <c r="P27" s="700"/>
      <c r="Q27" s="700"/>
      <c r="R27" s="700"/>
      <c r="S27" s="700"/>
      <c r="T27" s="700"/>
      <c r="U27" s="700"/>
      <c r="V27" s="700"/>
      <c r="W27" s="700"/>
      <c r="X27" s="700"/>
      <c r="Y27" s="700"/>
      <c r="Z27" s="700"/>
      <c r="AA27" s="700"/>
      <c r="AB27" s="700"/>
      <c r="AC27" s="700"/>
      <c r="AD27" s="700"/>
      <c r="AE27" s="700"/>
      <c r="AF27" s="700"/>
      <c r="AG27" s="700"/>
      <c r="AH27" s="700"/>
      <c r="AI27" s="700"/>
      <c r="AJ27" s="700"/>
      <c r="AK27" s="700"/>
      <c r="AL27" s="700"/>
      <c r="AM27" s="700"/>
      <c r="AN27" s="700"/>
      <c r="AO27" s="700"/>
      <c r="AP27" s="700"/>
      <c r="AQ27" s="700"/>
      <c r="AR27" s="700"/>
      <c r="AS27" s="700"/>
      <c r="AT27" s="700"/>
      <c r="AU27" s="700"/>
      <c r="AV27" s="700"/>
      <c r="AW27" s="700"/>
      <c r="AX27" s="700"/>
      <c r="AY27" s="700"/>
      <c r="AZ27" s="700"/>
      <c r="BA27" s="1717"/>
      <c r="BB27" s="1717"/>
      <c r="BC27" s="1717"/>
      <c r="BD27" s="1717"/>
      <c r="BE27" s="1717"/>
      <c r="BF27" s="1717"/>
      <c r="BG27" s="1717"/>
      <c r="BH27" s="1717"/>
      <c r="BI27" s="1717"/>
      <c r="BJ27" s="1717"/>
      <c r="BK27" s="1717"/>
      <c r="BL27" s="1717"/>
      <c r="BM27" s="1717"/>
      <c r="BN27" s="700"/>
      <c r="BO27" s="700"/>
      <c r="BP27" s="1717"/>
      <c r="BQ27" s="1717"/>
      <c r="BR27" s="1717"/>
      <c r="BS27" s="1717"/>
      <c r="BT27" s="1717"/>
      <c r="BU27" s="1717"/>
      <c r="BV27" s="1717"/>
      <c r="BW27" s="1717"/>
      <c r="BX27" s="1717"/>
      <c r="BY27" s="1717"/>
      <c r="BZ27" s="1717"/>
      <c r="CA27" s="1717"/>
      <c r="CB27" s="1717"/>
      <c r="CC27" s="1717"/>
      <c r="CD27" s="1717"/>
      <c r="CE27" s="706"/>
      <c r="CF27" s="700"/>
      <c r="CG27" s="1717"/>
      <c r="CH27" s="1717"/>
      <c r="CI27" s="1717"/>
      <c r="CJ27" s="1717"/>
      <c r="CK27" s="1717"/>
      <c r="CL27" s="1717"/>
      <c r="CM27" s="1717"/>
      <c r="CN27" s="1717"/>
      <c r="CO27" s="1717"/>
      <c r="CP27" s="1717"/>
      <c r="CQ27" s="1717"/>
      <c r="CR27" s="1717"/>
      <c r="CS27" s="1717"/>
      <c r="CT27" s="1717"/>
      <c r="CU27" s="1717"/>
      <c r="CV27" s="1717"/>
      <c r="CW27" s="1717"/>
      <c r="CX27" s="1717"/>
      <c r="CY27" s="1717"/>
      <c r="CZ27" s="1717"/>
      <c r="DA27" s="1717"/>
      <c r="DB27" s="1717"/>
      <c r="DC27" s="1717"/>
      <c r="DD27" s="1717"/>
      <c r="DE27" s="1717"/>
      <c r="DF27" s="1717"/>
      <c r="DG27" s="1717"/>
      <c r="DH27" s="1717"/>
      <c r="DI27" s="1717"/>
      <c r="DJ27" s="1717"/>
      <c r="DK27" s="1717"/>
      <c r="DL27" s="1717"/>
      <c r="DM27" s="1717"/>
      <c r="DN27" s="1717"/>
      <c r="DO27" s="700"/>
      <c r="DP27" s="700"/>
      <c r="DQ27" s="700"/>
      <c r="DR27" s="700"/>
      <c r="DS27" s="700"/>
      <c r="DT27" s="700"/>
      <c r="DU27" s="700"/>
      <c r="DV27" s="700"/>
      <c r="DW27" s="700"/>
      <c r="DX27" s="700"/>
      <c r="DY27" s="700"/>
      <c r="DZ27" s="700"/>
      <c r="EA27" s="700"/>
      <c r="EB27" s="700"/>
      <c r="EC27" s="700"/>
      <c r="ED27" s="700"/>
      <c r="EE27" s="700"/>
      <c r="EF27" s="700"/>
      <c r="EG27" s="700"/>
      <c r="EH27" s="700"/>
      <c r="EI27" s="700"/>
    </row>
    <row r="28" spans="1:139" ht="9.75" customHeight="1">
      <c r="A28" s="662"/>
      <c r="B28" s="662"/>
      <c r="C28" s="662"/>
      <c r="D28" s="662"/>
      <c r="E28" s="662"/>
      <c r="F28" s="662"/>
      <c r="G28" s="662"/>
      <c r="H28" s="662"/>
      <c r="I28" s="662"/>
      <c r="J28" s="662"/>
      <c r="K28" s="662"/>
      <c r="L28" s="662"/>
      <c r="M28" s="662"/>
      <c r="N28" s="662"/>
      <c r="O28" s="662"/>
      <c r="P28" s="662"/>
      <c r="Q28" s="662"/>
      <c r="R28" s="662"/>
      <c r="S28" s="662"/>
      <c r="T28" s="662"/>
      <c r="U28" s="662"/>
      <c r="V28" s="662"/>
      <c r="W28" s="662"/>
      <c r="X28" s="662"/>
      <c r="Y28" s="662"/>
      <c r="Z28" s="662"/>
      <c r="AA28" s="662"/>
      <c r="AB28" s="662"/>
      <c r="AC28" s="662"/>
      <c r="AD28" s="662"/>
      <c r="AE28" s="662"/>
      <c r="AF28" s="662"/>
      <c r="AG28" s="662"/>
      <c r="AH28" s="662"/>
      <c r="AI28" s="662"/>
      <c r="AJ28" s="662"/>
      <c r="AK28" s="662"/>
      <c r="AL28" s="662"/>
      <c r="AM28" s="662"/>
      <c r="AN28" s="662"/>
      <c r="AO28" s="662"/>
      <c r="AP28" s="662"/>
      <c r="AQ28" s="662"/>
      <c r="AR28" s="662"/>
      <c r="AS28" s="662"/>
      <c r="AT28" s="662"/>
      <c r="AU28" s="662"/>
      <c r="AV28" s="662"/>
      <c r="AW28" s="662"/>
      <c r="AX28" s="662"/>
      <c r="AY28" s="662"/>
      <c r="AZ28" s="662"/>
      <c r="BA28" s="1649" t="s">
        <v>183</v>
      </c>
      <c r="BB28" s="1649"/>
      <c r="BC28" s="1649"/>
      <c r="BD28" s="1649"/>
      <c r="BE28" s="1649"/>
      <c r="BF28" s="1649"/>
      <c r="BG28" s="1649"/>
      <c r="BH28" s="1649"/>
      <c r="BI28" s="1649"/>
      <c r="BJ28" s="1649"/>
      <c r="BK28" s="1649"/>
      <c r="BL28" s="1649"/>
      <c r="BM28" s="1649"/>
      <c r="BN28" s="701"/>
      <c r="BO28" s="701"/>
      <c r="BP28" s="1649" t="s">
        <v>80</v>
      </c>
      <c r="BQ28" s="1649"/>
      <c r="BR28" s="1649"/>
      <c r="BS28" s="1649"/>
      <c r="BT28" s="1649"/>
      <c r="BU28" s="1649"/>
      <c r="BV28" s="1649"/>
      <c r="BW28" s="1649"/>
      <c r="BX28" s="1649"/>
      <c r="BY28" s="1649"/>
      <c r="BZ28" s="1649"/>
      <c r="CA28" s="1649"/>
      <c r="CB28" s="1649"/>
      <c r="CC28" s="1649"/>
      <c r="CD28" s="1649"/>
      <c r="CE28" s="693"/>
      <c r="CF28" s="701"/>
      <c r="CG28" s="1649" t="s">
        <v>182</v>
      </c>
      <c r="CH28" s="1649"/>
      <c r="CI28" s="1649"/>
      <c r="CJ28" s="1649"/>
      <c r="CK28" s="1649"/>
      <c r="CL28" s="1649"/>
      <c r="CM28" s="1649"/>
      <c r="CN28" s="1649"/>
      <c r="CO28" s="1649"/>
      <c r="CP28" s="1649"/>
      <c r="CQ28" s="1649"/>
      <c r="CR28" s="1649"/>
      <c r="CS28" s="1649"/>
      <c r="CT28" s="1649"/>
      <c r="CU28" s="1649"/>
      <c r="CV28" s="1649"/>
      <c r="CW28" s="1649"/>
      <c r="CX28" s="1649"/>
      <c r="CY28" s="1649"/>
      <c r="CZ28" s="1649"/>
      <c r="DA28" s="1649"/>
      <c r="DB28" s="1649"/>
      <c r="DC28" s="1649"/>
      <c r="DD28" s="1649"/>
      <c r="DE28" s="1649"/>
      <c r="DF28" s="1649"/>
      <c r="DG28" s="1649"/>
      <c r="DH28" s="1649"/>
      <c r="DI28" s="1649"/>
      <c r="DJ28" s="1649"/>
      <c r="DK28" s="1649"/>
      <c r="DL28" s="1649"/>
      <c r="DM28" s="1649"/>
      <c r="DN28" s="1649"/>
      <c r="DO28" s="662"/>
      <c r="DP28" s="662"/>
      <c r="DQ28" s="662"/>
      <c r="DR28" s="662"/>
      <c r="DS28" s="662"/>
      <c r="DT28" s="662"/>
      <c r="DU28" s="662"/>
      <c r="DV28" s="662"/>
      <c r="DW28" s="662"/>
      <c r="DX28" s="662"/>
      <c r="DY28" s="662"/>
      <c r="DZ28" s="662"/>
      <c r="EA28" s="662"/>
      <c r="EB28" s="662"/>
      <c r="EC28" s="662"/>
      <c r="ED28" s="662"/>
      <c r="EE28" s="662"/>
      <c r="EF28" s="662"/>
      <c r="EG28" s="662"/>
      <c r="EH28" s="662"/>
      <c r="EI28" s="662"/>
    </row>
    <row r="29" spans="1:139" s="552" customFormat="1" ht="15" customHeight="1">
      <c r="A29" s="700"/>
      <c r="B29" s="700"/>
      <c r="C29" s="700"/>
      <c r="D29" s="700"/>
      <c r="E29" s="700"/>
      <c r="F29" s="700"/>
      <c r="G29" s="700"/>
      <c r="H29" s="700"/>
      <c r="I29" s="700"/>
      <c r="J29" s="700"/>
      <c r="K29" s="700"/>
      <c r="L29" s="700"/>
      <c r="M29" s="700"/>
      <c r="N29" s="700"/>
      <c r="O29" s="700"/>
      <c r="P29" s="700"/>
      <c r="Q29" s="700"/>
      <c r="R29" s="700"/>
      <c r="S29" s="700"/>
      <c r="T29" s="700"/>
      <c r="U29" s="700"/>
      <c r="V29" s="700"/>
      <c r="W29" s="700"/>
      <c r="X29" s="700"/>
      <c r="Y29" s="700"/>
      <c r="Z29" s="700"/>
      <c r="AA29" s="700"/>
      <c r="AB29" s="700"/>
      <c r="AC29" s="700"/>
      <c r="AD29" s="700"/>
      <c r="AE29" s="700"/>
      <c r="AF29" s="700"/>
      <c r="AG29" s="700"/>
      <c r="AH29" s="700"/>
      <c r="AI29" s="700"/>
      <c r="AJ29" s="700"/>
      <c r="AK29" s="700"/>
      <c r="AL29" s="700"/>
      <c r="AM29" s="700"/>
      <c r="AN29" s="700"/>
      <c r="AO29" s="700"/>
      <c r="AP29" s="700"/>
      <c r="AQ29" s="700"/>
      <c r="AR29" s="700"/>
      <c r="AS29" s="700"/>
      <c r="AT29" s="700"/>
      <c r="AU29" s="700"/>
      <c r="AV29" s="700"/>
      <c r="AW29" s="700"/>
      <c r="AX29" s="700"/>
      <c r="AY29" s="700"/>
      <c r="AZ29" s="700"/>
      <c r="BA29" s="700"/>
      <c r="BB29" s="702" t="s">
        <v>83</v>
      </c>
      <c r="BC29" s="1717"/>
      <c r="BD29" s="1717"/>
      <c r="BE29" s="1717"/>
      <c r="BF29" s="1717"/>
      <c r="BG29" s="703" t="s">
        <v>84</v>
      </c>
      <c r="BH29" s="704"/>
      <c r="BI29" s="704"/>
      <c r="BJ29" s="1717"/>
      <c r="BK29" s="1717"/>
      <c r="BL29" s="1717"/>
      <c r="BM29" s="1717"/>
      <c r="BN29" s="1717"/>
      <c r="BO29" s="1717"/>
      <c r="BP29" s="1717"/>
      <c r="BQ29" s="1717"/>
      <c r="BR29" s="1717"/>
      <c r="BS29" s="1717"/>
      <c r="BT29" s="1717"/>
      <c r="BU29" s="1717"/>
      <c r="BV29" s="1717"/>
      <c r="BW29" s="1717"/>
      <c r="BX29" s="1717"/>
      <c r="BY29" s="1717"/>
      <c r="BZ29" s="1717"/>
      <c r="CA29" s="704"/>
      <c r="CB29" s="1718"/>
      <c r="CC29" s="1718"/>
      <c r="CD29" s="1718"/>
      <c r="CE29" s="1718"/>
      <c r="CF29" s="1718"/>
      <c r="CG29" s="700" t="s">
        <v>147</v>
      </c>
      <c r="CH29" s="700"/>
      <c r="CI29" s="700"/>
      <c r="CJ29" s="700"/>
      <c r="CK29" s="700"/>
      <c r="CL29" s="700"/>
      <c r="CM29" s="700"/>
      <c r="CN29" s="700"/>
      <c r="CO29" s="700"/>
      <c r="CP29" s="700"/>
      <c r="CQ29" s="700"/>
      <c r="CR29" s="700"/>
      <c r="CS29" s="700"/>
      <c r="CT29" s="700"/>
      <c r="CU29" s="700"/>
      <c r="CV29" s="700"/>
      <c r="CW29" s="700"/>
      <c r="CX29" s="700"/>
      <c r="CY29" s="700"/>
      <c r="CZ29" s="700"/>
      <c r="DA29" s="700"/>
      <c r="DB29" s="700"/>
      <c r="DC29" s="700"/>
      <c r="DD29" s="700"/>
      <c r="DE29" s="700"/>
      <c r="DF29" s="700"/>
      <c r="DG29" s="700"/>
      <c r="DH29" s="700"/>
      <c r="DI29" s="700"/>
      <c r="DJ29" s="700"/>
      <c r="DK29" s="700"/>
      <c r="DL29" s="700"/>
      <c r="DM29" s="700"/>
      <c r="DN29" s="700"/>
      <c r="DO29" s="700"/>
      <c r="DP29" s="700"/>
      <c r="DQ29" s="700"/>
      <c r="DR29" s="700"/>
      <c r="DS29" s="700"/>
      <c r="DT29" s="700"/>
      <c r="DU29" s="700"/>
      <c r="DV29" s="700"/>
      <c r="DW29" s="700"/>
      <c r="DX29" s="700"/>
      <c r="DY29" s="700"/>
      <c r="DZ29" s="700"/>
      <c r="EA29" s="700"/>
      <c r="EB29" s="700"/>
      <c r="EC29" s="700"/>
      <c r="ED29" s="700"/>
      <c r="EE29" s="700"/>
      <c r="EF29" s="700"/>
      <c r="EG29" s="700"/>
      <c r="EH29" s="700"/>
      <c r="EI29" s="700"/>
    </row>
    <row r="30" spans="1:139" s="552" customFormat="1" ht="13.5">
      <c r="A30" s="700"/>
      <c r="B30" s="700"/>
      <c r="C30" s="700" t="s">
        <v>368</v>
      </c>
      <c r="D30" s="700"/>
      <c r="E30" s="700"/>
      <c r="F30" s="700"/>
      <c r="G30" s="700"/>
      <c r="H30" s="700"/>
      <c r="I30" s="700"/>
      <c r="J30" s="700"/>
      <c r="K30" s="700"/>
      <c r="L30" s="700"/>
      <c r="M30" s="700"/>
      <c r="N30" s="700"/>
      <c r="O30" s="700"/>
      <c r="P30" s="700"/>
      <c r="Q30" s="700"/>
      <c r="R30" s="700"/>
      <c r="S30" s="700"/>
      <c r="T30" s="700"/>
      <c r="U30" s="700"/>
      <c r="V30" s="700"/>
      <c r="W30" s="700"/>
      <c r="X30" s="700"/>
      <c r="Y30" s="700"/>
      <c r="Z30" s="700"/>
      <c r="AA30" s="700"/>
      <c r="AB30" s="700"/>
      <c r="AC30" s="700"/>
      <c r="AD30" s="700"/>
      <c r="AE30" s="700"/>
      <c r="AF30" s="700"/>
      <c r="AG30" s="700"/>
      <c r="AH30" s="700"/>
      <c r="AI30" s="700"/>
      <c r="AJ30" s="700"/>
      <c r="AK30" s="700"/>
      <c r="AL30" s="706"/>
      <c r="AM30" s="706"/>
      <c r="AN30" s="706"/>
      <c r="AO30" s="1719"/>
      <c r="AP30" s="1719"/>
      <c r="AQ30" s="1719"/>
      <c r="AR30" s="1719"/>
      <c r="AS30" s="1719"/>
      <c r="AT30" s="1719"/>
      <c r="AU30" s="1719"/>
      <c r="AV30" s="1719"/>
      <c r="AW30" s="1719"/>
      <c r="AX30" s="1719"/>
      <c r="AY30" s="1719"/>
      <c r="AZ30" s="1719"/>
      <c r="BA30" s="1719"/>
      <c r="BB30" s="1719"/>
      <c r="BC30" s="1719"/>
      <c r="BD30" s="1719"/>
      <c r="BE30" s="1719"/>
      <c r="BF30" s="1719"/>
      <c r="BG30" s="1719"/>
      <c r="BH30" s="1719"/>
      <c r="BI30" s="1719"/>
      <c r="BJ30" s="1719"/>
      <c r="BK30" s="1719"/>
      <c r="BL30" s="1719"/>
      <c r="BM30" s="1719"/>
      <c r="BN30" s="1719"/>
      <c r="BO30" s="1719"/>
      <c r="BP30" s="1719"/>
      <c r="BQ30" s="1719"/>
      <c r="BR30" s="1719"/>
      <c r="BS30" s="1719"/>
      <c r="BT30" s="1719"/>
      <c r="BU30" s="1719"/>
      <c r="BV30" s="1719"/>
      <c r="BW30" s="1719"/>
      <c r="BX30" s="1719"/>
      <c r="BY30" s="1719"/>
      <c r="BZ30" s="1719"/>
      <c r="CA30" s="1719"/>
      <c r="CB30" s="1719"/>
      <c r="CC30" s="1719"/>
      <c r="CD30" s="1719"/>
      <c r="CE30" s="1719"/>
      <c r="CF30" s="1719"/>
      <c r="CG30" s="1719"/>
      <c r="CH30" s="1719"/>
      <c r="CI30" s="1719"/>
      <c r="CJ30" s="1719"/>
      <c r="CK30" s="1719"/>
      <c r="CL30" s="1719"/>
      <c r="CM30" s="1719"/>
      <c r="CN30" s="1719"/>
      <c r="CO30" s="1719"/>
      <c r="CP30" s="1719"/>
      <c r="CQ30" s="1719"/>
      <c r="CR30" s="1719"/>
      <c r="CS30" s="1719"/>
      <c r="CT30" s="1719"/>
      <c r="CU30" s="1719"/>
      <c r="CV30" s="1719"/>
      <c r="CW30" s="1719"/>
      <c r="CX30" s="1719"/>
      <c r="CY30" s="1719"/>
      <c r="CZ30" s="1719"/>
      <c r="DA30" s="1719"/>
      <c r="DB30" s="1719"/>
      <c r="DC30" s="1719"/>
      <c r="DD30" s="1719"/>
      <c r="DE30" s="1719"/>
      <c r="DF30" s="1719"/>
      <c r="DG30" s="1719"/>
      <c r="DH30" s="1719"/>
      <c r="DI30" s="1719"/>
      <c r="DJ30" s="1719"/>
      <c r="DK30" s="1719"/>
      <c r="DL30" s="1719"/>
      <c r="DM30" s="1719"/>
      <c r="DN30" s="1719"/>
      <c r="DO30" s="1719"/>
      <c r="DP30" s="1719"/>
      <c r="DQ30" s="1719"/>
      <c r="DR30" s="1719"/>
      <c r="DS30" s="1719"/>
      <c r="DT30" s="1719"/>
      <c r="DU30" s="1719"/>
      <c r="DV30" s="1719"/>
      <c r="DW30" s="1719"/>
      <c r="DX30" s="1719"/>
      <c r="DY30" s="1719"/>
      <c r="DZ30" s="1719"/>
      <c r="EA30" s="1719"/>
      <c r="EB30" s="1719"/>
      <c r="EC30" s="1719"/>
      <c r="ED30" s="1719"/>
      <c r="EE30" s="706"/>
      <c r="EF30" s="706"/>
      <c r="EG30" s="706"/>
      <c r="EH30" s="706"/>
      <c r="EI30" s="706"/>
    </row>
    <row r="31" spans="1:139" s="552" customFormat="1" ht="12.75" customHeight="1">
      <c r="A31" s="1719"/>
      <c r="B31" s="1719"/>
      <c r="C31" s="1719"/>
      <c r="D31" s="1719"/>
      <c r="E31" s="1719"/>
      <c r="F31" s="1719"/>
      <c r="G31" s="1719"/>
      <c r="H31" s="1719"/>
      <c r="I31" s="1719"/>
      <c r="J31" s="1719"/>
      <c r="K31" s="1719"/>
      <c r="L31" s="1719"/>
      <c r="M31" s="1719"/>
      <c r="N31" s="1719"/>
      <c r="O31" s="1719"/>
      <c r="P31" s="1719"/>
      <c r="Q31" s="1719"/>
      <c r="R31" s="1719"/>
      <c r="S31" s="1719"/>
      <c r="T31" s="1719"/>
      <c r="U31" s="1719"/>
      <c r="V31" s="1719"/>
      <c r="W31" s="1719"/>
      <c r="X31" s="1719"/>
      <c r="Y31" s="1719"/>
      <c r="Z31" s="1719"/>
      <c r="AA31" s="1719"/>
      <c r="AB31" s="1719"/>
      <c r="AC31" s="1719"/>
      <c r="AD31" s="1719"/>
      <c r="AE31" s="1719"/>
      <c r="AF31" s="1719"/>
      <c r="AG31" s="1719"/>
      <c r="AH31" s="1719"/>
      <c r="AI31" s="1719"/>
      <c r="AJ31" s="1719"/>
      <c r="AK31" s="1719"/>
      <c r="AL31" s="1719"/>
      <c r="AM31" s="1719"/>
      <c r="AN31" s="1719"/>
      <c r="AO31" s="1719"/>
      <c r="AP31" s="1719"/>
      <c r="AQ31" s="1719"/>
      <c r="AR31" s="1719"/>
      <c r="AS31" s="1719"/>
      <c r="AT31" s="1719"/>
      <c r="AU31" s="1719"/>
      <c r="AV31" s="1719"/>
      <c r="AW31" s="1719"/>
      <c r="AX31" s="1719"/>
      <c r="AY31" s="1719"/>
      <c r="AZ31" s="1719"/>
      <c r="BA31" s="1719"/>
      <c r="BB31" s="1719"/>
      <c r="BC31" s="1719"/>
      <c r="BD31" s="1719"/>
      <c r="BE31" s="1719"/>
      <c r="BF31" s="1719"/>
      <c r="BG31" s="1719"/>
      <c r="BH31" s="1719"/>
      <c r="BI31" s="1719"/>
      <c r="BJ31" s="1719"/>
      <c r="BK31" s="1719"/>
      <c r="BL31" s="1719"/>
      <c r="BM31" s="1719"/>
      <c r="BN31" s="1719"/>
      <c r="BO31" s="1719"/>
      <c r="BP31" s="1719"/>
      <c r="BQ31" s="1719"/>
      <c r="BR31" s="1719"/>
      <c r="BS31" s="1719"/>
      <c r="BT31" s="1719"/>
      <c r="BU31" s="1719"/>
      <c r="BV31" s="1719"/>
      <c r="BW31" s="1719"/>
      <c r="BX31" s="1719"/>
      <c r="BY31" s="1719"/>
      <c r="BZ31" s="1719"/>
      <c r="CA31" s="1719"/>
      <c r="CB31" s="1719"/>
      <c r="CC31" s="1719"/>
      <c r="CD31" s="1719"/>
      <c r="CE31" s="1719"/>
      <c r="CF31" s="1719"/>
      <c r="CG31" s="1719"/>
      <c r="CH31" s="1719"/>
      <c r="CI31" s="1719"/>
      <c r="CJ31" s="1719"/>
      <c r="CK31" s="1719"/>
      <c r="CL31" s="1719"/>
      <c r="CM31" s="1719"/>
      <c r="CN31" s="1719"/>
      <c r="CO31" s="1719"/>
      <c r="CP31" s="1719"/>
      <c r="CQ31" s="1719"/>
      <c r="CR31" s="1719"/>
      <c r="CS31" s="1719"/>
      <c r="CT31" s="1719"/>
      <c r="CU31" s="1719"/>
      <c r="CV31" s="1719"/>
      <c r="CW31" s="1719"/>
      <c r="CX31" s="1719"/>
      <c r="CY31" s="1719"/>
      <c r="CZ31" s="1719"/>
      <c r="DA31" s="1719"/>
      <c r="DB31" s="1719"/>
      <c r="DC31" s="1719"/>
      <c r="DD31" s="1719"/>
      <c r="DE31" s="1719"/>
      <c r="DF31" s="1719"/>
      <c r="DG31" s="1719"/>
      <c r="DH31" s="1719"/>
      <c r="DI31" s="1719"/>
      <c r="DJ31" s="1719"/>
      <c r="DK31" s="1719"/>
      <c r="DL31" s="1719"/>
      <c r="DM31" s="1719"/>
      <c r="DN31" s="1719"/>
      <c r="DO31" s="1719"/>
      <c r="DP31" s="1719"/>
      <c r="DQ31" s="1719"/>
      <c r="DR31" s="1719"/>
      <c r="DS31" s="1719"/>
      <c r="DT31" s="1719"/>
      <c r="DU31" s="1719"/>
      <c r="DV31" s="1719"/>
      <c r="DW31" s="1719"/>
      <c r="DX31" s="1719"/>
      <c r="DY31" s="1719"/>
      <c r="DZ31" s="1719"/>
      <c r="EA31" s="1719"/>
      <c r="EB31" s="1719"/>
      <c r="EC31" s="1719"/>
      <c r="ED31" s="1719"/>
      <c r="EE31" s="700"/>
      <c r="EF31" s="700"/>
      <c r="EG31" s="700"/>
      <c r="EH31" s="700"/>
      <c r="EI31" s="700"/>
    </row>
    <row r="32" spans="1:139" s="552" customFormat="1" ht="12.75" customHeight="1">
      <c r="A32" s="1720"/>
      <c r="B32" s="1720"/>
      <c r="C32" s="1720"/>
      <c r="D32" s="1720"/>
      <c r="E32" s="1720"/>
      <c r="F32" s="1720"/>
      <c r="G32" s="1720"/>
      <c r="H32" s="1720"/>
      <c r="I32" s="1720"/>
      <c r="J32" s="1720"/>
      <c r="K32" s="1720"/>
      <c r="L32" s="1720"/>
      <c r="M32" s="1720"/>
      <c r="N32" s="1720"/>
      <c r="O32" s="1720"/>
      <c r="P32" s="1720"/>
      <c r="Q32" s="1720"/>
      <c r="R32" s="1720"/>
      <c r="S32" s="1720"/>
      <c r="T32" s="1720"/>
      <c r="U32" s="1720"/>
      <c r="V32" s="1720"/>
      <c r="W32" s="1720"/>
      <c r="X32" s="1720"/>
      <c r="Y32" s="1720"/>
      <c r="Z32" s="1720"/>
      <c r="AA32" s="1720"/>
      <c r="AB32" s="1720"/>
      <c r="AC32" s="1720"/>
      <c r="AD32" s="1720"/>
      <c r="AE32" s="1720"/>
      <c r="AF32" s="1720"/>
      <c r="AG32" s="1720"/>
      <c r="AH32" s="1720"/>
      <c r="AI32" s="1720"/>
      <c r="AJ32" s="1720"/>
      <c r="AK32" s="1720"/>
      <c r="AL32" s="1720"/>
      <c r="AM32" s="1720"/>
      <c r="AN32" s="1720"/>
      <c r="AO32" s="1720"/>
      <c r="AP32" s="1720"/>
      <c r="AQ32" s="1720"/>
      <c r="AR32" s="1720"/>
      <c r="AS32" s="1720"/>
      <c r="AT32" s="1720"/>
      <c r="AU32" s="1720"/>
      <c r="AV32" s="1720"/>
      <c r="AW32" s="1720"/>
      <c r="AX32" s="1720"/>
      <c r="AY32" s="1720"/>
      <c r="AZ32" s="1720"/>
      <c r="BA32" s="1720"/>
      <c r="BB32" s="1720"/>
      <c r="BC32" s="1720"/>
      <c r="BD32" s="1720"/>
      <c r="BE32" s="1720"/>
      <c r="BF32" s="1720"/>
      <c r="BG32" s="1720"/>
      <c r="BH32" s="1720"/>
      <c r="BI32" s="1720"/>
      <c r="BJ32" s="1720"/>
      <c r="BK32" s="1720"/>
      <c r="BL32" s="1720"/>
      <c r="BM32" s="1720"/>
      <c r="BN32" s="1720"/>
      <c r="BO32" s="1720"/>
      <c r="BP32" s="1720"/>
      <c r="BQ32" s="1720"/>
      <c r="BR32" s="1720"/>
      <c r="BS32" s="1720"/>
      <c r="BT32" s="1720"/>
      <c r="BU32" s="1720"/>
      <c r="BV32" s="1720"/>
      <c r="BW32" s="1720"/>
      <c r="BX32" s="1720"/>
      <c r="BY32" s="1720"/>
      <c r="BZ32" s="1720"/>
      <c r="CA32" s="1720"/>
      <c r="CB32" s="1720"/>
      <c r="CC32" s="1720"/>
      <c r="CD32" s="1720"/>
      <c r="CE32" s="1720"/>
      <c r="CF32" s="1720"/>
      <c r="CG32" s="1720"/>
      <c r="CH32" s="1720"/>
      <c r="CI32" s="1720"/>
      <c r="CJ32" s="1720"/>
      <c r="CK32" s="1720"/>
      <c r="CL32" s="1720"/>
      <c r="CM32" s="1720"/>
      <c r="CN32" s="1720"/>
      <c r="CO32" s="1720"/>
      <c r="CP32" s="1720"/>
      <c r="CQ32" s="1720"/>
      <c r="CR32" s="1720"/>
      <c r="CS32" s="1720"/>
      <c r="CT32" s="1720"/>
      <c r="CU32" s="1720"/>
      <c r="CV32" s="1720"/>
      <c r="CW32" s="1720"/>
      <c r="CX32" s="1720"/>
      <c r="CY32" s="1720"/>
      <c r="CZ32" s="1720"/>
      <c r="DA32" s="1720"/>
      <c r="DB32" s="1720"/>
      <c r="DC32" s="1720"/>
      <c r="DD32" s="1720"/>
      <c r="DE32" s="1720"/>
      <c r="DF32" s="1720"/>
      <c r="DG32" s="1720"/>
      <c r="DH32" s="1720"/>
      <c r="DI32" s="1720"/>
      <c r="DJ32" s="1720"/>
      <c r="DK32" s="1720"/>
      <c r="DL32" s="1720"/>
      <c r="DM32" s="1720"/>
      <c r="DN32" s="1720"/>
      <c r="DO32" s="1720"/>
      <c r="DP32" s="1720"/>
      <c r="DQ32" s="1720"/>
      <c r="DR32" s="1720"/>
      <c r="DS32" s="1720"/>
      <c r="DT32" s="1720"/>
      <c r="DU32" s="1720"/>
      <c r="DV32" s="1720"/>
      <c r="DW32" s="1720"/>
      <c r="DX32" s="1720"/>
      <c r="DY32" s="1720"/>
      <c r="DZ32" s="1720"/>
      <c r="EA32" s="1720"/>
      <c r="EB32" s="1720"/>
      <c r="EC32" s="1720"/>
      <c r="ED32" s="1720"/>
      <c r="EE32" s="700"/>
      <c r="EF32" s="700"/>
      <c r="EG32" s="700"/>
      <c r="EH32" s="700"/>
      <c r="EI32" s="700"/>
    </row>
    <row r="33" spans="1:139" s="552" customFormat="1" ht="15" customHeight="1">
      <c r="A33" s="700"/>
      <c r="B33" s="700"/>
      <c r="C33" s="700" t="s">
        <v>78</v>
      </c>
      <c r="D33" s="700"/>
      <c r="E33" s="700"/>
      <c r="F33" s="700"/>
      <c r="G33" s="700"/>
      <c r="H33" s="700"/>
      <c r="I33" s="700"/>
      <c r="J33" s="700"/>
      <c r="K33" s="700"/>
      <c r="L33" s="700"/>
      <c r="M33" s="700"/>
      <c r="N33" s="700"/>
      <c r="O33" s="700"/>
      <c r="P33" s="700"/>
      <c r="Q33" s="700"/>
      <c r="R33" s="700"/>
      <c r="S33" s="700"/>
      <c r="T33" s="700"/>
      <c r="U33" s="700"/>
      <c r="V33" s="700"/>
      <c r="W33" s="700"/>
      <c r="X33" s="700"/>
      <c r="Y33" s="700"/>
      <c r="Z33" s="700"/>
      <c r="AA33" s="700"/>
      <c r="AB33" s="700"/>
      <c r="AC33" s="700"/>
      <c r="AD33" s="700"/>
      <c r="AE33" s="700"/>
      <c r="AF33" s="700"/>
      <c r="AG33" s="700"/>
      <c r="AH33" s="700"/>
      <c r="AI33" s="700"/>
      <c r="AJ33" s="700"/>
      <c r="AK33" s="700"/>
      <c r="AL33" s="700"/>
      <c r="AM33" s="700"/>
      <c r="AN33" s="700"/>
      <c r="AO33" s="1721" t="str">
        <f>AO22</f>
        <v>МОЛ_Должн</v>
      </c>
      <c r="AP33" s="1722"/>
      <c r="AQ33" s="1722"/>
      <c r="AR33" s="1722"/>
      <c r="AS33" s="1722"/>
      <c r="AT33" s="1722"/>
      <c r="AU33" s="1722"/>
      <c r="AV33" s="1722"/>
      <c r="AW33" s="1722"/>
      <c r="AX33" s="1722"/>
      <c r="AY33" s="1722"/>
      <c r="AZ33" s="1722"/>
      <c r="BA33" s="1722"/>
      <c r="BB33" s="1722"/>
      <c r="BC33" s="1722"/>
      <c r="BD33" s="1722"/>
      <c r="BE33" s="1722"/>
      <c r="BF33" s="1722"/>
      <c r="BG33" s="1722"/>
      <c r="BH33" s="1722"/>
      <c r="BI33" s="1722"/>
      <c r="BJ33" s="700"/>
      <c r="BK33" s="700"/>
      <c r="BL33" s="1717"/>
      <c r="BM33" s="1717"/>
      <c r="BN33" s="1717"/>
      <c r="BO33" s="1717"/>
      <c r="BP33" s="1717"/>
      <c r="BQ33" s="1717"/>
      <c r="BR33" s="1717"/>
      <c r="BS33" s="1717"/>
      <c r="BT33" s="1717"/>
      <c r="BU33" s="1717"/>
      <c r="BV33" s="1717"/>
      <c r="BW33" s="1717"/>
      <c r="BX33" s="1717"/>
      <c r="BY33" s="1717"/>
      <c r="BZ33" s="700"/>
      <c r="CA33" s="700"/>
      <c r="CB33" s="1721" t="str">
        <f>CB22</f>
        <v>МОЛ</v>
      </c>
      <c r="CC33" s="1722"/>
      <c r="CD33" s="1722"/>
      <c r="CE33" s="1722"/>
      <c r="CF33" s="1722"/>
      <c r="CG33" s="1722"/>
      <c r="CH33" s="1722"/>
      <c r="CI33" s="1722"/>
      <c r="CJ33" s="1722"/>
      <c r="CK33" s="1722"/>
      <c r="CL33" s="1722"/>
      <c r="CM33" s="1722"/>
      <c r="CN33" s="1722"/>
      <c r="CO33" s="1722"/>
      <c r="CP33" s="1722"/>
      <c r="CQ33" s="1722"/>
      <c r="CR33" s="1722"/>
      <c r="CS33" s="1722"/>
      <c r="CT33" s="1722"/>
      <c r="CU33" s="1722"/>
      <c r="CV33" s="1722"/>
      <c r="CW33" s="1722"/>
      <c r="CX33" s="1722"/>
      <c r="CY33" s="1722"/>
      <c r="CZ33" s="1722"/>
      <c r="DA33" s="1722"/>
      <c r="DB33" s="1722"/>
      <c r="DC33" s="1722"/>
      <c r="DD33" s="1722"/>
      <c r="DE33" s="1722"/>
      <c r="DF33" s="1722"/>
      <c r="DG33" s="1722"/>
      <c r="DH33" s="1722"/>
      <c r="DI33" s="1722"/>
      <c r="DJ33" s="1722"/>
      <c r="DK33" s="1722"/>
      <c r="DL33" s="1722"/>
      <c r="DM33" s="1722"/>
      <c r="DN33" s="1722"/>
      <c r="DO33" s="700"/>
      <c r="DP33" s="700"/>
      <c r="DQ33" s="700"/>
      <c r="DR33" s="700"/>
      <c r="DS33" s="700"/>
      <c r="DT33" s="700"/>
      <c r="DU33" s="700"/>
      <c r="DV33" s="700"/>
      <c r="DW33" s="700"/>
      <c r="DX33" s="700"/>
      <c r="DY33" s="700"/>
      <c r="DZ33" s="700"/>
      <c r="EA33" s="700"/>
      <c r="EB33" s="700"/>
      <c r="EC33" s="700"/>
      <c r="ED33" s="700"/>
      <c r="EE33" s="700"/>
      <c r="EF33" s="700"/>
      <c r="EG33" s="700"/>
      <c r="EH33" s="700"/>
      <c r="EI33" s="700"/>
    </row>
    <row r="34" spans="1:139" s="552" customFormat="1" ht="9.75" customHeight="1">
      <c r="A34" s="700"/>
      <c r="B34" s="700"/>
      <c r="C34" s="700"/>
      <c r="D34" s="700"/>
      <c r="E34" s="700"/>
      <c r="F34" s="700"/>
      <c r="G34" s="700"/>
      <c r="H34" s="700"/>
      <c r="I34" s="700"/>
      <c r="J34" s="700"/>
      <c r="K34" s="700"/>
      <c r="L34" s="700"/>
      <c r="M34" s="700"/>
      <c r="N34" s="700"/>
      <c r="O34" s="700"/>
      <c r="P34" s="700"/>
      <c r="Q34" s="700"/>
      <c r="R34" s="700"/>
      <c r="S34" s="700"/>
      <c r="T34" s="700"/>
      <c r="U34" s="700"/>
      <c r="V34" s="700"/>
      <c r="W34" s="700"/>
      <c r="X34" s="700"/>
      <c r="Y34" s="700"/>
      <c r="Z34" s="700"/>
      <c r="AA34" s="700"/>
      <c r="AB34" s="700"/>
      <c r="AC34" s="700"/>
      <c r="AD34" s="700"/>
      <c r="AE34" s="700"/>
      <c r="AF34" s="700"/>
      <c r="AG34" s="700"/>
      <c r="AH34" s="700"/>
      <c r="AI34" s="700"/>
      <c r="AJ34" s="700"/>
      <c r="AK34" s="700"/>
      <c r="AL34" s="700"/>
      <c r="AM34" s="700"/>
      <c r="AN34" s="700"/>
      <c r="AO34" s="1649" t="s">
        <v>183</v>
      </c>
      <c r="AP34" s="1649"/>
      <c r="AQ34" s="1649"/>
      <c r="AR34" s="1649"/>
      <c r="AS34" s="1649"/>
      <c r="AT34" s="1649"/>
      <c r="AU34" s="1649"/>
      <c r="AV34" s="1649"/>
      <c r="AW34" s="1649"/>
      <c r="AX34" s="1649"/>
      <c r="AY34" s="1649"/>
      <c r="AZ34" s="1649"/>
      <c r="BA34" s="1649"/>
      <c r="BB34" s="1649"/>
      <c r="BC34" s="1649"/>
      <c r="BD34" s="1649"/>
      <c r="BE34" s="1649"/>
      <c r="BF34" s="1649"/>
      <c r="BG34" s="1649"/>
      <c r="BH34" s="1649"/>
      <c r="BI34" s="1649"/>
      <c r="BJ34" s="701"/>
      <c r="BK34" s="701"/>
      <c r="BL34" s="1649" t="s">
        <v>80</v>
      </c>
      <c r="BM34" s="1649"/>
      <c r="BN34" s="1649"/>
      <c r="BO34" s="1649"/>
      <c r="BP34" s="1649"/>
      <c r="BQ34" s="1649"/>
      <c r="BR34" s="1649"/>
      <c r="BS34" s="1649"/>
      <c r="BT34" s="1649"/>
      <c r="BU34" s="1649"/>
      <c r="BV34" s="1649"/>
      <c r="BW34" s="1649"/>
      <c r="BX34" s="1649"/>
      <c r="BY34" s="1649"/>
      <c r="BZ34" s="701"/>
      <c r="CA34" s="701"/>
      <c r="CB34" s="1649" t="s">
        <v>182</v>
      </c>
      <c r="CC34" s="1649"/>
      <c r="CD34" s="1649"/>
      <c r="CE34" s="1649"/>
      <c r="CF34" s="1649"/>
      <c r="CG34" s="1649"/>
      <c r="CH34" s="1649"/>
      <c r="CI34" s="1649"/>
      <c r="CJ34" s="1649"/>
      <c r="CK34" s="1649"/>
      <c r="CL34" s="1649"/>
      <c r="CM34" s="1649"/>
      <c r="CN34" s="1649"/>
      <c r="CO34" s="1649"/>
      <c r="CP34" s="1649"/>
      <c r="CQ34" s="1649"/>
      <c r="CR34" s="1649"/>
      <c r="CS34" s="1649"/>
      <c r="CT34" s="1649"/>
      <c r="CU34" s="1649"/>
      <c r="CV34" s="1649"/>
      <c r="CW34" s="1649"/>
      <c r="CX34" s="1649"/>
      <c r="CY34" s="1649"/>
      <c r="CZ34" s="1649"/>
      <c r="DA34" s="1649"/>
      <c r="DB34" s="1649"/>
      <c r="DC34" s="1649"/>
      <c r="DD34" s="1649"/>
      <c r="DE34" s="1649"/>
      <c r="DF34" s="1649"/>
      <c r="DG34" s="1649"/>
      <c r="DH34" s="1649"/>
      <c r="DI34" s="1649"/>
      <c r="DJ34" s="1649"/>
      <c r="DK34" s="1649"/>
      <c r="DL34" s="1649"/>
      <c r="DM34" s="1649"/>
      <c r="DN34" s="1649"/>
      <c r="DO34" s="700"/>
      <c r="DP34" s="700"/>
      <c r="DQ34" s="700"/>
      <c r="DR34" s="700"/>
      <c r="DS34" s="700"/>
      <c r="DT34" s="700"/>
      <c r="DU34" s="700"/>
      <c r="DV34" s="700"/>
      <c r="DW34" s="700"/>
      <c r="DX34" s="700"/>
      <c r="DY34" s="700"/>
      <c r="DZ34" s="700"/>
      <c r="EA34" s="700"/>
      <c r="EB34" s="700"/>
      <c r="EC34" s="700"/>
      <c r="ED34" s="700"/>
      <c r="EE34" s="700"/>
      <c r="EF34" s="700"/>
      <c r="EG34" s="700"/>
      <c r="EH34" s="700"/>
      <c r="EI34" s="700"/>
    </row>
    <row r="35" spans="1:139" s="552" customFormat="1" ht="9.75" customHeight="1">
      <c r="A35" s="700"/>
      <c r="B35" s="700"/>
      <c r="C35" s="700"/>
      <c r="D35" s="700"/>
      <c r="E35" s="700"/>
      <c r="F35" s="700"/>
      <c r="G35" s="700"/>
      <c r="H35" s="700"/>
      <c r="I35" s="700"/>
      <c r="J35" s="700"/>
      <c r="K35" s="700"/>
      <c r="L35" s="700"/>
      <c r="M35" s="700"/>
      <c r="N35" s="700"/>
      <c r="O35" s="700"/>
      <c r="P35" s="700"/>
      <c r="Q35" s="700"/>
      <c r="R35" s="700"/>
      <c r="S35" s="700"/>
      <c r="T35" s="700"/>
      <c r="U35" s="700"/>
      <c r="V35" s="700"/>
      <c r="W35" s="700"/>
      <c r="X35" s="700"/>
      <c r="Y35" s="700"/>
      <c r="Z35" s="700"/>
      <c r="AA35" s="700"/>
      <c r="AB35" s="700"/>
      <c r="AC35" s="700"/>
      <c r="AD35" s="700"/>
      <c r="AE35" s="700"/>
      <c r="AF35" s="700"/>
      <c r="AG35" s="700"/>
      <c r="AH35" s="700"/>
      <c r="AI35" s="700"/>
      <c r="AJ35" s="700"/>
      <c r="AK35" s="700"/>
      <c r="AL35" s="700"/>
      <c r="AM35" s="700"/>
      <c r="AN35" s="700"/>
      <c r="AO35" s="1717"/>
      <c r="AP35" s="1717"/>
      <c r="AQ35" s="1717"/>
      <c r="AR35" s="1717"/>
      <c r="AS35" s="1717"/>
      <c r="AT35" s="1717"/>
      <c r="AU35" s="1717"/>
      <c r="AV35" s="1717"/>
      <c r="AW35" s="1717"/>
      <c r="AX35" s="1717"/>
      <c r="AY35" s="1717"/>
      <c r="AZ35" s="1717"/>
      <c r="BA35" s="1717"/>
      <c r="BB35" s="1717"/>
      <c r="BC35" s="1717"/>
      <c r="BD35" s="1717"/>
      <c r="BE35" s="1717"/>
      <c r="BF35" s="1717"/>
      <c r="BG35" s="1717"/>
      <c r="BH35" s="1717"/>
      <c r="BI35" s="1717"/>
      <c r="BJ35" s="700"/>
      <c r="BK35" s="700"/>
      <c r="BL35" s="1717"/>
      <c r="BM35" s="1717"/>
      <c r="BN35" s="1717"/>
      <c r="BO35" s="1717"/>
      <c r="BP35" s="1717"/>
      <c r="BQ35" s="1717"/>
      <c r="BR35" s="1717"/>
      <c r="BS35" s="1717"/>
      <c r="BT35" s="1717"/>
      <c r="BU35" s="1717"/>
      <c r="BV35" s="1717"/>
      <c r="BW35" s="1717"/>
      <c r="BX35" s="1717"/>
      <c r="BY35" s="1717"/>
      <c r="BZ35" s="700"/>
      <c r="CA35" s="700"/>
      <c r="CB35" s="1717"/>
      <c r="CC35" s="1717"/>
      <c r="CD35" s="1717"/>
      <c r="CE35" s="1717"/>
      <c r="CF35" s="1717"/>
      <c r="CG35" s="1717"/>
      <c r="CH35" s="1717"/>
      <c r="CI35" s="1717"/>
      <c r="CJ35" s="1717"/>
      <c r="CK35" s="1717"/>
      <c r="CL35" s="1717"/>
      <c r="CM35" s="1717"/>
      <c r="CN35" s="1717"/>
      <c r="CO35" s="1717"/>
      <c r="CP35" s="1717"/>
      <c r="CQ35" s="1717"/>
      <c r="CR35" s="1717"/>
      <c r="CS35" s="1717"/>
      <c r="CT35" s="1717"/>
      <c r="CU35" s="1717"/>
      <c r="CV35" s="1717"/>
      <c r="CW35" s="1717"/>
      <c r="CX35" s="1717"/>
      <c r="CY35" s="1717"/>
      <c r="CZ35" s="1717"/>
      <c r="DA35" s="1717"/>
      <c r="DB35" s="1717"/>
      <c r="DC35" s="1717"/>
      <c r="DD35" s="1717"/>
      <c r="DE35" s="1717"/>
      <c r="DF35" s="1717"/>
      <c r="DG35" s="1717"/>
      <c r="DH35" s="1717"/>
      <c r="DI35" s="1717"/>
      <c r="DJ35" s="1717"/>
      <c r="DK35" s="1717"/>
      <c r="DL35" s="1717"/>
      <c r="DM35" s="1717"/>
      <c r="DN35" s="1717"/>
      <c r="DO35" s="700"/>
      <c r="DP35" s="700"/>
      <c r="DQ35" s="700"/>
      <c r="DR35" s="700"/>
      <c r="DS35" s="700"/>
      <c r="DT35" s="700"/>
      <c r="DU35" s="700"/>
      <c r="DV35" s="700"/>
      <c r="DW35" s="700"/>
      <c r="DX35" s="700"/>
      <c r="DY35" s="700"/>
      <c r="DZ35" s="700"/>
      <c r="EA35" s="700"/>
      <c r="EB35" s="700"/>
      <c r="EC35" s="700"/>
      <c r="ED35" s="700"/>
      <c r="EE35" s="700"/>
      <c r="EF35" s="700"/>
      <c r="EG35" s="700"/>
      <c r="EH35" s="700"/>
      <c r="EI35" s="700"/>
    </row>
    <row r="36" spans="1:139" s="552" customFormat="1" ht="8.4499999999999993" customHeight="1">
      <c r="A36" s="700"/>
      <c r="B36" s="700"/>
      <c r="C36" s="700"/>
      <c r="D36" s="700"/>
      <c r="E36" s="700"/>
      <c r="F36" s="700"/>
      <c r="G36" s="700"/>
      <c r="H36" s="700"/>
      <c r="I36" s="700"/>
      <c r="J36" s="700"/>
      <c r="K36" s="700"/>
      <c r="L36" s="700"/>
      <c r="M36" s="700"/>
      <c r="N36" s="700"/>
      <c r="O36" s="700"/>
      <c r="P36" s="700"/>
      <c r="Q36" s="700"/>
      <c r="R36" s="700"/>
      <c r="S36" s="700"/>
      <c r="T36" s="700"/>
      <c r="U36" s="700"/>
      <c r="V36" s="700"/>
      <c r="W36" s="700"/>
      <c r="X36" s="700"/>
      <c r="Y36" s="700"/>
      <c r="Z36" s="700"/>
      <c r="AA36" s="700"/>
      <c r="AB36" s="700"/>
      <c r="AC36" s="700"/>
      <c r="AD36" s="700"/>
      <c r="AE36" s="700"/>
      <c r="AF36" s="700"/>
      <c r="AG36" s="700"/>
      <c r="AH36" s="700"/>
      <c r="AI36" s="700"/>
      <c r="AJ36" s="700"/>
      <c r="AK36" s="700"/>
      <c r="AL36" s="700"/>
      <c r="AM36" s="700"/>
      <c r="AN36" s="700"/>
      <c r="AO36" s="1649" t="s">
        <v>183</v>
      </c>
      <c r="AP36" s="1649"/>
      <c r="AQ36" s="1649"/>
      <c r="AR36" s="1649"/>
      <c r="AS36" s="1649"/>
      <c r="AT36" s="1649"/>
      <c r="AU36" s="1649"/>
      <c r="AV36" s="1649"/>
      <c r="AW36" s="1649"/>
      <c r="AX36" s="1649"/>
      <c r="AY36" s="1649"/>
      <c r="AZ36" s="1649"/>
      <c r="BA36" s="1649"/>
      <c r="BB36" s="1649"/>
      <c r="BC36" s="1649"/>
      <c r="BD36" s="1649"/>
      <c r="BE36" s="1649"/>
      <c r="BF36" s="1649"/>
      <c r="BG36" s="1649"/>
      <c r="BH36" s="1649"/>
      <c r="BI36" s="1649"/>
      <c r="BJ36" s="701"/>
      <c r="BK36" s="701"/>
      <c r="BL36" s="1649" t="s">
        <v>80</v>
      </c>
      <c r="BM36" s="1649"/>
      <c r="BN36" s="1649"/>
      <c r="BO36" s="1649"/>
      <c r="BP36" s="1649"/>
      <c r="BQ36" s="1649"/>
      <c r="BR36" s="1649"/>
      <c r="BS36" s="1649"/>
      <c r="BT36" s="1649"/>
      <c r="BU36" s="1649"/>
      <c r="BV36" s="1649"/>
      <c r="BW36" s="1649"/>
      <c r="BX36" s="1649"/>
      <c r="BY36" s="1649"/>
      <c r="BZ36" s="701"/>
      <c r="CA36" s="701"/>
      <c r="CB36" s="1649" t="s">
        <v>182</v>
      </c>
      <c r="CC36" s="1649"/>
      <c r="CD36" s="1649"/>
      <c r="CE36" s="1649"/>
      <c r="CF36" s="1649"/>
      <c r="CG36" s="1649"/>
      <c r="CH36" s="1649"/>
      <c r="CI36" s="1649"/>
      <c r="CJ36" s="1649"/>
      <c r="CK36" s="1649"/>
      <c r="CL36" s="1649"/>
      <c r="CM36" s="1649"/>
      <c r="CN36" s="1649"/>
      <c r="CO36" s="1649"/>
      <c r="CP36" s="1649"/>
      <c r="CQ36" s="1649"/>
      <c r="CR36" s="1649"/>
      <c r="CS36" s="1649"/>
      <c r="CT36" s="1649"/>
      <c r="CU36" s="1649"/>
      <c r="CV36" s="1649"/>
      <c r="CW36" s="1649"/>
      <c r="CX36" s="1649"/>
      <c r="CY36" s="1649"/>
      <c r="CZ36" s="1649"/>
      <c r="DA36" s="1649"/>
      <c r="DB36" s="1649"/>
      <c r="DC36" s="1649"/>
      <c r="DD36" s="1649"/>
      <c r="DE36" s="1649"/>
      <c r="DF36" s="1649"/>
      <c r="DG36" s="1649"/>
      <c r="DH36" s="1649"/>
      <c r="DI36" s="1649"/>
      <c r="DJ36" s="1649"/>
      <c r="DK36" s="1649"/>
      <c r="DL36" s="1649"/>
      <c r="DM36" s="1649"/>
      <c r="DN36" s="1649"/>
      <c r="DO36" s="700"/>
      <c r="DP36" s="700"/>
      <c r="DQ36" s="700"/>
      <c r="DR36" s="700"/>
      <c r="DS36" s="700"/>
      <c r="DT36" s="700"/>
      <c r="DU36" s="700"/>
      <c r="DV36" s="700"/>
      <c r="DW36" s="700"/>
      <c r="DX36" s="700"/>
      <c r="DY36" s="700"/>
      <c r="DZ36" s="700"/>
      <c r="EA36" s="700"/>
      <c r="EB36" s="700"/>
      <c r="EC36" s="700"/>
      <c r="ED36" s="700"/>
      <c r="EE36" s="700"/>
      <c r="EF36" s="700"/>
      <c r="EG36" s="700"/>
      <c r="EH36" s="700"/>
      <c r="EI36" s="700"/>
    </row>
    <row r="37" spans="1:139" s="552" customFormat="1" ht="12.2" customHeight="1">
      <c r="A37" s="700"/>
      <c r="B37" s="700"/>
      <c r="C37" s="700" t="s">
        <v>552</v>
      </c>
      <c r="D37" s="700"/>
      <c r="E37" s="700"/>
      <c r="F37" s="700"/>
      <c r="G37" s="700"/>
      <c r="H37" s="700"/>
      <c r="I37" s="700"/>
      <c r="J37" s="700"/>
      <c r="K37" s="700"/>
      <c r="L37" s="700"/>
      <c r="M37" s="700"/>
      <c r="N37" s="700"/>
      <c r="O37" s="700"/>
      <c r="P37" s="700"/>
      <c r="Q37" s="700"/>
      <c r="R37" s="700"/>
      <c r="S37" s="700"/>
      <c r="T37" s="700"/>
      <c r="U37" s="700"/>
      <c r="V37" s="700"/>
      <c r="W37" s="700"/>
      <c r="X37" s="700"/>
      <c r="Y37" s="700"/>
      <c r="Z37" s="700"/>
      <c r="AA37" s="700"/>
      <c r="AB37" s="700"/>
      <c r="AC37" s="700"/>
      <c r="AD37" s="700"/>
      <c r="AE37" s="700"/>
      <c r="AF37" s="700"/>
      <c r="AG37" s="700"/>
      <c r="AH37" s="700"/>
      <c r="AI37" s="742"/>
      <c r="AJ37" s="742"/>
      <c r="AK37" s="742"/>
      <c r="AL37" s="742"/>
      <c r="AM37" s="742"/>
      <c r="AN37" s="742"/>
      <c r="AO37" s="742"/>
      <c r="AP37" s="742"/>
      <c r="AQ37" s="742"/>
      <c r="AR37" s="742"/>
      <c r="AS37" s="742"/>
      <c r="AT37" s="742"/>
      <c r="AU37" s="742"/>
      <c r="AV37" s="742"/>
      <c r="AW37" s="742"/>
      <c r="AX37" s="742"/>
      <c r="AY37" s="742"/>
      <c r="AZ37" s="742"/>
      <c r="BA37" s="742"/>
      <c r="BB37" s="742"/>
      <c r="BC37" s="742"/>
      <c r="BD37" s="742"/>
      <c r="BE37" s="742"/>
      <c r="BF37" s="742"/>
      <c r="BG37" s="742"/>
      <c r="BH37" s="742"/>
      <c r="BI37" s="742"/>
      <c r="BJ37" s="742"/>
      <c r="BK37" s="742"/>
      <c r="BL37" s="742"/>
      <c r="BM37" s="742"/>
      <c r="BN37" s="742"/>
      <c r="BO37" s="742"/>
      <c r="BP37" s="742"/>
      <c r="BQ37" s="742"/>
      <c r="BR37" s="742"/>
      <c r="BS37" s="742"/>
      <c r="BT37" s="742"/>
      <c r="BU37" s="742"/>
      <c r="BV37" s="742"/>
      <c r="BW37" s="742"/>
      <c r="BX37" s="742"/>
      <c r="BY37" s="742"/>
      <c r="BZ37" s="742"/>
      <c r="CA37" s="742"/>
      <c r="CB37" s="742"/>
      <c r="CC37" s="742"/>
      <c r="CD37" s="742"/>
      <c r="CE37" s="742"/>
      <c r="CF37" s="742"/>
      <c r="CG37" s="742"/>
      <c r="CH37" s="742"/>
      <c r="CI37" s="742"/>
      <c r="CJ37" s="742"/>
      <c r="CK37" s="742"/>
      <c r="CL37" s="742"/>
      <c r="CM37" s="742"/>
      <c r="CN37" s="742"/>
      <c r="CO37" s="742"/>
      <c r="CP37" s="742"/>
      <c r="CQ37" s="742"/>
      <c r="CR37" s="742"/>
      <c r="CS37" s="742"/>
      <c r="CT37" s="742"/>
      <c r="CU37" s="742"/>
      <c r="CV37" s="742"/>
      <c r="CW37" s="742"/>
      <c r="CX37" s="742"/>
      <c r="CY37" s="742"/>
      <c r="CZ37" s="742"/>
      <c r="DA37" s="742"/>
      <c r="DB37" s="742"/>
      <c r="DC37" s="742"/>
      <c r="DD37" s="742"/>
      <c r="DE37" s="742"/>
      <c r="DF37" s="742"/>
      <c r="DG37" s="742"/>
      <c r="DH37" s="742"/>
      <c r="DI37" s="742"/>
      <c r="DJ37" s="742"/>
      <c r="DK37" s="742"/>
      <c r="DL37" s="742"/>
      <c r="DM37" s="742"/>
      <c r="DN37" s="742"/>
      <c r="DO37" s="742"/>
      <c r="DP37" s="742"/>
      <c r="DQ37" s="742"/>
      <c r="DR37" s="742"/>
      <c r="DS37" s="742"/>
      <c r="DT37" s="742"/>
      <c r="DU37" s="742"/>
      <c r="DV37" s="742"/>
      <c r="DW37" s="742"/>
      <c r="DX37" s="742"/>
      <c r="DY37" s="742"/>
      <c r="DZ37" s="742"/>
      <c r="EA37" s="742"/>
      <c r="EB37" s="742"/>
      <c r="EC37" s="742"/>
      <c r="ED37" s="742"/>
      <c r="EE37" s="742"/>
      <c r="EF37" s="742"/>
      <c r="EG37" s="742"/>
      <c r="EH37" s="744"/>
      <c r="EI37" s="744"/>
    </row>
    <row r="38" spans="1:139" s="552" customFormat="1" ht="12.2" customHeight="1">
      <c r="A38" s="742"/>
      <c r="B38" s="742"/>
      <c r="C38" s="742"/>
      <c r="D38" s="742"/>
      <c r="E38" s="742"/>
      <c r="F38" s="742"/>
      <c r="G38" s="742"/>
      <c r="H38" s="742"/>
      <c r="I38" s="742"/>
      <c r="J38" s="742"/>
      <c r="K38" s="742"/>
      <c r="L38" s="742"/>
      <c r="M38" s="742"/>
      <c r="N38" s="742"/>
      <c r="O38" s="742"/>
      <c r="P38" s="742"/>
      <c r="Q38" s="742"/>
      <c r="R38" s="742"/>
      <c r="S38" s="742"/>
      <c r="T38" s="742"/>
      <c r="U38" s="742"/>
      <c r="V38" s="742"/>
      <c r="W38" s="742"/>
      <c r="X38" s="742"/>
      <c r="Y38" s="742"/>
      <c r="Z38" s="742"/>
      <c r="AA38" s="742"/>
      <c r="AB38" s="742"/>
      <c r="AC38" s="742"/>
      <c r="AD38" s="742"/>
      <c r="AE38" s="742"/>
      <c r="AF38" s="742"/>
      <c r="AG38" s="742"/>
      <c r="AH38" s="742"/>
      <c r="AI38" s="742"/>
      <c r="AJ38" s="742"/>
      <c r="AK38" s="742"/>
      <c r="AL38" s="742"/>
      <c r="AM38" s="742"/>
      <c r="AN38" s="742"/>
      <c r="AO38" s="742"/>
      <c r="AP38" s="742"/>
      <c r="AQ38" s="742"/>
      <c r="AR38" s="742"/>
      <c r="AS38" s="742"/>
      <c r="AT38" s="742"/>
      <c r="AU38" s="742"/>
      <c r="AV38" s="742"/>
      <c r="AW38" s="742"/>
      <c r="AX38" s="742"/>
      <c r="AY38" s="742"/>
      <c r="AZ38" s="742"/>
      <c r="BA38" s="742"/>
      <c r="BB38" s="742"/>
      <c r="BC38" s="742"/>
      <c r="BD38" s="742"/>
      <c r="BE38" s="742"/>
      <c r="BF38" s="742"/>
      <c r="BG38" s="742"/>
      <c r="BH38" s="742"/>
      <c r="BI38" s="742"/>
      <c r="BJ38" s="742"/>
      <c r="BK38" s="742"/>
      <c r="BL38" s="742"/>
      <c r="BM38" s="742"/>
      <c r="BN38" s="742"/>
      <c r="BO38" s="742"/>
      <c r="BP38" s="742"/>
      <c r="BQ38" s="742"/>
      <c r="BR38" s="742"/>
      <c r="BS38" s="742"/>
      <c r="BT38" s="742"/>
      <c r="BU38" s="742"/>
      <c r="BV38" s="742"/>
      <c r="BW38" s="742"/>
      <c r="BX38" s="742"/>
      <c r="BY38" s="742"/>
      <c r="BZ38" s="742"/>
      <c r="CA38" s="742"/>
      <c r="CB38" s="742"/>
      <c r="CC38" s="742"/>
      <c r="CD38" s="742"/>
      <c r="CE38" s="742"/>
      <c r="CF38" s="742"/>
      <c r="CG38" s="742"/>
      <c r="CH38" s="742"/>
      <c r="CI38" s="742"/>
      <c r="CJ38" s="742"/>
      <c r="CK38" s="742"/>
      <c r="CL38" s="742"/>
      <c r="CM38" s="742"/>
      <c r="CN38" s="742"/>
      <c r="CO38" s="742"/>
      <c r="CP38" s="742"/>
      <c r="CQ38" s="742"/>
      <c r="CR38" s="742"/>
      <c r="CS38" s="742"/>
      <c r="CT38" s="742"/>
      <c r="CU38" s="742"/>
      <c r="CV38" s="742"/>
      <c r="CW38" s="742"/>
      <c r="CX38" s="742"/>
      <c r="CY38" s="742"/>
      <c r="CZ38" s="742"/>
      <c r="DA38" s="742"/>
      <c r="DB38" s="742"/>
      <c r="DC38" s="742"/>
      <c r="DD38" s="742"/>
      <c r="DE38" s="742"/>
      <c r="DF38" s="742"/>
      <c r="DG38" s="742"/>
      <c r="DH38" s="742"/>
      <c r="DI38" s="742"/>
      <c r="DJ38" s="742"/>
      <c r="DK38" s="742"/>
      <c r="DL38" s="742"/>
      <c r="DM38" s="742"/>
      <c r="DN38" s="742"/>
      <c r="DO38" s="742"/>
      <c r="DP38" s="742"/>
      <c r="DQ38" s="742"/>
      <c r="DR38" s="742"/>
      <c r="DS38" s="742"/>
      <c r="DT38" s="742"/>
      <c r="DU38" s="742"/>
      <c r="DV38" s="742"/>
      <c r="DW38" s="742"/>
      <c r="DX38" s="742"/>
      <c r="DY38" s="742"/>
      <c r="DZ38" s="742"/>
      <c r="EA38" s="742"/>
      <c r="EB38" s="742"/>
      <c r="EC38" s="742"/>
      <c r="ED38" s="742"/>
      <c r="EE38" s="742"/>
      <c r="EF38" s="742"/>
      <c r="EG38" s="742"/>
      <c r="EH38" s="744"/>
      <c r="EI38" s="744"/>
    </row>
    <row r="39" spans="1:139" s="552" customFormat="1" ht="12.2" customHeight="1">
      <c r="A39" s="743"/>
      <c r="B39" s="743"/>
      <c r="C39" s="743"/>
      <c r="D39" s="743"/>
      <c r="E39" s="743"/>
      <c r="F39" s="743"/>
      <c r="G39" s="743"/>
      <c r="H39" s="743"/>
      <c r="I39" s="743"/>
      <c r="J39" s="743"/>
      <c r="K39" s="743"/>
      <c r="L39" s="743"/>
      <c r="M39" s="743"/>
      <c r="N39" s="743"/>
      <c r="O39" s="743"/>
      <c r="P39" s="743"/>
      <c r="Q39" s="743"/>
      <c r="R39" s="743"/>
      <c r="S39" s="743"/>
      <c r="T39" s="743"/>
      <c r="U39" s="743"/>
      <c r="V39" s="743"/>
      <c r="W39" s="743"/>
      <c r="X39" s="743"/>
      <c r="Y39" s="743"/>
      <c r="Z39" s="743"/>
      <c r="AA39" s="743"/>
      <c r="AB39" s="743"/>
      <c r="AC39" s="743"/>
      <c r="AD39" s="743"/>
      <c r="AE39" s="743"/>
      <c r="AF39" s="743"/>
      <c r="AG39" s="743"/>
      <c r="AH39" s="743"/>
      <c r="AI39" s="743"/>
      <c r="AJ39" s="743"/>
      <c r="AK39" s="743"/>
      <c r="AL39" s="743"/>
      <c r="AM39" s="743"/>
      <c r="AN39" s="743"/>
      <c r="AO39" s="743"/>
      <c r="AP39" s="743"/>
      <c r="AQ39" s="743"/>
      <c r="AR39" s="743"/>
      <c r="AS39" s="743"/>
      <c r="AT39" s="743"/>
      <c r="AU39" s="743"/>
      <c r="AV39" s="743"/>
      <c r="AW39" s="743"/>
      <c r="AX39" s="743"/>
      <c r="AY39" s="743"/>
      <c r="AZ39" s="743"/>
      <c r="BA39" s="743"/>
      <c r="BB39" s="743"/>
      <c r="BC39" s="743"/>
      <c r="BD39" s="743"/>
      <c r="BE39" s="743"/>
      <c r="BF39" s="743"/>
      <c r="BG39" s="743"/>
      <c r="BH39" s="743"/>
      <c r="BI39" s="743"/>
      <c r="BJ39" s="743"/>
      <c r="BK39" s="743"/>
      <c r="BL39" s="743"/>
      <c r="BM39" s="743"/>
      <c r="BN39" s="743"/>
      <c r="BO39" s="743"/>
      <c r="BP39" s="743"/>
      <c r="BQ39" s="743"/>
      <c r="BR39" s="743"/>
      <c r="BS39" s="743"/>
      <c r="BT39" s="743"/>
      <c r="BU39" s="743"/>
      <c r="BV39" s="743"/>
      <c r="BW39" s="743"/>
      <c r="BX39" s="743"/>
      <c r="BY39" s="743"/>
      <c r="BZ39" s="743"/>
      <c r="CA39" s="743"/>
      <c r="CB39" s="743"/>
      <c r="CC39" s="743"/>
      <c r="CD39" s="743"/>
      <c r="CE39" s="743"/>
      <c r="CF39" s="743"/>
      <c r="CG39" s="743"/>
      <c r="CH39" s="743"/>
      <c r="CI39" s="743"/>
      <c r="CJ39" s="743"/>
      <c r="CK39" s="743"/>
      <c r="CL39" s="743"/>
      <c r="CM39" s="743"/>
      <c r="CN39" s="743"/>
      <c r="CO39" s="743"/>
      <c r="CP39" s="743"/>
      <c r="CQ39" s="743"/>
      <c r="CR39" s="743"/>
      <c r="CS39" s="743"/>
      <c r="CT39" s="743"/>
      <c r="CU39" s="743"/>
      <c r="CV39" s="743"/>
      <c r="CW39" s="743"/>
      <c r="CX39" s="743"/>
      <c r="CY39" s="743"/>
      <c r="CZ39" s="743"/>
      <c r="DA39" s="743"/>
      <c r="DB39" s="743"/>
      <c r="DC39" s="743"/>
      <c r="DD39" s="743"/>
      <c r="DE39" s="743"/>
      <c r="DF39" s="743"/>
      <c r="DG39" s="743"/>
      <c r="DH39" s="743"/>
      <c r="DI39" s="743"/>
      <c r="DJ39" s="743"/>
      <c r="DK39" s="743"/>
      <c r="DL39" s="743"/>
      <c r="DM39" s="743"/>
      <c r="DN39" s="743"/>
      <c r="DO39" s="743"/>
      <c r="DP39" s="743"/>
      <c r="DQ39" s="743"/>
      <c r="DR39" s="743"/>
      <c r="DS39" s="743"/>
      <c r="DT39" s="743"/>
      <c r="DU39" s="743"/>
      <c r="DV39" s="743"/>
      <c r="DW39" s="743"/>
      <c r="DX39" s="743"/>
      <c r="DY39" s="743"/>
      <c r="DZ39" s="743"/>
      <c r="EA39" s="743"/>
      <c r="EB39" s="743"/>
      <c r="EC39" s="743"/>
      <c r="ED39" s="743"/>
      <c r="EE39" s="743"/>
      <c r="EF39" s="743"/>
      <c r="EG39" s="743"/>
      <c r="EH39" s="744"/>
      <c r="EI39" s="744"/>
    </row>
    <row r="40" spans="1:139" s="552" customFormat="1" ht="12.2" customHeight="1">
      <c r="A40" s="700"/>
      <c r="B40" s="700"/>
      <c r="C40" s="700"/>
      <c r="D40" s="700"/>
      <c r="E40" s="700"/>
      <c r="F40" s="700"/>
      <c r="G40" s="700"/>
      <c r="H40" s="700"/>
      <c r="I40" s="700"/>
      <c r="J40" s="700"/>
      <c r="K40" s="700"/>
      <c r="L40" s="700"/>
      <c r="M40" s="700"/>
      <c r="N40" s="700"/>
      <c r="O40" s="700"/>
      <c r="P40" s="700"/>
      <c r="Q40" s="700"/>
      <c r="R40" s="700"/>
      <c r="S40" s="700"/>
      <c r="T40" s="700"/>
      <c r="U40" s="700"/>
      <c r="V40" s="700"/>
      <c r="W40" s="700"/>
      <c r="X40" s="700"/>
      <c r="Y40" s="700"/>
      <c r="Z40" s="700"/>
      <c r="AA40" s="700"/>
      <c r="AB40" s="700"/>
      <c r="AC40" s="700"/>
      <c r="AD40" s="700"/>
      <c r="AE40" s="700"/>
      <c r="AF40" s="700"/>
      <c r="AG40" s="700"/>
      <c r="AH40" s="700"/>
      <c r="AI40" s="700"/>
      <c r="AJ40" s="700"/>
      <c r="AK40" s="700"/>
      <c r="AL40" s="700"/>
      <c r="AM40" s="700"/>
      <c r="AN40" s="700"/>
      <c r="AO40" s="1717"/>
      <c r="AP40" s="1717"/>
      <c r="AQ40" s="1717"/>
      <c r="AR40" s="1717"/>
      <c r="AS40" s="1717"/>
      <c r="AT40" s="1717"/>
      <c r="AU40" s="1717"/>
      <c r="AV40" s="1717"/>
      <c r="AW40" s="1717"/>
      <c r="AX40" s="1717"/>
      <c r="AY40" s="1717"/>
      <c r="AZ40" s="1717"/>
      <c r="BA40" s="1717"/>
      <c r="BB40" s="1717"/>
      <c r="BC40" s="1717"/>
      <c r="BD40" s="1717"/>
      <c r="BE40" s="1717"/>
      <c r="BF40" s="1717"/>
      <c r="BG40" s="1717"/>
      <c r="BH40" s="1717"/>
      <c r="BI40" s="1717"/>
      <c r="BJ40" s="700"/>
      <c r="BK40" s="700"/>
      <c r="BL40" s="1717"/>
      <c r="BM40" s="1717"/>
      <c r="BN40" s="1717"/>
      <c r="BO40" s="1717"/>
      <c r="BP40" s="1717"/>
      <c r="BQ40" s="1717"/>
      <c r="BR40" s="1717"/>
      <c r="BS40" s="1717"/>
      <c r="BT40" s="1717"/>
      <c r="BU40" s="1717"/>
      <c r="BV40" s="1717"/>
      <c r="BW40" s="1717"/>
      <c r="BX40" s="1717"/>
      <c r="BY40" s="1717"/>
      <c r="BZ40" s="700"/>
      <c r="CA40" s="700"/>
      <c r="CB40" s="1717"/>
      <c r="CC40" s="1717"/>
      <c r="CD40" s="1717"/>
      <c r="CE40" s="1717"/>
      <c r="CF40" s="1717"/>
      <c r="CG40" s="1717"/>
      <c r="CH40" s="1717"/>
      <c r="CI40" s="1717"/>
      <c r="CJ40" s="1717"/>
      <c r="CK40" s="1717"/>
      <c r="CL40" s="1717"/>
      <c r="CM40" s="1717"/>
      <c r="CN40" s="1717"/>
      <c r="CO40" s="1717"/>
      <c r="CP40" s="1717"/>
      <c r="CQ40" s="1717"/>
      <c r="CR40" s="1717"/>
      <c r="CS40" s="1717"/>
      <c r="CT40" s="1717"/>
      <c r="CU40" s="1717"/>
      <c r="CV40" s="1717"/>
      <c r="CW40" s="1717"/>
      <c r="CX40" s="1717"/>
      <c r="CY40" s="1717"/>
      <c r="CZ40" s="1717"/>
      <c r="DA40" s="1717"/>
      <c r="DB40" s="1717"/>
      <c r="DC40" s="1717"/>
      <c r="DD40" s="1717"/>
      <c r="DE40" s="1717"/>
      <c r="DF40" s="1717"/>
      <c r="DG40" s="1717"/>
      <c r="DH40" s="1717"/>
      <c r="DI40" s="1717"/>
      <c r="DJ40" s="1717"/>
      <c r="DK40" s="1717"/>
      <c r="DL40" s="1717"/>
      <c r="DM40" s="1717"/>
      <c r="DN40" s="1717"/>
      <c r="DO40" s="700"/>
      <c r="DP40" s="700"/>
      <c r="DQ40" s="700"/>
      <c r="DR40" s="700"/>
      <c r="DS40" s="700"/>
      <c r="DT40" s="700"/>
      <c r="DU40" s="700"/>
      <c r="DV40" s="700"/>
      <c r="DW40" s="700"/>
      <c r="DX40" s="700"/>
      <c r="DY40" s="700"/>
      <c r="DZ40" s="700"/>
      <c r="EA40" s="700"/>
      <c r="EB40" s="700"/>
      <c r="EC40" s="700"/>
      <c r="ED40" s="700"/>
      <c r="EE40" s="700"/>
      <c r="EF40" s="700"/>
      <c r="EG40" s="700"/>
      <c r="EH40" s="700"/>
      <c r="EI40" s="700"/>
    </row>
    <row r="41" spans="1:139" ht="9" customHeight="1">
      <c r="A41" s="662"/>
      <c r="B41" s="662"/>
      <c r="C41" s="662"/>
      <c r="D41" s="662"/>
      <c r="E41" s="662"/>
      <c r="F41" s="662"/>
      <c r="G41" s="662"/>
      <c r="H41" s="662"/>
      <c r="I41" s="662"/>
      <c r="J41" s="662"/>
      <c r="K41" s="662"/>
      <c r="L41" s="662"/>
      <c r="M41" s="662"/>
      <c r="N41" s="662"/>
      <c r="O41" s="662"/>
      <c r="P41" s="662"/>
      <c r="Q41" s="662"/>
      <c r="R41" s="662"/>
      <c r="S41" s="662"/>
      <c r="T41" s="662"/>
      <c r="U41" s="662"/>
      <c r="V41" s="662"/>
      <c r="W41" s="662"/>
      <c r="X41" s="662"/>
      <c r="Y41" s="662"/>
      <c r="Z41" s="662"/>
      <c r="AA41" s="662"/>
      <c r="AB41" s="662"/>
      <c r="AC41" s="662"/>
      <c r="AD41" s="662"/>
      <c r="AE41" s="662"/>
      <c r="AF41" s="662"/>
      <c r="AG41" s="662"/>
      <c r="AH41" s="662"/>
      <c r="AI41" s="662"/>
      <c r="AJ41" s="662"/>
      <c r="AK41" s="662"/>
      <c r="AL41" s="662"/>
      <c r="AM41" s="662"/>
      <c r="AN41" s="662"/>
      <c r="AO41" s="1649" t="s">
        <v>183</v>
      </c>
      <c r="AP41" s="1649"/>
      <c r="AQ41" s="1649"/>
      <c r="AR41" s="1649"/>
      <c r="AS41" s="1649"/>
      <c r="AT41" s="1649"/>
      <c r="AU41" s="1649"/>
      <c r="AV41" s="1649"/>
      <c r="AW41" s="1649"/>
      <c r="AX41" s="1649"/>
      <c r="AY41" s="1649"/>
      <c r="AZ41" s="1649"/>
      <c r="BA41" s="1649"/>
      <c r="BB41" s="1649"/>
      <c r="BC41" s="1649"/>
      <c r="BD41" s="1649"/>
      <c r="BE41" s="1649"/>
      <c r="BF41" s="1649"/>
      <c r="BG41" s="1649"/>
      <c r="BH41" s="1649"/>
      <c r="BI41" s="1649"/>
      <c r="BJ41" s="701"/>
      <c r="BK41" s="701"/>
      <c r="BL41" s="1649" t="s">
        <v>80</v>
      </c>
      <c r="BM41" s="1649"/>
      <c r="BN41" s="1649"/>
      <c r="BO41" s="1649"/>
      <c r="BP41" s="1649"/>
      <c r="BQ41" s="1649"/>
      <c r="BR41" s="1649"/>
      <c r="BS41" s="1649"/>
      <c r="BT41" s="1649"/>
      <c r="BU41" s="1649"/>
      <c r="BV41" s="1649"/>
      <c r="BW41" s="1649"/>
      <c r="BX41" s="1649"/>
      <c r="BY41" s="1649"/>
      <c r="BZ41" s="701"/>
      <c r="CA41" s="701"/>
      <c r="CB41" s="1649" t="s">
        <v>182</v>
      </c>
      <c r="CC41" s="1649"/>
      <c r="CD41" s="1649"/>
      <c r="CE41" s="1649"/>
      <c r="CF41" s="1649"/>
      <c r="CG41" s="1649"/>
      <c r="CH41" s="1649"/>
      <c r="CI41" s="1649"/>
      <c r="CJ41" s="1649"/>
      <c r="CK41" s="1649"/>
      <c r="CL41" s="1649"/>
      <c r="CM41" s="1649"/>
      <c r="CN41" s="1649"/>
      <c r="CO41" s="1649"/>
      <c r="CP41" s="1649"/>
      <c r="CQ41" s="1649"/>
      <c r="CR41" s="1649"/>
      <c r="CS41" s="1649"/>
      <c r="CT41" s="1649"/>
      <c r="CU41" s="1649"/>
      <c r="CV41" s="1649"/>
      <c r="CW41" s="1649"/>
      <c r="CX41" s="1649"/>
      <c r="CY41" s="1649"/>
      <c r="CZ41" s="1649"/>
      <c r="DA41" s="1649"/>
      <c r="DB41" s="1649"/>
      <c r="DC41" s="1649"/>
      <c r="DD41" s="1649"/>
      <c r="DE41" s="1649"/>
      <c r="DF41" s="1649"/>
      <c r="DG41" s="1649"/>
      <c r="DH41" s="1649"/>
      <c r="DI41" s="1649"/>
      <c r="DJ41" s="1649"/>
      <c r="DK41" s="1649"/>
      <c r="DL41" s="1649"/>
      <c r="DM41" s="1649"/>
      <c r="DN41" s="1649"/>
      <c r="DO41" s="662"/>
      <c r="DP41" s="662"/>
      <c r="DQ41" s="662"/>
      <c r="DR41" s="662"/>
      <c r="DS41" s="662"/>
      <c r="DT41" s="662"/>
      <c r="DU41" s="662"/>
      <c r="DV41" s="662"/>
      <c r="DW41" s="662"/>
      <c r="DX41" s="662"/>
      <c r="DY41" s="662"/>
      <c r="DZ41" s="662"/>
      <c r="EA41" s="662"/>
      <c r="EB41" s="662"/>
      <c r="EC41" s="662"/>
      <c r="ED41" s="662"/>
      <c r="EE41" s="662"/>
      <c r="EF41" s="662"/>
      <c r="EG41" s="662"/>
      <c r="EH41" s="662"/>
      <c r="EI41" s="662"/>
    </row>
    <row r="42" spans="1:139" ht="13.5">
      <c r="A42" s="662"/>
      <c r="B42" s="662"/>
      <c r="C42" s="662"/>
      <c r="D42" s="662"/>
      <c r="E42" s="662"/>
      <c r="F42" s="662"/>
      <c r="G42" s="662"/>
      <c r="H42" s="662"/>
      <c r="I42" s="662"/>
      <c r="J42" s="662"/>
      <c r="K42" s="662"/>
      <c r="L42" s="662"/>
      <c r="M42" s="662"/>
      <c r="N42" s="662"/>
      <c r="O42" s="662"/>
      <c r="P42" s="662"/>
      <c r="Q42" s="662"/>
      <c r="R42" s="662"/>
      <c r="S42" s="662"/>
      <c r="T42" s="662"/>
      <c r="U42" s="662"/>
      <c r="V42" s="662"/>
      <c r="W42" s="662"/>
      <c r="X42" s="662"/>
      <c r="Y42" s="662"/>
      <c r="Z42" s="662"/>
      <c r="AA42" s="662"/>
      <c r="AB42" s="662"/>
      <c r="AC42" s="662"/>
      <c r="AD42" s="662"/>
      <c r="AE42" s="662"/>
      <c r="AF42" s="662"/>
      <c r="AG42" s="662"/>
      <c r="AH42" s="662"/>
      <c r="AI42" s="662"/>
      <c r="AJ42" s="662"/>
      <c r="AK42" s="662"/>
      <c r="AL42" s="662"/>
      <c r="AM42" s="662"/>
      <c r="AN42" s="662"/>
      <c r="AO42" s="662"/>
      <c r="AP42" s="662"/>
      <c r="AQ42" s="662"/>
      <c r="AR42" s="662"/>
      <c r="AS42" s="662"/>
      <c r="AT42" s="662"/>
      <c r="AU42" s="662"/>
      <c r="AV42" s="662"/>
      <c r="AW42" s="662"/>
      <c r="AX42" s="662"/>
      <c r="AY42" s="662"/>
      <c r="AZ42" s="662"/>
      <c r="BA42" s="700"/>
      <c r="BB42" s="702" t="s">
        <v>83</v>
      </c>
      <c r="BC42" s="1717"/>
      <c r="BD42" s="1717"/>
      <c r="BE42" s="1717"/>
      <c r="BF42" s="1717"/>
      <c r="BG42" s="703" t="s">
        <v>84</v>
      </c>
      <c r="BH42" s="704"/>
      <c r="BI42" s="704"/>
      <c r="BJ42" s="1717"/>
      <c r="BK42" s="1717"/>
      <c r="BL42" s="1717"/>
      <c r="BM42" s="1717"/>
      <c r="BN42" s="1717"/>
      <c r="BO42" s="1717"/>
      <c r="BP42" s="1717"/>
      <c r="BQ42" s="1717"/>
      <c r="BR42" s="1717"/>
      <c r="BS42" s="1717"/>
      <c r="BT42" s="1717"/>
      <c r="BU42" s="1717"/>
      <c r="BV42" s="1717"/>
      <c r="BW42" s="1717"/>
      <c r="BX42" s="1717"/>
      <c r="BY42" s="1717"/>
      <c r="BZ42" s="1717"/>
      <c r="CA42" s="704"/>
      <c r="CB42" s="1718"/>
      <c r="CC42" s="1718"/>
      <c r="CD42" s="1718"/>
      <c r="CE42" s="1718"/>
      <c r="CF42" s="1718"/>
      <c r="CG42" s="706" t="s">
        <v>147</v>
      </c>
      <c r="CH42" s="706"/>
      <c r="CI42" s="705"/>
      <c r="CJ42" s="705"/>
      <c r="CK42" s="705"/>
      <c r="CL42" s="706"/>
      <c r="CM42" s="705"/>
      <c r="CN42" s="707"/>
      <c r="CO42" s="707"/>
      <c r="CP42" s="707"/>
      <c r="CQ42" s="707"/>
      <c r="CR42" s="700"/>
      <c r="CS42" s="700"/>
      <c r="CT42" s="662"/>
      <c r="CU42" s="662"/>
      <c r="CV42" s="662"/>
      <c r="CW42" s="662"/>
      <c r="CX42" s="662"/>
      <c r="CY42" s="662"/>
      <c r="CZ42" s="662"/>
      <c r="DA42" s="662"/>
      <c r="DB42" s="662"/>
      <c r="DC42" s="662"/>
      <c r="DD42" s="662"/>
      <c r="DE42" s="662"/>
      <c r="DF42" s="662"/>
      <c r="DG42" s="662"/>
      <c r="DH42" s="662"/>
      <c r="DI42" s="662"/>
      <c r="DJ42" s="662"/>
      <c r="DK42" s="662"/>
      <c r="DL42" s="662"/>
      <c r="DM42" s="662"/>
      <c r="DN42" s="662"/>
      <c r="DO42" s="662"/>
      <c r="DP42" s="662"/>
      <c r="DQ42" s="662"/>
      <c r="DR42" s="662"/>
      <c r="DS42" s="662"/>
      <c r="DT42" s="662"/>
      <c r="DU42" s="662"/>
      <c r="DV42" s="662"/>
      <c r="DW42" s="662"/>
      <c r="DX42" s="662"/>
      <c r="DY42" s="662"/>
      <c r="DZ42" s="662"/>
      <c r="EA42" s="662"/>
      <c r="EB42" s="662"/>
      <c r="EC42" s="662"/>
      <c r="ED42" s="662"/>
      <c r="EE42" s="662"/>
      <c r="EF42" s="662"/>
      <c r="EG42" s="662"/>
      <c r="EH42" s="662"/>
      <c r="EI42" s="662"/>
    </row>
  </sheetData>
  <mergeCells count="68">
    <mergeCell ref="BC42:BF42"/>
    <mergeCell ref="BJ42:BZ42"/>
    <mergeCell ref="CB42:CF42"/>
    <mergeCell ref="AO40:BI40"/>
    <mergeCell ref="BL40:BY40"/>
    <mergeCell ref="CB40:DN40"/>
    <mergeCell ref="AO41:BI41"/>
    <mergeCell ref="BL41:BY41"/>
    <mergeCell ref="CB41:DN41"/>
    <mergeCell ref="AO35:BI35"/>
    <mergeCell ref="BL35:BY35"/>
    <mergeCell ref="CB35:DN35"/>
    <mergeCell ref="AO36:BI36"/>
    <mergeCell ref="BL36:BY36"/>
    <mergeCell ref="CB36:DN36"/>
    <mergeCell ref="A32:ED32"/>
    <mergeCell ref="AO33:BI33"/>
    <mergeCell ref="BL33:BY33"/>
    <mergeCell ref="CB33:DN33"/>
    <mergeCell ref="AO34:BI34"/>
    <mergeCell ref="BL34:BY34"/>
    <mergeCell ref="CB34:DN34"/>
    <mergeCell ref="BC29:BF29"/>
    <mergeCell ref="BJ29:BZ29"/>
    <mergeCell ref="CB29:CF29"/>
    <mergeCell ref="AO30:ED30"/>
    <mergeCell ref="A31:ED31"/>
    <mergeCell ref="BA27:BM27"/>
    <mergeCell ref="BP27:CD27"/>
    <mergeCell ref="CG27:DN27"/>
    <mergeCell ref="BA28:BM28"/>
    <mergeCell ref="BP28:CD28"/>
    <mergeCell ref="CG28:DN28"/>
    <mergeCell ref="AO25:BI25"/>
    <mergeCell ref="BL25:BY25"/>
    <mergeCell ref="CB25:DN25"/>
    <mergeCell ref="BC26:BF26"/>
    <mergeCell ref="BJ26:BZ26"/>
    <mergeCell ref="CB26:CF26"/>
    <mergeCell ref="AO23:BI23"/>
    <mergeCell ref="BL23:BY23"/>
    <mergeCell ref="CB23:DN23"/>
    <mergeCell ref="AO24:BI24"/>
    <mergeCell ref="BL24:BY24"/>
    <mergeCell ref="CB24:DN24"/>
    <mergeCell ref="BG16:CD16"/>
    <mergeCell ref="AF15:BD15"/>
    <mergeCell ref="DB18:DQ18"/>
    <mergeCell ref="F19:V19"/>
    <mergeCell ref="AO22:BI22"/>
    <mergeCell ref="BL22:BY22"/>
    <mergeCell ref="CB22:DN22"/>
    <mergeCell ref="AF13:BD13"/>
    <mergeCell ref="AF16:BD16"/>
    <mergeCell ref="AF12:BD12"/>
    <mergeCell ref="BC3:ED3"/>
    <mergeCell ref="BC4:ED4"/>
    <mergeCell ref="BC5:ED5"/>
    <mergeCell ref="BC6:ED6"/>
    <mergeCell ref="BC7:ED7"/>
    <mergeCell ref="BC8:ED8"/>
    <mergeCell ref="R9:DC9"/>
    <mergeCell ref="DJ9:DX9"/>
    <mergeCell ref="CG12:DH12"/>
    <mergeCell ref="CG13:DH13"/>
    <mergeCell ref="BG13:CD13"/>
    <mergeCell ref="CG15:DH15"/>
    <mergeCell ref="CG16:DH16"/>
  </mergeCells>
  <pageMargins left="0.62992125984251968" right="0.31496062992125984" top="0.59055118110236227" bottom="0.39370078740157483" header="0.19685039370078741" footer="0.19685039370078741"/>
  <pageSetup paperSize="9" orientation="landscape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>
  <sheetPr codeName="Лист28"/>
  <dimension ref="A1:IN8"/>
  <sheetViews>
    <sheetView view="pageBreakPreview" zoomScaleNormal="100" zoomScaleSheetLayoutView="100" workbookViewId="0">
      <selection activeCell="AL4" sqref="AL4:ES4"/>
    </sheetView>
  </sheetViews>
  <sheetFormatPr defaultColWidth="0.85546875" defaultRowHeight="11.25" customHeight="1"/>
  <cols>
    <col min="1" max="27" width="0.85546875" style="481"/>
    <col min="28" max="28" width="0.85546875" style="481" customWidth="1"/>
    <col min="29" max="37" width="0.85546875" style="481"/>
    <col min="38" max="38" width="0.85546875" style="481" customWidth="1"/>
    <col min="39" max="43" width="0.85546875" style="481"/>
    <col min="44" max="44" width="1.28515625" style="481" customWidth="1"/>
    <col min="45" max="58" width="0.85546875" style="481"/>
    <col min="59" max="60" width="0.85546875" style="481" customWidth="1"/>
    <col min="61" max="76" width="0.85546875" style="481"/>
    <col min="77" max="77" width="0.85546875" style="481" customWidth="1"/>
    <col min="78" max="94" width="0.85546875" style="481"/>
    <col min="95" max="95" width="5.140625" style="481" customWidth="1"/>
    <col min="96" max="112" width="0.85546875" style="481"/>
    <col min="113" max="113" width="0.85546875" style="481" customWidth="1"/>
    <col min="114" max="120" width="0.85546875" style="481"/>
    <col min="121" max="121" width="1.85546875" style="481" bestFit="1" customWidth="1"/>
    <col min="122" max="130" width="0.85546875" style="481"/>
    <col min="131" max="131" width="0.85546875" style="481" customWidth="1"/>
    <col min="132" max="148" width="0.85546875" style="481"/>
    <col min="149" max="149" width="0.85546875" style="481" customWidth="1"/>
    <col min="150" max="150" width="16.140625" style="481" customWidth="1"/>
    <col min="151" max="151" width="10.140625" style="481" customWidth="1"/>
    <col min="152" max="152" width="8.5703125" style="481" customWidth="1"/>
    <col min="153" max="153" width="12.28515625" style="481" customWidth="1"/>
    <col min="154" max="154" width="11.140625" style="481" customWidth="1"/>
    <col min="155" max="174" width="0.85546875" style="481"/>
    <col min="175" max="175" width="0.85546875" style="481" customWidth="1"/>
    <col min="176" max="176" width="0.85546875" style="481" hidden="1" customWidth="1"/>
    <col min="177" max="210" width="0.85546875" style="481"/>
    <col min="211" max="211" width="0.42578125" style="481" customWidth="1"/>
    <col min="212" max="222" width="0.85546875" style="481"/>
    <col min="223" max="223" width="0.140625" style="481" customWidth="1"/>
    <col min="224" max="246" width="0.85546875" style="481"/>
    <col min="247" max="247" width="1.5703125" style="481" customWidth="1"/>
    <col min="248" max="249" width="0.85546875" style="481" customWidth="1"/>
    <col min="250" max="16384" width="0.85546875" style="481"/>
  </cols>
  <sheetData>
    <row r="1" spans="1:248" ht="10.5" customHeight="1">
      <c r="A1" s="505" t="s">
        <v>93</v>
      </c>
      <c r="B1" s="505"/>
      <c r="C1" s="505"/>
      <c r="D1" s="505"/>
      <c r="E1" s="505"/>
      <c r="F1" s="505"/>
      <c r="G1" s="505"/>
      <c r="H1" s="505"/>
      <c r="I1" s="505"/>
      <c r="J1" s="505"/>
      <c r="K1" s="498"/>
      <c r="L1" s="498"/>
      <c r="M1" s="498"/>
      <c r="N1" s="498"/>
      <c r="O1" s="498"/>
      <c r="P1" s="498"/>
      <c r="Q1" s="498"/>
      <c r="R1" s="498"/>
      <c r="S1" s="498"/>
      <c r="T1" s="498"/>
      <c r="U1" s="498"/>
      <c r="V1" s="498"/>
      <c r="W1" s="498"/>
      <c r="X1" s="498"/>
      <c r="Y1" s="498"/>
      <c r="Z1" s="498"/>
      <c r="AA1" s="498"/>
      <c r="AB1" s="498"/>
      <c r="AC1" s="498"/>
      <c r="AD1" s="498"/>
      <c r="AE1" s="498"/>
      <c r="AF1" s="498"/>
      <c r="AG1" s="499"/>
      <c r="AH1" s="499"/>
      <c r="AI1" s="499"/>
      <c r="AJ1" s="499"/>
      <c r="AK1" s="499"/>
      <c r="AL1" s="499"/>
      <c r="AM1" s="499"/>
      <c r="AN1" s="499"/>
      <c r="AO1" s="499"/>
      <c r="AP1" s="499"/>
      <c r="AQ1" s="499"/>
      <c r="AR1" s="499"/>
      <c r="AS1" s="499"/>
      <c r="AT1" s="499"/>
      <c r="AU1" s="499"/>
      <c r="AV1" s="499"/>
      <c r="AW1" s="499"/>
      <c r="AX1" s="499"/>
      <c r="AY1" s="499"/>
      <c r="AZ1" s="499"/>
      <c r="BA1" s="499"/>
      <c r="BB1" s="499"/>
      <c r="BC1" s="499"/>
      <c r="BD1" s="499"/>
      <c r="BE1" s="499"/>
      <c r="BF1" s="499"/>
      <c r="BG1" s="505"/>
      <c r="BH1" s="505"/>
      <c r="BI1" s="505"/>
      <c r="BJ1" s="505"/>
      <c r="BK1" s="505"/>
      <c r="BL1" s="505"/>
      <c r="BM1" s="505"/>
      <c r="BN1" s="505"/>
      <c r="BO1" s="505"/>
      <c r="BP1" s="505"/>
      <c r="BQ1" s="505"/>
      <c r="BR1" s="505"/>
      <c r="BS1" s="505"/>
      <c r="BT1" s="505"/>
      <c r="BU1" s="505"/>
      <c r="BV1" s="505"/>
      <c r="BW1" s="505"/>
      <c r="BX1" s="505"/>
      <c r="BY1" s="505"/>
      <c r="BZ1" s="505"/>
      <c r="CA1" s="505"/>
      <c r="CB1" s="505"/>
      <c r="CC1" s="505"/>
      <c r="CD1" s="505"/>
      <c r="CE1" s="505"/>
      <c r="CF1" s="505"/>
      <c r="CG1" s="505"/>
      <c r="CH1" s="505"/>
      <c r="CI1" s="505"/>
      <c r="CJ1" s="505"/>
      <c r="CK1" s="505"/>
      <c r="CL1" s="505"/>
      <c r="CM1" s="505"/>
      <c r="CN1" s="505"/>
      <c r="CO1" s="505"/>
      <c r="CP1" s="505"/>
      <c r="CQ1" s="500"/>
      <c r="CR1" s="500"/>
      <c r="CS1" s="500"/>
      <c r="CT1" s="500"/>
      <c r="CU1" s="500"/>
      <c r="CV1" s="500"/>
      <c r="CW1" s="500"/>
      <c r="CX1" s="500"/>
      <c r="CY1" s="500"/>
      <c r="CZ1" s="500"/>
      <c r="DA1" s="500"/>
      <c r="DB1" s="500"/>
      <c r="DC1" s="500"/>
      <c r="DD1" s="500"/>
      <c r="DE1" s="500"/>
      <c r="DF1" s="500"/>
      <c r="DG1" s="500"/>
      <c r="DH1" s="500"/>
      <c r="DI1" s="500"/>
      <c r="DJ1" s="500"/>
      <c r="DK1" s="500"/>
      <c r="DL1" s="500"/>
      <c r="DM1" s="500"/>
      <c r="DN1" s="500"/>
      <c r="DO1" s="500"/>
      <c r="DP1" s="500"/>
      <c r="DQ1" s="500"/>
      <c r="DR1" s="500"/>
      <c r="DS1" s="500"/>
      <c r="DT1" s="500"/>
      <c r="DU1" s="500"/>
      <c r="DV1" s="500"/>
      <c r="DW1" s="500"/>
      <c r="DX1" s="500"/>
      <c r="DY1" s="500"/>
      <c r="DZ1" s="500"/>
      <c r="EA1" s="500"/>
      <c r="EB1" s="500"/>
      <c r="EC1" s="500"/>
      <c r="ED1" s="500"/>
      <c r="EE1" s="500"/>
      <c r="EF1" s="500"/>
      <c r="EG1" s="500"/>
      <c r="EH1" s="500"/>
      <c r="EI1" s="500"/>
      <c r="EJ1" s="500"/>
      <c r="EK1" s="500"/>
      <c r="EL1" s="500"/>
      <c r="EM1" s="500"/>
      <c r="EN1" s="500"/>
      <c r="EO1" s="500"/>
      <c r="EP1" s="500"/>
      <c r="EQ1" s="500"/>
      <c r="ER1" s="500"/>
      <c r="ES1" s="500"/>
      <c r="ET1" s="501"/>
      <c r="EU1" s="501"/>
      <c r="EV1" s="501"/>
      <c r="EW1" s="502"/>
      <c r="EX1" s="503"/>
      <c r="EY1" s="497"/>
      <c r="EZ1" s="497"/>
      <c r="FA1" s="497"/>
      <c r="FB1" s="497"/>
      <c r="FC1" s="497"/>
      <c r="FD1" s="497"/>
      <c r="FE1" s="497"/>
      <c r="FF1" s="497"/>
      <c r="FG1" s="497"/>
      <c r="FH1" s="497"/>
      <c r="FI1" s="497"/>
      <c r="FJ1" s="496"/>
      <c r="FK1" s="496"/>
      <c r="FL1" s="496"/>
      <c r="FM1" s="496"/>
      <c r="FN1" s="496"/>
      <c r="FO1" s="496"/>
      <c r="FP1" s="496"/>
      <c r="FQ1" s="496"/>
      <c r="FR1" s="496"/>
      <c r="FS1" s="496"/>
      <c r="FT1" s="496"/>
      <c r="FU1" s="496"/>
      <c r="FV1" s="504"/>
      <c r="FW1" s="504"/>
      <c r="FX1" s="504"/>
      <c r="FY1" s="504"/>
      <c r="FZ1" s="504"/>
      <c r="GA1" s="504"/>
      <c r="GB1" s="504"/>
      <c r="GC1" s="504"/>
      <c r="GD1" s="504"/>
      <c r="GE1" s="504"/>
      <c r="GF1" s="504"/>
      <c r="GG1" s="504"/>
      <c r="GH1" s="504"/>
      <c r="GI1" s="504"/>
      <c r="GJ1" s="504"/>
      <c r="GK1" s="504"/>
      <c r="GL1" s="504"/>
      <c r="GM1" s="504"/>
      <c r="GN1" s="504"/>
      <c r="GO1" s="504"/>
      <c r="GP1" s="504"/>
      <c r="GQ1" s="504"/>
      <c r="GR1" s="504"/>
      <c r="GS1" s="504"/>
      <c r="GT1" s="496"/>
      <c r="GU1" s="496"/>
      <c r="GV1" s="496"/>
      <c r="GW1" s="496"/>
      <c r="GX1" s="496"/>
      <c r="GY1" s="496"/>
      <c r="GZ1" s="496"/>
      <c r="HA1" s="496"/>
      <c r="HB1" s="496"/>
      <c r="HC1" s="496"/>
      <c r="HD1" s="496"/>
      <c r="HE1" s="496"/>
      <c r="HF1" s="496"/>
      <c r="HG1" s="496"/>
      <c r="HH1" s="496"/>
      <c r="HI1" s="496"/>
      <c r="HJ1" s="496"/>
      <c r="HK1" s="496"/>
      <c r="HL1" s="496"/>
      <c r="HM1" s="496"/>
      <c r="HN1" s="496"/>
      <c r="HO1" s="496"/>
      <c r="HP1" s="496"/>
      <c r="HQ1" s="496"/>
      <c r="HR1" s="504"/>
      <c r="HS1" s="504"/>
      <c r="HT1" s="504"/>
      <c r="HU1" s="504"/>
      <c r="HV1" s="504"/>
      <c r="HW1" s="504"/>
      <c r="HX1" s="504"/>
      <c r="HY1" s="504"/>
      <c r="HZ1" s="504"/>
      <c r="IA1" s="504"/>
      <c r="IB1" s="504"/>
      <c r="IC1" s="504"/>
      <c r="ID1" s="504"/>
      <c r="IE1" s="504"/>
      <c r="IF1" s="504"/>
      <c r="IG1" s="504"/>
      <c r="IH1" s="504"/>
      <c r="II1" s="504"/>
      <c r="IJ1" s="504"/>
      <c r="IK1" s="504"/>
      <c r="IL1" s="504"/>
      <c r="IM1" s="504"/>
      <c r="IN1" s="504"/>
    </row>
    <row r="2" spans="1:248" s="508" customFormat="1" ht="11.25" customHeight="1">
      <c r="A2" s="814" t="s">
        <v>603</v>
      </c>
      <c r="B2" s="513"/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513" t="s">
        <v>602</v>
      </c>
      <c r="U2" s="513"/>
      <c r="V2" s="513"/>
      <c r="W2" s="513"/>
      <c r="X2" s="513"/>
      <c r="Y2" s="513"/>
      <c r="Z2" s="513"/>
      <c r="AA2" s="513"/>
      <c r="AB2" s="513"/>
      <c r="AC2" s="513"/>
      <c r="AD2" s="513"/>
      <c r="AE2" s="513"/>
      <c r="AF2" s="513"/>
      <c r="AG2" s="513"/>
      <c r="AH2" s="513"/>
      <c r="AI2" s="513"/>
      <c r="AJ2" s="513"/>
      <c r="AK2" s="513"/>
      <c r="AL2" s="513"/>
      <c r="AM2" s="513"/>
      <c r="AN2" s="513"/>
      <c r="AO2" s="513"/>
      <c r="AP2" s="513"/>
      <c r="AQ2" s="513"/>
      <c r="AR2" s="809"/>
      <c r="AS2" s="515"/>
      <c r="AT2" s="515"/>
      <c r="AU2" s="515"/>
      <c r="AV2" s="810"/>
      <c r="AW2" s="810"/>
      <c r="AX2" s="813"/>
      <c r="AY2" s="822"/>
      <c r="AZ2" s="819"/>
      <c r="BA2" s="819"/>
      <c r="BB2" s="819"/>
      <c r="BC2" s="819"/>
      <c r="BD2" s="819"/>
      <c r="BE2" s="819"/>
      <c r="BF2" s="819"/>
      <c r="BG2" s="819"/>
      <c r="BH2" s="819"/>
      <c r="BI2" s="819"/>
      <c r="BJ2" s="819"/>
      <c r="BK2" s="819"/>
      <c r="BL2" s="819"/>
      <c r="BM2" s="819"/>
      <c r="BN2" s="819"/>
      <c r="BO2" s="819"/>
      <c r="BP2" s="819"/>
      <c r="BQ2" s="819"/>
      <c r="BR2" s="819"/>
      <c r="BS2" s="819"/>
      <c r="BT2" s="819"/>
      <c r="BU2" s="819"/>
      <c r="BV2" s="819"/>
      <c r="BW2" s="819"/>
      <c r="BX2" s="819"/>
      <c r="BY2" s="819"/>
      <c r="BZ2" s="819"/>
      <c r="CA2" s="819"/>
      <c r="CB2" s="819"/>
      <c r="CC2" s="819"/>
      <c r="CD2" s="819"/>
      <c r="CE2" s="819"/>
      <c r="CF2" s="819"/>
      <c r="CG2" s="819"/>
      <c r="CH2" s="819"/>
      <c r="CI2" s="819"/>
      <c r="CJ2" s="819"/>
      <c r="CK2" s="819"/>
      <c r="CL2" s="819"/>
      <c r="CM2" s="819"/>
      <c r="CN2" s="819"/>
      <c r="CO2" s="819"/>
      <c r="CP2" s="819"/>
      <c r="CQ2" s="819"/>
      <c r="CR2" s="819"/>
      <c r="CS2" s="819"/>
      <c r="CT2" s="819"/>
      <c r="CU2" s="819"/>
      <c r="CV2" s="819"/>
      <c r="CW2" s="819"/>
      <c r="CX2" s="819"/>
      <c r="CY2" s="819"/>
      <c r="CZ2" s="819"/>
      <c r="DA2" s="819"/>
      <c r="DB2" s="819"/>
      <c r="DC2" s="819"/>
      <c r="DD2" s="819"/>
      <c r="DE2" s="819"/>
      <c r="DF2" s="819"/>
      <c r="DG2" s="819"/>
      <c r="DH2" s="819"/>
      <c r="DI2" s="819"/>
      <c r="DJ2" s="819"/>
      <c r="DK2" s="819"/>
      <c r="DL2" s="819"/>
      <c r="DM2" s="819"/>
      <c r="DN2" s="819"/>
      <c r="DO2" s="819"/>
      <c r="DP2" s="819"/>
      <c r="DQ2" s="819"/>
      <c r="DR2" s="819"/>
      <c r="DS2" s="819"/>
      <c r="DT2" s="819"/>
      <c r="DU2" s="819"/>
      <c r="DV2" s="819"/>
      <c r="DW2" s="819"/>
      <c r="DX2" s="819"/>
      <c r="DY2" s="819"/>
      <c r="DZ2" s="819"/>
      <c r="EA2" s="819"/>
      <c r="EB2" s="819"/>
      <c r="EC2" s="819"/>
      <c r="ED2" s="819"/>
      <c r="EE2" s="819"/>
      <c r="EF2" s="819"/>
      <c r="EG2" s="819"/>
      <c r="EH2" s="819"/>
      <c r="EI2" s="819"/>
      <c r="EJ2" s="819"/>
      <c r="EK2" s="819"/>
      <c r="EL2" s="819"/>
      <c r="EM2" s="819"/>
      <c r="EN2" s="819"/>
      <c r="EO2" s="819"/>
      <c r="EP2" s="819"/>
      <c r="EQ2" s="819"/>
      <c r="ER2" s="819"/>
      <c r="ES2" s="820"/>
      <c r="ET2" s="521"/>
      <c r="EU2" s="521"/>
      <c r="EV2" s="521"/>
      <c r="EW2" s="521"/>
      <c r="EX2" s="521"/>
      <c r="EY2" s="521"/>
      <c r="EZ2" s="521"/>
      <c r="FA2" s="521"/>
      <c r="FB2" s="521"/>
      <c r="FC2" s="521"/>
      <c r="FD2" s="521"/>
      <c r="FE2" s="521"/>
      <c r="FF2" s="521"/>
      <c r="FG2" s="521"/>
      <c r="FH2" s="521"/>
      <c r="FI2" s="521"/>
      <c r="FJ2" s="521"/>
      <c r="FK2" s="521"/>
      <c r="FL2" s="521"/>
      <c r="FM2" s="521"/>
      <c r="FN2" s="521"/>
      <c r="FO2" s="521"/>
      <c r="FP2" s="521"/>
      <c r="FQ2" s="521"/>
      <c r="FR2" s="521"/>
      <c r="FS2" s="521"/>
      <c r="FT2" s="521"/>
      <c r="FU2" s="521"/>
      <c r="FV2" s="521"/>
      <c r="FW2" s="521"/>
      <c r="FX2" s="521"/>
      <c r="FY2" s="521"/>
      <c r="FZ2" s="521"/>
      <c r="GA2" s="521"/>
      <c r="GB2" s="521"/>
      <c r="GC2" s="521"/>
      <c r="GD2" s="521"/>
      <c r="GE2" s="521"/>
      <c r="GF2" s="521"/>
      <c r="GG2" s="521"/>
      <c r="GH2" s="521"/>
      <c r="GI2" s="521"/>
      <c r="GJ2" s="521"/>
      <c r="GK2" s="521"/>
      <c r="GL2" s="521"/>
      <c r="GM2" s="521"/>
      <c r="GN2" s="521"/>
      <c r="GO2" s="521"/>
      <c r="GP2" s="521"/>
      <c r="GQ2" s="521"/>
      <c r="GR2" s="521"/>
      <c r="GS2" s="521"/>
      <c r="GT2" s="521"/>
      <c r="GU2" s="521"/>
      <c r="GV2" s="521"/>
      <c r="GW2" s="521"/>
      <c r="GX2" s="521"/>
      <c r="GY2" s="521"/>
      <c r="GZ2" s="521"/>
      <c r="HA2" s="521"/>
      <c r="HB2" s="521"/>
      <c r="HC2" s="521"/>
      <c r="HD2" s="521"/>
      <c r="HE2" s="521"/>
      <c r="HF2" s="521"/>
      <c r="HG2" s="521"/>
      <c r="HH2" s="521"/>
      <c r="HI2" s="521"/>
      <c r="HJ2" s="521"/>
      <c r="HK2" s="521"/>
      <c r="HL2" s="521"/>
      <c r="HM2" s="521"/>
      <c r="HN2" s="521"/>
      <c r="HO2" s="521"/>
      <c r="HP2" s="521"/>
      <c r="HQ2" s="521"/>
      <c r="HR2" s="521"/>
      <c r="HS2" s="521"/>
      <c r="HT2" s="521"/>
      <c r="HU2" s="521"/>
      <c r="HV2" s="521"/>
      <c r="HW2" s="521"/>
      <c r="HX2" s="521"/>
      <c r="HY2" s="521"/>
      <c r="HZ2" s="521"/>
      <c r="IA2" s="521"/>
      <c r="IB2" s="521"/>
      <c r="IC2" s="521"/>
      <c r="ID2" s="521"/>
      <c r="IE2" s="521"/>
      <c r="IF2" s="521"/>
      <c r="IG2" s="521"/>
      <c r="IH2" s="521"/>
      <c r="II2" s="521"/>
      <c r="IJ2" s="521"/>
      <c r="IK2" s="521"/>
      <c r="IL2" s="521"/>
      <c r="IM2" s="521"/>
    </row>
    <row r="3" spans="1:248" s="508" customFormat="1" ht="11.25" customHeight="1">
      <c r="A3" s="521"/>
      <c r="B3" s="521"/>
      <c r="C3" s="521"/>
      <c r="D3" s="521"/>
      <c r="E3" s="521"/>
      <c r="F3" s="521"/>
      <c r="G3" s="521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  <c r="T3" s="521"/>
      <c r="U3" s="521"/>
      <c r="V3" s="521"/>
      <c r="W3" s="521"/>
      <c r="X3" s="521"/>
      <c r="Y3" s="521"/>
      <c r="Z3" s="521"/>
      <c r="AA3" s="521"/>
      <c r="AB3" s="521"/>
      <c r="AC3" s="521"/>
      <c r="AD3" s="521"/>
      <c r="AE3" s="521"/>
      <c r="AF3" s="521"/>
      <c r="AG3" s="521"/>
      <c r="AH3" s="521"/>
      <c r="AI3" s="521"/>
      <c r="AJ3" s="521"/>
      <c r="AK3" s="521"/>
      <c r="AL3" s="521"/>
      <c r="AM3" s="521"/>
      <c r="AN3" s="521"/>
      <c r="AO3" s="521"/>
      <c r="AP3" s="521"/>
      <c r="AQ3" s="521"/>
      <c r="AR3" s="521"/>
      <c r="AS3" s="1724" t="s">
        <v>118</v>
      </c>
      <c r="AT3" s="1724"/>
      <c r="AU3" s="1724"/>
      <c r="AV3" s="1724"/>
      <c r="AW3" s="1724"/>
      <c r="AX3" s="1724"/>
      <c r="AY3" s="1724"/>
      <c r="AZ3" s="1724"/>
      <c r="BA3" s="1724"/>
      <c r="BB3" s="1724"/>
      <c r="BC3" s="1724"/>
      <c r="BD3" s="1724"/>
      <c r="BE3" s="1724"/>
      <c r="BF3" s="1724"/>
      <c r="BG3" s="1724"/>
      <c r="BH3" s="1724"/>
      <c r="BI3" s="1724"/>
      <c r="BJ3" s="1724"/>
      <c r="BK3" s="1724"/>
      <c r="BL3" s="1724"/>
      <c r="BM3" s="1724"/>
      <c r="BN3" s="1724"/>
      <c r="BO3" s="1724"/>
      <c r="BP3" s="1724"/>
      <c r="BQ3" s="1724"/>
      <c r="BR3" s="1724"/>
      <c r="BS3" s="1724"/>
      <c r="BT3" s="1724"/>
      <c r="BU3" s="1724"/>
      <c r="BV3" s="1724"/>
      <c r="BW3" s="1724"/>
      <c r="BX3" s="1724"/>
      <c r="BY3" s="1724"/>
      <c r="BZ3" s="1724"/>
      <c r="CA3" s="1724"/>
      <c r="CB3" s="1724"/>
      <c r="CC3" s="1724"/>
      <c r="CD3" s="1724"/>
      <c r="CE3" s="1724"/>
      <c r="CF3" s="1724"/>
      <c r="CG3" s="1724"/>
      <c r="CH3" s="1724"/>
      <c r="CI3" s="1724"/>
      <c r="CJ3" s="1724"/>
      <c r="CK3" s="1724"/>
      <c r="CL3" s="1724"/>
      <c r="CM3" s="1724"/>
      <c r="CN3" s="1724"/>
      <c r="CO3" s="1724"/>
      <c r="CP3" s="1724"/>
      <c r="CQ3" s="1724"/>
      <c r="CR3" s="1724"/>
      <c r="CS3" s="1724"/>
      <c r="CT3" s="1724"/>
      <c r="CU3" s="1724"/>
      <c r="CV3" s="1724"/>
      <c r="CW3" s="1724"/>
      <c r="CX3" s="1724"/>
      <c r="CY3" s="1724"/>
      <c r="CZ3" s="1724"/>
      <c r="DA3" s="1724"/>
      <c r="DB3" s="1724"/>
      <c r="DC3" s="1724"/>
      <c r="DD3" s="1724"/>
      <c r="DE3" s="1724"/>
      <c r="DF3" s="1724"/>
      <c r="DG3" s="1724"/>
      <c r="DH3" s="1724"/>
      <c r="DI3" s="1724"/>
      <c r="DJ3" s="1724"/>
      <c r="DK3" s="1724"/>
      <c r="DL3" s="1724"/>
      <c r="DM3" s="1724"/>
      <c r="DN3" s="1724"/>
      <c r="DO3" s="1724"/>
      <c r="DP3" s="1724"/>
      <c r="DQ3" s="1724"/>
      <c r="DR3" s="1724"/>
      <c r="DS3" s="1724"/>
      <c r="DT3" s="1724"/>
      <c r="DU3" s="1724"/>
      <c r="DV3" s="1724"/>
      <c r="DW3" s="1724"/>
      <c r="DX3" s="1724"/>
      <c r="DY3" s="1724"/>
      <c r="DZ3" s="1724"/>
      <c r="EA3" s="1724"/>
      <c r="EB3" s="1724"/>
      <c r="EC3" s="1724"/>
      <c r="ED3" s="1724"/>
      <c r="EE3" s="1724"/>
      <c r="EF3" s="1724"/>
      <c r="EG3" s="1724"/>
      <c r="EH3" s="1724"/>
      <c r="EI3" s="1724"/>
      <c r="EJ3" s="1724"/>
      <c r="EK3" s="1724"/>
      <c r="EL3" s="1724"/>
      <c r="EM3" s="1724"/>
      <c r="EN3" s="1724"/>
      <c r="EO3" s="1724"/>
      <c r="EP3" s="1724"/>
      <c r="EQ3" s="1724"/>
      <c r="ER3" s="1724"/>
      <c r="ES3" s="1724"/>
      <c r="ET3" s="521"/>
      <c r="EU3" s="521"/>
      <c r="EV3" s="521"/>
      <c r="EW3" s="521"/>
      <c r="EX3" s="521"/>
      <c r="EY3" s="521"/>
      <c r="EZ3" s="521"/>
      <c r="FA3" s="521"/>
      <c r="FB3" s="521"/>
      <c r="FC3" s="521"/>
      <c r="FD3" s="521"/>
      <c r="FE3" s="521"/>
      <c r="FF3" s="521"/>
      <c r="FG3" s="521"/>
      <c r="FH3" s="521"/>
      <c r="FI3" s="521"/>
      <c r="FJ3" s="521"/>
      <c r="FK3" s="521"/>
      <c r="FL3" s="521"/>
      <c r="FM3" s="521"/>
      <c r="FN3" s="521"/>
      <c r="FO3" s="521"/>
      <c r="FP3" s="521"/>
      <c r="FQ3" s="521"/>
      <c r="FR3" s="521"/>
      <c r="FS3" s="521"/>
      <c r="FT3" s="521"/>
      <c r="FU3" s="521"/>
      <c r="FV3" s="521"/>
      <c r="FW3" s="521"/>
      <c r="FX3" s="521"/>
      <c r="FY3" s="521"/>
      <c r="FZ3" s="521"/>
      <c r="GA3" s="521"/>
      <c r="GB3" s="521"/>
      <c r="GC3" s="521"/>
      <c r="GD3" s="521"/>
      <c r="GE3" s="521"/>
      <c r="GF3" s="521"/>
      <c r="GG3" s="521"/>
      <c r="GH3" s="521"/>
      <c r="GI3" s="521"/>
      <c r="GJ3" s="521"/>
      <c r="GK3" s="521"/>
      <c r="GL3" s="521"/>
      <c r="GM3" s="521"/>
      <c r="GN3" s="521"/>
      <c r="GO3" s="521"/>
      <c r="GP3" s="521"/>
      <c r="GQ3" s="521"/>
      <c r="GR3" s="521"/>
      <c r="GS3" s="521"/>
      <c r="GT3" s="521"/>
      <c r="GU3" s="521"/>
      <c r="GV3" s="521"/>
      <c r="GW3" s="521"/>
      <c r="GX3" s="521"/>
      <c r="GY3" s="521"/>
      <c r="GZ3" s="521"/>
      <c r="HA3" s="521"/>
      <c r="HB3" s="521"/>
      <c r="HC3" s="521"/>
      <c r="HD3" s="521"/>
      <c r="HE3" s="521"/>
      <c r="HF3" s="521"/>
      <c r="HG3" s="521"/>
      <c r="HH3" s="521"/>
      <c r="HI3" s="521"/>
      <c r="HJ3" s="521"/>
      <c r="HK3" s="521"/>
      <c r="HL3" s="521"/>
      <c r="HM3" s="521"/>
      <c r="HN3" s="521"/>
      <c r="HO3" s="521"/>
      <c r="HP3" s="521"/>
      <c r="HQ3" s="521"/>
      <c r="HR3" s="521"/>
      <c r="HS3" s="521"/>
      <c r="HT3" s="521"/>
      <c r="HU3" s="521"/>
      <c r="HV3" s="521"/>
      <c r="HW3" s="521"/>
      <c r="HX3" s="521"/>
      <c r="HY3" s="521"/>
      <c r="HZ3" s="521"/>
      <c r="IA3" s="521"/>
      <c r="IB3" s="521"/>
      <c r="IC3" s="521"/>
      <c r="ID3" s="521"/>
      <c r="IE3" s="521"/>
      <c r="IF3" s="521"/>
      <c r="IG3" s="521"/>
      <c r="IH3" s="521"/>
      <c r="II3" s="521"/>
      <c r="IJ3" s="521"/>
      <c r="IK3" s="521"/>
      <c r="IL3" s="521"/>
      <c r="IM3" s="521"/>
      <c r="IN3" s="521"/>
    </row>
    <row r="4" spans="1:248" s="508" customFormat="1" ht="11.25" customHeight="1">
      <c r="A4" s="513" t="s">
        <v>390</v>
      </c>
      <c r="B4" s="509"/>
      <c r="C4" s="509"/>
      <c r="D4" s="509"/>
      <c r="E4" s="509"/>
      <c r="F4" s="509"/>
      <c r="G4" s="509"/>
      <c r="H4" s="509"/>
      <c r="I4" s="509"/>
      <c r="J4" s="509"/>
      <c r="K4" s="509"/>
      <c r="L4" s="509"/>
      <c r="M4" s="509"/>
      <c r="N4" s="509"/>
      <c r="O4" s="509"/>
      <c r="P4" s="509"/>
      <c r="Q4" s="509"/>
      <c r="R4" s="509"/>
      <c r="S4" s="509"/>
      <c r="T4" s="509"/>
      <c r="U4" s="509"/>
      <c r="V4" s="509"/>
      <c r="W4" s="509"/>
      <c r="X4" s="509"/>
      <c r="Y4" s="509"/>
      <c r="Z4" s="509"/>
      <c r="AA4" s="509"/>
      <c r="AB4" s="509"/>
      <c r="AC4" s="509"/>
      <c r="AD4" s="509"/>
      <c r="AE4" s="509"/>
      <c r="AF4" s="509"/>
      <c r="AG4" s="509"/>
      <c r="AH4" s="512"/>
      <c r="AI4" s="489"/>
      <c r="AJ4" s="489"/>
      <c r="AK4" s="812"/>
      <c r="AL4" s="1723"/>
      <c r="AM4" s="1723"/>
      <c r="AN4" s="1723"/>
      <c r="AO4" s="1723"/>
      <c r="AP4" s="1723"/>
      <c r="AQ4" s="1723"/>
      <c r="AR4" s="1723"/>
      <c r="AS4" s="1723"/>
      <c r="AT4" s="1723"/>
      <c r="AU4" s="1723"/>
      <c r="AV4" s="1723"/>
      <c r="AW4" s="1723"/>
      <c r="AX4" s="1723"/>
      <c r="AY4" s="1723"/>
      <c r="AZ4" s="1723"/>
      <c r="BA4" s="1723"/>
      <c r="BB4" s="1723"/>
      <c r="BC4" s="1723"/>
      <c r="BD4" s="1723"/>
      <c r="BE4" s="1723"/>
      <c r="BF4" s="1723"/>
      <c r="BG4" s="1723"/>
      <c r="BH4" s="1723"/>
      <c r="BI4" s="1723"/>
      <c r="BJ4" s="1723"/>
      <c r="BK4" s="1723"/>
      <c r="BL4" s="1723"/>
      <c r="BM4" s="1723"/>
      <c r="BN4" s="1723"/>
      <c r="BO4" s="1723"/>
      <c r="BP4" s="1723"/>
      <c r="BQ4" s="1723"/>
      <c r="BR4" s="1723"/>
      <c r="BS4" s="1723"/>
      <c r="BT4" s="1723"/>
      <c r="BU4" s="1723"/>
      <c r="BV4" s="1723"/>
      <c r="BW4" s="1723"/>
      <c r="BX4" s="1723"/>
      <c r="BY4" s="1723"/>
      <c r="BZ4" s="1723"/>
      <c r="CA4" s="1723"/>
      <c r="CB4" s="1723"/>
      <c r="CC4" s="1723"/>
      <c r="CD4" s="1723"/>
      <c r="CE4" s="1723"/>
      <c r="CF4" s="1723"/>
      <c r="CG4" s="1723"/>
      <c r="CH4" s="1723"/>
      <c r="CI4" s="1723"/>
      <c r="CJ4" s="1723"/>
      <c r="CK4" s="1723"/>
      <c r="CL4" s="1723"/>
      <c r="CM4" s="1723"/>
      <c r="CN4" s="1723"/>
      <c r="CO4" s="1723"/>
      <c r="CP4" s="1723"/>
      <c r="CQ4" s="1723"/>
      <c r="CR4" s="1723"/>
      <c r="CS4" s="1723"/>
      <c r="CT4" s="1723"/>
      <c r="CU4" s="1723"/>
      <c r="CV4" s="1723"/>
      <c r="CW4" s="1723"/>
      <c r="CX4" s="1723"/>
      <c r="CY4" s="1723"/>
      <c r="CZ4" s="1723"/>
      <c r="DA4" s="1723"/>
      <c r="DB4" s="1723"/>
      <c r="DC4" s="1723"/>
      <c r="DD4" s="1723"/>
      <c r="DE4" s="1723"/>
      <c r="DF4" s="1723"/>
      <c r="DG4" s="1723"/>
      <c r="DH4" s="1723"/>
      <c r="DI4" s="1723"/>
      <c r="DJ4" s="1723"/>
      <c r="DK4" s="1723"/>
      <c r="DL4" s="1723"/>
      <c r="DM4" s="1723"/>
      <c r="DN4" s="1723"/>
      <c r="DO4" s="1723"/>
      <c r="DP4" s="1723"/>
      <c r="DQ4" s="1723"/>
      <c r="DR4" s="1723"/>
      <c r="DS4" s="1723"/>
      <c r="DT4" s="1723"/>
      <c r="DU4" s="1723"/>
      <c r="DV4" s="1723"/>
      <c r="DW4" s="1723"/>
      <c r="DX4" s="1723"/>
      <c r="DY4" s="1723"/>
      <c r="DZ4" s="1723"/>
      <c r="EA4" s="1723"/>
      <c r="EB4" s="1723"/>
      <c r="EC4" s="1723"/>
      <c r="ED4" s="1723"/>
      <c r="EE4" s="1723"/>
      <c r="EF4" s="1723"/>
      <c r="EG4" s="1723"/>
      <c r="EH4" s="1723"/>
      <c r="EI4" s="1723"/>
      <c r="EJ4" s="1723"/>
      <c r="EK4" s="1723"/>
      <c r="EL4" s="1723"/>
      <c r="EM4" s="1723"/>
      <c r="EN4" s="1723"/>
      <c r="EO4" s="1723"/>
      <c r="EP4" s="1723"/>
      <c r="EQ4" s="1723"/>
      <c r="ER4" s="1723"/>
      <c r="ES4" s="1723"/>
      <c r="ET4" s="521"/>
      <c r="EU4" s="521"/>
      <c r="EV4" s="521"/>
      <c r="EW4" s="521"/>
      <c r="EX4" s="521"/>
      <c r="EY4" s="521"/>
      <c r="EZ4" s="521"/>
      <c r="FA4" s="521"/>
      <c r="FB4" s="521"/>
      <c r="FC4" s="521"/>
      <c r="FD4" s="521"/>
      <c r="FE4" s="521"/>
      <c r="FF4" s="521"/>
      <c r="FG4" s="521"/>
      <c r="FH4" s="521"/>
      <c r="FI4" s="521"/>
      <c r="FJ4" s="521"/>
      <c r="FK4" s="521"/>
      <c r="FL4" s="521"/>
      <c r="FM4" s="521"/>
      <c r="FN4" s="521"/>
      <c r="FO4" s="521"/>
      <c r="FP4" s="521"/>
      <c r="FQ4" s="521"/>
      <c r="FR4" s="521"/>
      <c r="FS4" s="521"/>
      <c r="FT4" s="521"/>
      <c r="FU4" s="521"/>
      <c r="FV4" s="521"/>
      <c r="FW4" s="521"/>
      <c r="FX4" s="521"/>
      <c r="FY4" s="521"/>
      <c r="FZ4" s="521"/>
      <c r="GA4" s="521"/>
      <c r="GB4" s="521"/>
      <c r="GC4" s="521"/>
      <c r="GD4" s="521"/>
      <c r="GE4" s="521"/>
      <c r="GF4" s="521"/>
      <c r="GG4" s="521"/>
      <c r="GH4" s="521"/>
      <c r="GI4" s="521"/>
      <c r="GJ4" s="521"/>
      <c r="GK4" s="521"/>
      <c r="GL4" s="521"/>
      <c r="GM4" s="521"/>
      <c r="GN4" s="521"/>
      <c r="GO4" s="521"/>
      <c r="GP4" s="521"/>
      <c r="GQ4" s="521"/>
      <c r="GR4" s="521"/>
      <c r="GS4" s="521"/>
      <c r="GT4" s="521"/>
      <c r="GU4" s="521"/>
      <c r="GV4" s="521"/>
      <c r="GW4" s="521"/>
      <c r="GX4" s="521"/>
      <c r="GY4" s="521"/>
      <c r="GZ4" s="521"/>
      <c r="HA4" s="521"/>
      <c r="HB4" s="521"/>
      <c r="HC4" s="521"/>
      <c r="HD4" s="521"/>
      <c r="HE4" s="521"/>
      <c r="HF4" s="521"/>
      <c r="HG4" s="521"/>
      <c r="HH4" s="521"/>
      <c r="HI4" s="521"/>
      <c r="HJ4" s="521"/>
      <c r="HK4" s="521"/>
      <c r="HL4" s="521"/>
      <c r="HM4" s="521"/>
      <c r="HN4" s="521"/>
      <c r="HO4" s="521"/>
      <c r="HP4" s="521"/>
      <c r="HQ4" s="521"/>
      <c r="HR4" s="521"/>
      <c r="HS4" s="521"/>
      <c r="HT4" s="521"/>
      <c r="HU4" s="521"/>
      <c r="HV4" s="521"/>
      <c r="HW4" s="521"/>
      <c r="HX4" s="521"/>
      <c r="HY4" s="521"/>
      <c r="HZ4" s="521"/>
      <c r="IA4" s="521"/>
      <c r="IB4" s="521"/>
      <c r="IC4" s="521"/>
      <c r="ID4" s="521"/>
      <c r="IE4" s="521"/>
      <c r="IF4" s="521"/>
      <c r="IG4" s="521"/>
      <c r="IH4" s="521"/>
      <c r="II4" s="521"/>
      <c r="IJ4" s="521"/>
      <c r="IK4" s="521"/>
      <c r="IL4" s="521"/>
      <c r="IM4" s="521"/>
      <c r="IN4" s="521"/>
    </row>
    <row r="5" spans="1:248" s="508" customFormat="1" ht="11.25" customHeight="1">
      <c r="A5" s="521"/>
      <c r="B5" s="521"/>
      <c r="C5" s="521"/>
      <c r="D5" s="521"/>
      <c r="E5" s="521"/>
      <c r="F5" s="521"/>
      <c r="G5" s="521"/>
      <c r="H5" s="521"/>
      <c r="I5" s="521"/>
      <c r="J5" s="521"/>
      <c r="K5" s="521"/>
      <c r="L5" s="521"/>
      <c r="M5" s="521"/>
      <c r="N5" s="521"/>
      <c r="O5" s="521"/>
      <c r="P5" s="521"/>
      <c r="Q5" s="521"/>
      <c r="R5" s="521"/>
      <c r="S5" s="521"/>
      <c r="T5" s="521"/>
      <c r="U5" s="521"/>
      <c r="V5" s="521"/>
      <c r="W5" s="521"/>
      <c r="X5" s="521"/>
      <c r="Y5" s="521"/>
      <c r="Z5" s="521"/>
      <c r="AA5" s="521"/>
      <c r="AB5" s="521"/>
      <c r="AC5" s="521"/>
      <c r="AD5" s="521"/>
      <c r="AE5" s="521"/>
      <c r="AF5" s="521"/>
      <c r="AG5" s="521"/>
      <c r="AH5" s="521"/>
      <c r="AI5" s="1724" t="s">
        <v>118</v>
      </c>
      <c r="AJ5" s="1724"/>
      <c r="AK5" s="1724"/>
      <c r="AL5" s="1724"/>
      <c r="AM5" s="1724"/>
      <c r="AN5" s="1724"/>
      <c r="AO5" s="1724"/>
      <c r="AP5" s="1724"/>
      <c r="AQ5" s="1724"/>
      <c r="AR5" s="1724"/>
      <c r="AS5" s="1724"/>
      <c r="AT5" s="1724"/>
      <c r="AU5" s="1724"/>
      <c r="AV5" s="1724"/>
      <c r="AW5" s="1724"/>
      <c r="AX5" s="1724"/>
      <c r="AY5" s="1724"/>
      <c r="AZ5" s="1724"/>
      <c r="BA5" s="1724"/>
      <c r="BB5" s="1724"/>
      <c r="BC5" s="1724"/>
      <c r="BD5" s="1724"/>
      <c r="BE5" s="1724"/>
      <c r="BF5" s="1724"/>
      <c r="BG5" s="1724"/>
      <c r="BH5" s="1724"/>
      <c r="BI5" s="1724"/>
      <c r="BJ5" s="1724"/>
      <c r="BK5" s="1724"/>
      <c r="BL5" s="1724"/>
      <c r="BM5" s="1724"/>
      <c r="BN5" s="1724"/>
      <c r="BO5" s="1724"/>
      <c r="BP5" s="1724"/>
      <c r="BQ5" s="1724"/>
      <c r="BR5" s="1724"/>
      <c r="BS5" s="1724"/>
      <c r="BT5" s="1724"/>
      <c r="BU5" s="1724"/>
      <c r="BV5" s="1724"/>
      <c r="BW5" s="1724"/>
      <c r="BX5" s="1724"/>
      <c r="BY5" s="1724"/>
      <c r="BZ5" s="1724"/>
      <c r="CA5" s="1724"/>
      <c r="CB5" s="1724"/>
      <c r="CC5" s="1724"/>
      <c r="CD5" s="1724"/>
      <c r="CE5" s="1724"/>
      <c r="CF5" s="1724"/>
      <c r="CG5" s="1724"/>
      <c r="CH5" s="1724"/>
      <c r="CI5" s="1724"/>
      <c r="CJ5" s="1724"/>
      <c r="CK5" s="1724"/>
      <c r="CL5" s="1724"/>
      <c r="CM5" s="1724"/>
      <c r="CN5" s="1724"/>
      <c r="CO5" s="1724"/>
      <c r="CP5" s="1724"/>
      <c r="CQ5" s="1724"/>
      <c r="CR5" s="1724"/>
      <c r="CS5" s="1724"/>
      <c r="CT5" s="1724"/>
      <c r="CU5" s="1724"/>
      <c r="CV5" s="1724"/>
      <c r="CW5" s="1724"/>
      <c r="CX5" s="1724"/>
      <c r="CY5" s="1724"/>
      <c r="CZ5" s="1724"/>
      <c r="DA5" s="1724"/>
      <c r="DB5" s="1724"/>
      <c r="DC5" s="1724"/>
      <c r="DD5" s="1724"/>
      <c r="DE5" s="1724"/>
      <c r="DF5" s="1724"/>
      <c r="DG5" s="1724"/>
      <c r="DH5" s="1724"/>
      <c r="DI5" s="1724"/>
      <c r="DJ5" s="1724"/>
      <c r="DK5" s="1724"/>
      <c r="DL5" s="1724"/>
      <c r="DM5" s="1724"/>
      <c r="DN5" s="1724"/>
      <c r="DO5" s="1724"/>
      <c r="DP5" s="1724"/>
      <c r="DQ5" s="1724"/>
      <c r="DR5" s="1724"/>
      <c r="DS5" s="1724"/>
      <c r="DT5" s="1724"/>
      <c r="DU5" s="1724"/>
      <c r="DV5" s="1724"/>
      <c r="DW5" s="1724"/>
      <c r="DX5" s="1724"/>
      <c r="DY5" s="1724"/>
      <c r="DZ5" s="1724"/>
      <c r="EA5" s="1724"/>
      <c r="EB5" s="1724"/>
      <c r="EC5" s="1724"/>
      <c r="ED5" s="1724"/>
      <c r="EE5" s="1724"/>
      <c r="EF5" s="1724"/>
      <c r="EG5" s="1724"/>
      <c r="EH5" s="1724"/>
      <c r="EI5" s="1724"/>
      <c r="EJ5" s="1724"/>
      <c r="EK5" s="1724"/>
      <c r="EL5" s="1724"/>
      <c r="EM5" s="1724"/>
      <c r="EN5" s="1724"/>
      <c r="EO5" s="1724"/>
      <c r="EP5" s="1724"/>
      <c r="EQ5" s="1724"/>
      <c r="ER5" s="1724"/>
      <c r="ES5" s="1724"/>
      <c r="ET5" s="521"/>
      <c r="EU5" s="521"/>
      <c r="EV5" s="521"/>
      <c r="EW5" s="521"/>
      <c r="EX5" s="521"/>
      <c r="EY5" s="521"/>
      <c r="EZ5" s="521"/>
      <c r="FA5" s="521"/>
      <c r="FB5" s="521"/>
      <c r="FC5" s="521"/>
      <c r="FD5" s="521"/>
      <c r="FE5" s="521"/>
      <c r="FF5" s="521"/>
      <c r="FG5" s="521"/>
      <c r="FH5" s="521"/>
      <c r="FI5" s="521"/>
      <c r="FJ5" s="521"/>
      <c r="FK5" s="521"/>
      <c r="FL5" s="521"/>
      <c r="FM5" s="521"/>
      <c r="FN5" s="521"/>
      <c r="FO5" s="521"/>
      <c r="FP5" s="521"/>
      <c r="FQ5" s="521"/>
      <c r="FR5" s="521"/>
      <c r="FS5" s="521"/>
      <c r="FT5" s="521"/>
      <c r="FU5" s="521"/>
      <c r="FV5" s="521"/>
      <c r="FW5" s="521"/>
      <c r="FX5" s="521"/>
      <c r="FY5" s="521"/>
      <c r="FZ5" s="521"/>
      <c r="GA5" s="521"/>
      <c r="GB5" s="521"/>
      <c r="GC5" s="521"/>
      <c r="GD5" s="521"/>
      <c r="GE5" s="521"/>
      <c r="GF5" s="521"/>
      <c r="GG5" s="521"/>
      <c r="GH5" s="521"/>
      <c r="GI5" s="521"/>
      <c r="GJ5" s="521"/>
      <c r="GK5" s="521"/>
      <c r="GL5" s="521"/>
      <c r="GM5" s="521"/>
      <c r="GN5" s="521"/>
      <c r="GO5" s="521"/>
      <c r="GP5" s="521"/>
      <c r="GQ5" s="521"/>
      <c r="GR5" s="521"/>
      <c r="GS5" s="521"/>
      <c r="GT5" s="521"/>
      <c r="GU5" s="521"/>
      <c r="GV5" s="521"/>
      <c r="GW5" s="521"/>
      <c r="GX5" s="521"/>
      <c r="GY5" s="521"/>
      <c r="GZ5" s="521"/>
      <c r="HA5" s="521"/>
      <c r="HB5" s="521"/>
      <c r="HC5" s="521"/>
      <c r="HD5" s="521"/>
      <c r="HE5" s="521"/>
      <c r="HF5" s="521"/>
      <c r="HG5" s="521"/>
      <c r="HH5" s="521"/>
      <c r="HI5" s="521"/>
      <c r="HJ5" s="521"/>
      <c r="HK5" s="521"/>
      <c r="HL5" s="521"/>
      <c r="HM5" s="521"/>
      <c r="HN5" s="521"/>
      <c r="HO5" s="521"/>
      <c r="HP5" s="521"/>
      <c r="HQ5" s="521"/>
      <c r="HR5" s="521"/>
      <c r="HS5" s="521"/>
      <c r="HT5" s="521"/>
      <c r="HU5" s="521"/>
      <c r="HV5" s="521"/>
      <c r="HW5" s="521"/>
      <c r="HX5" s="521"/>
      <c r="HY5" s="521"/>
      <c r="HZ5" s="521"/>
      <c r="IA5" s="521"/>
      <c r="IB5" s="521"/>
      <c r="IC5" s="521"/>
      <c r="ID5" s="521"/>
      <c r="IE5" s="521"/>
      <c r="IF5" s="521"/>
      <c r="IG5" s="521"/>
      <c r="IH5" s="521"/>
      <c r="II5" s="521"/>
      <c r="IJ5" s="521"/>
      <c r="IK5" s="521"/>
      <c r="IL5" s="521"/>
      <c r="IM5" s="521"/>
      <c r="IN5" s="521"/>
    </row>
    <row r="6" spans="1:248" ht="12.75">
      <c r="A6" s="1725">
        <v>1</v>
      </c>
      <c r="B6" s="1725"/>
      <c r="C6" s="1725"/>
      <c r="D6" s="1725"/>
      <c r="E6" s="1725"/>
      <c r="F6" s="1725"/>
      <c r="G6" s="1725"/>
      <c r="H6" s="1725"/>
      <c r="I6" s="1725"/>
      <c r="J6" s="1725"/>
      <c r="K6" s="1725">
        <v>2</v>
      </c>
      <c r="L6" s="1725"/>
      <c r="M6" s="1725"/>
      <c r="N6" s="1725"/>
      <c r="O6" s="1725"/>
      <c r="P6" s="1725"/>
      <c r="Q6" s="1725"/>
      <c r="R6" s="1725"/>
      <c r="S6" s="1725"/>
      <c r="T6" s="1725"/>
      <c r="U6" s="1725"/>
      <c r="V6" s="1725"/>
      <c r="W6" s="1725"/>
      <c r="X6" s="1725"/>
      <c r="Y6" s="1725"/>
      <c r="Z6" s="1725"/>
      <c r="AA6" s="1725"/>
      <c r="AB6" s="1725"/>
      <c r="AC6" s="1725"/>
      <c r="AD6" s="1725"/>
      <c r="AE6" s="1725"/>
      <c r="AF6" s="1725"/>
      <c r="AG6" s="1725">
        <v>3</v>
      </c>
      <c r="AH6" s="1725"/>
      <c r="AI6" s="1725"/>
      <c r="AJ6" s="1725"/>
      <c r="AK6" s="1725"/>
      <c r="AL6" s="1725"/>
      <c r="AM6" s="1725"/>
      <c r="AN6" s="1725"/>
      <c r="AO6" s="1725"/>
      <c r="AP6" s="1725"/>
      <c r="AQ6" s="1725"/>
      <c r="AR6" s="1725"/>
      <c r="AS6" s="1725"/>
      <c r="AT6" s="1725"/>
      <c r="AU6" s="1725">
        <v>4</v>
      </c>
      <c r="AV6" s="1725"/>
      <c r="AW6" s="1725"/>
      <c r="AX6" s="1725"/>
      <c r="AY6" s="1725"/>
      <c r="AZ6" s="1725"/>
      <c r="BA6" s="1725"/>
      <c r="BB6" s="1725"/>
      <c r="BC6" s="1725"/>
      <c r="BD6" s="1725"/>
      <c r="BE6" s="1725"/>
      <c r="BF6" s="1725"/>
      <c r="BG6" s="1725">
        <v>5</v>
      </c>
      <c r="BH6" s="1725"/>
      <c r="BI6" s="1725"/>
      <c r="BJ6" s="1725"/>
      <c r="BK6" s="1725"/>
      <c r="BL6" s="1725"/>
      <c r="BM6" s="1725"/>
      <c r="BN6" s="1725"/>
      <c r="BO6" s="1725"/>
      <c r="BP6" s="1725"/>
      <c r="BQ6" s="1725"/>
      <c r="BR6" s="1725"/>
      <c r="BS6" s="1725"/>
      <c r="BT6" s="1725"/>
      <c r="BU6" s="1725"/>
      <c r="BV6" s="1725"/>
      <c r="BW6" s="1725"/>
      <c r="BX6" s="1725"/>
      <c r="BY6" s="1725">
        <v>6</v>
      </c>
      <c r="BZ6" s="1725"/>
      <c r="CA6" s="1725"/>
      <c r="CB6" s="1725"/>
      <c r="CC6" s="1725"/>
      <c r="CD6" s="1725"/>
      <c r="CE6" s="1725"/>
      <c r="CF6" s="1725"/>
      <c r="CG6" s="1725"/>
      <c r="CH6" s="1725"/>
      <c r="CI6" s="1725"/>
      <c r="CJ6" s="1725"/>
      <c r="CK6" s="1725"/>
      <c r="CL6" s="1725"/>
      <c r="CM6" s="1725"/>
      <c r="CN6" s="1725"/>
      <c r="CO6" s="1725"/>
      <c r="CP6" s="1725"/>
      <c r="CQ6" s="1725">
        <v>7</v>
      </c>
      <c r="CR6" s="1725"/>
      <c r="CS6" s="1725"/>
      <c r="CT6" s="1725"/>
      <c r="CU6" s="1725"/>
      <c r="CV6" s="1725"/>
      <c r="CW6" s="1725"/>
      <c r="CX6" s="1725"/>
      <c r="CY6" s="1725"/>
      <c r="CZ6" s="1725"/>
      <c r="DA6" s="1725"/>
      <c r="DB6" s="1725"/>
      <c r="DC6" s="1725"/>
      <c r="DD6" s="1725"/>
      <c r="DE6" s="1725"/>
      <c r="DF6" s="1725"/>
      <c r="DG6" s="1725"/>
      <c r="DH6" s="1725"/>
      <c r="DI6" s="1725">
        <v>8</v>
      </c>
      <c r="DJ6" s="1725"/>
      <c r="DK6" s="1725"/>
      <c r="DL6" s="1725"/>
      <c r="DM6" s="1725"/>
      <c r="DN6" s="1725"/>
      <c r="DO6" s="1725"/>
      <c r="DP6" s="1725"/>
      <c r="DQ6" s="1725"/>
      <c r="DR6" s="1725"/>
      <c r="DS6" s="1725"/>
      <c r="DT6" s="1725"/>
      <c r="DU6" s="1725"/>
      <c r="DV6" s="1725"/>
      <c r="DW6" s="1725"/>
      <c r="DX6" s="1725"/>
      <c r="DY6" s="1725"/>
      <c r="DZ6" s="1725"/>
      <c r="EA6" s="1725">
        <v>9</v>
      </c>
      <c r="EB6" s="1725"/>
      <c r="EC6" s="1725"/>
      <c r="ED6" s="1725"/>
      <c r="EE6" s="1725"/>
      <c r="EF6" s="1725"/>
      <c r="EG6" s="1725"/>
      <c r="EH6" s="1725"/>
      <c r="EI6" s="1725"/>
      <c r="EJ6" s="1725"/>
      <c r="EK6" s="1725"/>
      <c r="EL6" s="1725"/>
      <c r="EM6" s="1725"/>
      <c r="EN6" s="1725"/>
      <c r="EO6" s="1725"/>
      <c r="EP6" s="1725"/>
      <c r="EQ6" s="1725"/>
      <c r="ER6" s="1725"/>
      <c r="ES6" s="1725"/>
      <c r="ET6" s="493">
        <v>10</v>
      </c>
      <c r="EU6" s="493">
        <v>11</v>
      </c>
      <c r="EV6" s="493">
        <v>12</v>
      </c>
      <c r="EW6" s="493">
        <v>13</v>
      </c>
      <c r="EX6" s="493">
        <v>14</v>
      </c>
      <c r="EY6" s="1725">
        <v>15</v>
      </c>
      <c r="EZ6" s="1725"/>
      <c r="FA6" s="1725"/>
      <c r="FB6" s="1725"/>
      <c r="FC6" s="1725"/>
      <c r="FD6" s="1725"/>
      <c r="FE6" s="1725"/>
      <c r="FF6" s="1725"/>
      <c r="FG6" s="1725"/>
      <c r="FH6" s="1725"/>
      <c r="FI6" s="1725"/>
      <c r="FJ6" s="1725">
        <v>16</v>
      </c>
      <c r="FK6" s="1725"/>
      <c r="FL6" s="1725"/>
      <c r="FM6" s="1725"/>
      <c r="FN6" s="1725"/>
      <c r="FO6" s="1725"/>
      <c r="FP6" s="1725"/>
      <c r="FQ6" s="1725"/>
      <c r="FR6" s="1725"/>
      <c r="FS6" s="1725"/>
      <c r="FT6" s="1725"/>
      <c r="FU6" s="1725"/>
      <c r="FV6" s="1725">
        <v>17</v>
      </c>
      <c r="FW6" s="1725"/>
      <c r="FX6" s="1725"/>
      <c r="FY6" s="1725"/>
      <c r="FZ6" s="1725"/>
      <c r="GA6" s="1725"/>
      <c r="GB6" s="1725"/>
      <c r="GC6" s="1725"/>
      <c r="GD6" s="1725"/>
      <c r="GE6" s="1725"/>
      <c r="GF6" s="1725"/>
      <c r="GG6" s="1725"/>
      <c r="GH6" s="1725">
        <v>18</v>
      </c>
      <c r="GI6" s="1725"/>
      <c r="GJ6" s="1725"/>
      <c r="GK6" s="1725"/>
      <c r="GL6" s="1725"/>
      <c r="GM6" s="1725"/>
      <c r="GN6" s="1725"/>
      <c r="GO6" s="1725"/>
      <c r="GP6" s="1725"/>
      <c r="GQ6" s="1725"/>
      <c r="GR6" s="1725"/>
      <c r="GS6" s="1725"/>
      <c r="GT6" s="1725">
        <v>19</v>
      </c>
      <c r="GU6" s="1725"/>
      <c r="GV6" s="1725"/>
      <c r="GW6" s="1725"/>
      <c r="GX6" s="1725"/>
      <c r="GY6" s="1725"/>
      <c r="GZ6" s="1725"/>
      <c r="HA6" s="1725"/>
      <c r="HB6" s="1725"/>
      <c r="HC6" s="1725"/>
      <c r="HD6" s="1725"/>
      <c r="HE6" s="1725"/>
      <c r="HF6" s="1725">
        <v>20</v>
      </c>
      <c r="HG6" s="1725"/>
      <c r="HH6" s="1725"/>
      <c r="HI6" s="1725"/>
      <c r="HJ6" s="1725"/>
      <c r="HK6" s="1725"/>
      <c r="HL6" s="1725"/>
      <c r="HM6" s="1725"/>
      <c r="HN6" s="1725"/>
      <c r="HO6" s="1725"/>
      <c r="HP6" s="1725"/>
      <c r="HQ6" s="1725"/>
      <c r="HR6" s="1725">
        <v>21</v>
      </c>
      <c r="HS6" s="1725"/>
      <c r="HT6" s="1725"/>
      <c r="HU6" s="1725"/>
      <c r="HV6" s="1725"/>
      <c r="HW6" s="1725"/>
      <c r="HX6" s="1725"/>
      <c r="HY6" s="1725"/>
      <c r="HZ6" s="1725"/>
      <c r="IA6" s="1725"/>
      <c r="IB6" s="1725"/>
      <c r="IC6" s="1725"/>
      <c r="ID6" s="1725">
        <v>22</v>
      </c>
      <c r="IE6" s="1725"/>
      <c r="IF6" s="1725"/>
      <c r="IG6" s="1725"/>
      <c r="IH6" s="1725"/>
      <c r="II6" s="1725"/>
      <c r="IJ6" s="1725"/>
      <c r="IK6" s="1725"/>
      <c r="IL6" s="1725"/>
      <c r="IM6" s="1725"/>
      <c r="IN6" s="1725"/>
    </row>
    <row r="7" spans="1:248" s="508" customFormat="1" ht="12.75">
      <c r="A7" s="521"/>
      <c r="B7" s="521"/>
      <c r="C7" s="521"/>
      <c r="D7" s="521"/>
      <c r="E7" s="521"/>
      <c r="F7" s="521"/>
      <c r="G7" s="521"/>
      <c r="H7" s="521"/>
      <c r="I7" s="521"/>
      <c r="J7" s="521"/>
      <c r="K7" s="521"/>
      <c r="L7" s="521"/>
      <c r="M7" s="521"/>
      <c r="N7" s="521"/>
      <c r="O7" s="521"/>
      <c r="P7" s="521"/>
      <c r="Q7" s="521"/>
      <c r="R7" s="521"/>
      <c r="S7" s="521"/>
      <c r="T7" s="521"/>
      <c r="U7" s="521"/>
      <c r="V7" s="521"/>
      <c r="W7" s="521"/>
      <c r="X7" s="521"/>
      <c r="Y7" s="521"/>
      <c r="Z7" s="521"/>
      <c r="AA7" s="521"/>
      <c r="AB7" s="521"/>
      <c r="AC7" s="521"/>
      <c r="AD7" s="521"/>
      <c r="AE7" s="521"/>
      <c r="AF7" s="521"/>
      <c r="AG7" s="521"/>
      <c r="AH7" s="521"/>
      <c r="AI7" s="521"/>
      <c r="AJ7" s="521"/>
      <c r="AK7" s="521"/>
      <c r="AL7" s="521"/>
      <c r="AM7" s="521"/>
      <c r="AN7" s="521"/>
      <c r="AO7" s="521"/>
      <c r="AP7" s="521"/>
      <c r="AQ7" s="521"/>
      <c r="AR7" s="521"/>
      <c r="AS7" s="521"/>
      <c r="AT7" s="521"/>
      <c r="AU7" s="521"/>
      <c r="AV7" s="521"/>
      <c r="AW7" s="521"/>
      <c r="AX7" s="521"/>
      <c r="AY7" s="521"/>
      <c r="AZ7" s="521"/>
      <c r="BA7" s="521"/>
      <c r="BB7" s="521"/>
      <c r="BC7" s="521"/>
      <c r="BD7" s="521"/>
      <c r="BE7" s="521"/>
      <c r="BF7" s="521"/>
      <c r="BG7" s="521"/>
      <c r="BH7" s="521"/>
      <c r="BI7" s="521"/>
      <c r="BJ7" s="521"/>
      <c r="BK7" s="521"/>
      <c r="BL7" s="521"/>
      <c r="BM7" s="521"/>
      <c r="BN7" s="521"/>
      <c r="BO7" s="521"/>
      <c r="BP7" s="521"/>
      <c r="BQ7" s="521"/>
      <c r="BR7" s="521"/>
      <c r="BS7" s="521"/>
      <c r="BT7" s="521"/>
      <c r="BU7" s="521"/>
      <c r="BV7" s="521"/>
      <c r="BW7" s="521"/>
      <c r="BX7" s="521"/>
      <c r="BY7" s="521"/>
      <c r="BZ7" s="521"/>
      <c r="CA7" s="521"/>
      <c r="CB7" s="521"/>
      <c r="CC7" s="521"/>
      <c r="CD7" s="521"/>
      <c r="CE7" s="521"/>
      <c r="CF7" s="521"/>
      <c r="CG7" s="521"/>
      <c r="CH7" s="521"/>
      <c r="CI7" s="521"/>
      <c r="CJ7" s="521"/>
      <c r="CK7" s="521"/>
      <c r="CL7" s="521"/>
      <c r="CM7" s="521"/>
      <c r="CN7" s="521"/>
      <c r="CO7" s="521"/>
      <c r="CP7" s="521"/>
      <c r="CQ7" s="521"/>
      <c r="CR7" s="521"/>
      <c r="CS7" s="521"/>
      <c r="CT7" s="521"/>
      <c r="CU7" s="521"/>
      <c r="CV7" s="521"/>
      <c r="CW7" s="521"/>
      <c r="CX7" s="521"/>
      <c r="CY7" s="521"/>
      <c r="CZ7" s="521"/>
      <c r="DA7" s="521"/>
      <c r="DB7" s="521"/>
      <c r="DC7" s="521"/>
      <c r="DD7" s="521"/>
      <c r="DE7" s="521"/>
      <c r="DF7" s="521"/>
      <c r="DG7" s="521"/>
      <c r="DH7" s="521"/>
      <c r="DI7" s="521"/>
      <c r="DJ7" s="521"/>
      <c r="DK7" s="521"/>
      <c r="DL7" s="521"/>
      <c r="DM7" s="521"/>
      <c r="DN7" s="521"/>
      <c r="DO7" s="521"/>
      <c r="DP7" s="521"/>
      <c r="DQ7" s="521"/>
      <c r="DR7" s="521"/>
      <c r="DS7" s="521"/>
      <c r="DT7" s="521"/>
      <c r="DU7" s="521"/>
      <c r="DV7" s="521"/>
      <c r="DW7" s="521"/>
      <c r="DX7" s="521"/>
      <c r="DY7" s="521"/>
      <c r="DZ7" s="521"/>
      <c r="EA7" s="521"/>
      <c r="EB7" s="521"/>
      <c r="EC7" s="521"/>
      <c r="ED7" s="521"/>
      <c r="EE7" s="521"/>
      <c r="EF7" s="521"/>
      <c r="EG7" s="521"/>
      <c r="EH7" s="521"/>
      <c r="EI7" s="521"/>
      <c r="EJ7" s="521"/>
      <c r="EK7" s="521"/>
      <c r="EL7" s="521"/>
      <c r="EM7" s="521"/>
      <c r="EN7" s="521"/>
      <c r="EO7" s="521"/>
      <c r="EP7" s="521"/>
      <c r="EQ7" s="521"/>
      <c r="ER7" s="521"/>
      <c r="ES7" s="521"/>
      <c r="ET7" s="521"/>
      <c r="EU7" s="521"/>
      <c r="EV7" s="521"/>
      <c r="EW7" s="521"/>
      <c r="EX7" s="521"/>
      <c r="EY7" s="521"/>
      <c r="EZ7" s="521"/>
      <c r="FA7" s="521"/>
      <c r="FB7" s="521"/>
      <c r="FC7" s="521"/>
      <c r="FD7" s="521"/>
      <c r="FE7" s="521"/>
      <c r="FF7" s="521"/>
      <c r="FG7" s="521"/>
      <c r="FH7" s="521"/>
      <c r="FI7" s="521"/>
      <c r="FJ7" s="521"/>
      <c r="FK7" s="521"/>
      <c r="FL7" s="521"/>
      <c r="FM7" s="521"/>
      <c r="FN7" s="521"/>
      <c r="FO7" s="521"/>
      <c r="FP7" s="521"/>
      <c r="FQ7" s="521"/>
      <c r="FR7" s="521"/>
      <c r="FS7" s="521"/>
      <c r="FT7" s="521"/>
      <c r="FU7" s="521"/>
      <c r="FV7" s="521"/>
      <c r="FW7" s="521"/>
      <c r="FX7" s="521"/>
      <c r="FY7" s="521"/>
      <c r="FZ7" s="521"/>
      <c r="GA7" s="521"/>
      <c r="GB7" s="521"/>
      <c r="GC7" s="521"/>
      <c r="GD7" s="521"/>
      <c r="GE7" s="521"/>
      <c r="GF7" s="521"/>
      <c r="GG7" s="521"/>
      <c r="GH7" s="521"/>
      <c r="GI7" s="521"/>
      <c r="GJ7" s="521"/>
      <c r="GK7" s="521"/>
      <c r="GL7" s="521"/>
      <c r="GM7" s="521"/>
      <c r="GN7" s="521"/>
      <c r="GO7" s="521"/>
      <c r="GP7" s="521"/>
      <c r="GQ7" s="521"/>
      <c r="GR7" s="521"/>
      <c r="GS7" s="521"/>
      <c r="GT7" s="521"/>
      <c r="GU7" s="521"/>
      <c r="GV7" s="521"/>
      <c r="GW7" s="521"/>
      <c r="GX7" s="521"/>
      <c r="GY7" s="521"/>
      <c r="GZ7" s="521"/>
      <c r="HA7" s="521"/>
      <c r="HB7" s="521"/>
      <c r="HC7" s="521"/>
      <c r="HD7" s="521"/>
      <c r="HE7" s="521"/>
      <c r="HF7" s="521"/>
      <c r="HG7" s="521"/>
      <c r="HH7" s="521"/>
      <c r="HI7" s="521"/>
      <c r="HJ7" s="521"/>
      <c r="HK7" s="521"/>
      <c r="HL7" s="521"/>
      <c r="HM7" s="521"/>
      <c r="HN7" s="521"/>
      <c r="HO7" s="521"/>
      <c r="HP7" s="521"/>
      <c r="HQ7" s="521"/>
      <c r="HR7" s="521"/>
      <c r="HS7" s="521"/>
      <c r="HT7" s="521"/>
      <c r="HU7" s="521"/>
      <c r="HV7" s="521"/>
      <c r="HW7" s="521"/>
      <c r="HX7" s="521"/>
      <c r="HY7" s="521"/>
      <c r="HZ7" s="521"/>
      <c r="IA7" s="521"/>
      <c r="IB7" s="521"/>
      <c r="IC7" s="521"/>
      <c r="ID7" s="521"/>
      <c r="IE7" s="521"/>
      <c r="IF7" s="521"/>
      <c r="IG7" s="521"/>
      <c r="IH7" s="521"/>
      <c r="II7" s="521"/>
      <c r="IJ7" s="521"/>
      <c r="IK7" s="521"/>
      <c r="IL7" s="521"/>
      <c r="IM7" s="521"/>
      <c r="IN7" s="521"/>
    </row>
    <row r="8" spans="1:248" s="508" customFormat="1" ht="11.25" customHeight="1">
      <c r="A8" s="507"/>
      <c r="B8" s="507"/>
      <c r="C8" s="507"/>
      <c r="D8" s="507"/>
      <c r="E8" s="507"/>
      <c r="F8" s="507"/>
      <c r="G8" s="507"/>
      <c r="H8" s="507"/>
      <c r="I8" s="507"/>
      <c r="J8" s="507"/>
      <c r="K8" s="507"/>
      <c r="L8" s="507"/>
      <c r="M8" s="507"/>
      <c r="N8" s="507"/>
      <c r="O8" s="507"/>
      <c r="P8" s="507"/>
      <c r="Q8" s="507"/>
      <c r="R8" s="507"/>
      <c r="S8" s="507"/>
      <c r="T8" s="507"/>
      <c r="U8" s="507"/>
      <c r="V8" s="507"/>
      <c r="W8" s="507"/>
      <c r="X8" s="507"/>
      <c r="Y8" s="507"/>
      <c r="Z8" s="507"/>
      <c r="AA8" s="507"/>
      <c r="AB8" s="507"/>
      <c r="AC8" s="507"/>
      <c r="AD8" s="507"/>
      <c r="AE8" s="507"/>
      <c r="AF8" s="507"/>
      <c r="AG8" s="507"/>
      <c r="AH8" s="481"/>
      <c r="AI8" s="507"/>
      <c r="AJ8" s="507"/>
      <c r="AK8" s="507"/>
      <c r="AL8" s="507"/>
      <c r="AM8" s="507"/>
      <c r="AN8" s="507"/>
      <c r="AO8" s="507"/>
      <c r="AP8" s="507"/>
      <c r="AQ8" s="507"/>
      <c r="AR8" s="507"/>
      <c r="AS8" s="507"/>
      <c r="AT8" s="507"/>
      <c r="AU8" s="507"/>
      <c r="AV8" s="507"/>
      <c r="AW8" s="507"/>
      <c r="AX8" s="507"/>
      <c r="AY8" s="507"/>
      <c r="AZ8" s="507"/>
      <c r="BA8" s="507"/>
      <c r="BB8" s="507"/>
      <c r="BC8" s="507"/>
      <c r="BD8" s="507"/>
      <c r="BE8" s="507"/>
      <c r="BF8" s="507"/>
      <c r="BG8" s="507"/>
      <c r="BH8" s="507"/>
      <c r="BI8" s="507"/>
      <c r="BJ8" s="507"/>
      <c r="BK8" s="507"/>
      <c r="BL8" s="507"/>
      <c r="BM8" s="507"/>
      <c r="BN8" s="507"/>
      <c r="BO8" s="507"/>
      <c r="BP8" s="507"/>
      <c r="BQ8" s="507"/>
      <c r="BR8" s="507"/>
      <c r="BS8" s="507"/>
      <c r="BT8" s="507"/>
      <c r="BU8" s="507"/>
      <c r="BV8" s="507"/>
      <c r="BW8" s="507"/>
      <c r="BX8" s="507"/>
      <c r="BY8" s="507"/>
      <c r="BZ8" s="507"/>
      <c r="CA8" s="507"/>
      <c r="CB8" s="507"/>
      <c r="CC8" s="507"/>
      <c r="CD8" s="507"/>
      <c r="CE8" s="507"/>
      <c r="CF8" s="507"/>
      <c r="CG8" s="507"/>
      <c r="CH8" s="507"/>
      <c r="CI8" s="507"/>
      <c r="CJ8" s="507"/>
      <c r="CK8" s="507"/>
      <c r="CL8" s="507"/>
      <c r="CM8" s="507"/>
      <c r="CN8" s="507"/>
      <c r="CO8" s="507"/>
      <c r="CP8" s="507"/>
      <c r="CQ8" s="507"/>
      <c r="CR8" s="507"/>
      <c r="CS8" s="507"/>
      <c r="CT8" s="507"/>
      <c r="CU8" s="507"/>
      <c r="CV8" s="507"/>
      <c r="CW8" s="507"/>
      <c r="CX8" s="507"/>
      <c r="CY8" s="507"/>
      <c r="CZ8" s="507"/>
      <c r="DA8" s="507"/>
      <c r="DB8" s="507"/>
      <c r="DC8" s="507"/>
      <c r="DD8" s="507"/>
      <c r="DE8" s="507"/>
      <c r="DF8" s="507"/>
      <c r="DG8" s="507"/>
      <c r="DH8" s="507"/>
      <c r="DI8" s="507"/>
      <c r="DJ8" s="507"/>
      <c r="DK8" s="507"/>
      <c r="DL8" s="507"/>
      <c r="DM8" s="507"/>
      <c r="DN8" s="507"/>
      <c r="DO8" s="507"/>
      <c r="DP8" s="507"/>
      <c r="DQ8" s="507"/>
      <c r="DR8" s="507"/>
      <c r="DS8" s="507"/>
      <c r="DT8" s="507"/>
      <c r="DU8" s="507"/>
      <c r="DV8" s="507"/>
      <c r="DW8" s="507"/>
      <c r="DX8" s="507"/>
      <c r="DY8" s="507"/>
      <c r="DZ8" s="507"/>
      <c r="EA8" s="507"/>
      <c r="EB8" s="507"/>
      <c r="EC8" s="507"/>
      <c r="ED8" s="507"/>
      <c r="EE8" s="507"/>
      <c r="EF8" s="507"/>
      <c r="EG8" s="507"/>
      <c r="EH8" s="507"/>
      <c r="EI8" s="507"/>
      <c r="EJ8" s="507"/>
      <c r="EK8" s="507"/>
      <c r="EL8" s="507"/>
      <c r="EM8" s="507"/>
      <c r="EN8" s="507"/>
      <c r="EO8" s="507"/>
      <c r="EP8" s="507"/>
      <c r="EQ8" s="507"/>
      <c r="ER8" s="507"/>
      <c r="ES8" s="507"/>
    </row>
  </sheetData>
  <mergeCells count="20">
    <mergeCell ref="GH6:GS6"/>
    <mergeCell ref="GT6:HE6"/>
    <mergeCell ref="HF6:HQ6"/>
    <mergeCell ref="HR6:IC6"/>
    <mergeCell ref="ID6:IN6"/>
    <mergeCell ref="AL4:ES4"/>
    <mergeCell ref="AI5:ES5"/>
    <mergeCell ref="AS3:ES3"/>
    <mergeCell ref="FV6:GG6"/>
    <mergeCell ref="A6:J6"/>
    <mergeCell ref="K6:AF6"/>
    <mergeCell ref="AG6:AT6"/>
    <mergeCell ref="AU6:BF6"/>
    <mergeCell ref="BG6:BX6"/>
    <mergeCell ref="BY6:CP6"/>
    <mergeCell ref="CQ6:DH6"/>
    <mergeCell ref="DI6:DZ6"/>
    <mergeCell ref="EA6:ES6"/>
    <mergeCell ref="EY6:FI6"/>
    <mergeCell ref="FJ6:FU6"/>
  </mergeCells>
  <pageMargins left="0.78740157480314965" right="0.39370078740157483" top="0.78740157480314965" bottom="0.78740157480314965" header="0" footer="0"/>
  <pageSetup paperSize="9" orientation="landscape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>
  <sheetPr codeName="Лист37"/>
  <dimension ref="A1:IP90"/>
  <sheetViews>
    <sheetView view="pageBreakPreview" topLeftCell="A39" zoomScaleNormal="100" zoomScaleSheetLayoutView="100" workbookViewId="0">
      <selection activeCell="EG71" sqref="EG71"/>
    </sheetView>
  </sheetViews>
  <sheetFormatPr defaultColWidth="0.85546875" defaultRowHeight="11.25" customHeight="1"/>
  <cols>
    <col min="1" max="27" width="0.85546875" style="481"/>
    <col min="28" max="28" width="0.85546875" style="481" customWidth="1"/>
    <col min="29" max="37" width="0.85546875" style="481"/>
    <col min="38" max="38" width="0.85546875" style="481" customWidth="1"/>
    <col min="39" max="43" width="0.85546875" style="481"/>
    <col min="44" max="44" width="1.28515625" style="481" customWidth="1"/>
    <col min="45" max="58" width="0.85546875" style="481"/>
    <col min="59" max="59" width="7.5703125" style="481" customWidth="1"/>
    <col min="60" max="61" width="0.85546875" style="481" customWidth="1"/>
    <col min="62" max="77" width="0.85546875" style="481"/>
    <col min="78" max="78" width="0.140625" style="481" customWidth="1"/>
    <col min="79" max="93" width="0.85546875" style="481"/>
    <col min="94" max="94" width="0.7109375" style="481" customWidth="1"/>
    <col min="95" max="95" width="0.85546875" style="481" hidden="1" customWidth="1"/>
    <col min="96" max="96" width="5.140625" style="481" customWidth="1"/>
    <col min="97" max="112" width="0.85546875" style="481"/>
    <col min="113" max="113" width="0.42578125" style="481" customWidth="1"/>
    <col min="114" max="114" width="0.85546875" style="481" hidden="1" customWidth="1"/>
    <col min="115" max="121" width="0.85546875" style="481"/>
    <col min="122" max="122" width="1.85546875" style="481" bestFit="1" customWidth="1"/>
    <col min="123" max="131" width="0.85546875" style="481"/>
    <col min="132" max="132" width="0.85546875" style="481" customWidth="1"/>
    <col min="133" max="149" width="0.85546875" style="481"/>
    <col min="150" max="150" width="0.85546875" style="481" customWidth="1"/>
    <col min="151" max="151" width="16.140625" style="481" customWidth="1"/>
    <col min="152" max="152" width="10.140625" style="481" customWidth="1"/>
    <col min="153" max="153" width="8.5703125" style="481" customWidth="1"/>
    <col min="154" max="154" width="12.28515625" style="481" customWidth="1"/>
    <col min="155" max="155" width="11.140625" style="481" customWidth="1"/>
    <col min="156" max="175" width="0.85546875" style="481"/>
    <col min="176" max="176" width="0.85546875" style="481" customWidth="1"/>
    <col min="177" max="177" width="0.85546875" style="481" hidden="1" customWidth="1"/>
    <col min="178" max="211" width="0.85546875" style="481"/>
    <col min="212" max="212" width="0.42578125" style="481" customWidth="1"/>
    <col min="213" max="223" width="0.85546875" style="481"/>
    <col min="224" max="224" width="0.140625" style="481" customWidth="1"/>
    <col min="225" max="247" width="0.85546875" style="481"/>
    <col min="248" max="248" width="1.5703125" style="481" customWidth="1"/>
    <col min="249" max="250" width="0.85546875" style="481" customWidth="1"/>
    <col min="251" max="16384" width="0.85546875" style="481"/>
  </cols>
  <sheetData>
    <row r="1" spans="1:249" ht="11.25" customHeight="1">
      <c r="A1" s="479"/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0"/>
      <c r="AC1" s="480"/>
      <c r="AD1" s="480"/>
      <c r="AE1" s="480"/>
      <c r="AF1" s="480"/>
      <c r="AG1" s="480"/>
      <c r="AH1" s="480"/>
      <c r="AI1" s="480"/>
      <c r="AJ1" s="480"/>
      <c r="AK1" s="480"/>
      <c r="AL1" s="480"/>
      <c r="AM1" s="480"/>
      <c r="AN1" s="480"/>
      <c r="AO1" s="480"/>
      <c r="AP1" s="480"/>
      <c r="AQ1" s="480"/>
      <c r="AR1" s="480"/>
      <c r="AS1" s="480"/>
      <c r="AT1" s="480"/>
      <c r="AU1" s="480"/>
      <c r="AV1" s="480"/>
      <c r="AW1" s="480"/>
      <c r="AX1" s="480"/>
      <c r="AY1" s="480"/>
      <c r="AZ1" s="480"/>
      <c r="BA1" s="480"/>
      <c r="BB1" s="480"/>
      <c r="BC1" s="480"/>
      <c r="BD1" s="480"/>
      <c r="BE1" s="480"/>
      <c r="BF1" s="480"/>
      <c r="BG1" s="480"/>
      <c r="BH1" s="480"/>
      <c r="BI1" s="480"/>
      <c r="BJ1" s="480"/>
      <c r="BK1" s="480"/>
      <c r="BL1" s="480"/>
      <c r="BM1" s="480"/>
      <c r="BN1" s="480"/>
      <c r="BO1" s="480"/>
      <c r="BP1" s="480"/>
      <c r="BQ1" s="480"/>
      <c r="BR1" s="480"/>
      <c r="BS1" s="480"/>
      <c r="BT1" s="480"/>
      <c r="BU1" s="480"/>
      <c r="BV1" s="480"/>
      <c r="BW1" s="480"/>
      <c r="BX1" s="480"/>
      <c r="BY1" s="480"/>
      <c r="BZ1" s="480"/>
      <c r="CA1" s="480"/>
      <c r="CB1" s="480"/>
      <c r="CC1" s="480"/>
      <c r="CD1" s="480"/>
      <c r="CE1" s="480"/>
      <c r="CF1" s="480"/>
      <c r="CG1" s="480"/>
      <c r="CH1" s="480"/>
      <c r="CI1" s="480"/>
      <c r="CJ1" s="480"/>
      <c r="CK1" s="480"/>
      <c r="CL1" s="480"/>
      <c r="CM1" s="480"/>
      <c r="CN1" s="480"/>
      <c r="CO1" s="480"/>
      <c r="CP1" s="480"/>
      <c r="CQ1" s="480"/>
      <c r="CR1" s="480"/>
      <c r="CS1" s="480"/>
      <c r="CT1" s="480"/>
      <c r="CU1" s="480"/>
      <c r="CV1" s="480"/>
      <c r="CW1" s="480"/>
      <c r="CX1" s="480"/>
      <c r="CY1" s="480"/>
      <c r="CZ1" s="480"/>
      <c r="DA1" s="480"/>
      <c r="DB1" s="480"/>
      <c r="DC1" s="480"/>
      <c r="DD1" s="480"/>
      <c r="DE1" s="480"/>
      <c r="DF1" s="480"/>
      <c r="DG1" s="480"/>
      <c r="DH1" s="480"/>
      <c r="DI1" s="480"/>
      <c r="DJ1" s="480"/>
      <c r="DK1" s="480"/>
      <c r="DL1" s="480"/>
      <c r="DM1" s="480"/>
      <c r="DN1" s="480"/>
      <c r="DO1" s="480"/>
      <c r="DP1" s="480"/>
      <c r="DQ1" s="480"/>
      <c r="DR1" s="480"/>
      <c r="DS1" s="480"/>
      <c r="DT1" s="480"/>
      <c r="DU1" s="480"/>
      <c r="DV1" s="480"/>
      <c r="DW1" s="480"/>
      <c r="DX1" s="480"/>
      <c r="DY1" s="480"/>
      <c r="DZ1" s="480"/>
      <c r="EA1" s="480"/>
      <c r="EB1" s="480"/>
      <c r="EC1" s="480"/>
      <c r="ED1" s="480"/>
      <c r="EE1" s="480"/>
      <c r="EF1" s="1823" t="s">
        <v>376</v>
      </c>
      <c r="EG1" s="1824"/>
      <c r="EH1" s="1824"/>
      <c r="EI1" s="1824"/>
      <c r="EJ1" s="1824"/>
      <c r="EK1" s="1824"/>
      <c r="EL1" s="1824"/>
      <c r="EM1" s="1824"/>
      <c r="EN1" s="1824"/>
      <c r="EO1" s="1824"/>
      <c r="EP1" s="1824"/>
      <c r="EQ1" s="1824"/>
      <c r="ER1" s="1824"/>
      <c r="ES1" s="1824"/>
      <c r="ET1" s="1824"/>
      <c r="EU1" s="925"/>
      <c r="EV1" s="925"/>
      <c r="EW1" s="925"/>
      <c r="EX1" s="925"/>
      <c r="EY1" s="925"/>
      <c r="EZ1" s="925"/>
      <c r="FA1" s="925"/>
      <c r="FB1" s="925"/>
      <c r="FC1" s="925"/>
      <c r="FD1" s="925"/>
      <c r="FE1" s="925"/>
      <c r="FF1" s="925"/>
      <c r="FG1" s="925"/>
      <c r="FH1" s="925"/>
      <c r="FI1" s="925"/>
      <c r="FJ1" s="925"/>
      <c r="FK1" s="925"/>
      <c r="FL1" s="925"/>
      <c r="FM1" s="925"/>
      <c r="FN1" s="925"/>
      <c r="FO1" s="925"/>
      <c r="FP1" s="925"/>
      <c r="FQ1" s="925"/>
      <c r="FR1" s="925"/>
      <c r="FS1" s="925"/>
      <c r="FT1" s="925"/>
      <c r="FU1" s="925"/>
      <c r="FV1" s="925"/>
      <c r="FW1" s="925"/>
      <c r="FX1" s="925"/>
      <c r="FY1" s="925"/>
      <c r="FZ1" s="925"/>
      <c r="GA1" s="925"/>
      <c r="GB1" s="925"/>
      <c r="GC1" s="925"/>
      <c r="GD1" s="925"/>
      <c r="GE1" s="925"/>
      <c r="GF1" s="925"/>
      <c r="GG1" s="925"/>
      <c r="GH1" s="925"/>
      <c r="GI1" s="925"/>
      <c r="GJ1" s="925"/>
      <c r="GK1" s="925"/>
      <c r="GL1" s="925"/>
      <c r="GM1" s="925"/>
      <c r="GN1" s="925"/>
      <c r="GO1" s="925"/>
      <c r="GP1" s="925"/>
      <c r="GQ1" s="925"/>
      <c r="GR1" s="925"/>
      <c r="GS1" s="925"/>
      <c r="GT1" s="925"/>
      <c r="GU1" s="925"/>
      <c r="GV1" s="925"/>
      <c r="GW1" s="925"/>
      <c r="GX1" s="925"/>
      <c r="GY1" s="925"/>
      <c r="GZ1" s="925"/>
      <c r="HA1" s="925"/>
      <c r="HB1" s="925"/>
      <c r="HC1" s="925"/>
      <c r="HD1" s="925"/>
      <c r="HE1" s="925"/>
      <c r="HF1" s="925"/>
      <c r="HG1" s="925"/>
      <c r="HH1" s="925"/>
      <c r="HI1" s="925"/>
      <c r="HJ1" s="925"/>
      <c r="HK1" s="925"/>
      <c r="HL1" s="925"/>
      <c r="HM1" s="925"/>
      <c r="HN1" s="925"/>
      <c r="HO1" s="925"/>
      <c r="HP1" s="925"/>
      <c r="HQ1" s="925"/>
      <c r="HR1" s="925"/>
      <c r="HS1" s="925"/>
      <c r="HT1" s="925"/>
      <c r="HU1" s="925"/>
      <c r="HV1" s="925"/>
      <c r="HW1" s="925"/>
      <c r="HX1" s="925"/>
      <c r="HY1" s="925"/>
      <c r="HZ1" s="925"/>
      <c r="IA1" s="925"/>
      <c r="IB1" s="925"/>
      <c r="IC1" s="925"/>
      <c r="ID1" s="925"/>
      <c r="IE1" s="925"/>
      <c r="IF1" s="925"/>
      <c r="IG1" s="925"/>
      <c r="IH1" s="925"/>
      <c r="II1" s="925"/>
      <c r="IJ1" s="925"/>
      <c r="IK1" s="925"/>
      <c r="IL1" s="925"/>
      <c r="IM1" s="925"/>
      <c r="IN1" s="925"/>
      <c r="IO1" s="925"/>
    </row>
    <row r="2" spans="1:249" ht="23.25" customHeight="1">
      <c r="A2" s="480"/>
      <c r="B2" s="480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0"/>
      <c r="AD2" s="480"/>
      <c r="AE2" s="480"/>
      <c r="AF2" s="480"/>
      <c r="AG2" s="480"/>
      <c r="AH2" s="480"/>
      <c r="AI2" s="480"/>
      <c r="AJ2" s="480"/>
      <c r="AK2" s="480"/>
      <c r="AL2" s="480"/>
      <c r="AM2" s="480"/>
      <c r="AN2" s="480"/>
      <c r="AO2" s="480"/>
      <c r="AP2" s="480"/>
      <c r="AQ2" s="480"/>
      <c r="AR2" s="480"/>
      <c r="AS2" s="480"/>
      <c r="AT2" s="480"/>
      <c r="AU2" s="480"/>
      <c r="AV2" s="480"/>
      <c r="AW2" s="480"/>
      <c r="AX2" s="480"/>
      <c r="AY2" s="480"/>
      <c r="AZ2" s="480"/>
      <c r="BA2" s="480"/>
      <c r="BB2" s="480"/>
      <c r="BC2" s="480"/>
      <c r="BD2" s="480"/>
      <c r="BE2" s="480"/>
      <c r="BF2" s="480"/>
      <c r="BG2" s="480"/>
      <c r="BH2" s="480"/>
      <c r="BI2" s="480"/>
      <c r="BJ2" s="480"/>
      <c r="BK2" s="480"/>
      <c r="BL2" s="480"/>
      <c r="BM2" s="480"/>
      <c r="BN2" s="480"/>
      <c r="BO2" s="480"/>
      <c r="BP2" s="480"/>
      <c r="BQ2" s="480"/>
      <c r="BR2" s="480"/>
      <c r="BS2" s="480"/>
      <c r="BT2" s="480"/>
      <c r="BU2" s="480"/>
      <c r="BV2" s="480"/>
      <c r="BW2" s="480"/>
      <c r="BX2" s="480"/>
      <c r="BY2" s="480"/>
      <c r="BZ2" s="480"/>
      <c r="CA2" s="480"/>
      <c r="CB2" s="480"/>
      <c r="CC2" s="480"/>
      <c r="CD2" s="480"/>
      <c r="CE2" s="480"/>
      <c r="CF2" s="480"/>
      <c r="CG2" s="480"/>
      <c r="CH2" s="480"/>
      <c r="CI2" s="480"/>
      <c r="CJ2" s="480"/>
      <c r="CK2" s="480"/>
      <c r="CL2" s="480"/>
      <c r="CM2" s="480"/>
      <c r="CN2" s="480"/>
      <c r="CO2" s="480"/>
      <c r="CP2" s="480"/>
      <c r="CQ2" s="480"/>
      <c r="CR2" s="480"/>
      <c r="CS2" s="480"/>
      <c r="CT2" s="480"/>
      <c r="CU2" s="480"/>
      <c r="CV2" s="480"/>
      <c r="CW2" s="480"/>
      <c r="CX2" s="480"/>
      <c r="CY2" s="480"/>
      <c r="CZ2" s="480"/>
      <c r="DA2" s="480"/>
      <c r="DB2" s="480"/>
      <c r="DC2" s="480"/>
      <c r="DD2" s="480"/>
      <c r="DE2" s="480"/>
      <c r="DF2" s="480"/>
      <c r="DG2" s="480"/>
      <c r="DH2" s="480"/>
      <c r="DI2" s="480"/>
      <c r="DJ2" s="480"/>
      <c r="DK2" s="480"/>
      <c r="DL2" s="480"/>
      <c r="DM2" s="480"/>
      <c r="DN2" s="480"/>
      <c r="DO2" s="480"/>
      <c r="DP2" s="480"/>
      <c r="DQ2" s="480"/>
      <c r="DR2" s="480"/>
      <c r="DS2" s="480"/>
      <c r="DT2" s="480"/>
      <c r="DU2" s="480"/>
      <c r="DV2" s="480"/>
      <c r="DW2" s="1823" t="s">
        <v>377</v>
      </c>
      <c r="DX2" s="1824"/>
      <c r="DY2" s="1824"/>
      <c r="DZ2" s="1824"/>
      <c r="EA2" s="1824"/>
      <c r="EB2" s="1824"/>
      <c r="EC2" s="1824"/>
      <c r="ED2" s="1824"/>
      <c r="EE2" s="1824"/>
      <c r="EF2" s="1824"/>
      <c r="EG2" s="1824"/>
      <c r="EH2" s="1824"/>
      <c r="EI2" s="1824"/>
      <c r="EJ2" s="1824"/>
      <c r="EK2" s="1824"/>
      <c r="EL2" s="1824"/>
      <c r="EM2" s="1824"/>
      <c r="EN2" s="1824"/>
      <c r="EO2" s="1824"/>
      <c r="EP2" s="1824"/>
      <c r="EQ2" s="1824"/>
      <c r="ER2" s="1824"/>
      <c r="ES2" s="1824"/>
      <c r="ET2" s="1824"/>
      <c r="EU2" s="925"/>
      <c r="EV2" s="925"/>
      <c r="EW2" s="925"/>
      <c r="EX2" s="925"/>
      <c r="EY2" s="925"/>
      <c r="EZ2" s="925"/>
      <c r="FA2" s="925"/>
      <c r="FB2" s="925"/>
      <c r="FC2" s="925"/>
      <c r="FD2" s="925"/>
      <c r="FE2" s="925"/>
      <c r="FF2" s="925"/>
      <c r="FG2" s="925"/>
      <c r="FH2" s="925"/>
      <c r="FI2" s="925"/>
      <c r="FJ2" s="925"/>
      <c r="FK2" s="925"/>
      <c r="FL2" s="925"/>
      <c r="FM2" s="925"/>
      <c r="FN2" s="925"/>
      <c r="FO2" s="925"/>
      <c r="FP2" s="925"/>
      <c r="FQ2" s="925"/>
      <c r="FR2" s="925"/>
      <c r="FS2" s="925"/>
      <c r="FT2" s="925"/>
      <c r="FU2" s="925"/>
      <c r="FV2" s="925"/>
      <c r="FW2" s="925"/>
      <c r="FX2" s="925"/>
      <c r="FY2" s="925"/>
      <c r="FZ2" s="925"/>
      <c r="GA2" s="925"/>
      <c r="GB2" s="925"/>
      <c r="GC2" s="925"/>
      <c r="GD2" s="925"/>
      <c r="GE2" s="925"/>
      <c r="GF2" s="925"/>
      <c r="GG2" s="925"/>
      <c r="GH2" s="925"/>
      <c r="GI2" s="925"/>
      <c r="GJ2" s="925"/>
      <c r="GK2" s="925"/>
      <c r="GL2" s="925"/>
      <c r="GM2" s="925"/>
      <c r="GN2" s="925"/>
      <c r="GO2" s="925"/>
      <c r="GP2" s="925"/>
      <c r="GQ2" s="925"/>
      <c r="GR2" s="925"/>
      <c r="GS2" s="925"/>
      <c r="GT2" s="925"/>
      <c r="GU2" s="925"/>
      <c r="GV2" s="925"/>
      <c r="GW2" s="925"/>
      <c r="GX2" s="925"/>
      <c r="GY2" s="925"/>
      <c r="GZ2" s="925"/>
      <c r="HA2" s="925"/>
      <c r="HB2" s="925"/>
      <c r="HC2" s="925"/>
      <c r="HD2" s="925"/>
      <c r="HE2" s="925"/>
      <c r="HF2" s="925"/>
      <c r="HG2" s="925"/>
      <c r="HH2" s="925"/>
      <c r="HI2" s="925"/>
      <c r="HJ2" s="925"/>
      <c r="HK2" s="925"/>
      <c r="HL2" s="925"/>
      <c r="HM2" s="925"/>
      <c r="HN2" s="925"/>
      <c r="HO2" s="925"/>
      <c r="HP2" s="925"/>
      <c r="HQ2" s="925"/>
      <c r="HR2" s="925"/>
      <c r="HS2" s="925"/>
      <c r="HT2" s="925"/>
      <c r="HU2" s="925"/>
      <c r="HV2" s="925"/>
      <c r="HW2" s="925"/>
      <c r="HX2" s="925"/>
      <c r="HY2" s="925"/>
      <c r="HZ2" s="925"/>
      <c r="IA2" s="925"/>
      <c r="IB2" s="925"/>
      <c r="IC2" s="925"/>
      <c r="ID2" s="925"/>
      <c r="IE2" s="925"/>
      <c r="IF2" s="925"/>
      <c r="IG2" s="925"/>
      <c r="IH2" s="925"/>
      <c r="II2" s="925"/>
      <c r="IJ2" s="925"/>
      <c r="IK2" s="925"/>
      <c r="IL2" s="925"/>
      <c r="IM2" s="925"/>
      <c r="IN2" s="925"/>
      <c r="IO2" s="925"/>
    </row>
    <row r="3" spans="1:249" ht="11.25" customHeight="1">
      <c r="A3" s="480"/>
      <c r="B3" s="480"/>
      <c r="C3" s="480"/>
      <c r="D3" s="480"/>
      <c r="E3" s="480"/>
      <c r="F3" s="480"/>
      <c r="G3" s="480"/>
      <c r="H3" s="480"/>
      <c r="I3" s="480"/>
      <c r="J3" s="480"/>
      <c r="K3" s="480"/>
      <c r="L3" s="480"/>
      <c r="M3" s="480"/>
      <c r="N3" s="480"/>
      <c r="O3" s="480"/>
      <c r="P3" s="480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0"/>
      <c r="AC3" s="480"/>
      <c r="AD3" s="480"/>
      <c r="AE3" s="480"/>
      <c r="AF3" s="480"/>
      <c r="AG3" s="480"/>
      <c r="AH3" s="480"/>
      <c r="AI3" s="480"/>
      <c r="AJ3" s="480"/>
      <c r="AK3" s="480"/>
      <c r="AL3" s="480"/>
      <c r="AM3" s="480"/>
      <c r="AN3" s="480"/>
      <c r="AO3" s="480"/>
      <c r="AP3" s="480"/>
      <c r="AQ3" s="480"/>
      <c r="AR3" s="480"/>
      <c r="AS3" s="480"/>
      <c r="AT3" s="480"/>
      <c r="AU3" s="480"/>
      <c r="AV3" s="480"/>
      <c r="AW3" s="480"/>
      <c r="AX3" s="480"/>
      <c r="AY3" s="480"/>
      <c r="AZ3" s="480"/>
      <c r="BA3" s="480"/>
      <c r="BB3" s="480"/>
      <c r="BC3" s="480"/>
      <c r="BD3" s="480"/>
      <c r="BE3" s="480"/>
      <c r="BF3" s="480"/>
      <c r="BG3" s="480"/>
      <c r="BH3" s="480"/>
      <c r="BI3" s="480"/>
      <c r="BJ3" s="480"/>
      <c r="BK3" s="480"/>
      <c r="BL3" s="480"/>
      <c r="BM3" s="480"/>
      <c r="BN3" s="480"/>
      <c r="BO3" s="480"/>
      <c r="BP3" s="480"/>
      <c r="BQ3" s="480"/>
      <c r="BR3" s="480"/>
      <c r="BS3" s="480"/>
      <c r="BT3" s="480"/>
      <c r="BU3" s="480"/>
      <c r="BV3" s="480"/>
      <c r="BW3" s="480"/>
      <c r="BX3" s="480"/>
      <c r="BY3" s="480"/>
      <c r="BZ3" s="480"/>
      <c r="CA3" s="480"/>
      <c r="CB3" s="480"/>
      <c r="CC3" s="480"/>
      <c r="CD3" s="480"/>
      <c r="CE3" s="480"/>
      <c r="CF3" s="480"/>
      <c r="CG3" s="480"/>
      <c r="CH3" s="480"/>
      <c r="CI3" s="480"/>
      <c r="CJ3" s="480"/>
      <c r="CK3" s="480"/>
      <c r="CL3" s="480"/>
      <c r="CM3" s="480"/>
      <c r="CN3" s="480"/>
      <c r="CO3" s="480"/>
      <c r="CP3" s="480"/>
      <c r="CQ3" s="480"/>
      <c r="CR3" s="480"/>
      <c r="CS3" s="480"/>
      <c r="CT3" s="480"/>
      <c r="CU3" s="480"/>
      <c r="CV3" s="480"/>
      <c r="CW3" s="480"/>
      <c r="CX3" s="480"/>
      <c r="CY3" s="480"/>
      <c r="CZ3" s="480"/>
      <c r="DA3" s="480"/>
      <c r="DB3" s="480"/>
      <c r="DC3" s="480"/>
      <c r="DD3" s="480"/>
      <c r="DE3" s="480"/>
      <c r="DF3" s="480"/>
      <c r="DG3" s="480"/>
      <c r="DH3" s="480"/>
      <c r="DI3" s="480"/>
      <c r="DJ3" s="480"/>
      <c r="DK3" s="480"/>
      <c r="DL3" s="480"/>
      <c r="DM3" s="480"/>
      <c r="DN3" s="480"/>
      <c r="DO3" s="480"/>
      <c r="DP3" s="480"/>
      <c r="DQ3" s="480"/>
      <c r="DR3" s="480"/>
      <c r="DS3" s="480"/>
      <c r="DT3" s="480"/>
      <c r="DU3" s="480"/>
      <c r="DV3" s="480"/>
      <c r="DW3" s="480"/>
      <c r="DX3" s="480"/>
      <c r="DY3" s="480"/>
      <c r="DZ3" s="480"/>
      <c r="EA3" s="480"/>
      <c r="EB3" s="480"/>
      <c r="EC3" s="480"/>
      <c r="ED3" s="480"/>
      <c r="EE3" s="480"/>
      <c r="EF3" s="480"/>
      <c r="EG3" s="480"/>
      <c r="EH3" s="480"/>
      <c r="EI3" s="480"/>
      <c r="EJ3" s="480"/>
      <c r="EK3" s="480"/>
      <c r="EL3" s="480"/>
      <c r="EM3" s="480"/>
      <c r="EN3" s="480"/>
      <c r="EO3" s="480"/>
      <c r="EP3" s="480"/>
      <c r="EQ3" s="480"/>
      <c r="ER3" s="480"/>
      <c r="ES3" s="480"/>
      <c r="ET3" s="480"/>
      <c r="EU3" s="925"/>
      <c r="EV3" s="925"/>
      <c r="EW3" s="925"/>
      <c r="EX3" s="925"/>
      <c r="EY3" s="925"/>
      <c r="EZ3" s="925"/>
      <c r="FA3" s="925"/>
      <c r="FB3" s="925"/>
      <c r="FC3" s="925"/>
      <c r="FD3" s="925"/>
      <c r="FE3" s="925"/>
      <c r="FF3" s="925"/>
      <c r="FG3" s="925"/>
      <c r="FH3" s="925"/>
      <c r="FI3" s="925"/>
      <c r="FJ3" s="925"/>
      <c r="FK3" s="925"/>
      <c r="FL3" s="925"/>
      <c r="FM3" s="925"/>
      <c r="FN3" s="925"/>
      <c r="FO3" s="925"/>
      <c r="FP3" s="925"/>
      <c r="FQ3" s="925"/>
      <c r="FR3" s="925"/>
      <c r="FS3" s="925"/>
      <c r="FT3" s="925"/>
      <c r="FU3" s="925"/>
      <c r="FV3" s="925"/>
      <c r="FW3" s="925"/>
      <c r="FX3" s="925"/>
      <c r="FY3" s="925"/>
      <c r="FZ3" s="925"/>
      <c r="GA3" s="925"/>
      <c r="GB3" s="925"/>
      <c r="GC3" s="925"/>
      <c r="GD3" s="925"/>
      <c r="GE3" s="925"/>
      <c r="GF3" s="925"/>
      <c r="GG3" s="925"/>
      <c r="GH3" s="925"/>
      <c r="GI3" s="925"/>
      <c r="GJ3" s="925"/>
      <c r="GK3" s="925"/>
      <c r="GL3" s="925"/>
      <c r="GM3" s="925"/>
      <c r="GN3" s="925"/>
      <c r="GO3" s="925"/>
      <c r="GP3" s="925"/>
      <c r="GQ3" s="925"/>
      <c r="GR3" s="925"/>
      <c r="GS3" s="925"/>
      <c r="GT3" s="925"/>
      <c r="GU3" s="925"/>
      <c r="GV3" s="925"/>
      <c r="GW3" s="925"/>
      <c r="GX3" s="925"/>
      <c r="GY3" s="925"/>
      <c r="GZ3" s="925"/>
      <c r="HA3" s="925"/>
      <c r="HB3" s="925"/>
      <c r="HC3" s="925"/>
      <c r="HD3" s="925"/>
      <c r="HE3" s="925"/>
      <c r="HF3" s="925"/>
      <c r="HG3" s="925"/>
      <c r="HH3" s="925"/>
      <c r="HI3" s="925"/>
      <c r="HJ3" s="925"/>
      <c r="HK3" s="925"/>
      <c r="HL3" s="925"/>
      <c r="HM3" s="925"/>
      <c r="HN3" s="925"/>
      <c r="HO3" s="925"/>
      <c r="HP3" s="925"/>
      <c r="HQ3" s="925"/>
      <c r="HR3" s="925"/>
      <c r="HS3" s="925"/>
      <c r="HT3" s="925"/>
      <c r="HU3" s="925"/>
      <c r="HV3" s="925"/>
      <c r="HW3" s="925"/>
      <c r="HX3" s="925"/>
      <c r="HY3" s="925"/>
      <c r="HZ3" s="925"/>
      <c r="IA3" s="925"/>
      <c r="IB3" s="925"/>
      <c r="IC3" s="925"/>
      <c r="ID3" s="925"/>
      <c r="IE3" s="925"/>
      <c r="IF3" s="925"/>
      <c r="IG3" s="925"/>
      <c r="IH3" s="925"/>
      <c r="II3" s="925"/>
      <c r="IJ3" s="925"/>
      <c r="IK3" s="925"/>
      <c r="IL3" s="925"/>
      <c r="IM3" s="925"/>
      <c r="IN3" s="925"/>
      <c r="IO3" s="925"/>
    </row>
    <row r="4" spans="1:249" ht="15" customHeight="1">
      <c r="A4" s="1809" t="s">
        <v>342</v>
      </c>
      <c r="B4" s="1809"/>
      <c r="C4" s="1809"/>
      <c r="D4" s="1809"/>
      <c r="E4" s="1809"/>
      <c r="F4" s="1809"/>
      <c r="G4" s="1809"/>
      <c r="H4" s="1809"/>
      <c r="I4" s="1809"/>
      <c r="J4" s="1809"/>
      <c r="K4" s="1809"/>
      <c r="L4" s="1809"/>
      <c r="M4" s="1809"/>
      <c r="N4" s="1809"/>
      <c r="O4" s="1809"/>
      <c r="P4" s="1809"/>
      <c r="Q4" s="1809"/>
      <c r="R4" s="1809"/>
      <c r="S4" s="1809"/>
      <c r="T4" s="1809"/>
      <c r="U4" s="1809"/>
      <c r="V4" s="1809"/>
      <c r="W4" s="1809"/>
      <c r="X4" s="1809"/>
      <c r="Y4" s="1809"/>
      <c r="Z4" s="1809"/>
      <c r="AA4" s="1809"/>
      <c r="AB4" s="1809"/>
      <c r="AC4" s="1809"/>
      <c r="AD4" s="1809"/>
      <c r="AE4" s="1809"/>
      <c r="AF4" s="1809"/>
      <c r="AG4" s="1809"/>
      <c r="AH4" s="1809"/>
      <c r="AI4" s="1809"/>
      <c r="AJ4" s="1809"/>
      <c r="AK4" s="1809"/>
      <c r="AL4" s="1809"/>
      <c r="AM4" s="1809"/>
      <c r="AN4" s="1809"/>
      <c r="AO4" s="1809"/>
      <c r="AP4" s="1809"/>
      <c r="AQ4" s="1809"/>
      <c r="AR4" s="1809"/>
      <c r="AS4" s="1809"/>
      <c r="AT4" s="1809"/>
      <c r="AU4" s="1809"/>
      <c r="AV4" s="1809"/>
      <c r="AW4" s="1809"/>
      <c r="AX4" s="1809"/>
      <c r="AY4" s="1809"/>
      <c r="AZ4" s="1809"/>
      <c r="BA4" s="1809"/>
      <c r="BB4" s="1809"/>
      <c r="BC4" s="1809"/>
      <c r="BD4" s="1809"/>
      <c r="BE4" s="1809"/>
      <c r="BF4" s="1809"/>
      <c r="BG4" s="1809"/>
      <c r="BH4" s="1809"/>
      <c r="BI4" s="1809"/>
      <c r="BJ4" s="1809"/>
      <c r="BK4" s="1809"/>
      <c r="BL4" s="1809"/>
      <c r="BM4" s="1809"/>
      <c r="BN4" s="1809"/>
      <c r="BO4" s="1809"/>
      <c r="BP4" s="1809"/>
      <c r="BQ4" s="1809"/>
      <c r="BR4" s="1809"/>
      <c r="BS4" s="1809"/>
      <c r="BT4" s="1809"/>
      <c r="BU4" s="1809"/>
      <c r="BV4" s="1809"/>
      <c r="BW4" s="1809"/>
      <c r="BX4" s="1809"/>
      <c r="BY4" s="1809"/>
      <c r="BZ4" s="1809"/>
      <c r="CA4" s="1809"/>
      <c r="CB4" s="1809"/>
      <c r="CC4" s="1809"/>
      <c r="CD4" s="1809"/>
      <c r="CE4" s="1809"/>
      <c r="CF4" s="1809"/>
      <c r="CG4" s="1809"/>
      <c r="CH4" s="1809"/>
      <c r="CI4" s="1809"/>
      <c r="CJ4" s="1809"/>
      <c r="CK4" s="1809"/>
      <c r="CL4" s="1809"/>
      <c r="CM4" s="1809"/>
      <c r="CN4" s="1809"/>
      <c r="CO4" s="1809"/>
      <c r="CP4" s="1809"/>
      <c r="CQ4" s="1809"/>
      <c r="CR4" s="1809"/>
      <c r="CS4" s="1809"/>
      <c r="CT4" s="1809"/>
      <c r="CU4" s="1809"/>
      <c r="CV4" s="1809"/>
      <c r="CW4" s="1809"/>
      <c r="CX4" s="1809"/>
      <c r="CY4" s="1809"/>
      <c r="CZ4" s="1809"/>
      <c r="DA4" s="1809"/>
      <c r="DB4" s="1809"/>
      <c r="DC4" s="1809"/>
      <c r="DD4" s="1809"/>
      <c r="DE4" s="1809"/>
      <c r="DF4" s="1809"/>
      <c r="DG4" s="1809"/>
      <c r="DH4" s="1809"/>
      <c r="DI4" s="1809"/>
      <c r="DJ4" s="1809"/>
      <c r="DK4" s="1809"/>
      <c r="DL4" s="1809"/>
      <c r="DM4" s="1809"/>
      <c r="DN4" s="1809"/>
      <c r="DO4" s="1809"/>
      <c r="DP4" s="1809"/>
      <c r="DQ4" s="1809"/>
      <c r="DR4" s="1809"/>
      <c r="DS4" s="1809"/>
      <c r="DT4" s="1809"/>
      <c r="DU4" s="1809"/>
      <c r="DV4" s="1809"/>
      <c r="DW4" s="1809"/>
      <c r="DX4" s="1809"/>
      <c r="DY4" s="1809"/>
      <c r="DZ4" s="1809"/>
      <c r="EA4" s="1809"/>
      <c r="EB4" s="1809"/>
      <c r="EC4" s="1809"/>
      <c r="ED4" s="1809"/>
      <c r="EE4" s="1809"/>
      <c r="EF4" s="1809"/>
      <c r="EG4" s="1809"/>
      <c r="EH4" s="1809"/>
      <c r="EI4" s="1809"/>
      <c r="EJ4" s="1809"/>
      <c r="EK4" s="1809"/>
      <c r="EL4" s="1809"/>
      <c r="EM4" s="1809"/>
      <c r="EN4" s="1809"/>
      <c r="EO4" s="1809"/>
      <c r="EP4" s="1809"/>
      <c r="EQ4" s="1809"/>
      <c r="ER4" s="1809"/>
      <c r="ES4" s="1809"/>
      <c r="ET4" s="1809"/>
      <c r="EU4" s="925"/>
      <c r="EV4" s="925"/>
      <c r="EW4" s="925"/>
      <c r="EX4" s="925"/>
      <c r="EY4" s="925"/>
      <c r="EZ4" s="925"/>
      <c r="FA4" s="925"/>
      <c r="FB4" s="925"/>
      <c r="FC4" s="925"/>
      <c r="FD4" s="925"/>
      <c r="FE4" s="925"/>
      <c r="FF4" s="925"/>
      <c r="FG4" s="925"/>
      <c r="FH4" s="925"/>
      <c r="FI4" s="925"/>
      <c r="FJ4" s="925"/>
      <c r="FK4" s="925"/>
      <c r="FL4" s="925"/>
      <c r="FM4" s="925"/>
      <c r="FN4" s="925"/>
      <c r="FO4" s="925"/>
      <c r="FP4" s="925"/>
      <c r="FQ4" s="925"/>
      <c r="FR4" s="925"/>
      <c r="FS4" s="925"/>
      <c r="FT4" s="925"/>
      <c r="FU4" s="925"/>
      <c r="FV4" s="925"/>
      <c r="FW4" s="925"/>
      <c r="FX4" s="925"/>
      <c r="FY4" s="925"/>
      <c r="FZ4" s="925"/>
      <c r="GA4" s="925"/>
      <c r="GB4" s="925"/>
      <c r="GC4" s="925"/>
      <c r="GD4" s="925"/>
      <c r="GE4" s="925"/>
      <c r="GF4" s="925"/>
      <c r="GG4" s="925"/>
      <c r="GH4" s="925"/>
      <c r="GI4" s="925"/>
      <c r="GJ4" s="925"/>
      <c r="GK4" s="925"/>
      <c r="GL4" s="925"/>
      <c r="GM4" s="925"/>
      <c r="GN4" s="925"/>
      <c r="GO4" s="925"/>
      <c r="GP4" s="925"/>
      <c r="GQ4" s="925"/>
      <c r="GR4" s="925"/>
      <c r="GS4" s="925"/>
      <c r="GT4" s="925"/>
      <c r="GU4" s="925"/>
      <c r="GV4" s="925"/>
      <c r="GW4" s="925"/>
      <c r="GX4" s="925"/>
      <c r="GY4" s="925"/>
      <c r="GZ4" s="925"/>
      <c r="HA4" s="925"/>
      <c r="HB4" s="925"/>
      <c r="HC4" s="925"/>
      <c r="HD4" s="925"/>
      <c r="HE4" s="925"/>
      <c r="HF4" s="925"/>
      <c r="HG4" s="925"/>
      <c r="HH4" s="925"/>
      <c r="HI4" s="925"/>
      <c r="HJ4" s="925"/>
      <c r="HK4" s="925"/>
      <c r="HL4" s="925"/>
      <c r="HM4" s="925"/>
      <c r="HN4" s="925"/>
      <c r="HO4" s="925"/>
      <c r="HP4" s="925"/>
      <c r="HQ4" s="925"/>
      <c r="HR4" s="925"/>
      <c r="HS4" s="925"/>
      <c r="HT4" s="925"/>
      <c r="HU4" s="925"/>
      <c r="HV4" s="925"/>
      <c r="HW4" s="925"/>
      <c r="HX4" s="925"/>
      <c r="HY4" s="925"/>
      <c r="HZ4" s="925"/>
      <c r="IA4" s="925"/>
      <c r="IB4" s="925"/>
      <c r="IC4" s="925"/>
      <c r="ID4" s="925"/>
      <c r="IE4" s="925"/>
      <c r="IF4" s="925"/>
      <c r="IG4" s="925"/>
      <c r="IH4" s="925"/>
      <c r="II4" s="925"/>
      <c r="IJ4" s="925"/>
      <c r="IK4" s="925"/>
      <c r="IL4" s="925"/>
      <c r="IM4" s="925"/>
      <c r="IN4" s="925"/>
      <c r="IO4" s="925"/>
    </row>
    <row r="5" spans="1:249" ht="15" customHeight="1">
      <c r="A5" s="1809" t="s">
        <v>378</v>
      </c>
      <c r="B5" s="1809"/>
      <c r="C5" s="1809"/>
      <c r="D5" s="1809"/>
      <c r="E5" s="1809"/>
      <c r="F5" s="1809"/>
      <c r="G5" s="1809"/>
      <c r="H5" s="1809"/>
      <c r="I5" s="1809"/>
      <c r="J5" s="1809"/>
      <c r="K5" s="1809"/>
      <c r="L5" s="1809"/>
      <c r="M5" s="1809"/>
      <c r="N5" s="1809"/>
      <c r="O5" s="1809"/>
      <c r="P5" s="1809"/>
      <c r="Q5" s="1809"/>
      <c r="R5" s="1809"/>
      <c r="S5" s="1809"/>
      <c r="T5" s="1809"/>
      <c r="U5" s="1809"/>
      <c r="V5" s="1809"/>
      <c r="W5" s="1809"/>
      <c r="X5" s="1809"/>
      <c r="Y5" s="1809"/>
      <c r="Z5" s="1809"/>
      <c r="AA5" s="1809"/>
      <c r="AB5" s="1809"/>
      <c r="AC5" s="1809"/>
      <c r="AD5" s="1809"/>
      <c r="AE5" s="1809"/>
      <c r="AF5" s="1809"/>
      <c r="AG5" s="1809"/>
      <c r="AH5" s="1809"/>
      <c r="AI5" s="1809"/>
      <c r="AJ5" s="1809"/>
      <c r="AK5" s="1809"/>
      <c r="AL5" s="1809"/>
      <c r="AM5" s="1809"/>
      <c r="AN5" s="1809"/>
      <c r="AO5" s="1809"/>
      <c r="AP5" s="1809"/>
      <c r="AQ5" s="1809"/>
      <c r="AR5" s="1809"/>
      <c r="AS5" s="1809"/>
      <c r="AT5" s="1809"/>
      <c r="AU5" s="1809"/>
      <c r="AV5" s="1809"/>
      <c r="AW5" s="1809"/>
      <c r="AX5" s="1809"/>
      <c r="AY5" s="1809"/>
      <c r="AZ5" s="1809"/>
      <c r="BA5" s="1809"/>
      <c r="BB5" s="1809"/>
      <c r="BC5" s="1809"/>
      <c r="BD5" s="1809"/>
      <c r="BE5" s="1809"/>
      <c r="BF5" s="1809"/>
      <c r="BG5" s="1809"/>
      <c r="BH5" s="1809"/>
      <c r="BI5" s="1809"/>
      <c r="BJ5" s="1809"/>
      <c r="BK5" s="1809"/>
      <c r="BL5" s="1809"/>
      <c r="BM5" s="1809"/>
      <c r="BN5" s="1809"/>
      <c r="BO5" s="1809"/>
      <c r="BP5" s="1809"/>
      <c r="BQ5" s="1809"/>
      <c r="BR5" s="1809"/>
      <c r="BS5" s="1809"/>
      <c r="BT5" s="1809"/>
      <c r="BU5" s="1809"/>
      <c r="BV5" s="1809"/>
      <c r="BW5" s="1809"/>
      <c r="BX5" s="1809"/>
      <c r="BY5" s="1809"/>
      <c r="BZ5" s="1809"/>
      <c r="CA5" s="1809"/>
      <c r="CB5" s="1809"/>
      <c r="CC5" s="1809"/>
      <c r="CD5" s="1809"/>
      <c r="CE5" s="1809"/>
      <c r="CF5" s="1809"/>
      <c r="CG5" s="1809"/>
      <c r="CH5" s="1809"/>
      <c r="CI5" s="1809"/>
      <c r="CJ5" s="1809"/>
      <c r="CK5" s="1809"/>
      <c r="CL5" s="1809"/>
      <c r="CM5" s="1809"/>
      <c r="CN5" s="1809"/>
      <c r="CO5" s="1809"/>
      <c r="CP5" s="1809"/>
      <c r="CQ5" s="1809"/>
      <c r="CR5" s="1809"/>
      <c r="CS5" s="1809"/>
      <c r="CT5" s="1809"/>
      <c r="CU5" s="1809"/>
      <c r="CV5" s="1809"/>
      <c r="CW5" s="1809"/>
      <c r="CX5" s="1809"/>
      <c r="CY5" s="1809"/>
      <c r="CZ5" s="1809"/>
      <c r="DA5" s="1809"/>
      <c r="DB5" s="1809"/>
      <c r="DC5" s="1809"/>
      <c r="DD5" s="1809"/>
      <c r="DE5" s="1809"/>
      <c r="DF5" s="1809"/>
      <c r="DG5" s="1809"/>
      <c r="DH5" s="1809"/>
      <c r="DI5" s="1809"/>
      <c r="DJ5" s="1809"/>
      <c r="DK5" s="1809"/>
      <c r="DL5" s="1809"/>
      <c r="DM5" s="1809"/>
      <c r="DN5" s="1809"/>
      <c r="DO5" s="1809"/>
      <c r="DP5" s="1809"/>
      <c r="DQ5" s="1809"/>
      <c r="DR5" s="1809"/>
      <c r="DS5" s="1809"/>
      <c r="DT5" s="1809"/>
      <c r="DU5" s="1809"/>
      <c r="DV5" s="1809"/>
      <c r="DW5" s="1809"/>
      <c r="DX5" s="1809"/>
      <c r="DY5" s="1809"/>
      <c r="DZ5" s="1809"/>
      <c r="EA5" s="1809"/>
      <c r="EB5" s="1809"/>
      <c r="EC5" s="1809"/>
      <c r="ED5" s="1809"/>
      <c r="EE5" s="1809"/>
      <c r="EF5" s="1809"/>
      <c r="EG5" s="1809"/>
      <c r="EH5" s="1809"/>
      <c r="EI5" s="1809"/>
      <c r="EJ5" s="1809"/>
      <c r="EK5" s="1809"/>
      <c r="EL5" s="1809"/>
      <c r="EM5" s="1809"/>
      <c r="EN5" s="1809"/>
      <c r="EO5" s="1809"/>
      <c r="EP5" s="1809"/>
      <c r="EQ5" s="1809"/>
      <c r="ER5" s="1809"/>
      <c r="ES5" s="1809"/>
      <c r="ET5" s="1809"/>
      <c r="EU5" s="925"/>
      <c r="EV5" s="925"/>
      <c r="EW5" s="925"/>
      <c r="EX5" s="925"/>
      <c r="EY5" s="925"/>
      <c r="EZ5" s="925"/>
      <c r="FA5" s="925"/>
      <c r="FB5" s="925"/>
      <c r="FC5" s="925"/>
      <c r="FD5" s="925"/>
      <c r="FE5" s="925"/>
      <c r="FF5" s="925"/>
      <c r="FG5" s="925"/>
      <c r="FH5" s="925"/>
      <c r="FI5" s="925"/>
      <c r="FJ5" s="925"/>
      <c r="FK5" s="925"/>
      <c r="FL5" s="925"/>
      <c r="FM5" s="925"/>
      <c r="FN5" s="925"/>
      <c r="FO5" s="925"/>
      <c r="FP5" s="925"/>
      <c r="FQ5" s="925"/>
      <c r="FR5" s="925"/>
      <c r="FS5" s="925"/>
      <c r="FT5" s="925"/>
      <c r="FU5" s="925"/>
      <c r="FV5" s="925"/>
      <c r="FW5" s="925"/>
      <c r="FX5" s="925"/>
      <c r="FY5" s="925"/>
      <c r="FZ5" s="925"/>
      <c r="GA5" s="925"/>
      <c r="GB5" s="925"/>
      <c r="GC5" s="925"/>
      <c r="GD5" s="925"/>
      <c r="GE5" s="925"/>
      <c r="GF5" s="925"/>
      <c r="GG5" s="925"/>
      <c r="GH5" s="925"/>
      <c r="GI5" s="925"/>
      <c r="GJ5" s="925"/>
      <c r="GK5" s="925"/>
      <c r="GL5" s="925"/>
      <c r="GM5" s="925"/>
      <c r="GN5" s="925"/>
      <c r="GO5" s="925"/>
      <c r="GP5" s="925"/>
      <c r="GQ5" s="925"/>
      <c r="GR5" s="925"/>
      <c r="GS5" s="925"/>
      <c r="GT5" s="925"/>
      <c r="GU5" s="925"/>
      <c r="GV5" s="925"/>
      <c r="GW5" s="925"/>
      <c r="GX5" s="925"/>
      <c r="GY5" s="925"/>
      <c r="GZ5" s="925"/>
      <c r="HA5" s="925"/>
      <c r="HB5" s="925"/>
      <c r="HC5" s="925"/>
      <c r="HD5" s="925"/>
      <c r="HE5" s="925"/>
      <c r="HF5" s="925"/>
      <c r="HG5" s="925"/>
      <c r="HH5" s="925"/>
      <c r="HI5" s="925"/>
      <c r="HJ5" s="925"/>
      <c r="HK5" s="925"/>
      <c r="HL5" s="925"/>
      <c r="HM5" s="925"/>
      <c r="HN5" s="925"/>
      <c r="HO5" s="925"/>
      <c r="HP5" s="925"/>
      <c r="HQ5" s="925"/>
      <c r="HR5" s="925"/>
      <c r="HS5" s="925"/>
      <c r="HT5" s="925"/>
      <c r="HU5" s="925"/>
      <c r="HV5" s="925"/>
      <c r="HW5" s="925"/>
      <c r="HX5" s="925"/>
      <c r="HY5" s="925"/>
      <c r="HZ5" s="925"/>
      <c r="IA5" s="925"/>
      <c r="IB5" s="925"/>
      <c r="IC5" s="925"/>
      <c r="ID5" s="925"/>
      <c r="IE5" s="925"/>
      <c r="IF5" s="925"/>
      <c r="IG5" s="925"/>
      <c r="IH5" s="925"/>
      <c r="II5" s="925"/>
      <c r="IJ5" s="925"/>
      <c r="IK5" s="925"/>
      <c r="IL5" s="925"/>
      <c r="IM5" s="925"/>
      <c r="IN5" s="925"/>
      <c r="IO5" s="925"/>
    </row>
    <row r="6" spans="1:249" ht="3.2" customHeight="1">
      <c r="A6" s="924"/>
      <c r="B6" s="924"/>
      <c r="C6" s="924"/>
      <c r="D6" s="924"/>
      <c r="E6" s="924"/>
      <c r="F6" s="924"/>
      <c r="G6" s="924"/>
      <c r="H6" s="924"/>
      <c r="I6" s="924"/>
      <c r="J6" s="924"/>
      <c r="K6" s="924"/>
      <c r="L6" s="924"/>
      <c r="M6" s="924"/>
      <c r="N6" s="924"/>
      <c r="O6" s="924"/>
      <c r="P6" s="924"/>
      <c r="Q6" s="924"/>
      <c r="R6" s="924"/>
      <c r="S6" s="924"/>
      <c r="T6" s="924"/>
      <c r="U6" s="924"/>
      <c r="V6" s="924"/>
      <c r="W6" s="924"/>
      <c r="X6" s="924"/>
      <c r="Y6" s="924"/>
      <c r="Z6" s="924"/>
      <c r="AA6" s="924"/>
      <c r="AB6" s="924"/>
      <c r="AC6" s="924"/>
      <c r="AD6" s="924"/>
      <c r="AE6" s="924"/>
      <c r="AF6" s="924"/>
      <c r="AG6" s="924"/>
      <c r="AH6" s="924"/>
      <c r="AI6" s="924"/>
      <c r="AJ6" s="924"/>
      <c r="AK6" s="924"/>
      <c r="AL6" s="924"/>
      <c r="AM6" s="924"/>
      <c r="AN6" s="924"/>
      <c r="AO6" s="924"/>
      <c r="AP6" s="924"/>
      <c r="AQ6" s="924"/>
      <c r="AR6" s="924"/>
      <c r="AS6" s="924"/>
      <c r="AT6" s="924"/>
      <c r="AU6" s="924"/>
      <c r="AV6" s="924"/>
      <c r="AW6" s="924"/>
      <c r="AX6" s="924"/>
      <c r="AY6" s="924"/>
      <c r="AZ6" s="924"/>
      <c r="BA6" s="924"/>
      <c r="BB6" s="924"/>
      <c r="BC6" s="924"/>
      <c r="BD6" s="924"/>
      <c r="BE6" s="924"/>
      <c r="BF6" s="924"/>
      <c r="BG6" s="924"/>
      <c r="BH6" s="924"/>
      <c r="BI6" s="924"/>
      <c r="BJ6" s="924"/>
      <c r="BK6" s="924"/>
      <c r="BL6" s="924"/>
      <c r="BM6" s="924"/>
      <c r="BN6" s="924"/>
      <c r="BO6" s="924"/>
      <c r="BP6" s="924"/>
      <c r="BQ6" s="924"/>
      <c r="BR6" s="924"/>
      <c r="BS6" s="924"/>
      <c r="BT6" s="924"/>
      <c r="BU6" s="924"/>
      <c r="BV6" s="924"/>
      <c r="BW6" s="924"/>
      <c r="BX6" s="924"/>
      <c r="BY6" s="924"/>
      <c r="BZ6" s="924"/>
      <c r="CA6" s="924"/>
      <c r="CB6" s="924"/>
      <c r="CC6" s="924"/>
      <c r="CD6" s="924"/>
      <c r="CE6" s="924"/>
      <c r="CF6" s="924"/>
      <c r="CG6" s="924"/>
      <c r="CH6" s="924"/>
      <c r="CI6" s="924"/>
      <c r="CJ6" s="924"/>
      <c r="CK6" s="924"/>
      <c r="CL6" s="924"/>
      <c r="CM6" s="924"/>
      <c r="CN6" s="924"/>
      <c r="CO6" s="924"/>
      <c r="CP6" s="924"/>
      <c r="CQ6" s="924"/>
      <c r="CR6" s="924"/>
      <c r="CS6" s="924"/>
      <c r="CT6" s="924"/>
      <c r="CU6" s="924"/>
      <c r="CV6" s="924"/>
      <c r="CW6" s="924"/>
      <c r="CX6" s="480"/>
      <c r="CY6" s="480"/>
      <c r="CZ6" s="480"/>
      <c r="DA6" s="480"/>
      <c r="DB6" s="480"/>
      <c r="DC6" s="480"/>
      <c r="DD6" s="480"/>
      <c r="DE6" s="480"/>
      <c r="DF6" s="480"/>
      <c r="DG6" s="480"/>
      <c r="DH6" s="480"/>
      <c r="DI6" s="480"/>
      <c r="DJ6" s="480"/>
      <c r="DK6" s="480"/>
      <c r="DL6" s="480"/>
      <c r="DM6" s="480"/>
      <c r="DN6" s="480"/>
      <c r="DO6" s="480"/>
      <c r="DP6" s="480"/>
      <c r="DQ6" s="480"/>
      <c r="DR6" s="480"/>
      <c r="DS6" s="480"/>
      <c r="DT6" s="480"/>
      <c r="DU6" s="480"/>
      <c r="DV6" s="480"/>
      <c r="DW6" s="480"/>
      <c r="DX6" s="480"/>
      <c r="DY6" s="480"/>
      <c r="DZ6" s="480"/>
      <c r="EA6" s="480"/>
      <c r="EB6" s="480"/>
      <c r="EC6" s="480"/>
      <c r="ED6" s="480"/>
      <c r="EE6" s="480"/>
      <c r="EF6" s="480"/>
      <c r="EG6" s="480"/>
      <c r="EH6" s="480"/>
      <c r="EI6" s="480"/>
      <c r="EJ6" s="480"/>
      <c r="EK6" s="480"/>
      <c r="EL6" s="480"/>
      <c r="EM6" s="480"/>
      <c r="EN6" s="480"/>
      <c r="EO6" s="480"/>
      <c r="EP6" s="480"/>
      <c r="EQ6" s="480"/>
      <c r="ER6" s="480"/>
      <c r="ES6" s="480"/>
      <c r="ET6" s="480"/>
      <c r="EU6" s="925"/>
      <c r="EV6" s="925"/>
      <c r="EW6" s="925"/>
      <c r="EX6" s="925"/>
      <c r="EY6" s="925"/>
      <c r="EZ6" s="925"/>
      <c r="FA6" s="925"/>
      <c r="FB6" s="925"/>
      <c r="FC6" s="925"/>
      <c r="FD6" s="925"/>
      <c r="FE6" s="925"/>
      <c r="FF6" s="925"/>
      <c r="FG6" s="925"/>
      <c r="FH6" s="925"/>
      <c r="FI6" s="925"/>
      <c r="FJ6" s="925"/>
      <c r="FK6" s="925"/>
      <c r="FL6" s="925"/>
      <c r="FM6" s="925"/>
      <c r="FN6" s="925"/>
      <c r="FO6" s="925"/>
      <c r="FP6" s="925"/>
      <c r="FQ6" s="925"/>
      <c r="FR6" s="925"/>
      <c r="FS6" s="925"/>
      <c r="FT6" s="925"/>
      <c r="FU6" s="925"/>
      <c r="FV6" s="925"/>
      <c r="FW6" s="925"/>
      <c r="FX6" s="925"/>
      <c r="FY6" s="925"/>
      <c r="FZ6" s="925"/>
      <c r="GA6" s="925"/>
      <c r="GB6" s="925"/>
      <c r="GC6" s="925"/>
      <c r="GD6" s="925"/>
      <c r="GE6" s="925"/>
      <c r="GF6" s="925"/>
      <c r="GG6" s="925"/>
      <c r="GH6" s="925"/>
      <c r="GI6" s="925"/>
      <c r="GJ6" s="925"/>
      <c r="GK6" s="925"/>
      <c r="GL6" s="925"/>
      <c r="GM6" s="925"/>
      <c r="GN6" s="925"/>
      <c r="GO6" s="925"/>
      <c r="GP6" s="925"/>
      <c r="GQ6" s="925"/>
      <c r="GR6" s="925"/>
      <c r="GS6" s="925"/>
      <c r="GT6" s="925"/>
      <c r="GU6" s="925"/>
      <c r="GV6" s="925"/>
      <c r="GW6" s="925"/>
      <c r="GX6" s="925"/>
      <c r="GY6" s="925"/>
      <c r="GZ6" s="925"/>
      <c r="HA6" s="925"/>
      <c r="HB6" s="925"/>
      <c r="HC6" s="925"/>
      <c r="HD6" s="925"/>
      <c r="HE6" s="925"/>
      <c r="HF6" s="925"/>
      <c r="HG6" s="925"/>
      <c r="HH6" s="925"/>
      <c r="HI6" s="925"/>
      <c r="HJ6" s="925"/>
      <c r="HK6" s="925"/>
      <c r="HL6" s="925"/>
      <c r="HM6" s="925"/>
      <c r="HN6" s="925"/>
      <c r="HO6" s="925"/>
      <c r="HP6" s="925"/>
      <c r="HQ6" s="925"/>
      <c r="HR6" s="925"/>
      <c r="HS6" s="925"/>
      <c r="HT6" s="925"/>
      <c r="HU6" s="925"/>
      <c r="HV6" s="925"/>
      <c r="HW6" s="925"/>
      <c r="HX6" s="925"/>
      <c r="HY6" s="925"/>
      <c r="HZ6" s="925"/>
      <c r="IA6" s="925"/>
      <c r="IB6" s="925"/>
      <c r="IC6" s="925"/>
      <c r="ID6" s="925"/>
      <c r="IE6" s="925"/>
      <c r="IF6" s="925"/>
      <c r="IG6" s="925"/>
      <c r="IH6" s="925"/>
      <c r="II6" s="925"/>
      <c r="IJ6" s="925"/>
      <c r="IK6" s="925"/>
      <c r="IL6" s="925"/>
      <c r="IM6" s="925"/>
      <c r="IN6" s="925"/>
      <c r="IO6" s="925"/>
    </row>
    <row r="7" spans="1:249" ht="11.25" customHeight="1">
      <c r="A7" s="480"/>
      <c r="B7" s="480"/>
      <c r="C7" s="480"/>
      <c r="D7" s="480"/>
      <c r="E7" s="480"/>
      <c r="F7" s="480"/>
      <c r="G7" s="480"/>
      <c r="H7" s="480"/>
      <c r="I7" s="480"/>
      <c r="J7" s="480"/>
      <c r="K7" s="480"/>
      <c r="L7" s="480"/>
      <c r="M7" s="480"/>
      <c r="N7" s="480"/>
      <c r="O7" s="480"/>
      <c r="P7" s="480"/>
      <c r="Q7" s="480"/>
      <c r="R7" s="480"/>
      <c r="S7" s="480"/>
      <c r="T7" s="480"/>
      <c r="U7" s="480"/>
      <c r="V7" s="480"/>
      <c r="W7" s="480"/>
      <c r="X7" s="480"/>
      <c r="Y7" s="480"/>
      <c r="Z7" s="480"/>
      <c r="AA7" s="480"/>
      <c r="AB7" s="480"/>
      <c r="AC7" s="480"/>
      <c r="AD7" s="480"/>
      <c r="AE7" s="480"/>
      <c r="AF7" s="480"/>
      <c r="AG7" s="480"/>
      <c r="AH7" s="480"/>
      <c r="AI7" s="480"/>
      <c r="AJ7" s="480"/>
      <c r="AK7" s="480"/>
      <c r="AL7" s="480"/>
      <c r="AM7" s="480"/>
      <c r="AN7" s="480"/>
      <c r="AO7" s="480"/>
      <c r="AP7" s="480"/>
      <c r="AQ7" s="480"/>
      <c r="AR7" s="480"/>
      <c r="AS7" s="480"/>
      <c r="AT7" s="480"/>
      <c r="AU7" s="480"/>
      <c r="AV7" s="480"/>
      <c r="AW7" s="480"/>
      <c r="AX7" s="480"/>
      <c r="AY7" s="480"/>
      <c r="AZ7" s="480"/>
      <c r="BA7" s="480"/>
      <c r="BB7" s="480"/>
      <c r="BC7" s="480"/>
      <c r="BD7" s="480"/>
      <c r="BE7" s="480"/>
      <c r="BF7" s="480"/>
      <c r="BG7" s="480"/>
      <c r="BH7" s="480"/>
      <c r="BI7" s="480"/>
      <c r="BJ7" s="480"/>
      <c r="BK7" s="480"/>
      <c r="BL7" s="1805" t="s">
        <v>379</v>
      </c>
      <c r="BM7" s="1805"/>
      <c r="BN7" s="1805"/>
      <c r="BO7" s="480"/>
      <c r="BP7" s="1806" t="s">
        <v>293</v>
      </c>
      <c r="BQ7" s="1806"/>
      <c r="BR7" s="1806"/>
      <c r="BS7" s="1806"/>
      <c r="BT7" s="1806"/>
      <c r="BU7" s="1806"/>
      <c r="BV7" s="1806"/>
      <c r="BW7" s="1806"/>
      <c r="BX7" s="1806"/>
      <c r="BY7" s="1806"/>
      <c r="BZ7" s="1806"/>
      <c r="CA7" s="1806"/>
      <c r="CB7" s="1806"/>
      <c r="CC7" s="1806"/>
      <c r="CD7" s="1806"/>
      <c r="CE7" s="1806"/>
      <c r="CF7" s="1806"/>
      <c r="CG7" s="1806"/>
      <c r="CH7" s="1806"/>
      <c r="CI7" s="1806"/>
      <c r="CJ7" s="1806"/>
      <c r="CK7" s="1806"/>
      <c r="CL7" s="1806"/>
      <c r="CM7" s="1806"/>
      <c r="CN7" s="1806"/>
      <c r="CO7" s="480"/>
      <c r="CP7" s="480"/>
      <c r="CQ7" s="480"/>
      <c r="CR7" s="480"/>
      <c r="CS7" s="480"/>
      <c r="CT7" s="480"/>
      <c r="CU7" s="480"/>
      <c r="CV7" s="480"/>
      <c r="CW7" s="480"/>
      <c r="CX7" s="480"/>
      <c r="CY7" s="480"/>
      <c r="CZ7" s="480"/>
      <c r="DA7" s="480"/>
      <c r="DB7" s="480"/>
      <c r="DC7" s="480"/>
      <c r="DD7" s="480"/>
      <c r="DE7" s="480"/>
      <c r="DF7" s="480"/>
      <c r="DG7" s="480"/>
      <c r="DH7" s="480"/>
      <c r="DI7" s="480"/>
      <c r="DJ7" s="480"/>
      <c r="DK7" s="480"/>
      <c r="DL7" s="480"/>
      <c r="DM7" s="480"/>
      <c r="DN7" s="480"/>
      <c r="DO7" s="480"/>
      <c r="DP7" s="480"/>
      <c r="DQ7" s="480"/>
      <c r="DR7" s="480"/>
      <c r="DS7" s="480"/>
      <c r="DT7" s="480"/>
      <c r="DU7" s="480"/>
      <c r="DV7" s="480"/>
      <c r="DW7" s="480"/>
      <c r="DX7" s="480"/>
      <c r="DY7" s="480"/>
      <c r="DZ7" s="480"/>
      <c r="EA7" s="480"/>
      <c r="EB7" s="480"/>
      <c r="EC7" s="480"/>
      <c r="ED7" s="480"/>
      <c r="EE7" s="480"/>
      <c r="EF7" s="480"/>
      <c r="EG7" s="480"/>
      <c r="EH7" s="480"/>
      <c r="EI7" s="480"/>
      <c r="EJ7" s="480"/>
      <c r="EK7" s="480"/>
      <c r="EL7" s="480"/>
      <c r="EM7" s="480"/>
      <c r="EN7" s="480"/>
      <c r="EO7" s="480"/>
      <c r="EP7" s="480"/>
      <c r="EQ7" s="480"/>
      <c r="ER7" s="480"/>
      <c r="ES7" s="480"/>
      <c r="ET7" s="480"/>
      <c r="EU7" s="925"/>
      <c r="EV7" s="925"/>
      <c r="EW7" s="925"/>
      <c r="EX7" s="925"/>
      <c r="EY7" s="925"/>
      <c r="EZ7" s="925"/>
      <c r="FA7" s="925"/>
      <c r="FB7" s="925"/>
      <c r="FC7" s="925"/>
      <c r="FD7" s="925"/>
      <c r="FE7" s="925"/>
      <c r="FF7" s="925"/>
      <c r="FG7" s="925"/>
      <c r="FH7" s="925"/>
      <c r="FI7" s="925"/>
      <c r="FJ7" s="925"/>
      <c r="FK7" s="925"/>
      <c r="FL7" s="925"/>
      <c r="FM7" s="925"/>
      <c r="FN7" s="925"/>
      <c r="FO7" s="925"/>
      <c r="FP7" s="925"/>
      <c r="FQ7" s="925"/>
      <c r="FR7" s="925"/>
      <c r="FS7" s="925"/>
      <c r="FT7" s="925"/>
      <c r="FU7" s="925"/>
      <c r="FV7" s="925"/>
      <c r="FW7" s="925"/>
      <c r="FX7" s="925"/>
      <c r="FY7" s="925"/>
      <c r="FZ7" s="925"/>
      <c r="GA7" s="925"/>
      <c r="GB7" s="925"/>
      <c r="GC7" s="925"/>
      <c r="GD7" s="925"/>
      <c r="GE7" s="925"/>
      <c r="GF7" s="925"/>
      <c r="GG7" s="925"/>
      <c r="GH7" s="925"/>
      <c r="GI7" s="925"/>
      <c r="GJ7" s="925"/>
      <c r="GK7" s="925"/>
      <c r="GL7" s="925"/>
      <c r="GM7" s="925"/>
      <c r="GN7" s="925"/>
      <c r="GO7" s="925"/>
      <c r="GP7" s="925"/>
      <c r="GQ7" s="925"/>
      <c r="GR7" s="925"/>
      <c r="GS7" s="925"/>
      <c r="GT7" s="925"/>
      <c r="GU7" s="925"/>
      <c r="GV7" s="925"/>
      <c r="GW7" s="925"/>
      <c r="GX7" s="925"/>
      <c r="GY7" s="925"/>
      <c r="GZ7" s="925"/>
      <c r="HA7" s="925"/>
      <c r="HB7" s="925"/>
      <c r="HC7" s="925"/>
      <c r="HD7" s="925"/>
      <c r="HE7" s="925"/>
      <c r="HF7" s="925"/>
      <c r="HG7" s="925"/>
      <c r="HH7" s="925"/>
      <c r="HI7" s="925"/>
      <c r="HJ7" s="925"/>
      <c r="HK7" s="925"/>
      <c r="HL7" s="925"/>
      <c r="HM7" s="925"/>
      <c r="HN7" s="925"/>
      <c r="HO7" s="925"/>
      <c r="HP7" s="925"/>
      <c r="HQ7" s="925"/>
      <c r="HR7" s="925"/>
      <c r="HS7" s="925"/>
      <c r="HT7" s="925"/>
      <c r="HU7" s="925"/>
      <c r="HV7" s="925"/>
      <c r="HW7" s="925"/>
      <c r="HX7" s="925"/>
      <c r="HY7" s="925"/>
      <c r="HZ7" s="925"/>
      <c r="IA7" s="925"/>
      <c r="IB7" s="925"/>
      <c r="IC7" s="925"/>
      <c r="ID7" s="925"/>
      <c r="IE7" s="925"/>
      <c r="IF7" s="925"/>
      <c r="IG7" s="925"/>
      <c r="IH7" s="925"/>
      <c r="II7" s="925"/>
      <c r="IJ7" s="925"/>
      <c r="IK7" s="925"/>
      <c r="IL7" s="925"/>
      <c r="IM7" s="925"/>
      <c r="IN7" s="925"/>
      <c r="IO7" s="925"/>
    </row>
    <row r="8" spans="1:249" ht="11.25" customHeight="1">
      <c r="A8" s="480"/>
      <c r="B8" s="480"/>
      <c r="C8" s="480"/>
      <c r="D8" s="480"/>
      <c r="E8" s="480"/>
      <c r="F8" s="480"/>
      <c r="G8" s="480"/>
      <c r="H8" s="480"/>
      <c r="I8" s="480"/>
      <c r="J8" s="480"/>
      <c r="K8" s="480"/>
      <c r="L8" s="480"/>
      <c r="M8" s="480"/>
      <c r="N8" s="480"/>
      <c r="O8" s="480"/>
      <c r="P8" s="480"/>
      <c r="Q8" s="480"/>
      <c r="R8" s="480"/>
      <c r="S8" s="480"/>
      <c r="T8" s="480"/>
      <c r="U8" s="480"/>
      <c r="V8" s="480"/>
      <c r="W8" s="480"/>
      <c r="X8" s="480"/>
      <c r="Y8" s="480"/>
      <c r="Z8" s="480"/>
      <c r="AA8" s="480"/>
      <c r="AB8" s="480"/>
      <c r="AC8" s="480"/>
      <c r="AD8" s="480"/>
      <c r="AE8" s="480"/>
      <c r="AF8" s="480"/>
      <c r="AG8" s="480"/>
      <c r="AH8" s="480"/>
      <c r="AI8" s="480"/>
      <c r="AJ8" s="480"/>
      <c r="AK8" s="480"/>
      <c r="AL8" s="480"/>
      <c r="AM8" s="480"/>
      <c r="AN8" s="480"/>
      <c r="AO8" s="480"/>
      <c r="AP8" s="480"/>
      <c r="AQ8" s="480"/>
      <c r="AR8" s="480"/>
      <c r="AS8" s="480"/>
      <c r="AT8" s="480"/>
      <c r="AU8" s="480"/>
      <c r="AV8" s="480"/>
      <c r="AW8" s="480"/>
      <c r="AX8" s="480"/>
      <c r="AY8" s="480"/>
      <c r="AZ8" s="480"/>
      <c r="BA8" s="480"/>
      <c r="BB8" s="480"/>
      <c r="BC8" s="480"/>
      <c r="BD8" s="480"/>
      <c r="BE8" s="480"/>
      <c r="BF8" s="480"/>
      <c r="BG8" s="480"/>
      <c r="BH8" s="480"/>
      <c r="BI8" s="480"/>
      <c r="BJ8" s="480"/>
      <c r="BK8" s="480"/>
      <c r="BL8" s="480"/>
      <c r="BM8" s="480"/>
      <c r="BN8" s="480"/>
      <c r="BO8" s="480"/>
      <c r="BP8" s="480"/>
      <c r="BQ8" s="480"/>
      <c r="BR8" s="480"/>
      <c r="BS8" s="480"/>
      <c r="BT8" s="480"/>
      <c r="BU8" s="480"/>
      <c r="BV8" s="480"/>
      <c r="BW8" s="480"/>
      <c r="BX8" s="480"/>
      <c r="BY8" s="480"/>
      <c r="BZ8" s="480"/>
      <c r="CA8" s="480"/>
      <c r="CB8" s="480"/>
      <c r="CC8" s="480"/>
      <c r="CD8" s="480"/>
      <c r="CE8" s="480"/>
      <c r="CF8" s="480"/>
      <c r="CG8" s="480"/>
      <c r="CH8" s="480"/>
      <c r="CI8" s="480"/>
      <c r="CJ8" s="480"/>
      <c r="CK8" s="480"/>
      <c r="CL8" s="480"/>
      <c r="CM8" s="480"/>
      <c r="CN8" s="480"/>
      <c r="CO8" s="480"/>
      <c r="CP8" s="480"/>
      <c r="CQ8" s="480"/>
      <c r="CR8" s="480"/>
      <c r="CS8" s="480"/>
      <c r="CT8" s="480"/>
      <c r="CU8" s="480"/>
      <c r="CV8" s="480"/>
      <c r="CW8" s="480"/>
      <c r="CX8" s="480"/>
      <c r="CY8" s="480"/>
      <c r="CZ8" s="480"/>
      <c r="DA8" s="480"/>
      <c r="DB8" s="480"/>
      <c r="DC8" s="480"/>
      <c r="DD8" s="480"/>
      <c r="DE8" s="480"/>
      <c r="DF8" s="480"/>
      <c r="DG8" s="480"/>
      <c r="DH8" s="480"/>
      <c r="DI8" s="480"/>
      <c r="DJ8" s="480"/>
      <c r="DK8" s="480"/>
      <c r="DL8" s="480"/>
      <c r="DM8" s="480"/>
      <c r="DN8" s="480"/>
      <c r="DO8" s="480"/>
      <c r="DP8" s="480"/>
      <c r="DQ8" s="480"/>
      <c r="DR8" s="480"/>
      <c r="DS8" s="480"/>
      <c r="DT8" s="480"/>
      <c r="DU8" s="480"/>
      <c r="DV8" s="480"/>
      <c r="DW8" s="480"/>
      <c r="DX8" s="480"/>
      <c r="DY8" s="480"/>
      <c r="DZ8" s="480"/>
      <c r="EA8" s="480"/>
      <c r="EB8" s="480"/>
      <c r="EC8" s="480"/>
      <c r="ED8" s="480"/>
      <c r="EE8" s="480"/>
      <c r="EF8" s="480"/>
      <c r="EG8" s="480"/>
      <c r="EH8" s="480"/>
      <c r="EI8" s="480"/>
      <c r="EJ8" s="480"/>
      <c r="EK8" s="480"/>
      <c r="EL8" s="480"/>
      <c r="EM8" s="480"/>
      <c r="EN8" s="480"/>
      <c r="EO8" s="480"/>
      <c r="EP8" s="480"/>
      <c r="EQ8" s="480"/>
      <c r="ER8" s="480"/>
      <c r="ES8" s="480"/>
      <c r="ET8" s="480"/>
      <c r="EU8" s="925"/>
      <c r="EV8" s="925"/>
      <c r="EW8" s="925"/>
      <c r="EX8" s="925"/>
      <c r="EY8" s="925"/>
      <c r="EZ8" s="925"/>
      <c r="FA8" s="925"/>
      <c r="FB8" s="925"/>
      <c r="FC8" s="925"/>
      <c r="FD8" s="925"/>
      <c r="FE8" s="925"/>
      <c r="FF8" s="925"/>
      <c r="FG8" s="925"/>
      <c r="FH8" s="925"/>
      <c r="FI8" s="925"/>
      <c r="FJ8" s="925"/>
      <c r="FK8" s="925"/>
      <c r="FL8" s="925"/>
      <c r="FM8" s="925"/>
      <c r="FN8" s="925"/>
      <c r="FO8" s="925"/>
      <c r="FP8" s="925"/>
      <c r="FQ8" s="925"/>
      <c r="FR8" s="925"/>
      <c r="FS8" s="925"/>
      <c r="FT8" s="925"/>
      <c r="FU8" s="925"/>
      <c r="FV8" s="925"/>
      <c r="FW8" s="925"/>
      <c r="FX8" s="925"/>
      <c r="FY8" s="925"/>
      <c r="FZ8" s="925"/>
      <c r="GA8" s="925"/>
      <c r="GB8" s="925"/>
      <c r="GC8" s="925"/>
      <c r="GD8" s="925"/>
      <c r="GE8" s="925"/>
      <c r="GF8" s="925"/>
      <c r="GG8" s="925"/>
      <c r="GH8" s="925"/>
      <c r="GI8" s="925"/>
      <c r="GJ8" s="925"/>
      <c r="GK8" s="925"/>
      <c r="GL8" s="925"/>
      <c r="GM8" s="925"/>
      <c r="GN8" s="925"/>
      <c r="GO8" s="925"/>
      <c r="GP8" s="925"/>
      <c r="GQ8" s="925"/>
      <c r="GR8" s="925"/>
      <c r="GS8" s="925"/>
      <c r="GT8" s="925"/>
      <c r="GU8" s="925"/>
      <c r="GV8" s="925"/>
      <c r="GW8" s="925"/>
      <c r="GX8" s="925"/>
      <c r="GY8" s="925"/>
      <c r="GZ8" s="925"/>
      <c r="HA8" s="925"/>
      <c r="HB8" s="925"/>
      <c r="HC8" s="925"/>
      <c r="HD8" s="925"/>
      <c r="HE8" s="925"/>
      <c r="HF8" s="925"/>
      <c r="HG8" s="925"/>
      <c r="HH8" s="925"/>
      <c r="HI8" s="925"/>
      <c r="HJ8" s="925"/>
      <c r="HK8" s="925"/>
      <c r="HL8" s="925"/>
      <c r="HM8" s="925"/>
      <c r="HN8" s="925"/>
      <c r="HO8" s="925"/>
      <c r="HP8" s="925"/>
      <c r="HQ8" s="925"/>
      <c r="HR8" s="925"/>
      <c r="HS8" s="925"/>
      <c r="HT8" s="925"/>
      <c r="HU8" s="925"/>
      <c r="HV8" s="925"/>
      <c r="HW8" s="925"/>
      <c r="HX8" s="925"/>
      <c r="HY8" s="925"/>
      <c r="HZ8" s="925"/>
      <c r="IA8" s="925"/>
      <c r="IB8" s="925"/>
      <c r="IC8" s="925"/>
      <c r="ID8" s="925"/>
      <c r="IE8" s="925"/>
      <c r="IF8" s="925"/>
      <c r="IG8" s="925"/>
      <c r="IH8" s="925"/>
      <c r="II8" s="925"/>
      <c r="IJ8" s="925"/>
      <c r="IK8" s="925"/>
      <c r="IL8" s="925"/>
      <c r="IM8" s="925"/>
      <c r="IN8" s="925"/>
      <c r="IO8" s="925"/>
    </row>
    <row r="9" spans="1:249" ht="11.25" customHeight="1">
      <c r="A9" s="480"/>
      <c r="B9" s="480"/>
      <c r="C9" s="480"/>
      <c r="D9" s="480"/>
      <c r="E9" s="480"/>
      <c r="F9" s="480"/>
      <c r="G9" s="480"/>
      <c r="H9" s="480"/>
      <c r="I9" s="480"/>
      <c r="J9" s="480"/>
      <c r="K9" s="480"/>
      <c r="L9" s="480"/>
      <c r="M9" s="480"/>
      <c r="N9" s="480"/>
      <c r="O9" s="480"/>
      <c r="P9" s="480"/>
      <c r="Q9" s="480"/>
      <c r="R9" s="480"/>
      <c r="S9" s="480"/>
      <c r="T9" s="480"/>
      <c r="U9" s="480"/>
      <c r="V9" s="480"/>
      <c r="W9" s="480"/>
      <c r="X9" s="480"/>
      <c r="Y9" s="480"/>
      <c r="Z9" s="480"/>
      <c r="AA9" s="480"/>
      <c r="AB9" s="480"/>
      <c r="AC9" s="480"/>
      <c r="AD9" s="480"/>
      <c r="AE9" s="480"/>
      <c r="AF9" s="480"/>
      <c r="AG9" s="480"/>
      <c r="AH9" s="480"/>
      <c r="AI9" s="480"/>
      <c r="AJ9" s="480"/>
      <c r="AK9" s="480"/>
      <c r="AL9" s="480"/>
      <c r="AM9" s="480"/>
      <c r="AN9" s="480"/>
      <c r="AO9" s="480"/>
      <c r="AP9" s="480"/>
      <c r="AQ9" s="480"/>
      <c r="AR9" s="480"/>
      <c r="AS9" s="480"/>
      <c r="AT9" s="480"/>
      <c r="AU9" s="480"/>
      <c r="AV9" s="480"/>
      <c r="AW9" s="480"/>
      <c r="AX9" s="480"/>
      <c r="AY9" s="480"/>
      <c r="AZ9" s="480"/>
      <c r="BA9" s="480"/>
      <c r="BB9" s="480"/>
      <c r="BC9" s="480"/>
      <c r="BD9" s="480"/>
      <c r="BE9" s="480"/>
      <c r="BF9" s="480"/>
      <c r="BG9" s="480"/>
      <c r="BH9" s="480"/>
      <c r="BI9" s="480"/>
      <c r="BJ9" s="480"/>
      <c r="BK9" s="480"/>
      <c r="BL9" s="480"/>
      <c r="BM9" s="480"/>
      <c r="BN9" s="480"/>
      <c r="BO9" s="480"/>
      <c r="BP9" s="480"/>
      <c r="BQ9" s="480"/>
      <c r="BR9" s="480"/>
      <c r="BS9" s="480"/>
      <c r="BT9" s="480"/>
      <c r="BU9" s="480"/>
      <c r="BV9" s="480"/>
      <c r="BW9" s="480"/>
      <c r="BX9" s="480"/>
      <c r="BY9" s="480"/>
      <c r="BZ9" s="480"/>
      <c r="CA9" s="480"/>
      <c r="CB9" s="480"/>
      <c r="CC9" s="480"/>
      <c r="CD9" s="480"/>
      <c r="CE9" s="480"/>
      <c r="CF9" s="480"/>
      <c r="CG9" s="480"/>
      <c r="CH9" s="480"/>
      <c r="CI9" s="480"/>
      <c r="CJ9" s="480"/>
      <c r="CK9" s="480"/>
      <c r="CL9" s="480"/>
      <c r="CM9" s="480"/>
      <c r="CN9" s="480"/>
      <c r="CO9" s="480"/>
      <c r="CP9" s="480"/>
      <c r="CQ9" s="480"/>
      <c r="CR9" s="480"/>
      <c r="CS9" s="480"/>
      <c r="CT9" s="480"/>
      <c r="CU9" s="480"/>
      <c r="CV9" s="480"/>
      <c r="CW9" s="480"/>
      <c r="CX9" s="480"/>
      <c r="CY9" s="480"/>
      <c r="CZ9" s="480"/>
      <c r="DA9" s="480"/>
      <c r="DB9" s="480"/>
      <c r="DC9" s="480"/>
      <c r="DD9" s="480"/>
      <c r="DE9" s="480"/>
      <c r="DF9" s="480"/>
      <c r="DG9" s="480"/>
      <c r="DH9" s="480"/>
      <c r="DI9" s="480"/>
      <c r="DJ9" s="480"/>
      <c r="DK9" s="480"/>
      <c r="DL9" s="480"/>
      <c r="DM9" s="480"/>
      <c r="DN9" s="480"/>
      <c r="DO9" s="480"/>
      <c r="DP9" s="480"/>
      <c r="DQ9" s="480"/>
      <c r="DR9" s="480"/>
      <c r="DS9" s="480"/>
      <c r="DT9" s="480"/>
      <c r="DU9" s="480"/>
      <c r="DV9" s="480"/>
      <c r="DW9" s="480"/>
      <c r="DX9" s="480"/>
      <c r="DY9" s="480"/>
      <c r="DZ9" s="480"/>
      <c r="EA9" s="480"/>
      <c r="EB9" s="480"/>
      <c r="EC9" s="1813" t="s">
        <v>218</v>
      </c>
      <c r="ED9" s="1813"/>
      <c r="EE9" s="1813"/>
      <c r="EF9" s="1813"/>
      <c r="EG9" s="1813"/>
      <c r="EH9" s="1813"/>
      <c r="EI9" s="1813"/>
      <c r="EJ9" s="1813"/>
      <c r="EK9" s="1813"/>
      <c r="EL9" s="1813"/>
      <c r="EM9" s="1813"/>
      <c r="EN9" s="1813"/>
      <c r="EO9" s="1813"/>
      <c r="EP9" s="1813"/>
      <c r="EQ9" s="1813"/>
      <c r="ER9" s="1813"/>
      <c r="ES9" s="1813"/>
      <c r="ET9" s="1813"/>
      <c r="EU9" s="925"/>
      <c r="EV9" s="925"/>
      <c r="EW9" s="925"/>
      <c r="EX9" s="925"/>
      <c r="EY9" s="925"/>
      <c r="EZ9" s="925"/>
      <c r="FA9" s="925"/>
      <c r="FB9" s="925"/>
      <c r="FC9" s="925"/>
      <c r="FD9" s="925"/>
      <c r="FE9" s="925"/>
      <c r="FF9" s="925"/>
      <c r="FG9" s="925"/>
      <c r="FH9" s="925"/>
      <c r="FI9" s="925"/>
      <c r="FJ9" s="925"/>
      <c r="FK9" s="925"/>
      <c r="FL9" s="925"/>
      <c r="FM9" s="925"/>
      <c r="FN9" s="925"/>
      <c r="FO9" s="925"/>
      <c r="FP9" s="925"/>
      <c r="FQ9" s="925"/>
      <c r="FR9" s="925"/>
      <c r="FS9" s="925"/>
      <c r="FT9" s="925"/>
      <c r="FU9" s="925"/>
      <c r="FV9" s="925"/>
      <c r="FW9" s="925"/>
      <c r="FX9" s="925"/>
      <c r="FY9" s="925"/>
      <c r="FZ9" s="925"/>
      <c r="GA9" s="925"/>
      <c r="GB9" s="925"/>
      <c r="GC9" s="925"/>
      <c r="GD9" s="925"/>
      <c r="GE9" s="925"/>
      <c r="GF9" s="925"/>
      <c r="GG9" s="925"/>
      <c r="GH9" s="925"/>
      <c r="GI9" s="925"/>
      <c r="GJ9" s="925"/>
      <c r="GK9" s="925"/>
      <c r="GL9" s="925"/>
      <c r="GM9" s="925"/>
      <c r="GN9" s="925"/>
      <c r="GO9" s="925"/>
      <c r="GP9" s="925"/>
      <c r="GQ9" s="925"/>
      <c r="GR9" s="925"/>
      <c r="GS9" s="925"/>
      <c r="GT9" s="925"/>
      <c r="GU9" s="925"/>
      <c r="GV9" s="925"/>
      <c r="GW9" s="925"/>
      <c r="GX9" s="925"/>
      <c r="GY9" s="925"/>
      <c r="GZ9" s="925"/>
      <c r="HA9" s="925"/>
      <c r="HB9" s="925"/>
      <c r="HC9" s="925"/>
      <c r="HD9" s="925"/>
      <c r="HE9" s="925"/>
      <c r="HF9" s="925"/>
      <c r="HG9" s="925"/>
      <c r="HH9" s="925"/>
      <c r="HI9" s="925"/>
      <c r="HJ9" s="925"/>
      <c r="HK9" s="925"/>
      <c r="HL9" s="925"/>
      <c r="HM9" s="925"/>
      <c r="HN9" s="925"/>
      <c r="HO9" s="925"/>
      <c r="HP9" s="925"/>
      <c r="HQ9" s="925"/>
      <c r="HR9" s="925"/>
      <c r="HS9" s="925"/>
      <c r="HT9" s="925"/>
      <c r="HU9" s="925"/>
      <c r="HV9" s="925"/>
      <c r="HW9" s="925"/>
      <c r="HX9" s="925"/>
      <c r="HY9" s="925"/>
      <c r="HZ9" s="925"/>
      <c r="IA9" s="925"/>
      <c r="IB9" s="925"/>
      <c r="IC9" s="925"/>
      <c r="ID9" s="925"/>
      <c r="IE9" s="925"/>
      <c r="IF9" s="925"/>
      <c r="IG9" s="925"/>
      <c r="IH9" s="925"/>
      <c r="II9" s="925"/>
      <c r="IJ9" s="925"/>
      <c r="IK9" s="925"/>
      <c r="IL9" s="925"/>
      <c r="IM9" s="925"/>
      <c r="IN9" s="925"/>
      <c r="IO9" s="925"/>
    </row>
    <row r="10" spans="1:249" ht="3.2" customHeight="1">
      <c r="A10" s="480"/>
      <c r="B10" s="480"/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0"/>
      <c r="Z10" s="480"/>
      <c r="AA10" s="480"/>
      <c r="AB10" s="480"/>
      <c r="AC10" s="480"/>
      <c r="AD10" s="480"/>
      <c r="AE10" s="480"/>
      <c r="AF10" s="480"/>
      <c r="AG10" s="480"/>
      <c r="AH10" s="480"/>
      <c r="AI10" s="480"/>
      <c r="AJ10" s="480"/>
      <c r="AK10" s="480"/>
      <c r="AL10" s="480"/>
      <c r="AM10" s="480"/>
      <c r="AN10" s="480"/>
      <c r="AO10" s="480"/>
      <c r="AP10" s="480"/>
      <c r="AQ10" s="480"/>
      <c r="AR10" s="480"/>
      <c r="AS10" s="480"/>
      <c r="AT10" s="480"/>
      <c r="AU10" s="480"/>
      <c r="AV10" s="480"/>
      <c r="AW10" s="480"/>
      <c r="AX10" s="480"/>
      <c r="AY10" s="480"/>
      <c r="AZ10" s="480"/>
      <c r="BA10" s="480"/>
      <c r="BB10" s="480"/>
      <c r="BC10" s="480"/>
      <c r="BD10" s="480"/>
      <c r="BE10" s="480"/>
      <c r="BF10" s="480"/>
      <c r="BG10" s="480"/>
      <c r="BH10" s="480"/>
      <c r="BI10" s="480"/>
      <c r="BJ10" s="480"/>
      <c r="BK10" s="480"/>
      <c r="BL10" s="480"/>
      <c r="BM10" s="480"/>
      <c r="BN10" s="480"/>
      <c r="BO10" s="480"/>
      <c r="BP10" s="480"/>
      <c r="BQ10" s="480"/>
      <c r="BR10" s="480"/>
      <c r="BS10" s="480"/>
      <c r="BT10" s="480"/>
      <c r="BU10" s="480"/>
      <c r="BV10" s="480"/>
      <c r="BW10" s="480"/>
      <c r="BX10" s="480"/>
      <c r="BY10" s="480"/>
      <c r="BZ10" s="480"/>
      <c r="CA10" s="480"/>
      <c r="CB10" s="480"/>
      <c r="CC10" s="480"/>
      <c r="CD10" s="480"/>
      <c r="CE10" s="480"/>
      <c r="CF10" s="480"/>
      <c r="CG10" s="480"/>
      <c r="CH10" s="480"/>
      <c r="CI10" s="480"/>
      <c r="CJ10" s="480"/>
      <c r="CK10" s="480"/>
      <c r="CL10" s="480"/>
      <c r="CM10" s="480"/>
      <c r="CN10" s="480"/>
      <c r="CO10" s="480"/>
      <c r="CP10" s="480"/>
      <c r="CQ10" s="480"/>
      <c r="CR10" s="480"/>
      <c r="CS10" s="480"/>
      <c r="CT10" s="480"/>
      <c r="CU10" s="480"/>
      <c r="CV10" s="480"/>
      <c r="CW10" s="480"/>
      <c r="CX10" s="480"/>
      <c r="CY10" s="480"/>
      <c r="CZ10" s="480"/>
      <c r="DA10" s="480"/>
      <c r="DB10" s="480"/>
      <c r="DC10" s="480"/>
      <c r="DD10" s="480"/>
      <c r="DE10" s="480"/>
      <c r="DF10" s="480"/>
      <c r="DG10" s="480"/>
      <c r="DH10" s="480"/>
      <c r="DI10" s="480"/>
      <c r="DJ10" s="480"/>
      <c r="DK10" s="480"/>
      <c r="DL10" s="480"/>
      <c r="DM10" s="480"/>
      <c r="DN10" s="480"/>
      <c r="DO10" s="480"/>
      <c r="DP10" s="480"/>
      <c r="DQ10" s="480"/>
      <c r="DR10" s="480"/>
      <c r="DS10" s="480"/>
      <c r="DT10" s="480"/>
      <c r="DU10" s="480"/>
      <c r="DV10" s="480"/>
      <c r="DW10" s="480"/>
      <c r="DX10" s="480"/>
      <c r="DY10" s="480"/>
      <c r="DZ10" s="480"/>
      <c r="EA10" s="480"/>
      <c r="EB10" s="480"/>
      <c r="EC10" s="480"/>
      <c r="ED10" s="480"/>
      <c r="EE10" s="480"/>
      <c r="EF10" s="480"/>
      <c r="EG10" s="480"/>
      <c r="EH10" s="480"/>
      <c r="EI10" s="480"/>
      <c r="EJ10" s="480"/>
      <c r="EK10" s="480"/>
      <c r="EL10" s="480"/>
      <c r="EM10" s="480"/>
      <c r="EN10" s="480"/>
      <c r="EO10" s="480"/>
      <c r="EP10" s="480"/>
      <c r="EQ10" s="480"/>
      <c r="ER10" s="480"/>
      <c r="ES10" s="480"/>
      <c r="ET10" s="480"/>
      <c r="EU10" s="925"/>
      <c r="EV10" s="925"/>
      <c r="EW10" s="925"/>
      <c r="EX10" s="925"/>
      <c r="EY10" s="925"/>
      <c r="EZ10" s="925"/>
      <c r="FA10" s="925"/>
      <c r="FB10" s="925"/>
      <c r="FC10" s="925"/>
      <c r="FD10" s="925"/>
      <c r="FE10" s="925"/>
      <c r="FF10" s="925"/>
      <c r="FG10" s="925"/>
      <c r="FH10" s="925"/>
      <c r="FI10" s="925"/>
      <c r="FJ10" s="925"/>
      <c r="FK10" s="925"/>
      <c r="FL10" s="925"/>
      <c r="FM10" s="925"/>
      <c r="FN10" s="925"/>
      <c r="FO10" s="925"/>
      <c r="FP10" s="925"/>
      <c r="FQ10" s="925"/>
      <c r="FR10" s="925"/>
      <c r="FS10" s="925"/>
      <c r="FT10" s="925"/>
      <c r="FU10" s="925"/>
      <c r="FV10" s="925"/>
      <c r="FW10" s="925"/>
      <c r="FX10" s="925"/>
      <c r="FY10" s="925"/>
      <c r="FZ10" s="925"/>
      <c r="GA10" s="925"/>
      <c r="GB10" s="925"/>
      <c r="GC10" s="925"/>
      <c r="GD10" s="925"/>
      <c r="GE10" s="925"/>
      <c r="GF10" s="925"/>
      <c r="GG10" s="925"/>
      <c r="GH10" s="925"/>
      <c r="GI10" s="925"/>
      <c r="GJ10" s="925"/>
      <c r="GK10" s="925"/>
      <c r="GL10" s="925"/>
      <c r="GM10" s="925"/>
      <c r="GN10" s="925"/>
      <c r="GO10" s="925"/>
      <c r="GP10" s="925"/>
      <c r="GQ10" s="925"/>
      <c r="GR10" s="925"/>
      <c r="GS10" s="925"/>
      <c r="GT10" s="925"/>
      <c r="GU10" s="925"/>
      <c r="GV10" s="925"/>
      <c r="GW10" s="925"/>
      <c r="GX10" s="925"/>
      <c r="GY10" s="925"/>
      <c r="GZ10" s="925"/>
      <c r="HA10" s="925"/>
      <c r="HB10" s="925"/>
      <c r="HC10" s="925"/>
      <c r="HD10" s="925"/>
      <c r="HE10" s="925"/>
      <c r="HF10" s="925"/>
      <c r="HG10" s="925"/>
      <c r="HH10" s="925"/>
      <c r="HI10" s="925"/>
      <c r="HJ10" s="925"/>
      <c r="HK10" s="925"/>
      <c r="HL10" s="925"/>
      <c r="HM10" s="925"/>
      <c r="HN10" s="925"/>
      <c r="HO10" s="925"/>
      <c r="HP10" s="925"/>
      <c r="HQ10" s="925"/>
      <c r="HR10" s="925"/>
      <c r="HS10" s="925"/>
      <c r="HT10" s="925"/>
      <c r="HU10" s="925"/>
      <c r="HV10" s="925"/>
      <c r="HW10" s="925"/>
      <c r="HX10" s="925"/>
      <c r="HY10" s="925"/>
      <c r="HZ10" s="925"/>
      <c r="IA10" s="925"/>
      <c r="IB10" s="925"/>
      <c r="IC10" s="925"/>
      <c r="ID10" s="925"/>
      <c r="IE10" s="925"/>
      <c r="IF10" s="925"/>
      <c r="IG10" s="925"/>
      <c r="IH10" s="925"/>
      <c r="II10" s="925"/>
      <c r="IJ10" s="925"/>
      <c r="IK10" s="925"/>
      <c r="IL10" s="925"/>
      <c r="IM10" s="925"/>
      <c r="IN10" s="925"/>
      <c r="IO10" s="925"/>
    </row>
    <row r="11" spans="1:249" ht="29.25" customHeight="1">
      <c r="A11" s="1814" t="s">
        <v>380</v>
      </c>
      <c r="B11" s="1814"/>
      <c r="C11" s="1814"/>
      <c r="D11" s="1814"/>
      <c r="E11" s="1814"/>
      <c r="F11" s="1814"/>
      <c r="G11" s="1814"/>
      <c r="H11" s="1814"/>
      <c r="I11" s="1814"/>
      <c r="J11" s="1814"/>
      <c r="K11" s="1814"/>
      <c r="L11" s="1814"/>
      <c r="M11" s="1814"/>
      <c r="N11" s="1814"/>
      <c r="O11" s="1814"/>
      <c r="P11" s="1814"/>
      <c r="Q11" s="1814"/>
      <c r="R11" s="1814"/>
      <c r="S11" s="1814"/>
      <c r="T11" s="1814"/>
      <c r="U11" s="1814"/>
      <c r="V11" s="1814"/>
      <c r="W11" s="1814"/>
      <c r="X11" s="1814"/>
      <c r="Y11" s="1814"/>
      <c r="Z11" s="1814"/>
      <c r="AA11" s="1814"/>
      <c r="AB11" s="1815" t="s">
        <v>35</v>
      </c>
      <c r="AC11" s="1815"/>
      <c r="AD11" s="1815"/>
      <c r="AE11" s="1815"/>
      <c r="AF11" s="1815"/>
      <c r="AG11" s="1815"/>
      <c r="AH11" s="1815"/>
      <c r="AI11" s="1815"/>
      <c r="AJ11" s="1815"/>
      <c r="AK11" s="1815"/>
      <c r="AL11" s="1815"/>
      <c r="AM11" s="1815"/>
      <c r="AN11" s="1815"/>
      <c r="AO11" s="1815"/>
      <c r="AP11" s="1815"/>
      <c r="AQ11" s="1815"/>
      <c r="AR11" s="1815"/>
      <c r="AS11" s="1815"/>
      <c r="AT11" s="1815"/>
      <c r="AU11" s="1815"/>
      <c r="AV11" s="1815"/>
      <c r="AW11" s="1815"/>
      <c r="AX11" s="1815"/>
      <c r="AY11" s="1815"/>
      <c r="AZ11" s="1815"/>
      <c r="BA11" s="1815"/>
      <c r="BB11" s="1815"/>
      <c r="BC11" s="1815"/>
      <c r="BD11" s="1815"/>
      <c r="BE11" s="1815"/>
      <c r="BF11" s="1815"/>
      <c r="BG11" s="1815"/>
      <c r="BH11" s="1815"/>
      <c r="BI11" s="1815"/>
      <c r="BJ11" s="1815"/>
      <c r="BK11" s="1815"/>
      <c r="BL11" s="1815"/>
      <c r="BM11" s="1815"/>
      <c r="BN11" s="1815"/>
      <c r="BO11" s="1815"/>
      <c r="BP11" s="1815"/>
      <c r="BQ11" s="1815"/>
      <c r="BR11" s="1815"/>
      <c r="BS11" s="1815"/>
      <c r="BT11" s="1815"/>
      <c r="BU11" s="1815"/>
      <c r="BV11" s="1815"/>
      <c r="BW11" s="1815"/>
      <c r="BX11" s="1815"/>
      <c r="BY11" s="1815"/>
      <c r="BZ11" s="1815"/>
      <c r="CA11" s="1815"/>
      <c r="CB11" s="1815"/>
      <c r="CC11" s="1815"/>
      <c r="CD11" s="1815"/>
      <c r="CE11" s="1815"/>
      <c r="CF11" s="1815"/>
      <c r="CG11" s="1815"/>
      <c r="CH11" s="1815"/>
      <c r="CI11" s="1815"/>
      <c r="CJ11" s="1815"/>
      <c r="CK11" s="1815"/>
      <c r="CL11" s="1815"/>
      <c r="CM11" s="1815"/>
      <c r="CN11" s="1815"/>
      <c r="CO11" s="1815"/>
      <c r="CP11" s="1815"/>
      <c r="CQ11" s="1815"/>
      <c r="CR11" s="1815"/>
      <c r="CS11" s="1815"/>
      <c r="CT11" s="1815"/>
      <c r="CU11" s="1815"/>
      <c r="CV11" s="1815"/>
      <c r="CW11" s="1815"/>
      <c r="CX11" s="1815"/>
      <c r="CY11" s="1815"/>
      <c r="CZ11" s="1815"/>
      <c r="DA11" s="1815"/>
      <c r="DB11" s="1815"/>
      <c r="DC11" s="1815"/>
      <c r="DD11" s="1815"/>
      <c r="DE11" s="1815"/>
      <c r="DF11" s="1815"/>
      <c r="DG11" s="1815"/>
      <c r="DH11" s="1815"/>
      <c r="DI11" s="1815"/>
      <c r="DJ11" s="1816" t="s">
        <v>381</v>
      </c>
      <c r="DK11" s="1816"/>
      <c r="DL11" s="1816"/>
      <c r="DM11" s="1816"/>
      <c r="DN11" s="1816"/>
      <c r="DO11" s="1816"/>
      <c r="DP11" s="1816"/>
      <c r="DQ11" s="1816"/>
      <c r="DR11" s="1816"/>
      <c r="DS11" s="1816"/>
      <c r="DT11" s="1816"/>
      <c r="DU11" s="1816"/>
      <c r="DV11" s="1816"/>
      <c r="DW11" s="1816"/>
      <c r="DX11" s="1816"/>
      <c r="DY11" s="1816"/>
      <c r="DZ11" s="1816"/>
      <c r="EA11" s="1816"/>
      <c r="EB11" s="480"/>
      <c r="EC11" s="1817" t="s">
        <v>382</v>
      </c>
      <c r="ED11" s="1818"/>
      <c r="EE11" s="1818"/>
      <c r="EF11" s="1818"/>
      <c r="EG11" s="1818"/>
      <c r="EH11" s="1818"/>
      <c r="EI11" s="1818"/>
      <c r="EJ11" s="1818"/>
      <c r="EK11" s="1818"/>
      <c r="EL11" s="1818"/>
      <c r="EM11" s="1818"/>
      <c r="EN11" s="1818"/>
      <c r="EO11" s="1818"/>
      <c r="EP11" s="1818"/>
      <c r="EQ11" s="1818"/>
      <c r="ER11" s="1818"/>
      <c r="ES11" s="1818"/>
      <c r="ET11" s="1819"/>
      <c r="EU11" s="925"/>
      <c r="EV11" s="925"/>
      <c r="EW11" s="925"/>
      <c r="EX11" s="925"/>
      <c r="EY11" s="925"/>
      <c r="EZ11" s="925"/>
      <c r="FA11" s="925"/>
      <c r="FB11" s="925"/>
      <c r="FC11" s="925"/>
      <c r="FD11" s="925"/>
      <c r="FE11" s="925"/>
      <c r="FF11" s="925"/>
      <c r="FG11" s="925"/>
      <c r="FH11" s="925"/>
      <c r="FI11" s="925"/>
      <c r="FJ11" s="925"/>
      <c r="FK11" s="925"/>
      <c r="FL11" s="925"/>
      <c r="FM11" s="925"/>
      <c r="FN11" s="925"/>
      <c r="FO11" s="925"/>
      <c r="FP11" s="925"/>
      <c r="FQ11" s="925"/>
      <c r="FR11" s="925"/>
      <c r="FS11" s="925"/>
      <c r="FT11" s="925"/>
      <c r="FU11" s="925"/>
      <c r="FV11" s="925"/>
      <c r="FW11" s="925"/>
      <c r="FX11" s="925"/>
      <c r="FY11" s="925"/>
      <c r="FZ11" s="925"/>
      <c r="GA11" s="925"/>
      <c r="GB11" s="925"/>
      <c r="GC11" s="925"/>
      <c r="GD11" s="925"/>
      <c r="GE11" s="925"/>
      <c r="GF11" s="925"/>
      <c r="GG11" s="925"/>
      <c r="GH11" s="925"/>
      <c r="GI11" s="925"/>
      <c r="GJ11" s="925"/>
      <c r="GK11" s="925"/>
      <c r="GL11" s="925"/>
      <c r="GM11" s="925"/>
      <c r="GN11" s="925"/>
      <c r="GO11" s="925"/>
      <c r="GP11" s="925"/>
      <c r="GQ11" s="925"/>
      <c r="GR11" s="925"/>
      <c r="GS11" s="925"/>
      <c r="GT11" s="925"/>
      <c r="GU11" s="925"/>
      <c r="GV11" s="925"/>
      <c r="GW11" s="925"/>
      <c r="GX11" s="925"/>
      <c r="GY11" s="925"/>
      <c r="GZ11" s="925"/>
      <c r="HA11" s="925"/>
      <c r="HB11" s="925"/>
      <c r="HC11" s="925"/>
      <c r="HD11" s="925"/>
      <c r="HE11" s="925"/>
      <c r="HF11" s="925"/>
      <c r="HG11" s="925"/>
      <c r="HH11" s="925"/>
      <c r="HI11" s="925"/>
      <c r="HJ11" s="925"/>
      <c r="HK11" s="925"/>
      <c r="HL11" s="925"/>
      <c r="HM11" s="925"/>
      <c r="HN11" s="925"/>
      <c r="HO11" s="925"/>
      <c r="HP11" s="925"/>
      <c r="HQ11" s="925"/>
      <c r="HR11" s="925"/>
      <c r="HS11" s="925"/>
      <c r="HT11" s="925"/>
      <c r="HU11" s="925"/>
      <c r="HV11" s="925"/>
      <c r="HW11" s="925"/>
      <c r="HX11" s="925"/>
      <c r="HY11" s="925"/>
      <c r="HZ11" s="925"/>
      <c r="IA11" s="925"/>
      <c r="IB11" s="925"/>
      <c r="IC11" s="925"/>
      <c r="ID11" s="925"/>
      <c r="IE11" s="925"/>
      <c r="IF11" s="925"/>
      <c r="IG11" s="925"/>
      <c r="IH11" s="925"/>
      <c r="II11" s="925"/>
      <c r="IJ11" s="925"/>
      <c r="IK11" s="925"/>
      <c r="IL11" s="925"/>
      <c r="IM11" s="925"/>
      <c r="IN11" s="925"/>
      <c r="IO11" s="925"/>
    </row>
    <row r="12" spans="1:249" ht="11.25" customHeight="1">
      <c r="A12" s="925"/>
      <c r="B12" s="925"/>
      <c r="C12" s="925"/>
      <c r="D12" s="925"/>
      <c r="E12" s="925"/>
      <c r="F12" s="925"/>
      <c r="G12" s="925"/>
      <c r="H12" s="925"/>
      <c r="I12" s="925"/>
      <c r="J12" s="925"/>
      <c r="K12" s="925"/>
      <c r="L12" s="925"/>
      <c r="M12" s="925"/>
      <c r="N12" s="925"/>
      <c r="O12" s="925"/>
      <c r="P12" s="925"/>
      <c r="Q12" s="925"/>
      <c r="R12" s="925"/>
      <c r="S12" s="925"/>
      <c r="T12" s="925"/>
      <c r="U12" s="925"/>
      <c r="V12" s="925"/>
      <c r="W12" s="925"/>
      <c r="X12" s="925"/>
      <c r="Y12" s="925"/>
      <c r="Z12" s="925"/>
      <c r="AA12" s="925"/>
      <c r="AB12" s="489"/>
      <c r="AC12" s="489"/>
      <c r="AD12" s="489"/>
      <c r="AE12" s="489"/>
      <c r="AF12" s="489"/>
      <c r="AG12" s="489"/>
      <c r="AH12" s="489"/>
      <c r="AI12" s="489"/>
      <c r="AJ12" s="489"/>
      <c r="AK12" s="489"/>
      <c r="AL12" s="489"/>
      <c r="AM12" s="489"/>
      <c r="AN12" s="489"/>
      <c r="AO12" s="484"/>
      <c r="AP12" s="484"/>
      <c r="AQ12" s="484"/>
      <c r="AR12" s="484"/>
      <c r="AS12" s="484"/>
      <c r="AT12" s="484"/>
      <c r="AU12" s="484"/>
      <c r="AV12" s="484"/>
      <c r="AW12" s="484"/>
      <c r="AX12" s="484"/>
      <c r="AY12" s="484"/>
      <c r="AZ12" s="484"/>
      <c r="BA12" s="484"/>
      <c r="BB12" s="484"/>
      <c r="BC12" s="484"/>
      <c r="BD12" s="484"/>
      <c r="BE12" s="484"/>
      <c r="BF12" s="484"/>
      <c r="BG12" s="484"/>
      <c r="BH12" s="484"/>
      <c r="BI12" s="484"/>
      <c r="BJ12" s="484"/>
      <c r="BK12" s="484"/>
      <c r="BL12" s="484"/>
      <c r="BM12" s="484"/>
      <c r="BN12" s="484"/>
      <c r="BO12" s="484"/>
      <c r="BP12" s="484"/>
      <c r="BQ12" s="484"/>
      <c r="BR12" s="484"/>
      <c r="BS12" s="484"/>
      <c r="BT12" s="484"/>
      <c r="BU12" s="484"/>
      <c r="BV12" s="484"/>
      <c r="BW12" s="484"/>
      <c r="BX12" s="484"/>
      <c r="BY12" s="484"/>
      <c r="BZ12" s="484"/>
      <c r="CA12" s="484"/>
      <c r="CB12" s="484"/>
      <c r="CC12" s="484"/>
      <c r="CD12" s="484"/>
      <c r="CE12" s="484"/>
      <c r="CF12" s="484"/>
      <c r="CG12" s="484"/>
      <c r="CH12" s="484"/>
      <c r="CI12" s="484"/>
      <c r="CJ12" s="484"/>
      <c r="CK12" s="484"/>
      <c r="CL12" s="484"/>
      <c r="CM12" s="484"/>
      <c r="CN12" s="484"/>
      <c r="CO12" s="484"/>
      <c r="CP12" s="484"/>
      <c r="CQ12" s="484"/>
      <c r="CR12" s="484"/>
      <c r="CS12" s="484"/>
      <c r="CT12" s="484"/>
      <c r="CU12" s="484"/>
      <c r="CV12" s="484"/>
      <c r="CW12" s="484"/>
      <c r="CX12" s="484"/>
      <c r="CY12" s="484"/>
      <c r="CZ12" s="484"/>
      <c r="DA12" s="484"/>
      <c r="DB12" s="484"/>
      <c r="DC12" s="484"/>
      <c r="DD12" s="484"/>
      <c r="DE12" s="484"/>
      <c r="DF12" s="484"/>
      <c r="DG12" s="484"/>
      <c r="DH12" s="484"/>
      <c r="DI12" s="480"/>
      <c r="DJ12" s="1810" t="s">
        <v>249</v>
      </c>
      <c r="DK12" s="1810"/>
      <c r="DL12" s="1810"/>
      <c r="DM12" s="1810"/>
      <c r="DN12" s="1810"/>
      <c r="DO12" s="1810"/>
      <c r="DP12" s="1810"/>
      <c r="DQ12" s="1810"/>
      <c r="DR12" s="1810"/>
      <c r="DS12" s="1810"/>
      <c r="DT12" s="1810"/>
      <c r="DU12" s="1810"/>
      <c r="DV12" s="1810"/>
      <c r="DW12" s="1810"/>
      <c r="DX12" s="1810"/>
      <c r="DY12" s="1810"/>
      <c r="DZ12" s="1810"/>
      <c r="EA12" s="1810"/>
      <c r="EB12" s="480"/>
      <c r="EC12" s="1820"/>
      <c r="ED12" s="1821"/>
      <c r="EE12" s="1821"/>
      <c r="EF12" s="1821"/>
      <c r="EG12" s="1821"/>
      <c r="EH12" s="1821"/>
      <c r="EI12" s="1821"/>
      <c r="EJ12" s="1821"/>
      <c r="EK12" s="1821"/>
      <c r="EL12" s="1821"/>
      <c r="EM12" s="1821"/>
      <c r="EN12" s="1821"/>
      <c r="EO12" s="1821"/>
      <c r="EP12" s="1821"/>
      <c r="EQ12" s="1821"/>
      <c r="ER12" s="1821"/>
      <c r="ES12" s="1821"/>
      <c r="ET12" s="1822"/>
      <c r="EU12" s="925"/>
      <c r="EV12" s="925"/>
      <c r="EW12" s="925"/>
      <c r="EX12" s="925"/>
      <c r="EY12" s="925"/>
      <c r="EZ12" s="925"/>
      <c r="FA12" s="925"/>
      <c r="FB12" s="925"/>
      <c r="FC12" s="925"/>
      <c r="FD12" s="925"/>
      <c r="FE12" s="925"/>
      <c r="FF12" s="925"/>
      <c r="FG12" s="925"/>
      <c r="FH12" s="925"/>
      <c r="FI12" s="925"/>
      <c r="FJ12" s="925"/>
      <c r="FK12" s="925"/>
      <c r="FL12" s="925"/>
      <c r="FM12" s="925"/>
      <c r="FN12" s="925"/>
      <c r="FO12" s="925"/>
      <c r="FP12" s="925"/>
      <c r="FQ12" s="925"/>
      <c r="FR12" s="925"/>
      <c r="FS12" s="925"/>
      <c r="FT12" s="925"/>
      <c r="FU12" s="925"/>
      <c r="FV12" s="925"/>
      <c r="FW12" s="925"/>
      <c r="FX12" s="925"/>
      <c r="FY12" s="925"/>
      <c r="FZ12" s="925"/>
      <c r="GA12" s="925"/>
      <c r="GB12" s="925"/>
      <c r="GC12" s="925"/>
      <c r="GD12" s="925"/>
      <c r="GE12" s="925"/>
      <c r="GF12" s="925"/>
      <c r="GG12" s="925"/>
      <c r="GH12" s="925"/>
      <c r="GI12" s="925"/>
      <c r="GJ12" s="925"/>
      <c r="GK12" s="925"/>
      <c r="GL12" s="925"/>
      <c r="GM12" s="925"/>
      <c r="GN12" s="925"/>
      <c r="GO12" s="925"/>
      <c r="GP12" s="925"/>
      <c r="GQ12" s="925"/>
      <c r="GR12" s="925"/>
      <c r="GS12" s="925"/>
      <c r="GT12" s="925"/>
      <c r="GU12" s="925"/>
      <c r="GV12" s="925"/>
      <c r="GW12" s="925"/>
      <c r="GX12" s="925"/>
      <c r="GY12" s="925"/>
      <c r="GZ12" s="925"/>
      <c r="HA12" s="925"/>
      <c r="HB12" s="925"/>
      <c r="HC12" s="925"/>
      <c r="HD12" s="925"/>
      <c r="HE12" s="925"/>
      <c r="HF12" s="925"/>
      <c r="HG12" s="925"/>
      <c r="HH12" s="925"/>
      <c r="HI12" s="925"/>
      <c r="HJ12" s="925"/>
      <c r="HK12" s="925"/>
      <c r="HL12" s="925"/>
      <c r="HM12" s="925"/>
      <c r="HN12" s="925"/>
      <c r="HO12" s="925"/>
      <c r="HP12" s="925"/>
      <c r="HQ12" s="925"/>
      <c r="HR12" s="925"/>
      <c r="HS12" s="925"/>
      <c r="HT12" s="925"/>
      <c r="HU12" s="925"/>
      <c r="HV12" s="925"/>
      <c r="HW12" s="925"/>
      <c r="HX12" s="925"/>
      <c r="HY12" s="925"/>
      <c r="HZ12" s="925"/>
      <c r="IA12" s="925"/>
      <c r="IB12" s="925"/>
      <c r="IC12" s="925"/>
      <c r="ID12" s="925"/>
      <c r="IE12" s="925"/>
      <c r="IF12" s="925"/>
      <c r="IG12" s="925"/>
      <c r="IH12" s="925"/>
      <c r="II12" s="925"/>
      <c r="IJ12" s="925"/>
      <c r="IK12" s="925"/>
      <c r="IL12" s="925"/>
      <c r="IM12" s="925"/>
      <c r="IN12" s="925"/>
      <c r="IO12" s="925"/>
    </row>
    <row r="13" spans="1:249" ht="11.25" customHeight="1">
      <c r="A13" s="925"/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0"/>
      <c r="O13" s="490"/>
      <c r="P13" s="490"/>
      <c r="Q13" s="490"/>
      <c r="R13" s="490"/>
      <c r="S13" s="490"/>
      <c r="T13" s="490"/>
      <c r="U13" s="490"/>
      <c r="V13" s="490"/>
      <c r="W13" s="490"/>
      <c r="X13" s="490"/>
      <c r="Y13" s="490"/>
      <c r="Z13" s="490"/>
      <c r="AA13" s="491"/>
      <c r="AB13" s="491"/>
      <c r="AC13" s="491"/>
      <c r="AD13" s="491"/>
      <c r="AE13" s="491"/>
      <c r="AF13" s="491"/>
      <c r="AG13" s="491"/>
      <c r="AH13" s="491"/>
      <c r="AI13" s="491"/>
      <c r="AJ13" s="491"/>
      <c r="AK13" s="491"/>
      <c r="AL13" s="491"/>
      <c r="AM13" s="491"/>
      <c r="AN13" s="491"/>
      <c r="AO13" s="487"/>
      <c r="AP13" s="487"/>
      <c r="AQ13" s="487"/>
      <c r="AR13" s="487"/>
      <c r="AS13" s="487"/>
      <c r="AT13" s="487"/>
      <c r="AU13" s="487"/>
      <c r="AV13" s="487"/>
      <c r="AW13" s="487"/>
      <c r="AX13" s="487"/>
      <c r="AY13" s="487"/>
      <c r="AZ13" s="487"/>
      <c r="BA13" s="487"/>
      <c r="BB13" s="487"/>
      <c r="BC13" s="487"/>
      <c r="BD13" s="487"/>
      <c r="BE13" s="487"/>
      <c r="BF13" s="487"/>
      <c r="BG13" s="487"/>
      <c r="BH13" s="487"/>
      <c r="BI13" s="487"/>
      <c r="BJ13" s="487"/>
      <c r="BK13" s="487"/>
      <c r="BL13" s="487"/>
      <c r="BM13" s="487"/>
      <c r="BN13" s="487"/>
      <c r="BO13" s="487"/>
      <c r="BP13" s="487"/>
      <c r="BQ13" s="487"/>
      <c r="BR13" s="487"/>
      <c r="BS13" s="487"/>
      <c r="BT13" s="487"/>
      <c r="BU13" s="487"/>
      <c r="BV13" s="487"/>
      <c r="BW13" s="487"/>
      <c r="BX13" s="487"/>
      <c r="BY13" s="487"/>
      <c r="BZ13" s="487"/>
      <c r="CA13" s="487"/>
      <c r="CB13" s="487"/>
      <c r="CC13" s="487"/>
      <c r="CD13" s="487"/>
      <c r="CE13" s="487"/>
      <c r="CF13" s="487"/>
      <c r="CG13" s="487"/>
      <c r="CH13" s="487"/>
      <c r="CI13" s="487"/>
      <c r="CJ13" s="487"/>
      <c r="CK13" s="487"/>
      <c r="CL13" s="487"/>
      <c r="CM13" s="487"/>
      <c r="CN13" s="487"/>
      <c r="CO13" s="487"/>
      <c r="CP13" s="487"/>
      <c r="CQ13" s="487"/>
      <c r="CR13" s="487"/>
      <c r="CS13" s="487"/>
      <c r="CT13" s="487"/>
      <c r="CU13" s="487"/>
      <c r="CV13" s="487"/>
      <c r="CW13" s="487"/>
      <c r="CX13" s="487"/>
      <c r="CY13" s="487"/>
      <c r="CZ13" s="487"/>
      <c r="DA13" s="487"/>
      <c r="DB13" s="487"/>
      <c r="DC13" s="487"/>
      <c r="DD13" s="487"/>
      <c r="DE13" s="487"/>
      <c r="DF13" s="487"/>
      <c r="DG13" s="487"/>
      <c r="DH13" s="487"/>
      <c r="DI13" s="480"/>
      <c r="DJ13" s="1810" t="s">
        <v>226</v>
      </c>
      <c r="DK13" s="1810"/>
      <c r="DL13" s="1810"/>
      <c r="DM13" s="1810"/>
      <c r="DN13" s="1810"/>
      <c r="DO13" s="1810"/>
      <c r="DP13" s="1810"/>
      <c r="DQ13" s="1810"/>
      <c r="DR13" s="1810"/>
      <c r="DS13" s="1810"/>
      <c r="DT13" s="1810"/>
      <c r="DU13" s="1810"/>
      <c r="DV13" s="1810"/>
      <c r="DW13" s="1810"/>
      <c r="DX13" s="1810"/>
      <c r="DY13" s="1810"/>
      <c r="DZ13" s="1810"/>
      <c r="EA13" s="1810"/>
      <c r="EB13" s="480"/>
      <c r="EC13" s="1808" t="s">
        <v>34</v>
      </c>
      <c r="ED13" s="1808"/>
      <c r="EE13" s="1808"/>
      <c r="EF13" s="1808"/>
      <c r="EG13" s="1808"/>
      <c r="EH13" s="1808"/>
      <c r="EI13" s="1808"/>
      <c r="EJ13" s="1808"/>
      <c r="EK13" s="1808"/>
      <c r="EL13" s="1808"/>
      <c r="EM13" s="1808"/>
      <c r="EN13" s="1808"/>
      <c r="EO13" s="1808"/>
      <c r="EP13" s="1808"/>
      <c r="EQ13" s="1808"/>
      <c r="ER13" s="1808"/>
      <c r="ES13" s="1808"/>
      <c r="ET13" s="1808"/>
      <c r="EU13" s="925"/>
      <c r="EV13" s="925"/>
      <c r="EW13" s="925"/>
      <c r="EX13" s="925"/>
      <c r="EY13" s="925"/>
      <c r="EZ13" s="925"/>
      <c r="FA13" s="925"/>
      <c r="FB13" s="925"/>
      <c r="FC13" s="925"/>
      <c r="FD13" s="925"/>
      <c r="FE13" s="925"/>
      <c r="FF13" s="925"/>
      <c r="FG13" s="925"/>
      <c r="FH13" s="925"/>
      <c r="FI13" s="925"/>
      <c r="FJ13" s="925"/>
      <c r="FK13" s="925"/>
      <c r="FL13" s="925"/>
      <c r="FM13" s="925"/>
      <c r="FN13" s="925"/>
      <c r="FO13" s="925"/>
      <c r="FP13" s="925"/>
      <c r="FQ13" s="925"/>
      <c r="FR13" s="925"/>
      <c r="FS13" s="925"/>
      <c r="FT13" s="925"/>
      <c r="FU13" s="925"/>
      <c r="FV13" s="925"/>
      <c r="FW13" s="925"/>
      <c r="FX13" s="925"/>
      <c r="FY13" s="925"/>
      <c r="FZ13" s="925"/>
      <c r="GA13" s="925"/>
      <c r="GB13" s="925"/>
      <c r="GC13" s="925"/>
      <c r="GD13" s="925"/>
      <c r="GE13" s="925"/>
      <c r="GF13" s="925"/>
      <c r="GG13" s="925"/>
      <c r="GH13" s="925"/>
      <c r="GI13" s="925"/>
      <c r="GJ13" s="925"/>
      <c r="GK13" s="925"/>
      <c r="GL13" s="925"/>
      <c r="GM13" s="925"/>
      <c r="GN13" s="925"/>
      <c r="GO13" s="925"/>
      <c r="GP13" s="925"/>
      <c r="GQ13" s="925"/>
      <c r="GR13" s="925"/>
      <c r="GS13" s="925"/>
      <c r="GT13" s="925"/>
      <c r="GU13" s="925"/>
      <c r="GV13" s="925"/>
      <c r="GW13" s="925"/>
      <c r="GX13" s="925"/>
      <c r="GY13" s="925"/>
      <c r="GZ13" s="925"/>
      <c r="HA13" s="925"/>
      <c r="HB13" s="925"/>
      <c r="HC13" s="925"/>
      <c r="HD13" s="925"/>
      <c r="HE13" s="925"/>
      <c r="HF13" s="925"/>
      <c r="HG13" s="925"/>
      <c r="HH13" s="925"/>
      <c r="HI13" s="925"/>
      <c r="HJ13" s="925"/>
      <c r="HK13" s="925"/>
      <c r="HL13" s="925"/>
      <c r="HM13" s="925"/>
      <c r="HN13" s="925"/>
      <c r="HO13" s="925"/>
      <c r="HP13" s="925"/>
      <c r="HQ13" s="925"/>
      <c r="HR13" s="925"/>
      <c r="HS13" s="925"/>
      <c r="HT13" s="925"/>
      <c r="HU13" s="925"/>
      <c r="HV13" s="925"/>
      <c r="HW13" s="925"/>
      <c r="HX13" s="925"/>
      <c r="HY13" s="925"/>
      <c r="HZ13" s="925"/>
      <c r="IA13" s="925"/>
      <c r="IB13" s="925"/>
      <c r="IC13" s="925"/>
      <c r="ID13" s="925"/>
      <c r="IE13" s="925"/>
      <c r="IF13" s="925"/>
      <c r="IG13" s="925"/>
      <c r="IH13" s="925"/>
      <c r="II13" s="925"/>
      <c r="IJ13" s="925"/>
      <c r="IK13" s="925"/>
      <c r="IL13" s="925"/>
      <c r="IM13" s="925"/>
      <c r="IN13" s="925"/>
      <c r="IO13" s="925"/>
    </row>
    <row r="14" spans="1:249" ht="19.5" customHeight="1">
      <c r="A14" s="1813" t="s">
        <v>383</v>
      </c>
      <c r="B14" s="1813"/>
      <c r="C14" s="1813"/>
      <c r="D14" s="1813"/>
      <c r="E14" s="1813"/>
      <c r="F14" s="1813"/>
      <c r="G14" s="1813"/>
      <c r="H14" s="1813"/>
      <c r="I14" s="1813"/>
      <c r="J14" s="1813"/>
      <c r="K14" s="1813"/>
      <c r="L14" s="1813"/>
      <c r="M14" s="1813"/>
      <c r="N14" s="1813"/>
      <c r="O14" s="1813"/>
      <c r="P14" s="1813"/>
      <c r="Q14" s="1813"/>
      <c r="R14" s="1813"/>
      <c r="S14" s="1813"/>
      <c r="T14" s="1813"/>
      <c r="U14" s="1813"/>
      <c r="V14" s="1813"/>
      <c r="W14" s="1813"/>
      <c r="X14" s="1813"/>
      <c r="Y14" s="1813"/>
      <c r="Z14" s="1813"/>
      <c r="AA14" s="1813"/>
      <c r="AB14" s="1825" t="s">
        <v>32</v>
      </c>
      <c r="AC14" s="1825"/>
      <c r="AD14" s="1825"/>
      <c r="AE14" s="1825"/>
      <c r="AF14" s="1825"/>
      <c r="AG14" s="1825"/>
      <c r="AH14" s="1825"/>
      <c r="AI14" s="1825"/>
      <c r="AJ14" s="1825"/>
      <c r="AK14" s="1825"/>
      <c r="AL14" s="1825"/>
      <c r="AM14" s="1825"/>
      <c r="AN14" s="1825"/>
      <c r="AO14" s="1825"/>
      <c r="AP14" s="1825"/>
      <c r="AQ14" s="1825"/>
      <c r="AR14" s="1825"/>
      <c r="AS14" s="1825"/>
      <c r="AT14" s="1825"/>
      <c r="AU14" s="1825"/>
      <c r="AV14" s="1825"/>
      <c r="AW14" s="1825"/>
      <c r="AX14" s="1825"/>
      <c r="AY14" s="1825"/>
      <c r="AZ14" s="1825"/>
      <c r="BA14" s="1825"/>
      <c r="BB14" s="1825"/>
      <c r="BC14" s="1825"/>
      <c r="BD14" s="1825"/>
      <c r="BE14" s="1825"/>
      <c r="BF14" s="1825"/>
      <c r="BG14" s="1825"/>
      <c r="BH14" s="1825"/>
      <c r="BI14" s="1825"/>
      <c r="BJ14" s="1825"/>
      <c r="BK14" s="1825"/>
      <c r="BL14" s="1825"/>
      <c r="BM14" s="1825"/>
      <c r="BN14" s="1825"/>
      <c r="BO14" s="1825"/>
      <c r="BP14" s="1825"/>
      <c r="BQ14" s="1825"/>
      <c r="BR14" s="1825"/>
      <c r="BS14" s="1825"/>
      <c r="BT14" s="1825"/>
      <c r="BU14" s="1825"/>
      <c r="BV14" s="1825"/>
      <c r="BW14" s="1825"/>
      <c r="BX14" s="1825"/>
      <c r="BY14" s="1825"/>
      <c r="BZ14" s="1825"/>
      <c r="CA14" s="1825"/>
      <c r="CB14" s="1825"/>
      <c r="CC14" s="1825"/>
      <c r="CD14" s="1825"/>
      <c r="CE14" s="1825"/>
      <c r="CF14" s="1825"/>
      <c r="CG14" s="1825"/>
      <c r="CH14" s="1825"/>
      <c r="CI14" s="1825"/>
      <c r="CJ14" s="1825"/>
      <c r="CK14" s="1825"/>
      <c r="CL14" s="1825"/>
      <c r="CM14" s="1825"/>
      <c r="CN14" s="1825"/>
      <c r="CO14" s="1825"/>
      <c r="CP14" s="1825"/>
      <c r="CQ14" s="1825"/>
      <c r="CR14" s="1825"/>
      <c r="CS14" s="1825"/>
      <c r="CT14" s="1825"/>
      <c r="CU14" s="1825"/>
      <c r="CV14" s="1825"/>
      <c r="CW14" s="1825"/>
      <c r="CX14" s="1825"/>
      <c r="CY14" s="1825"/>
      <c r="CZ14" s="1825"/>
      <c r="DA14" s="1825"/>
      <c r="DB14" s="1825"/>
      <c r="DC14" s="1825"/>
      <c r="DD14" s="1825"/>
      <c r="DE14" s="1825"/>
      <c r="DF14" s="1825"/>
      <c r="DG14" s="1825"/>
      <c r="DH14" s="1825"/>
      <c r="DI14" s="480"/>
      <c r="DJ14" s="1810"/>
      <c r="DK14" s="1810"/>
      <c r="DL14" s="1810"/>
      <c r="DM14" s="1810"/>
      <c r="DN14" s="1810"/>
      <c r="DO14" s="1810"/>
      <c r="DP14" s="1810"/>
      <c r="DQ14" s="1810"/>
      <c r="DR14" s="1810"/>
      <c r="DS14" s="1810"/>
      <c r="DT14" s="1810"/>
      <c r="DU14" s="1810"/>
      <c r="DV14" s="1810"/>
      <c r="DW14" s="1810"/>
      <c r="DX14" s="1810"/>
      <c r="DY14" s="1810"/>
      <c r="DZ14" s="1810"/>
      <c r="EA14" s="1810"/>
      <c r="EB14" s="480"/>
      <c r="EC14" s="1808"/>
      <c r="ED14" s="1808"/>
      <c r="EE14" s="1808"/>
      <c r="EF14" s="1808"/>
      <c r="EG14" s="1808"/>
      <c r="EH14" s="1808"/>
      <c r="EI14" s="1808"/>
      <c r="EJ14" s="1808"/>
      <c r="EK14" s="1808"/>
      <c r="EL14" s="1808"/>
      <c r="EM14" s="1808"/>
      <c r="EN14" s="1808"/>
      <c r="EO14" s="1808"/>
      <c r="EP14" s="1808"/>
      <c r="EQ14" s="1808"/>
      <c r="ER14" s="1808"/>
      <c r="ES14" s="1808"/>
      <c r="ET14" s="1808"/>
      <c r="EU14" s="925"/>
      <c r="EV14" s="925"/>
      <c r="EW14" s="925"/>
      <c r="EX14" s="925"/>
      <c r="EY14" s="925"/>
      <c r="EZ14" s="925"/>
      <c r="FA14" s="925"/>
      <c r="FB14" s="925"/>
      <c r="FC14" s="925"/>
      <c r="FD14" s="925"/>
      <c r="FE14" s="925"/>
      <c r="FF14" s="925"/>
      <c r="FG14" s="925"/>
      <c r="FH14" s="925"/>
      <c r="FI14" s="925"/>
      <c r="FJ14" s="925"/>
      <c r="FK14" s="925"/>
      <c r="FL14" s="925"/>
      <c r="FM14" s="925"/>
      <c r="FN14" s="925"/>
      <c r="FO14" s="925"/>
      <c r="FP14" s="925"/>
      <c r="FQ14" s="925"/>
      <c r="FR14" s="925"/>
      <c r="FS14" s="925"/>
      <c r="FT14" s="925"/>
      <c r="FU14" s="925"/>
      <c r="FV14" s="925"/>
      <c r="FW14" s="925"/>
      <c r="FX14" s="925"/>
      <c r="FY14" s="925"/>
      <c r="FZ14" s="925"/>
      <c r="GA14" s="925"/>
      <c r="GB14" s="925"/>
      <c r="GC14" s="925"/>
      <c r="GD14" s="925"/>
      <c r="GE14" s="925"/>
      <c r="GF14" s="925"/>
      <c r="GG14" s="925"/>
      <c r="GH14" s="925"/>
      <c r="GI14" s="925"/>
      <c r="GJ14" s="925"/>
      <c r="GK14" s="925"/>
      <c r="GL14" s="925"/>
      <c r="GM14" s="925"/>
      <c r="GN14" s="925"/>
      <c r="GO14" s="925"/>
      <c r="GP14" s="925"/>
      <c r="GQ14" s="925"/>
      <c r="GR14" s="925"/>
      <c r="GS14" s="925"/>
      <c r="GT14" s="925"/>
      <c r="GU14" s="925"/>
      <c r="GV14" s="925"/>
      <c r="GW14" s="925"/>
      <c r="GX14" s="925"/>
      <c r="GY14" s="925"/>
      <c r="GZ14" s="925"/>
      <c r="HA14" s="925"/>
      <c r="HB14" s="925"/>
      <c r="HC14" s="925"/>
      <c r="HD14" s="925"/>
      <c r="HE14" s="925"/>
      <c r="HF14" s="925"/>
      <c r="HG14" s="925"/>
      <c r="HH14" s="925"/>
      <c r="HI14" s="925"/>
      <c r="HJ14" s="925"/>
      <c r="HK14" s="925"/>
      <c r="HL14" s="925"/>
      <c r="HM14" s="925"/>
      <c r="HN14" s="925"/>
      <c r="HO14" s="925"/>
      <c r="HP14" s="925"/>
      <c r="HQ14" s="925"/>
      <c r="HR14" s="925"/>
      <c r="HS14" s="925"/>
      <c r="HT14" s="925"/>
      <c r="HU14" s="925"/>
      <c r="HV14" s="925"/>
      <c r="HW14" s="925"/>
      <c r="HX14" s="925"/>
      <c r="HY14" s="925"/>
      <c r="HZ14" s="925"/>
      <c r="IA14" s="925"/>
      <c r="IB14" s="925"/>
      <c r="IC14" s="925"/>
      <c r="ID14" s="925"/>
      <c r="IE14" s="925"/>
      <c r="IF14" s="925"/>
      <c r="IG14" s="925"/>
      <c r="IH14" s="925"/>
      <c r="II14" s="925"/>
      <c r="IJ14" s="925"/>
      <c r="IK14" s="925"/>
      <c r="IL14" s="925"/>
      <c r="IM14" s="925"/>
      <c r="IN14" s="925"/>
      <c r="IO14" s="925"/>
    </row>
    <row r="15" spans="1:249" ht="11.25" customHeight="1">
      <c r="A15" s="480"/>
      <c r="B15" s="480"/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480"/>
      <c r="AU15" s="480"/>
      <c r="AV15" s="480"/>
      <c r="AW15" s="480"/>
      <c r="AX15" s="480"/>
      <c r="AY15" s="480"/>
      <c r="AZ15" s="480"/>
      <c r="BA15" s="480"/>
      <c r="BB15" s="480"/>
      <c r="BC15" s="480"/>
      <c r="BD15" s="480"/>
      <c r="BE15" s="480"/>
      <c r="BF15" s="480"/>
      <c r="BG15" s="480"/>
      <c r="BH15" s="480"/>
      <c r="BI15" s="480"/>
      <c r="BJ15" s="480"/>
      <c r="BK15" s="480"/>
      <c r="BL15" s="480"/>
      <c r="BM15" s="480"/>
      <c r="BN15" s="480"/>
      <c r="BO15" s="480"/>
      <c r="BP15" s="480"/>
      <c r="BQ15" s="480"/>
      <c r="BR15" s="480"/>
      <c r="BS15" s="480"/>
      <c r="BT15" s="480"/>
      <c r="BU15" s="480"/>
      <c r="BV15" s="480"/>
      <c r="BW15" s="480"/>
      <c r="BX15" s="480"/>
      <c r="BY15" s="480"/>
      <c r="BZ15" s="480"/>
      <c r="CA15" s="480"/>
      <c r="CB15" s="480"/>
      <c r="CC15" s="480"/>
      <c r="CD15" s="480"/>
      <c r="CE15" s="480"/>
      <c r="CF15" s="480"/>
      <c r="CG15" s="480"/>
      <c r="CH15" s="480"/>
      <c r="CI15" s="480"/>
      <c r="CJ15" s="480"/>
      <c r="CK15" s="480"/>
      <c r="CL15" s="480"/>
      <c r="CM15" s="480"/>
      <c r="CN15" s="480"/>
      <c r="CO15" s="480"/>
      <c r="CP15" s="480"/>
      <c r="CQ15" s="480"/>
      <c r="CR15" s="480"/>
      <c r="CS15" s="480"/>
      <c r="CT15" s="480"/>
      <c r="CU15" s="480"/>
      <c r="CV15" s="480"/>
      <c r="CW15" s="480"/>
      <c r="CX15" s="480"/>
      <c r="CY15" s="480"/>
      <c r="CZ15" s="480"/>
      <c r="DA15" s="480"/>
      <c r="DB15" s="480"/>
      <c r="DC15" s="480"/>
      <c r="DD15" s="480"/>
      <c r="DE15" s="480"/>
      <c r="DF15" s="480"/>
      <c r="DG15" s="480"/>
      <c r="DH15" s="480"/>
      <c r="DI15" s="480"/>
      <c r="DJ15" s="1810"/>
      <c r="DK15" s="1810"/>
      <c r="DL15" s="1810"/>
      <c r="DM15" s="1810"/>
      <c r="DN15" s="1810"/>
      <c r="DO15" s="1810"/>
      <c r="DP15" s="1810"/>
      <c r="DQ15" s="1810"/>
      <c r="DR15" s="1810"/>
      <c r="DS15" s="1810"/>
      <c r="DT15" s="1810"/>
      <c r="DU15" s="1810"/>
      <c r="DV15" s="1810"/>
      <c r="DW15" s="1810"/>
      <c r="DX15" s="1810"/>
      <c r="DY15" s="1810"/>
      <c r="DZ15" s="1810"/>
      <c r="EA15" s="1810"/>
      <c r="EB15" s="480"/>
      <c r="EC15" s="1808"/>
      <c r="ED15" s="1808"/>
      <c r="EE15" s="1808"/>
      <c r="EF15" s="1808"/>
      <c r="EG15" s="1808"/>
      <c r="EH15" s="1808"/>
      <c r="EI15" s="1808"/>
      <c r="EJ15" s="1808"/>
      <c r="EK15" s="1808"/>
      <c r="EL15" s="1808"/>
      <c r="EM15" s="1808"/>
      <c r="EN15" s="1808"/>
      <c r="EO15" s="1808"/>
      <c r="EP15" s="1808"/>
      <c r="EQ15" s="1808"/>
      <c r="ER15" s="1808"/>
      <c r="ES15" s="1808"/>
      <c r="ET15" s="1808"/>
      <c r="EU15" s="925"/>
      <c r="EV15" s="925"/>
      <c r="EW15" s="925"/>
      <c r="EX15" s="925"/>
      <c r="EY15" s="925"/>
      <c r="EZ15" s="925"/>
      <c r="FA15" s="925"/>
      <c r="FB15" s="925"/>
      <c r="FC15" s="925"/>
      <c r="FD15" s="925"/>
      <c r="FE15" s="925"/>
      <c r="FF15" s="925"/>
      <c r="FG15" s="925"/>
      <c r="FH15" s="925"/>
      <c r="FI15" s="925"/>
      <c r="FJ15" s="925"/>
      <c r="FK15" s="925"/>
      <c r="FL15" s="925"/>
      <c r="FM15" s="925"/>
      <c r="FN15" s="925"/>
      <c r="FO15" s="925"/>
      <c r="FP15" s="925"/>
      <c r="FQ15" s="925"/>
      <c r="FR15" s="925"/>
      <c r="FS15" s="925"/>
      <c r="FT15" s="925"/>
      <c r="FU15" s="925"/>
      <c r="FV15" s="925"/>
      <c r="FW15" s="925"/>
      <c r="FX15" s="925"/>
      <c r="FY15" s="925"/>
      <c r="FZ15" s="925"/>
      <c r="GA15" s="925"/>
      <c r="GB15" s="925"/>
      <c r="GC15" s="925"/>
      <c r="GD15" s="925"/>
      <c r="GE15" s="925"/>
      <c r="GF15" s="925"/>
      <c r="GG15" s="925"/>
      <c r="GH15" s="925"/>
      <c r="GI15" s="925"/>
      <c r="GJ15" s="925"/>
      <c r="GK15" s="925"/>
      <c r="GL15" s="925"/>
      <c r="GM15" s="925"/>
      <c r="GN15" s="925"/>
      <c r="GO15" s="925"/>
      <c r="GP15" s="925"/>
      <c r="GQ15" s="925"/>
      <c r="GR15" s="925"/>
      <c r="GS15" s="925"/>
      <c r="GT15" s="925"/>
      <c r="GU15" s="925"/>
      <c r="GV15" s="925"/>
      <c r="GW15" s="925"/>
      <c r="GX15" s="925"/>
      <c r="GY15" s="925"/>
      <c r="GZ15" s="925"/>
      <c r="HA15" s="925"/>
      <c r="HB15" s="925"/>
      <c r="HC15" s="925"/>
      <c r="HD15" s="925"/>
      <c r="HE15" s="925"/>
      <c r="HF15" s="925"/>
      <c r="HG15" s="925"/>
      <c r="HH15" s="925"/>
      <c r="HI15" s="925"/>
      <c r="HJ15" s="925"/>
      <c r="HK15" s="925"/>
      <c r="HL15" s="925"/>
      <c r="HM15" s="925"/>
      <c r="HN15" s="925"/>
      <c r="HO15" s="925"/>
      <c r="HP15" s="925"/>
      <c r="HQ15" s="925"/>
      <c r="HR15" s="925"/>
      <c r="HS15" s="925"/>
      <c r="HT15" s="925"/>
      <c r="HU15" s="925"/>
      <c r="HV15" s="925"/>
      <c r="HW15" s="925"/>
      <c r="HX15" s="925"/>
      <c r="HY15" s="925"/>
      <c r="HZ15" s="925"/>
      <c r="IA15" s="925"/>
      <c r="IB15" s="925"/>
      <c r="IC15" s="925"/>
      <c r="ID15" s="925"/>
      <c r="IE15" s="925"/>
      <c r="IF15" s="925"/>
      <c r="IG15" s="925"/>
      <c r="IH15" s="925"/>
      <c r="II15" s="925"/>
      <c r="IJ15" s="925"/>
      <c r="IK15" s="925"/>
      <c r="IL15" s="925"/>
      <c r="IM15" s="925"/>
      <c r="IN15" s="925"/>
      <c r="IO15" s="925"/>
    </row>
    <row r="16" spans="1:249" ht="11.25" customHeight="1">
      <c r="A16" s="925"/>
      <c r="B16" s="926"/>
      <c r="C16" s="926"/>
      <c r="D16" s="926"/>
      <c r="E16" s="926"/>
      <c r="F16" s="926"/>
      <c r="G16" s="926"/>
      <c r="H16" s="926"/>
      <c r="I16" s="926"/>
      <c r="J16" s="926"/>
      <c r="K16" s="926"/>
      <c r="L16" s="926"/>
      <c r="M16" s="926"/>
      <c r="N16" s="926"/>
      <c r="O16" s="926"/>
      <c r="P16" s="926"/>
      <c r="Q16" s="926"/>
      <c r="R16" s="926"/>
      <c r="S16" s="926"/>
      <c r="T16" s="926"/>
      <c r="U16" s="926"/>
      <c r="V16" s="926"/>
      <c r="W16" s="926"/>
      <c r="X16" s="926"/>
      <c r="Y16" s="926"/>
      <c r="Z16" s="926"/>
      <c r="AA16" s="926"/>
      <c r="AB16" s="480"/>
      <c r="AC16" s="480"/>
      <c r="AD16" s="480"/>
      <c r="AE16" s="480"/>
      <c r="AF16" s="480"/>
      <c r="AG16" s="480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480"/>
      <c r="AU16" s="480"/>
      <c r="AV16" s="480"/>
      <c r="AW16" s="480"/>
      <c r="AX16" s="480"/>
      <c r="AY16" s="480"/>
      <c r="AZ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480"/>
      <c r="CB16" s="480"/>
      <c r="CC16" s="480"/>
      <c r="CD16" s="480"/>
      <c r="CE16" s="480"/>
      <c r="CF16" s="480"/>
      <c r="CG16" s="480"/>
      <c r="CH16" s="480"/>
      <c r="CI16" s="480"/>
      <c r="CJ16" s="480"/>
      <c r="CK16" s="480"/>
      <c r="CL16" s="480"/>
      <c r="CM16" s="480"/>
      <c r="CN16" s="480"/>
      <c r="CO16" s="480"/>
      <c r="CP16" s="480"/>
      <c r="CQ16" s="480"/>
      <c r="CR16" s="480"/>
      <c r="CS16" s="480"/>
      <c r="CT16" s="480"/>
      <c r="CU16" s="480"/>
      <c r="CV16" s="480"/>
      <c r="CW16" s="480"/>
      <c r="CX16" s="480"/>
      <c r="CY16" s="480"/>
      <c r="CZ16" s="480"/>
      <c r="DA16" s="480"/>
      <c r="DB16" s="480"/>
      <c r="DC16" s="480"/>
      <c r="DD16" s="480"/>
      <c r="DE16" s="480"/>
      <c r="DF16" s="480"/>
      <c r="DG16" s="480"/>
      <c r="DH16" s="480"/>
      <c r="DI16" s="480"/>
      <c r="DJ16" s="1810"/>
      <c r="DK16" s="1810"/>
      <c r="DL16" s="1810"/>
      <c r="DM16" s="1810"/>
      <c r="DN16" s="1810"/>
      <c r="DO16" s="1810"/>
      <c r="DP16" s="1810"/>
      <c r="DQ16" s="1810"/>
      <c r="DR16" s="1810"/>
      <c r="DS16" s="1810"/>
      <c r="DT16" s="1810"/>
      <c r="DU16" s="1810"/>
      <c r="DV16" s="1810"/>
      <c r="DW16" s="1810"/>
      <c r="DX16" s="1810"/>
      <c r="DY16" s="1810"/>
      <c r="DZ16" s="1810"/>
      <c r="EA16" s="1810"/>
      <c r="EB16" s="480"/>
      <c r="EC16" s="1808"/>
      <c r="ED16" s="1808"/>
      <c r="EE16" s="1808"/>
      <c r="EF16" s="1808"/>
      <c r="EG16" s="1808"/>
      <c r="EH16" s="1808"/>
      <c r="EI16" s="1808"/>
      <c r="EJ16" s="1808"/>
      <c r="EK16" s="1808"/>
      <c r="EL16" s="1808"/>
      <c r="EM16" s="1808"/>
      <c r="EN16" s="1808"/>
      <c r="EO16" s="1808"/>
      <c r="EP16" s="1808"/>
      <c r="EQ16" s="1808"/>
      <c r="ER16" s="1808"/>
      <c r="ES16" s="1808"/>
      <c r="ET16" s="1808"/>
      <c r="EU16" s="925"/>
      <c r="EV16" s="925"/>
      <c r="EW16" s="925"/>
      <c r="EX16" s="925"/>
      <c r="EY16" s="925"/>
      <c r="EZ16" s="925"/>
      <c r="FA16" s="925"/>
      <c r="FB16" s="925"/>
      <c r="FC16" s="925"/>
      <c r="FD16" s="925"/>
      <c r="FE16" s="925"/>
      <c r="FF16" s="925"/>
      <c r="FG16" s="925"/>
      <c r="FH16" s="925"/>
      <c r="FI16" s="925"/>
      <c r="FJ16" s="925"/>
      <c r="FK16" s="925"/>
      <c r="FL16" s="925"/>
      <c r="FM16" s="925"/>
      <c r="FN16" s="925"/>
      <c r="FO16" s="925"/>
      <c r="FP16" s="925"/>
      <c r="FQ16" s="925"/>
      <c r="FR16" s="925"/>
      <c r="FS16" s="925"/>
      <c r="FT16" s="925"/>
      <c r="FU16" s="925"/>
      <c r="FV16" s="925"/>
      <c r="FW16" s="925"/>
      <c r="FX16" s="925"/>
      <c r="FY16" s="925"/>
      <c r="FZ16" s="925"/>
      <c r="GA16" s="925"/>
      <c r="GB16" s="925"/>
      <c r="GC16" s="925"/>
      <c r="GD16" s="925"/>
      <c r="GE16" s="925"/>
      <c r="GF16" s="925"/>
      <c r="GG16" s="925"/>
      <c r="GH16" s="925"/>
      <c r="GI16" s="925"/>
      <c r="GJ16" s="925"/>
      <c r="GK16" s="925"/>
      <c r="GL16" s="925"/>
      <c r="GM16" s="925"/>
      <c r="GN16" s="925"/>
      <c r="GO16" s="925"/>
      <c r="GP16" s="925"/>
      <c r="GQ16" s="925"/>
      <c r="GR16" s="925"/>
      <c r="GS16" s="925"/>
      <c r="GT16" s="925"/>
      <c r="GU16" s="925"/>
      <c r="GV16" s="925"/>
      <c r="GW16" s="925"/>
      <c r="GX16" s="925"/>
      <c r="GY16" s="925"/>
      <c r="GZ16" s="925"/>
      <c r="HA16" s="925"/>
      <c r="HB16" s="925"/>
      <c r="HC16" s="925"/>
      <c r="HD16" s="925"/>
      <c r="HE16" s="925"/>
      <c r="HF16" s="925"/>
      <c r="HG16" s="925"/>
      <c r="HH16" s="925"/>
      <c r="HI16" s="925"/>
      <c r="HJ16" s="925"/>
      <c r="HK16" s="925"/>
      <c r="HL16" s="925"/>
      <c r="HM16" s="925"/>
      <c r="HN16" s="925"/>
      <c r="HO16" s="925"/>
      <c r="HP16" s="925"/>
      <c r="HQ16" s="925"/>
      <c r="HR16" s="925"/>
      <c r="HS16" s="925"/>
      <c r="HT16" s="925"/>
      <c r="HU16" s="925"/>
      <c r="HV16" s="925"/>
      <c r="HW16" s="925"/>
      <c r="HX16" s="925"/>
      <c r="HY16" s="925"/>
      <c r="HZ16" s="925"/>
      <c r="IA16" s="925"/>
      <c r="IB16" s="925"/>
      <c r="IC16" s="925"/>
      <c r="ID16" s="925"/>
      <c r="IE16" s="925"/>
      <c r="IF16" s="925"/>
      <c r="IG16" s="925"/>
      <c r="IH16" s="925"/>
      <c r="II16" s="925"/>
      <c r="IJ16" s="925"/>
      <c r="IK16" s="925"/>
      <c r="IL16" s="925"/>
      <c r="IM16" s="925"/>
      <c r="IN16" s="925"/>
      <c r="IO16" s="925"/>
    </row>
    <row r="17" spans="1:249" ht="11.25" customHeight="1">
      <c r="A17" s="483" t="s">
        <v>384</v>
      </c>
      <c r="B17" s="480"/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480"/>
      <c r="Y17" s="480"/>
      <c r="Z17" s="480"/>
      <c r="AA17" s="480"/>
      <c r="AB17" s="480"/>
      <c r="AC17" s="480"/>
      <c r="AD17" s="480"/>
      <c r="AE17" s="480"/>
      <c r="AF17" s="480"/>
      <c r="AG17" s="480"/>
      <c r="AH17" s="480"/>
      <c r="AI17" s="480"/>
      <c r="AJ17" s="480"/>
      <c r="AK17" s="480"/>
      <c r="AL17" s="480"/>
      <c r="AM17" s="480"/>
      <c r="AN17" s="480"/>
      <c r="AO17" s="480"/>
      <c r="AP17" s="480"/>
      <c r="AQ17" s="486"/>
      <c r="AR17" s="486"/>
      <c r="AS17" s="486"/>
      <c r="AT17" s="486"/>
      <c r="AU17" s="486"/>
      <c r="AV17" s="486"/>
      <c r="AW17" s="486"/>
      <c r="AX17" s="486"/>
      <c r="AY17" s="486"/>
      <c r="AZ17" s="486"/>
      <c r="BA17" s="486"/>
      <c r="BB17" s="486"/>
      <c r="BC17" s="486"/>
      <c r="BD17" s="486"/>
      <c r="BE17" s="486"/>
      <c r="BF17" s="486"/>
      <c r="BG17" s="486"/>
      <c r="BH17" s="486"/>
      <c r="BI17" s="486"/>
      <c r="BJ17" s="486"/>
      <c r="BK17" s="486"/>
      <c r="BL17" s="486"/>
      <c r="BM17" s="486"/>
      <c r="BN17" s="486"/>
      <c r="BO17" s="486"/>
      <c r="BP17" s="486"/>
      <c r="BQ17" s="486"/>
      <c r="BR17" s="486"/>
      <c r="BS17" s="486"/>
      <c r="BT17" s="486"/>
      <c r="BU17" s="486"/>
      <c r="BV17" s="486"/>
      <c r="BW17" s="486"/>
      <c r="BX17" s="486"/>
      <c r="BY17" s="486"/>
      <c r="BZ17" s="486"/>
      <c r="CA17" s="486"/>
      <c r="CB17" s="480"/>
      <c r="CC17" s="480"/>
      <c r="CD17" s="480"/>
      <c r="CE17" s="480"/>
      <c r="CF17" s="480"/>
      <c r="CG17" s="480"/>
      <c r="CH17" s="480"/>
      <c r="CI17" s="480"/>
      <c r="CJ17" s="480"/>
      <c r="CK17" s="480"/>
      <c r="CL17" s="480"/>
      <c r="CM17" s="480"/>
      <c r="CN17" s="480"/>
      <c r="CO17" s="480"/>
      <c r="CP17" s="480"/>
      <c r="CQ17" s="480"/>
      <c r="CR17" s="480"/>
      <c r="CS17" s="480"/>
      <c r="CT17" s="480"/>
      <c r="CU17" s="480"/>
      <c r="CV17" s="480"/>
      <c r="CW17" s="480"/>
      <c r="CX17" s="480"/>
      <c r="CY17" s="480"/>
      <c r="CZ17" s="480"/>
      <c r="DA17" s="480"/>
      <c r="DB17" s="480"/>
      <c r="DC17" s="480"/>
      <c r="DD17" s="480"/>
      <c r="DE17" s="480"/>
      <c r="DF17" s="480"/>
      <c r="DG17" s="480"/>
      <c r="DH17" s="480"/>
      <c r="DI17" s="480"/>
      <c r="DJ17" s="1810" t="s">
        <v>269</v>
      </c>
      <c r="DK17" s="1810"/>
      <c r="DL17" s="1810"/>
      <c r="DM17" s="1810"/>
      <c r="DN17" s="1810"/>
      <c r="DO17" s="1810"/>
      <c r="DP17" s="1810"/>
      <c r="DQ17" s="1810"/>
      <c r="DR17" s="1810"/>
      <c r="DS17" s="1810"/>
      <c r="DT17" s="1810"/>
      <c r="DU17" s="1810"/>
      <c r="DV17" s="1810"/>
      <c r="DW17" s="1810"/>
      <c r="DX17" s="1810"/>
      <c r="DY17" s="1810"/>
      <c r="DZ17" s="1810"/>
      <c r="EA17" s="1810"/>
      <c r="EB17" s="480"/>
      <c r="EC17" s="1808" t="s">
        <v>332</v>
      </c>
      <c r="ED17" s="1808"/>
      <c r="EE17" s="1808"/>
      <c r="EF17" s="1808"/>
      <c r="EG17" s="1808"/>
      <c r="EH17" s="1808"/>
      <c r="EI17" s="1808"/>
      <c r="EJ17" s="1808"/>
      <c r="EK17" s="1808"/>
      <c r="EL17" s="1808"/>
      <c r="EM17" s="1808"/>
      <c r="EN17" s="1808"/>
      <c r="EO17" s="1808"/>
      <c r="EP17" s="1808"/>
      <c r="EQ17" s="1808"/>
      <c r="ER17" s="1808"/>
      <c r="ES17" s="1808"/>
      <c r="ET17" s="1808"/>
      <c r="EU17" s="925"/>
      <c r="EV17" s="925"/>
      <c r="EW17" s="925"/>
      <c r="EX17" s="925"/>
      <c r="EY17" s="925"/>
      <c r="EZ17" s="925"/>
      <c r="FA17" s="925"/>
      <c r="FB17" s="925"/>
      <c r="FC17" s="925"/>
      <c r="FD17" s="925"/>
      <c r="FE17" s="925"/>
      <c r="FF17" s="925"/>
      <c r="FG17" s="925"/>
      <c r="FH17" s="925"/>
      <c r="FI17" s="925"/>
      <c r="FJ17" s="925"/>
      <c r="FK17" s="925"/>
      <c r="FL17" s="925"/>
      <c r="FM17" s="925"/>
      <c r="FN17" s="925"/>
      <c r="FO17" s="925"/>
      <c r="FP17" s="925"/>
      <c r="FQ17" s="925"/>
      <c r="FR17" s="925"/>
      <c r="FS17" s="925"/>
      <c r="FT17" s="925"/>
      <c r="FU17" s="925"/>
      <c r="FV17" s="925"/>
      <c r="FW17" s="925"/>
      <c r="FX17" s="925"/>
      <c r="FY17" s="925"/>
      <c r="FZ17" s="925"/>
      <c r="GA17" s="925"/>
      <c r="GB17" s="925"/>
      <c r="GC17" s="925"/>
      <c r="GD17" s="925"/>
      <c r="GE17" s="925"/>
      <c r="GF17" s="925"/>
      <c r="GG17" s="925"/>
      <c r="GH17" s="925"/>
      <c r="GI17" s="925"/>
      <c r="GJ17" s="925"/>
      <c r="GK17" s="925"/>
      <c r="GL17" s="925"/>
      <c r="GM17" s="925"/>
      <c r="GN17" s="925"/>
      <c r="GO17" s="925"/>
      <c r="GP17" s="925"/>
      <c r="GQ17" s="925"/>
      <c r="GR17" s="925"/>
      <c r="GS17" s="925"/>
      <c r="GT17" s="925"/>
      <c r="GU17" s="925"/>
      <c r="GV17" s="925"/>
      <c r="GW17" s="925"/>
      <c r="GX17" s="925"/>
      <c r="GY17" s="925"/>
      <c r="GZ17" s="925"/>
      <c r="HA17" s="925"/>
      <c r="HB17" s="925"/>
      <c r="HC17" s="925"/>
      <c r="HD17" s="925"/>
      <c r="HE17" s="925"/>
      <c r="HF17" s="925"/>
      <c r="HG17" s="925"/>
      <c r="HH17" s="925"/>
      <c r="HI17" s="925"/>
      <c r="HJ17" s="925"/>
      <c r="HK17" s="925"/>
      <c r="HL17" s="925"/>
      <c r="HM17" s="925"/>
      <c r="HN17" s="925"/>
      <c r="HO17" s="925"/>
      <c r="HP17" s="925"/>
      <c r="HQ17" s="925"/>
      <c r="HR17" s="925"/>
      <c r="HS17" s="925"/>
      <c r="HT17" s="925"/>
      <c r="HU17" s="925"/>
      <c r="HV17" s="925"/>
      <c r="HW17" s="925"/>
      <c r="HX17" s="925"/>
      <c r="HY17" s="925"/>
      <c r="HZ17" s="925"/>
      <c r="IA17" s="925"/>
      <c r="IB17" s="925"/>
      <c r="IC17" s="925"/>
      <c r="ID17" s="925"/>
      <c r="IE17" s="925"/>
      <c r="IF17" s="925"/>
      <c r="IG17" s="925"/>
      <c r="IH17" s="925"/>
      <c r="II17" s="925"/>
      <c r="IJ17" s="925"/>
      <c r="IK17" s="925"/>
      <c r="IL17" s="925"/>
      <c r="IM17" s="925"/>
      <c r="IN17" s="925"/>
      <c r="IO17" s="925"/>
    </row>
    <row r="18" spans="1:249" ht="11.25" customHeight="1">
      <c r="A18" s="925"/>
      <c r="B18" s="480"/>
      <c r="C18" s="480"/>
      <c r="D18" s="480"/>
      <c r="E18" s="480"/>
      <c r="F18" s="480"/>
      <c r="G18" s="480"/>
      <c r="H18" s="480"/>
      <c r="I18" s="480"/>
      <c r="J18" s="480"/>
      <c r="K18" s="480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Z18" s="480"/>
      <c r="AA18" s="480"/>
      <c r="AB18" s="480"/>
      <c r="AC18" s="480"/>
      <c r="AD18" s="480"/>
      <c r="AE18" s="480"/>
      <c r="AF18" s="480"/>
      <c r="AG18" s="480"/>
      <c r="AH18" s="480"/>
      <c r="AI18" s="480"/>
      <c r="AJ18" s="480"/>
      <c r="AK18" s="480"/>
      <c r="AL18" s="480"/>
      <c r="AM18" s="480"/>
      <c r="AN18" s="480"/>
      <c r="AO18" s="480"/>
      <c r="AP18" s="1811" t="s">
        <v>253</v>
      </c>
      <c r="AQ18" s="1724"/>
      <c r="AR18" s="1724"/>
      <c r="AS18" s="1724"/>
      <c r="AT18" s="1724"/>
      <c r="AU18" s="1724"/>
      <c r="AV18" s="1724"/>
      <c r="AW18" s="1724"/>
      <c r="AX18" s="1724"/>
      <c r="AY18" s="1724"/>
      <c r="AZ18" s="1724"/>
      <c r="BA18" s="1724"/>
      <c r="BB18" s="1724"/>
      <c r="BC18" s="1724"/>
      <c r="BD18" s="1724"/>
      <c r="BE18" s="1724"/>
      <c r="BF18" s="1724"/>
      <c r="BG18" s="1724"/>
      <c r="BH18" s="1724"/>
      <c r="BI18" s="1724"/>
      <c r="BJ18" s="1724"/>
      <c r="BK18" s="1724"/>
      <c r="BL18" s="1724"/>
      <c r="BM18" s="1724"/>
      <c r="BN18" s="1724"/>
      <c r="BO18" s="1724"/>
      <c r="BP18" s="1724"/>
      <c r="BQ18" s="1724"/>
      <c r="BR18" s="1724"/>
      <c r="BS18" s="1724"/>
      <c r="BT18" s="1724"/>
      <c r="BU18" s="1724"/>
      <c r="BV18" s="1724"/>
      <c r="BW18" s="1724"/>
      <c r="BX18" s="1724"/>
      <c r="BY18" s="1724"/>
      <c r="BZ18" s="1724"/>
      <c r="CA18" s="1724"/>
      <c r="CB18" s="1724"/>
      <c r="CC18" s="480"/>
      <c r="CD18" s="480"/>
      <c r="CE18" s="480"/>
      <c r="CF18" s="480"/>
      <c r="CG18" s="480"/>
      <c r="CH18" s="480"/>
      <c r="CI18" s="480"/>
      <c r="CJ18" s="480"/>
      <c r="CK18" s="480"/>
      <c r="CL18" s="480"/>
      <c r="CM18" s="480"/>
      <c r="CN18" s="480"/>
      <c r="CO18" s="480"/>
      <c r="CP18" s="480"/>
      <c r="CQ18" s="480"/>
      <c r="CR18" s="480"/>
      <c r="CS18" s="480"/>
      <c r="CT18" s="480"/>
      <c r="CU18" s="480"/>
      <c r="CV18" s="480"/>
      <c r="CW18" s="480"/>
      <c r="CX18" s="480"/>
      <c r="CY18" s="480"/>
      <c r="CZ18" s="480"/>
      <c r="DA18" s="480"/>
      <c r="DB18" s="480"/>
      <c r="DC18" s="480"/>
      <c r="DD18" s="480"/>
      <c r="DE18" s="480"/>
      <c r="DF18" s="480"/>
      <c r="DG18" s="480"/>
      <c r="DH18" s="480"/>
      <c r="DI18" s="480"/>
      <c r="DJ18" s="1810"/>
      <c r="DK18" s="1810"/>
      <c r="DL18" s="1810"/>
      <c r="DM18" s="1810"/>
      <c r="DN18" s="1810"/>
      <c r="DO18" s="1810"/>
      <c r="DP18" s="1810"/>
      <c r="DQ18" s="1810"/>
      <c r="DR18" s="1810"/>
      <c r="DS18" s="1810"/>
      <c r="DT18" s="1810"/>
      <c r="DU18" s="1810"/>
      <c r="DV18" s="1810"/>
      <c r="DW18" s="1810"/>
      <c r="DX18" s="1810"/>
      <c r="DY18" s="1810"/>
      <c r="DZ18" s="1810"/>
      <c r="EA18" s="1810"/>
      <c r="EB18" s="480"/>
      <c r="EC18" s="1808"/>
      <c r="ED18" s="1808"/>
      <c r="EE18" s="1808"/>
      <c r="EF18" s="1808"/>
      <c r="EG18" s="1808"/>
      <c r="EH18" s="1808"/>
      <c r="EI18" s="1808"/>
      <c r="EJ18" s="1808"/>
      <c r="EK18" s="1808"/>
      <c r="EL18" s="1808"/>
      <c r="EM18" s="1808"/>
      <c r="EN18" s="1808"/>
      <c r="EO18" s="1808"/>
      <c r="EP18" s="1808"/>
      <c r="EQ18" s="1808"/>
      <c r="ER18" s="1808"/>
      <c r="ES18" s="1808"/>
      <c r="ET18" s="1808"/>
      <c r="EU18" s="925"/>
      <c r="EV18" s="925"/>
      <c r="EW18" s="925"/>
      <c r="EX18" s="925"/>
      <c r="EY18" s="925"/>
      <c r="EZ18" s="925"/>
      <c r="FA18" s="925"/>
      <c r="FB18" s="925"/>
      <c r="FC18" s="925"/>
      <c r="FD18" s="925"/>
      <c r="FE18" s="925"/>
      <c r="FF18" s="925"/>
      <c r="FG18" s="925"/>
      <c r="FH18" s="925"/>
      <c r="FI18" s="925"/>
      <c r="FJ18" s="925"/>
      <c r="FK18" s="925"/>
      <c r="FL18" s="925"/>
      <c r="FM18" s="925"/>
      <c r="FN18" s="925"/>
      <c r="FO18" s="925"/>
      <c r="FP18" s="925"/>
      <c r="FQ18" s="925"/>
      <c r="FR18" s="925"/>
      <c r="FS18" s="925"/>
      <c r="FT18" s="925"/>
      <c r="FU18" s="925"/>
      <c r="FV18" s="925"/>
      <c r="FW18" s="925"/>
      <c r="FX18" s="925"/>
      <c r="FY18" s="925"/>
      <c r="FZ18" s="925"/>
      <c r="GA18" s="925"/>
      <c r="GB18" s="925"/>
      <c r="GC18" s="925"/>
      <c r="GD18" s="925"/>
      <c r="GE18" s="925"/>
      <c r="GF18" s="925"/>
      <c r="GG18" s="925"/>
      <c r="GH18" s="925"/>
      <c r="GI18" s="925"/>
      <c r="GJ18" s="925"/>
      <c r="GK18" s="925"/>
      <c r="GL18" s="925"/>
      <c r="GM18" s="925"/>
      <c r="GN18" s="925"/>
      <c r="GO18" s="925"/>
      <c r="GP18" s="925"/>
      <c r="GQ18" s="925"/>
      <c r="GR18" s="925"/>
      <c r="GS18" s="925"/>
      <c r="GT18" s="925"/>
      <c r="GU18" s="925"/>
      <c r="GV18" s="925"/>
      <c r="GW18" s="925"/>
      <c r="GX18" s="925"/>
      <c r="GY18" s="925"/>
      <c r="GZ18" s="925"/>
      <c r="HA18" s="925"/>
      <c r="HB18" s="925"/>
      <c r="HC18" s="925"/>
      <c r="HD18" s="925"/>
      <c r="HE18" s="925"/>
      <c r="HF18" s="925"/>
      <c r="HG18" s="925"/>
      <c r="HH18" s="925"/>
      <c r="HI18" s="925"/>
      <c r="HJ18" s="925"/>
      <c r="HK18" s="925"/>
      <c r="HL18" s="925"/>
      <c r="HM18" s="925"/>
      <c r="HN18" s="925"/>
      <c r="HO18" s="925"/>
      <c r="HP18" s="925"/>
      <c r="HQ18" s="925"/>
      <c r="HR18" s="925"/>
      <c r="HS18" s="925"/>
      <c r="HT18" s="925"/>
      <c r="HU18" s="925"/>
      <c r="HV18" s="925"/>
      <c r="HW18" s="925"/>
      <c r="HX18" s="925"/>
      <c r="HY18" s="925"/>
      <c r="HZ18" s="925"/>
      <c r="IA18" s="925"/>
      <c r="IB18" s="925"/>
      <c r="IC18" s="925"/>
      <c r="ID18" s="925"/>
      <c r="IE18" s="925"/>
      <c r="IF18" s="925"/>
      <c r="IG18" s="925"/>
      <c r="IH18" s="925"/>
      <c r="II18" s="925"/>
      <c r="IJ18" s="925"/>
      <c r="IK18" s="925"/>
      <c r="IL18" s="925"/>
      <c r="IM18" s="925"/>
      <c r="IN18" s="925"/>
      <c r="IO18" s="925"/>
    </row>
    <row r="19" spans="1:249" ht="11.25" customHeight="1">
      <c r="A19" s="480"/>
      <c r="B19" s="480"/>
      <c r="C19" s="480"/>
      <c r="D19" s="480"/>
      <c r="E19" s="480"/>
      <c r="F19" s="480"/>
      <c r="G19" s="480"/>
      <c r="H19" s="480"/>
      <c r="I19" s="480"/>
      <c r="J19" s="480"/>
      <c r="K19" s="480"/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Z19" s="480"/>
      <c r="AA19" s="480"/>
      <c r="AB19" s="480"/>
      <c r="AC19" s="480"/>
      <c r="AD19" s="480"/>
      <c r="AE19" s="480"/>
      <c r="AF19" s="480"/>
      <c r="AG19" s="480"/>
      <c r="AH19" s="480"/>
      <c r="AI19" s="480"/>
      <c r="AJ19" s="480"/>
      <c r="AK19" s="480"/>
      <c r="AL19" s="480"/>
      <c r="AM19" s="480"/>
      <c r="AN19" s="480"/>
      <c r="AO19" s="480"/>
      <c r="AP19" s="1811"/>
      <c r="AQ19" s="1724"/>
      <c r="AR19" s="1724"/>
      <c r="AS19" s="1724"/>
      <c r="AT19" s="1724"/>
      <c r="AU19" s="1724"/>
      <c r="AV19" s="1724"/>
      <c r="AW19" s="1724"/>
      <c r="AX19" s="1724"/>
      <c r="AY19" s="1724"/>
      <c r="AZ19" s="1724"/>
      <c r="BA19" s="1724"/>
      <c r="BB19" s="1724"/>
      <c r="BC19" s="1724"/>
      <c r="BD19" s="1724"/>
      <c r="BE19" s="1724"/>
      <c r="BF19" s="1724"/>
      <c r="BG19" s="1724"/>
      <c r="BH19" s="1724"/>
      <c r="BI19" s="1724"/>
      <c r="BJ19" s="1724"/>
      <c r="BK19" s="1724"/>
      <c r="BL19" s="1724"/>
      <c r="BM19" s="1724"/>
      <c r="BN19" s="1724"/>
      <c r="BO19" s="1724"/>
      <c r="BP19" s="1724"/>
      <c r="BQ19" s="1724"/>
      <c r="BR19" s="1724"/>
      <c r="BS19" s="1724"/>
      <c r="BT19" s="1724"/>
      <c r="BU19" s="1724"/>
      <c r="BV19" s="1724"/>
      <c r="BW19" s="1724"/>
      <c r="BX19" s="1724"/>
      <c r="BY19" s="1724"/>
      <c r="BZ19" s="1724"/>
      <c r="CA19" s="1724"/>
      <c r="CB19" s="1724"/>
      <c r="CC19" s="480"/>
      <c r="CD19" s="480"/>
      <c r="CE19" s="480"/>
      <c r="CF19" s="480"/>
      <c r="CG19" s="480"/>
      <c r="CH19" s="480"/>
      <c r="CI19" s="480"/>
      <c r="CJ19" s="480"/>
      <c r="CK19" s="480"/>
      <c r="CL19" s="480"/>
      <c r="CM19" s="480"/>
      <c r="CN19" s="480"/>
      <c r="CO19" s="480"/>
      <c r="CP19" s="480"/>
      <c r="CQ19" s="480"/>
      <c r="CR19" s="480"/>
      <c r="CS19" s="480"/>
      <c r="CT19" s="480"/>
      <c r="CU19" s="480"/>
      <c r="CV19" s="480"/>
      <c r="CW19" s="480"/>
      <c r="CX19" s="480"/>
      <c r="CY19" s="480"/>
      <c r="CZ19" s="480"/>
      <c r="DA19" s="480"/>
      <c r="DB19" s="480"/>
      <c r="DC19" s="480"/>
      <c r="DD19" s="480"/>
      <c r="DE19" s="480"/>
      <c r="DF19" s="480"/>
      <c r="DG19" s="480"/>
      <c r="DH19" s="480"/>
      <c r="DI19" s="480"/>
      <c r="DJ19" s="1812" t="s">
        <v>89</v>
      </c>
      <c r="DK19" s="1812"/>
      <c r="DL19" s="1812"/>
      <c r="DM19" s="1812"/>
      <c r="DN19" s="1812"/>
      <c r="DO19" s="1812"/>
      <c r="DP19" s="1812"/>
      <c r="DQ19" s="1812"/>
      <c r="DR19" s="1812"/>
      <c r="DS19" s="1812"/>
      <c r="DT19" s="1812"/>
      <c r="DU19" s="1812"/>
      <c r="DV19" s="1812"/>
      <c r="DW19" s="1812"/>
      <c r="DX19" s="1812"/>
      <c r="DY19" s="1812"/>
      <c r="DZ19" s="1812"/>
      <c r="EA19" s="1812"/>
      <c r="EB19" s="480"/>
      <c r="EC19" s="1808" t="s">
        <v>331</v>
      </c>
      <c r="ED19" s="1808"/>
      <c r="EE19" s="1808"/>
      <c r="EF19" s="1808"/>
      <c r="EG19" s="1808"/>
      <c r="EH19" s="1808"/>
      <c r="EI19" s="1808"/>
      <c r="EJ19" s="1808"/>
      <c r="EK19" s="1808"/>
      <c r="EL19" s="1808"/>
      <c r="EM19" s="1808"/>
      <c r="EN19" s="1808"/>
      <c r="EO19" s="1808"/>
      <c r="EP19" s="1808"/>
      <c r="EQ19" s="1808"/>
      <c r="ER19" s="1808"/>
      <c r="ES19" s="1808"/>
      <c r="ET19" s="1808"/>
      <c r="EU19" s="925"/>
      <c r="EV19" s="925"/>
      <c r="EW19" s="925"/>
      <c r="EX19" s="925"/>
      <c r="EY19" s="925"/>
      <c r="EZ19" s="925"/>
      <c r="FA19" s="925"/>
      <c r="FB19" s="925"/>
      <c r="FC19" s="925"/>
      <c r="FD19" s="925"/>
      <c r="FE19" s="925"/>
      <c r="FF19" s="925"/>
      <c r="FG19" s="925"/>
      <c r="FH19" s="925"/>
      <c r="FI19" s="925"/>
      <c r="FJ19" s="925"/>
      <c r="FK19" s="925"/>
      <c r="FL19" s="925"/>
      <c r="FM19" s="925"/>
      <c r="FN19" s="925"/>
      <c r="FO19" s="925"/>
      <c r="FP19" s="925"/>
      <c r="FQ19" s="925"/>
      <c r="FR19" s="925"/>
      <c r="FS19" s="925"/>
      <c r="FT19" s="925"/>
      <c r="FU19" s="925"/>
      <c r="FV19" s="925"/>
      <c r="FW19" s="925"/>
      <c r="FX19" s="925"/>
      <c r="FY19" s="925"/>
      <c r="FZ19" s="925"/>
      <c r="GA19" s="925"/>
      <c r="GB19" s="925"/>
      <c r="GC19" s="925"/>
      <c r="GD19" s="925"/>
      <c r="GE19" s="925"/>
      <c r="GF19" s="925"/>
      <c r="GG19" s="925"/>
      <c r="GH19" s="925"/>
      <c r="GI19" s="925"/>
      <c r="GJ19" s="925"/>
      <c r="GK19" s="925"/>
      <c r="GL19" s="925"/>
      <c r="GM19" s="925"/>
      <c r="GN19" s="925"/>
      <c r="GO19" s="925"/>
      <c r="GP19" s="925"/>
      <c r="GQ19" s="925"/>
      <c r="GR19" s="925"/>
      <c r="GS19" s="925"/>
      <c r="GT19" s="925"/>
      <c r="GU19" s="925"/>
      <c r="GV19" s="925"/>
      <c r="GW19" s="925"/>
      <c r="GX19" s="925"/>
      <c r="GY19" s="925"/>
      <c r="GZ19" s="925"/>
      <c r="HA19" s="925"/>
      <c r="HB19" s="925"/>
      <c r="HC19" s="925"/>
      <c r="HD19" s="925"/>
      <c r="HE19" s="925"/>
      <c r="HF19" s="925"/>
      <c r="HG19" s="925"/>
      <c r="HH19" s="925"/>
      <c r="HI19" s="925"/>
      <c r="HJ19" s="925"/>
      <c r="HK19" s="925"/>
      <c r="HL19" s="925"/>
      <c r="HM19" s="925"/>
      <c r="HN19" s="925"/>
      <c r="HO19" s="925"/>
      <c r="HP19" s="925"/>
      <c r="HQ19" s="925"/>
      <c r="HR19" s="925"/>
      <c r="HS19" s="925"/>
      <c r="HT19" s="925"/>
      <c r="HU19" s="925"/>
      <c r="HV19" s="925"/>
      <c r="HW19" s="925"/>
      <c r="HX19" s="925"/>
      <c r="HY19" s="925"/>
      <c r="HZ19" s="925"/>
      <c r="IA19" s="925"/>
      <c r="IB19" s="925"/>
      <c r="IC19" s="925"/>
      <c r="ID19" s="925"/>
      <c r="IE19" s="925"/>
      <c r="IF19" s="925"/>
      <c r="IG19" s="925"/>
      <c r="IH19" s="925"/>
      <c r="II19" s="925"/>
      <c r="IJ19" s="925"/>
      <c r="IK19" s="925"/>
      <c r="IL19" s="925"/>
      <c r="IM19" s="925"/>
      <c r="IN19" s="925"/>
      <c r="IO19" s="925"/>
    </row>
    <row r="20" spans="1:249" ht="11.25" customHeight="1">
      <c r="A20" s="480"/>
      <c r="B20" s="480"/>
      <c r="C20" s="480"/>
      <c r="D20" s="480"/>
      <c r="E20" s="480"/>
      <c r="F20" s="480"/>
      <c r="G20" s="480"/>
      <c r="H20" s="480"/>
      <c r="I20" s="480"/>
      <c r="J20" s="480"/>
      <c r="K20" s="480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Z20" s="480"/>
      <c r="AA20" s="480"/>
      <c r="AB20" s="480"/>
      <c r="AC20" s="480"/>
      <c r="AD20" s="480"/>
      <c r="AE20" s="480"/>
      <c r="AF20" s="480"/>
      <c r="AG20" s="480"/>
      <c r="AH20" s="480"/>
      <c r="AI20" s="480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480"/>
      <c r="AU20" s="480"/>
      <c r="AV20" s="480"/>
      <c r="AW20" s="480"/>
      <c r="AX20" s="480"/>
      <c r="AY20" s="480"/>
      <c r="AZ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480"/>
      <c r="CB20" s="480"/>
      <c r="CC20" s="480"/>
      <c r="CD20" s="480"/>
      <c r="CE20" s="480"/>
      <c r="CF20" s="480"/>
      <c r="CG20" s="480"/>
      <c r="CH20" s="480"/>
      <c r="CI20" s="480"/>
      <c r="CJ20" s="480"/>
      <c r="CK20" s="480"/>
      <c r="CL20" s="480"/>
      <c r="CM20" s="480"/>
      <c r="CN20" s="480"/>
      <c r="CO20" s="480"/>
      <c r="CP20" s="480"/>
      <c r="CQ20" s="480"/>
      <c r="CR20" s="480"/>
      <c r="CS20" s="480"/>
      <c r="CT20" s="480"/>
      <c r="CU20" s="480"/>
      <c r="CV20" s="480"/>
      <c r="CW20" s="480"/>
      <c r="CX20" s="480"/>
      <c r="CY20" s="480"/>
      <c r="CZ20" s="480"/>
      <c r="DA20" s="480"/>
      <c r="DB20" s="480"/>
      <c r="DC20" s="480"/>
      <c r="DD20" s="480"/>
      <c r="DE20" s="480"/>
      <c r="DF20" s="480"/>
      <c r="DG20" s="480"/>
      <c r="DH20" s="480"/>
      <c r="DI20" s="480"/>
      <c r="DJ20" s="1812"/>
      <c r="DK20" s="1812"/>
      <c r="DL20" s="1812"/>
      <c r="DM20" s="1812"/>
      <c r="DN20" s="1812"/>
      <c r="DO20" s="1812"/>
      <c r="DP20" s="1812"/>
      <c r="DQ20" s="1812"/>
      <c r="DR20" s="1812"/>
      <c r="DS20" s="1812"/>
      <c r="DT20" s="1812"/>
      <c r="DU20" s="1812"/>
      <c r="DV20" s="1812"/>
      <c r="DW20" s="1812"/>
      <c r="DX20" s="1812"/>
      <c r="DY20" s="1812"/>
      <c r="DZ20" s="1812"/>
      <c r="EA20" s="1812"/>
      <c r="EB20" s="480"/>
      <c r="EC20" s="1808"/>
      <c r="ED20" s="1808"/>
      <c r="EE20" s="1808"/>
      <c r="EF20" s="1808"/>
      <c r="EG20" s="1808"/>
      <c r="EH20" s="1808"/>
      <c r="EI20" s="1808"/>
      <c r="EJ20" s="1808"/>
      <c r="EK20" s="1808"/>
      <c r="EL20" s="1808"/>
      <c r="EM20" s="1808"/>
      <c r="EN20" s="1808"/>
      <c r="EO20" s="1808"/>
      <c r="EP20" s="1808"/>
      <c r="EQ20" s="1808"/>
      <c r="ER20" s="1808"/>
      <c r="ES20" s="1808"/>
      <c r="ET20" s="1808"/>
      <c r="EU20" s="925"/>
      <c r="EV20" s="925"/>
      <c r="EW20" s="925"/>
      <c r="EX20" s="925"/>
      <c r="EY20" s="925"/>
      <c r="EZ20" s="925"/>
      <c r="FA20" s="925"/>
      <c r="FB20" s="925"/>
      <c r="FC20" s="925"/>
      <c r="FD20" s="925"/>
      <c r="FE20" s="925"/>
      <c r="FF20" s="925"/>
      <c r="FG20" s="925"/>
      <c r="FH20" s="925"/>
      <c r="FI20" s="925"/>
      <c r="FJ20" s="925"/>
      <c r="FK20" s="925"/>
      <c r="FL20" s="925"/>
      <c r="FM20" s="925"/>
      <c r="FN20" s="925"/>
      <c r="FO20" s="925"/>
      <c r="FP20" s="925"/>
      <c r="FQ20" s="925"/>
      <c r="FR20" s="925"/>
      <c r="FS20" s="925"/>
      <c r="FT20" s="925"/>
      <c r="FU20" s="925"/>
      <c r="FV20" s="925"/>
      <c r="FW20" s="925"/>
      <c r="FX20" s="925"/>
      <c r="FY20" s="925"/>
      <c r="FZ20" s="925"/>
      <c r="GA20" s="925"/>
      <c r="GB20" s="925"/>
      <c r="GC20" s="925"/>
      <c r="GD20" s="925"/>
      <c r="GE20" s="925"/>
      <c r="GF20" s="925"/>
      <c r="GG20" s="925"/>
      <c r="GH20" s="925"/>
      <c r="GI20" s="925"/>
      <c r="GJ20" s="925"/>
      <c r="GK20" s="925"/>
      <c r="GL20" s="925"/>
      <c r="GM20" s="925"/>
      <c r="GN20" s="925"/>
      <c r="GO20" s="925"/>
      <c r="GP20" s="925"/>
      <c r="GQ20" s="925"/>
      <c r="GR20" s="925"/>
      <c r="GS20" s="925"/>
      <c r="GT20" s="925"/>
      <c r="GU20" s="925"/>
      <c r="GV20" s="925"/>
      <c r="GW20" s="925"/>
      <c r="GX20" s="925"/>
      <c r="GY20" s="925"/>
      <c r="GZ20" s="925"/>
      <c r="HA20" s="925"/>
      <c r="HB20" s="925"/>
      <c r="HC20" s="925"/>
      <c r="HD20" s="925"/>
      <c r="HE20" s="925"/>
      <c r="HF20" s="925"/>
      <c r="HG20" s="925"/>
      <c r="HH20" s="925"/>
      <c r="HI20" s="925"/>
      <c r="HJ20" s="925"/>
      <c r="HK20" s="925"/>
      <c r="HL20" s="925"/>
      <c r="HM20" s="925"/>
      <c r="HN20" s="925"/>
      <c r="HO20" s="925"/>
      <c r="HP20" s="925"/>
      <c r="HQ20" s="925"/>
      <c r="HR20" s="925"/>
      <c r="HS20" s="925"/>
      <c r="HT20" s="925"/>
      <c r="HU20" s="925"/>
      <c r="HV20" s="925"/>
      <c r="HW20" s="925"/>
      <c r="HX20" s="925"/>
      <c r="HY20" s="925"/>
      <c r="HZ20" s="925"/>
      <c r="IA20" s="925"/>
      <c r="IB20" s="925"/>
      <c r="IC20" s="925"/>
      <c r="ID20" s="925"/>
      <c r="IE20" s="925"/>
      <c r="IF20" s="925"/>
      <c r="IG20" s="925"/>
      <c r="IH20" s="925"/>
      <c r="II20" s="925"/>
      <c r="IJ20" s="925"/>
      <c r="IK20" s="925"/>
      <c r="IL20" s="925"/>
      <c r="IM20" s="925"/>
      <c r="IN20" s="925"/>
      <c r="IO20" s="925"/>
    </row>
    <row r="21" spans="1:249" ht="11.25" customHeight="1">
      <c r="A21" s="480"/>
      <c r="B21" s="480"/>
      <c r="C21" s="480"/>
      <c r="D21" s="480"/>
      <c r="E21" s="480"/>
      <c r="F21" s="480"/>
      <c r="G21" s="480"/>
      <c r="H21" s="480"/>
      <c r="I21" s="480"/>
      <c r="J21" s="480"/>
      <c r="K21" s="480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Z21" s="480"/>
      <c r="AA21" s="480"/>
      <c r="AB21" s="480"/>
      <c r="AC21" s="480"/>
      <c r="AD21" s="480"/>
      <c r="AE21" s="480"/>
      <c r="AF21" s="480"/>
      <c r="AG21" s="480"/>
      <c r="AH21" s="480"/>
      <c r="AI21" s="480"/>
      <c r="AJ21" s="480"/>
      <c r="AK21" s="480"/>
      <c r="AL21" s="480"/>
      <c r="AM21" s="480"/>
      <c r="AN21" s="480"/>
      <c r="AO21" s="480"/>
      <c r="AP21" s="480"/>
      <c r="AQ21" s="480"/>
      <c r="AR21" s="480"/>
      <c r="AS21" s="480"/>
      <c r="AT21" s="480"/>
      <c r="AU21" s="480"/>
      <c r="AV21" s="480"/>
      <c r="AW21" s="480"/>
      <c r="AX21" s="480"/>
      <c r="AY21" s="480"/>
      <c r="AZ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480"/>
      <c r="CB21" s="480"/>
      <c r="CC21" s="480"/>
      <c r="CD21" s="480"/>
      <c r="CE21" s="480"/>
      <c r="CF21" s="480"/>
      <c r="CG21" s="480"/>
      <c r="CH21" s="480"/>
      <c r="CI21" s="480"/>
      <c r="CJ21" s="480"/>
      <c r="CK21" s="480"/>
      <c r="CL21" s="480"/>
      <c r="CM21" s="480"/>
      <c r="CN21" s="480"/>
      <c r="CO21" s="480"/>
      <c r="CP21" s="480"/>
      <c r="CQ21" s="480"/>
      <c r="CR21" s="480"/>
      <c r="CS21" s="480"/>
      <c r="CT21" s="480"/>
      <c r="CU21" s="1807" t="s">
        <v>65</v>
      </c>
      <c r="CV21" s="1807"/>
      <c r="CW21" s="1807"/>
      <c r="CX21" s="1807"/>
      <c r="CY21" s="1807"/>
      <c r="CZ21" s="1807"/>
      <c r="DA21" s="1807"/>
      <c r="DB21" s="1807"/>
      <c r="DC21" s="1807"/>
      <c r="DD21" s="1807"/>
      <c r="DE21" s="1807"/>
      <c r="DF21" s="1807"/>
      <c r="DG21" s="1807"/>
      <c r="DH21" s="1807"/>
      <c r="DI21" s="1807"/>
      <c r="DJ21" s="1807"/>
      <c r="DK21" s="1807"/>
      <c r="DL21" s="1807"/>
      <c r="DM21" s="1807"/>
      <c r="DN21" s="1807"/>
      <c r="DO21" s="1807"/>
      <c r="DP21" s="1807"/>
      <c r="DQ21" s="1807"/>
      <c r="DR21" s="1807"/>
      <c r="DS21" s="1807"/>
      <c r="DT21" s="1807"/>
      <c r="DU21" s="1807"/>
      <c r="DV21" s="1807"/>
      <c r="DW21" s="1807"/>
      <c r="DX21" s="1807"/>
      <c r="DY21" s="1807"/>
      <c r="DZ21" s="1807"/>
      <c r="EA21" s="1807"/>
      <c r="EB21" s="480"/>
      <c r="EC21" s="1808" t="s">
        <v>31</v>
      </c>
      <c r="ED21" s="1808"/>
      <c r="EE21" s="1808"/>
      <c r="EF21" s="1808"/>
      <c r="EG21" s="1808"/>
      <c r="EH21" s="1808"/>
      <c r="EI21" s="1808"/>
      <c r="EJ21" s="1808"/>
      <c r="EK21" s="1808"/>
      <c r="EL21" s="1808"/>
      <c r="EM21" s="1808"/>
      <c r="EN21" s="1808"/>
      <c r="EO21" s="1808"/>
      <c r="EP21" s="1808"/>
      <c r="EQ21" s="1808"/>
      <c r="ER21" s="1808"/>
      <c r="ES21" s="1808"/>
      <c r="ET21" s="1808"/>
      <c r="EU21" s="925"/>
      <c r="EV21" s="925"/>
      <c r="EW21" s="925"/>
      <c r="EX21" s="925"/>
      <c r="EY21" s="925"/>
      <c r="EZ21" s="925"/>
      <c r="FA21" s="925"/>
      <c r="FB21" s="925"/>
      <c r="FC21" s="925"/>
      <c r="FD21" s="925"/>
      <c r="FE21" s="925"/>
      <c r="FF21" s="925"/>
      <c r="FG21" s="925"/>
      <c r="FH21" s="925"/>
      <c r="FI21" s="925"/>
      <c r="FJ21" s="925"/>
      <c r="FK21" s="925"/>
      <c r="FL21" s="925"/>
      <c r="FM21" s="925"/>
      <c r="FN21" s="925"/>
      <c r="FO21" s="925"/>
      <c r="FP21" s="925"/>
      <c r="FQ21" s="925"/>
      <c r="FR21" s="925"/>
      <c r="FS21" s="925"/>
      <c r="FT21" s="925"/>
      <c r="FU21" s="925"/>
      <c r="FV21" s="925"/>
      <c r="FW21" s="925"/>
      <c r="FX21" s="925"/>
      <c r="FY21" s="925"/>
      <c r="FZ21" s="925"/>
      <c r="GA21" s="925"/>
      <c r="GB21" s="925"/>
      <c r="GC21" s="925"/>
      <c r="GD21" s="925"/>
      <c r="GE21" s="925"/>
      <c r="GF21" s="925"/>
      <c r="GG21" s="925"/>
      <c r="GH21" s="925"/>
      <c r="GI21" s="925"/>
      <c r="GJ21" s="925"/>
      <c r="GK21" s="925"/>
      <c r="GL21" s="925"/>
      <c r="GM21" s="925"/>
      <c r="GN21" s="925"/>
      <c r="GO21" s="925"/>
      <c r="GP21" s="925"/>
      <c r="GQ21" s="925"/>
      <c r="GR21" s="925"/>
      <c r="GS21" s="925"/>
      <c r="GT21" s="925"/>
      <c r="GU21" s="925"/>
      <c r="GV21" s="925"/>
      <c r="GW21" s="925"/>
      <c r="GX21" s="925"/>
      <c r="GY21" s="925"/>
      <c r="GZ21" s="925"/>
      <c r="HA21" s="925"/>
      <c r="HB21" s="925"/>
      <c r="HC21" s="925"/>
      <c r="HD21" s="925"/>
      <c r="HE21" s="925"/>
      <c r="HF21" s="925"/>
      <c r="HG21" s="925"/>
      <c r="HH21" s="925"/>
      <c r="HI21" s="925"/>
      <c r="HJ21" s="925"/>
      <c r="HK21" s="925"/>
      <c r="HL21" s="925"/>
      <c r="HM21" s="925"/>
      <c r="HN21" s="925"/>
      <c r="HO21" s="925"/>
      <c r="HP21" s="925"/>
      <c r="HQ21" s="925"/>
      <c r="HR21" s="925"/>
      <c r="HS21" s="925"/>
      <c r="HT21" s="925"/>
      <c r="HU21" s="925"/>
      <c r="HV21" s="925"/>
      <c r="HW21" s="925"/>
      <c r="HX21" s="925"/>
      <c r="HY21" s="925"/>
      <c r="HZ21" s="925"/>
      <c r="IA21" s="925"/>
      <c r="IB21" s="925"/>
      <c r="IC21" s="925"/>
      <c r="ID21" s="925"/>
      <c r="IE21" s="925"/>
      <c r="IF21" s="925"/>
      <c r="IG21" s="925"/>
      <c r="IH21" s="925"/>
      <c r="II21" s="925"/>
      <c r="IJ21" s="925"/>
      <c r="IK21" s="925"/>
      <c r="IL21" s="925"/>
      <c r="IM21" s="925"/>
      <c r="IN21" s="925"/>
      <c r="IO21" s="925"/>
    </row>
    <row r="22" spans="1:249" ht="11.25" customHeight="1">
      <c r="A22" s="480"/>
      <c r="B22" s="480"/>
      <c r="C22" s="480"/>
      <c r="D22" s="480"/>
      <c r="E22" s="480"/>
      <c r="F22" s="480"/>
      <c r="G22" s="480"/>
      <c r="H22" s="480"/>
      <c r="I22" s="480"/>
      <c r="J22" s="480"/>
      <c r="K22" s="480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Z22" s="480"/>
      <c r="AA22" s="480"/>
      <c r="AB22" s="480"/>
      <c r="AC22" s="480"/>
      <c r="AD22" s="480"/>
      <c r="AE22" s="480"/>
      <c r="AF22" s="480"/>
      <c r="AG22" s="480"/>
      <c r="AH22" s="480"/>
      <c r="AI22" s="480"/>
      <c r="AJ22" s="480"/>
      <c r="AK22" s="480"/>
      <c r="AL22" s="480"/>
      <c r="AM22" s="480"/>
      <c r="AN22" s="480"/>
      <c r="AO22" s="480"/>
      <c r="AP22" s="480"/>
      <c r="AQ22" s="480"/>
      <c r="AR22" s="480"/>
      <c r="AS22" s="480"/>
      <c r="AT22" s="480"/>
      <c r="AU22" s="480"/>
      <c r="AV22" s="480"/>
      <c r="AW22" s="480"/>
      <c r="AX22" s="480"/>
      <c r="AY22" s="480"/>
      <c r="AZ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480"/>
      <c r="CB22" s="480"/>
      <c r="CC22" s="480"/>
      <c r="CD22" s="480"/>
      <c r="CE22" s="480"/>
      <c r="CF22" s="480"/>
      <c r="CG22" s="480"/>
      <c r="CH22" s="480"/>
      <c r="CI22" s="480"/>
      <c r="CJ22" s="480"/>
      <c r="CK22" s="480"/>
      <c r="CL22" s="480"/>
      <c r="CM22" s="480"/>
      <c r="CN22" s="480"/>
      <c r="CO22" s="480"/>
      <c r="CP22" s="480"/>
      <c r="CQ22" s="480"/>
      <c r="CR22" s="480"/>
      <c r="CS22" s="480"/>
      <c r="CT22" s="480"/>
      <c r="CU22" s="1807"/>
      <c r="CV22" s="1807"/>
      <c r="CW22" s="1807"/>
      <c r="CX22" s="1807"/>
      <c r="CY22" s="1807"/>
      <c r="CZ22" s="1807"/>
      <c r="DA22" s="1807"/>
      <c r="DB22" s="1807"/>
      <c r="DC22" s="1807"/>
      <c r="DD22" s="1807"/>
      <c r="DE22" s="1807"/>
      <c r="DF22" s="1807"/>
      <c r="DG22" s="1807"/>
      <c r="DH22" s="1807"/>
      <c r="DI22" s="1807"/>
      <c r="DJ22" s="1807"/>
      <c r="DK22" s="1807"/>
      <c r="DL22" s="1807"/>
      <c r="DM22" s="1807"/>
      <c r="DN22" s="1807"/>
      <c r="DO22" s="1807"/>
      <c r="DP22" s="1807"/>
      <c r="DQ22" s="1807"/>
      <c r="DR22" s="1807"/>
      <c r="DS22" s="1807"/>
      <c r="DT22" s="1807"/>
      <c r="DU22" s="1807"/>
      <c r="DV22" s="1807"/>
      <c r="DW22" s="1807"/>
      <c r="DX22" s="1807"/>
      <c r="DY22" s="1807"/>
      <c r="DZ22" s="1807"/>
      <c r="EA22" s="1807"/>
      <c r="EB22" s="480"/>
      <c r="EC22" s="1808"/>
      <c r="ED22" s="1808"/>
      <c r="EE22" s="1808"/>
      <c r="EF22" s="1808"/>
      <c r="EG22" s="1808"/>
      <c r="EH22" s="1808"/>
      <c r="EI22" s="1808"/>
      <c r="EJ22" s="1808"/>
      <c r="EK22" s="1808"/>
      <c r="EL22" s="1808"/>
      <c r="EM22" s="1808"/>
      <c r="EN22" s="1808"/>
      <c r="EO22" s="1808"/>
      <c r="EP22" s="1808"/>
      <c r="EQ22" s="1808"/>
      <c r="ER22" s="1808"/>
      <c r="ES22" s="1808"/>
      <c r="ET22" s="1808"/>
      <c r="EU22" s="925"/>
      <c r="EV22" s="925"/>
      <c r="EW22" s="925"/>
      <c r="EX22" s="925"/>
      <c r="EY22" s="925"/>
      <c r="EZ22" s="925"/>
      <c r="FA22" s="925"/>
      <c r="FB22" s="925"/>
      <c r="FC22" s="925"/>
      <c r="FD22" s="925"/>
      <c r="FE22" s="925"/>
      <c r="FF22" s="925"/>
      <c r="FG22" s="925"/>
      <c r="FH22" s="925"/>
      <c r="FI22" s="925"/>
      <c r="FJ22" s="925"/>
      <c r="FK22" s="925"/>
      <c r="FL22" s="925"/>
      <c r="FM22" s="925"/>
      <c r="FN22" s="925"/>
      <c r="FO22" s="925"/>
      <c r="FP22" s="925"/>
      <c r="FQ22" s="925"/>
      <c r="FR22" s="925"/>
      <c r="FS22" s="925"/>
      <c r="FT22" s="925"/>
      <c r="FU22" s="925"/>
      <c r="FV22" s="925"/>
      <c r="FW22" s="925"/>
      <c r="FX22" s="925"/>
      <c r="FY22" s="925"/>
      <c r="FZ22" s="925"/>
      <c r="GA22" s="925"/>
      <c r="GB22" s="925"/>
      <c r="GC22" s="925"/>
      <c r="GD22" s="925"/>
      <c r="GE22" s="925"/>
      <c r="GF22" s="925"/>
      <c r="GG22" s="925"/>
      <c r="GH22" s="925"/>
      <c r="GI22" s="925"/>
      <c r="GJ22" s="925"/>
      <c r="GK22" s="925"/>
      <c r="GL22" s="925"/>
      <c r="GM22" s="925"/>
      <c r="GN22" s="925"/>
      <c r="GO22" s="925"/>
      <c r="GP22" s="925"/>
      <c r="GQ22" s="925"/>
      <c r="GR22" s="925"/>
      <c r="GS22" s="925"/>
      <c r="GT22" s="925"/>
      <c r="GU22" s="925"/>
      <c r="GV22" s="925"/>
      <c r="GW22" s="925"/>
      <c r="GX22" s="925"/>
      <c r="GY22" s="925"/>
      <c r="GZ22" s="925"/>
      <c r="HA22" s="925"/>
      <c r="HB22" s="925"/>
      <c r="HC22" s="925"/>
      <c r="HD22" s="925"/>
      <c r="HE22" s="925"/>
      <c r="HF22" s="925"/>
      <c r="HG22" s="925"/>
      <c r="HH22" s="925"/>
      <c r="HI22" s="925"/>
      <c r="HJ22" s="925"/>
      <c r="HK22" s="925"/>
      <c r="HL22" s="925"/>
      <c r="HM22" s="925"/>
      <c r="HN22" s="925"/>
      <c r="HO22" s="925"/>
      <c r="HP22" s="925"/>
      <c r="HQ22" s="925"/>
      <c r="HR22" s="925"/>
      <c r="HS22" s="925"/>
      <c r="HT22" s="925"/>
      <c r="HU22" s="925"/>
      <c r="HV22" s="925"/>
      <c r="HW22" s="925"/>
      <c r="HX22" s="925"/>
      <c r="HY22" s="925"/>
      <c r="HZ22" s="925"/>
      <c r="IA22" s="925"/>
      <c r="IB22" s="925"/>
      <c r="IC22" s="925"/>
      <c r="ID22" s="925"/>
      <c r="IE22" s="925"/>
      <c r="IF22" s="925"/>
      <c r="IG22" s="925"/>
      <c r="IH22" s="925"/>
      <c r="II22" s="925"/>
      <c r="IJ22" s="925"/>
      <c r="IK22" s="925"/>
      <c r="IL22" s="925"/>
      <c r="IM22" s="925"/>
      <c r="IN22" s="925"/>
      <c r="IO22" s="925"/>
    </row>
    <row r="23" spans="1:249" ht="11.25" customHeigh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Z23" s="480"/>
      <c r="AA23" s="480"/>
      <c r="AB23" s="480"/>
      <c r="AC23" s="480"/>
      <c r="AD23" s="480"/>
      <c r="AE23" s="480"/>
      <c r="AF23" s="480"/>
      <c r="AG23" s="480"/>
      <c r="AH23" s="480"/>
      <c r="AI23" s="480"/>
      <c r="AJ23" s="480"/>
      <c r="AK23" s="480"/>
      <c r="AL23" s="480"/>
      <c r="AM23" s="480"/>
      <c r="AN23" s="480"/>
      <c r="AO23" s="480"/>
      <c r="AP23" s="480"/>
      <c r="AQ23" s="480"/>
      <c r="AR23" s="480"/>
      <c r="AS23" s="480"/>
      <c r="AT23" s="480"/>
      <c r="AU23" s="480"/>
      <c r="AV23" s="480"/>
      <c r="AW23" s="480"/>
      <c r="AX23" s="480"/>
      <c r="AY23" s="480"/>
      <c r="AZ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480"/>
      <c r="CB23" s="480"/>
      <c r="CC23" s="480"/>
      <c r="CD23" s="480"/>
      <c r="CE23" s="480"/>
      <c r="CF23" s="480"/>
      <c r="CG23" s="480"/>
      <c r="CH23" s="480"/>
      <c r="CI23" s="480"/>
      <c r="CJ23" s="480"/>
      <c r="CK23" s="480"/>
      <c r="CL23" s="480"/>
      <c r="CM23" s="480"/>
      <c r="CN23" s="480"/>
      <c r="CO23" s="480"/>
      <c r="CP23" s="480"/>
      <c r="CQ23" s="480"/>
      <c r="CR23" s="480"/>
      <c r="CS23" s="480"/>
      <c r="CT23" s="480"/>
      <c r="CU23" s="1807" t="s">
        <v>66</v>
      </c>
      <c r="CV23" s="1807"/>
      <c r="CW23" s="1807"/>
      <c r="CX23" s="1807"/>
      <c r="CY23" s="1807"/>
      <c r="CZ23" s="1807"/>
      <c r="DA23" s="1807"/>
      <c r="DB23" s="1807"/>
      <c r="DC23" s="1807"/>
      <c r="DD23" s="1807"/>
      <c r="DE23" s="1807"/>
      <c r="DF23" s="1807"/>
      <c r="DG23" s="1807"/>
      <c r="DH23" s="1807"/>
      <c r="DI23" s="1807"/>
      <c r="DJ23" s="1807"/>
      <c r="DK23" s="1807"/>
      <c r="DL23" s="1807"/>
      <c r="DM23" s="1807"/>
      <c r="DN23" s="1807"/>
      <c r="DO23" s="1807"/>
      <c r="DP23" s="1807"/>
      <c r="DQ23" s="1807"/>
      <c r="DR23" s="1807"/>
      <c r="DS23" s="1807"/>
      <c r="DT23" s="1807"/>
      <c r="DU23" s="1807"/>
      <c r="DV23" s="1807"/>
      <c r="DW23" s="1807"/>
      <c r="DX23" s="1807"/>
      <c r="DY23" s="1807"/>
      <c r="DZ23" s="1807"/>
      <c r="EA23" s="1807"/>
      <c r="EB23" s="480"/>
      <c r="EC23" s="1808" t="s">
        <v>330</v>
      </c>
      <c r="ED23" s="1808"/>
      <c r="EE23" s="1808"/>
      <c r="EF23" s="1808"/>
      <c r="EG23" s="1808"/>
      <c r="EH23" s="1808"/>
      <c r="EI23" s="1808"/>
      <c r="EJ23" s="1808"/>
      <c r="EK23" s="1808"/>
      <c r="EL23" s="1808"/>
      <c r="EM23" s="1808"/>
      <c r="EN23" s="1808"/>
      <c r="EO23" s="1808"/>
      <c r="EP23" s="1808"/>
      <c r="EQ23" s="1808"/>
      <c r="ER23" s="1808"/>
      <c r="ES23" s="1808"/>
      <c r="ET23" s="1808"/>
      <c r="EU23" s="925"/>
      <c r="EV23" s="925"/>
      <c r="EW23" s="925"/>
      <c r="EX23" s="925"/>
      <c r="EY23" s="925"/>
      <c r="EZ23" s="925"/>
      <c r="FA23" s="925"/>
      <c r="FB23" s="925"/>
      <c r="FC23" s="925"/>
      <c r="FD23" s="925"/>
      <c r="FE23" s="925"/>
      <c r="FF23" s="925"/>
      <c r="FG23" s="925"/>
      <c r="FH23" s="925"/>
      <c r="FI23" s="925"/>
      <c r="FJ23" s="925"/>
      <c r="FK23" s="925"/>
      <c r="FL23" s="925"/>
      <c r="FM23" s="925"/>
      <c r="FN23" s="925"/>
      <c r="FO23" s="925"/>
      <c r="FP23" s="925"/>
      <c r="FQ23" s="925"/>
      <c r="FR23" s="925"/>
      <c r="FS23" s="925"/>
      <c r="FT23" s="925"/>
      <c r="FU23" s="925"/>
      <c r="FV23" s="925"/>
      <c r="FW23" s="925"/>
      <c r="FX23" s="925"/>
      <c r="FY23" s="925"/>
      <c r="FZ23" s="925"/>
      <c r="GA23" s="925"/>
      <c r="GB23" s="925"/>
      <c r="GC23" s="925"/>
      <c r="GD23" s="925"/>
      <c r="GE23" s="925"/>
      <c r="GF23" s="925"/>
      <c r="GG23" s="925"/>
      <c r="GH23" s="925"/>
      <c r="GI23" s="925"/>
      <c r="GJ23" s="925"/>
      <c r="GK23" s="925"/>
      <c r="GL23" s="925"/>
      <c r="GM23" s="925"/>
      <c r="GN23" s="925"/>
      <c r="GO23" s="925"/>
      <c r="GP23" s="925"/>
      <c r="GQ23" s="925"/>
      <c r="GR23" s="925"/>
      <c r="GS23" s="925"/>
      <c r="GT23" s="925"/>
      <c r="GU23" s="925"/>
      <c r="GV23" s="925"/>
      <c r="GW23" s="925"/>
      <c r="GX23" s="925"/>
      <c r="GY23" s="925"/>
      <c r="GZ23" s="925"/>
      <c r="HA23" s="925"/>
      <c r="HB23" s="925"/>
      <c r="HC23" s="925"/>
      <c r="HD23" s="925"/>
      <c r="HE23" s="925"/>
      <c r="HF23" s="925"/>
      <c r="HG23" s="925"/>
      <c r="HH23" s="925"/>
      <c r="HI23" s="925"/>
      <c r="HJ23" s="925"/>
      <c r="HK23" s="925"/>
      <c r="HL23" s="925"/>
      <c r="HM23" s="925"/>
      <c r="HN23" s="925"/>
      <c r="HO23" s="925"/>
      <c r="HP23" s="925"/>
      <c r="HQ23" s="925"/>
      <c r="HR23" s="925"/>
      <c r="HS23" s="925"/>
      <c r="HT23" s="925"/>
      <c r="HU23" s="925"/>
      <c r="HV23" s="925"/>
      <c r="HW23" s="925"/>
      <c r="HX23" s="925"/>
      <c r="HY23" s="925"/>
      <c r="HZ23" s="925"/>
      <c r="IA23" s="925"/>
      <c r="IB23" s="925"/>
      <c r="IC23" s="925"/>
      <c r="ID23" s="925"/>
      <c r="IE23" s="925"/>
      <c r="IF23" s="925"/>
      <c r="IG23" s="925"/>
      <c r="IH23" s="925"/>
      <c r="II23" s="925"/>
      <c r="IJ23" s="925"/>
      <c r="IK23" s="925"/>
      <c r="IL23" s="925"/>
      <c r="IM23" s="925"/>
      <c r="IN23" s="925"/>
      <c r="IO23" s="925"/>
    </row>
    <row r="24" spans="1:249" ht="11.25" customHeight="1">
      <c r="A24" s="480"/>
      <c r="B24" s="480"/>
      <c r="C24" s="480"/>
      <c r="D24" s="480"/>
      <c r="E24" s="480"/>
      <c r="F24" s="480"/>
      <c r="G24" s="480"/>
      <c r="H24" s="480"/>
      <c r="I24" s="480"/>
      <c r="J24" s="480"/>
      <c r="K24" s="480"/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Z24" s="480"/>
      <c r="AA24" s="480"/>
      <c r="AB24" s="480"/>
      <c r="AC24" s="480"/>
      <c r="AD24" s="480"/>
      <c r="AE24" s="480"/>
      <c r="AF24" s="480"/>
      <c r="AG24" s="480"/>
      <c r="AH24" s="480"/>
      <c r="AI24" s="480"/>
      <c r="AJ24" s="480"/>
      <c r="AK24" s="480"/>
      <c r="AL24" s="480"/>
      <c r="AM24" s="480"/>
      <c r="AN24" s="480"/>
      <c r="AO24" s="480"/>
      <c r="AP24" s="480"/>
      <c r="AQ24" s="480"/>
      <c r="AR24" s="480"/>
      <c r="AS24" s="480"/>
      <c r="AT24" s="480"/>
      <c r="AU24" s="480"/>
      <c r="AV24" s="480"/>
      <c r="AW24" s="480"/>
      <c r="AX24" s="480"/>
      <c r="AY24" s="480"/>
      <c r="AZ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480"/>
      <c r="CB24" s="480"/>
      <c r="CC24" s="480"/>
      <c r="CD24" s="480"/>
      <c r="CE24" s="480"/>
      <c r="CF24" s="480"/>
      <c r="CG24" s="480"/>
      <c r="CH24" s="480"/>
      <c r="CI24" s="480"/>
      <c r="CJ24" s="480"/>
      <c r="CK24" s="480"/>
      <c r="CL24" s="480"/>
      <c r="CM24" s="480"/>
      <c r="CN24" s="480"/>
      <c r="CO24" s="480"/>
      <c r="CP24" s="480"/>
      <c r="CQ24" s="480"/>
      <c r="CR24" s="480"/>
      <c r="CS24" s="480"/>
      <c r="CT24" s="480"/>
      <c r="CU24" s="1807"/>
      <c r="CV24" s="1807"/>
      <c r="CW24" s="1807"/>
      <c r="CX24" s="1807"/>
      <c r="CY24" s="1807"/>
      <c r="CZ24" s="1807"/>
      <c r="DA24" s="1807"/>
      <c r="DB24" s="1807"/>
      <c r="DC24" s="1807"/>
      <c r="DD24" s="1807"/>
      <c r="DE24" s="1807"/>
      <c r="DF24" s="1807"/>
      <c r="DG24" s="1807"/>
      <c r="DH24" s="1807"/>
      <c r="DI24" s="1807"/>
      <c r="DJ24" s="1807"/>
      <c r="DK24" s="1807"/>
      <c r="DL24" s="1807"/>
      <c r="DM24" s="1807"/>
      <c r="DN24" s="1807"/>
      <c r="DO24" s="1807"/>
      <c r="DP24" s="1807"/>
      <c r="DQ24" s="1807"/>
      <c r="DR24" s="1807"/>
      <c r="DS24" s="1807"/>
      <c r="DT24" s="1807"/>
      <c r="DU24" s="1807"/>
      <c r="DV24" s="1807"/>
      <c r="DW24" s="1807"/>
      <c r="DX24" s="1807"/>
      <c r="DY24" s="1807"/>
      <c r="DZ24" s="1807"/>
      <c r="EA24" s="1807"/>
      <c r="EB24" s="480"/>
      <c r="EC24" s="1808"/>
      <c r="ED24" s="1808"/>
      <c r="EE24" s="1808"/>
      <c r="EF24" s="1808"/>
      <c r="EG24" s="1808"/>
      <c r="EH24" s="1808"/>
      <c r="EI24" s="1808"/>
      <c r="EJ24" s="1808"/>
      <c r="EK24" s="1808"/>
      <c r="EL24" s="1808"/>
      <c r="EM24" s="1808"/>
      <c r="EN24" s="1808"/>
      <c r="EO24" s="1808"/>
      <c r="EP24" s="1808"/>
      <c r="EQ24" s="1808"/>
      <c r="ER24" s="1808"/>
      <c r="ES24" s="1808"/>
      <c r="ET24" s="1808"/>
      <c r="EU24" s="925"/>
      <c r="EV24" s="925"/>
      <c r="EW24" s="925"/>
      <c r="EX24" s="925"/>
      <c r="EY24" s="925"/>
      <c r="EZ24" s="925"/>
      <c r="FA24" s="925"/>
      <c r="FB24" s="925"/>
      <c r="FC24" s="925"/>
      <c r="FD24" s="925"/>
      <c r="FE24" s="925"/>
      <c r="FF24" s="925"/>
      <c r="FG24" s="925"/>
      <c r="FH24" s="925"/>
      <c r="FI24" s="925"/>
      <c r="FJ24" s="925"/>
      <c r="FK24" s="925"/>
      <c r="FL24" s="925"/>
      <c r="FM24" s="925"/>
      <c r="FN24" s="925"/>
      <c r="FO24" s="925"/>
      <c r="FP24" s="925"/>
      <c r="FQ24" s="925"/>
      <c r="FR24" s="925"/>
      <c r="FS24" s="925"/>
      <c r="FT24" s="925"/>
      <c r="FU24" s="925"/>
      <c r="FV24" s="925"/>
      <c r="FW24" s="925"/>
      <c r="FX24" s="925"/>
      <c r="FY24" s="925"/>
      <c r="FZ24" s="925"/>
      <c r="GA24" s="925"/>
      <c r="GB24" s="925"/>
      <c r="GC24" s="925"/>
      <c r="GD24" s="925"/>
      <c r="GE24" s="925"/>
      <c r="GF24" s="925"/>
      <c r="GG24" s="925"/>
      <c r="GH24" s="925"/>
      <c r="GI24" s="925"/>
      <c r="GJ24" s="925"/>
      <c r="GK24" s="925"/>
      <c r="GL24" s="925"/>
      <c r="GM24" s="925"/>
      <c r="GN24" s="925"/>
      <c r="GO24" s="925"/>
      <c r="GP24" s="925"/>
      <c r="GQ24" s="925"/>
      <c r="GR24" s="925"/>
      <c r="GS24" s="925"/>
      <c r="GT24" s="925"/>
      <c r="GU24" s="925"/>
      <c r="GV24" s="925"/>
      <c r="GW24" s="925"/>
      <c r="GX24" s="925"/>
      <c r="GY24" s="925"/>
      <c r="GZ24" s="925"/>
      <c r="HA24" s="925"/>
      <c r="HB24" s="925"/>
      <c r="HC24" s="925"/>
      <c r="HD24" s="925"/>
      <c r="HE24" s="925"/>
      <c r="HF24" s="925"/>
      <c r="HG24" s="925"/>
      <c r="HH24" s="925"/>
      <c r="HI24" s="925"/>
      <c r="HJ24" s="925"/>
      <c r="HK24" s="925"/>
      <c r="HL24" s="925"/>
      <c r="HM24" s="925"/>
      <c r="HN24" s="925"/>
      <c r="HO24" s="925"/>
      <c r="HP24" s="925"/>
      <c r="HQ24" s="925"/>
      <c r="HR24" s="925"/>
      <c r="HS24" s="925"/>
      <c r="HT24" s="925"/>
      <c r="HU24" s="925"/>
      <c r="HV24" s="925"/>
      <c r="HW24" s="925"/>
      <c r="HX24" s="925"/>
      <c r="HY24" s="925"/>
      <c r="HZ24" s="925"/>
      <c r="IA24" s="925"/>
      <c r="IB24" s="925"/>
      <c r="IC24" s="925"/>
      <c r="ID24" s="925"/>
      <c r="IE24" s="925"/>
      <c r="IF24" s="925"/>
      <c r="IG24" s="925"/>
      <c r="IH24" s="925"/>
      <c r="II24" s="925"/>
      <c r="IJ24" s="925"/>
      <c r="IK24" s="925"/>
      <c r="IL24" s="925"/>
      <c r="IM24" s="925"/>
      <c r="IN24" s="925"/>
      <c r="IO24" s="925"/>
    </row>
    <row r="25" spans="1:249" ht="11.25" customHeight="1">
      <c r="A25" s="480"/>
      <c r="B25" s="480"/>
      <c r="C25" s="480"/>
      <c r="D25" s="480"/>
      <c r="E25" s="480"/>
      <c r="F25" s="480"/>
      <c r="G25" s="480"/>
      <c r="H25" s="480"/>
      <c r="I25" s="480"/>
      <c r="J25" s="480"/>
      <c r="K25" s="480"/>
      <c r="L25" s="480"/>
      <c r="M25" s="480"/>
      <c r="N25" s="480"/>
      <c r="O25" s="480"/>
      <c r="P25" s="480"/>
      <c r="Q25" s="480"/>
      <c r="R25" s="480"/>
      <c r="S25" s="480"/>
      <c r="T25" s="480"/>
      <c r="U25" s="480"/>
      <c r="V25" s="480"/>
      <c r="W25" s="480"/>
      <c r="X25" s="480"/>
      <c r="Y25" s="480"/>
      <c r="Z25" s="480"/>
      <c r="AA25" s="480"/>
      <c r="AB25" s="480"/>
      <c r="AC25" s="480"/>
      <c r="AD25" s="480"/>
      <c r="AE25" s="480"/>
      <c r="AF25" s="480"/>
      <c r="AG25" s="480"/>
      <c r="AH25" s="480"/>
      <c r="AI25" s="480"/>
      <c r="AJ25" s="480"/>
      <c r="AK25" s="480"/>
      <c r="AL25" s="480"/>
      <c r="AM25" s="480"/>
      <c r="AN25" s="480"/>
      <c r="AO25" s="480"/>
      <c r="AP25" s="480"/>
      <c r="AQ25" s="480"/>
      <c r="AR25" s="480"/>
      <c r="AS25" s="480"/>
      <c r="AT25" s="480"/>
      <c r="AU25" s="480"/>
      <c r="AV25" s="480"/>
      <c r="AW25" s="480"/>
      <c r="AX25" s="480"/>
      <c r="AY25" s="480"/>
      <c r="AZ25" s="480"/>
      <c r="BA25" s="480"/>
      <c r="BB25" s="480"/>
      <c r="BC25" s="480"/>
      <c r="BD25" s="480"/>
      <c r="BE25" s="480"/>
      <c r="BF25" s="480"/>
      <c r="BG25" s="480"/>
      <c r="BH25" s="480"/>
      <c r="BI25" s="480"/>
      <c r="BJ25" s="480"/>
      <c r="BK25" s="480"/>
      <c r="BL25" s="480"/>
      <c r="BM25" s="480"/>
      <c r="BN25" s="480"/>
      <c r="BO25" s="480"/>
      <c r="BP25" s="480"/>
      <c r="BQ25" s="480"/>
      <c r="BR25" s="480"/>
      <c r="BS25" s="480"/>
      <c r="BT25" s="480"/>
      <c r="BU25" s="480"/>
      <c r="BV25" s="480"/>
      <c r="BW25" s="480"/>
      <c r="BX25" s="480"/>
      <c r="BY25" s="480"/>
      <c r="BZ25" s="480"/>
      <c r="CA25" s="480"/>
      <c r="CB25" s="480"/>
      <c r="CC25" s="480"/>
      <c r="CD25" s="480"/>
      <c r="CE25" s="480"/>
      <c r="CF25" s="480"/>
      <c r="CG25" s="480"/>
      <c r="CH25" s="480"/>
      <c r="CI25" s="480"/>
      <c r="CJ25" s="480"/>
      <c r="CK25" s="480"/>
      <c r="CL25" s="480"/>
      <c r="CM25" s="480"/>
      <c r="CN25" s="480"/>
      <c r="CO25" s="480"/>
      <c r="CP25" s="480"/>
      <c r="CQ25" s="480"/>
      <c r="CR25" s="480"/>
      <c r="CS25" s="480"/>
      <c r="CT25" s="480"/>
      <c r="CU25" s="480"/>
      <c r="CV25" s="480"/>
      <c r="CW25" s="480"/>
      <c r="CX25" s="480"/>
      <c r="CY25" s="480"/>
      <c r="CZ25" s="480"/>
      <c r="DA25" s="480"/>
      <c r="DB25" s="480"/>
      <c r="DC25" s="480"/>
      <c r="DD25" s="480"/>
      <c r="DE25" s="480"/>
      <c r="DF25" s="480"/>
      <c r="DG25" s="480"/>
      <c r="DH25" s="480"/>
      <c r="DI25" s="480"/>
      <c r="DJ25" s="480"/>
      <c r="DK25" s="480"/>
      <c r="DL25" s="480"/>
      <c r="DM25" s="480"/>
      <c r="DN25" s="480"/>
      <c r="DO25" s="480"/>
      <c r="DP25" s="480"/>
      <c r="DQ25" s="480"/>
      <c r="DR25" s="480"/>
      <c r="DS25" s="480"/>
      <c r="DT25" s="480"/>
      <c r="DU25" s="480"/>
      <c r="DV25" s="480"/>
      <c r="DW25" s="480"/>
      <c r="DX25" s="480"/>
      <c r="DY25" s="480"/>
      <c r="DZ25" s="480"/>
      <c r="EA25" s="480"/>
      <c r="EB25" s="480"/>
      <c r="EC25" s="480"/>
      <c r="ED25" s="480"/>
      <c r="EE25" s="480"/>
      <c r="EF25" s="480"/>
      <c r="EG25" s="480"/>
      <c r="EH25" s="480"/>
      <c r="EI25" s="480"/>
      <c r="EJ25" s="480"/>
      <c r="EK25" s="480"/>
      <c r="EL25" s="480"/>
      <c r="EM25" s="480"/>
      <c r="EN25" s="480"/>
      <c r="EO25" s="480"/>
      <c r="EP25" s="480"/>
      <c r="EQ25" s="480"/>
      <c r="ER25" s="480"/>
      <c r="ES25" s="480"/>
      <c r="ET25" s="480"/>
      <c r="EU25" s="925"/>
      <c r="EV25" s="925"/>
      <c r="EW25" s="925"/>
      <c r="EX25" s="925"/>
      <c r="EY25" s="925"/>
      <c r="EZ25" s="925"/>
      <c r="FA25" s="925"/>
      <c r="FB25" s="925"/>
      <c r="FC25" s="925"/>
      <c r="FD25" s="925"/>
      <c r="FE25" s="925"/>
      <c r="FF25" s="925"/>
      <c r="FG25" s="925"/>
      <c r="FH25" s="925"/>
      <c r="FI25" s="925"/>
      <c r="FJ25" s="925"/>
      <c r="FK25" s="925"/>
      <c r="FL25" s="925"/>
      <c r="FM25" s="925"/>
      <c r="FN25" s="925"/>
      <c r="FO25" s="925"/>
      <c r="FP25" s="925"/>
      <c r="FQ25" s="925"/>
      <c r="FR25" s="925"/>
      <c r="FS25" s="925"/>
      <c r="FT25" s="925"/>
      <c r="FU25" s="925"/>
      <c r="FV25" s="925"/>
      <c r="FW25" s="925"/>
      <c r="FX25" s="925"/>
      <c r="FY25" s="925"/>
      <c r="FZ25" s="925"/>
      <c r="GA25" s="925"/>
      <c r="GB25" s="925"/>
      <c r="GC25" s="925"/>
      <c r="GD25" s="925"/>
      <c r="GE25" s="925"/>
      <c r="GF25" s="925"/>
      <c r="GG25" s="925"/>
      <c r="GH25" s="925"/>
      <c r="GI25" s="925"/>
      <c r="GJ25" s="925"/>
      <c r="GK25" s="925"/>
      <c r="GL25" s="925"/>
      <c r="GM25" s="925"/>
      <c r="GN25" s="925"/>
      <c r="GO25" s="925"/>
      <c r="GP25" s="925"/>
      <c r="GQ25" s="925"/>
      <c r="GR25" s="925"/>
      <c r="GS25" s="925"/>
      <c r="GT25" s="925"/>
      <c r="GU25" s="925"/>
      <c r="GV25" s="925"/>
      <c r="GW25" s="925"/>
      <c r="GX25" s="925"/>
      <c r="GY25" s="925"/>
      <c r="GZ25" s="925"/>
      <c r="HA25" s="925"/>
      <c r="HB25" s="925"/>
      <c r="HC25" s="925"/>
      <c r="HD25" s="925"/>
      <c r="HE25" s="925"/>
      <c r="HF25" s="925"/>
      <c r="HG25" s="925"/>
      <c r="HH25" s="925"/>
      <c r="HI25" s="925"/>
      <c r="HJ25" s="925"/>
      <c r="HK25" s="925"/>
      <c r="HL25" s="925"/>
      <c r="HM25" s="925"/>
      <c r="HN25" s="925"/>
      <c r="HO25" s="925"/>
      <c r="HP25" s="925"/>
      <c r="HQ25" s="925"/>
      <c r="HR25" s="925"/>
      <c r="HS25" s="925"/>
      <c r="HT25" s="925"/>
      <c r="HU25" s="925"/>
      <c r="HV25" s="925"/>
      <c r="HW25" s="925"/>
      <c r="HX25" s="925"/>
      <c r="HY25" s="925"/>
      <c r="HZ25" s="925"/>
      <c r="IA25" s="925"/>
      <c r="IB25" s="925"/>
      <c r="IC25" s="925"/>
      <c r="ID25" s="925"/>
      <c r="IE25" s="925"/>
      <c r="IF25" s="925"/>
      <c r="IG25" s="925"/>
      <c r="IH25" s="925"/>
      <c r="II25" s="925"/>
      <c r="IJ25" s="925"/>
      <c r="IK25" s="925"/>
      <c r="IL25" s="925"/>
      <c r="IM25" s="925"/>
      <c r="IN25" s="925"/>
      <c r="IO25" s="925"/>
    </row>
    <row r="26" spans="1:249" ht="15" customHeight="1">
      <c r="A26" s="1809" t="s">
        <v>277</v>
      </c>
      <c r="B26" s="1809"/>
      <c r="C26" s="1809"/>
      <c r="D26" s="1809"/>
      <c r="E26" s="1809"/>
      <c r="F26" s="1809"/>
      <c r="G26" s="1809"/>
      <c r="H26" s="1809"/>
      <c r="I26" s="1809"/>
      <c r="J26" s="1809"/>
      <c r="K26" s="1809"/>
      <c r="L26" s="1809"/>
      <c r="M26" s="1809"/>
      <c r="N26" s="1809"/>
      <c r="O26" s="1809"/>
      <c r="P26" s="1809"/>
      <c r="Q26" s="1809"/>
      <c r="R26" s="1809"/>
      <c r="S26" s="1809"/>
      <c r="T26" s="1809"/>
      <c r="U26" s="1809"/>
      <c r="V26" s="1809"/>
      <c r="W26" s="1809"/>
      <c r="X26" s="1809"/>
      <c r="Y26" s="1809"/>
      <c r="Z26" s="1809"/>
      <c r="AA26" s="1809"/>
      <c r="AB26" s="1809"/>
      <c r="AC26" s="1809"/>
      <c r="AD26" s="1809"/>
      <c r="AE26" s="1809"/>
      <c r="AF26" s="1809"/>
      <c r="AG26" s="1809"/>
      <c r="AH26" s="1809"/>
      <c r="AI26" s="1809"/>
      <c r="AJ26" s="1809"/>
      <c r="AK26" s="1809"/>
      <c r="AL26" s="1809"/>
      <c r="AM26" s="1809"/>
      <c r="AN26" s="1809"/>
      <c r="AO26" s="1809"/>
      <c r="AP26" s="1809"/>
      <c r="AQ26" s="1809"/>
      <c r="AR26" s="1809"/>
      <c r="AS26" s="1809"/>
      <c r="AT26" s="1809"/>
      <c r="AU26" s="1809"/>
      <c r="AV26" s="1809"/>
      <c r="AW26" s="1809"/>
      <c r="AX26" s="1809"/>
      <c r="AY26" s="1809"/>
      <c r="AZ26" s="1809"/>
      <c r="BA26" s="1809"/>
      <c r="BB26" s="1809"/>
      <c r="BC26" s="1809"/>
      <c r="BD26" s="1809"/>
      <c r="BE26" s="1809"/>
      <c r="BF26" s="1809"/>
      <c r="BG26" s="1809"/>
      <c r="BH26" s="1809"/>
      <c r="BI26" s="1809"/>
      <c r="BJ26" s="1809"/>
      <c r="BK26" s="1809"/>
      <c r="BL26" s="1809"/>
      <c r="BM26" s="1809"/>
      <c r="BN26" s="1809"/>
      <c r="BO26" s="1809"/>
      <c r="BP26" s="1809"/>
      <c r="BQ26" s="1809"/>
      <c r="BR26" s="1809"/>
      <c r="BS26" s="1809"/>
      <c r="BT26" s="1809"/>
      <c r="BU26" s="1809"/>
      <c r="BV26" s="1809"/>
      <c r="BW26" s="1809"/>
      <c r="BX26" s="1809"/>
      <c r="BY26" s="1809"/>
      <c r="BZ26" s="1809"/>
      <c r="CA26" s="1809"/>
      <c r="CB26" s="1809"/>
      <c r="CC26" s="1809"/>
      <c r="CD26" s="1809"/>
      <c r="CE26" s="1809"/>
      <c r="CF26" s="1809"/>
      <c r="CG26" s="1809"/>
      <c r="CH26" s="1809"/>
      <c r="CI26" s="1809"/>
      <c r="CJ26" s="1809"/>
      <c r="CK26" s="1809"/>
      <c r="CL26" s="1809"/>
      <c r="CM26" s="1809"/>
      <c r="CN26" s="1809"/>
      <c r="CO26" s="1809"/>
      <c r="CP26" s="1809"/>
      <c r="CQ26" s="1809"/>
      <c r="CR26" s="1809"/>
      <c r="CS26" s="1809"/>
      <c r="CT26" s="1809"/>
      <c r="CU26" s="1809"/>
      <c r="CV26" s="1809"/>
      <c r="CW26" s="1809"/>
      <c r="CX26" s="1809"/>
      <c r="CY26" s="1809"/>
      <c r="CZ26" s="1809"/>
      <c r="DA26" s="1809"/>
      <c r="DB26" s="1809"/>
      <c r="DC26" s="1809"/>
      <c r="DD26" s="1809"/>
      <c r="DE26" s="1809"/>
      <c r="DF26" s="1809"/>
      <c r="DG26" s="1809"/>
      <c r="DH26" s="1809"/>
      <c r="DI26" s="1809"/>
      <c r="DJ26" s="1809"/>
      <c r="DK26" s="1809"/>
      <c r="DL26" s="1809"/>
      <c r="DM26" s="1809"/>
      <c r="DN26" s="1809"/>
      <c r="DO26" s="1809"/>
      <c r="DP26" s="1809"/>
      <c r="DQ26" s="1809"/>
      <c r="DR26" s="1809"/>
      <c r="DS26" s="1809"/>
      <c r="DT26" s="1809"/>
      <c r="DU26" s="1809"/>
      <c r="DV26" s="1809"/>
      <c r="DW26" s="1809"/>
      <c r="DX26" s="1809"/>
      <c r="DY26" s="1809"/>
      <c r="DZ26" s="1809"/>
      <c r="EA26" s="1809"/>
      <c r="EB26" s="1809"/>
      <c r="EC26" s="1809"/>
      <c r="ED26" s="1809"/>
      <c r="EE26" s="1809"/>
      <c r="EF26" s="1809"/>
      <c r="EG26" s="1809"/>
      <c r="EH26" s="1809"/>
      <c r="EI26" s="1809"/>
      <c r="EJ26" s="1809"/>
      <c r="EK26" s="1809"/>
      <c r="EL26" s="1809"/>
      <c r="EM26" s="1809"/>
      <c r="EN26" s="1809"/>
      <c r="EO26" s="1809"/>
      <c r="EP26" s="1809"/>
      <c r="EQ26" s="1809"/>
      <c r="ER26" s="1809"/>
      <c r="ES26" s="1809"/>
      <c r="ET26" s="1809"/>
      <c r="EU26" s="925"/>
      <c r="EV26" s="925"/>
      <c r="EW26" s="925"/>
      <c r="EX26" s="925"/>
      <c r="EY26" s="925"/>
      <c r="EZ26" s="925"/>
      <c r="FA26" s="925"/>
      <c r="FB26" s="925"/>
      <c r="FC26" s="925"/>
      <c r="FD26" s="925"/>
      <c r="FE26" s="925"/>
      <c r="FF26" s="925"/>
      <c r="FG26" s="925"/>
      <c r="FH26" s="925"/>
      <c r="FI26" s="925"/>
      <c r="FJ26" s="925"/>
      <c r="FK26" s="925"/>
      <c r="FL26" s="925"/>
      <c r="FM26" s="925"/>
      <c r="FN26" s="925"/>
      <c r="FO26" s="925"/>
      <c r="FP26" s="925"/>
      <c r="FQ26" s="925"/>
      <c r="FR26" s="925"/>
      <c r="FS26" s="925"/>
      <c r="FT26" s="925"/>
      <c r="FU26" s="925"/>
      <c r="FV26" s="925"/>
      <c r="FW26" s="925"/>
      <c r="FX26" s="925"/>
      <c r="FY26" s="925"/>
      <c r="FZ26" s="925"/>
      <c r="GA26" s="925"/>
      <c r="GB26" s="925"/>
      <c r="GC26" s="925"/>
      <c r="GD26" s="925"/>
      <c r="GE26" s="925"/>
      <c r="GF26" s="925"/>
      <c r="GG26" s="925"/>
      <c r="GH26" s="925"/>
      <c r="GI26" s="925"/>
      <c r="GJ26" s="925"/>
      <c r="GK26" s="925"/>
      <c r="GL26" s="925"/>
      <c r="GM26" s="925"/>
      <c r="GN26" s="925"/>
      <c r="GO26" s="925"/>
      <c r="GP26" s="925"/>
      <c r="GQ26" s="925"/>
      <c r="GR26" s="925"/>
      <c r="GS26" s="925"/>
      <c r="GT26" s="925"/>
      <c r="GU26" s="925"/>
      <c r="GV26" s="925"/>
      <c r="GW26" s="925"/>
      <c r="GX26" s="925"/>
      <c r="GY26" s="925"/>
      <c r="GZ26" s="925"/>
      <c r="HA26" s="925"/>
      <c r="HB26" s="925"/>
      <c r="HC26" s="925"/>
      <c r="HD26" s="925"/>
      <c r="HE26" s="925"/>
      <c r="HF26" s="925"/>
      <c r="HG26" s="925"/>
      <c r="HH26" s="925"/>
      <c r="HI26" s="925"/>
      <c r="HJ26" s="925"/>
      <c r="HK26" s="925"/>
      <c r="HL26" s="925"/>
      <c r="HM26" s="925"/>
      <c r="HN26" s="925"/>
      <c r="HO26" s="925"/>
      <c r="HP26" s="925"/>
      <c r="HQ26" s="925"/>
      <c r="HR26" s="925"/>
      <c r="HS26" s="925"/>
      <c r="HT26" s="925"/>
      <c r="HU26" s="925"/>
      <c r="HV26" s="925"/>
      <c r="HW26" s="925"/>
      <c r="HX26" s="925"/>
      <c r="HY26" s="925"/>
      <c r="HZ26" s="925"/>
      <c r="IA26" s="925"/>
      <c r="IB26" s="925"/>
      <c r="IC26" s="925"/>
      <c r="ID26" s="925"/>
      <c r="IE26" s="925"/>
      <c r="IF26" s="925"/>
      <c r="IG26" s="925"/>
      <c r="IH26" s="925"/>
      <c r="II26" s="925"/>
      <c r="IJ26" s="925"/>
      <c r="IK26" s="925"/>
      <c r="IL26" s="925"/>
      <c r="IM26" s="925"/>
      <c r="IN26" s="925"/>
      <c r="IO26" s="925"/>
    </row>
    <row r="27" spans="1:249" ht="11.25" customHeight="1">
      <c r="A27" s="480"/>
      <c r="B27" s="480"/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0"/>
      <c r="Z27" s="480"/>
      <c r="AA27" s="480"/>
      <c r="AB27" s="480"/>
      <c r="AC27" s="480"/>
      <c r="AD27" s="480"/>
      <c r="AE27" s="480"/>
      <c r="AF27" s="480"/>
      <c r="AG27" s="480"/>
      <c r="AH27" s="480"/>
      <c r="AI27" s="480"/>
      <c r="AJ27" s="480"/>
      <c r="AK27" s="480"/>
      <c r="AL27" s="480"/>
      <c r="AM27" s="480"/>
      <c r="AN27" s="480"/>
      <c r="AO27" s="480"/>
      <c r="AP27" s="480"/>
      <c r="AQ27" s="480"/>
      <c r="AR27" s="480"/>
      <c r="AS27" s="480"/>
      <c r="AT27" s="480"/>
      <c r="AU27" s="480"/>
      <c r="AV27" s="480"/>
      <c r="AW27" s="480"/>
      <c r="AX27" s="480"/>
      <c r="AY27" s="480"/>
      <c r="AZ27" s="480"/>
      <c r="BA27" s="480"/>
      <c r="BB27" s="480"/>
      <c r="BC27" s="480"/>
      <c r="BD27" s="480"/>
      <c r="BE27" s="480"/>
      <c r="BF27" s="480"/>
      <c r="BG27" s="480"/>
      <c r="BH27" s="480"/>
      <c r="BI27" s="480"/>
      <c r="BJ27" s="480"/>
      <c r="BK27" s="480"/>
      <c r="BL27" s="480"/>
      <c r="BM27" s="480"/>
      <c r="BN27" s="480"/>
      <c r="BO27" s="480"/>
      <c r="BP27" s="480"/>
      <c r="BQ27" s="480"/>
      <c r="BR27" s="480"/>
      <c r="BS27" s="480"/>
      <c r="BT27" s="480"/>
      <c r="BU27" s="480"/>
      <c r="BV27" s="480"/>
      <c r="BW27" s="480"/>
      <c r="BX27" s="480"/>
      <c r="BY27" s="480"/>
      <c r="BZ27" s="480"/>
      <c r="CA27" s="480"/>
      <c r="CB27" s="480"/>
      <c r="CC27" s="480"/>
      <c r="CD27" s="480"/>
      <c r="CE27" s="480"/>
      <c r="CF27" s="480"/>
      <c r="CG27" s="480"/>
      <c r="CH27" s="480"/>
      <c r="CI27" s="480"/>
      <c r="CJ27" s="480"/>
      <c r="CK27" s="480"/>
      <c r="CL27" s="480"/>
      <c r="CM27" s="480"/>
      <c r="CN27" s="480"/>
      <c r="CO27" s="480"/>
      <c r="CP27" s="480"/>
      <c r="CQ27" s="480"/>
      <c r="CR27" s="480"/>
      <c r="CS27" s="480"/>
      <c r="CT27" s="480"/>
      <c r="CU27" s="480"/>
      <c r="CV27" s="480"/>
      <c r="CW27" s="480"/>
      <c r="CX27" s="480"/>
      <c r="CY27" s="480"/>
      <c r="CZ27" s="480"/>
      <c r="DA27" s="480"/>
      <c r="DB27" s="480"/>
      <c r="DC27" s="480"/>
      <c r="DD27" s="480"/>
      <c r="DE27" s="480"/>
      <c r="DF27" s="480"/>
      <c r="DG27" s="480"/>
      <c r="DH27" s="480"/>
      <c r="DI27" s="480"/>
      <c r="DJ27" s="480"/>
      <c r="DK27" s="480"/>
      <c r="DL27" s="480"/>
      <c r="DM27" s="480"/>
      <c r="DN27" s="480"/>
      <c r="DO27" s="480"/>
      <c r="DP27" s="480"/>
      <c r="DQ27" s="480"/>
      <c r="DR27" s="480"/>
      <c r="DS27" s="480"/>
      <c r="DT27" s="480"/>
      <c r="DU27" s="480"/>
      <c r="DV27" s="480"/>
      <c r="DW27" s="480"/>
      <c r="DX27" s="480"/>
      <c r="DY27" s="480"/>
      <c r="DZ27" s="480"/>
      <c r="EA27" s="480"/>
      <c r="EB27" s="480"/>
      <c r="EC27" s="480"/>
      <c r="ED27" s="480"/>
      <c r="EE27" s="480"/>
      <c r="EF27" s="480"/>
      <c r="EG27" s="480"/>
      <c r="EH27" s="480"/>
      <c r="EI27" s="480"/>
      <c r="EJ27" s="480"/>
      <c r="EK27" s="480"/>
      <c r="EL27" s="480"/>
      <c r="EM27" s="480"/>
      <c r="EN27" s="480"/>
      <c r="EO27" s="480"/>
      <c r="EP27" s="480"/>
      <c r="EQ27" s="480"/>
      <c r="ER27" s="480"/>
      <c r="ES27" s="480"/>
      <c r="ET27" s="480"/>
      <c r="EU27" s="925"/>
      <c r="EV27" s="925"/>
      <c r="EW27" s="925"/>
      <c r="EX27" s="925"/>
      <c r="EY27" s="925"/>
      <c r="EZ27" s="925"/>
      <c r="FA27" s="925"/>
      <c r="FB27" s="925"/>
      <c r="FC27" s="925"/>
      <c r="FD27" s="925"/>
      <c r="FE27" s="925"/>
      <c r="FF27" s="925"/>
      <c r="FG27" s="925"/>
      <c r="FH27" s="925"/>
      <c r="FI27" s="925"/>
      <c r="FJ27" s="925"/>
      <c r="FK27" s="925"/>
      <c r="FL27" s="925"/>
      <c r="FM27" s="925"/>
      <c r="FN27" s="925"/>
      <c r="FO27" s="925"/>
      <c r="FP27" s="925"/>
      <c r="FQ27" s="925"/>
      <c r="FR27" s="925"/>
      <c r="FS27" s="925"/>
      <c r="FT27" s="925"/>
      <c r="FU27" s="925"/>
      <c r="FV27" s="925"/>
      <c r="FW27" s="925"/>
      <c r="FX27" s="925"/>
      <c r="FY27" s="925"/>
      <c r="FZ27" s="925"/>
      <c r="GA27" s="925"/>
      <c r="GB27" s="925"/>
      <c r="GC27" s="925"/>
      <c r="GD27" s="925"/>
      <c r="GE27" s="925"/>
      <c r="GF27" s="925"/>
      <c r="GG27" s="925"/>
      <c r="GH27" s="925"/>
      <c r="GI27" s="925"/>
      <c r="GJ27" s="925"/>
      <c r="GK27" s="925"/>
      <c r="GL27" s="925"/>
      <c r="GM27" s="925"/>
      <c r="GN27" s="925"/>
      <c r="GO27" s="925"/>
      <c r="GP27" s="925"/>
      <c r="GQ27" s="925"/>
      <c r="GR27" s="925"/>
      <c r="GS27" s="925"/>
      <c r="GT27" s="925"/>
      <c r="GU27" s="925"/>
      <c r="GV27" s="925"/>
      <c r="GW27" s="925"/>
      <c r="GX27" s="925"/>
      <c r="GY27" s="925"/>
      <c r="GZ27" s="925"/>
      <c r="HA27" s="925"/>
      <c r="HB27" s="925"/>
      <c r="HC27" s="925"/>
      <c r="HD27" s="925"/>
      <c r="HE27" s="925"/>
      <c r="HF27" s="925"/>
      <c r="HG27" s="925"/>
      <c r="HH27" s="925"/>
      <c r="HI27" s="925"/>
      <c r="HJ27" s="925"/>
      <c r="HK27" s="925"/>
      <c r="HL27" s="925"/>
      <c r="HM27" s="925"/>
      <c r="HN27" s="925"/>
      <c r="HO27" s="925"/>
      <c r="HP27" s="925"/>
      <c r="HQ27" s="925"/>
      <c r="HR27" s="925"/>
      <c r="HS27" s="925"/>
      <c r="HT27" s="925"/>
      <c r="HU27" s="925"/>
      <c r="HV27" s="925"/>
      <c r="HW27" s="925"/>
      <c r="HX27" s="925"/>
      <c r="HY27" s="925"/>
      <c r="HZ27" s="925"/>
      <c r="IA27" s="925"/>
      <c r="IB27" s="925"/>
      <c r="IC27" s="925"/>
      <c r="ID27" s="925"/>
      <c r="IE27" s="925"/>
      <c r="IF27" s="925"/>
      <c r="IG27" s="925"/>
      <c r="IH27" s="925"/>
      <c r="II27" s="925"/>
      <c r="IJ27" s="925"/>
      <c r="IK27" s="925"/>
      <c r="IL27" s="925"/>
      <c r="IM27" s="925"/>
      <c r="IN27" s="925"/>
      <c r="IO27" s="925"/>
    </row>
    <row r="28" spans="1:249" ht="11.25" customHeight="1">
      <c r="A28" s="1805"/>
      <c r="B28" s="1805"/>
      <c r="C28" s="1805"/>
      <c r="D28" s="1805"/>
      <c r="E28" s="1805"/>
      <c r="F28" s="1805" t="s">
        <v>385</v>
      </c>
      <c r="G28" s="1805"/>
      <c r="H28" s="1805"/>
      <c r="I28" s="1805"/>
      <c r="J28" s="1805"/>
      <c r="K28" s="1805"/>
      <c r="L28" s="1805"/>
      <c r="M28" s="1805"/>
      <c r="N28" s="1805"/>
      <c r="O28" s="1805"/>
      <c r="P28" s="1805"/>
      <c r="Q28" s="1805"/>
      <c r="R28" s="1805"/>
      <c r="S28" s="1805"/>
      <c r="T28" s="1805"/>
      <c r="U28" s="1805"/>
      <c r="V28" s="1805"/>
      <c r="W28" s="1805"/>
      <c r="X28" s="1805"/>
      <c r="Y28" s="1805"/>
      <c r="Z28" s="1805"/>
      <c r="AA28" s="1805"/>
      <c r="AB28" s="1805"/>
      <c r="AC28" s="1805"/>
      <c r="AD28" s="1805"/>
      <c r="AE28" s="1805"/>
      <c r="AF28" s="1805"/>
      <c r="AG28" s="1805"/>
      <c r="AH28" s="1805"/>
      <c r="AI28" s="1805"/>
      <c r="AJ28" s="1805"/>
      <c r="AK28" s="1805"/>
      <c r="AL28" s="1805"/>
      <c r="AM28" s="1805"/>
      <c r="AN28" s="1805"/>
      <c r="AO28" s="1805"/>
      <c r="AP28" s="1805"/>
      <c r="AQ28" s="1805"/>
      <c r="AR28" s="1805"/>
      <c r="AS28" s="1805"/>
      <c r="AT28" s="1805"/>
      <c r="AU28" s="1805"/>
      <c r="AV28" s="1805"/>
      <c r="AW28" s="1805"/>
      <c r="AX28" s="1805"/>
      <c r="AY28" s="1805"/>
      <c r="AZ28" s="1805"/>
      <c r="BA28" s="1805"/>
      <c r="BB28" s="1805"/>
      <c r="BC28" s="1805"/>
      <c r="BD28" s="1805"/>
      <c r="BE28" s="1805"/>
      <c r="BF28" s="1805"/>
      <c r="BG28" s="1805"/>
      <c r="BH28" s="1805"/>
      <c r="BI28" s="1805"/>
      <c r="BJ28" s="1805"/>
      <c r="BK28" s="1805"/>
      <c r="BL28" s="1805"/>
      <c r="BM28" s="1805"/>
      <c r="BN28" s="1805"/>
      <c r="BO28" s="1805"/>
      <c r="BP28" s="1805"/>
      <c r="BQ28" s="1805"/>
      <c r="BR28" s="1805"/>
      <c r="BS28" s="1805"/>
      <c r="BT28" s="1805"/>
      <c r="BU28" s="1805"/>
      <c r="BV28" s="1805"/>
      <c r="BW28" s="1805"/>
      <c r="BX28" s="1805"/>
      <c r="BY28" s="1805"/>
      <c r="BZ28" s="1805"/>
      <c r="CA28" s="1805"/>
      <c r="CB28" s="1805"/>
      <c r="CC28" s="1805"/>
      <c r="CD28" s="1805"/>
      <c r="CE28" s="1805"/>
      <c r="CF28" s="1805"/>
      <c r="CG28" s="1805"/>
      <c r="CH28" s="1805"/>
      <c r="CI28" s="1805"/>
      <c r="CJ28" s="1805"/>
      <c r="CK28" s="1805"/>
      <c r="CL28" s="1805"/>
      <c r="CM28" s="1805"/>
      <c r="CN28" s="1805"/>
      <c r="CO28" s="1805"/>
      <c r="CP28" s="1805"/>
      <c r="CQ28" s="1805"/>
      <c r="CR28" s="1805"/>
      <c r="CS28" s="1805"/>
      <c r="CT28" s="1805"/>
      <c r="CU28" s="1805"/>
      <c r="CV28" s="1805"/>
      <c r="CW28" s="1805"/>
      <c r="CX28" s="1805"/>
      <c r="CY28" s="1805"/>
      <c r="CZ28" s="1805"/>
      <c r="DA28" s="1805"/>
      <c r="DB28" s="1805"/>
      <c r="DC28" s="1805"/>
      <c r="DD28" s="1805"/>
      <c r="DE28" s="1805"/>
      <c r="DF28" s="1805"/>
      <c r="DG28" s="1805"/>
      <c r="DH28" s="1805"/>
      <c r="DI28" s="1805"/>
      <c r="DJ28" s="1805"/>
      <c r="DK28" s="1805"/>
      <c r="DL28" s="1805"/>
      <c r="DM28" s="1805"/>
      <c r="DN28" s="1805"/>
      <c r="DO28" s="1805"/>
      <c r="DP28" s="1805"/>
      <c r="DQ28" s="1805"/>
      <c r="DR28" s="1805"/>
      <c r="DS28" s="1805"/>
      <c r="DT28" s="1805"/>
      <c r="DU28" s="1805"/>
      <c r="DV28" s="1805"/>
      <c r="DW28" s="1805"/>
      <c r="DX28" s="1805"/>
      <c r="DY28" s="1805"/>
      <c r="DZ28" s="1805"/>
      <c r="EA28" s="1805"/>
      <c r="EB28" s="1805"/>
      <c r="EC28" s="1805"/>
      <c r="ED28" s="1805"/>
      <c r="EE28" s="1805"/>
      <c r="EF28" s="1805"/>
      <c r="EG28" s="1805"/>
      <c r="EH28" s="1805"/>
      <c r="EI28" s="1805"/>
      <c r="EJ28" s="1805"/>
      <c r="EK28" s="1805"/>
      <c r="EL28" s="1805"/>
      <c r="EM28" s="1805"/>
      <c r="EN28" s="1805"/>
      <c r="EO28" s="1805"/>
      <c r="EP28" s="1805"/>
      <c r="EQ28" s="1805"/>
      <c r="ER28" s="1805"/>
      <c r="ES28" s="1805"/>
      <c r="ET28" s="1805"/>
      <c r="EU28" s="925"/>
      <c r="EV28" s="925"/>
      <c r="EW28" s="925"/>
      <c r="EX28" s="925"/>
      <c r="EY28" s="925"/>
      <c r="EZ28" s="925"/>
      <c r="FA28" s="925"/>
      <c r="FB28" s="925"/>
      <c r="FC28" s="925"/>
      <c r="FD28" s="925"/>
      <c r="FE28" s="925"/>
      <c r="FF28" s="925"/>
      <c r="FG28" s="925"/>
      <c r="FH28" s="925"/>
      <c r="FI28" s="925"/>
      <c r="FJ28" s="925"/>
      <c r="FK28" s="925"/>
      <c r="FL28" s="925"/>
      <c r="FM28" s="925"/>
      <c r="FN28" s="925"/>
      <c r="FO28" s="925"/>
      <c r="FP28" s="925"/>
      <c r="FQ28" s="925"/>
      <c r="FR28" s="925"/>
      <c r="FS28" s="925"/>
      <c r="FT28" s="925"/>
      <c r="FU28" s="925"/>
      <c r="FV28" s="925"/>
      <c r="FW28" s="925"/>
      <c r="FX28" s="925"/>
      <c r="FY28" s="925"/>
      <c r="FZ28" s="925"/>
      <c r="GA28" s="925"/>
      <c r="GB28" s="925"/>
      <c r="GC28" s="925"/>
      <c r="GD28" s="925"/>
      <c r="GE28" s="925"/>
      <c r="GF28" s="925"/>
      <c r="GG28" s="925"/>
      <c r="GH28" s="925"/>
      <c r="GI28" s="925"/>
      <c r="GJ28" s="925"/>
      <c r="GK28" s="925"/>
      <c r="GL28" s="925"/>
      <c r="GM28" s="925"/>
      <c r="GN28" s="925"/>
      <c r="GO28" s="925"/>
      <c r="GP28" s="925"/>
      <c r="GQ28" s="925"/>
      <c r="GR28" s="925"/>
      <c r="GS28" s="925"/>
      <c r="GT28" s="925"/>
      <c r="GU28" s="925"/>
      <c r="GV28" s="925"/>
      <c r="GW28" s="925"/>
      <c r="GX28" s="925"/>
      <c r="GY28" s="925"/>
      <c r="GZ28" s="925"/>
      <c r="HA28" s="925"/>
      <c r="HB28" s="925"/>
      <c r="HC28" s="925"/>
      <c r="HD28" s="925"/>
      <c r="HE28" s="925"/>
      <c r="HF28" s="925"/>
      <c r="HG28" s="925"/>
      <c r="HH28" s="925"/>
      <c r="HI28" s="925"/>
      <c r="HJ28" s="925"/>
      <c r="HK28" s="925"/>
      <c r="HL28" s="925"/>
      <c r="HM28" s="925"/>
      <c r="HN28" s="925"/>
      <c r="HO28" s="925"/>
      <c r="HP28" s="925"/>
      <c r="HQ28" s="925"/>
      <c r="HR28" s="925"/>
      <c r="HS28" s="925"/>
      <c r="HT28" s="925"/>
      <c r="HU28" s="925"/>
      <c r="HV28" s="925"/>
      <c r="HW28" s="925"/>
      <c r="HX28" s="925"/>
      <c r="HY28" s="925"/>
      <c r="HZ28" s="925"/>
      <c r="IA28" s="925"/>
      <c r="IB28" s="925"/>
      <c r="IC28" s="925"/>
      <c r="ID28" s="925"/>
      <c r="IE28" s="925"/>
      <c r="IF28" s="925"/>
      <c r="IG28" s="925"/>
      <c r="IH28" s="925"/>
      <c r="II28" s="925"/>
      <c r="IJ28" s="925"/>
      <c r="IK28" s="925"/>
      <c r="IL28" s="925"/>
      <c r="IM28" s="925"/>
      <c r="IN28" s="925"/>
      <c r="IO28" s="925"/>
    </row>
    <row r="29" spans="1:249" ht="11.25" customHeight="1">
      <c r="A29" s="1805" t="s">
        <v>386</v>
      </c>
      <c r="B29" s="1805"/>
      <c r="C29" s="1805"/>
      <c r="D29" s="1805"/>
      <c r="E29" s="1805"/>
      <c r="F29" s="1805"/>
      <c r="G29" s="1805"/>
      <c r="H29" s="1805"/>
      <c r="I29" s="1805"/>
      <c r="J29" s="1805"/>
      <c r="K29" s="1805"/>
      <c r="L29" s="1805"/>
      <c r="M29" s="1805"/>
      <c r="N29" s="1805"/>
      <c r="O29" s="1805"/>
      <c r="P29" s="1805"/>
      <c r="Q29" s="1805"/>
      <c r="R29" s="1805"/>
      <c r="S29" s="1805"/>
      <c r="T29" s="1805"/>
      <c r="U29" s="1805"/>
      <c r="V29" s="1805"/>
      <c r="W29" s="1805"/>
      <c r="X29" s="1805"/>
      <c r="Y29" s="1805"/>
      <c r="Z29" s="1805"/>
      <c r="AA29" s="1805"/>
      <c r="AB29" s="1805"/>
      <c r="AC29" s="1805"/>
      <c r="AD29" s="1805"/>
      <c r="AE29" s="1805"/>
      <c r="AF29" s="1805"/>
      <c r="AG29" s="1805"/>
      <c r="AH29" s="1805"/>
      <c r="AI29" s="1805"/>
      <c r="AJ29" s="1805"/>
      <c r="AK29" s="1805"/>
      <c r="AL29" s="1805"/>
      <c r="AM29" s="1805"/>
      <c r="AN29" s="1805"/>
      <c r="AO29" s="1805"/>
      <c r="AP29" s="1805"/>
      <c r="AQ29" s="1805"/>
      <c r="AR29" s="1805"/>
      <c r="AS29" s="1805"/>
      <c r="AT29" s="1805"/>
      <c r="AU29" s="1805"/>
      <c r="AV29" s="1805"/>
      <c r="AW29" s="1805"/>
      <c r="AX29" s="1805"/>
      <c r="AY29" s="1805"/>
      <c r="AZ29" s="1805"/>
      <c r="BA29" s="1805"/>
      <c r="BB29" s="1805"/>
      <c r="BC29" s="1805"/>
      <c r="BD29" s="1805"/>
      <c r="BE29" s="1805"/>
      <c r="BF29" s="1805"/>
      <c r="BG29" s="1805"/>
      <c r="BH29" s="1805"/>
      <c r="BI29" s="1805"/>
      <c r="BJ29" s="1805"/>
      <c r="BK29" s="1805"/>
      <c r="BL29" s="1805"/>
      <c r="BM29" s="1805"/>
      <c r="BN29" s="1805"/>
      <c r="BO29" s="1805"/>
      <c r="BP29" s="1805"/>
      <c r="BQ29" s="1805"/>
      <c r="BR29" s="1805"/>
      <c r="BS29" s="1805"/>
      <c r="BT29" s="1805"/>
      <c r="BU29" s="1805"/>
      <c r="BV29" s="1805"/>
      <c r="BW29" s="1805"/>
      <c r="BX29" s="1805"/>
      <c r="BY29" s="1805"/>
      <c r="BZ29" s="1805"/>
      <c r="CA29" s="1805"/>
      <c r="CB29" s="1805"/>
      <c r="CC29" s="1805"/>
      <c r="CD29" s="1805"/>
      <c r="CE29" s="1805"/>
      <c r="CF29" s="1805"/>
      <c r="CG29" s="1805"/>
      <c r="CH29" s="1805"/>
      <c r="CI29" s="1805"/>
      <c r="CJ29" s="1805"/>
      <c r="CK29" s="1805"/>
      <c r="CL29" s="1805"/>
      <c r="CM29" s="1805"/>
      <c r="CN29" s="1805"/>
      <c r="CO29" s="1805"/>
      <c r="CP29" s="1805"/>
      <c r="CQ29" s="1805"/>
      <c r="CR29" s="1805"/>
      <c r="CS29" s="1805"/>
      <c r="CT29" s="1805"/>
      <c r="CU29" s="1805"/>
      <c r="CV29" s="1805"/>
      <c r="CW29" s="1805"/>
      <c r="CX29" s="1805"/>
      <c r="CY29" s="1805"/>
      <c r="CZ29" s="1805"/>
      <c r="DA29" s="1805"/>
      <c r="DB29" s="1805"/>
      <c r="DC29" s="1805"/>
      <c r="DD29" s="1805"/>
      <c r="DE29" s="1805"/>
      <c r="DF29" s="1805"/>
      <c r="DG29" s="1805"/>
      <c r="DH29" s="1805"/>
      <c r="DI29" s="1805"/>
      <c r="DJ29" s="1805"/>
      <c r="DK29" s="1805"/>
      <c r="DL29" s="1805"/>
      <c r="DM29" s="1805"/>
      <c r="DN29" s="1805"/>
      <c r="DO29" s="1805"/>
      <c r="DP29" s="1805"/>
      <c r="DQ29" s="1805"/>
      <c r="DR29" s="1805"/>
      <c r="DS29" s="1805"/>
      <c r="DT29" s="1805"/>
      <c r="DU29" s="1805"/>
      <c r="DV29" s="1805"/>
      <c r="DW29" s="1805"/>
      <c r="DX29" s="1805"/>
      <c r="DY29" s="1805"/>
      <c r="DZ29" s="1805"/>
      <c r="EA29" s="1805"/>
      <c r="EB29" s="1805"/>
      <c r="EC29" s="1805"/>
      <c r="ED29" s="1805"/>
      <c r="EE29" s="1805"/>
      <c r="EF29" s="1805"/>
      <c r="EG29" s="1805"/>
      <c r="EH29" s="1805"/>
      <c r="EI29" s="1805"/>
      <c r="EJ29" s="1805"/>
      <c r="EK29" s="1805"/>
      <c r="EL29" s="1805"/>
      <c r="EM29" s="1805"/>
      <c r="EN29" s="1805"/>
      <c r="EO29" s="1805"/>
      <c r="EP29" s="1805"/>
      <c r="EQ29" s="1805"/>
      <c r="ER29" s="1805"/>
      <c r="ES29" s="1805"/>
      <c r="ET29" s="1805"/>
      <c r="EU29" s="925"/>
      <c r="EV29" s="925"/>
      <c r="EW29" s="925"/>
      <c r="EX29" s="925"/>
      <c r="EY29" s="925"/>
      <c r="EZ29" s="925"/>
      <c r="FA29" s="925"/>
      <c r="FB29" s="925"/>
      <c r="FC29" s="925"/>
      <c r="FD29" s="925"/>
      <c r="FE29" s="925"/>
      <c r="FF29" s="925"/>
      <c r="FG29" s="925"/>
      <c r="FH29" s="925"/>
      <c r="FI29" s="925"/>
      <c r="FJ29" s="925"/>
      <c r="FK29" s="925"/>
      <c r="FL29" s="925"/>
      <c r="FM29" s="925"/>
      <c r="FN29" s="925"/>
      <c r="FO29" s="925"/>
      <c r="FP29" s="925"/>
      <c r="FQ29" s="925"/>
      <c r="FR29" s="925"/>
      <c r="FS29" s="925"/>
      <c r="FT29" s="925"/>
      <c r="FU29" s="925"/>
      <c r="FV29" s="925"/>
      <c r="FW29" s="925"/>
      <c r="FX29" s="925"/>
      <c r="FY29" s="925"/>
      <c r="FZ29" s="925"/>
      <c r="GA29" s="925"/>
      <c r="GB29" s="925"/>
      <c r="GC29" s="925"/>
      <c r="GD29" s="925"/>
      <c r="GE29" s="925"/>
      <c r="GF29" s="925"/>
      <c r="GG29" s="925"/>
      <c r="GH29" s="925"/>
      <c r="GI29" s="925"/>
      <c r="GJ29" s="925"/>
      <c r="GK29" s="925"/>
      <c r="GL29" s="925"/>
      <c r="GM29" s="925"/>
      <c r="GN29" s="925"/>
      <c r="GO29" s="925"/>
      <c r="GP29" s="925"/>
      <c r="GQ29" s="925"/>
      <c r="GR29" s="925"/>
      <c r="GS29" s="925"/>
      <c r="GT29" s="925"/>
      <c r="GU29" s="925"/>
      <c r="GV29" s="925"/>
      <c r="GW29" s="925"/>
      <c r="GX29" s="925"/>
      <c r="GY29" s="925"/>
      <c r="GZ29" s="925"/>
      <c r="HA29" s="925"/>
      <c r="HB29" s="925"/>
      <c r="HC29" s="925"/>
      <c r="HD29" s="925"/>
      <c r="HE29" s="925"/>
      <c r="HF29" s="925"/>
      <c r="HG29" s="925"/>
      <c r="HH29" s="925"/>
      <c r="HI29" s="925"/>
      <c r="HJ29" s="925"/>
      <c r="HK29" s="925"/>
      <c r="HL29" s="925"/>
      <c r="HM29" s="925"/>
      <c r="HN29" s="925"/>
      <c r="HO29" s="925"/>
      <c r="HP29" s="925"/>
      <c r="HQ29" s="925"/>
      <c r="HR29" s="925"/>
      <c r="HS29" s="925"/>
      <c r="HT29" s="925"/>
      <c r="HU29" s="925"/>
      <c r="HV29" s="925"/>
      <c r="HW29" s="925"/>
      <c r="HX29" s="925"/>
      <c r="HY29" s="925"/>
      <c r="HZ29" s="925"/>
      <c r="IA29" s="925"/>
      <c r="IB29" s="925"/>
      <c r="IC29" s="925"/>
      <c r="ID29" s="925"/>
      <c r="IE29" s="925"/>
      <c r="IF29" s="925"/>
      <c r="IG29" s="925"/>
      <c r="IH29" s="925"/>
      <c r="II29" s="925"/>
      <c r="IJ29" s="925"/>
      <c r="IK29" s="925"/>
      <c r="IL29" s="925"/>
      <c r="IM29" s="925"/>
      <c r="IN29" s="925"/>
      <c r="IO29" s="925"/>
    </row>
    <row r="30" spans="1:249" ht="11.25" customHeight="1">
      <c r="A30" s="480"/>
      <c r="B30" s="480"/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0"/>
      <c r="Z30" s="480"/>
      <c r="AA30" s="480"/>
      <c r="AB30" s="480"/>
      <c r="AC30" s="480"/>
      <c r="AD30" s="480"/>
      <c r="AE30" s="480"/>
      <c r="AF30" s="480"/>
      <c r="AG30" s="480"/>
      <c r="AH30" s="480"/>
      <c r="AI30" s="480"/>
      <c r="AJ30" s="480"/>
      <c r="AK30" s="480"/>
      <c r="AL30" s="480"/>
      <c r="AM30" s="480"/>
      <c r="AN30" s="480"/>
      <c r="AO30" s="480"/>
      <c r="AP30" s="480"/>
      <c r="AQ30" s="480"/>
      <c r="AR30" s="480"/>
      <c r="AS30" s="480"/>
      <c r="AT30" s="480"/>
      <c r="AU30" s="480"/>
      <c r="AV30" s="480"/>
      <c r="AW30" s="480"/>
      <c r="AX30" s="480"/>
      <c r="AY30" s="480"/>
      <c r="AZ30" s="480"/>
      <c r="BA30" s="480"/>
      <c r="BB30" s="480"/>
      <c r="BC30" s="480"/>
      <c r="BD30" s="480"/>
      <c r="BE30" s="480"/>
      <c r="BF30" s="480"/>
      <c r="BG30" s="480"/>
      <c r="BH30" s="480"/>
      <c r="BI30" s="480"/>
      <c r="BJ30" s="480"/>
      <c r="BK30" s="480"/>
      <c r="BL30" s="480"/>
      <c r="BM30" s="480"/>
      <c r="BN30" s="480"/>
      <c r="BO30" s="480"/>
      <c r="BP30" s="480"/>
      <c r="BQ30" s="480"/>
      <c r="BR30" s="480"/>
      <c r="BS30" s="480"/>
      <c r="BT30" s="480"/>
      <c r="BU30" s="480"/>
      <c r="BV30" s="480"/>
      <c r="BW30" s="480"/>
      <c r="BX30" s="480"/>
      <c r="BY30" s="480"/>
      <c r="BZ30" s="480"/>
      <c r="CA30" s="480"/>
      <c r="CB30" s="480"/>
      <c r="CC30" s="480"/>
      <c r="CD30" s="480"/>
      <c r="CE30" s="480"/>
      <c r="CF30" s="480"/>
      <c r="CG30" s="480"/>
      <c r="CH30" s="480"/>
      <c r="CI30" s="480"/>
      <c r="CJ30" s="480"/>
      <c r="CK30" s="480"/>
      <c r="CL30" s="480"/>
      <c r="CM30" s="480"/>
      <c r="CN30" s="480"/>
      <c r="CO30" s="480"/>
      <c r="CP30" s="480"/>
      <c r="CQ30" s="480"/>
      <c r="CR30" s="480"/>
      <c r="CS30" s="480"/>
      <c r="CT30" s="480"/>
      <c r="CU30" s="480"/>
      <c r="CV30" s="480"/>
      <c r="CW30" s="480"/>
      <c r="CX30" s="480"/>
      <c r="CY30" s="480"/>
      <c r="CZ30" s="480"/>
      <c r="DA30" s="480"/>
      <c r="DB30" s="480"/>
      <c r="DC30" s="480"/>
      <c r="DD30" s="480"/>
      <c r="DE30" s="480"/>
      <c r="DF30" s="480"/>
      <c r="DG30" s="480"/>
      <c r="DH30" s="480"/>
      <c r="DI30" s="480"/>
      <c r="DJ30" s="480"/>
      <c r="DK30" s="480"/>
      <c r="DL30" s="480"/>
      <c r="DM30" s="480"/>
      <c r="DN30" s="480"/>
      <c r="DO30" s="480"/>
      <c r="DP30" s="480"/>
      <c r="DQ30" s="480"/>
      <c r="DR30" s="480"/>
      <c r="DS30" s="480"/>
      <c r="DT30" s="480"/>
      <c r="DU30" s="480"/>
      <c r="DV30" s="480"/>
      <c r="DW30" s="480"/>
      <c r="DX30" s="480"/>
      <c r="DY30" s="480"/>
      <c r="DZ30" s="480"/>
      <c r="EA30" s="480"/>
      <c r="EB30" s="480"/>
      <c r="EC30" s="480"/>
      <c r="ED30" s="480"/>
      <c r="EE30" s="480"/>
      <c r="EF30" s="480"/>
      <c r="EG30" s="480"/>
      <c r="EH30" s="480"/>
      <c r="EI30" s="480"/>
      <c r="EJ30" s="480"/>
      <c r="EK30" s="480"/>
      <c r="EL30" s="480"/>
      <c r="EM30" s="480"/>
      <c r="EN30" s="480"/>
      <c r="EO30" s="480"/>
      <c r="EP30" s="480"/>
      <c r="EQ30" s="480"/>
      <c r="ER30" s="480"/>
      <c r="ES30" s="480"/>
      <c r="ET30" s="480"/>
      <c r="EU30" s="925"/>
      <c r="EV30" s="925"/>
      <c r="EW30" s="925"/>
      <c r="EX30" s="925"/>
      <c r="EY30" s="925"/>
      <c r="EZ30" s="925"/>
      <c r="FA30" s="925"/>
      <c r="FB30" s="925"/>
      <c r="FC30" s="925"/>
      <c r="FD30" s="925"/>
      <c r="FE30" s="925"/>
      <c r="FF30" s="925"/>
      <c r="FG30" s="925"/>
      <c r="FH30" s="925"/>
      <c r="FI30" s="925"/>
      <c r="FJ30" s="925"/>
      <c r="FK30" s="925"/>
      <c r="FL30" s="925"/>
      <c r="FM30" s="925"/>
      <c r="FN30" s="925"/>
      <c r="FO30" s="925"/>
      <c r="FP30" s="925"/>
      <c r="FQ30" s="925"/>
      <c r="FR30" s="925"/>
      <c r="FS30" s="925"/>
      <c r="FT30" s="925"/>
      <c r="FU30" s="925"/>
      <c r="FV30" s="925"/>
      <c r="FW30" s="925"/>
      <c r="FX30" s="925"/>
      <c r="FY30" s="925"/>
      <c r="FZ30" s="925"/>
      <c r="GA30" s="925"/>
      <c r="GB30" s="925"/>
      <c r="GC30" s="925"/>
      <c r="GD30" s="925"/>
      <c r="GE30" s="925"/>
      <c r="GF30" s="925"/>
      <c r="GG30" s="925"/>
      <c r="GH30" s="925"/>
      <c r="GI30" s="925"/>
      <c r="GJ30" s="925"/>
      <c r="GK30" s="925"/>
      <c r="GL30" s="925"/>
      <c r="GM30" s="925"/>
      <c r="GN30" s="925"/>
      <c r="GO30" s="925"/>
      <c r="GP30" s="925"/>
      <c r="GQ30" s="925"/>
      <c r="GR30" s="925"/>
      <c r="GS30" s="925"/>
      <c r="GT30" s="925"/>
      <c r="GU30" s="925"/>
      <c r="GV30" s="925"/>
      <c r="GW30" s="925"/>
      <c r="GX30" s="925"/>
      <c r="GY30" s="925"/>
      <c r="GZ30" s="925"/>
      <c r="HA30" s="925"/>
      <c r="HB30" s="925"/>
      <c r="HC30" s="925"/>
      <c r="HD30" s="925"/>
      <c r="HE30" s="925"/>
      <c r="HF30" s="925"/>
      <c r="HG30" s="925"/>
      <c r="HH30" s="925"/>
      <c r="HI30" s="925"/>
      <c r="HJ30" s="925"/>
      <c r="HK30" s="925"/>
      <c r="HL30" s="925"/>
      <c r="HM30" s="925"/>
      <c r="HN30" s="925"/>
      <c r="HO30" s="925"/>
      <c r="HP30" s="925"/>
      <c r="HQ30" s="925"/>
      <c r="HR30" s="925"/>
      <c r="HS30" s="925"/>
      <c r="HT30" s="925"/>
      <c r="HU30" s="925"/>
      <c r="HV30" s="925"/>
      <c r="HW30" s="925"/>
      <c r="HX30" s="925"/>
      <c r="HY30" s="925"/>
      <c r="HZ30" s="925"/>
      <c r="IA30" s="925"/>
      <c r="IB30" s="925"/>
      <c r="IC30" s="925"/>
      <c r="ID30" s="925"/>
      <c r="IE30" s="925"/>
      <c r="IF30" s="925"/>
      <c r="IG30" s="925"/>
      <c r="IH30" s="925"/>
      <c r="II30" s="925"/>
      <c r="IJ30" s="925"/>
      <c r="IK30" s="925"/>
      <c r="IL30" s="925"/>
      <c r="IM30" s="925"/>
      <c r="IN30" s="925"/>
      <c r="IO30" s="925"/>
    </row>
    <row r="31" spans="1:249" ht="11.25" customHeight="1">
      <c r="A31" s="1805" t="s">
        <v>387</v>
      </c>
      <c r="B31" s="1805"/>
      <c r="C31" s="1805"/>
      <c r="D31" s="1805"/>
      <c r="E31" s="1805"/>
      <c r="F31" s="1805"/>
      <c r="G31" s="1805"/>
      <c r="H31" s="1805"/>
      <c r="I31" s="1805"/>
      <c r="J31" s="1805"/>
      <c r="K31" s="1805"/>
      <c r="L31" s="1805"/>
      <c r="M31" s="1805"/>
      <c r="N31" s="1805"/>
      <c r="O31" s="1805"/>
      <c r="P31" s="1805"/>
      <c r="Q31" s="1805"/>
      <c r="R31" s="1805"/>
      <c r="S31" s="1805"/>
      <c r="T31" s="1805"/>
      <c r="U31" s="1805"/>
      <c r="V31" s="1805"/>
      <c r="W31" s="1805"/>
      <c r="X31" s="1805"/>
      <c r="Y31" s="1805"/>
      <c r="Z31" s="1805"/>
      <c r="AA31" s="1805"/>
      <c r="AB31" s="1805"/>
      <c r="AC31" s="1805"/>
      <c r="AD31" s="1805"/>
      <c r="AE31" s="1805"/>
      <c r="AF31" s="1805"/>
      <c r="AG31" s="1805"/>
      <c r="AH31" s="1805"/>
      <c r="AI31" s="1805"/>
      <c r="AJ31" s="1805"/>
      <c r="AK31" s="1805"/>
      <c r="AL31" s="1805"/>
      <c r="AM31" s="1805"/>
      <c r="AN31" s="1805"/>
      <c r="AO31" s="1805"/>
      <c r="AP31" s="1805"/>
      <c r="AQ31" s="1805"/>
      <c r="AR31" s="1805"/>
      <c r="AS31" s="1805"/>
      <c r="AT31" s="1805"/>
      <c r="AU31" s="1805"/>
      <c r="AV31" s="1805"/>
      <c r="AW31" s="1805"/>
      <c r="AX31" s="1805"/>
      <c r="AY31" s="1805"/>
      <c r="AZ31" s="1805"/>
      <c r="BA31" s="1805"/>
      <c r="BB31" s="1805"/>
      <c r="BC31" s="1805"/>
      <c r="BD31" s="1805"/>
      <c r="BE31" s="1805"/>
      <c r="BF31" s="1805"/>
      <c r="BG31" s="1805"/>
      <c r="BH31" s="1805"/>
      <c r="BI31" s="1805"/>
      <c r="BJ31" s="1805"/>
      <c r="BK31" s="1805"/>
      <c r="BL31" s="1805"/>
      <c r="BM31" s="1805"/>
      <c r="BN31" s="1805"/>
      <c r="BO31" s="1805"/>
      <c r="BP31" s="1805"/>
      <c r="BQ31" s="1805"/>
      <c r="BR31" s="1805"/>
      <c r="BS31" s="1805"/>
      <c r="BT31" s="1805"/>
      <c r="BU31" s="1805"/>
      <c r="BV31" s="1805"/>
      <c r="BW31" s="1805"/>
      <c r="BX31" s="1805"/>
      <c r="BY31" s="1805"/>
      <c r="BZ31" s="1805"/>
      <c r="CA31" s="1805"/>
      <c r="CB31" s="1805"/>
      <c r="CC31" s="1805"/>
      <c r="CD31" s="1805"/>
      <c r="CE31" s="1805"/>
      <c r="CF31" s="1805"/>
      <c r="CG31" s="1805"/>
      <c r="CH31" s="1805"/>
      <c r="CI31" s="1805"/>
      <c r="CJ31" s="1805"/>
      <c r="CK31" s="1805"/>
      <c r="CL31" s="1805"/>
      <c r="CM31" s="1805"/>
      <c r="CN31" s="1805"/>
      <c r="CO31" s="1805"/>
      <c r="CP31" s="1805"/>
      <c r="CQ31" s="1805"/>
      <c r="CR31" s="1805"/>
      <c r="CS31" s="1805"/>
      <c r="CT31" s="1805"/>
      <c r="CU31" s="1805"/>
      <c r="CV31" s="480"/>
      <c r="CW31" s="480"/>
      <c r="CX31" s="480"/>
      <c r="CY31" s="480"/>
      <c r="CZ31" s="480"/>
      <c r="DA31" s="480"/>
      <c r="DB31" s="480"/>
      <c r="DC31" s="480"/>
      <c r="DD31" s="480"/>
      <c r="DE31" s="480"/>
      <c r="DF31" s="480"/>
      <c r="DG31" s="480"/>
      <c r="DH31" s="480"/>
      <c r="DI31" s="480"/>
      <c r="DJ31" s="480"/>
      <c r="DK31" s="480"/>
      <c r="DL31" s="480"/>
      <c r="DM31" s="480"/>
      <c r="DN31" s="480"/>
      <c r="DO31" s="480"/>
      <c r="DP31" s="480"/>
      <c r="DQ31" s="480"/>
      <c r="DR31" s="480"/>
      <c r="DS31" s="480"/>
      <c r="DT31" s="480"/>
      <c r="DU31" s="480"/>
      <c r="DV31" s="480"/>
      <c r="DW31" s="480"/>
      <c r="DX31" s="480"/>
      <c r="DY31" s="480"/>
      <c r="DZ31" s="480"/>
      <c r="EA31" s="480"/>
      <c r="EB31" s="480"/>
      <c r="EC31" s="480"/>
      <c r="ED31" s="480"/>
      <c r="EE31" s="480"/>
      <c r="EF31" s="480"/>
      <c r="EG31" s="480"/>
      <c r="EH31" s="480"/>
      <c r="EI31" s="480"/>
      <c r="EJ31" s="480"/>
      <c r="EK31" s="480"/>
      <c r="EL31" s="480"/>
      <c r="EM31" s="480"/>
      <c r="EN31" s="480"/>
      <c r="EO31" s="480"/>
      <c r="EP31" s="480"/>
      <c r="EQ31" s="480"/>
      <c r="ER31" s="480"/>
      <c r="ES31" s="480"/>
      <c r="ET31" s="480"/>
      <c r="EU31" s="925"/>
      <c r="EV31" s="925"/>
      <c r="EW31" s="925"/>
      <c r="EX31" s="925"/>
      <c r="EY31" s="925"/>
      <c r="EZ31" s="925"/>
      <c r="FA31" s="925"/>
      <c r="FB31" s="925"/>
      <c r="FC31" s="925"/>
      <c r="FD31" s="925"/>
      <c r="FE31" s="925"/>
      <c r="FF31" s="925"/>
      <c r="FG31" s="925"/>
      <c r="FH31" s="925"/>
      <c r="FI31" s="925"/>
      <c r="FJ31" s="925"/>
      <c r="FK31" s="925"/>
      <c r="FL31" s="925"/>
      <c r="FM31" s="925"/>
      <c r="FN31" s="925"/>
      <c r="FO31" s="925"/>
      <c r="FP31" s="925"/>
      <c r="FQ31" s="925"/>
      <c r="FR31" s="925"/>
      <c r="FS31" s="925"/>
      <c r="FT31" s="925"/>
      <c r="FU31" s="925"/>
      <c r="FV31" s="925"/>
      <c r="FW31" s="925"/>
      <c r="FX31" s="925"/>
      <c r="FY31" s="925"/>
      <c r="FZ31" s="925"/>
      <c r="GA31" s="925"/>
      <c r="GB31" s="925"/>
      <c r="GC31" s="925"/>
      <c r="GD31" s="925"/>
      <c r="GE31" s="925"/>
      <c r="GF31" s="925"/>
      <c r="GG31" s="925"/>
      <c r="GH31" s="925"/>
      <c r="GI31" s="925"/>
      <c r="GJ31" s="925"/>
      <c r="GK31" s="925"/>
      <c r="GL31" s="925"/>
      <c r="GM31" s="925"/>
      <c r="GN31" s="925"/>
      <c r="GO31" s="925"/>
      <c r="GP31" s="925"/>
      <c r="GQ31" s="925"/>
      <c r="GR31" s="925"/>
      <c r="GS31" s="925"/>
      <c r="GT31" s="925"/>
      <c r="GU31" s="925"/>
      <c r="GV31" s="925"/>
      <c r="GW31" s="925"/>
      <c r="GX31" s="925"/>
      <c r="GY31" s="925"/>
      <c r="GZ31" s="925"/>
      <c r="HA31" s="925"/>
      <c r="HB31" s="925"/>
      <c r="HC31" s="925"/>
      <c r="HD31" s="925"/>
      <c r="HE31" s="925"/>
      <c r="HF31" s="925"/>
      <c r="HG31" s="925"/>
      <c r="HH31" s="925"/>
      <c r="HI31" s="925"/>
      <c r="HJ31" s="925"/>
      <c r="HK31" s="925"/>
      <c r="HL31" s="925"/>
      <c r="HM31" s="925"/>
      <c r="HN31" s="925"/>
      <c r="HO31" s="925"/>
      <c r="HP31" s="925"/>
      <c r="HQ31" s="925"/>
      <c r="HR31" s="925"/>
      <c r="HS31" s="925"/>
      <c r="HT31" s="925"/>
      <c r="HU31" s="925"/>
      <c r="HV31" s="925"/>
      <c r="HW31" s="925"/>
      <c r="HX31" s="925"/>
      <c r="HY31" s="925"/>
      <c r="HZ31" s="925"/>
      <c r="IA31" s="925"/>
      <c r="IB31" s="925"/>
      <c r="IC31" s="925"/>
      <c r="ID31" s="925"/>
      <c r="IE31" s="925"/>
      <c r="IF31" s="925"/>
      <c r="IG31" s="925"/>
      <c r="IH31" s="925"/>
      <c r="II31" s="925"/>
      <c r="IJ31" s="925"/>
      <c r="IK31" s="925"/>
      <c r="IL31" s="925"/>
      <c r="IM31" s="925"/>
      <c r="IN31" s="925"/>
      <c r="IO31" s="925"/>
    </row>
    <row r="32" spans="1:249" ht="11.25" customHeight="1">
      <c r="A32" s="480"/>
      <c r="B32" s="480"/>
      <c r="C32" s="480"/>
      <c r="D32" s="480"/>
      <c r="E32" s="480"/>
      <c r="F32" s="480"/>
      <c r="G32" s="480"/>
      <c r="H32" s="480"/>
      <c r="I32" s="480"/>
      <c r="J32" s="480"/>
      <c r="K32" s="480"/>
      <c r="L32" s="480"/>
      <c r="M32" s="480"/>
      <c r="N32" s="480"/>
      <c r="O32" s="480"/>
      <c r="P32" s="480"/>
      <c r="Q32" s="480"/>
      <c r="R32" s="480"/>
      <c r="S32" s="480"/>
      <c r="T32" s="480"/>
      <c r="U32" s="480"/>
      <c r="V32" s="480"/>
      <c r="W32" s="480"/>
      <c r="X32" s="480"/>
      <c r="Y32" s="480"/>
      <c r="Z32" s="480"/>
      <c r="AA32" s="480"/>
      <c r="AB32" s="480"/>
      <c r="AC32" s="480"/>
      <c r="AD32" s="480"/>
      <c r="AE32" s="480"/>
      <c r="AF32" s="480"/>
      <c r="AG32" s="480"/>
      <c r="AH32" s="480"/>
      <c r="AI32" s="480"/>
      <c r="AJ32" s="480"/>
      <c r="AK32" s="480"/>
      <c r="AL32" s="480"/>
      <c r="AM32" s="480"/>
      <c r="AN32" s="480"/>
      <c r="AO32" s="480"/>
      <c r="AP32" s="480"/>
      <c r="AQ32" s="480"/>
      <c r="AR32" s="480"/>
      <c r="AS32" s="480"/>
      <c r="AT32" s="480"/>
      <c r="AU32" s="480"/>
      <c r="AV32" s="480"/>
      <c r="AW32" s="480"/>
      <c r="AX32" s="480"/>
      <c r="AY32" s="480"/>
      <c r="AZ32" s="480"/>
      <c r="BA32" s="480"/>
      <c r="BB32" s="480"/>
      <c r="BC32" s="480"/>
      <c r="BD32" s="480"/>
      <c r="BE32" s="480"/>
      <c r="BF32" s="480"/>
      <c r="BG32" s="480"/>
      <c r="BH32" s="480"/>
      <c r="BI32" s="480"/>
      <c r="BJ32" s="480"/>
      <c r="BK32" s="480"/>
      <c r="BL32" s="480"/>
      <c r="BM32" s="480"/>
      <c r="BN32" s="480"/>
      <c r="BO32" s="480"/>
      <c r="BP32" s="480"/>
      <c r="BQ32" s="480"/>
      <c r="BR32" s="480"/>
      <c r="BS32" s="480"/>
      <c r="BT32" s="480"/>
      <c r="BU32" s="480"/>
      <c r="BV32" s="480"/>
      <c r="BW32" s="480"/>
      <c r="BX32" s="480"/>
      <c r="BY32" s="480"/>
      <c r="BZ32" s="480"/>
      <c r="CA32" s="480"/>
      <c r="CB32" s="480"/>
      <c r="CC32" s="480"/>
      <c r="CD32" s="480"/>
      <c r="CE32" s="480"/>
      <c r="CF32" s="480"/>
      <c r="CG32" s="480"/>
      <c r="CH32" s="480"/>
      <c r="CI32" s="480"/>
      <c r="CJ32" s="480"/>
      <c r="CK32" s="480"/>
      <c r="CL32" s="480"/>
      <c r="CM32" s="480"/>
      <c r="CN32" s="480"/>
      <c r="CO32" s="480"/>
      <c r="CP32" s="480"/>
      <c r="CQ32" s="480"/>
      <c r="CR32" s="480"/>
      <c r="CS32" s="480"/>
      <c r="CT32" s="480"/>
      <c r="CU32" s="480"/>
      <c r="CV32" s="480"/>
      <c r="CW32" s="480"/>
      <c r="CX32" s="480"/>
      <c r="CY32" s="480"/>
      <c r="CZ32" s="480"/>
      <c r="DA32" s="480"/>
      <c r="DB32" s="480"/>
      <c r="DC32" s="480"/>
      <c r="DD32" s="480"/>
      <c r="DE32" s="480"/>
      <c r="DF32" s="480"/>
      <c r="DG32" s="480"/>
      <c r="DH32" s="480"/>
      <c r="DI32" s="480"/>
      <c r="DJ32" s="480"/>
      <c r="DK32" s="480"/>
      <c r="DL32" s="480"/>
      <c r="DM32" s="480"/>
      <c r="DN32" s="480"/>
      <c r="DO32" s="480"/>
      <c r="DP32" s="480"/>
      <c r="DQ32" s="480"/>
      <c r="DR32" s="480"/>
      <c r="DS32" s="480"/>
      <c r="DT32" s="480"/>
      <c r="DU32" s="480"/>
      <c r="DV32" s="480"/>
      <c r="DW32" s="480"/>
      <c r="DX32" s="480"/>
      <c r="DY32" s="480"/>
      <c r="DZ32" s="480"/>
      <c r="EA32" s="480"/>
      <c r="EB32" s="480"/>
      <c r="EC32" s="480"/>
      <c r="ED32" s="480"/>
      <c r="EE32" s="480"/>
      <c r="EF32" s="480"/>
      <c r="EG32" s="480"/>
      <c r="EH32" s="480"/>
      <c r="EI32" s="480"/>
      <c r="EJ32" s="480"/>
      <c r="EK32" s="480"/>
      <c r="EL32" s="480"/>
      <c r="EM32" s="480"/>
      <c r="EN32" s="480"/>
      <c r="EO32" s="480"/>
      <c r="EP32" s="480"/>
      <c r="EQ32" s="480"/>
      <c r="ER32" s="480"/>
      <c r="ES32" s="480"/>
      <c r="ET32" s="480"/>
      <c r="EU32" s="925"/>
      <c r="EV32" s="925"/>
      <c r="EW32" s="925"/>
      <c r="EX32" s="925"/>
      <c r="EY32" s="925"/>
      <c r="EZ32" s="925"/>
      <c r="FA32" s="925"/>
      <c r="FB32" s="925"/>
      <c r="FC32" s="925"/>
      <c r="FD32" s="925"/>
      <c r="FE32" s="925"/>
      <c r="FF32" s="925"/>
      <c r="FG32" s="925"/>
      <c r="FH32" s="925"/>
      <c r="FI32" s="925"/>
      <c r="FJ32" s="925"/>
      <c r="FK32" s="925"/>
      <c r="FL32" s="925"/>
      <c r="FM32" s="925"/>
      <c r="FN32" s="925"/>
      <c r="FO32" s="925"/>
      <c r="FP32" s="925"/>
      <c r="FQ32" s="925"/>
      <c r="FR32" s="925"/>
      <c r="FS32" s="925"/>
      <c r="FT32" s="925"/>
      <c r="FU32" s="925"/>
      <c r="FV32" s="925"/>
      <c r="FW32" s="925"/>
      <c r="FX32" s="925"/>
      <c r="FY32" s="925"/>
      <c r="FZ32" s="925"/>
      <c r="GA32" s="925"/>
      <c r="GB32" s="925"/>
      <c r="GC32" s="925"/>
      <c r="GD32" s="925"/>
      <c r="GE32" s="925"/>
      <c r="GF32" s="925"/>
      <c r="GG32" s="925"/>
      <c r="GH32" s="925"/>
      <c r="GI32" s="925"/>
      <c r="GJ32" s="925"/>
      <c r="GK32" s="925"/>
      <c r="GL32" s="925"/>
      <c r="GM32" s="925"/>
      <c r="GN32" s="925"/>
      <c r="GO32" s="925"/>
      <c r="GP32" s="925"/>
      <c r="GQ32" s="925"/>
      <c r="GR32" s="925"/>
      <c r="GS32" s="925"/>
      <c r="GT32" s="925"/>
      <c r="GU32" s="925"/>
      <c r="GV32" s="925"/>
      <c r="GW32" s="925"/>
      <c r="GX32" s="925"/>
      <c r="GY32" s="925"/>
      <c r="GZ32" s="925"/>
      <c r="HA32" s="925"/>
      <c r="HB32" s="925"/>
      <c r="HC32" s="925"/>
      <c r="HD32" s="925"/>
      <c r="HE32" s="925"/>
      <c r="HF32" s="925"/>
      <c r="HG32" s="925"/>
      <c r="HH32" s="925"/>
      <c r="HI32" s="925"/>
      <c r="HJ32" s="925"/>
      <c r="HK32" s="925"/>
      <c r="HL32" s="925"/>
      <c r="HM32" s="925"/>
      <c r="HN32" s="925"/>
      <c r="HO32" s="925"/>
      <c r="HP32" s="925"/>
      <c r="HQ32" s="925"/>
      <c r="HR32" s="925"/>
      <c r="HS32" s="925"/>
      <c r="HT32" s="925"/>
      <c r="HU32" s="925"/>
      <c r="HV32" s="925"/>
      <c r="HW32" s="925"/>
      <c r="HX32" s="925"/>
      <c r="HY32" s="925"/>
      <c r="HZ32" s="925"/>
      <c r="IA32" s="925"/>
      <c r="IB32" s="925"/>
      <c r="IC32" s="925"/>
      <c r="ID32" s="925"/>
      <c r="IE32" s="925"/>
      <c r="IF32" s="925"/>
      <c r="IG32" s="925"/>
      <c r="IH32" s="925"/>
      <c r="II32" s="925"/>
      <c r="IJ32" s="925"/>
      <c r="IK32" s="925"/>
      <c r="IL32" s="925"/>
      <c r="IM32" s="925"/>
      <c r="IN32" s="925"/>
      <c r="IO32" s="925"/>
    </row>
    <row r="33" spans="1:249" ht="11.25" customHeight="1">
      <c r="A33" s="1806" t="s">
        <v>291</v>
      </c>
      <c r="B33" s="1806"/>
      <c r="C33" s="1806"/>
      <c r="D33" s="1806"/>
      <c r="E33" s="1806"/>
      <c r="F33" s="1806"/>
      <c r="G33" s="1806"/>
      <c r="H33" s="1806"/>
      <c r="I33" s="1806"/>
      <c r="J33" s="1806"/>
      <c r="K33" s="1806"/>
      <c r="L33" s="1806"/>
      <c r="M33" s="1806"/>
      <c r="N33" s="1806"/>
      <c r="O33" s="1806"/>
      <c r="P33" s="1806"/>
      <c r="Q33" s="1806"/>
      <c r="R33" s="1806"/>
      <c r="S33" s="1806"/>
      <c r="T33" s="1806"/>
      <c r="U33" s="1806"/>
      <c r="V33" s="1806"/>
      <c r="W33" s="1806"/>
      <c r="X33" s="1806"/>
      <c r="Y33" s="1806"/>
      <c r="Z33" s="1806"/>
      <c r="AA33" s="1806"/>
      <c r="AB33" s="1806"/>
      <c r="AC33" s="1806"/>
      <c r="AD33" s="1806"/>
      <c r="AE33" s="1806"/>
      <c r="AF33" s="1806"/>
      <c r="AG33" s="480"/>
      <c r="AH33" s="480"/>
      <c r="AI33" s="480"/>
      <c r="AJ33" s="1726"/>
      <c r="AK33" s="1726"/>
      <c r="AL33" s="1726"/>
      <c r="AM33" s="1726"/>
      <c r="AN33" s="1726"/>
      <c r="AO33" s="1726"/>
      <c r="AP33" s="1726"/>
      <c r="AQ33" s="1726"/>
      <c r="AR33" s="1726"/>
      <c r="AS33" s="1726"/>
      <c r="AT33" s="1726"/>
      <c r="AU33" s="1726"/>
      <c r="AV33" s="1726"/>
      <c r="AW33" s="1726"/>
      <c r="AX33" s="1726"/>
      <c r="AY33" s="1726"/>
      <c r="AZ33" s="1726"/>
      <c r="BA33" s="1726"/>
      <c r="BB33" s="1726"/>
      <c r="BC33" s="1726"/>
      <c r="BD33" s="1726"/>
      <c r="BE33" s="480"/>
      <c r="BF33" s="480"/>
      <c r="BG33" s="480"/>
      <c r="BH33" s="480"/>
      <c r="BI33" s="1806" t="s">
        <v>33</v>
      </c>
      <c r="BJ33" s="1806"/>
      <c r="BK33" s="1806"/>
      <c r="BL33" s="1806"/>
      <c r="BM33" s="1806"/>
      <c r="BN33" s="1806"/>
      <c r="BO33" s="1806"/>
      <c r="BP33" s="1806"/>
      <c r="BQ33" s="1806"/>
      <c r="BR33" s="1806"/>
      <c r="BS33" s="1806"/>
      <c r="BT33" s="1806"/>
      <c r="BU33" s="1806"/>
      <c r="BV33" s="1806"/>
      <c r="BW33" s="1806"/>
      <c r="BX33" s="1806"/>
      <c r="BY33" s="1806"/>
      <c r="BZ33" s="1806"/>
      <c r="CA33" s="1806"/>
      <c r="CB33" s="1806"/>
      <c r="CC33" s="1806"/>
      <c r="CD33" s="1806"/>
      <c r="CE33" s="1806"/>
      <c r="CF33" s="1806"/>
      <c r="CG33" s="1806"/>
      <c r="CH33" s="1806"/>
      <c r="CI33" s="1806"/>
      <c r="CJ33" s="480"/>
      <c r="CK33" s="480"/>
      <c r="CL33" s="480"/>
      <c r="CM33" s="480"/>
      <c r="CN33" s="480"/>
      <c r="CO33" s="480"/>
      <c r="CP33" s="480"/>
      <c r="CQ33" s="480"/>
      <c r="CR33" s="480"/>
      <c r="CS33" s="480"/>
      <c r="CT33" s="480"/>
      <c r="CU33" s="480"/>
      <c r="CV33" s="480"/>
      <c r="CW33" s="480"/>
      <c r="CX33" s="480"/>
      <c r="CY33" s="480"/>
      <c r="CZ33" s="480"/>
      <c r="DA33" s="480"/>
      <c r="DB33" s="480"/>
      <c r="DC33" s="480"/>
      <c r="DD33" s="480"/>
      <c r="DE33" s="480"/>
      <c r="DF33" s="480"/>
      <c r="DG33" s="480"/>
      <c r="DH33" s="480"/>
      <c r="DI33" s="480"/>
      <c r="DJ33" s="480"/>
      <c r="DK33" s="480"/>
      <c r="DL33" s="480"/>
      <c r="DM33" s="480"/>
      <c r="DN33" s="480"/>
      <c r="DO33" s="480"/>
      <c r="DP33" s="480"/>
      <c r="DQ33" s="480"/>
      <c r="DR33" s="480"/>
      <c r="DS33" s="480"/>
      <c r="DT33" s="480"/>
      <c r="DU33" s="480"/>
      <c r="DV33" s="480"/>
      <c r="DW33" s="480"/>
      <c r="DX33" s="480"/>
      <c r="DY33" s="480"/>
      <c r="DZ33" s="480"/>
      <c r="EA33" s="480"/>
      <c r="EB33" s="480"/>
      <c r="EC33" s="480"/>
      <c r="ED33" s="480"/>
      <c r="EE33" s="480"/>
      <c r="EF33" s="480"/>
      <c r="EG33" s="480"/>
      <c r="EH33" s="480"/>
      <c r="EI33" s="480"/>
      <c r="EJ33" s="480"/>
      <c r="EK33" s="480"/>
      <c r="EL33" s="480"/>
      <c r="EM33" s="480"/>
      <c r="EN33" s="480"/>
      <c r="EO33" s="480"/>
      <c r="EP33" s="480"/>
      <c r="EQ33" s="480"/>
      <c r="ER33" s="480"/>
      <c r="ES33" s="480"/>
      <c r="ET33" s="480"/>
      <c r="EU33" s="925"/>
      <c r="EV33" s="925"/>
      <c r="EW33" s="925"/>
      <c r="EX33" s="925"/>
      <c r="EY33" s="925"/>
      <c r="EZ33" s="925"/>
      <c r="FA33" s="925"/>
      <c r="FB33" s="925"/>
      <c r="FC33" s="925"/>
      <c r="FD33" s="925"/>
      <c r="FE33" s="925"/>
      <c r="FF33" s="925"/>
      <c r="FG33" s="925"/>
      <c r="FH33" s="925"/>
      <c r="FI33" s="925"/>
      <c r="FJ33" s="925"/>
      <c r="FK33" s="925"/>
      <c r="FL33" s="925"/>
      <c r="FM33" s="925"/>
      <c r="FN33" s="925"/>
      <c r="FO33" s="925"/>
      <c r="FP33" s="925"/>
      <c r="FQ33" s="925"/>
      <c r="FR33" s="925"/>
      <c r="FS33" s="925"/>
      <c r="FT33" s="925"/>
      <c r="FU33" s="925"/>
      <c r="FV33" s="925"/>
      <c r="FW33" s="925"/>
      <c r="FX33" s="925"/>
      <c r="FY33" s="925"/>
      <c r="FZ33" s="925"/>
      <c r="GA33" s="925"/>
      <c r="GB33" s="925"/>
      <c r="GC33" s="925"/>
      <c r="GD33" s="925"/>
      <c r="GE33" s="925"/>
      <c r="GF33" s="925"/>
      <c r="GG33" s="925"/>
      <c r="GH33" s="925"/>
      <c r="GI33" s="925"/>
      <c r="GJ33" s="925"/>
      <c r="GK33" s="925"/>
      <c r="GL33" s="925"/>
      <c r="GM33" s="925"/>
      <c r="GN33" s="925"/>
      <c r="GO33" s="925"/>
      <c r="GP33" s="925"/>
      <c r="GQ33" s="925"/>
      <c r="GR33" s="925"/>
      <c r="GS33" s="925"/>
      <c r="GT33" s="925"/>
      <c r="GU33" s="925"/>
      <c r="GV33" s="925"/>
      <c r="GW33" s="925"/>
      <c r="GX33" s="925"/>
      <c r="GY33" s="925"/>
      <c r="GZ33" s="925"/>
      <c r="HA33" s="925"/>
      <c r="HB33" s="925"/>
      <c r="HC33" s="925"/>
      <c r="HD33" s="925"/>
      <c r="HE33" s="925"/>
      <c r="HF33" s="925"/>
      <c r="HG33" s="925"/>
      <c r="HH33" s="925"/>
      <c r="HI33" s="925"/>
      <c r="HJ33" s="925"/>
      <c r="HK33" s="925"/>
      <c r="HL33" s="925"/>
      <c r="HM33" s="925"/>
      <c r="HN33" s="925"/>
      <c r="HO33" s="925"/>
      <c r="HP33" s="925"/>
      <c r="HQ33" s="925"/>
      <c r="HR33" s="925"/>
      <c r="HS33" s="925"/>
      <c r="HT33" s="925"/>
      <c r="HU33" s="925"/>
      <c r="HV33" s="925"/>
      <c r="HW33" s="925"/>
      <c r="HX33" s="925"/>
      <c r="HY33" s="925"/>
      <c r="HZ33" s="925"/>
      <c r="IA33" s="925"/>
      <c r="IB33" s="925"/>
      <c r="IC33" s="925"/>
      <c r="ID33" s="925"/>
      <c r="IE33" s="925"/>
      <c r="IF33" s="925"/>
      <c r="IG33" s="925"/>
      <c r="IH33" s="925"/>
      <c r="II33" s="925"/>
      <c r="IJ33" s="925"/>
      <c r="IK33" s="925"/>
      <c r="IL33" s="925"/>
      <c r="IM33" s="925"/>
      <c r="IN33" s="925"/>
      <c r="IO33" s="925"/>
    </row>
    <row r="34" spans="1:249" ht="11.25" customHeight="1">
      <c r="A34" s="1724" t="s">
        <v>183</v>
      </c>
      <c r="B34" s="1724"/>
      <c r="C34" s="1724"/>
      <c r="D34" s="1724"/>
      <c r="E34" s="1724"/>
      <c r="F34" s="1724"/>
      <c r="G34" s="1724"/>
      <c r="H34" s="1724"/>
      <c r="I34" s="1724"/>
      <c r="J34" s="1724"/>
      <c r="K34" s="1724"/>
      <c r="L34" s="1724"/>
      <c r="M34" s="1724"/>
      <c r="N34" s="1724"/>
      <c r="O34" s="1724"/>
      <c r="P34" s="1724"/>
      <c r="Q34" s="1724"/>
      <c r="R34" s="1724"/>
      <c r="S34" s="1724"/>
      <c r="T34" s="1724"/>
      <c r="U34" s="1724"/>
      <c r="V34" s="1724"/>
      <c r="W34" s="1724"/>
      <c r="X34" s="1724"/>
      <c r="Y34" s="1724"/>
      <c r="Z34" s="1724"/>
      <c r="AA34" s="1724"/>
      <c r="AB34" s="1724"/>
      <c r="AC34" s="1724"/>
      <c r="AD34" s="1724"/>
      <c r="AE34" s="1724"/>
      <c r="AF34" s="1724"/>
      <c r="AG34" s="480"/>
      <c r="AH34" s="480"/>
      <c r="AI34" s="480"/>
      <c r="AJ34" s="1724" t="s">
        <v>80</v>
      </c>
      <c r="AK34" s="1724"/>
      <c r="AL34" s="1724"/>
      <c r="AM34" s="1724"/>
      <c r="AN34" s="1724"/>
      <c r="AO34" s="1724"/>
      <c r="AP34" s="1724"/>
      <c r="AQ34" s="1724"/>
      <c r="AR34" s="1724"/>
      <c r="AS34" s="1724"/>
      <c r="AT34" s="1724"/>
      <c r="AU34" s="1724"/>
      <c r="AV34" s="1724"/>
      <c r="AW34" s="1724"/>
      <c r="AX34" s="1724"/>
      <c r="AY34" s="1724"/>
      <c r="AZ34" s="1724"/>
      <c r="BA34" s="1724"/>
      <c r="BB34" s="1724"/>
      <c r="BC34" s="1724"/>
      <c r="BD34" s="1724"/>
      <c r="BE34" s="480"/>
      <c r="BF34" s="480"/>
      <c r="BG34" s="480"/>
      <c r="BH34" s="480"/>
      <c r="BI34" s="1724" t="s">
        <v>182</v>
      </c>
      <c r="BJ34" s="1724"/>
      <c r="BK34" s="1724"/>
      <c r="BL34" s="1724"/>
      <c r="BM34" s="1724"/>
      <c r="BN34" s="1724"/>
      <c r="BO34" s="1724"/>
      <c r="BP34" s="1724"/>
      <c r="BQ34" s="1724"/>
      <c r="BR34" s="1724"/>
      <c r="BS34" s="1724"/>
      <c r="BT34" s="1724"/>
      <c r="BU34" s="1724"/>
      <c r="BV34" s="1724"/>
      <c r="BW34" s="1724"/>
      <c r="BX34" s="1724"/>
      <c r="BY34" s="1724"/>
      <c r="BZ34" s="1724"/>
      <c r="CA34" s="1724"/>
      <c r="CB34" s="1724"/>
      <c r="CC34" s="1724"/>
      <c r="CD34" s="1724"/>
      <c r="CE34" s="1724"/>
      <c r="CF34" s="1724"/>
      <c r="CG34" s="1724"/>
      <c r="CH34" s="1724"/>
      <c r="CI34" s="1724"/>
      <c r="CJ34" s="480"/>
      <c r="CK34" s="480"/>
      <c r="CL34" s="480"/>
      <c r="CM34" s="480"/>
      <c r="CN34" s="480"/>
      <c r="CO34" s="480"/>
      <c r="CP34" s="480"/>
      <c r="CQ34" s="480"/>
      <c r="CR34" s="480"/>
      <c r="CS34" s="480"/>
      <c r="CT34" s="480"/>
      <c r="CU34" s="480"/>
      <c r="CV34" s="480"/>
      <c r="CW34" s="480"/>
      <c r="CX34" s="480"/>
      <c r="CY34" s="480"/>
      <c r="CZ34" s="480"/>
      <c r="DA34" s="480"/>
      <c r="DB34" s="480"/>
      <c r="DC34" s="480"/>
      <c r="DD34" s="480"/>
      <c r="DE34" s="480"/>
      <c r="DF34" s="480"/>
      <c r="DG34" s="480"/>
      <c r="DH34" s="480"/>
      <c r="DI34" s="480"/>
      <c r="DJ34" s="480"/>
      <c r="DK34" s="480"/>
      <c r="DL34" s="480"/>
      <c r="DM34" s="480"/>
      <c r="DN34" s="480"/>
      <c r="DO34" s="480"/>
      <c r="DP34" s="480"/>
      <c r="DQ34" s="480"/>
      <c r="DR34" s="480"/>
      <c r="DS34" s="480"/>
      <c r="DT34" s="480"/>
      <c r="DU34" s="480"/>
      <c r="DV34" s="480"/>
      <c r="DW34" s="480"/>
      <c r="DX34" s="480"/>
      <c r="DY34" s="480"/>
      <c r="DZ34" s="480"/>
      <c r="EA34" s="480"/>
      <c r="EB34" s="480"/>
      <c r="EC34" s="480"/>
      <c r="ED34" s="480"/>
      <c r="EE34" s="480"/>
      <c r="EF34" s="480"/>
      <c r="EG34" s="480"/>
      <c r="EH34" s="480"/>
      <c r="EI34" s="480"/>
      <c r="EJ34" s="480"/>
      <c r="EK34" s="480"/>
      <c r="EL34" s="480"/>
      <c r="EM34" s="480"/>
      <c r="EN34" s="480"/>
      <c r="EO34" s="480"/>
      <c r="EP34" s="480"/>
      <c r="EQ34" s="480"/>
      <c r="ER34" s="480"/>
      <c r="ES34" s="480"/>
      <c r="ET34" s="480"/>
      <c r="EU34" s="925"/>
      <c r="EV34" s="925"/>
      <c r="EW34" s="925"/>
      <c r="EX34" s="925"/>
      <c r="EY34" s="925"/>
      <c r="EZ34" s="925"/>
      <c r="FA34" s="925"/>
      <c r="FB34" s="925"/>
      <c r="FC34" s="925"/>
      <c r="FD34" s="925"/>
      <c r="FE34" s="925"/>
      <c r="FF34" s="925"/>
      <c r="FG34" s="925"/>
      <c r="FH34" s="925"/>
      <c r="FI34" s="925"/>
      <c r="FJ34" s="925"/>
      <c r="FK34" s="925"/>
      <c r="FL34" s="925"/>
      <c r="FM34" s="925"/>
      <c r="FN34" s="925"/>
      <c r="FO34" s="925"/>
      <c r="FP34" s="925"/>
      <c r="FQ34" s="925"/>
      <c r="FR34" s="925"/>
      <c r="FS34" s="925"/>
      <c r="FT34" s="925"/>
      <c r="FU34" s="925"/>
      <c r="FV34" s="925"/>
      <c r="FW34" s="925"/>
      <c r="FX34" s="925"/>
      <c r="FY34" s="925"/>
      <c r="FZ34" s="925"/>
      <c r="GA34" s="925"/>
      <c r="GB34" s="925"/>
      <c r="GC34" s="925"/>
      <c r="GD34" s="925"/>
      <c r="GE34" s="925"/>
      <c r="GF34" s="925"/>
      <c r="GG34" s="925"/>
      <c r="GH34" s="925"/>
      <c r="GI34" s="925"/>
      <c r="GJ34" s="925"/>
      <c r="GK34" s="925"/>
      <c r="GL34" s="925"/>
      <c r="GM34" s="925"/>
      <c r="GN34" s="925"/>
      <c r="GO34" s="925"/>
      <c r="GP34" s="925"/>
      <c r="GQ34" s="925"/>
      <c r="GR34" s="925"/>
      <c r="GS34" s="925"/>
      <c r="GT34" s="925"/>
      <c r="GU34" s="925"/>
      <c r="GV34" s="925"/>
      <c r="GW34" s="925"/>
      <c r="GX34" s="925"/>
      <c r="GY34" s="925"/>
      <c r="GZ34" s="925"/>
      <c r="HA34" s="925"/>
      <c r="HB34" s="925"/>
      <c r="HC34" s="925"/>
      <c r="HD34" s="925"/>
      <c r="HE34" s="925"/>
      <c r="HF34" s="925"/>
      <c r="HG34" s="925"/>
      <c r="HH34" s="925"/>
      <c r="HI34" s="925"/>
      <c r="HJ34" s="925"/>
      <c r="HK34" s="925"/>
      <c r="HL34" s="925"/>
      <c r="HM34" s="925"/>
      <c r="HN34" s="925"/>
      <c r="HO34" s="925"/>
      <c r="HP34" s="925"/>
      <c r="HQ34" s="925"/>
      <c r="HR34" s="925"/>
      <c r="HS34" s="925"/>
      <c r="HT34" s="925"/>
      <c r="HU34" s="925"/>
      <c r="HV34" s="925"/>
      <c r="HW34" s="925"/>
      <c r="HX34" s="925"/>
      <c r="HY34" s="925"/>
      <c r="HZ34" s="925"/>
      <c r="IA34" s="925"/>
      <c r="IB34" s="925"/>
      <c r="IC34" s="925"/>
      <c r="ID34" s="925"/>
      <c r="IE34" s="925"/>
      <c r="IF34" s="925"/>
      <c r="IG34" s="925"/>
      <c r="IH34" s="925"/>
      <c r="II34" s="925"/>
      <c r="IJ34" s="925"/>
      <c r="IK34" s="925"/>
      <c r="IL34" s="925"/>
      <c r="IM34" s="925"/>
      <c r="IN34" s="925"/>
      <c r="IO34" s="925"/>
    </row>
    <row r="35" spans="1:249" ht="3.2" customHeight="1">
      <c r="A35" s="480"/>
      <c r="B35" s="480"/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0"/>
      <c r="Z35" s="480"/>
      <c r="AA35" s="480"/>
      <c r="AB35" s="480"/>
      <c r="AC35" s="480"/>
      <c r="AD35" s="480"/>
      <c r="AE35" s="480"/>
      <c r="AF35" s="480"/>
      <c r="AG35" s="480"/>
      <c r="AH35" s="480"/>
      <c r="AI35" s="480"/>
      <c r="AJ35" s="480"/>
      <c r="AK35" s="480"/>
      <c r="AL35" s="480"/>
      <c r="AM35" s="480"/>
      <c r="AN35" s="480"/>
      <c r="AO35" s="480"/>
      <c r="AP35" s="480"/>
      <c r="AQ35" s="480"/>
      <c r="AR35" s="480"/>
      <c r="AS35" s="480"/>
      <c r="AT35" s="480"/>
      <c r="AU35" s="480"/>
      <c r="AV35" s="480"/>
      <c r="AW35" s="480"/>
      <c r="AX35" s="480"/>
      <c r="AY35" s="480"/>
      <c r="AZ35" s="480"/>
      <c r="BA35" s="480"/>
      <c r="BB35" s="480"/>
      <c r="BC35" s="480"/>
      <c r="BD35" s="480"/>
      <c r="BE35" s="480"/>
      <c r="BF35" s="480"/>
      <c r="BG35" s="480"/>
      <c r="BH35" s="480"/>
      <c r="BI35" s="480"/>
      <c r="BJ35" s="480"/>
      <c r="BK35" s="480"/>
      <c r="BL35" s="480"/>
      <c r="BM35" s="480"/>
      <c r="BN35" s="480"/>
      <c r="BO35" s="480"/>
      <c r="BP35" s="480"/>
      <c r="BQ35" s="480"/>
      <c r="BR35" s="480"/>
      <c r="BS35" s="480"/>
      <c r="BT35" s="480"/>
      <c r="BU35" s="480"/>
      <c r="BV35" s="480"/>
      <c r="BW35" s="480"/>
      <c r="BX35" s="480"/>
      <c r="BY35" s="480"/>
      <c r="BZ35" s="480"/>
      <c r="CA35" s="480"/>
      <c r="CB35" s="480"/>
      <c r="CC35" s="480"/>
      <c r="CD35" s="480"/>
      <c r="CE35" s="480"/>
      <c r="CF35" s="480"/>
      <c r="CG35" s="480"/>
      <c r="CH35" s="480"/>
      <c r="CI35" s="480"/>
      <c r="CJ35" s="480"/>
      <c r="CK35" s="480"/>
      <c r="CL35" s="480"/>
      <c r="CM35" s="480"/>
      <c r="CN35" s="480"/>
      <c r="CO35" s="480"/>
      <c r="CP35" s="480"/>
      <c r="CQ35" s="480"/>
      <c r="CR35" s="480"/>
      <c r="CS35" s="480"/>
      <c r="CT35" s="480"/>
      <c r="CU35" s="480"/>
      <c r="CV35" s="480"/>
      <c r="CW35" s="480"/>
      <c r="CX35" s="480"/>
      <c r="CY35" s="480"/>
      <c r="CZ35" s="480"/>
      <c r="DA35" s="480"/>
      <c r="DB35" s="480"/>
      <c r="DC35" s="480"/>
      <c r="DD35" s="480"/>
      <c r="DE35" s="480"/>
      <c r="DF35" s="480"/>
      <c r="DG35" s="480"/>
      <c r="DH35" s="480"/>
      <c r="DI35" s="480"/>
      <c r="DJ35" s="480"/>
      <c r="DK35" s="480"/>
      <c r="DL35" s="480"/>
      <c r="DM35" s="480"/>
      <c r="DN35" s="480"/>
      <c r="DO35" s="480"/>
      <c r="DP35" s="480"/>
      <c r="DQ35" s="480"/>
      <c r="DR35" s="480"/>
      <c r="DS35" s="480"/>
      <c r="DT35" s="480"/>
      <c r="DU35" s="480"/>
      <c r="DV35" s="480"/>
      <c r="DW35" s="480"/>
      <c r="DX35" s="480"/>
      <c r="DY35" s="480"/>
      <c r="DZ35" s="480"/>
      <c r="EA35" s="480"/>
      <c r="EB35" s="480"/>
      <c r="EC35" s="480"/>
      <c r="ED35" s="480"/>
      <c r="EE35" s="480"/>
      <c r="EF35" s="480"/>
      <c r="EG35" s="480"/>
      <c r="EH35" s="480"/>
      <c r="EI35" s="480"/>
      <c r="EJ35" s="480"/>
      <c r="EK35" s="480"/>
      <c r="EL35" s="480"/>
      <c r="EM35" s="480"/>
      <c r="EN35" s="480"/>
      <c r="EO35" s="480"/>
      <c r="EP35" s="480"/>
      <c r="EQ35" s="480"/>
      <c r="ER35" s="480"/>
      <c r="ES35" s="480"/>
      <c r="ET35" s="480"/>
      <c r="EU35" s="925"/>
      <c r="EV35" s="925"/>
      <c r="EW35" s="925"/>
      <c r="EX35" s="925"/>
      <c r="EY35" s="925"/>
      <c r="EZ35" s="925"/>
      <c r="FA35" s="925"/>
      <c r="FB35" s="925"/>
      <c r="FC35" s="925"/>
      <c r="FD35" s="925"/>
      <c r="FE35" s="925"/>
      <c r="FF35" s="925"/>
      <c r="FG35" s="925"/>
      <c r="FH35" s="925"/>
      <c r="FI35" s="925"/>
      <c r="FJ35" s="925"/>
      <c r="FK35" s="925"/>
      <c r="FL35" s="925"/>
      <c r="FM35" s="925"/>
      <c r="FN35" s="925"/>
      <c r="FO35" s="925"/>
      <c r="FP35" s="925"/>
      <c r="FQ35" s="925"/>
      <c r="FR35" s="925"/>
      <c r="FS35" s="925"/>
      <c r="FT35" s="925"/>
      <c r="FU35" s="925"/>
      <c r="FV35" s="925"/>
      <c r="FW35" s="925"/>
      <c r="FX35" s="925"/>
      <c r="FY35" s="925"/>
      <c r="FZ35" s="925"/>
      <c r="GA35" s="925"/>
      <c r="GB35" s="925"/>
      <c r="GC35" s="925"/>
      <c r="GD35" s="925"/>
      <c r="GE35" s="925"/>
      <c r="GF35" s="925"/>
      <c r="GG35" s="925"/>
      <c r="GH35" s="925"/>
      <c r="GI35" s="925"/>
      <c r="GJ35" s="925"/>
      <c r="GK35" s="925"/>
      <c r="GL35" s="925"/>
      <c r="GM35" s="925"/>
      <c r="GN35" s="925"/>
      <c r="GO35" s="925"/>
      <c r="GP35" s="925"/>
      <c r="GQ35" s="925"/>
      <c r="GR35" s="925"/>
      <c r="GS35" s="925"/>
      <c r="GT35" s="925"/>
      <c r="GU35" s="925"/>
      <c r="GV35" s="925"/>
      <c r="GW35" s="925"/>
      <c r="GX35" s="925"/>
      <c r="GY35" s="925"/>
      <c r="GZ35" s="925"/>
      <c r="HA35" s="925"/>
      <c r="HB35" s="925"/>
      <c r="HC35" s="925"/>
      <c r="HD35" s="925"/>
      <c r="HE35" s="925"/>
      <c r="HF35" s="925"/>
      <c r="HG35" s="925"/>
      <c r="HH35" s="925"/>
      <c r="HI35" s="925"/>
      <c r="HJ35" s="925"/>
      <c r="HK35" s="925"/>
      <c r="HL35" s="925"/>
      <c r="HM35" s="925"/>
      <c r="HN35" s="925"/>
      <c r="HO35" s="925"/>
      <c r="HP35" s="925"/>
      <c r="HQ35" s="925"/>
      <c r="HR35" s="925"/>
      <c r="HS35" s="925"/>
      <c r="HT35" s="925"/>
      <c r="HU35" s="925"/>
      <c r="HV35" s="925"/>
      <c r="HW35" s="925"/>
      <c r="HX35" s="925"/>
      <c r="HY35" s="925"/>
      <c r="HZ35" s="925"/>
      <c r="IA35" s="925"/>
      <c r="IB35" s="925"/>
      <c r="IC35" s="925"/>
      <c r="ID35" s="925"/>
      <c r="IE35" s="925"/>
      <c r="IF35" s="925"/>
      <c r="IG35" s="925"/>
      <c r="IH35" s="925"/>
      <c r="II35" s="925"/>
      <c r="IJ35" s="925"/>
      <c r="IK35" s="925"/>
      <c r="IL35" s="925"/>
      <c r="IM35" s="925"/>
      <c r="IN35" s="925"/>
      <c r="IO35" s="925"/>
    </row>
    <row r="36" spans="1:249" ht="11.25" customHeight="1">
      <c r="A36" s="1726"/>
      <c r="B36" s="1726"/>
      <c r="C36" s="1726"/>
      <c r="D36" s="1726"/>
      <c r="E36" s="1726"/>
      <c r="F36" s="1726"/>
      <c r="G36" s="1726"/>
      <c r="H36" s="1726"/>
      <c r="I36" s="1726"/>
      <c r="J36" s="1726"/>
      <c r="K36" s="1726"/>
      <c r="L36" s="1726"/>
      <c r="M36" s="1726"/>
      <c r="N36" s="1726"/>
      <c r="O36" s="1726"/>
      <c r="P36" s="1726"/>
      <c r="Q36" s="1726"/>
      <c r="R36" s="1726"/>
      <c r="S36" s="1726"/>
      <c r="T36" s="1726"/>
      <c r="U36" s="1726"/>
      <c r="V36" s="1726"/>
      <c r="W36" s="1726"/>
      <c r="X36" s="1726"/>
      <c r="Y36" s="1726"/>
      <c r="Z36" s="1726"/>
      <c r="AA36" s="1726"/>
      <c r="AB36" s="1726"/>
      <c r="AC36" s="1726"/>
      <c r="AD36" s="1726"/>
      <c r="AE36" s="1726"/>
      <c r="AF36" s="1726"/>
      <c r="AG36" s="480"/>
      <c r="AH36" s="480"/>
      <c r="AI36" s="480"/>
      <c r="AJ36" s="1726"/>
      <c r="AK36" s="1726"/>
      <c r="AL36" s="1726"/>
      <c r="AM36" s="1726"/>
      <c r="AN36" s="1726"/>
      <c r="AO36" s="1726"/>
      <c r="AP36" s="1726"/>
      <c r="AQ36" s="1726"/>
      <c r="AR36" s="1726"/>
      <c r="AS36" s="1726"/>
      <c r="AT36" s="1726"/>
      <c r="AU36" s="1726"/>
      <c r="AV36" s="1726"/>
      <c r="AW36" s="1726"/>
      <c r="AX36" s="1726"/>
      <c r="AY36" s="1726"/>
      <c r="AZ36" s="1726"/>
      <c r="BA36" s="1726"/>
      <c r="BB36" s="1726"/>
      <c r="BC36" s="1726"/>
      <c r="BD36" s="1726"/>
      <c r="BE36" s="480"/>
      <c r="BF36" s="480"/>
      <c r="BG36" s="480"/>
      <c r="BH36" s="480"/>
      <c r="BI36" s="1726"/>
      <c r="BJ36" s="1726"/>
      <c r="BK36" s="1726"/>
      <c r="BL36" s="1726"/>
      <c r="BM36" s="1726"/>
      <c r="BN36" s="1726"/>
      <c r="BO36" s="1726"/>
      <c r="BP36" s="1726"/>
      <c r="BQ36" s="1726"/>
      <c r="BR36" s="1726"/>
      <c r="BS36" s="1726"/>
      <c r="BT36" s="1726"/>
      <c r="BU36" s="1726"/>
      <c r="BV36" s="1726"/>
      <c r="BW36" s="1726"/>
      <c r="BX36" s="1726"/>
      <c r="BY36" s="1726"/>
      <c r="BZ36" s="1726"/>
      <c r="CA36" s="1726"/>
      <c r="CB36" s="1726"/>
      <c r="CC36" s="1726"/>
      <c r="CD36" s="1726"/>
      <c r="CE36" s="1726"/>
      <c r="CF36" s="1726"/>
      <c r="CG36" s="1726"/>
      <c r="CH36" s="1726"/>
      <c r="CI36" s="1726"/>
      <c r="CJ36" s="480"/>
      <c r="CK36" s="480"/>
      <c r="CL36" s="480"/>
      <c r="CM36" s="480"/>
      <c r="CN36" s="480"/>
      <c r="CO36" s="480"/>
      <c r="CP36" s="480"/>
      <c r="CQ36" s="480"/>
      <c r="CR36" s="480"/>
      <c r="CS36" s="480"/>
      <c r="CT36" s="480"/>
      <c r="CU36" s="480"/>
      <c r="CV36" s="480"/>
      <c r="CW36" s="480"/>
      <c r="CX36" s="480"/>
      <c r="CY36" s="480"/>
      <c r="CZ36" s="480"/>
      <c r="DA36" s="480"/>
      <c r="DB36" s="480"/>
      <c r="DC36" s="480"/>
      <c r="DD36" s="480"/>
      <c r="DE36" s="480"/>
      <c r="DF36" s="480"/>
      <c r="DG36" s="480"/>
      <c r="DH36" s="480"/>
      <c r="DI36" s="480"/>
      <c r="DJ36" s="480"/>
      <c r="DK36" s="480"/>
      <c r="DL36" s="480"/>
      <c r="DM36" s="480"/>
      <c r="DN36" s="480"/>
      <c r="DO36" s="480"/>
      <c r="DP36" s="480"/>
      <c r="DQ36" s="480"/>
      <c r="DR36" s="480"/>
      <c r="DS36" s="480"/>
      <c r="DT36" s="480"/>
      <c r="DU36" s="480"/>
      <c r="DV36" s="480"/>
      <c r="DW36" s="480"/>
      <c r="DX36" s="480"/>
      <c r="DY36" s="480"/>
      <c r="DZ36" s="480"/>
      <c r="EA36" s="480"/>
      <c r="EB36" s="480"/>
      <c r="EC36" s="480"/>
      <c r="ED36" s="480"/>
      <c r="EE36" s="480"/>
      <c r="EF36" s="480"/>
      <c r="EG36" s="480"/>
      <c r="EH36" s="480"/>
      <c r="EI36" s="480"/>
      <c r="EJ36" s="480"/>
      <c r="EK36" s="480"/>
      <c r="EL36" s="480"/>
      <c r="EM36" s="480"/>
      <c r="EN36" s="480"/>
      <c r="EO36" s="480"/>
      <c r="EP36" s="480"/>
      <c r="EQ36" s="480"/>
      <c r="ER36" s="480"/>
      <c r="ES36" s="480"/>
      <c r="ET36" s="480"/>
      <c r="EU36" s="925"/>
      <c r="EV36" s="925"/>
      <c r="EW36" s="925"/>
      <c r="EX36" s="925"/>
      <c r="EY36" s="925"/>
      <c r="EZ36" s="925"/>
      <c r="FA36" s="925"/>
      <c r="FB36" s="925"/>
      <c r="FC36" s="925"/>
      <c r="FD36" s="925"/>
      <c r="FE36" s="925"/>
      <c r="FF36" s="925"/>
      <c r="FG36" s="925"/>
      <c r="FH36" s="925"/>
      <c r="FI36" s="925"/>
      <c r="FJ36" s="925"/>
      <c r="FK36" s="925"/>
      <c r="FL36" s="925"/>
      <c r="FM36" s="925"/>
      <c r="FN36" s="925"/>
      <c r="FO36" s="925"/>
      <c r="FP36" s="925"/>
      <c r="FQ36" s="925"/>
      <c r="FR36" s="925"/>
      <c r="FS36" s="925"/>
      <c r="FT36" s="925"/>
      <c r="FU36" s="925"/>
      <c r="FV36" s="925"/>
      <c r="FW36" s="925"/>
      <c r="FX36" s="925"/>
      <c r="FY36" s="925"/>
      <c r="FZ36" s="925"/>
      <c r="GA36" s="925"/>
      <c r="GB36" s="925"/>
      <c r="GC36" s="925"/>
      <c r="GD36" s="925"/>
      <c r="GE36" s="925"/>
      <c r="GF36" s="925"/>
      <c r="GG36" s="925"/>
      <c r="GH36" s="925"/>
      <c r="GI36" s="925"/>
      <c r="GJ36" s="925"/>
      <c r="GK36" s="925"/>
      <c r="GL36" s="925"/>
      <c r="GM36" s="925"/>
      <c r="GN36" s="925"/>
      <c r="GO36" s="925"/>
      <c r="GP36" s="925"/>
      <c r="GQ36" s="925"/>
      <c r="GR36" s="925"/>
      <c r="GS36" s="925"/>
      <c r="GT36" s="925"/>
      <c r="GU36" s="925"/>
      <c r="GV36" s="925"/>
      <c r="GW36" s="925"/>
      <c r="GX36" s="925"/>
      <c r="GY36" s="925"/>
      <c r="GZ36" s="925"/>
      <c r="HA36" s="925"/>
      <c r="HB36" s="925"/>
      <c r="HC36" s="925"/>
      <c r="HD36" s="925"/>
      <c r="HE36" s="925"/>
      <c r="HF36" s="925"/>
      <c r="HG36" s="925"/>
      <c r="HH36" s="925"/>
      <c r="HI36" s="925"/>
      <c r="HJ36" s="925"/>
      <c r="HK36" s="925"/>
      <c r="HL36" s="925"/>
      <c r="HM36" s="925"/>
      <c r="HN36" s="925"/>
      <c r="HO36" s="925"/>
      <c r="HP36" s="925"/>
      <c r="HQ36" s="925"/>
      <c r="HR36" s="925"/>
      <c r="HS36" s="925"/>
      <c r="HT36" s="925"/>
      <c r="HU36" s="925"/>
      <c r="HV36" s="925"/>
      <c r="HW36" s="925"/>
      <c r="HX36" s="925"/>
      <c r="HY36" s="925"/>
      <c r="HZ36" s="925"/>
      <c r="IA36" s="925"/>
      <c r="IB36" s="925"/>
      <c r="IC36" s="925"/>
      <c r="ID36" s="925"/>
      <c r="IE36" s="925"/>
      <c r="IF36" s="925"/>
      <c r="IG36" s="925"/>
      <c r="IH36" s="925"/>
      <c r="II36" s="925"/>
      <c r="IJ36" s="925"/>
      <c r="IK36" s="925"/>
      <c r="IL36" s="925"/>
      <c r="IM36" s="925"/>
      <c r="IN36" s="925"/>
      <c r="IO36" s="925"/>
    </row>
    <row r="37" spans="1:249" ht="3.2" customHeight="1">
      <c r="A37" s="480"/>
      <c r="B37" s="480"/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0"/>
      <c r="Z37" s="480"/>
      <c r="AA37" s="480"/>
      <c r="AB37" s="480"/>
      <c r="AC37" s="480"/>
      <c r="AD37" s="480"/>
      <c r="AE37" s="480"/>
      <c r="AF37" s="480"/>
      <c r="AG37" s="480"/>
      <c r="AH37" s="480"/>
      <c r="AI37" s="480"/>
      <c r="AJ37" s="480"/>
      <c r="AK37" s="480"/>
      <c r="AL37" s="480"/>
      <c r="AM37" s="480"/>
      <c r="AN37" s="480"/>
      <c r="AO37" s="480"/>
      <c r="AP37" s="480"/>
      <c r="AQ37" s="480"/>
      <c r="AR37" s="480"/>
      <c r="AS37" s="480"/>
      <c r="AT37" s="480"/>
      <c r="AU37" s="480"/>
      <c r="AV37" s="480"/>
      <c r="AW37" s="480"/>
      <c r="AX37" s="480"/>
      <c r="AY37" s="480"/>
      <c r="AZ37" s="480"/>
      <c r="BA37" s="480"/>
      <c r="BB37" s="480"/>
      <c r="BC37" s="480"/>
      <c r="BD37" s="480"/>
      <c r="BE37" s="480"/>
      <c r="BF37" s="480"/>
      <c r="BG37" s="480"/>
      <c r="BH37" s="480"/>
      <c r="BI37" s="480"/>
      <c r="BJ37" s="480"/>
      <c r="BK37" s="480"/>
      <c r="BL37" s="480"/>
      <c r="BM37" s="480"/>
      <c r="BN37" s="480"/>
      <c r="BO37" s="480"/>
      <c r="BP37" s="480"/>
      <c r="BQ37" s="480"/>
      <c r="BR37" s="480"/>
      <c r="BS37" s="480"/>
      <c r="BT37" s="480"/>
      <c r="BU37" s="480"/>
      <c r="BV37" s="480"/>
      <c r="BW37" s="480"/>
      <c r="BX37" s="480"/>
      <c r="BY37" s="480"/>
      <c r="BZ37" s="480"/>
      <c r="CA37" s="480"/>
      <c r="CB37" s="480"/>
      <c r="CC37" s="480"/>
      <c r="CD37" s="480"/>
      <c r="CE37" s="480"/>
      <c r="CF37" s="480"/>
      <c r="CG37" s="480"/>
      <c r="CH37" s="480"/>
      <c r="CI37" s="480"/>
      <c r="CJ37" s="480"/>
      <c r="CK37" s="480"/>
      <c r="CL37" s="480"/>
      <c r="CM37" s="480"/>
      <c r="CN37" s="480"/>
      <c r="CO37" s="480"/>
      <c r="CP37" s="480"/>
      <c r="CQ37" s="480"/>
      <c r="CR37" s="480"/>
      <c r="CS37" s="480"/>
      <c r="CT37" s="480"/>
      <c r="CU37" s="480"/>
      <c r="CV37" s="480"/>
      <c r="CW37" s="480"/>
      <c r="CX37" s="480"/>
      <c r="CY37" s="480"/>
      <c r="CZ37" s="480"/>
      <c r="DA37" s="480"/>
      <c r="DB37" s="480"/>
      <c r="DC37" s="480"/>
      <c r="DD37" s="480"/>
      <c r="DE37" s="480"/>
      <c r="DF37" s="480"/>
      <c r="DG37" s="480"/>
      <c r="DH37" s="480"/>
      <c r="DI37" s="480"/>
      <c r="DJ37" s="480"/>
      <c r="DK37" s="480"/>
      <c r="DL37" s="480"/>
      <c r="DM37" s="480"/>
      <c r="DN37" s="480"/>
      <c r="DO37" s="480"/>
      <c r="DP37" s="480"/>
      <c r="DQ37" s="480"/>
      <c r="DR37" s="480"/>
      <c r="DS37" s="480"/>
      <c r="DT37" s="480"/>
      <c r="DU37" s="480"/>
      <c r="DV37" s="480"/>
      <c r="DW37" s="480"/>
      <c r="DX37" s="480"/>
      <c r="DY37" s="480"/>
      <c r="DZ37" s="480"/>
      <c r="EA37" s="480"/>
      <c r="EB37" s="480"/>
      <c r="EC37" s="480"/>
      <c r="ED37" s="480"/>
      <c r="EE37" s="480"/>
      <c r="EF37" s="480"/>
      <c r="EG37" s="480"/>
      <c r="EH37" s="480"/>
      <c r="EI37" s="480"/>
      <c r="EJ37" s="480"/>
      <c r="EK37" s="480"/>
      <c r="EL37" s="480"/>
      <c r="EM37" s="480"/>
      <c r="EN37" s="480"/>
      <c r="EO37" s="480"/>
      <c r="EP37" s="480"/>
      <c r="EQ37" s="480"/>
      <c r="ER37" s="480"/>
      <c r="ES37" s="480"/>
      <c r="ET37" s="480"/>
      <c r="EU37" s="925"/>
      <c r="EV37" s="925"/>
      <c r="EW37" s="925"/>
      <c r="EX37" s="925"/>
      <c r="EY37" s="925"/>
      <c r="EZ37" s="925"/>
      <c r="FA37" s="925"/>
      <c r="FB37" s="925"/>
      <c r="FC37" s="925"/>
      <c r="FD37" s="925"/>
      <c r="FE37" s="925"/>
      <c r="FF37" s="925"/>
      <c r="FG37" s="925"/>
      <c r="FH37" s="925"/>
      <c r="FI37" s="925"/>
      <c r="FJ37" s="925"/>
      <c r="FK37" s="925"/>
      <c r="FL37" s="925"/>
      <c r="FM37" s="925"/>
      <c r="FN37" s="925"/>
      <c r="FO37" s="925"/>
      <c r="FP37" s="925"/>
      <c r="FQ37" s="925"/>
      <c r="FR37" s="925"/>
      <c r="FS37" s="925"/>
      <c r="FT37" s="925"/>
      <c r="FU37" s="925"/>
      <c r="FV37" s="925"/>
      <c r="FW37" s="925"/>
      <c r="FX37" s="925"/>
      <c r="FY37" s="925"/>
      <c r="FZ37" s="925"/>
      <c r="GA37" s="925"/>
      <c r="GB37" s="925"/>
      <c r="GC37" s="925"/>
      <c r="GD37" s="925"/>
      <c r="GE37" s="925"/>
      <c r="GF37" s="925"/>
      <c r="GG37" s="925"/>
      <c r="GH37" s="925"/>
      <c r="GI37" s="925"/>
      <c r="GJ37" s="925"/>
      <c r="GK37" s="925"/>
      <c r="GL37" s="925"/>
      <c r="GM37" s="925"/>
      <c r="GN37" s="925"/>
      <c r="GO37" s="925"/>
      <c r="GP37" s="925"/>
      <c r="GQ37" s="925"/>
      <c r="GR37" s="925"/>
      <c r="GS37" s="925"/>
      <c r="GT37" s="925"/>
      <c r="GU37" s="925"/>
      <c r="GV37" s="925"/>
      <c r="GW37" s="925"/>
      <c r="GX37" s="925"/>
      <c r="GY37" s="925"/>
      <c r="GZ37" s="925"/>
      <c r="HA37" s="925"/>
      <c r="HB37" s="925"/>
      <c r="HC37" s="925"/>
      <c r="HD37" s="925"/>
      <c r="HE37" s="925"/>
      <c r="HF37" s="925"/>
      <c r="HG37" s="925"/>
      <c r="HH37" s="925"/>
      <c r="HI37" s="925"/>
      <c r="HJ37" s="925"/>
      <c r="HK37" s="925"/>
      <c r="HL37" s="925"/>
      <c r="HM37" s="925"/>
      <c r="HN37" s="925"/>
      <c r="HO37" s="925"/>
      <c r="HP37" s="925"/>
      <c r="HQ37" s="925"/>
      <c r="HR37" s="925"/>
      <c r="HS37" s="925"/>
      <c r="HT37" s="925"/>
      <c r="HU37" s="925"/>
      <c r="HV37" s="925"/>
      <c r="HW37" s="925"/>
      <c r="HX37" s="925"/>
      <c r="HY37" s="925"/>
      <c r="HZ37" s="925"/>
      <c r="IA37" s="925"/>
      <c r="IB37" s="925"/>
      <c r="IC37" s="925"/>
      <c r="ID37" s="925"/>
      <c r="IE37" s="925"/>
      <c r="IF37" s="925"/>
      <c r="IG37" s="925"/>
      <c r="IH37" s="925"/>
      <c r="II37" s="925"/>
      <c r="IJ37" s="925"/>
      <c r="IK37" s="925"/>
      <c r="IL37" s="925"/>
      <c r="IM37" s="925"/>
      <c r="IN37" s="925"/>
      <c r="IO37" s="925"/>
    </row>
    <row r="38" spans="1:249" ht="11.25" customHeight="1">
      <c r="A38" s="1726"/>
      <c r="B38" s="1726"/>
      <c r="C38" s="1726"/>
      <c r="D38" s="1726"/>
      <c r="E38" s="1726"/>
      <c r="F38" s="1726"/>
      <c r="G38" s="1726"/>
      <c r="H38" s="1726"/>
      <c r="I38" s="1726"/>
      <c r="J38" s="1726"/>
      <c r="K38" s="1726"/>
      <c r="L38" s="1726"/>
      <c r="M38" s="1726"/>
      <c r="N38" s="1726"/>
      <c r="O38" s="1726"/>
      <c r="P38" s="1726"/>
      <c r="Q38" s="1726"/>
      <c r="R38" s="1726"/>
      <c r="S38" s="1726"/>
      <c r="T38" s="1726"/>
      <c r="U38" s="1726"/>
      <c r="V38" s="1726"/>
      <c r="W38" s="1726"/>
      <c r="X38" s="1726"/>
      <c r="Y38" s="1726"/>
      <c r="Z38" s="1726"/>
      <c r="AA38" s="1726"/>
      <c r="AB38" s="1726"/>
      <c r="AC38" s="1726"/>
      <c r="AD38" s="1726"/>
      <c r="AE38" s="1726"/>
      <c r="AF38" s="1726"/>
      <c r="AG38" s="480"/>
      <c r="AH38" s="480"/>
      <c r="AI38" s="480"/>
      <c r="AJ38" s="1726"/>
      <c r="AK38" s="1726"/>
      <c r="AL38" s="1726"/>
      <c r="AM38" s="1726"/>
      <c r="AN38" s="1726"/>
      <c r="AO38" s="1726"/>
      <c r="AP38" s="1726"/>
      <c r="AQ38" s="1726"/>
      <c r="AR38" s="1726"/>
      <c r="AS38" s="1726"/>
      <c r="AT38" s="1726"/>
      <c r="AU38" s="1726"/>
      <c r="AV38" s="1726"/>
      <c r="AW38" s="1726"/>
      <c r="AX38" s="1726"/>
      <c r="AY38" s="1726"/>
      <c r="AZ38" s="1726"/>
      <c r="BA38" s="1726"/>
      <c r="BB38" s="1726"/>
      <c r="BC38" s="1726"/>
      <c r="BD38" s="1726"/>
      <c r="BE38" s="480"/>
      <c r="BF38" s="480"/>
      <c r="BG38" s="480"/>
      <c r="BH38" s="480"/>
      <c r="BI38" s="1726"/>
      <c r="BJ38" s="1726"/>
      <c r="BK38" s="1726"/>
      <c r="BL38" s="1726"/>
      <c r="BM38" s="1726"/>
      <c r="BN38" s="1726"/>
      <c r="BO38" s="1726"/>
      <c r="BP38" s="1726"/>
      <c r="BQ38" s="1726"/>
      <c r="BR38" s="1726"/>
      <c r="BS38" s="1726"/>
      <c r="BT38" s="1726"/>
      <c r="BU38" s="1726"/>
      <c r="BV38" s="1726"/>
      <c r="BW38" s="1726"/>
      <c r="BX38" s="1726"/>
      <c r="BY38" s="1726"/>
      <c r="BZ38" s="1726"/>
      <c r="CA38" s="1726"/>
      <c r="CB38" s="1726"/>
      <c r="CC38" s="1726"/>
      <c r="CD38" s="1726"/>
      <c r="CE38" s="1726"/>
      <c r="CF38" s="1726"/>
      <c r="CG38" s="1726"/>
      <c r="CH38" s="1726"/>
      <c r="CI38" s="1726"/>
      <c r="CJ38" s="480"/>
      <c r="CK38" s="480"/>
      <c r="CL38" s="480"/>
      <c r="CM38" s="480"/>
      <c r="CN38" s="480"/>
      <c r="CO38" s="480"/>
      <c r="CP38" s="480"/>
      <c r="CQ38" s="480"/>
      <c r="CR38" s="480"/>
      <c r="CS38" s="480"/>
      <c r="CT38" s="480"/>
      <c r="CU38" s="480"/>
      <c r="CV38" s="480"/>
      <c r="CW38" s="480"/>
      <c r="CX38" s="480"/>
      <c r="CY38" s="480"/>
      <c r="CZ38" s="480"/>
      <c r="DA38" s="480"/>
      <c r="DB38" s="480"/>
      <c r="DC38" s="480"/>
      <c r="DD38" s="480"/>
      <c r="DE38" s="480"/>
      <c r="DF38" s="480"/>
      <c r="DG38" s="480"/>
      <c r="DH38" s="480"/>
      <c r="DI38" s="480"/>
      <c r="DJ38" s="480"/>
      <c r="DK38" s="480"/>
      <c r="DL38" s="480"/>
      <c r="DM38" s="480"/>
      <c r="DN38" s="480"/>
      <c r="DO38" s="480"/>
      <c r="DP38" s="480"/>
      <c r="DQ38" s="480"/>
      <c r="DR38" s="480"/>
      <c r="DS38" s="480"/>
      <c r="DT38" s="480"/>
      <c r="DU38" s="480"/>
      <c r="DV38" s="480"/>
      <c r="DW38" s="480"/>
      <c r="DX38" s="480"/>
      <c r="DY38" s="480"/>
      <c r="DZ38" s="480"/>
      <c r="EA38" s="480"/>
      <c r="EB38" s="480"/>
      <c r="EC38" s="480"/>
      <c r="ED38" s="480"/>
      <c r="EE38" s="480"/>
      <c r="EF38" s="480"/>
      <c r="EG38" s="480"/>
      <c r="EH38" s="480"/>
      <c r="EI38" s="480"/>
      <c r="EJ38" s="480"/>
      <c r="EK38" s="480"/>
      <c r="EL38" s="480"/>
      <c r="EM38" s="480"/>
      <c r="EN38" s="480"/>
      <c r="EO38" s="480"/>
      <c r="EP38" s="480"/>
      <c r="EQ38" s="480"/>
      <c r="ER38" s="480"/>
      <c r="ES38" s="480"/>
      <c r="ET38" s="480"/>
      <c r="EU38" s="925"/>
      <c r="EV38" s="925"/>
      <c r="EW38" s="925"/>
      <c r="EX38" s="925"/>
      <c r="EY38" s="925"/>
      <c r="EZ38" s="925"/>
      <c r="FA38" s="925"/>
      <c r="FB38" s="925"/>
      <c r="FC38" s="925"/>
      <c r="FD38" s="925"/>
      <c r="FE38" s="925"/>
      <c r="FF38" s="925"/>
      <c r="FG38" s="925"/>
      <c r="FH38" s="925"/>
      <c r="FI38" s="925"/>
      <c r="FJ38" s="925"/>
      <c r="FK38" s="925"/>
      <c r="FL38" s="925"/>
      <c r="FM38" s="925"/>
      <c r="FN38" s="925"/>
      <c r="FO38" s="925"/>
      <c r="FP38" s="925"/>
      <c r="FQ38" s="925"/>
      <c r="FR38" s="925"/>
      <c r="FS38" s="925"/>
      <c r="FT38" s="925"/>
      <c r="FU38" s="925"/>
      <c r="FV38" s="925"/>
      <c r="FW38" s="925"/>
      <c r="FX38" s="925"/>
      <c r="FY38" s="925"/>
      <c r="FZ38" s="925"/>
      <c r="GA38" s="925"/>
      <c r="GB38" s="925"/>
      <c r="GC38" s="925"/>
      <c r="GD38" s="925"/>
      <c r="GE38" s="925"/>
      <c r="GF38" s="925"/>
      <c r="GG38" s="925"/>
      <c r="GH38" s="925"/>
      <c r="GI38" s="925"/>
      <c r="GJ38" s="925"/>
      <c r="GK38" s="925"/>
      <c r="GL38" s="925"/>
      <c r="GM38" s="925"/>
      <c r="GN38" s="925"/>
      <c r="GO38" s="925"/>
      <c r="GP38" s="925"/>
      <c r="GQ38" s="925"/>
      <c r="GR38" s="925"/>
      <c r="GS38" s="925"/>
      <c r="GT38" s="925"/>
      <c r="GU38" s="925"/>
      <c r="GV38" s="925"/>
      <c r="GW38" s="925"/>
      <c r="GX38" s="925"/>
      <c r="GY38" s="925"/>
      <c r="GZ38" s="925"/>
      <c r="HA38" s="925"/>
      <c r="HB38" s="925"/>
      <c r="HC38" s="925"/>
      <c r="HD38" s="925"/>
      <c r="HE38" s="925"/>
      <c r="HF38" s="925"/>
      <c r="HG38" s="925"/>
      <c r="HH38" s="925"/>
      <c r="HI38" s="925"/>
      <c r="HJ38" s="925"/>
      <c r="HK38" s="925"/>
      <c r="HL38" s="925"/>
      <c r="HM38" s="925"/>
      <c r="HN38" s="925"/>
      <c r="HO38" s="925"/>
      <c r="HP38" s="925"/>
      <c r="HQ38" s="925"/>
      <c r="HR38" s="925"/>
      <c r="HS38" s="925"/>
      <c r="HT38" s="925"/>
      <c r="HU38" s="925"/>
      <c r="HV38" s="925"/>
      <c r="HW38" s="925"/>
      <c r="HX38" s="925"/>
      <c r="HY38" s="925"/>
      <c r="HZ38" s="925"/>
      <c r="IA38" s="925"/>
      <c r="IB38" s="925"/>
      <c r="IC38" s="925"/>
      <c r="ID38" s="925"/>
      <c r="IE38" s="925"/>
      <c r="IF38" s="925"/>
      <c r="IG38" s="925"/>
      <c r="IH38" s="925"/>
      <c r="II38" s="925"/>
      <c r="IJ38" s="925"/>
      <c r="IK38" s="925"/>
      <c r="IL38" s="925"/>
      <c r="IM38" s="925"/>
      <c r="IN38" s="925"/>
      <c r="IO38" s="925"/>
    </row>
    <row r="39" spans="1:249" ht="11.25" customHeight="1">
      <c r="A39" s="480"/>
      <c r="B39" s="480"/>
      <c r="C39" s="480"/>
      <c r="D39" s="480"/>
      <c r="E39" s="480"/>
      <c r="F39" s="480"/>
      <c r="G39" s="480"/>
      <c r="H39" s="480"/>
      <c r="I39" s="480"/>
      <c r="J39" s="480"/>
      <c r="K39" s="480"/>
      <c r="L39" s="480"/>
      <c r="M39" s="480"/>
      <c r="N39" s="480"/>
      <c r="O39" s="480"/>
      <c r="P39" s="480"/>
      <c r="Q39" s="480"/>
      <c r="R39" s="480"/>
      <c r="S39" s="480"/>
      <c r="T39" s="480"/>
      <c r="U39" s="480"/>
      <c r="V39" s="480"/>
      <c r="W39" s="480"/>
      <c r="X39" s="480"/>
      <c r="Y39" s="480"/>
      <c r="Z39" s="480"/>
      <c r="AA39" s="480"/>
      <c r="AB39" s="480"/>
      <c r="AC39" s="480"/>
      <c r="AD39" s="480"/>
      <c r="AE39" s="480"/>
      <c r="AF39" s="480"/>
      <c r="AG39" s="480"/>
      <c r="AH39" s="480"/>
      <c r="AI39" s="480"/>
      <c r="AJ39" s="480"/>
      <c r="AK39" s="480"/>
      <c r="AL39" s="480"/>
      <c r="AM39" s="480"/>
      <c r="AN39" s="480"/>
      <c r="AO39" s="480"/>
      <c r="AP39" s="480"/>
      <c r="AQ39" s="480"/>
      <c r="AR39" s="480"/>
      <c r="AS39" s="480"/>
      <c r="AT39" s="480"/>
      <c r="AU39" s="480"/>
      <c r="AV39" s="480"/>
      <c r="AW39" s="480"/>
      <c r="AX39" s="480"/>
      <c r="AY39" s="480"/>
      <c r="AZ39" s="480"/>
      <c r="BA39" s="480"/>
      <c r="BB39" s="480"/>
      <c r="BC39" s="480"/>
      <c r="BD39" s="480"/>
      <c r="BE39" s="480"/>
      <c r="BF39" s="480"/>
      <c r="BG39" s="480"/>
      <c r="BH39" s="480"/>
      <c r="BI39" s="480"/>
      <c r="BJ39" s="480"/>
      <c r="BK39" s="480"/>
      <c r="BL39" s="480"/>
      <c r="BM39" s="480"/>
      <c r="BN39" s="480"/>
      <c r="BO39" s="480"/>
      <c r="BP39" s="480"/>
      <c r="BQ39" s="480"/>
      <c r="BR39" s="480"/>
      <c r="BS39" s="480"/>
      <c r="BT39" s="480"/>
      <c r="BU39" s="480"/>
      <c r="BV39" s="480"/>
      <c r="BW39" s="480"/>
      <c r="BX39" s="480"/>
      <c r="BY39" s="480"/>
      <c r="BZ39" s="480"/>
      <c r="CA39" s="480"/>
      <c r="CB39" s="480"/>
      <c r="CC39" s="480"/>
      <c r="CD39" s="480"/>
      <c r="CE39" s="480"/>
      <c r="CF39" s="480"/>
      <c r="CG39" s="480"/>
      <c r="CH39" s="480"/>
      <c r="CI39" s="480"/>
      <c r="CJ39" s="480"/>
      <c r="CK39" s="480"/>
      <c r="CL39" s="480"/>
      <c r="CM39" s="480"/>
      <c r="CN39" s="480"/>
      <c r="CO39" s="480"/>
      <c r="CP39" s="480"/>
      <c r="CQ39" s="480"/>
      <c r="CR39" s="480"/>
      <c r="CS39" s="480"/>
      <c r="CT39" s="480"/>
      <c r="CU39" s="480"/>
      <c r="CV39" s="480"/>
      <c r="CW39" s="480"/>
      <c r="CX39" s="480"/>
      <c r="CY39" s="480"/>
      <c r="CZ39" s="480"/>
      <c r="DA39" s="480"/>
      <c r="DB39" s="480"/>
      <c r="DC39" s="480"/>
      <c r="DD39" s="480"/>
      <c r="DE39" s="480"/>
      <c r="DF39" s="480"/>
      <c r="DG39" s="480"/>
      <c r="DH39" s="480"/>
      <c r="DI39" s="480"/>
      <c r="DJ39" s="480"/>
      <c r="DK39" s="480"/>
      <c r="DL39" s="480"/>
      <c r="DM39" s="480"/>
      <c r="DN39" s="480"/>
      <c r="DO39" s="480"/>
      <c r="DP39" s="480"/>
      <c r="DQ39" s="480"/>
      <c r="DR39" s="480"/>
      <c r="DS39" s="480"/>
      <c r="DT39" s="480"/>
      <c r="DU39" s="480"/>
      <c r="DV39" s="480"/>
      <c r="DW39" s="480"/>
      <c r="DX39" s="480"/>
      <c r="DY39" s="480"/>
      <c r="DZ39" s="480"/>
      <c r="EA39" s="480"/>
      <c r="EB39" s="480"/>
      <c r="EC39" s="480"/>
      <c r="ED39" s="480"/>
      <c r="EE39" s="480"/>
      <c r="EF39" s="480"/>
      <c r="EG39" s="480"/>
      <c r="EH39" s="480"/>
      <c r="EI39" s="480"/>
      <c r="EJ39" s="480"/>
      <c r="EK39" s="480"/>
      <c r="EL39" s="480"/>
      <c r="EM39" s="480"/>
      <c r="EN39" s="480"/>
      <c r="EO39" s="480"/>
      <c r="EP39" s="480"/>
      <c r="EQ39" s="480"/>
      <c r="ER39" s="480"/>
      <c r="ES39" s="480"/>
      <c r="ET39" s="480"/>
      <c r="EU39" s="925"/>
      <c r="EV39" s="925"/>
      <c r="EW39" s="925"/>
      <c r="EX39" s="925"/>
      <c r="EY39" s="925"/>
      <c r="EZ39" s="925"/>
      <c r="FA39" s="925"/>
      <c r="FB39" s="925"/>
      <c r="FC39" s="925"/>
      <c r="FD39" s="925"/>
      <c r="FE39" s="925"/>
      <c r="FF39" s="925"/>
      <c r="FG39" s="925"/>
      <c r="FH39" s="925"/>
      <c r="FI39" s="925"/>
      <c r="FJ39" s="925"/>
      <c r="FK39" s="925"/>
      <c r="FL39" s="925"/>
      <c r="FM39" s="925"/>
      <c r="FN39" s="925"/>
      <c r="FO39" s="925"/>
      <c r="FP39" s="925"/>
      <c r="FQ39" s="925"/>
      <c r="FR39" s="925"/>
      <c r="FS39" s="925"/>
      <c r="FT39" s="925"/>
      <c r="FU39" s="925"/>
      <c r="FV39" s="925"/>
      <c r="FW39" s="925"/>
      <c r="FX39" s="925"/>
      <c r="FY39" s="925"/>
      <c r="FZ39" s="925"/>
      <c r="GA39" s="925"/>
      <c r="GB39" s="925"/>
      <c r="GC39" s="925"/>
      <c r="GD39" s="925"/>
      <c r="GE39" s="925"/>
      <c r="GF39" s="925"/>
      <c r="GG39" s="925"/>
      <c r="GH39" s="925"/>
      <c r="GI39" s="925"/>
      <c r="GJ39" s="925"/>
      <c r="GK39" s="925"/>
      <c r="GL39" s="925"/>
      <c r="GM39" s="925"/>
      <c r="GN39" s="925"/>
      <c r="GO39" s="925"/>
      <c r="GP39" s="925"/>
      <c r="GQ39" s="925"/>
      <c r="GR39" s="925"/>
      <c r="GS39" s="925"/>
      <c r="GT39" s="925"/>
      <c r="GU39" s="925"/>
      <c r="GV39" s="925"/>
      <c r="GW39" s="925"/>
      <c r="GX39" s="925"/>
      <c r="GY39" s="925"/>
      <c r="GZ39" s="925"/>
      <c r="HA39" s="925"/>
      <c r="HB39" s="925"/>
      <c r="HC39" s="925"/>
      <c r="HD39" s="925"/>
      <c r="HE39" s="925"/>
      <c r="HF39" s="925"/>
      <c r="HG39" s="925"/>
      <c r="HH39" s="925"/>
      <c r="HI39" s="925"/>
      <c r="HJ39" s="925"/>
      <c r="HK39" s="925"/>
      <c r="HL39" s="925"/>
      <c r="HM39" s="925"/>
      <c r="HN39" s="925"/>
      <c r="HO39" s="925"/>
      <c r="HP39" s="925"/>
      <c r="HQ39" s="925"/>
      <c r="HR39" s="925"/>
      <c r="HS39" s="925"/>
      <c r="HT39" s="925"/>
      <c r="HU39" s="925"/>
      <c r="HV39" s="925"/>
      <c r="HW39" s="925"/>
      <c r="HX39" s="925"/>
      <c r="HY39" s="925"/>
      <c r="HZ39" s="925"/>
      <c r="IA39" s="925"/>
      <c r="IB39" s="925"/>
      <c r="IC39" s="925"/>
      <c r="ID39" s="925"/>
      <c r="IE39" s="925"/>
      <c r="IF39" s="925"/>
      <c r="IG39" s="925"/>
      <c r="IH39" s="925"/>
      <c r="II39" s="925"/>
      <c r="IJ39" s="925"/>
      <c r="IK39" s="925"/>
      <c r="IL39" s="925"/>
      <c r="IM39" s="925"/>
      <c r="IN39" s="925"/>
      <c r="IO39" s="925"/>
    </row>
    <row r="40" spans="1:249" ht="11.25" customHeight="1">
      <c r="A40" s="480"/>
      <c r="B40" s="480"/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0"/>
      <c r="Z40" s="480"/>
      <c r="AA40" s="480"/>
      <c r="AB40" s="480"/>
      <c r="AC40" s="480"/>
      <c r="AD40" s="480"/>
      <c r="AE40" s="480"/>
      <c r="AF40" s="480"/>
      <c r="AG40" s="480"/>
      <c r="AH40" s="480"/>
      <c r="AI40" s="480"/>
      <c r="AJ40" s="480"/>
      <c r="AK40" s="480"/>
      <c r="AL40" s="480"/>
      <c r="AM40" s="480"/>
      <c r="AN40" s="480"/>
      <c r="AO40" s="480"/>
      <c r="AP40" s="480"/>
      <c r="AQ40" s="480"/>
      <c r="AR40" s="480"/>
      <c r="AS40" s="480"/>
      <c r="AT40" s="480"/>
      <c r="AU40" s="480"/>
      <c r="AV40" s="480"/>
      <c r="AW40" s="480"/>
      <c r="AX40" s="480"/>
      <c r="AY40" s="480"/>
      <c r="AZ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M40" s="480"/>
      <c r="BN40" s="480"/>
      <c r="BO40" s="480"/>
      <c r="BP40" s="480"/>
      <c r="BQ40" s="480"/>
      <c r="BR40" s="480"/>
      <c r="BS40" s="480"/>
      <c r="BT40" s="480"/>
      <c r="BU40" s="480"/>
      <c r="BV40" s="480"/>
      <c r="BW40" s="480"/>
      <c r="BX40" s="480"/>
      <c r="BY40" s="480"/>
      <c r="BZ40" s="480"/>
      <c r="CA40" s="480"/>
      <c r="CB40" s="480"/>
      <c r="CC40" s="480"/>
      <c r="CD40" s="480"/>
      <c r="CE40" s="480"/>
      <c r="CF40" s="480"/>
      <c r="CG40" s="480"/>
      <c r="CH40" s="480"/>
      <c r="CI40" s="480"/>
      <c r="CJ40" s="480"/>
      <c r="CK40" s="480"/>
      <c r="CL40" s="480"/>
      <c r="CM40" s="480"/>
      <c r="CN40" s="480"/>
      <c r="CO40" s="480"/>
      <c r="CP40" s="480"/>
      <c r="CQ40" s="480"/>
      <c r="CR40" s="480"/>
      <c r="CS40" s="480"/>
      <c r="CT40" s="480"/>
      <c r="CU40" s="480"/>
      <c r="CV40" s="480"/>
      <c r="CW40" s="480"/>
      <c r="CX40" s="480"/>
      <c r="CY40" s="480"/>
      <c r="CZ40" s="480"/>
      <c r="DA40" s="480"/>
      <c r="DB40" s="480"/>
      <c r="DC40" s="480"/>
      <c r="DD40" s="480"/>
      <c r="DE40" s="480"/>
      <c r="DF40" s="480"/>
      <c r="DG40" s="480"/>
      <c r="DH40" s="480"/>
      <c r="DI40" s="480"/>
      <c r="DJ40" s="480"/>
      <c r="DK40" s="480"/>
      <c r="DL40" s="480"/>
      <c r="DM40" s="480"/>
      <c r="DN40" s="480"/>
      <c r="DO40" s="480"/>
      <c r="DP40" s="480"/>
      <c r="DQ40" s="480"/>
      <c r="DR40" s="480"/>
      <c r="DS40" s="480"/>
      <c r="DT40" s="480"/>
      <c r="DU40" s="480"/>
      <c r="DV40" s="480"/>
      <c r="DW40" s="480"/>
      <c r="DX40" s="480"/>
      <c r="DY40" s="480"/>
      <c r="DZ40" s="480"/>
      <c r="EA40" s="480"/>
      <c r="EB40" s="480"/>
      <c r="EC40" s="480"/>
      <c r="ED40" s="480"/>
      <c r="EE40" s="480"/>
      <c r="EF40" s="480"/>
      <c r="EG40" s="480"/>
      <c r="EH40" s="480"/>
      <c r="EI40" s="480"/>
      <c r="EJ40" s="480"/>
      <c r="EK40" s="480"/>
      <c r="EL40" s="480"/>
      <c r="EM40" s="480"/>
      <c r="EN40" s="480"/>
      <c r="EO40" s="480"/>
      <c r="EP40" s="480"/>
      <c r="EQ40" s="480"/>
      <c r="ER40" s="480"/>
      <c r="ES40" s="480"/>
      <c r="ET40" s="480"/>
      <c r="EU40" s="925"/>
      <c r="EV40" s="925"/>
      <c r="EW40" s="925"/>
      <c r="EX40" s="925"/>
      <c r="EY40" s="925"/>
      <c r="EZ40" s="925"/>
      <c r="FA40" s="925"/>
      <c r="FB40" s="925"/>
      <c r="FC40" s="925"/>
      <c r="FD40" s="925"/>
      <c r="FE40" s="925"/>
      <c r="FF40" s="925"/>
      <c r="FG40" s="925"/>
      <c r="FH40" s="925"/>
      <c r="FI40" s="925"/>
      <c r="FJ40" s="925"/>
      <c r="FK40" s="925"/>
      <c r="FL40" s="925"/>
      <c r="FM40" s="925"/>
      <c r="FN40" s="925"/>
      <c r="FO40" s="925"/>
      <c r="FP40" s="925"/>
      <c r="FQ40" s="925"/>
      <c r="FR40" s="925"/>
      <c r="FS40" s="925"/>
      <c r="FT40" s="925"/>
      <c r="FU40" s="925"/>
      <c r="FV40" s="925"/>
      <c r="FW40" s="925"/>
      <c r="FX40" s="925"/>
      <c r="FY40" s="925"/>
      <c r="FZ40" s="925"/>
      <c r="GA40" s="925"/>
      <c r="GB40" s="925"/>
      <c r="GC40" s="925"/>
      <c r="GD40" s="925"/>
      <c r="GE40" s="925"/>
      <c r="GF40" s="925"/>
      <c r="GG40" s="925"/>
      <c r="GH40" s="925"/>
      <c r="GI40" s="925"/>
      <c r="GJ40" s="925"/>
      <c r="GK40" s="925"/>
      <c r="GL40" s="925"/>
      <c r="GM40" s="925"/>
      <c r="GN40" s="925"/>
      <c r="GO40" s="925"/>
      <c r="GP40" s="925"/>
      <c r="GQ40" s="925"/>
      <c r="GR40" s="925"/>
      <c r="GS40" s="925"/>
      <c r="GT40" s="925"/>
      <c r="GU40" s="925"/>
      <c r="GV40" s="925"/>
      <c r="GW40" s="925"/>
      <c r="GX40" s="925"/>
      <c r="GY40" s="925"/>
      <c r="GZ40" s="925"/>
      <c r="HA40" s="925"/>
      <c r="HB40" s="925"/>
      <c r="HC40" s="925"/>
      <c r="HD40" s="925"/>
      <c r="HE40" s="925"/>
      <c r="HF40" s="925"/>
      <c r="HG40" s="925"/>
      <c r="HH40" s="925"/>
      <c r="HI40" s="925"/>
      <c r="HJ40" s="925"/>
      <c r="HK40" s="925"/>
      <c r="HL40" s="925"/>
      <c r="HM40" s="925"/>
      <c r="HN40" s="925"/>
      <c r="HO40" s="925"/>
      <c r="HP40" s="925"/>
      <c r="HQ40" s="925"/>
      <c r="HR40" s="925"/>
      <c r="HS40" s="925"/>
      <c r="HT40" s="925"/>
      <c r="HU40" s="925"/>
      <c r="HV40" s="925"/>
      <c r="HW40" s="925"/>
      <c r="HX40" s="925"/>
      <c r="HY40" s="925"/>
      <c r="HZ40" s="925"/>
      <c r="IA40" s="925"/>
      <c r="IB40" s="925"/>
      <c r="IC40" s="925"/>
      <c r="ID40" s="925"/>
      <c r="IE40" s="925"/>
      <c r="IF40" s="925"/>
      <c r="IG40" s="925"/>
      <c r="IH40" s="925"/>
      <c r="II40" s="925"/>
      <c r="IJ40" s="925"/>
      <c r="IK40" s="925"/>
      <c r="IL40" s="925"/>
      <c r="IM40" s="925"/>
      <c r="IN40" s="925"/>
      <c r="IO40" s="925"/>
    </row>
    <row r="41" spans="1:249" ht="44.45" customHeight="1">
      <c r="A41" s="480"/>
      <c r="B41" s="480"/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0"/>
      <c r="Z41" s="480"/>
      <c r="AA41" s="480"/>
      <c r="AB41" s="480"/>
      <c r="AC41" s="480"/>
      <c r="AD41" s="480"/>
      <c r="AE41" s="480"/>
      <c r="AF41" s="480"/>
      <c r="AG41" s="480"/>
      <c r="AH41" s="480"/>
      <c r="AI41" s="480"/>
      <c r="AJ41" s="480"/>
      <c r="AK41" s="480"/>
      <c r="AL41" s="480"/>
      <c r="AM41" s="480"/>
      <c r="AN41" s="480"/>
      <c r="AO41" s="480"/>
      <c r="AP41" s="480"/>
      <c r="AQ41" s="480"/>
      <c r="AR41" s="480"/>
      <c r="AS41" s="480"/>
      <c r="AT41" s="480"/>
      <c r="AU41" s="480"/>
      <c r="AV41" s="480"/>
      <c r="AW41" s="480"/>
      <c r="AX41" s="480"/>
      <c r="AY41" s="480"/>
      <c r="AZ41" s="480"/>
      <c r="BA41" s="480"/>
      <c r="BB41" s="480"/>
      <c r="BC41" s="480"/>
      <c r="BD41" s="480"/>
      <c r="BE41" s="480"/>
      <c r="BF41" s="480"/>
      <c r="BG41" s="480"/>
      <c r="BH41" s="480"/>
      <c r="BI41" s="480"/>
      <c r="BJ41" s="480"/>
      <c r="BK41" s="480"/>
      <c r="BL41" s="480"/>
      <c r="BM41" s="480"/>
      <c r="BN41" s="480"/>
      <c r="BO41" s="480"/>
      <c r="BP41" s="480"/>
      <c r="BQ41" s="480"/>
      <c r="BR41" s="480"/>
      <c r="BS41" s="480"/>
      <c r="BT41" s="480"/>
      <c r="BU41" s="480"/>
      <c r="BV41" s="480"/>
      <c r="BW41" s="480"/>
      <c r="BX41" s="480"/>
      <c r="BY41" s="480"/>
      <c r="BZ41" s="480"/>
      <c r="CA41" s="480"/>
      <c r="CB41" s="480"/>
      <c r="CC41" s="480"/>
      <c r="CD41" s="480"/>
      <c r="CE41" s="480"/>
      <c r="CF41" s="480"/>
      <c r="CG41" s="480"/>
      <c r="CH41" s="480"/>
      <c r="CI41" s="480"/>
      <c r="CJ41" s="480"/>
      <c r="CK41" s="480"/>
      <c r="CL41" s="480"/>
      <c r="CM41" s="480"/>
      <c r="CN41" s="480"/>
      <c r="CO41" s="480"/>
      <c r="CP41" s="480"/>
      <c r="CQ41" s="480"/>
      <c r="CR41" s="480"/>
      <c r="CS41" s="480"/>
      <c r="CT41" s="480"/>
      <c r="CU41" s="480"/>
      <c r="CV41" s="480"/>
      <c r="CW41" s="480"/>
      <c r="CX41" s="480"/>
      <c r="CY41" s="480"/>
      <c r="CZ41" s="480"/>
      <c r="DA41" s="480"/>
      <c r="DB41" s="480"/>
      <c r="DC41" s="480"/>
      <c r="DD41" s="480"/>
      <c r="DE41" s="480"/>
      <c r="DF41" s="480"/>
      <c r="DG41" s="480"/>
      <c r="DH41" s="480"/>
      <c r="DI41" s="480"/>
      <c r="DJ41" s="480"/>
      <c r="DK41" s="480"/>
      <c r="DL41" s="480"/>
      <c r="DM41" s="480"/>
      <c r="DN41" s="480"/>
      <c r="DO41" s="480"/>
      <c r="DP41" s="480"/>
      <c r="DQ41" s="480"/>
      <c r="DR41" s="480"/>
      <c r="DS41" s="480"/>
      <c r="DT41" s="480"/>
      <c r="DU41" s="480"/>
      <c r="DV41" s="480"/>
      <c r="DW41" s="480"/>
      <c r="DX41" s="480"/>
      <c r="DY41" s="480"/>
      <c r="DZ41" s="480"/>
      <c r="EA41" s="480"/>
      <c r="EB41" s="480"/>
      <c r="EC41" s="480"/>
      <c r="ED41" s="480"/>
      <c r="EE41" s="480"/>
      <c r="EF41" s="480"/>
      <c r="EG41" s="480"/>
      <c r="EH41" s="480"/>
      <c r="EI41" s="480"/>
      <c r="EJ41" s="480"/>
      <c r="EK41" s="480"/>
      <c r="EL41" s="480"/>
      <c r="EM41" s="480"/>
      <c r="EN41" s="480"/>
      <c r="EO41" s="480"/>
      <c r="EP41" s="480"/>
      <c r="EQ41" s="480"/>
      <c r="ER41" s="480"/>
      <c r="ES41" s="480"/>
      <c r="ET41" s="480"/>
      <c r="EU41" s="925"/>
      <c r="EV41" s="925"/>
      <c r="EW41" s="925"/>
      <c r="EX41" s="925"/>
      <c r="EY41" s="925"/>
      <c r="EZ41" s="925"/>
      <c r="FA41" s="925"/>
      <c r="FB41" s="925"/>
      <c r="FC41" s="925"/>
      <c r="FD41" s="925"/>
      <c r="FE41" s="925"/>
      <c r="FF41" s="925"/>
      <c r="FG41" s="925"/>
      <c r="FH41" s="925"/>
      <c r="FI41" s="925"/>
      <c r="FJ41" s="925"/>
      <c r="FK41" s="925"/>
      <c r="FL41" s="925"/>
      <c r="FM41" s="925"/>
      <c r="FN41" s="925"/>
      <c r="FO41" s="925"/>
      <c r="FP41" s="925"/>
      <c r="FQ41" s="925"/>
      <c r="FR41" s="925"/>
      <c r="FS41" s="925"/>
      <c r="FT41" s="925"/>
      <c r="FU41" s="925"/>
      <c r="FV41" s="925"/>
      <c r="FW41" s="925"/>
      <c r="FX41" s="925"/>
      <c r="FY41" s="925"/>
      <c r="FZ41" s="925"/>
      <c r="GA41" s="925"/>
      <c r="GB41" s="925"/>
      <c r="GC41" s="925"/>
      <c r="GD41" s="925"/>
      <c r="GE41" s="925"/>
      <c r="GF41" s="925"/>
      <c r="GG41" s="925"/>
      <c r="GH41" s="925"/>
      <c r="GI41" s="925"/>
      <c r="GJ41" s="925"/>
      <c r="GK41" s="925"/>
      <c r="GL41" s="925"/>
      <c r="GM41" s="925"/>
      <c r="GN41" s="925"/>
      <c r="GO41" s="925"/>
      <c r="GP41" s="925"/>
      <c r="GQ41" s="925"/>
      <c r="GR41" s="925"/>
      <c r="GS41" s="925"/>
      <c r="GT41" s="925"/>
      <c r="GU41" s="925"/>
      <c r="GV41" s="925"/>
      <c r="GW41" s="925"/>
      <c r="GX41" s="925"/>
      <c r="GY41" s="925"/>
      <c r="GZ41" s="925"/>
      <c r="HA41" s="925"/>
      <c r="HB41" s="925"/>
      <c r="HC41" s="925"/>
      <c r="HD41" s="925"/>
      <c r="HE41" s="925"/>
      <c r="HF41" s="925"/>
      <c r="HG41" s="925"/>
      <c r="HH41" s="925"/>
      <c r="HI41" s="925"/>
      <c r="HJ41" s="925"/>
      <c r="HK41" s="925"/>
      <c r="HL41" s="925"/>
      <c r="HM41" s="925"/>
      <c r="HN41" s="925"/>
      <c r="HO41" s="925"/>
      <c r="HP41" s="925"/>
      <c r="HQ41" s="925"/>
      <c r="HR41" s="925"/>
      <c r="HS41" s="925"/>
      <c r="HT41" s="925"/>
      <c r="HU41" s="925"/>
      <c r="HV41" s="925"/>
      <c r="HW41" s="925"/>
      <c r="HX41" s="925"/>
      <c r="HY41" s="925"/>
      <c r="HZ41" s="925"/>
      <c r="IA41" s="925"/>
      <c r="IB41" s="925"/>
      <c r="IC41" s="925"/>
      <c r="ID41" s="925"/>
      <c r="IE41" s="925"/>
      <c r="IF41" s="925"/>
      <c r="IG41" s="925"/>
      <c r="IH41" s="925"/>
      <c r="II41" s="925"/>
      <c r="IJ41" s="925"/>
      <c r="IK41" s="925"/>
      <c r="IL41" s="925"/>
      <c r="IM41" s="925"/>
      <c r="IN41" s="925"/>
      <c r="IO41" s="925"/>
    </row>
    <row r="42" spans="1:249" ht="11.25" customHeight="1">
      <c r="A42" s="480"/>
      <c r="B42" s="480"/>
      <c r="C42" s="480"/>
      <c r="D42" s="480"/>
      <c r="E42" s="480"/>
      <c r="F42" s="480"/>
      <c r="G42" s="480"/>
      <c r="H42" s="480"/>
      <c r="I42" s="480"/>
      <c r="J42" s="480"/>
      <c r="K42" s="480"/>
      <c r="L42" s="480"/>
      <c r="M42" s="480"/>
      <c r="N42" s="480"/>
      <c r="O42" s="480"/>
      <c r="P42" s="480"/>
      <c r="Q42" s="480"/>
      <c r="R42" s="480"/>
      <c r="S42" s="480"/>
      <c r="T42" s="480"/>
      <c r="U42" s="480"/>
      <c r="V42" s="480"/>
      <c r="W42" s="480"/>
      <c r="X42" s="480"/>
      <c r="Y42" s="480"/>
      <c r="Z42" s="480"/>
      <c r="AA42" s="480"/>
      <c r="AB42" s="480"/>
      <c r="AC42" s="480"/>
      <c r="AD42" s="480"/>
      <c r="AE42" s="480"/>
      <c r="AF42" s="480"/>
      <c r="AG42" s="480"/>
      <c r="AH42" s="480"/>
      <c r="AI42" s="480"/>
      <c r="AJ42" s="480"/>
      <c r="AK42" s="480"/>
      <c r="AL42" s="480"/>
      <c r="AM42" s="480"/>
      <c r="AN42" s="480"/>
      <c r="AO42" s="480"/>
      <c r="AP42" s="480"/>
      <c r="AQ42" s="480"/>
      <c r="AR42" s="480"/>
      <c r="AS42" s="480"/>
      <c r="AT42" s="480"/>
      <c r="AU42" s="480"/>
      <c r="AV42" s="480"/>
      <c r="AW42" s="480"/>
      <c r="AX42" s="480"/>
      <c r="AY42" s="480"/>
      <c r="AZ42" s="480"/>
      <c r="BA42" s="480"/>
      <c r="BB42" s="480"/>
      <c r="BC42" s="480"/>
      <c r="BD42" s="480"/>
      <c r="BE42" s="480"/>
      <c r="BF42" s="480"/>
      <c r="BG42" s="480"/>
      <c r="BH42" s="480"/>
      <c r="BI42" s="480"/>
      <c r="BJ42" s="480"/>
      <c r="BK42" s="480"/>
      <c r="BL42" s="480"/>
      <c r="BM42" s="480"/>
      <c r="BN42" s="480"/>
      <c r="BO42" s="480"/>
      <c r="BP42" s="480"/>
      <c r="BQ42" s="480"/>
      <c r="BR42" s="480"/>
      <c r="BS42" s="480"/>
      <c r="BT42" s="480"/>
      <c r="BU42" s="480"/>
      <c r="BV42" s="480"/>
      <c r="BW42" s="480"/>
      <c r="BX42" s="480"/>
      <c r="BY42" s="480"/>
      <c r="BZ42" s="480"/>
      <c r="CA42" s="480"/>
      <c r="CB42" s="480"/>
      <c r="CC42" s="480"/>
      <c r="CD42" s="480"/>
      <c r="CE42" s="480"/>
      <c r="CF42" s="480"/>
      <c r="CG42" s="480"/>
      <c r="CH42" s="480"/>
      <c r="CI42" s="480"/>
      <c r="CJ42" s="480"/>
      <c r="CK42" s="480"/>
      <c r="CL42" s="480"/>
      <c r="CM42" s="480"/>
      <c r="CN42" s="480"/>
      <c r="CO42" s="480"/>
      <c r="CP42" s="480"/>
      <c r="CQ42" s="480"/>
      <c r="CR42" s="480"/>
      <c r="CS42" s="480"/>
      <c r="CT42" s="480"/>
      <c r="CU42" s="480"/>
      <c r="CV42" s="480"/>
      <c r="CW42" s="480"/>
      <c r="CX42" s="480"/>
      <c r="CY42" s="480"/>
      <c r="CZ42" s="480"/>
      <c r="DA42" s="480"/>
      <c r="DB42" s="480"/>
      <c r="DC42" s="480"/>
      <c r="DD42" s="480"/>
      <c r="DE42" s="480"/>
      <c r="DF42" s="480"/>
      <c r="DG42" s="480"/>
      <c r="DH42" s="480"/>
      <c r="DI42" s="480"/>
      <c r="DJ42" s="480"/>
      <c r="DK42" s="480"/>
      <c r="DL42" s="480"/>
      <c r="DM42" s="480"/>
      <c r="DN42" s="480"/>
      <c r="DO42" s="480"/>
      <c r="DP42" s="480"/>
      <c r="DQ42" s="480"/>
      <c r="DR42" s="480"/>
      <c r="DS42" s="480"/>
      <c r="DT42" s="480"/>
      <c r="DU42" s="480"/>
      <c r="DV42" s="480"/>
      <c r="DW42" s="480"/>
      <c r="DX42" s="480"/>
      <c r="DY42" s="480"/>
      <c r="DZ42" s="480"/>
      <c r="EA42" s="480"/>
      <c r="EB42" s="480"/>
      <c r="EC42" s="480"/>
      <c r="ED42" s="480"/>
      <c r="EE42" s="480"/>
      <c r="EF42" s="480"/>
      <c r="EG42" s="480"/>
      <c r="EH42" s="480"/>
      <c r="EI42" s="480"/>
      <c r="EJ42" s="480"/>
      <c r="EK42" s="480"/>
      <c r="EL42" s="480"/>
      <c r="EM42" s="480"/>
      <c r="EN42" s="480"/>
      <c r="EO42" s="480"/>
      <c r="EP42" s="480"/>
      <c r="EQ42" s="480"/>
      <c r="ER42" s="480"/>
      <c r="ES42" s="480"/>
      <c r="ET42" s="480"/>
      <c r="EU42" s="925"/>
      <c r="EV42" s="925"/>
      <c r="EW42" s="925"/>
      <c r="EX42" s="925"/>
      <c r="EY42" s="925"/>
      <c r="EZ42" s="925"/>
      <c r="FA42" s="925"/>
      <c r="FB42" s="925"/>
      <c r="FC42" s="925"/>
      <c r="FD42" s="925"/>
      <c r="FE42" s="925"/>
      <c r="FF42" s="925"/>
      <c r="FG42" s="925"/>
      <c r="FH42" s="925"/>
      <c r="FI42" s="925"/>
      <c r="FJ42" s="925"/>
      <c r="FK42" s="925"/>
      <c r="FL42" s="925"/>
      <c r="FM42" s="925"/>
      <c r="FN42" s="925"/>
      <c r="FO42" s="925"/>
      <c r="FP42" s="925"/>
      <c r="FQ42" s="925"/>
      <c r="FR42" s="925"/>
      <c r="FS42" s="925"/>
      <c r="FT42" s="925"/>
      <c r="FU42" s="925"/>
      <c r="FV42" s="925"/>
      <c r="FW42" s="925"/>
      <c r="FX42" s="925"/>
      <c r="FY42" s="925"/>
      <c r="FZ42" s="925"/>
      <c r="GA42" s="925"/>
      <c r="GB42" s="925"/>
      <c r="GC42" s="925"/>
      <c r="GD42" s="925"/>
      <c r="GE42" s="925"/>
      <c r="GF42" s="925"/>
      <c r="GG42" s="925"/>
      <c r="GH42" s="925"/>
      <c r="GI42" s="925"/>
      <c r="GJ42" s="925"/>
      <c r="GK42" s="925"/>
      <c r="GL42" s="925"/>
      <c r="GM42" s="925"/>
      <c r="GN42" s="925"/>
      <c r="GO42" s="925"/>
      <c r="GP42" s="925"/>
      <c r="GQ42" s="925"/>
      <c r="GR42" s="925"/>
      <c r="GS42" s="925"/>
      <c r="GT42" s="925"/>
      <c r="GU42" s="925"/>
      <c r="GV42" s="925"/>
      <c r="GW42" s="925"/>
      <c r="GX42" s="925"/>
      <c r="GY42" s="925"/>
      <c r="GZ42" s="925"/>
      <c r="HA42" s="925"/>
      <c r="HB42" s="925"/>
      <c r="HC42" s="925"/>
      <c r="HD42" s="925"/>
      <c r="HE42" s="925"/>
      <c r="HF42" s="925"/>
      <c r="HG42" s="925"/>
      <c r="HH42" s="925"/>
      <c r="HI42" s="925"/>
      <c r="HJ42" s="925"/>
      <c r="HK42" s="925"/>
      <c r="HL42" s="925"/>
      <c r="HM42" s="925"/>
      <c r="HN42" s="925"/>
      <c r="HO42" s="925"/>
      <c r="HP42" s="925"/>
      <c r="HQ42" s="925"/>
      <c r="HR42" s="925"/>
      <c r="HS42" s="925"/>
      <c r="HT42" s="925"/>
      <c r="HU42" s="925"/>
      <c r="HV42" s="925"/>
      <c r="HW42" s="925"/>
      <c r="HX42" s="925"/>
      <c r="HY42" s="925"/>
      <c r="HZ42" s="925"/>
      <c r="IA42" s="925"/>
      <c r="IB42" s="925"/>
      <c r="IC42" s="925"/>
      <c r="ID42" s="925"/>
      <c r="IE42" s="925"/>
      <c r="IF42" s="925"/>
      <c r="IG42" s="925"/>
      <c r="IH42" s="925"/>
      <c r="II42" s="925"/>
      <c r="IJ42" s="925"/>
      <c r="IK42" s="925"/>
      <c r="IL42" s="925"/>
      <c r="IM42" s="925"/>
      <c r="IN42" s="925"/>
      <c r="IO42" s="925"/>
    </row>
    <row r="43" spans="1:249" ht="11.25" customHeight="1">
      <c r="A43" s="480"/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0"/>
      <c r="Z43" s="480"/>
      <c r="AA43" s="480"/>
      <c r="AB43" s="480"/>
      <c r="AC43" s="480"/>
      <c r="AD43" s="480"/>
      <c r="AE43" s="480"/>
      <c r="AF43" s="480"/>
      <c r="AG43" s="480"/>
      <c r="AH43" s="480"/>
      <c r="AI43" s="480"/>
      <c r="AJ43" s="480"/>
      <c r="AK43" s="480"/>
      <c r="AL43" s="480"/>
      <c r="AM43" s="480"/>
      <c r="AN43" s="480"/>
      <c r="AO43" s="480"/>
      <c r="AP43" s="480"/>
      <c r="AQ43" s="480"/>
      <c r="AR43" s="480"/>
      <c r="AS43" s="480"/>
      <c r="AT43" s="480"/>
      <c r="AU43" s="480"/>
      <c r="AV43" s="480"/>
      <c r="AW43" s="480"/>
      <c r="AX43" s="480"/>
      <c r="AY43" s="480"/>
      <c r="AZ43" s="480"/>
      <c r="BA43" s="480"/>
      <c r="BB43" s="480"/>
      <c r="BC43" s="480"/>
      <c r="BD43" s="480"/>
      <c r="BE43" s="480"/>
      <c r="BF43" s="480"/>
      <c r="BG43" s="480"/>
      <c r="BH43" s="480"/>
      <c r="BI43" s="480"/>
      <c r="BJ43" s="480"/>
      <c r="BK43" s="480"/>
      <c r="BL43" s="480"/>
      <c r="BM43" s="480"/>
      <c r="BN43" s="480"/>
      <c r="BO43" s="480"/>
      <c r="BP43" s="480"/>
      <c r="BQ43" s="480"/>
      <c r="BR43" s="480"/>
      <c r="BS43" s="480"/>
      <c r="BT43" s="480"/>
      <c r="BU43" s="480"/>
      <c r="BV43" s="480"/>
      <c r="BW43" s="480"/>
      <c r="BX43" s="480"/>
      <c r="BY43" s="480"/>
      <c r="BZ43" s="480"/>
      <c r="CA43" s="480"/>
      <c r="CB43" s="480"/>
      <c r="CC43" s="480"/>
      <c r="CD43" s="480"/>
      <c r="CE43" s="480"/>
      <c r="CF43" s="480"/>
      <c r="CG43" s="480"/>
      <c r="CH43" s="480"/>
      <c r="CI43" s="480"/>
      <c r="CJ43" s="480"/>
      <c r="CK43" s="480"/>
      <c r="CL43" s="480"/>
      <c r="CM43" s="480"/>
      <c r="CN43" s="480"/>
      <c r="CO43" s="480"/>
      <c r="CP43" s="480"/>
      <c r="CQ43" s="480"/>
      <c r="CR43" s="480"/>
      <c r="CS43" s="480"/>
      <c r="CT43" s="480"/>
      <c r="CU43" s="480"/>
      <c r="CV43" s="480"/>
      <c r="CW43" s="480"/>
      <c r="CX43" s="480"/>
      <c r="CY43" s="480"/>
      <c r="CZ43" s="480"/>
      <c r="DA43" s="480"/>
      <c r="DB43" s="480"/>
      <c r="DC43" s="480"/>
      <c r="DD43" s="480"/>
      <c r="DE43" s="480"/>
      <c r="DF43" s="480"/>
      <c r="DG43" s="480"/>
      <c r="DH43" s="480"/>
      <c r="DI43" s="480"/>
      <c r="DJ43" s="480"/>
      <c r="DK43" s="480"/>
      <c r="DL43" s="480"/>
      <c r="DM43" s="480"/>
      <c r="DN43" s="480"/>
      <c r="DO43" s="480"/>
      <c r="DP43" s="480"/>
      <c r="DQ43" s="480"/>
      <c r="DR43" s="480"/>
      <c r="DS43" s="480"/>
      <c r="DT43" s="480"/>
      <c r="DU43" s="480"/>
      <c r="DV43" s="480"/>
      <c r="DW43" s="480"/>
      <c r="DX43" s="480"/>
      <c r="DY43" s="480"/>
      <c r="DZ43" s="480"/>
      <c r="EA43" s="480"/>
      <c r="EB43" s="480"/>
      <c r="EC43" s="480"/>
      <c r="ED43" s="480"/>
      <c r="EE43" s="480"/>
      <c r="EF43" s="480"/>
      <c r="EG43" s="480"/>
      <c r="EH43" s="480"/>
      <c r="EI43" s="480"/>
      <c r="EJ43" s="480"/>
      <c r="EK43" s="480"/>
      <c r="EL43" s="480"/>
      <c r="EM43" s="480"/>
      <c r="EN43" s="480"/>
      <c r="EO43" s="480"/>
      <c r="EP43" s="480"/>
      <c r="EQ43" s="480"/>
      <c r="ER43" s="480"/>
      <c r="ES43" s="480"/>
      <c r="ET43" s="480"/>
      <c r="EU43" s="925"/>
      <c r="EV43" s="925"/>
      <c r="EW43" s="925"/>
      <c r="EX43" s="925"/>
      <c r="EY43" s="925"/>
      <c r="EZ43" s="925"/>
      <c r="FA43" s="925"/>
      <c r="FB43" s="925"/>
      <c r="FC43" s="925"/>
      <c r="FD43" s="925"/>
      <c r="FE43" s="925"/>
      <c r="FF43" s="925"/>
      <c r="FG43" s="925"/>
      <c r="FH43" s="925"/>
      <c r="FI43" s="925"/>
      <c r="FJ43" s="925"/>
      <c r="FK43" s="925"/>
      <c r="FL43" s="925"/>
      <c r="FM43" s="925"/>
      <c r="FN43" s="925"/>
      <c r="FO43" s="925"/>
      <c r="FP43" s="925"/>
      <c r="FQ43" s="925"/>
      <c r="FR43" s="925"/>
      <c r="FS43" s="925"/>
      <c r="FT43" s="925"/>
      <c r="FU43" s="925"/>
      <c r="FV43" s="925"/>
      <c r="FW43" s="925"/>
      <c r="FX43" s="925"/>
      <c r="FY43" s="925"/>
      <c r="FZ43" s="925"/>
      <c r="GA43" s="925"/>
      <c r="GB43" s="925"/>
      <c r="GC43" s="925"/>
      <c r="GD43" s="925"/>
      <c r="GE43" s="925"/>
      <c r="GF43" s="925"/>
      <c r="GG43" s="925"/>
      <c r="GH43" s="925"/>
      <c r="GI43" s="925"/>
      <c r="GJ43" s="925"/>
      <c r="GK43" s="925"/>
      <c r="GL43" s="925"/>
      <c r="GM43" s="925"/>
      <c r="GN43" s="925"/>
      <c r="GO43" s="925"/>
      <c r="GP43" s="925"/>
      <c r="GQ43" s="925"/>
      <c r="GR43" s="925"/>
      <c r="GS43" s="925"/>
      <c r="GT43" s="925"/>
      <c r="GU43" s="925"/>
      <c r="GV43" s="925"/>
      <c r="GW43" s="925"/>
      <c r="GX43" s="925"/>
      <c r="GY43" s="925"/>
      <c r="GZ43" s="925"/>
      <c r="HA43" s="925"/>
      <c r="HB43" s="925"/>
      <c r="HC43" s="925"/>
      <c r="HD43" s="925"/>
      <c r="HE43" s="925"/>
      <c r="HF43" s="925"/>
      <c r="HG43" s="925"/>
      <c r="HH43" s="925"/>
      <c r="HI43" s="925"/>
      <c r="HJ43" s="925"/>
      <c r="HK43" s="925"/>
      <c r="HL43" s="925"/>
      <c r="HM43" s="925"/>
      <c r="HN43" s="925"/>
      <c r="HO43" s="925"/>
      <c r="HP43" s="925"/>
      <c r="HQ43" s="925"/>
      <c r="HR43" s="925"/>
      <c r="HS43" s="925"/>
      <c r="HT43" s="925"/>
      <c r="HU43" s="925"/>
      <c r="HV43" s="925"/>
      <c r="HW43" s="925"/>
      <c r="HX43" s="925"/>
      <c r="HY43" s="925"/>
      <c r="HZ43" s="925"/>
      <c r="IA43" s="925"/>
      <c r="IB43" s="925"/>
      <c r="IC43" s="925"/>
      <c r="ID43" s="925"/>
      <c r="IE43" s="925"/>
      <c r="IF43" s="925"/>
      <c r="IG43" s="925"/>
      <c r="IH43" s="925"/>
      <c r="II43" s="925"/>
      <c r="IJ43" s="925"/>
      <c r="IK43" s="925"/>
      <c r="IL43" s="925"/>
      <c r="IM43" s="925"/>
      <c r="IN43" s="925"/>
      <c r="IO43" s="925"/>
    </row>
    <row r="44" spans="1:249" ht="24" customHeight="1">
      <c r="A44" s="1782" t="s">
        <v>283</v>
      </c>
      <c r="B44" s="1783"/>
      <c r="C44" s="1783"/>
      <c r="D44" s="1783"/>
      <c r="E44" s="1783"/>
      <c r="F44" s="1783"/>
      <c r="G44" s="1783"/>
      <c r="H44" s="1783"/>
      <c r="I44" s="1783"/>
      <c r="J44" s="1784"/>
      <c r="K44" s="1791" t="s">
        <v>388</v>
      </c>
      <c r="L44" s="1725"/>
      <c r="M44" s="1725"/>
      <c r="N44" s="1725"/>
      <c r="O44" s="1725"/>
      <c r="P44" s="1725"/>
      <c r="Q44" s="1725"/>
      <c r="R44" s="1725"/>
      <c r="S44" s="1725"/>
      <c r="T44" s="1725"/>
      <c r="U44" s="1725"/>
      <c r="V44" s="1725"/>
      <c r="W44" s="1725"/>
      <c r="X44" s="1725"/>
      <c r="Y44" s="1725"/>
      <c r="Z44" s="1725"/>
      <c r="AA44" s="1725"/>
      <c r="AB44" s="1725"/>
      <c r="AC44" s="1725"/>
      <c r="AD44" s="1725"/>
      <c r="AE44" s="1725"/>
      <c r="AF44" s="1725"/>
      <c r="AG44" s="1725"/>
      <c r="AH44" s="1725"/>
      <c r="AI44" s="1725"/>
      <c r="AJ44" s="1725"/>
      <c r="AK44" s="1725"/>
      <c r="AL44" s="1725"/>
      <c r="AM44" s="1725"/>
      <c r="AN44" s="1725"/>
      <c r="AO44" s="1725"/>
      <c r="AP44" s="1725"/>
      <c r="AQ44" s="1725"/>
      <c r="AR44" s="1725"/>
      <c r="AS44" s="1725"/>
      <c r="AT44" s="1725"/>
      <c r="AU44" s="1782" t="s">
        <v>284</v>
      </c>
      <c r="AV44" s="1783"/>
      <c r="AW44" s="1783"/>
      <c r="AX44" s="1783"/>
      <c r="AY44" s="1783"/>
      <c r="AZ44" s="1783"/>
      <c r="BA44" s="1783"/>
      <c r="BB44" s="1783"/>
      <c r="BC44" s="1783"/>
      <c r="BD44" s="1783"/>
      <c r="BE44" s="1783"/>
      <c r="BF44" s="1784"/>
      <c r="BG44" s="1729" t="s">
        <v>642</v>
      </c>
      <c r="BH44" s="1791" t="s">
        <v>285</v>
      </c>
      <c r="BI44" s="1725"/>
      <c r="BJ44" s="1725"/>
      <c r="BK44" s="1725"/>
      <c r="BL44" s="1725"/>
      <c r="BM44" s="1725"/>
      <c r="BN44" s="1725"/>
      <c r="BO44" s="1725"/>
      <c r="BP44" s="1725"/>
      <c r="BQ44" s="1725"/>
      <c r="BR44" s="1725"/>
      <c r="BS44" s="1725"/>
      <c r="BT44" s="1725"/>
      <c r="BU44" s="1725"/>
      <c r="BV44" s="1725"/>
      <c r="BW44" s="1725"/>
      <c r="BX44" s="1725"/>
      <c r="BY44" s="1725"/>
      <c r="BZ44" s="1725"/>
      <c r="CA44" s="1725"/>
      <c r="CB44" s="1725"/>
      <c r="CC44" s="1725"/>
      <c r="CD44" s="1725"/>
      <c r="CE44" s="1725"/>
      <c r="CF44" s="1725"/>
      <c r="CG44" s="1725"/>
      <c r="CH44" s="1725"/>
      <c r="CI44" s="1725"/>
      <c r="CJ44" s="1725"/>
      <c r="CK44" s="1725"/>
      <c r="CL44" s="1725"/>
      <c r="CM44" s="1725"/>
      <c r="CN44" s="1725"/>
      <c r="CO44" s="1725"/>
      <c r="CP44" s="1725"/>
      <c r="CQ44" s="1725"/>
      <c r="CR44" s="1725"/>
      <c r="CS44" s="1725"/>
      <c r="CT44" s="1725"/>
      <c r="CU44" s="1725"/>
      <c r="CV44" s="1725"/>
      <c r="CW44" s="1725"/>
      <c r="CX44" s="1725"/>
      <c r="CY44" s="1725"/>
      <c r="CZ44" s="1725"/>
      <c r="DA44" s="1725"/>
      <c r="DB44" s="1725"/>
      <c r="DC44" s="1725"/>
      <c r="DD44" s="1725"/>
      <c r="DE44" s="1725"/>
      <c r="DF44" s="1725"/>
      <c r="DG44" s="1725"/>
      <c r="DH44" s="1725"/>
      <c r="DI44" s="1725"/>
      <c r="DJ44" s="1725"/>
      <c r="DK44" s="1725"/>
      <c r="DL44" s="1725"/>
      <c r="DM44" s="1725"/>
      <c r="DN44" s="1725"/>
      <c r="DO44" s="1725"/>
      <c r="DP44" s="1725"/>
      <c r="DQ44" s="1725"/>
      <c r="DR44" s="1725"/>
      <c r="DS44" s="1725"/>
      <c r="DT44" s="1725"/>
      <c r="DU44" s="1725"/>
      <c r="DV44" s="1725"/>
      <c r="DW44" s="1725"/>
      <c r="DX44" s="1725"/>
      <c r="DY44" s="1725"/>
      <c r="DZ44" s="1725"/>
      <c r="EA44" s="1725"/>
      <c r="EB44" s="1725"/>
      <c r="EC44" s="1725"/>
      <c r="ED44" s="1725"/>
      <c r="EE44" s="1725"/>
      <c r="EF44" s="1725"/>
      <c r="EG44" s="1725"/>
      <c r="EH44" s="1725"/>
      <c r="EI44" s="1725"/>
      <c r="EJ44" s="1725"/>
      <c r="EK44" s="1725"/>
      <c r="EL44" s="1725"/>
      <c r="EM44" s="1725"/>
      <c r="EN44" s="1725"/>
      <c r="EO44" s="1725"/>
      <c r="EP44" s="1725"/>
      <c r="EQ44" s="1725"/>
      <c r="ER44" s="1725"/>
      <c r="ES44" s="1725"/>
      <c r="ET44" s="1725"/>
      <c r="EU44" s="1776" t="s">
        <v>389</v>
      </c>
      <c r="EV44" s="1777"/>
      <c r="EW44" s="1777"/>
      <c r="EX44" s="1777"/>
      <c r="EY44" s="1778"/>
      <c r="EZ44" s="1779" t="s">
        <v>154</v>
      </c>
      <c r="FA44" s="1780"/>
      <c r="FB44" s="1780"/>
      <c r="FC44" s="1780"/>
      <c r="FD44" s="1780"/>
      <c r="FE44" s="1780"/>
      <c r="FF44" s="1780"/>
      <c r="FG44" s="1780"/>
      <c r="FH44" s="1780"/>
      <c r="FI44" s="1780"/>
      <c r="FJ44" s="1780"/>
      <c r="FK44" s="1780"/>
      <c r="FL44" s="1780"/>
      <c r="FM44" s="1780"/>
      <c r="FN44" s="1780"/>
      <c r="FO44" s="1780"/>
      <c r="FP44" s="1780"/>
      <c r="FQ44" s="1780"/>
      <c r="FR44" s="1780"/>
      <c r="FS44" s="1780"/>
      <c r="FT44" s="1780"/>
      <c r="FU44" s="1780"/>
      <c r="FV44" s="1780"/>
      <c r="FW44" s="1780"/>
      <c r="FX44" s="1780"/>
      <c r="FY44" s="1780"/>
      <c r="FZ44" s="1780"/>
      <c r="GA44" s="1780"/>
      <c r="GB44" s="1780"/>
      <c r="GC44" s="1780"/>
      <c r="GD44" s="1780"/>
      <c r="GE44" s="1780"/>
      <c r="GF44" s="1780"/>
      <c r="GG44" s="1780"/>
      <c r="GH44" s="1780"/>
      <c r="GI44" s="1780"/>
      <c r="GJ44" s="1780"/>
      <c r="GK44" s="1780"/>
      <c r="GL44" s="1780"/>
      <c r="GM44" s="1780"/>
      <c r="GN44" s="1780"/>
      <c r="GO44" s="1780"/>
      <c r="GP44" s="1780"/>
      <c r="GQ44" s="1780"/>
      <c r="GR44" s="1780"/>
      <c r="GS44" s="1780"/>
      <c r="GT44" s="1780"/>
      <c r="GU44" s="1780"/>
      <c r="GV44" s="1780"/>
      <c r="GW44" s="1780"/>
      <c r="GX44" s="1780"/>
      <c r="GY44" s="1780"/>
      <c r="GZ44" s="1780"/>
      <c r="HA44" s="1780"/>
      <c r="HB44" s="1780"/>
      <c r="HC44" s="1780"/>
      <c r="HD44" s="1780"/>
      <c r="HE44" s="1780"/>
      <c r="HF44" s="1780"/>
      <c r="HG44" s="1780"/>
      <c r="HH44" s="1780"/>
      <c r="HI44" s="1780"/>
      <c r="HJ44" s="1780"/>
      <c r="HK44" s="1780"/>
      <c r="HL44" s="1780"/>
      <c r="HM44" s="1780"/>
      <c r="HN44" s="1780"/>
      <c r="HO44" s="1780"/>
      <c r="HP44" s="1780"/>
      <c r="HQ44" s="1780"/>
      <c r="HR44" s="1780"/>
      <c r="HS44" s="1780"/>
      <c r="HT44" s="1780"/>
      <c r="HU44" s="1780"/>
      <c r="HV44" s="1780"/>
      <c r="HW44" s="1780"/>
      <c r="HX44" s="1780"/>
      <c r="HY44" s="1780"/>
      <c r="HZ44" s="1780"/>
      <c r="IA44" s="1780"/>
      <c r="IB44" s="1780"/>
      <c r="IC44" s="1780"/>
      <c r="ID44" s="1780"/>
      <c r="IE44" s="1780"/>
      <c r="IF44" s="1780"/>
      <c r="IG44" s="1780"/>
      <c r="IH44" s="1780"/>
      <c r="II44" s="1780"/>
      <c r="IJ44" s="1780"/>
      <c r="IK44" s="1780"/>
      <c r="IL44" s="1780"/>
      <c r="IM44" s="1780"/>
      <c r="IN44" s="1780"/>
      <c r="IO44" s="1781"/>
    </row>
    <row r="45" spans="1:249" ht="15" customHeight="1">
      <c r="A45" s="1788"/>
      <c r="B45" s="1789"/>
      <c r="C45" s="1789"/>
      <c r="D45" s="1789"/>
      <c r="E45" s="1789"/>
      <c r="F45" s="1789"/>
      <c r="G45" s="1789"/>
      <c r="H45" s="1789"/>
      <c r="I45" s="1789"/>
      <c r="J45" s="1790"/>
      <c r="K45" s="1782" t="s">
        <v>8</v>
      </c>
      <c r="L45" s="1783"/>
      <c r="M45" s="1783"/>
      <c r="N45" s="1783"/>
      <c r="O45" s="1783"/>
      <c r="P45" s="1783"/>
      <c r="Q45" s="1783"/>
      <c r="R45" s="1783"/>
      <c r="S45" s="1783"/>
      <c r="T45" s="1783"/>
      <c r="U45" s="1783"/>
      <c r="V45" s="1783"/>
      <c r="W45" s="1783"/>
      <c r="X45" s="1783"/>
      <c r="Y45" s="1783"/>
      <c r="Z45" s="1783"/>
      <c r="AA45" s="1783"/>
      <c r="AB45" s="1783"/>
      <c r="AC45" s="1783"/>
      <c r="AD45" s="1783"/>
      <c r="AE45" s="1783"/>
      <c r="AF45" s="1784"/>
      <c r="AG45" s="1782" t="s">
        <v>7</v>
      </c>
      <c r="AH45" s="1783"/>
      <c r="AI45" s="1783"/>
      <c r="AJ45" s="1783"/>
      <c r="AK45" s="1783"/>
      <c r="AL45" s="1783"/>
      <c r="AM45" s="1783"/>
      <c r="AN45" s="1783"/>
      <c r="AO45" s="1783"/>
      <c r="AP45" s="1783"/>
      <c r="AQ45" s="1783"/>
      <c r="AR45" s="1783"/>
      <c r="AS45" s="1783"/>
      <c r="AT45" s="1784"/>
      <c r="AU45" s="1788"/>
      <c r="AV45" s="1789"/>
      <c r="AW45" s="1789"/>
      <c r="AX45" s="1789"/>
      <c r="AY45" s="1789"/>
      <c r="AZ45" s="1789"/>
      <c r="BA45" s="1789"/>
      <c r="BB45" s="1789"/>
      <c r="BC45" s="1789"/>
      <c r="BD45" s="1789"/>
      <c r="BE45" s="1789"/>
      <c r="BF45" s="1790"/>
      <c r="BG45" s="1730"/>
      <c r="BH45" s="1782" t="s">
        <v>357</v>
      </c>
      <c r="BI45" s="1783"/>
      <c r="BJ45" s="1783"/>
      <c r="BK45" s="1783"/>
      <c r="BL45" s="1783"/>
      <c r="BM45" s="1783"/>
      <c r="BN45" s="1783"/>
      <c r="BO45" s="1783"/>
      <c r="BP45" s="1783"/>
      <c r="BQ45" s="1783"/>
      <c r="BR45" s="1783"/>
      <c r="BS45" s="1783"/>
      <c r="BT45" s="1783"/>
      <c r="BU45" s="1783"/>
      <c r="BV45" s="1783"/>
      <c r="BW45" s="1783"/>
      <c r="BX45" s="1783"/>
      <c r="BY45" s="1784"/>
      <c r="BZ45" s="1782" t="s">
        <v>358</v>
      </c>
      <c r="CA45" s="1783"/>
      <c r="CB45" s="1783"/>
      <c r="CC45" s="1783"/>
      <c r="CD45" s="1783"/>
      <c r="CE45" s="1783"/>
      <c r="CF45" s="1783"/>
      <c r="CG45" s="1783"/>
      <c r="CH45" s="1783"/>
      <c r="CI45" s="1783"/>
      <c r="CJ45" s="1783"/>
      <c r="CK45" s="1783"/>
      <c r="CL45" s="1783"/>
      <c r="CM45" s="1783"/>
      <c r="CN45" s="1783"/>
      <c r="CO45" s="1783"/>
      <c r="CP45" s="1783"/>
      <c r="CQ45" s="1784"/>
      <c r="CR45" s="1782" t="s">
        <v>393</v>
      </c>
      <c r="CS45" s="1783"/>
      <c r="CT45" s="1783"/>
      <c r="CU45" s="1783"/>
      <c r="CV45" s="1783"/>
      <c r="CW45" s="1783"/>
      <c r="CX45" s="1783"/>
      <c r="CY45" s="1783"/>
      <c r="CZ45" s="1783"/>
      <c r="DA45" s="1783"/>
      <c r="DB45" s="1783"/>
      <c r="DC45" s="1783"/>
      <c r="DD45" s="1783"/>
      <c r="DE45" s="1783"/>
      <c r="DF45" s="1783"/>
      <c r="DG45" s="1783"/>
      <c r="DH45" s="1783"/>
      <c r="DI45" s="1784"/>
      <c r="DJ45" s="1782" t="s">
        <v>18</v>
      </c>
      <c r="DK45" s="1783"/>
      <c r="DL45" s="1783"/>
      <c r="DM45" s="1783"/>
      <c r="DN45" s="1783"/>
      <c r="DO45" s="1783"/>
      <c r="DP45" s="1783"/>
      <c r="DQ45" s="1783"/>
      <c r="DR45" s="1783"/>
      <c r="DS45" s="1783"/>
      <c r="DT45" s="1783"/>
      <c r="DU45" s="1783"/>
      <c r="DV45" s="1783"/>
      <c r="DW45" s="1783"/>
      <c r="DX45" s="1783"/>
      <c r="DY45" s="1783"/>
      <c r="DZ45" s="1783"/>
      <c r="EA45" s="1784"/>
      <c r="EB45" s="1782" t="s">
        <v>187</v>
      </c>
      <c r="EC45" s="1783"/>
      <c r="ED45" s="1783"/>
      <c r="EE45" s="1783"/>
      <c r="EF45" s="1783"/>
      <c r="EG45" s="1783"/>
      <c r="EH45" s="1783"/>
      <c r="EI45" s="1783"/>
      <c r="EJ45" s="1783"/>
      <c r="EK45" s="1783"/>
      <c r="EL45" s="1783"/>
      <c r="EM45" s="1783"/>
      <c r="EN45" s="1783"/>
      <c r="EO45" s="1783"/>
      <c r="EP45" s="1783"/>
      <c r="EQ45" s="1783"/>
      <c r="ER45" s="1783"/>
      <c r="ES45" s="1783"/>
      <c r="ET45" s="1784"/>
      <c r="EU45" s="1802" t="s">
        <v>357</v>
      </c>
      <c r="EV45" s="1802" t="s">
        <v>358</v>
      </c>
      <c r="EW45" s="492" t="s">
        <v>393</v>
      </c>
      <c r="EX45" s="1802" t="s">
        <v>18</v>
      </c>
      <c r="EY45" s="492" t="s">
        <v>394</v>
      </c>
      <c r="EZ45" s="1791" t="s">
        <v>163</v>
      </c>
      <c r="FA45" s="1725"/>
      <c r="FB45" s="1725"/>
      <c r="FC45" s="1725"/>
      <c r="FD45" s="1725"/>
      <c r="FE45" s="1725"/>
      <c r="FF45" s="1725"/>
      <c r="FG45" s="1725"/>
      <c r="FH45" s="1725"/>
      <c r="FI45" s="1725"/>
      <c r="FJ45" s="1725"/>
      <c r="FK45" s="1725"/>
      <c r="FL45" s="1725"/>
      <c r="FM45" s="1725"/>
      <c r="FN45" s="1725"/>
      <c r="FO45" s="1725"/>
      <c r="FP45" s="1725"/>
      <c r="FQ45" s="1725"/>
      <c r="FR45" s="1725"/>
      <c r="FS45" s="1725"/>
      <c r="FT45" s="1725"/>
      <c r="FU45" s="1725"/>
      <c r="FV45" s="1725"/>
      <c r="FW45" s="1725"/>
      <c r="FX45" s="1725"/>
      <c r="FY45" s="1725"/>
      <c r="FZ45" s="1725"/>
      <c r="GA45" s="1725"/>
      <c r="GB45" s="1725"/>
      <c r="GC45" s="1725"/>
      <c r="GD45" s="1725"/>
      <c r="GE45" s="1725"/>
      <c r="GF45" s="1725"/>
      <c r="GG45" s="1725"/>
      <c r="GH45" s="1725"/>
      <c r="GI45" s="1725"/>
      <c r="GJ45" s="1725"/>
      <c r="GK45" s="1725"/>
      <c r="GL45" s="1725"/>
      <c r="GM45" s="1725"/>
      <c r="GN45" s="1725"/>
      <c r="GO45" s="1725"/>
      <c r="GP45" s="1725"/>
      <c r="GQ45" s="1725"/>
      <c r="GR45" s="1725"/>
      <c r="GS45" s="1725"/>
      <c r="GT45" s="1725"/>
      <c r="GU45" s="1791" t="s">
        <v>164</v>
      </c>
      <c r="GV45" s="1725"/>
      <c r="GW45" s="1725"/>
      <c r="GX45" s="1725"/>
      <c r="GY45" s="1725"/>
      <c r="GZ45" s="1725"/>
      <c r="HA45" s="1725"/>
      <c r="HB45" s="1725"/>
      <c r="HC45" s="1725"/>
      <c r="HD45" s="1725"/>
      <c r="HE45" s="1725"/>
      <c r="HF45" s="1725"/>
      <c r="HG45" s="1725"/>
      <c r="HH45" s="1725"/>
      <c r="HI45" s="1725"/>
      <c r="HJ45" s="1725"/>
      <c r="HK45" s="1725"/>
      <c r="HL45" s="1725"/>
      <c r="HM45" s="1725"/>
      <c r="HN45" s="1725"/>
      <c r="HO45" s="1725"/>
      <c r="HP45" s="1725"/>
      <c r="HQ45" s="1725"/>
      <c r="HR45" s="1725"/>
      <c r="HS45" s="1725"/>
      <c r="HT45" s="1725"/>
      <c r="HU45" s="1725"/>
      <c r="HV45" s="1725"/>
      <c r="HW45" s="1725"/>
      <c r="HX45" s="1725"/>
      <c r="HY45" s="1725"/>
      <c r="HZ45" s="1725"/>
      <c r="IA45" s="1725"/>
      <c r="IB45" s="1725"/>
      <c r="IC45" s="1725"/>
      <c r="ID45" s="1725"/>
      <c r="IE45" s="1725"/>
      <c r="IF45" s="1725"/>
      <c r="IG45" s="1725"/>
      <c r="IH45" s="1725"/>
      <c r="II45" s="1725"/>
      <c r="IJ45" s="1725"/>
      <c r="IK45" s="1725"/>
      <c r="IL45" s="1725"/>
      <c r="IM45" s="1725"/>
      <c r="IN45" s="1725"/>
      <c r="IO45" s="1725"/>
    </row>
    <row r="46" spans="1:249" ht="15" customHeight="1">
      <c r="A46" s="1785"/>
      <c r="B46" s="1786"/>
      <c r="C46" s="1786"/>
      <c r="D46" s="1786"/>
      <c r="E46" s="1786"/>
      <c r="F46" s="1786"/>
      <c r="G46" s="1786"/>
      <c r="H46" s="1786"/>
      <c r="I46" s="1786"/>
      <c r="J46" s="1787"/>
      <c r="K46" s="1785"/>
      <c r="L46" s="1786"/>
      <c r="M46" s="1786"/>
      <c r="N46" s="1786"/>
      <c r="O46" s="1786"/>
      <c r="P46" s="1786"/>
      <c r="Q46" s="1786"/>
      <c r="R46" s="1786"/>
      <c r="S46" s="1786"/>
      <c r="T46" s="1786"/>
      <c r="U46" s="1786"/>
      <c r="V46" s="1786"/>
      <c r="W46" s="1786"/>
      <c r="X46" s="1786"/>
      <c r="Y46" s="1786"/>
      <c r="Z46" s="1786"/>
      <c r="AA46" s="1786"/>
      <c r="AB46" s="1786"/>
      <c r="AC46" s="1786"/>
      <c r="AD46" s="1786"/>
      <c r="AE46" s="1786"/>
      <c r="AF46" s="1787"/>
      <c r="AG46" s="1785"/>
      <c r="AH46" s="1786"/>
      <c r="AI46" s="1786"/>
      <c r="AJ46" s="1786"/>
      <c r="AK46" s="1786"/>
      <c r="AL46" s="1786"/>
      <c r="AM46" s="1786"/>
      <c r="AN46" s="1786"/>
      <c r="AO46" s="1786"/>
      <c r="AP46" s="1786"/>
      <c r="AQ46" s="1786"/>
      <c r="AR46" s="1786"/>
      <c r="AS46" s="1786"/>
      <c r="AT46" s="1787"/>
      <c r="AU46" s="1785"/>
      <c r="AV46" s="1786"/>
      <c r="AW46" s="1786"/>
      <c r="AX46" s="1786"/>
      <c r="AY46" s="1786"/>
      <c r="AZ46" s="1786"/>
      <c r="BA46" s="1786"/>
      <c r="BB46" s="1786"/>
      <c r="BC46" s="1786"/>
      <c r="BD46" s="1786"/>
      <c r="BE46" s="1786"/>
      <c r="BF46" s="1787"/>
      <c r="BG46" s="1731"/>
      <c r="BH46" s="1785"/>
      <c r="BI46" s="1786"/>
      <c r="BJ46" s="1786"/>
      <c r="BK46" s="1786"/>
      <c r="BL46" s="1786"/>
      <c r="BM46" s="1786"/>
      <c r="BN46" s="1786"/>
      <c r="BO46" s="1786"/>
      <c r="BP46" s="1786"/>
      <c r="BQ46" s="1786"/>
      <c r="BR46" s="1786"/>
      <c r="BS46" s="1786"/>
      <c r="BT46" s="1786"/>
      <c r="BU46" s="1786"/>
      <c r="BV46" s="1786"/>
      <c r="BW46" s="1786"/>
      <c r="BX46" s="1786"/>
      <c r="BY46" s="1787"/>
      <c r="BZ46" s="1785"/>
      <c r="CA46" s="1786"/>
      <c r="CB46" s="1786"/>
      <c r="CC46" s="1786"/>
      <c r="CD46" s="1786"/>
      <c r="CE46" s="1786"/>
      <c r="CF46" s="1786"/>
      <c r="CG46" s="1786"/>
      <c r="CH46" s="1786"/>
      <c r="CI46" s="1786"/>
      <c r="CJ46" s="1786"/>
      <c r="CK46" s="1786"/>
      <c r="CL46" s="1786"/>
      <c r="CM46" s="1786"/>
      <c r="CN46" s="1786"/>
      <c r="CO46" s="1786"/>
      <c r="CP46" s="1786"/>
      <c r="CQ46" s="1787"/>
      <c r="CR46" s="1792" t="s">
        <v>47</v>
      </c>
      <c r="CS46" s="1793"/>
      <c r="CT46" s="1793"/>
      <c r="CU46" s="1793"/>
      <c r="CV46" s="1793"/>
      <c r="CW46" s="1793"/>
      <c r="CX46" s="1793"/>
      <c r="CY46" s="1793"/>
      <c r="CZ46" s="1793"/>
      <c r="DA46" s="1793"/>
      <c r="DB46" s="1793"/>
      <c r="DC46" s="1793"/>
      <c r="DD46" s="1793"/>
      <c r="DE46" s="1793"/>
      <c r="DF46" s="1793"/>
      <c r="DG46" s="1793"/>
      <c r="DH46" s="1793"/>
      <c r="DI46" s="1794"/>
      <c r="DJ46" s="1785"/>
      <c r="DK46" s="1786"/>
      <c r="DL46" s="1786"/>
      <c r="DM46" s="1786"/>
      <c r="DN46" s="1786"/>
      <c r="DO46" s="1786"/>
      <c r="DP46" s="1786"/>
      <c r="DQ46" s="1786"/>
      <c r="DR46" s="1786"/>
      <c r="DS46" s="1786"/>
      <c r="DT46" s="1786"/>
      <c r="DU46" s="1786"/>
      <c r="DV46" s="1786"/>
      <c r="DW46" s="1786"/>
      <c r="DX46" s="1786"/>
      <c r="DY46" s="1786"/>
      <c r="DZ46" s="1786"/>
      <c r="EA46" s="1787"/>
      <c r="EB46" s="1792" t="str">
        <f>CR46</f>
        <v>SimvValR</v>
      </c>
      <c r="EC46" s="1793"/>
      <c r="ED46" s="1793"/>
      <c r="EE46" s="1793"/>
      <c r="EF46" s="1793"/>
      <c r="EG46" s="1793"/>
      <c r="EH46" s="1793"/>
      <c r="EI46" s="1793"/>
      <c r="EJ46" s="1793"/>
      <c r="EK46" s="1793"/>
      <c r="EL46" s="1793"/>
      <c r="EM46" s="1793"/>
      <c r="EN46" s="1793"/>
      <c r="EO46" s="1793"/>
      <c r="EP46" s="1793"/>
      <c r="EQ46" s="1793"/>
      <c r="ER46" s="1793"/>
      <c r="ES46" s="1793"/>
      <c r="ET46" s="1794"/>
      <c r="EU46" s="1802"/>
      <c r="EV46" s="1802"/>
      <c r="EW46" s="530" t="str">
        <f>CR46</f>
        <v>SimvValR</v>
      </c>
      <c r="EX46" s="1802"/>
      <c r="EY46" s="530" t="str">
        <f>CR46</f>
        <v>SimvValR</v>
      </c>
      <c r="EZ46" s="1791" t="s">
        <v>357</v>
      </c>
      <c r="FA46" s="1725"/>
      <c r="FB46" s="1725"/>
      <c r="FC46" s="1725"/>
      <c r="FD46" s="1725"/>
      <c r="FE46" s="1725"/>
      <c r="FF46" s="1725"/>
      <c r="FG46" s="1725"/>
      <c r="FH46" s="1725"/>
      <c r="FI46" s="1725"/>
      <c r="FJ46" s="1725"/>
      <c r="FK46" s="1791" t="s">
        <v>358</v>
      </c>
      <c r="FL46" s="1725"/>
      <c r="FM46" s="1725"/>
      <c r="FN46" s="1725"/>
      <c r="FO46" s="1725"/>
      <c r="FP46" s="1725"/>
      <c r="FQ46" s="1725"/>
      <c r="FR46" s="1725"/>
      <c r="FS46" s="1725"/>
      <c r="FT46" s="1725"/>
      <c r="FU46" s="1725"/>
      <c r="FV46" s="1725"/>
      <c r="FW46" s="1791" t="s">
        <v>18</v>
      </c>
      <c r="FX46" s="1725"/>
      <c r="FY46" s="1725"/>
      <c r="FZ46" s="1725"/>
      <c r="GA46" s="1725"/>
      <c r="GB46" s="1725"/>
      <c r="GC46" s="1725"/>
      <c r="GD46" s="1725"/>
      <c r="GE46" s="1725"/>
      <c r="GF46" s="1725"/>
      <c r="GG46" s="1725"/>
      <c r="GH46" s="1725"/>
      <c r="GI46" s="1795" t="s">
        <v>394</v>
      </c>
      <c r="GJ46" s="1796"/>
      <c r="GK46" s="1796"/>
      <c r="GL46" s="1796"/>
      <c r="GM46" s="1796"/>
      <c r="GN46" s="1796"/>
      <c r="GO46" s="1796"/>
      <c r="GP46" s="1797" t="str">
        <f>CR46</f>
        <v>SimvValR</v>
      </c>
      <c r="GQ46" s="1797"/>
      <c r="GR46" s="1797"/>
      <c r="GS46" s="1797"/>
      <c r="GT46" s="1798"/>
      <c r="GU46" s="1799" t="s">
        <v>357</v>
      </c>
      <c r="GV46" s="1800"/>
      <c r="GW46" s="1800"/>
      <c r="GX46" s="1800"/>
      <c r="GY46" s="1800"/>
      <c r="GZ46" s="1800"/>
      <c r="HA46" s="1800"/>
      <c r="HB46" s="1800"/>
      <c r="HC46" s="1800"/>
      <c r="HD46" s="1800"/>
      <c r="HE46" s="1800"/>
      <c r="HF46" s="1801"/>
      <c r="HG46" s="1791" t="s">
        <v>358</v>
      </c>
      <c r="HH46" s="1725"/>
      <c r="HI46" s="1725"/>
      <c r="HJ46" s="1725"/>
      <c r="HK46" s="1725"/>
      <c r="HL46" s="1725"/>
      <c r="HM46" s="1725"/>
      <c r="HN46" s="1725"/>
      <c r="HO46" s="1725"/>
      <c r="HP46" s="1725"/>
      <c r="HQ46" s="1725"/>
      <c r="HR46" s="1725"/>
      <c r="HS46" s="1791" t="s">
        <v>18</v>
      </c>
      <c r="HT46" s="1725"/>
      <c r="HU46" s="1725"/>
      <c r="HV46" s="1725"/>
      <c r="HW46" s="1725"/>
      <c r="HX46" s="1725"/>
      <c r="HY46" s="1725"/>
      <c r="HZ46" s="1725"/>
      <c r="IA46" s="1725"/>
      <c r="IB46" s="1725"/>
      <c r="IC46" s="1725"/>
      <c r="ID46" s="1725"/>
      <c r="IE46" s="1795" t="s">
        <v>394</v>
      </c>
      <c r="IF46" s="1796"/>
      <c r="IG46" s="1796"/>
      <c r="IH46" s="1796"/>
      <c r="II46" s="1796"/>
      <c r="IJ46" s="1796"/>
      <c r="IK46" s="1796"/>
      <c r="IL46" s="1803" t="str">
        <f>CR46</f>
        <v>SimvValR</v>
      </c>
      <c r="IM46" s="1803"/>
      <c r="IN46" s="1803"/>
      <c r="IO46" s="1804"/>
    </row>
    <row r="47" spans="1:249" ht="12.75">
      <c r="A47" s="1725">
        <v>1</v>
      </c>
      <c r="B47" s="1725"/>
      <c r="C47" s="1725"/>
      <c r="D47" s="1725"/>
      <c r="E47" s="1725"/>
      <c r="F47" s="1725"/>
      <c r="G47" s="1725"/>
      <c r="H47" s="1725"/>
      <c r="I47" s="1725"/>
      <c r="J47" s="1725"/>
      <c r="K47" s="1725">
        <v>2</v>
      </c>
      <c r="L47" s="1725"/>
      <c r="M47" s="1725"/>
      <c r="N47" s="1725"/>
      <c r="O47" s="1725"/>
      <c r="P47" s="1725"/>
      <c r="Q47" s="1725"/>
      <c r="R47" s="1725"/>
      <c r="S47" s="1725"/>
      <c r="T47" s="1725"/>
      <c r="U47" s="1725"/>
      <c r="V47" s="1725"/>
      <c r="W47" s="1725"/>
      <c r="X47" s="1725"/>
      <c r="Y47" s="1725"/>
      <c r="Z47" s="1725"/>
      <c r="AA47" s="1725"/>
      <c r="AB47" s="1725"/>
      <c r="AC47" s="1725"/>
      <c r="AD47" s="1725"/>
      <c r="AE47" s="1725"/>
      <c r="AF47" s="1725"/>
      <c r="AG47" s="1725">
        <v>3</v>
      </c>
      <c r="AH47" s="1725"/>
      <c r="AI47" s="1725"/>
      <c r="AJ47" s="1725"/>
      <c r="AK47" s="1725"/>
      <c r="AL47" s="1725"/>
      <c r="AM47" s="1725"/>
      <c r="AN47" s="1725"/>
      <c r="AO47" s="1725"/>
      <c r="AP47" s="1725"/>
      <c r="AQ47" s="1725"/>
      <c r="AR47" s="1725"/>
      <c r="AS47" s="1725"/>
      <c r="AT47" s="1725"/>
      <c r="AU47" s="1725">
        <v>4</v>
      </c>
      <c r="AV47" s="1725"/>
      <c r="AW47" s="1725"/>
      <c r="AX47" s="1725"/>
      <c r="AY47" s="1725"/>
      <c r="AZ47" s="1725"/>
      <c r="BA47" s="1725"/>
      <c r="BB47" s="1725"/>
      <c r="BC47" s="1725"/>
      <c r="BD47" s="1725"/>
      <c r="BE47" s="1725"/>
      <c r="BF47" s="1725"/>
      <c r="BG47" s="922">
        <v>5</v>
      </c>
      <c r="BH47" s="1725">
        <v>6</v>
      </c>
      <c r="BI47" s="1725"/>
      <c r="BJ47" s="1725"/>
      <c r="BK47" s="1725"/>
      <c r="BL47" s="1725"/>
      <c r="BM47" s="1725"/>
      <c r="BN47" s="1725"/>
      <c r="BO47" s="1725"/>
      <c r="BP47" s="1725"/>
      <c r="BQ47" s="1725"/>
      <c r="BR47" s="1725"/>
      <c r="BS47" s="1725"/>
      <c r="BT47" s="1725"/>
      <c r="BU47" s="1725"/>
      <c r="BV47" s="1725"/>
      <c r="BW47" s="1725"/>
      <c r="BX47" s="1725"/>
      <c r="BY47" s="1725"/>
      <c r="BZ47" s="1725">
        <v>7</v>
      </c>
      <c r="CA47" s="1725"/>
      <c r="CB47" s="1725"/>
      <c r="CC47" s="1725"/>
      <c r="CD47" s="1725"/>
      <c r="CE47" s="1725"/>
      <c r="CF47" s="1725"/>
      <c r="CG47" s="1725"/>
      <c r="CH47" s="1725"/>
      <c r="CI47" s="1725"/>
      <c r="CJ47" s="1725"/>
      <c r="CK47" s="1725"/>
      <c r="CL47" s="1725"/>
      <c r="CM47" s="1725"/>
      <c r="CN47" s="1725"/>
      <c r="CO47" s="1725"/>
      <c r="CP47" s="1725"/>
      <c r="CQ47" s="1725"/>
      <c r="CR47" s="1725">
        <v>8</v>
      </c>
      <c r="CS47" s="1725"/>
      <c r="CT47" s="1725"/>
      <c r="CU47" s="1725"/>
      <c r="CV47" s="1725"/>
      <c r="CW47" s="1725"/>
      <c r="CX47" s="1725"/>
      <c r="CY47" s="1725"/>
      <c r="CZ47" s="1725"/>
      <c r="DA47" s="1725"/>
      <c r="DB47" s="1725"/>
      <c r="DC47" s="1725"/>
      <c r="DD47" s="1725"/>
      <c r="DE47" s="1725"/>
      <c r="DF47" s="1725"/>
      <c r="DG47" s="1725"/>
      <c r="DH47" s="1725"/>
      <c r="DI47" s="1725"/>
      <c r="DJ47" s="1725">
        <v>9</v>
      </c>
      <c r="DK47" s="1725"/>
      <c r="DL47" s="1725"/>
      <c r="DM47" s="1725"/>
      <c r="DN47" s="1725"/>
      <c r="DO47" s="1725"/>
      <c r="DP47" s="1725"/>
      <c r="DQ47" s="1725"/>
      <c r="DR47" s="1725"/>
      <c r="DS47" s="1725"/>
      <c r="DT47" s="1725"/>
      <c r="DU47" s="1725"/>
      <c r="DV47" s="1725"/>
      <c r="DW47" s="1725"/>
      <c r="DX47" s="1725"/>
      <c r="DY47" s="1725"/>
      <c r="DZ47" s="1725"/>
      <c r="EA47" s="1725"/>
      <c r="EB47" s="1725">
        <v>10</v>
      </c>
      <c r="EC47" s="1725"/>
      <c r="ED47" s="1725"/>
      <c r="EE47" s="1725"/>
      <c r="EF47" s="1725"/>
      <c r="EG47" s="1725"/>
      <c r="EH47" s="1725"/>
      <c r="EI47" s="1725"/>
      <c r="EJ47" s="1725"/>
      <c r="EK47" s="1725"/>
      <c r="EL47" s="1725"/>
      <c r="EM47" s="1725"/>
      <c r="EN47" s="1725"/>
      <c r="EO47" s="1725"/>
      <c r="EP47" s="1725"/>
      <c r="EQ47" s="1725"/>
      <c r="ER47" s="1725"/>
      <c r="ES47" s="1725"/>
      <c r="ET47" s="1725"/>
      <c r="EU47" s="493">
        <v>11</v>
      </c>
      <c r="EV47" s="493">
        <v>12</v>
      </c>
      <c r="EW47" s="493">
        <v>13</v>
      </c>
      <c r="EX47" s="493">
        <v>14</v>
      </c>
      <c r="EY47" s="493">
        <v>15</v>
      </c>
      <c r="EZ47" s="1725">
        <v>16</v>
      </c>
      <c r="FA47" s="1725"/>
      <c r="FB47" s="1725"/>
      <c r="FC47" s="1725"/>
      <c r="FD47" s="1725"/>
      <c r="FE47" s="1725"/>
      <c r="FF47" s="1725"/>
      <c r="FG47" s="1725"/>
      <c r="FH47" s="1725"/>
      <c r="FI47" s="1725"/>
      <c r="FJ47" s="1725"/>
      <c r="FK47" s="1725">
        <v>17</v>
      </c>
      <c r="FL47" s="1725"/>
      <c r="FM47" s="1725"/>
      <c r="FN47" s="1725"/>
      <c r="FO47" s="1725"/>
      <c r="FP47" s="1725"/>
      <c r="FQ47" s="1725"/>
      <c r="FR47" s="1725"/>
      <c r="FS47" s="1725"/>
      <c r="FT47" s="1725"/>
      <c r="FU47" s="1725"/>
      <c r="FV47" s="1725"/>
      <c r="FW47" s="1725">
        <v>18</v>
      </c>
      <c r="FX47" s="1725"/>
      <c r="FY47" s="1725"/>
      <c r="FZ47" s="1725"/>
      <c r="GA47" s="1725"/>
      <c r="GB47" s="1725"/>
      <c r="GC47" s="1725"/>
      <c r="GD47" s="1725"/>
      <c r="GE47" s="1725"/>
      <c r="GF47" s="1725"/>
      <c r="GG47" s="1725"/>
      <c r="GH47" s="1725"/>
      <c r="GI47" s="1725">
        <v>19</v>
      </c>
      <c r="GJ47" s="1725"/>
      <c r="GK47" s="1725"/>
      <c r="GL47" s="1725"/>
      <c r="GM47" s="1725"/>
      <c r="GN47" s="1725"/>
      <c r="GO47" s="1725"/>
      <c r="GP47" s="1725"/>
      <c r="GQ47" s="1725"/>
      <c r="GR47" s="1725"/>
      <c r="GS47" s="1725"/>
      <c r="GT47" s="1725"/>
      <c r="GU47" s="1725">
        <v>20</v>
      </c>
      <c r="GV47" s="1725"/>
      <c r="GW47" s="1725"/>
      <c r="GX47" s="1725"/>
      <c r="GY47" s="1725"/>
      <c r="GZ47" s="1725"/>
      <c r="HA47" s="1725"/>
      <c r="HB47" s="1725"/>
      <c r="HC47" s="1725"/>
      <c r="HD47" s="1725"/>
      <c r="HE47" s="1725"/>
      <c r="HF47" s="1725"/>
      <c r="HG47" s="1725">
        <v>21</v>
      </c>
      <c r="HH47" s="1725"/>
      <c r="HI47" s="1725"/>
      <c r="HJ47" s="1725"/>
      <c r="HK47" s="1725"/>
      <c r="HL47" s="1725"/>
      <c r="HM47" s="1725"/>
      <c r="HN47" s="1725"/>
      <c r="HO47" s="1725"/>
      <c r="HP47" s="1725"/>
      <c r="HQ47" s="1725"/>
      <c r="HR47" s="1725"/>
      <c r="HS47" s="1725">
        <v>22</v>
      </c>
      <c r="HT47" s="1725"/>
      <c r="HU47" s="1725"/>
      <c r="HV47" s="1725"/>
      <c r="HW47" s="1725"/>
      <c r="HX47" s="1725"/>
      <c r="HY47" s="1725"/>
      <c r="HZ47" s="1725"/>
      <c r="IA47" s="1725"/>
      <c r="IB47" s="1725"/>
      <c r="IC47" s="1725"/>
      <c r="ID47" s="1725"/>
      <c r="IE47" s="1725">
        <v>23</v>
      </c>
      <c r="IF47" s="1725"/>
      <c r="IG47" s="1725"/>
      <c r="IH47" s="1725"/>
      <c r="II47" s="1725"/>
      <c r="IJ47" s="1725"/>
      <c r="IK47" s="1725"/>
      <c r="IL47" s="1725"/>
      <c r="IM47" s="1725"/>
      <c r="IN47" s="1725"/>
      <c r="IO47" s="1725"/>
    </row>
    <row r="48" spans="1:249" ht="12.75">
      <c r="A48" s="1769" t="s">
        <v>4</v>
      </c>
      <c r="B48" s="1769"/>
      <c r="C48" s="1769"/>
      <c r="D48" s="1769"/>
      <c r="E48" s="1769"/>
      <c r="F48" s="1769"/>
      <c r="G48" s="1769"/>
      <c r="H48" s="1769"/>
      <c r="I48" s="1769"/>
      <c r="J48" s="1769"/>
      <c r="K48" s="1770" t="s">
        <v>6</v>
      </c>
      <c r="L48" s="1771"/>
      <c r="M48" s="1771"/>
      <c r="N48" s="1771"/>
      <c r="O48" s="1771"/>
      <c r="P48" s="1771"/>
      <c r="Q48" s="1771"/>
      <c r="R48" s="1771"/>
      <c r="S48" s="1771"/>
      <c r="T48" s="1771"/>
      <c r="U48" s="1771"/>
      <c r="V48" s="1771"/>
      <c r="W48" s="1771"/>
      <c r="X48" s="1771"/>
      <c r="Y48" s="1771"/>
      <c r="Z48" s="1771"/>
      <c r="AA48" s="1771"/>
      <c r="AB48" s="1771"/>
      <c r="AC48" s="1771"/>
      <c r="AD48" s="1771"/>
      <c r="AE48" s="1771"/>
      <c r="AF48" s="1772"/>
      <c r="AG48" s="1773" t="s">
        <v>7</v>
      </c>
      <c r="AH48" s="1774"/>
      <c r="AI48" s="1774"/>
      <c r="AJ48" s="1774"/>
      <c r="AK48" s="1774"/>
      <c r="AL48" s="1774"/>
      <c r="AM48" s="1774"/>
      <c r="AN48" s="1774"/>
      <c r="AO48" s="1774"/>
      <c r="AP48" s="1774"/>
      <c r="AQ48" s="1774"/>
      <c r="AR48" s="1774"/>
      <c r="AS48" s="1774"/>
      <c r="AT48" s="1775"/>
      <c r="AU48" s="1773" t="s">
        <v>8</v>
      </c>
      <c r="AV48" s="1774"/>
      <c r="AW48" s="1774"/>
      <c r="AX48" s="1774"/>
      <c r="AY48" s="1774"/>
      <c r="AZ48" s="1774"/>
      <c r="BA48" s="1774"/>
      <c r="BB48" s="1774"/>
      <c r="BC48" s="1774"/>
      <c r="BD48" s="1774"/>
      <c r="BE48" s="1774"/>
      <c r="BF48" s="1775"/>
      <c r="BG48" s="929" t="s">
        <v>641</v>
      </c>
      <c r="BH48" s="1765" t="s">
        <v>395</v>
      </c>
      <c r="BI48" s="1766"/>
      <c r="BJ48" s="1766"/>
      <c r="BK48" s="1766"/>
      <c r="BL48" s="1766"/>
      <c r="BM48" s="1766"/>
      <c r="BN48" s="1766"/>
      <c r="BO48" s="1766"/>
      <c r="BP48" s="1766"/>
      <c r="BQ48" s="1766"/>
      <c r="BR48" s="1766"/>
      <c r="BS48" s="1766"/>
      <c r="BT48" s="1766"/>
      <c r="BU48" s="1766"/>
      <c r="BV48" s="1766"/>
      <c r="BW48" s="1766"/>
      <c r="BX48" s="1766"/>
      <c r="BY48" s="1767"/>
      <c r="BZ48" s="1765" t="s">
        <v>358</v>
      </c>
      <c r="CA48" s="1766"/>
      <c r="CB48" s="1766"/>
      <c r="CC48" s="1766"/>
      <c r="CD48" s="1766"/>
      <c r="CE48" s="1766"/>
      <c r="CF48" s="1766"/>
      <c r="CG48" s="1766"/>
      <c r="CH48" s="1766"/>
      <c r="CI48" s="1766"/>
      <c r="CJ48" s="1766"/>
      <c r="CK48" s="1766"/>
      <c r="CL48" s="1766"/>
      <c r="CM48" s="1766"/>
      <c r="CN48" s="1766"/>
      <c r="CO48" s="1766"/>
      <c r="CP48" s="1766"/>
      <c r="CQ48" s="1767"/>
      <c r="CR48" s="1762" t="s">
        <v>9</v>
      </c>
      <c r="CS48" s="1763"/>
      <c r="CT48" s="1763"/>
      <c r="CU48" s="1763"/>
      <c r="CV48" s="1763"/>
      <c r="CW48" s="1763"/>
      <c r="CX48" s="1763"/>
      <c r="CY48" s="1763"/>
      <c r="CZ48" s="1763"/>
      <c r="DA48" s="1763"/>
      <c r="DB48" s="1763"/>
      <c r="DC48" s="1763"/>
      <c r="DD48" s="1763"/>
      <c r="DE48" s="1763"/>
      <c r="DF48" s="1763"/>
      <c r="DG48" s="1763"/>
      <c r="DH48" s="1763"/>
      <c r="DI48" s="1764"/>
      <c r="DJ48" s="1753" t="s">
        <v>16</v>
      </c>
      <c r="DK48" s="1754"/>
      <c r="DL48" s="1754"/>
      <c r="DM48" s="1754"/>
      <c r="DN48" s="1754"/>
      <c r="DO48" s="1754"/>
      <c r="DP48" s="1754"/>
      <c r="DQ48" s="1754"/>
      <c r="DR48" s="1754"/>
      <c r="DS48" s="1754"/>
      <c r="DT48" s="1754"/>
      <c r="DU48" s="1754"/>
      <c r="DV48" s="1754"/>
      <c r="DW48" s="1754"/>
      <c r="DX48" s="1754"/>
      <c r="DY48" s="1754"/>
      <c r="DZ48" s="1754"/>
      <c r="EA48" s="1755"/>
      <c r="EB48" s="1762" t="s">
        <v>17</v>
      </c>
      <c r="EC48" s="1763"/>
      <c r="ED48" s="1763"/>
      <c r="EE48" s="1763"/>
      <c r="EF48" s="1763"/>
      <c r="EG48" s="1763"/>
      <c r="EH48" s="1763"/>
      <c r="EI48" s="1763"/>
      <c r="EJ48" s="1763"/>
      <c r="EK48" s="1763"/>
      <c r="EL48" s="1763"/>
      <c r="EM48" s="1763"/>
      <c r="EN48" s="1763"/>
      <c r="EO48" s="1763"/>
      <c r="EP48" s="1763"/>
      <c r="EQ48" s="1763"/>
      <c r="ER48" s="1763"/>
      <c r="ES48" s="1763"/>
      <c r="ET48" s="1764"/>
      <c r="EU48" s="528" t="str">
        <f>BH48</f>
        <v>номер_серийный</v>
      </c>
      <c r="EV48" s="528" t="str">
        <f>BZ48</f>
        <v>серия</v>
      </c>
      <c r="EW48" s="524" t="str">
        <f>CR48</f>
        <v>цена</v>
      </c>
      <c r="EX48" s="494" t="s">
        <v>18</v>
      </c>
      <c r="EY48" s="495" t="s">
        <v>19</v>
      </c>
      <c r="EZ48" s="1768"/>
      <c r="FA48" s="1768"/>
      <c r="FB48" s="1768"/>
      <c r="FC48" s="1768"/>
      <c r="FD48" s="1768"/>
      <c r="FE48" s="1768"/>
      <c r="FF48" s="1768"/>
      <c r="FG48" s="1768"/>
      <c r="FH48" s="1768"/>
      <c r="FI48" s="1768"/>
      <c r="FJ48" s="1768"/>
      <c r="FK48" s="1758"/>
      <c r="FL48" s="1759"/>
      <c r="FM48" s="1759"/>
      <c r="FN48" s="1759"/>
      <c r="FO48" s="1759"/>
      <c r="FP48" s="1759"/>
      <c r="FQ48" s="1759"/>
      <c r="FR48" s="1759"/>
      <c r="FS48" s="1759"/>
      <c r="FT48" s="1759"/>
      <c r="FU48" s="1759"/>
      <c r="FV48" s="1760"/>
      <c r="FW48" s="1753" t="s">
        <v>10</v>
      </c>
      <c r="FX48" s="1754"/>
      <c r="FY48" s="1754"/>
      <c r="FZ48" s="1754"/>
      <c r="GA48" s="1754"/>
      <c r="GB48" s="1754"/>
      <c r="GC48" s="1754"/>
      <c r="GD48" s="1754"/>
      <c r="GE48" s="1754"/>
      <c r="GF48" s="1754"/>
      <c r="GG48" s="1754"/>
      <c r="GH48" s="1755"/>
      <c r="GI48" s="1756" t="s">
        <v>11</v>
      </c>
      <c r="GJ48" s="1756"/>
      <c r="GK48" s="1756"/>
      <c r="GL48" s="1756"/>
      <c r="GM48" s="1756"/>
      <c r="GN48" s="1756"/>
      <c r="GO48" s="1756"/>
      <c r="GP48" s="1756"/>
      <c r="GQ48" s="1756"/>
      <c r="GR48" s="1756"/>
      <c r="GS48" s="1756"/>
      <c r="GT48" s="1756"/>
      <c r="GU48" s="1757"/>
      <c r="GV48" s="1757"/>
      <c r="GW48" s="1757"/>
      <c r="GX48" s="1757"/>
      <c r="GY48" s="1757"/>
      <c r="GZ48" s="1757"/>
      <c r="HA48" s="1757"/>
      <c r="HB48" s="1757"/>
      <c r="HC48" s="1757"/>
      <c r="HD48" s="1757"/>
      <c r="HE48" s="1757"/>
      <c r="HF48" s="1757"/>
      <c r="HG48" s="1758"/>
      <c r="HH48" s="1759"/>
      <c r="HI48" s="1759"/>
      <c r="HJ48" s="1759"/>
      <c r="HK48" s="1759"/>
      <c r="HL48" s="1759"/>
      <c r="HM48" s="1759"/>
      <c r="HN48" s="1759"/>
      <c r="HO48" s="1759"/>
      <c r="HP48" s="1759"/>
      <c r="HQ48" s="1759"/>
      <c r="HR48" s="1760"/>
      <c r="HS48" s="1761" t="s">
        <v>12</v>
      </c>
      <c r="HT48" s="1761"/>
      <c r="HU48" s="1761"/>
      <c r="HV48" s="1761"/>
      <c r="HW48" s="1761"/>
      <c r="HX48" s="1761"/>
      <c r="HY48" s="1761"/>
      <c r="HZ48" s="1761"/>
      <c r="IA48" s="1761"/>
      <c r="IB48" s="1761"/>
      <c r="IC48" s="1761"/>
      <c r="ID48" s="1761"/>
      <c r="IE48" s="1762" t="s">
        <v>13</v>
      </c>
      <c r="IF48" s="1763"/>
      <c r="IG48" s="1763"/>
      <c r="IH48" s="1763"/>
      <c r="II48" s="1763"/>
      <c r="IJ48" s="1763"/>
      <c r="IK48" s="1763"/>
      <c r="IL48" s="1763"/>
      <c r="IM48" s="1763"/>
      <c r="IN48" s="1763"/>
      <c r="IO48" s="1764"/>
    </row>
    <row r="49" spans="1:250" ht="12.75">
      <c r="A49" s="815" t="s">
        <v>361</v>
      </c>
      <c r="B49" s="525"/>
      <c r="C49" s="525"/>
      <c r="D49" s="525"/>
      <c r="E49" s="525"/>
      <c r="F49" s="525"/>
      <c r="G49" s="525"/>
      <c r="H49" s="525"/>
      <c r="I49" s="525"/>
      <c r="J49" s="526"/>
      <c r="K49" s="1752"/>
      <c r="L49" s="1752"/>
      <c r="M49" s="1752"/>
      <c r="N49" s="1752"/>
      <c r="O49" s="1752"/>
      <c r="P49" s="1752"/>
      <c r="Q49" s="1752"/>
      <c r="R49" s="1752"/>
      <c r="S49" s="1752"/>
      <c r="T49" s="1752"/>
      <c r="U49" s="1752"/>
      <c r="V49" s="1752"/>
      <c r="W49" s="1752"/>
      <c r="X49" s="1752"/>
      <c r="Y49" s="1752"/>
      <c r="Z49" s="1752"/>
      <c r="AA49" s="1752"/>
      <c r="AB49" s="1752"/>
      <c r="AC49" s="1752"/>
      <c r="AD49" s="1752"/>
      <c r="AE49" s="1752"/>
      <c r="AF49" s="1752"/>
      <c r="AG49" s="1744"/>
      <c r="AH49" s="1744"/>
      <c r="AI49" s="1744"/>
      <c r="AJ49" s="1744"/>
      <c r="AK49" s="1744"/>
      <c r="AL49" s="1744"/>
      <c r="AM49" s="1744"/>
      <c r="AN49" s="1744"/>
      <c r="AO49" s="1744"/>
      <c r="AP49" s="1744"/>
      <c r="AQ49" s="1744"/>
      <c r="AR49" s="1744"/>
      <c r="AS49" s="1744"/>
      <c r="AT49" s="1744"/>
      <c r="AU49" s="1744"/>
      <c r="AV49" s="1744"/>
      <c r="AW49" s="1744"/>
      <c r="AX49" s="1744"/>
      <c r="AY49" s="1744"/>
      <c r="AZ49" s="1744"/>
      <c r="BA49" s="1744"/>
      <c r="BB49" s="1744"/>
      <c r="BC49" s="1744"/>
      <c r="BD49" s="1744"/>
      <c r="BE49" s="1744"/>
      <c r="BF49" s="1744"/>
      <c r="BG49" s="923"/>
      <c r="BH49" s="1744"/>
      <c r="BI49" s="1744"/>
      <c r="BJ49" s="1744"/>
      <c r="BK49" s="1744"/>
      <c r="BL49" s="1744"/>
      <c r="BM49" s="1744"/>
      <c r="BN49" s="1744"/>
      <c r="BO49" s="1744"/>
      <c r="BP49" s="1744"/>
      <c r="BQ49" s="1744"/>
      <c r="BR49" s="1744"/>
      <c r="BS49" s="1744"/>
      <c r="BT49" s="1744"/>
      <c r="BU49" s="1744"/>
      <c r="BV49" s="1744"/>
      <c r="BW49" s="1744"/>
      <c r="BX49" s="1744"/>
      <c r="BY49" s="1744"/>
      <c r="BZ49" s="1744"/>
      <c r="CA49" s="1744"/>
      <c r="CB49" s="1744"/>
      <c r="CC49" s="1744"/>
      <c r="CD49" s="1744"/>
      <c r="CE49" s="1744"/>
      <c r="CF49" s="1744"/>
      <c r="CG49" s="1744"/>
      <c r="CH49" s="1744"/>
      <c r="CI49" s="1744"/>
      <c r="CJ49" s="1744"/>
      <c r="CK49" s="1744"/>
      <c r="CL49" s="1744"/>
      <c r="CM49" s="1744"/>
      <c r="CN49" s="1744"/>
      <c r="CO49" s="1744"/>
      <c r="CP49" s="1744"/>
      <c r="CQ49" s="1744"/>
      <c r="CR49" s="1744"/>
      <c r="CS49" s="1744"/>
      <c r="CT49" s="1744"/>
      <c r="CU49" s="1744"/>
      <c r="CV49" s="1744"/>
      <c r="CW49" s="1744"/>
      <c r="CX49" s="1744"/>
      <c r="CY49" s="1744"/>
      <c r="CZ49" s="1744"/>
      <c r="DA49" s="1744"/>
      <c r="DB49" s="1744"/>
      <c r="DC49" s="1744"/>
      <c r="DD49" s="1744"/>
      <c r="DE49" s="1744"/>
      <c r="DF49" s="1744"/>
      <c r="DG49" s="1744"/>
      <c r="DH49" s="1744"/>
      <c r="DI49" s="1744"/>
      <c r="DJ49" s="1746"/>
      <c r="DK49" s="1747"/>
      <c r="DL49" s="1747"/>
      <c r="DM49" s="1747"/>
      <c r="DN49" s="1747"/>
      <c r="DO49" s="1747"/>
      <c r="DP49" s="1747"/>
      <c r="DQ49" s="1747"/>
      <c r="DR49" s="1747"/>
      <c r="DS49" s="1747"/>
      <c r="DT49" s="1747"/>
      <c r="DU49" s="1747"/>
      <c r="DV49" s="1747"/>
      <c r="DW49" s="1747"/>
      <c r="DX49" s="1747"/>
      <c r="DY49" s="1747"/>
      <c r="DZ49" s="1747"/>
      <c r="EA49" s="1748"/>
      <c r="EB49" s="1749"/>
      <c r="EC49" s="1750"/>
      <c r="ED49" s="1750"/>
      <c r="EE49" s="1750"/>
      <c r="EF49" s="1750"/>
      <c r="EG49" s="1750"/>
      <c r="EH49" s="1750"/>
      <c r="EI49" s="1750"/>
      <c r="EJ49" s="1750"/>
      <c r="EK49" s="1750"/>
      <c r="EL49" s="1750"/>
      <c r="EM49" s="1750"/>
      <c r="EN49" s="1750"/>
      <c r="EO49" s="1750"/>
      <c r="EP49" s="1750"/>
      <c r="EQ49" s="1750"/>
      <c r="ER49" s="1750"/>
      <c r="ES49" s="1750"/>
      <c r="ET49" s="1751"/>
      <c r="EU49" s="923" t="s">
        <v>177</v>
      </c>
      <c r="EV49" s="923" t="s">
        <v>177</v>
      </c>
      <c r="EW49" s="923" t="s">
        <v>177</v>
      </c>
      <c r="EX49" s="817"/>
      <c r="EY49" s="818"/>
      <c r="EZ49" s="1743"/>
      <c r="FA49" s="1743"/>
      <c r="FB49" s="1743"/>
      <c r="FC49" s="1743"/>
      <c r="FD49" s="1743"/>
      <c r="FE49" s="1743"/>
      <c r="FF49" s="1743"/>
      <c r="FG49" s="1743"/>
      <c r="FH49" s="1743"/>
      <c r="FI49" s="1743"/>
      <c r="FJ49" s="1743"/>
      <c r="FK49" s="1743"/>
      <c r="FL49" s="1743"/>
      <c r="FM49" s="1743"/>
      <c r="FN49" s="1743"/>
      <c r="FO49" s="1743"/>
      <c r="FP49" s="1743"/>
      <c r="FQ49" s="1743"/>
      <c r="FR49" s="1743"/>
      <c r="FS49" s="1743"/>
      <c r="FT49" s="1743"/>
      <c r="FU49" s="1743"/>
      <c r="FV49" s="1743"/>
      <c r="FW49" s="1744" t="s">
        <v>177</v>
      </c>
      <c r="FX49" s="1744"/>
      <c r="FY49" s="1744"/>
      <c r="FZ49" s="1744"/>
      <c r="GA49" s="1744"/>
      <c r="GB49" s="1744"/>
      <c r="GC49" s="1744"/>
      <c r="GD49" s="1744"/>
      <c r="GE49" s="1744"/>
      <c r="GF49" s="1744"/>
      <c r="GG49" s="1744"/>
      <c r="GH49" s="1744"/>
      <c r="GI49" s="1744" t="s">
        <v>177</v>
      </c>
      <c r="GJ49" s="1744"/>
      <c r="GK49" s="1744"/>
      <c r="GL49" s="1744"/>
      <c r="GM49" s="1744"/>
      <c r="GN49" s="1744"/>
      <c r="GO49" s="1744"/>
      <c r="GP49" s="1744"/>
      <c r="GQ49" s="1744"/>
      <c r="GR49" s="1744"/>
      <c r="GS49" s="1744"/>
      <c r="GT49" s="1744"/>
      <c r="GU49" s="1743"/>
      <c r="GV49" s="1743"/>
      <c r="GW49" s="1743"/>
      <c r="GX49" s="1743"/>
      <c r="GY49" s="1743"/>
      <c r="GZ49" s="1743"/>
      <c r="HA49" s="1743"/>
      <c r="HB49" s="1743"/>
      <c r="HC49" s="1743"/>
      <c r="HD49" s="1743"/>
      <c r="HE49" s="1743"/>
      <c r="HF49" s="1743"/>
      <c r="HG49" s="1743"/>
      <c r="HH49" s="1743"/>
      <c r="HI49" s="1743"/>
      <c r="HJ49" s="1743"/>
      <c r="HK49" s="1743"/>
      <c r="HL49" s="1743"/>
      <c r="HM49" s="1743"/>
      <c r="HN49" s="1743"/>
      <c r="HO49" s="1743"/>
      <c r="HP49" s="1743"/>
      <c r="HQ49" s="1743"/>
      <c r="HR49" s="1743"/>
      <c r="HS49" s="1744" t="s">
        <v>177</v>
      </c>
      <c r="HT49" s="1744"/>
      <c r="HU49" s="1744"/>
      <c r="HV49" s="1744"/>
      <c r="HW49" s="1744"/>
      <c r="HX49" s="1744"/>
      <c r="HY49" s="1744"/>
      <c r="HZ49" s="1744"/>
      <c r="IA49" s="1744"/>
      <c r="IB49" s="1744"/>
      <c r="IC49" s="1744"/>
      <c r="ID49" s="1744"/>
      <c r="IE49" s="1744" t="s">
        <v>177</v>
      </c>
      <c r="IF49" s="1744"/>
      <c r="IG49" s="1744"/>
      <c r="IH49" s="1744"/>
      <c r="II49" s="1744"/>
      <c r="IJ49" s="1744"/>
      <c r="IK49" s="1744"/>
      <c r="IL49" s="1744"/>
      <c r="IM49" s="1744"/>
      <c r="IN49" s="1744"/>
      <c r="IO49" s="1744"/>
      <c r="IP49" s="527"/>
    </row>
    <row r="50" spans="1:250" ht="12.75">
      <c r="A50" s="505" t="s">
        <v>93</v>
      </c>
      <c r="B50" s="505"/>
      <c r="C50" s="505"/>
      <c r="D50" s="505"/>
      <c r="E50" s="505"/>
      <c r="F50" s="505"/>
      <c r="G50" s="505"/>
      <c r="H50" s="505"/>
      <c r="I50" s="505"/>
      <c r="J50" s="505"/>
      <c r="K50" s="498"/>
      <c r="L50" s="498"/>
      <c r="M50" s="498"/>
      <c r="N50" s="498"/>
      <c r="O50" s="498"/>
      <c r="P50" s="498"/>
      <c r="Q50" s="498"/>
      <c r="R50" s="498"/>
      <c r="S50" s="498"/>
      <c r="T50" s="498"/>
      <c r="U50" s="498"/>
      <c r="V50" s="498"/>
      <c r="W50" s="498"/>
      <c r="X50" s="498"/>
      <c r="Y50" s="498"/>
      <c r="Z50" s="498"/>
      <c r="AA50" s="498"/>
      <c r="AB50" s="498"/>
      <c r="AC50" s="498"/>
      <c r="AD50" s="498"/>
      <c r="AE50" s="498"/>
      <c r="AF50" s="498"/>
      <c r="AG50" s="499"/>
      <c r="AH50" s="499"/>
      <c r="AI50" s="499"/>
      <c r="AJ50" s="499"/>
      <c r="AK50" s="499"/>
      <c r="AL50" s="499"/>
      <c r="AM50" s="499"/>
      <c r="AN50" s="499"/>
      <c r="AO50" s="499"/>
      <c r="AP50" s="499"/>
      <c r="AQ50" s="499"/>
      <c r="AR50" s="499"/>
      <c r="AS50" s="499"/>
      <c r="AT50" s="499"/>
      <c r="AU50" s="499"/>
      <c r="AV50" s="499"/>
      <c r="AW50" s="499"/>
      <c r="AX50" s="499"/>
      <c r="AY50" s="499"/>
      <c r="AZ50" s="499"/>
      <c r="BA50" s="499"/>
      <c r="BB50" s="499"/>
      <c r="BC50" s="499"/>
      <c r="BD50" s="499"/>
      <c r="BE50" s="499"/>
      <c r="BF50" s="499"/>
      <c r="BG50" s="499"/>
      <c r="BH50" s="505"/>
      <c r="BI50" s="505"/>
      <c r="BJ50" s="505"/>
      <c r="BK50" s="505"/>
      <c r="BL50" s="505"/>
      <c r="BM50" s="505"/>
      <c r="BN50" s="505"/>
      <c r="BO50" s="505"/>
      <c r="BP50" s="505"/>
      <c r="BQ50" s="505"/>
      <c r="BR50" s="505"/>
      <c r="BS50" s="505"/>
      <c r="BT50" s="505"/>
      <c r="BU50" s="505"/>
      <c r="BV50" s="505"/>
      <c r="BW50" s="505"/>
      <c r="BX50" s="505"/>
      <c r="BY50" s="505"/>
      <c r="BZ50" s="505"/>
      <c r="CA50" s="505"/>
      <c r="CB50" s="505"/>
      <c r="CC50" s="505"/>
      <c r="CD50" s="505"/>
      <c r="CE50" s="505"/>
      <c r="CF50" s="505"/>
      <c r="CG50" s="505"/>
      <c r="CH50" s="505"/>
      <c r="CI50" s="505"/>
      <c r="CJ50" s="505"/>
      <c r="CK50" s="505"/>
      <c r="CL50" s="505"/>
      <c r="CM50" s="505"/>
      <c r="CN50" s="505"/>
      <c r="CO50" s="505"/>
      <c r="CP50" s="505"/>
      <c r="CQ50" s="505"/>
      <c r="CR50" s="500"/>
      <c r="CS50" s="500"/>
      <c r="CT50" s="500"/>
      <c r="CU50" s="500"/>
      <c r="CV50" s="500"/>
      <c r="CW50" s="500"/>
      <c r="CX50" s="500"/>
      <c r="CY50" s="500"/>
      <c r="CZ50" s="500"/>
      <c r="DA50" s="500"/>
      <c r="DB50" s="500"/>
      <c r="DC50" s="500"/>
      <c r="DD50" s="500"/>
      <c r="DE50" s="500"/>
      <c r="DF50" s="500"/>
      <c r="DG50" s="500"/>
      <c r="DH50" s="500"/>
      <c r="DI50" s="500"/>
      <c r="DJ50" s="500"/>
      <c r="DK50" s="500"/>
      <c r="DL50" s="500"/>
      <c r="DM50" s="500"/>
      <c r="DN50" s="500"/>
      <c r="DO50" s="500"/>
      <c r="DP50" s="500"/>
      <c r="DQ50" s="500"/>
      <c r="DR50" s="500"/>
      <c r="DS50" s="500"/>
      <c r="DT50" s="500"/>
      <c r="DU50" s="500"/>
      <c r="DV50" s="500"/>
      <c r="DW50" s="500"/>
      <c r="DX50" s="500"/>
      <c r="DY50" s="500"/>
      <c r="DZ50" s="500"/>
      <c r="EA50" s="500"/>
      <c r="EB50" s="500"/>
      <c r="EC50" s="500"/>
      <c r="ED50" s="500"/>
      <c r="EE50" s="500"/>
      <c r="EF50" s="500"/>
      <c r="EG50" s="500"/>
      <c r="EH50" s="500"/>
      <c r="EI50" s="500"/>
      <c r="EJ50" s="500"/>
      <c r="EK50" s="500"/>
      <c r="EL50" s="500"/>
      <c r="EM50" s="500"/>
      <c r="EN50" s="500"/>
      <c r="EO50" s="500"/>
      <c r="EP50" s="500"/>
      <c r="EQ50" s="500"/>
      <c r="ER50" s="500"/>
      <c r="ES50" s="500"/>
      <c r="ET50" s="500"/>
      <c r="EU50" s="501"/>
      <c r="EV50" s="501"/>
      <c r="EW50" s="501"/>
      <c r="EX50" s="502"/>
      <c r="EY50" s="503"/>
      <c r="EZ50" s="497"/>
      <c r="FA50" s="497"/>
      <c r="FB50" s="497"/>
      <c r="FC50" s="497"/>
      <c r="FD50" s="497"/>
      <c r="FE50" s="497"/>
      <c r="FF50" s="497"/>
      <c r="FG50" s="497"/>
      <c r="FH50" s="497"/>
      <c r="FI50" s="497"/>
      <c r="FJ50" s="497"/>
      <c r="FK50" s="496"/>
      <c r="FL50" s="496"/>
      <c r="FM50" s="496"/>
      <c r="FN50" s="496"/>
      <c r="FO50" s="496"/>
      <c r="FP50" s="496"/>
      <c r="FQ50" s="496"/>
      <c r="FR50" s="496"/>
      <c r="FS50" s="496"/>
      <c r="FT50" s="496"/>
      <c r="FU50" s="496"/>
      <c r="FV50" s="496"/>
      <c r="FW50" s="504"/>
      <c r="FX50" s="504"/>
      <c r="FY50" s="504"/>
      <c r="FZ50" s="504"/>
      <c r="GA50" s="504"/>
      <c r="GB50" s="504"/>
      <c r="GC50" s="504"/>
      <c r="GD50" s="504"/>
      <c r="GE50" s="504"/>
      <c r="GF50" s="504"/>
      <c r="GG50" s="504"/>
      <c r="GH50" s="504"/>
      <c r="GI50" s="504"/>
      <c r="GJ50" s="504"/>
      <c r="GK50" s="504"/>
      <c r="GL50" s="504"/>
      <c r="GM50" s="504"/>
      <c r="GN50" s="504"/>
      <c r="GO50" s="504"/>
      <c r="GP50" s="504"/>
      <c r="GQ50" s="504"/>
      <c r="GR50" s="504"/>
      <c r="GS50" s="504"/>
      <c r="GT50" s="504"/>
      <c r="GU50" s="496"/>
      <c r="GV50" s="496"/>
      <c r="GW50" s="496"/>
      <c r="GX50" s="496"/>
      <c r="GY50" s="496"/>
      <c r="GZ50" s="496"/>
      <c r="HA50" s="496"/>
      <c r="HB50" s="496"/>
      <c r="HC50" s="496"/>
      <c r="HD50" s="496"/>
      <c r="HE50" s="496"/>
      <c r="HF50" s="496"/>
      <c r="HG50" s="496"/>
      <c r="HH50" s="496"/>
      <c r="HI50" s="496"/>
      <c r="HJ50" s="496"/>
      <c r="HK50" s="496"/>
      <c r="HL50" s="496"/>
      <c r="HM50" s="496"/>
      <c r="HN50" s="496"/>
      <c r="HO50" s="496"/>
      <c r="HP50" s="496"/>
      <c r="HQ50" s="496"/>
      <c r="HR50" s="496"/>
      <c r="HS50" s="504"/>
      <c r="HT50" s="504"/>
      <c r="HU50" s="504"/>
      <c r="HV50" s="504"/>
      <c r="HW50" s="504"/>
      <c r="HX50" s="504"/>
      <c r="HY50" s="504"/>
      <c r="HZ50" s="504"/>
      <c r="IA50" s="504"/>
      <c r="IB50" s="504"/>
      <c r="IC50" s="504"/>
      <c r="ID50" s="504"/>
      <c r="IE50" s="504"/>
      <c r="IF50" s="504"/>
      <c r="IG50" s="504"/>
      <c r="IH50" s="504"/>
      <c r="II50" s="504"/>
      <c r="IJ50" s="504"/>
      <c r="IK50" s="504"/>
      <c r="IL50" s="504"/>
      <c r="IM50" s="504"/>
      <c r="IN50" s="504"/>
      <c r="IO50" s="504"/>
    </row>
    <row r="51" spans="1:250" s="508" customFormat="1" ht="13.5">
      <c r="A51" s="814" t="s">
        <v>122</v>
      </c>
      <c r="B51" s="513"/>
      <c r="C51" s="513"/>
      <c r="D51" s="513"/>
      <c r="E51" s="513"/>
      <c r="F51" s="513"/>
      <c r="G51" s="513"/>
      <c r="H51" s="513"/>
      <c r="I51" s="513"/>
      <c r="J51" s="513"/>
      <c r="K51" s="513"/>
      <c r="L51" s="513"/>
      <c r="M51" s="513"/>
      <c r="N51" s="513"/>
      <c r="O51" s="513"/>
      <c r="P51" s="513"/>
      <c r="Q51" s="513" t="s">
        <v>602</v>
      </c>
      <c r="R51" s="513"/>
      <c r="S51" s="513"/>
      <c r="T51" s="513"/>
      <c r="U51" s="513"/>
      <c r="V51" s="513"/>
      <c r="W51" s="513"/>
      <c r="X51" s="513"/>
      <c r="Y51" s="513"/>
      <c r="Z51" s="513"/>
      <c r="AA51" s="513"/>
      <c r="AB51" s="513"/>
      <c r="AC51" s="513"/>
      <c r="AD51" s="513"/>
      <c r="AE51" s="513"/>
      <c r="AF51" s="513"/>
      <c r="AG51" s="513"/>
      <c r="AH51" s="513"/>
      <c r="AI51" s="513"/>
      <c r="AJ51" s="513"/>
      <c r="AK51" s="513"/>
      <c r="AL51" s="513"/>
      <c r="AM51" s="513"/>
      <c r="AN51" s="513"/>
      <c r="AO51" s="513"/>
      <c r="AP51" s="513"/>
      <c r="AQ51" s="513"/>
      <c r="AR51" s="928"/>
      <c r="AS51" s="515"/>
      <c r="AT51" s="515"/>
      <c r="AU51" s="515"/>
      <c r="AV51" s="1745" t="s">
        <v>51</v>
      </c>
      <c r="AW51" s="1745"/>
      <c r="AX51" s="1745"/>
      <c r="AY51" s="1745"/>
      <c r="AZ51" s="1745"/>
      <c r="BA51" s="1745"/>
      <c r="BB51" s="1745"/>
      <c r="BC51" s="1745"/>
      <c r="BD51" s="1745"/>
      <c r="BE51" s="1745"/>
      <c r="BF51" s="1745"/>
      <c r="BG51" s="1745"/>
      <c r="BH51" s="1745"/>
      <c r="BI51" s="1745"/>
      <c r="BJ51" s="1745"/>
      <c r="BK51" s="1745"/>
      <c r="BL51" s="1745"/>
      <c r="BM51" s="1745"/>
      <c r="BN51" s="1745"/>
      <c r="BO51" s="1745"/>
      <c r="BP51" s="1745"/>
      <c r="BQ51" s="1745"/>
      <c r="BR51" s="1745"/>
      <c r="BS51" s="1745"/>
      <c r="BT51" s="1745"/>
      <c r="BU51" s="1745"/>
      <c r="BV51" s="1745"/>
      <c r="BW51" s="1745"/>
      <c r="BX51" s="1745"/>
      <c r="BY51" s="1745"/>
      <c r="BZ51" s="1745"/>
      <c r="CA51" s="1745"/>
      <c r="CB51" s="1745"/>
      <c r="CC51" s="1745"/>
      <c r="CD51" s="1745"/>
      <c r="CE51" s="1745"/>
      <c r="CF51" s="1745"/>
      <c r="CG51" s="1745"/>
      <c r="CH51" s="1745"/>
      <c r="CI51" s="1745"/>
      <c r="CJ51" s="1745"/>
      <c r="CK51" s="1745"/>
      <c r="CL51" s="1745"/>
      <c r="CM51" s="1745"/>
      <c r="CN51" s="1745"/>
      <c r="CO51" s="1745"/>
      <c r="CP51" s="1745"/>
      <c r="CQ51" s="1745"/>
      <c r="CR51" s="1745"/>
      <c r="CS51" s="1745"/>
      <c r="CT51" s="1745"/>
      <c r="CU51" s="1745"/>
      <c r="CV51" s="1745"/>
      <c r="CW51" s="1745"/>
      <c r="CX51" s="1745"/>
      <c r="CY51" s="1745"/>
      <c r="CZ51" s="1745"/>
      <c r="DA51" s="1745"/>
      <c r="DB51" s="1745"/>
      <c r="DC51" s="1745"/>
      <c r="DD51" s="1745"/>
      <c r="DE51" s="1745"/>
      <c r="DF51" s="1745"/>
      <c r="DG51" s="1745"/>
      <c r="DH51" s="1745"/>
      <c r="DI51" s="1745"/>
      <c r="DJ51" s="1745"/>
      <c r="DK51" s="1745"/>
      <c r="DL51" s="1745"/>
      <c r="DM51" s="1745"/>
      <c r="DN51" s="1745"/>
      <c r="DO51" s="1745"/>
      <c r="DP51" s="1745"/>
      <c r="DQ51" s="1745"/>
      <c r="DR51" s="1745"/>
      <c r="DS51" s="1745"/>
      <c r="DT51" s="1745"/>
      <c r="DU51" s="1745"/>
      <c r="DV51" s="1745"/>
      <c r="DW51" s="1745"/>
      <c r="DX51" s="1745"/>
      <c r="DY51" s="1745"/>
      <c r="DZ51" s="1745"/>
      <c r="EA51" s="1745"/>
      <c r="EB51" s="1745"/>
      <c r="EC51" s="1745"/>
      <c r="ED51" s="1745"/>
      <c r="EE51" s="1745"/>
      <c r="EF51" s="1745"/>
      <c r="EG51" s="1745"/>
      <c r="EH51" s="1745"/>
      <c r="EI51" s="1745"/>
      <c r="EJ51" s="1745"/>
      <c r="EK51" s="1745"/>
      <c r="EL51" s="1745"/>
      <c r="EM51" s="1745"/>
      <c r="EN51" s="1745"/>
      <c r="EO51" s="1745"/>
      <c r="EP51" s="1745"/>
      <c r="EQ51" s="1745"/>
      <c r="ER51" s="1745"/>
      <c r="ES51" s="1745"/>
      <c r="ET51" s="1745"/>
      <c r="EU51" s="521"/>
      <c r="EV51" s="521"/>
      <c r="EW51" s="521"/>
      <c r="EX51" s="521"/>
      <c r="EY51" s="521"/>
      <c r="EZ51" s="521"/>
      <c r="FA51" s="521"/>
      <c r="FB51" s="521"/>
      <c r="FC51" s="521"/>
      <c r="FD51" s="521"/>
      <c r="FE51" s="521"/>
      <c r="FF51" s="521"/>
      <c r="FG51" s="521"/>
      <c r="FH51" s="521"/>
      <c r="FI51" s="521"/>
      <c r="FJ51" s="521"/>
      <c r="FK51" s="521"/>
      <c r="FL51" s="521"/>
      <c r="FM51" s="521"/>
      <c r="FN51" s="521"/>
      <c r="FO51" s="521"/>
      <c r="FP51" s="521"/>
      <c r="FQ51" s="521"/>
      <c r="FR51" s="521"/>
      <c r="FS51" s="521"/>
      <c r="FT51" s="521"/>
      <c r="FU51" s="521"/>
      <c r="FV51" s="521"/>
      <c r="FW51" s="521"/>
      <c r="FX51" s="521"/>
      <c r="FY51" s="521"/>
      <c r="FZ51" s="521"/>
      <c r="GA51" s="521"/>
      <c r="GB51" s="521"/>
      <c r="GC51" s="521"/>
      <c r="GD51" s="521"/>
      <c r="GE51" s="521"/>
      <c r="GF51" s="521"/>
      <c r="GG51" s="521"/>
      <c r="GH51" s="521"/>
      <c r="GI51" s="521"/>
      <c r="GJ51" s="521"/>
      <c r="GK51" s="521"/>
      <c r="GL51" s="521"/>
      <c r="GM51" s="521"/>
      <c r="GN51" s="521"/>
      <c r="GO51" s="521"/>
      <c r="GP51" s="521"/>
      <c r="GQ51" s="521"/>
      <c r="GR51" s="521"/>
      <c r="GS51" s="521"/>
      <c r="GT51" s="521"/>
      <c r="GU51" s="521"/>
      <c r="GV51" s="521"/>
      <c r="GW51" s="521"/>
      <c r="GX51" s="521"/>
      <c r="GY51" s="521"/>
      <c r="GZ51" s="521"/>
      <c r="HA51" s="521"/>
      <c r="HB51" s="521"/>
      <c r="HC51" s="521"/>
      <c r="HD51" s="521"/>
      <c r="HE51" s="521"/>
      <c r="HF51" s="521"/>
      <c r="HG51" s="521"/>
      <c r="HH51" s="521"/>
      <c r="HI51" s="521"/>
      <c r="HJ51" s="521"/>
      <c r="HK51" s="521"/>
      <c r="HL51" s="521"/>
      <c r="HM51" s="521"/>
      <c r="HN51" s="521"/>
      <c r="HO51" s="521"/>
      <c r="HP51" s="521"/>
      <c r="HQ51" s="521"/>
      <c r="HR51" s="521"/>
      <c r="HS51" s="521"/>
      <c r="HT51" s="521"/>
      <c r="HU51" s="521"/>
      <c r="HV51" s="521"/>
      <c r="HW51" s="521"/>
      <c r="HX51" s="521"/>
      <c r="HY51" s="521"/>
      <c r="HZ51" s="521"/>
      <c r="IA51" s="521"/>
      <c r="IB51" s="521"/>
      <c r="IC51" s="521"/>
      <c r="ID51" s="521"/>
      <c r="IE51" s="521"/>
      <c r="IF51" s="521"/>
      <c r="IG51" s="521"/>
      <c r="IH51" s="521"/>
      <c r="II51" s="521"/>
      <c r="IJ51" s="521"/>
      <c r="IK51" s="521"/>
      <c r="IL51" s="521"/>
      <c r="IM51" s="521"/>
      <c r="IN51" s="521"/>
      <c r="IO51" s="521"/>
    </row>
    <row r="52" spans="1:250" s="508" customFormat="1" ht="12.75">
      <c r="A52" s="521"/>
      <c r="B52" s="521"/>
      <c r="C52" s="521"/>
      <c r="D52" s="521"/>
      <c r="E52" s="521"/>
      <c r="F52" s="521"/>
      <c r="G52" s="521"/>
      <c r="H52" s="521"/>
      <c r="I52" s="521"/>
      <c r="J52" s="521"/>
      <c r="K52" s="521"/>
      <c r="L52" s="521"/>
      <c r="M52" s="521"/>
      <c r="N52" s="521"/>
      <c r="O52" s="521"/>
      <c r="P52" s="521"/>
      <c r="Q52" s="521"/>
      <c r="R52" s="521"/>
      <c r="S52" s="521"/>
      <c r="T52" s="521"/>
      <c r="U52" s="521"/>
      <c r="V52" s="521"/>
      <c r="W52" s="521"/>
      <c r="X52" s="521"/>
      <c r="Y52" s="521"/>
      <c r="Z52" s="521"/>
      <c r="AA52" s="521"/>
      <c r="AB52" s="521"/>
      <c r="AC52" s="521"/>
      <c r="AD52" s="521"/>
      <c r="AE52" s="521"/>
      <c r="AF52" s="521"/>
      <c r="AG52" s="521"/>
      <c r="AH52" s="521"/>
      <c r="AI52" s="521"/>
      <c r="AJ52" s="521"/>
      <c r="AK52" s="521"/>
      <c r="AL52" s="521"/>
      <c r="AM52" s="521"/>
      <c r="AN52" s="521"/>
      <c r="AO52" s="521"/>
      <c r="AP52" s="521"/>
      <c r="AQ52" s="521"/>
      <c r="AR52" s="521"/>
      <c r="AS52" s="1724" t="s">
        <v>118</v>
      </c>
      <c r="AT52" s="1724"/>
      <c r="AU52" s="1724"/>
      <c r="AV52" s="1724"/>
      <c r="AW52" s="1724"/>
      <c r="AX52" s="1724"/>
      <c r="AY52" s="1724"/>
      <c r="AZ52" s="1724"/>
      <c r="BA52" s="1724"/>
      <c r="BB52" s="1724"/>
      <c r="BC52" s="1724"/>
      <c r="BD52" s="1724"/>
      <c r="BE52" s="1724"/>
      <c r="BF52" s="1724"/>
      <c r="BG52" s="1724"/>
      <c r="BH52" s="1724"/>
      <c r="BI52" s="1724"/>
      <c r="BJ52" s="1724"/>
      <c r="BK52" s="1724"/>
      <c r="BL52" s="1724"/>
      <c r="BM52" s="1724"/>
      <c r="BN52" s="1724"/>
      <c r="BO52" s="1724"/>
      <c r="BP52" s="1724"/>
      <c r="BQ52" s="1724"/>
      <c r="BR52" s="1724"/>
      <c r="BS52" s="1724"/>
      <c r="BT52" s="1724"/>
      <c r="BU52" s="1724"/>
      <c r="BV52" s="1724"/>
      <c r="BW52" s="1724"/>
      <c r="BX52" s="1724"/>
      <c r="BY52" s="1724"/>
      <c r="BZ52" s="1724"/>
      <c r="CA52" s="1724"/>
      <c r="CB52" s="1724"/>
      <c r="CC52" s="1724"/>
      <c r="CD52" s="1724"/>
      <c r="CE52" s="1724"/>
      <c r="CF52" s="1724"/>
      <c r="CG52" s="1724"/>
      <c r="CH52" s="1724"/>
      <c r="CI52" s="1724"/>
      <c r="CJ52" s="1724"/>
      <c r="CK52" s="1724"/>
      <c r="CL52" s="1724"/>
      <c r="CM52" s="1724"/>
      <c r="CN52" s="1724"/>
      <c r="CO52" s="1724"/>
      <c r="CP52" s="1724"/>
      <c r="CQ52" s="1724"/>
      <c r="CR52" s="1724"/>
      <c r="CS52" s="1724"/>
      <c r="CT52" s="1724"/>
      <c r="CU52" s="1724"/>
      <c r="CV52" s="1724"/>
      <c r="CW52" s="1724"/>
      <c r="CX52" s="1724"/>
      <c r="CY52" s="1724"/>
      <c r="CZ52" s="1724"/>
      <c r="DA52" s="1724"/>
      <c r="DB52" s="1724"/>
      <c r="DC52" s="1724"/>
      <c r="DD52" s="1724"/>
      <c r="DE52" s="1724"/>
      <c r="DF52" s="1724"/>
      <c r="DG52" s="1724"/>
      <c r="DH52" s="1724"/>
      <c r="DI52" s="1724"/>
      <c r="DJ52" s="1724"/>
      <c r="DK52" s="1724"/>
      <c r="DL52" s="1724"/>
      <c r="DM52" s="1724"/>
      <c r="DN52" s="1724"/>
      <c r="DO52" s="1724"/>
      <c r="DP52" s="1724"/>
      <c r="DQ52" s="1724"/>
      <c r="DR52" s="1724"/>
      <c r="DS52" s="1724"/>
      <c r="DT52" s="1724"/>
      <c r="DU52" s="1724"/>
      <c r="DV52" s="1724"/>
      <c r="DW52" s="1724"/>
      <c r="DX52" s="1724"/>
      <c r="DY52" s="1724"/>
      <c r="DZ52" s="1724"/>
      <c r="EA52" s="1724"/>
      <c r="EB52" s="1724"/>
      <c r="EC52" s="1724"/>
      <c r="ED52" s="1724"/>
      <c r="EE52" s="1724"/>
      <c r="EF52" s="1724"/>
      <c r="EG52" s="1724"/>
      <c r="EH52" s="1724"/>
      <c r="EI52" s="1724"/>
      <c r="EJ52" s="1724"/>
      <c r="EK52" s="1724"/>
      <c r="EL52" s="1724"/>
      <c r="EM52" s="1724"/>
      <c r="EN52" s="1724"/>
      <c r="EO52" s="1724"/>
      <c r="EP52" s="1724"/>
      <c r="EQ52" s="1724"/>
      <c r="ER52" s="1724"/>
      <c r="ES52" s="1724"/>
      <c r="ET52" s="1724"/>
      <c r="EU52" s="521"/>
      <c r="EV52" s="521"/>
      <c r="EW52" s="521"/>
      <c r="EX52" s="521"/>
      <c r="EY52" s="521"/>
      <c r="EZ52" s="521"/>
      <c r="FA52" s="521"/>
      <c r="FB52" s="521"/>
      <c r="FC52" s="521"/>
      <c r="FD52" s="521"/>
      <c r="FE52" s="521"/>
      <c r="FF52" s="521"/>
      <c r="FG52" s="521"/>
      <c r="FH52" s="521"/>
      <c r="FI52" s="521"/>
      <c r="FJ52" s="521"/>
      <c r="FK52" s="521"/>
      <c r="FL52" s="521"/>
      <c r="FM52" s="521"/>
      <c r="FN52" s="521"/>
      <c r="FO52" s="521"/>
      <c r="FP52" s="521"/>
      <c r="FQ52" s="521"/>
      <c r="FR52" s="521"/>
      <c r="FS52" s="521"/>
      <c r="FT52" s="521"/>
      <c r="FU52" s="521"/>
      <c r="FV52" s="521"/>
      <c r="FW52" s="521"/>
      <c r="FX52" s="521"/>
      <c r="FY52" s="521"/>
      <c r="FZ52" s="521"/>
      <c r="GA52" s="521"/>
      <c r="GB52" s="521"/>
      <c r="GC52" s="521"/>
      <c r="GD52" s="521"/>
      <c r="GE52" s="521"/>
      <c r="GF52" s="521"/>
      <c r="GG52" s="521"/>
      <c r="GH52" s="521"/>
      <c r="GI52" s="521"/>
      <c r="GJ52" s="521"/>
      <c r="GK52" s="521"/>
      <c r="GL52" s="521"/>
      <c r="GM52" s="521"/>
      <c r="GN52" s="521"/>
      <c r="GO52" s="521"/>
      <c r="GP52" s="521"/>
      <c r="GQ52" s="521"/>
      <c r="GR52" s="521"/>
      <c r="GS52" s="521"/>
      <c r="GT52" s="521"/>
      <c r="GU52" s="521"/>
      <c r="GV52" s="521"/>
      <c r="GW52" s="521"/>
      <c r="GX52" s="521"/>
      <c r="GY52" s="521"/>
      <c r="GZ52" s="521"/>
      <c r="HA52" s="521"/>
      <c r="HB52" s="521"/>
      <c r="HC52" s="521"/>
      <c r="HD52" s="521"/>
      <c r="HE52" s="521"/>
      <c r="HF52" s="521"/>
      <c r="HG52" s="521"/>
      <c r="HH52" s="521"/>
      <c r="HI52" s="521"/>
      <c r="HJ52" s="521"/>
      <c r="HK52" s="521"/>
      <c r="HL52" s="521"/>
      <c r="HM52" s="521"/>
      <c r="HN52" s="521"/>
      <c r="HO52" s="521"/>
      <c r="HP52" s="521"/>
      <c r="HQ52" s="521"/>
      <c r="HR52" s="521"/>
      <c r="HS52" s="521"/>
      <c r="HT52" s="521"/>
      <c r="HU52" s="521"/>
      <c r="HV52" s="521"/>
      <c r="HW52" s="521"/>
      <c r="HX52" s="521"/>
      <c r="HY52" s="521"/>
      <c r="HZ52" s="521"/>
      <c r="IA52" s="521"/>
      <c r="IB52" s="521"/>
      <c r="IC52" s="521"/>
      <c r="ID52" s="521"/>
      <c r="IE52" s="521"/>
      <c r="IF52" s="521"/>
      <c r="IG52" s="521"/>
      <c r="IH52" s="521"/>
      <c r="II52" s="521"/>
      <c r="IJ52" s="521"/>
      <c r="IK52" s="521"/>
      <c r="IL52" s="521"/>
      <c r="IM52" s="521"/>
      <c r="IN52" s="521"/>
      <c r="IO52" s="521"/>
    </row>
    <row r="53" spans="1:250" s="508" customFormat="1" ht="12.75">
      <c r="A53" s="513" t="s">
        <v>390</v>
      </c>
      <c r="B53" s="509"/>
      <c r="C53" s="509"/>
      <c r="D53" s="509"/>
      <c r="E53" s="509"/>
      <c r="F53" s="509"/>
      <c r="G53" s="509"/>
      <c r="H53" s="509"/>
      <c r="I53" s="509"/>
      <c r="J53" s="509"/>
      <c r="K53" s="509"/>
      <c r="L53" s="509"/>
      <c r="M53" s="509"/>
      <c r="N53" s="509"/>
      <c r="O53" s="509"/>
      <c r="P53" s="509"/>
      <c r="Q53" s="509"/>
      <c r="R53" s="509"/>
      <c r="S53" s="509"/>
      <c r="T53" s="509"/>
      <c r="U53" s="509"/>
      <c r="V53" s="509"/>
      <c r="W53" s="509"/>
      <c r="X53" s="509"/>
      <c r="Y53" s="509"/>
      <c r="Z53" s="509"/>
      <c r="AA53" s="509"/>
      <c r="AB53" s="509"/>
      <c r="AC53" s="509"/>
      <c r="AD53" s="509"/>
      <c r="AE53" s="509"/>
      <c r="AF53" s="509"/>
      <c r="AG53" s="509"/>
      <c r="AH53" s="512"/>
      <c r="AI53" s="489"/>
      <c r="AJ53" s="489"/>
      <c r="AK53" s="489"/>
      <c r="AL53" s="1723"/>
      <c r="AM53" s="1723"/>
      <c r="AN53" s="1723"/>
      <c r="AO53" s="1723"/>
      <c r="AP53" s="1723"/>
      <c r="AQ53" s="1723"/>
      <c r="AR53" s="1723"/>
      <c r="AS53" s="1723"/>
      <c r="AT53" s="1723"/>
      <c r="AU53" s="1723"/>
      <c r="AV53" s="1723"/>
      <c r="AW53" s="1723"/>
      <c r="AX53" s="1723"/>
      <c r="AY53" s="1723"/>
      <c r="AZ53" s="1723"/>
      <c r="BA53" s="1723"/>
      <c r="BB53" s="1723"/>
      <c r="BC53" s="1723"/>
      <c r="BD53" s="1723"/>
      <c r="BE53" s="1723"/>
      <c r="BF53" s="1723"/>
      <c r="BG53" s="1723"/>
      <c r="BH53" s="1723"/>
      <c r="BI53" s="1723"/>
      <c r="BJ53" s="1723"/>
      <c r="BK53" s="1723"/>
      <c r="BL53" s="1723"/>
      <c r="BM53" s="1723"/>
      <c r="BN53" s="1723"/>
      <c r="BO53" s="1723"/>
      <c r="BP53" s="1723"/>
      <c r="BQ53" s="1723"/>
      <c r="BR53" s="1723"/>
      <c r="BS53" s="1723"/>
      <c r="BT53" s="1723"/>
      <c r="BU53" s="1723"/>
      <c r="BV53" s="1723"/>
      <c r="BW53" s="1723"/>
      <c r="BX53" s="1723"/>
      <c r="BY53" s="1723"/>
      <c r="BZ53" s="1723"/>
      <c r="CA53" s="1723"/>
      <c r="CB53" s="1723"/>
      <c r="CC53" s="1723"/>
      <c r="CD53" s="1723"/>
      <c r="CE53" s="1723"/>
      <c r="CF53" s="1723"/>
      <c r="CG53" s="1723"/>
      <c r="CH53" s="1723"/>
      <c r="CI53" s="1723"/>
      <c r="CJ53" s="1723"/>
      <c r="CK53" s="1723"/>
      <c r="CL53" s="1723"/>
      <c r="CM53" s="1723"/>
      <c r="CN53" s="1723"/>
      <c r="CO53" s="1723"/>
      <c r="CP53" s="1723"/>
      <c r="CQ53" s="1723"/>
      <c r="CR53" s="1723"/>
      <c r="CS53" s="1723"/>
      <c r="CT53" s="1723"/>
      <c r="CU53" s="1723"/>
      <c r="CV53" s="1723"/>
      <c r="CW53" s="1723"/>
      <c r="CX53" s="1723"/>
      <c r="CY53" s="1723"/>
      <c r="CZ53" s="1723"/>
      <c r="DA53" s="1723"/>
      <c r="DB53" s="1723"/>
      <c r="DC53" s="1723"/>
      <c r="DD53" s="1723"/>
      <c r="DE53" s="1723"/>
      <c r="DF53" s="1723"/>
      <c r="DG53" s="1723"/>
      <c r="DH53" s="1723"/>
      <c r="DI53" s="1723"/>
      <c r="DJ53" s="1723"/>
      <c r="DK53" s="1723"/>
      <c r="DL53" s="1723"/>
      <c r="DM53" s="1723"/>
      <c r="DN53" s="1723"/>
      <c r="DO53" s="1723"/>
      <c r="DP53" s="1723"/>
      <c r="DQ53" s="1723"/>
      <c r="DR53" s="1723"/>
      <c r="DS53" s="1723"/>
      <c r="DT53" s="1723"/>
      <c r="DU53" s="1723"/>
      <c r="DV53" s="1723"/>
      <c r="DW53" s="1723"/>
      <c r="DX53" s="1723"/>
      <c r="DY53" s="1723"/>
      <c r="DZ53" s="1723"/>
      <c r="EA53" s="1723"/>
      <c r="EB53" s="1723"/>
      <c r="EC53" s="1723"/>
      <c r="ED53" s="1723"/>
      <c r="EE53" s="1723"/>
      <c r="EF53" s="1723"/>
      <c r="EG53" s="1723"/>
      <c r="EH53" s="1723"/>
      <c r="EI53" s="1723"/>
      <c r="EJ53" s="1723"/>
      <c r="EK53" s="1723"/>
      <c r="EL53" s="1723"/>
      <c r="EM53" s="1723"/>
      <c r="EN53" s="1723"/>
      <c r="EO53" s="1723"/>
      <c r="EP53" s="1723"/>
      <c r="EQ53" s="1723"/>
      <c r="ER53" s="1723"/>
      <c r="ES53" s="1723"/>
      <c r="ET53" s="1723"/>
      <c r="EU53" s="521"/>
      <c r="EV53" s="521"/>
      <c r="EW53" s="521"/>
      <c r="EX53" s="521"/>
      <c r="EY53" s="521"/>
      <c r="EZ53" s="521"/>
      <c r="FA53" s="521"/>
      <c r="FB53" s="521"/>
      <c r="FC53" s="521"/>
      <c r="FD53" s="521"/>
      <c r="FE53" s="521"/>
      <c r="FF53" s="521"/>
      <c r="FG53" s="521"/>
      <c r="FH53" s="521"/>
      <c r="FI53" s="521"/>
      <c r="FJ53" s="521"/>
      <c r="FK53" s="521"/>
      <c r="FL53" s="521"/>
      <c r="FM53" s="521"/>
      <c r="FN53" s="521"/>
      <c r="FO53" s="521"/>
      <c r="FP53" s="521"/>
      <c r="FQ53" s="521"/>
      <c r="FR53" s="521"/>
      <c r="FS53" s="521"/>
      <c r="FT53" s="521"/>
      <c r="FU53" s="521"/>
      <c r="FV53" s="521"/>
      <c r="FW53" s="521"/>
      <c r="FX53" s="521"/>
      <c r="FY53" s="521"/>
      <c r="FZ53" s="521"/>
      <c r="GA53" s="521"/>
      <c r="GB53" s="521"/>
      <c r="GC53" s="521"/>
      <c r="GD53" s="521"/>
      <c r="GE53" s="521"/>
      <c r="GF53" s="521"/>
      <c r="GG53" s="521"/>
      <c r="GH53" s="521"/>
      <c r="GI53" s="521"/>
      <c r="GJ53" s="521"/>
      <c r="GK53" s="521"/>
      <c r="GL53" s="521"/>
      <c r="GM53" s="521"/>
      <c r="GN53" s="521"/>
      <c r="GO53" s="521"/>
      <c r="GP53" s="521"/>
      <c r="GQ53" s="521"/>
      <c r="GR53" s="521"/>
      <c r="GS53" s="521"/>
      <c r="GT53" s="521"/>
      <c r="GU53" s="521"/>
      <c r="GV53" s="521"/>
      <c r="GW53" s="521"/>
      <c r="GX53" s="521"/>
      <c r="GY53" s="521"/>
      <c r="GZ53" s="521"/>
      <c r="HA53" s="521"/>
      <c r="HB53" s="521"/>
      <c r="HC53" s="521"/>
      <c r="HD53" s="521"/>
      <c r="HE53" s="521"/>
      <c r="HF53" s="521"/>
      <c r="HG53" s="521"/>
      <c r="HH53" s="521"/>
      <c r="HI53" s="521"/>
      <c r="HJ53" s="521"/>
      <c r="HK53" s="521"/>
      <c r="HL53" s="521"/>
      <c r="HM53" s="521"/>
      <c r="HN53" s="521"/>
      <c r="HO53" s="521"/>
      <c r="HP53" s="521"/>
      <c r="HQ53" s="521"/>
      <c r="HR53" s="521"/>
      <c r="HS53" s="521"/>
      <c r="HT53" s="521"/>
      <c r="HU53" s="521"/>
      <c r="HV53" s="521"/>
      <c r="HW53" s="521"/>
      <c r="HX53" s="521"/>
      <c r="HY53" s="521"/>
      <c r="HZ53" s="521"/>
      <c r="IA53" s="521"/>
      <c r="IB53" s="521"/>
      <c r="IC53" s="521"/>
      <c r="ID53" s="521"/>
      <c r="IE53" s="521"/>
      <c r="IF53" s="521"/>
      <c r="IG53" s="521"/>
      <c r="IH53" s="521"/>
      <c r="II53" s="521"/>
      <c r="IJ53" s="521"/>
      <c r="IK53" s="521"/>
      <c r="IL53" s="521"/>
      <c r="IM53" s="521"/>
      <c r="IN53" s="521"/>
      <c r="IO53" s="521"/>
    </row>
    <row r="54" spans="1:250" s="508" customFormat="1" ht="12.75">
      <c r="A54" s="521"/>
      <c r="B54" s="521"/>
      <c r="C54" s="521"/>
      <c r="D54" s="521"/>
      <c r="E54" s="521"/>
      <c r="F54" s="521"/>
      <c r="G54" s="521"/>
      <c r="H54" s="521"/>
      <c r="I54" s="521"/>
      <c r="J54" s="521"/>
      <c r="K54" s="521"/>
      <c r="L54" s="521"/>
      <c r="M54" s="521"/>
      <c r="N54" s="521"/>
      <c r="O54" s="521"/>
      <c r="P54" s="521"/>
      <c r="Q54" s="521"/>
      <c r="R54" s="521"/>
      <c r="S54" s="521"/>
      <c r="T54" s="521"/>
      <c r="U54" s="521"/>
      <c r="V54" s="521"/>
      <c r="W54" s="521"/>
      <c r="X54" s="521"/>
      <c r="Y54" s="521"/>
      <c r="Z54" s="521"/>
      <c r="AA54" s="521"/>
      <c r="AB54" s="521"/>
      <c r="AC54" s="521"/>
      <c r="AD54" s="521"/>
      <c r="AE54" s="521"/>
      <c r="AF54" s="521"/>
      <c r="AG54" s="521"/>
      <c r="AH54" s="521"/>
      <c r="AI54" s="1724" t="s">
        <v>118</v>
      </c>
      <c r="AJ54" s="1724"/>
      <c r="AK54" s="1724"/>
      <c r="AL54" s="1724"/>
      <c r="AM54" s="1724"/>
      <c r="AN54" s="1724"/>
      <c r="AO54" s="1724"/>
      <c r="AP54" s="1724"/>
      <c r="AQ54" s="1724"/>
      <c r="AR54" s="1724"/>
      <c r="AS54" s="1724"/>
      <c r="AT54" s="1724"/>
      <c r="AU54" s="1724"/>
      <c r="AV54" s="1724"/>
      <c r="AW54" s="1724"/>
      <c r="AX54" s="1724"/>
      <c r="AY54" s="1724"/>
      <c r="AZ54" s="1724"/>
      <c r="BA54" s="1724"/>
      <c r="BB54" s="1724"/>
      <c r="BC54" s="1724"/>
      <c r="BD54" s="1724"/>
      <c r="BE54" s="1724"/>
      <c r="BF54" s="1724"/>
      <c r="BG54" s="1724"/>
      <c r="BH54" s="1724"/>
      <c r="BI54" s="1724"/>
      <c r="BJ54" s="1724"/>
      <c r="BK54" s="1724"/>
      <c r="BL54" s="1724"/>
      <c r="BM54" s="1724"/>
      <c r="BN54" s="1724"/>
      <c r="BO54" s="1724"/>
      <c r="BP54" s="1724"/>
      <c r="BQ54" s="1724"/>
      <c r="BR54" s="1724"/>
      <c r="BS54" s="1724"/>
      <c r="BT54" s="1724"/>
      <c r="BU54" s="1724"/>
      <c r="BV54" s="1724"/>
      <c r="BW54" s="1724"/>
      <c r="BX54" s="1724"/>
      <c r="BY54" s="1724"/>
      <c r="BZ54" s="1724"/>
      <c r="CA54" s="1724"/>
      <c r="CB54" s="1724"/>
      <c r="CC54" s="1724"/>
      <c r="CD54" s="1724"/>
      <c r="CE54" s="1724"/>
      <c r="CF54" s="1724"/>
      <c r="CG54" s="1724"/>
      <c r="CH54" s="1724"/>
      <c r="CI54" s="1724"/>
      <c r="CJ54" s="1724"/>
      <c r="CK54" s="1724"/>
      <c r="CL54" s="1724"/>
      <c r="CM54" s="1724"/>
      <c r="CN54" s="1724"/>
      <c r="CO54" s="1724"/>
      <c r="CP54" s="1724"/>
      <c r="CQ54" s="1724"/>
      <c r="CR54" s="1724"/>
      <c r="CS54" s="1724"/>
      <c r="CT54" s="1724"/>
      <c r="CU54" s="1724"/>
      <c r="CV54" s="1724"/>
      <c r="CW54" s="1724"/>
      <c r="CX54" s="1724"/>
      <c r="CY54" s="1724"/>
      <c r="CZ54" s="1724"/>
      <c r="DA54" s="1724"/>
      <c r="DB54" s="1724"/>
      <c r="DC54" s="1724"/>
      <c r="DD54" s="1724"/>
      <c r="DE54" s="1724"/>
      <c r="DF54" s="1724"/>
      <c r="DG54" s="1724"/>
      <c r="DH54" s="1724"/>
      <c r="DI54" s="1724"/>
      <c r="DJ54" s="1724"/>
      <c r="DK54" s="1724"/>
      <c r="DL54" s="1724"/>
      <c r="DM54" s="1724"/>
      <c r="DN54" s="1724"/>
      <c r="DO54" s="1724"/>
      <c r="DP54" s="1724"/>
      <c r="DQ54" s="1724"/>
      <c r="DR54" s="1724"/>
      <c r="DS54" s="1724"/>
      <c r="DT54" s="1724"/>
      <c r="DU54" s="1724"/>
      <c r="DV54" s="1724"/>
      <c r="DW54" s="1724"/>
      <c r="DX54" s="1724"/>
      <c r="DY54" s="1724"/>
      <c r="DZ54" s="1724"/>
      <c r="EA54" s="1724"/>
      <c r="EB54" s="1724"/>
      <c r="EC54" s="1724"/>
      <c r="ED54" s="1724"/>
      <c r="EE54" s="1724"/>
      <c r="EF54" s="1724"/>
      <c r="EG54" s="1724"/>
      <c r="EH54" s="1724"/>
      <c r="EI54" s="1724"/>
      <c r="EJ54" s="1724"/>
      <c r="EK54" s="1724"/>
      <c r="EL54" s="1724"/>
      <c r="EM54" s="1724"/>
      <c r="EN54" s="1724"/>
      <c r="EO54" s="1724"/>
      <c r="EP54" s="1724"/>
      <c r="EQ54" s="1724"/>
      <c r="ER54" s="1724"/>
      <c r="ES54" s="1724"/>
      <c r="ET54" s="1724"/>
      <c r="EU54" s="521"/>
      <c r="EV54" s="521"/>
      <c r="EW54" s="521"/>
      <c r="EX54" s="521"/>
      <c r="EY54" s="521"/>
      <c r="EZ54" s="521"/>
      <c r="FA54" s="521"/>
      <c r="FB54" s="521"/>
      <c r="FC54" s="521"/>
      <c r="FD54" s="521"/>
      <c r="FE54" s="521"/>
      <c r="FF54" s="521"/>
      <c r="FG54" s="521"/>
      <c r="FH54" s="521"/>
      <c r="FI54" s="521"/>
      <c r="FJ54" s="521"/>
      <c r="FK54" s="521"/>
      <c r="FL54" s="521"/>
      <c r="FM54" s="521"/>
      <c r="FN54" s="521"/>
      <c r="FO54" s="521"/>
      <c r="FP54" s="521"/>
      <c r="FQ54" s="521"/>
      <c r="FR54" s="521"/>
      <c r="FS54" s="521"/>
      <c r="FT54" s="521"/>
      <c r="FU54" s="521"/>
      <c r="FV54" s="521"/>
      <c r="FW54" s="521"/>
      <c r="FX54" s="521"/>
      <c r="FY54" s="521"/>
      <c r="FZ54" s="521"/>
      <c r="GA54" s="521"/>
      <c r="GB54" s="521"/>
      <c r="GC54" s="521"/>
      <c r="GD54" s="521"/>
      <c r="GE54" s="521"/>
      <c r="GF54" s="521"/>
      <c r="GG54" s="521"/>
      <c r="GH54" s="521"/>
      <c r="GI54" s="521"/>
      <c r="GJ54" s="521"/>
      <c r="GK54" s="521"/>
      <c r="GL54" s="521"/>
      <c r="GM54" s="521"/>
      <c r="GN54" s="521"/>
      <c r="GO54" s="521"/>
      <c r="GP54" s="521"/>
      <c r="GQ54" s="521"/>
      <c r="GR54" s="521"/>
      <c r="GS54" s="521"/>
      <c r="GT54" s="521"/>
      <c r="GU54" s="521"/>
      <c r="GV54" s="521"/>
      <c r="GW54" s="521"/>
      <c r="GX54" s="521"/>
      <c r="GY54" s="521"/>
      <c r="GZ54" s="521"/>
      <c r="HA54" s="521"/>
      <c r="HB54" s="521"/>
      <c r="HC54" s="521"/>
      <c r="HD54" s="521"/>
      <c r="HE54" s="521"/>
      <c r="HF54" s="521"/>
      <c r="HG54" s="521"/>
      <c r="HH54" s="521"/>
      <c r="HI54" s="521"/>
      <c r="HJ54" s="521"/>
      <c r="HK54" s="521"/>
      <c r="HL54" s="521"/>
      <c r="HM54" s="521"/>
      <c r="HN54" s="521"/>
      <c r="HO54" s="521"/>
      <c r="HP54" s="521"/>
      <c r="HQ54" s="521"/>
      <c r="HR54" s="521"/>
      <c r="HS54" s="521"/>
      <c r="HT54" s="521"/>
      <c r="HU54" s="521"/>
      <c r="HV54" s="521"/>
      <c r="HW54" s="521"/>
      <c r="HX54" s="521"/>
      <c r="HY54" s="521"/>
      <c r="HZ54" s="521"/>
      <c r="IA54" s="521"/>
      <c r="IB54" s="521"/>
      <c r="IC54" s="521"/>
      <c r="ID54" s="521"/>
      <c r="IE54" s="521"/>
      <c r="IF54" s="521"/>
      <c r="IG54" s="521"/>
      <c r="IH54" s="521"/>
      <c r="II54" s="521"/>
      <c r="IJ54" s="521"/>
      <c r="IK54" s="521"/>
      <c r="IL54" s="521"/>
      <c r="IM54" s="521"/>
      <c r="IN54" s="521"/>
      <c r="IO54" s="521"/>
    </row>
    <row r="55" spans="1:250" s="508" customFormat="1" ht="12.75">
      <c r="A55" s="513" t="s">
        <v>391</v>
      </c>
      <c r="B55" s="509"/>
      <c r="C55" s="509"/>
      <c r="D55" s="509"/>
      <c r="E55" s="509"/>
      <c r="F55" s="509"/>
      <c r="G55" s="509"/>
      <c r="H55" s="509"/>
      <c r="I55" s="509"/>
      <c r="J55" s="509"/>
      <c r="K55" s="509"/>
      <c r="L55" s="509"/>
      <c r="M55" s="509"/>
      <c r="N55" s="509"/>
      <c r="O55" s="509"/>
      <c r="P55" s="509"/>
      <c r="Q55" s="509"/>
      <c r="R55" s="509"/>
      <c r="S55" s="509"/>
      <c r="T55" s="509"/>
      <c r="U55" s="509"/>
      <c r="V55" s="509"/>
      <c r="W55" s="509"/>
      <c r="X55" s="509"/>
      <c r="Y55" s="512"/>
      <c r="Z55" s="489"/>
      <c r="AA55" s="489"/>
      <c r="AB55" s="1723"/>
      <c r="AC55" s="1723"/>
      <c r="AD55" s="1723"/>
      <c r="AE55" s="1723"/>
      <c r="AF55" s="1723"/>
      <c r="AG55" s="1723"/>
      <c r="AH55" s="1723"/>
      <c r="AI55" s="1723"/>
      <c r="AJ55" s="1723"/>
      <c r="AK55" s="1723"/>
      <c r="AL55" s="1723"/>
      <c r="AM55" s="1723"/>
      <c r="AN55" s="1723"/>
      <c r="AO55" s="1723"/>
      <c r="AP55" s="1723"/>
      <c r="AQ55" s="1723"/>
      <c r="AR55" s="1723"/>
      <c r="AS55" s="1723"/>
      <c r="AT55" s="1723"/>
      <c r="AU55" s="1723"/>
      <c r="AV55" s="1723"/>
      <c r="AW55" s="1723"/>
      <c r="AX55" s="1723"/>
      <c r="AY55" s="1723"/>
      <c r="AZ55" s="1723"/>
      <c r="BA55" s="1723"/>
      <c r="BB55" s="1723"/>
      <c r="BC55" s="1723"/>
      <c r="BD55" s="1723"/>
      <c r="BE55" s="1723"/>
      <c r="BF55" s="1723"/>
      <c r="BG55" s="1723"/>
      <c r="BH55" s="1723"/>
      <c r="BI55" s="1723"/>
      <c r="BJ55" s="1723"/>
      <c r="BK55" s="1723"/>
      <c r="BL55" s="1723"/>
      <c r="BM55" s="1723"/>
      <c r="BN55" s="1723"/>
      <c r="BO55" s="1723"/>
      <c r="BP55" s="1723"/>
      <c r="BQ55" s="1723"/>
      <c r="BR55" s="1723"/>
      <c r="BS55" s="1723"/>
      <c r="BT55" s="1723"/>
      <c r="BU55" s="1723"/>
      <c r="BV55" s="1723"/>
      <c r="BW55" s="1723"/>
      <c r="BX55" s="1723"/>
      <c r="BY55" s="1723"/>
      <c r="BZ55" s="1723"/>
      <c r="CA55" s="1723"/>
      <c r="CB55" s="1723"/>
      <c r="CC55" s="1723"/>
      <c r="CD55" s="1723"/>
      <c r="CE55" s="1723"/>
      <c r="CF55" s="1723"/>
      <c r="CG55" s="1723"/>
      <c r="CH55" s="1723"/>
      <c r="CI55" s="1723"/>
      <c r="CJ55" s="1723"/>
      <c r="CK55" s="1723"/>
      <c r="CL55" s="1723"/>
      <c r="CM55" s="1723"/>
      <c r="CN55" s="1723"/>
      <c r="CO55" s="1723"/>
      <c r="CP55" s="1723"/>
      <c r="CQ55" s="1723"/>
      <c r="CR55" s="1723"/>
      <c r="CS55" s="1723"/>
      <c r="CT55" s="1723"/>
      <c r="CU55" s="1723"/>
      <c r="CV55" s="1723"/>
      <c r="CW55" s="1723"/>
      <c r="CX55" s="1723"/>
      <c r="CY55" s="1723"/>
      <c r="CZ55" s="1723"/>
      <c r="DA55" s="1723"/>
      <c r="DB55" s="1723"/>
      <c r="DC55" s="1723"/>
      <c r="DD55" s="1723"/>
      <c r="DE55" s="1723"/>
      <c r="DF55" s="1723"/>
      <c r="DG55" s="1723"/>
      <c r="DH55" s="1723"/>
      <c r="DI55" s="1723"/>
      <c r="DJ55" s="1723"/>
      <c r="DK55" s="1723"/>
      <c r="DL55" s="1723"/>
      <c r="DM55" s="1723"/>
      <c r="DN55" s="1723"/>
      <c r="DO55" s="1723"/>
      <c r="DP55" s="1723"/>
      <c r="DQ55" s="1723"/>
      <c r="DR55" s="1723"/>
      <c r="DS55" s="1723"/>
      <c r="DT55" s="1723"/>
      <c r="DU55" s="1723"/>
      <c r="DV55" s="1723"/>
      <c r="DW55" s="1723"/>
      <c r="DX55" s="1723"/>
      <c r="DY55" s="1723"/>
      <c r="DZ55" s="1723"/>
      <c r="EA55" s="1723"/>
      <c r="EB55" s="1723"/>
      <c r="EC55" s="1723"/>
      <c r="ED55" s="1723"/>
      <c r="EE55" s="1723"/>
      <c r="EF55" s="1723"/>
      <c r="EG55" s="1723"/>
      <c r="EH55" s="1723"/>
      <c r="EI55" s="1723"/>
      <c r="EJ55" s="1723"/>
      <c r="EK55" s="1723"/>
      <c r="EL55" s="1723"/>
      <c r="EM55" s="1723"/>
      <c r="EN55" s="1723"/>
      <c r="EO55" s="1723"/>
      <c r="EP55" s="1723"/>
      <c r="EQ55" s="1723"/>
      <c r="ER55" s="1723"/>
      <c r="ES55" s="1723"/>
      <c r="ET55" s="1723"/>
      <c r="EU55" s="521"/>
      <c r="EV55" s="521"/>
      <c r="EW55" s="521"/>
      <c r="EX55" s="521"/>
      <c r="EY55" s="521"/>
      <c r="EZ55" s="521"/>
      <c r="FA55" s="521"/>
      <c r="FB55" s="521"/>
      <c r="FC55" s="521"/>
      <c r="FD55" s="521"/>
      <c r="FE55" s="521"/>
      <c r="FF55" s="521"/>
      <c r="FG55" s="521"/>
      <c r="FH55" s="521"/>
      <c r="FI55" s="521"/>
      <c r="FJ55" s="521"/>
      <c r="FK55" s="521"/>
      <c r="FL55" s="521"/>
      <c r="FM55" s="521"/>
      <c r="FN55" s="521"/>
      <c r="FO55" s="521"/>
      <c r="FP55" s="521"/>
      <c r="FQ55" s="521"/>
      <c r="FR55" s="521"/>
      <c r="FS55" s="521"/>
      <c r="FT55" s="521"/>
      <c r="FU55" s="521"/>
      <c r="FV55" s="521"/>
      <c r="FW55" s="521"/>
      <c r="FX55" s="521"/>
      <c r="FY55" s="521"/>
      <c r="FZ55" s="521"/>
      <c r="GA55" s="521"/>
      <c r="GB55" s="521"/>
      <c r="GC55" s="521"/>
      <c r="GD55" s="521"/>
      <c r="GE55" s="521"/>
      <c r="GF55" s="521"/>
      <c r="GG55" s="521"/>
      <c r="GH55" s="521"/>
      <c r="GI55" s="521"/>
      <c r="GJ55" s="521"/>
      <c r="GK55" s="521"/>
      <c r="GL55" s="521"/>
      <c r="GM55" s="521"/>
      <c r="GN55" s="521"/>
      <c r="GO55" s="521"/>
      <c r="GP55" s="521"/>
      <c r="GQ55" s="521"/>
      <c r="GR55" s="521"/>
      <c r="GS55" s="521"/>
      <c r="GT55" s="521"/>
      <c r="GU55" s="521"/>
      <c r="GV55" s="521"/>
      <c r="GW55" s="521"/>
      <c r="GX55" s="521"/>
      <c r="GY55" s="521"/>
      <c r="GZ55" s="521"/>
      <c r="HA55" s="521"/>
      <c r="HB55" s="521"/>
      <c r="HC55" s="521"/>
      <c r="HD55" s="521"/>
      <c r="HE55" s="521"/>
      <c r="HF55" s="521"/>
      <c r="HG55" s="521"/>
      <c r="HH55" s="521"/>
      <c r="HI55" s="521"/>
      <c r="HJ55" s="521"/>
      <c r="HK55" s="521"/>
      <c r="HL55" s="521"/>
      <c r="HM55" s="521"/>
      <c r="HN55" s="521"/>
      <c r="HO55" s="521"/>
      <c r="HP55" s="521"/>
      <c r="HQ55" s="521"/>
      <c r="HR55" s="521"/>
      <c r="HS55" s="521"/>
      <c r="HT55" s="521"/>
      <c r="HU55" s="521"/>
      <c r="HV55" s="521"/>
      <c r="HW55" s="521"/>
      <c r="HX55" s="521"/>
      <c r="HY55" s="521"/>
      <c r="HZ55" s="521"/>
      <c r="IA55" s="521"/>
      <c r="IB55" s="521"/>
      <c r="IC55" s="521"/>
      <c r="ID55" s="521"/>
      <c r="IE55" s="521"/>
      <c r="IF55" s="521"/>
      <c r="IG55" s="521"/>
      <c r="IH55" s="521"/>
      <c r="II55" s="521"/>
      <c r="IJ55" s="521"/>
      <c r="IK55" s="521"/>
      <c r="IL55" s="521"/>
      <c r="IM55" s="521"/>
      <c r="IN55" s="521"/>
      <c r="IO55" s="521"/>
    </row>
    <row r="56" spans="1:250" s="508" customFormat="1" ht="12.75">
      <c r="A56" s="521"/>
      <c r="B56" s="521"/>
      <c r="C56" s="521"/>
      <c r="D56" s="521"/>
      <c r="E56" s="521"/>
      <c r="F56" s="521"/>
      <c r="G56" s="521"/>
      <c r="H56" s="521"/>
      <c r="I56" s="521"/>
      <c r="J56" s="521"/>
      <c r="K56" s="521"/>
      <c r="L56" s="521"/>
      <c r="M56" s="521"/>
      <c r="N56" s="521"/>
      <c r="O56" s="521"/>
      <c r="P56" s="521"/>
      <c r="Q56" s="521"/>
      <c r="R56" s="521"/>
      <c r="S56" s="521"/>
      <c r="T56" s="521"/>
      <c r="U56" s="521"/>
      <c r="V56" s="521"/>
      <c r="W56" s="521"/>
      <c r="X56" s="521"/>
      <c r="Y56" s="521"/>
      <c r="Z56" s="1724" t="s">
        <v>118</v>
      </c>
      <c r="AA56" s="1724"/>
      <c r="AB56" s="1724"/>
      <c r="AC56" s="1724"/>
      <c r="AD56" s="1724"/>
      <c r="AE56" s="1724"/>
      <c r="AF56" s="1724"/>
      <c r="AG56" s="1724"/>
      <c r="AH56" s="1724"/>
      <c r="AI56" s="1724"/>
      <c r="AJ56" s="1724"/>
      <c r="AK56" s="1724"/>
      <c r="AL56" s="1724"/>
      <c r="AM56" s="1724"/>
      <c r="AN56" s="1724"/>
      <c r="AO56" s="1724"/>
      <c r="AP56" s="1724"/>
      <c r="AQ56" s="1724"/>
      <c r="AR56" s="1724"/>
      <c r="AS56" s="1724"/>
      <c r="AT56" s="1724"/>
      <c r="AU56" s="1724"/>
      <c r="AV56" s="1724"/>
      <c r="AW56" s="1724"/>
      <c r="AX56" s="1724"/>
      <c r="AY56" s="1724"/>
      <c r="AZ56" s="1724"/>
      <c r="BA56" s="1724"/>
      <c r="BB56" s="1724"/>
      <c r="BC56" s="1724"/>
      <c r="BD56" s="1724"/>
      <c r="BE56" s="1724"/>
      <c r="BF56" s="1724"/>
      <c r="BG56" s="1724"/>
      <c r="BH56" s="1724"/>
      <c r="BI56" s="1724"/>
      <c r="BJ56" s="1724"/>
      <c r="BK56" s="1724"/>
      <c r="BL56" s="1724"/>
      <c r="BM56" s="1724"/>
      <c r="BN56" s="1724"/>
      <c r="BO56" s="1724"/>
      <c r="BP56" s="1724"/>
      <c r="BQ56" s="1724"/>
      <c r="BR56" s="1724"/>
      <c r="BS56" s="1724"/>
      <c r="BT56" s="1724"/>
      <c r="BU56" s="1724"/>
      <c r="BV56" s="1724"/>
      <c r="BW56" s="1724"/>
      <c r="BX56" s="1724"/>
      <c r="BY56" s="1724"/>
      <c r="BZ56" s="1724"/>
      <c r="CA56" s="1724"/>
      <c r="CB56" s="1724"/>
      <c r="CC56" s="1724"/>
      <c r="CD56" s="1724"/>
      <c r="CE56" s="1724"/>
      <c r="CF56" s="1724"/>
      <c r="CG56" s="1724"/>
      <c r="CH56" s="1724"/>
      <c r="CI56" s="1724"/>
      <c r="CJ56" s="1724"/>
      <c r="CK56" s="1724"/>
      <c r="CL56" s="1724"/>
      <c r="CM56" s="1724"/>
      <c r="CN56" s="1724"/>
      <c r="CO56" s="1724"/>
      <c r="CP56" s="1724"/>
      <c r="CQ56" s="1724"/>
      <c r="CR56" s="1724"/>
      <c r="CS56" s="1724"/>
      <c r="CT56" s="1724"/>
      <c r="CU56" s="1724"/>
      <c r="CV56" s="1724"/>
      <c r="CW56" s="1724"/>
      <c r="CX56" s="1724"/>
      <c r="CY56" s="1724"/>
      <c r="CZ56" s="1724"/>
      <c r="DA56" s="1724"/>
      <c r="DB56" s="1724"/>
      <c r="DC56" s="1724"/>
      <c r="DD56" s="1724"/>
      <c r="DE56" s="1724"/>
      <c r="DF56" s="1724"/>
      <c r="DG56" s="1724"/>
      <c r="DH56" s="1724"/>
      <c r="DI56" s="1724"/>
      <c r="DJ56" s="1724"/>
      <c r="DK56" s="1724"/>
      <c r="DL56" s="1724"/>
      <c r="DM56" s="1724"/>
      <c r="DN56" s="1724"/>
      <c r="DO56" s="1724"/>
      <c r="DP56" s="1724"/>
      <c r="DQ56" s="1724"/>
      <c r="DR56" s="1724"/>
      <c r="DS56" s="1724"/>
      <c r="DT56" s="1724"/>
      <c r="DU56" s="1724"/>
      <c r="DV56" s="1724"/>
      <c r="DW56" s="1724"/>
      <c r="DX56" s="1724"/>
      <c r="DY56" s="1724"/>
      <c r="DZ56" s="1724"/>
      <c r="EA56" s="1724"/>
      <c r="EB56" s="1724"/>
      <c r="EC56" s="1724"/>
      <c r="ED56" s="1724"/>
      <c r="EE56" s="1724"/>
      <c r="EF56" s="1724"/>
      <c r="EG56" s="1724"/>
      <c r="EH56" s="1724"/>
      <c r="EI56" s="1724"/>
      <c r="EJ56" s="1724"/>
      <c r="EK56" s="1724"/>
      <c r="EL56" s="1724"/>
      <c r="EM56" s="1724"/>
      <c r="EN56" s="1724"/>
      <c r="EO56" s="1724"/>
      <c r="EP56" s="1724"/>
      <c r="EQ56" s="1724"/>
      <c r="ER56" s="1724"/>
      <c r="ES56" s="1724"/>
      <c r="ET56" s="1724"/>
      <c r="EU56" s="521"/>
      <c r="EV56" s="521"/>
      <c r="EW56" s="521"/>
      <c r="EX56" s="521"/>
      <c r="EY56" s="521"/>
      <c r="EZ56" s="521"/>
      <c r="FA56" s="521"/>
      <c r="FB56" s="521"/>
      <c r="FC56" s="521"/>
      <c r="FD56" s="521"/>
      <c r="FE56" s="521"/>
      <c r="FF56" s="521"/>
      <c r="FG56" s="521"/>
      <c r="FH56" s="521"/>
      <c r="FI56" s="521"/>
      <c r="FJ56" s="521"/>
      <c r="FK56" s="521"/>
      <c r="FL56" s="521"/>
      <c r="FM56" s="521"/>
      <c r="FN56" s="521"/>
      <c r="FO56" s="521"/>
      <c r="FP56" s="521"/>
      <c r="FQ56" s="521"/>
      <c r="FR56" s="521"/>
      <c r="FS56" s="521"/>
      <c r="FT56" s="521"/>
      <c r="FU56" s="521"/>
      <c r="FV56" s="521"/>
      <c r="FW56" s="521"/>
      <c r="FX56" s="521"/>
      <c r="FY56" s="521"/>
      <c r="FZ56" s="521"/>
      <c r="GA56" s="521"/>
      <c r="GB56" s="521"/>
      <c r="GC56" s="521"/>
      <c r="GD56" s="521"/>
      <c r="GE56" s="521"/>
      <c r="GF56" s="521"/>
      <c r="GG56" s="521"/>
      <c r="GH56" s="521"/>
      <c r="GI56" s="521"/>
      <c r="GJ56" s="521"/>
      <c r="GK56" s="521"/>
      <c r="GL56" s="521"/>
      <c r="GM56" s="521"/>
      <c r="GN56" s="521"/>
      <c r="GO56" s="521"/>
      <c r="GP56" s="521"/>
      <c r="GQ56" s="521"/>
      <c r="GR56" s="521"/>
      <c r="GS56" s="521"/>
      <c r="GT56" s="521"/>
      <c r="GU56" s="521"/>
      <c r="GV56" s="521"/>
      <c r="GW56" s="521"/>
      <c r="GX56" s="521"/>
      <c r="GY56" s="521"/>
      <c r="GZ56" s="521"/>
      <c r="HA56" s="521"/>
      <c r="HB56" s="521"/>
      <c r="HC56" s="521"/>
      <c r="HD56" s="521"/>
      <c r="HE56" s="521"/>
      <c r="HF56" s="521"/>
      <c r="HG56" s="521"/>
      <c r="HH56" s="521"/>
      <c r="HI56" s="521"/>
      <c r="HJ56" s="521"/>
      <c r="HK56" s="521"/>
      <c r="HL56" s="521"/>
      <c r="HM56" s="521"/>
      <c r="HN56" s="521"/>
      <c r="HO56" s="521"/>
      <c r="HP56" s="521"/>
      <c r="HQ56" s="521"/>
      <c r="HR56" s="521"/>
      <c r="HS56" s="521"/>
      <c r="HT56" s="521"/>
      <c r="HU56" s="521"/>
      <c r="HV56" s="521"/>
      <c r="HW56" s="521"/>
      <c r="HX56" s="521"/>
      <c r="HY56" s="521"/>
      <c r="HZ56" s="521"/>
      <c r="IA56" s="521"/>
      <c r="IB56" s="521"/>
      <c r="IC56" s="521"/>
      <c r="ID56" s="521"/>
      <c r="IE56" s="521"/>
      <c r="IF56" s="521"/>
      <c r="IG56" s="521"/>
      <c r="IH56" s="521"/>
      <c r="II56" s="521"/>
      <c r="IJ56" s="521"/>
      <c r="IK56" s="521"/>
      <c r="IL56" s="521"/>
      <c r="IM56" s="521"/>
      <c r="IN56" s="521"/>
      <c r="IO56" s="521"/>
    </row>
    <row r="57" spans="1:250" s="508" customFormat="1" ht="12.75">
      <c r="A57" s="1742" t="s">
        <v>180</v>
      </c>
      <c r="B57" s="1742"/>
      <c r="C57" s="1742"/>
      <c r="D57" s="1742"/>
      <c r="E57" s="1742"/>
      <c r="F57" s="1742"/>
      <c r="G57" s="1742"/>
      <c r="H57" s="1742"/>
      <c r="I57" s="1742"/>
      <c r="J57" s="1742"/>
      <c r="K57" s="1742"/>
      <c r="L57" s="1742"/>
      <c r="M57" s="1742"/>
      <c r="N57" s="1742"/>
      <c r="O57" s="521"/>
      <c r="P57" s="521"/>
      <c r="Q57" s="1726"/>
      <c r="R57" s="1726"/>
      <c r="S57" s="1726"/>
      <c r="T57" s="1726"/>
      <c r="U57" s="1726"/>
      <c r="V57" s="1726"/>
      <c r="W57" s="1726"/>
      <c r="X57" s="1726"/>
      <c r="Y57" s="1726"/>
      <c r="Z57" s="1726"/>
      <c r="AA57" s="1726"/>
      <c r="AB57" s="1726"/>
      <c r="AC57" s="1726"/>
      <c r="AD57" s="1726"/>
      <c r="AE57" s="1726"/>
      <c r="AF57" s="1726"/>
      <c r="AG57" s="1726"/>
      <c r="AH57" s="1726"/>
      <c r="AI57" s="1726"/>
      <c r="AJ57" s="1726"/>
      <c r="AK57" s="1726"/>
      <c r="AL57" s="521"/>
      <c r="AM57" s="521"/>
      <c r="AN57" s="521"/>
      <c r="AO57" s="521"/>
      <c r="AP57" s="1726"/>
      <c r="AQ57" s="1726"/>
      <c r="AR57" s="1726"/>
      <c r="AS57" s="1726"/>
      <c r="AT57" s="1726"/>
      <c r="AU57" s="1726"/>
      <c r="AV57" s="1726"/>
      <c r="AW57" s="1726"/>
      <c r="AX57" s="1726"/>
      <c r="AY57" s="1726"/>
      <c r="AZ57" s="1726"/>
      <c r="BA57" s="1726"/>
      <c r="BB57" s="1726"/>
      <c r="BC57" s="1726"/>
      <c r="BD57" s="1726"/>
      <c r="BE57" s="1726"/>
      <c r="BF57" s="1726"/>
      <c r="BG57" s="1726"/>
      <c r="BH57" s="1726"/>
      <c r="BI57" s="1726"/>
      <c r="BJ57" s="1726"/>
      <c r="BK57" s="1726"/>
      <c r="BL57" s="1726"/>
      <c r="BM57" s="1726"/>
      <c r="BN57" s="1726"/>
      <c r="BO57" s="1726"/>
      <c r="BP57" s="1726"/>
      <c r="BQ57" s="1726"/>
      <c r="BR57" s="1726"/>
      <c r="BS57" s="1726"/>
      <c r="BT57" s="1726"/>
      <c r="BU57" s="1726"/>
      <c r="BV57" s="1726"/>
      <c r="BW57" s="521"/>
      <c r="BX57" s="521"/>
      <c r="BY57" s="521"/>
      <c r="BZ57" s="521"/>
      <c r="CA57" s="521"/>
      <c r="CB57" s="521"/>
      <c r="CC57" s="521"/>
      <c r="CD57" s="521"/>
      <c r="CE57" s="521"/>
      <c r="CF57" s="521"/>
      <c r="CG57" s="521"/>
      <c r="CH57" s="521"/>
      <c r="CI57" s="521"/>
      <c r="CJ57" s="521"/>
      <c r="CK57" s="521"/>
      <c r="CL57" s="521"/>
      <c r="CM57" s="521"/>
      <c r="CN57" s="521"/>
      <c r="CO57" s="521"/>
      <c r="CP57" s="521"/>
      <c r="CQ57" s="521"/>
      <c r="CR57" s="521"/>
      <c r="CS57" s="521"/>
      <c r="CT57" s="521"/>
      <c r="CU57" s="521"/>
      <c r="CV57" s="521"/>
      <c r="CW57" s="521"/>
      <c r="CX57" s="521"/>
      <c r="CY57" s="521"/>
      <c r="CZ57" s="521"/>
      <c r="DA57" s="521"/>
      <c r="DB57" s="521"/>
      <c r="DC57" s="521"/>
      <c r="DD57" s="521"/>
      <c r="DE57" s="521"/>
      <c r="DF57" s="521"/>
      <c r="DG57" s="521"/>
      <c r="DH57" s="521"/>
      <c r="DI57" s="521"/>
      <c r="DJ57" s="521"/>
      <c r="DK57" s="521"/>
      <c r="DL57" s="521"/>
      <c r="DM57" s="521"/>
      <c r="DN57" s="521"/>
      <c r="DO57" s="521"/>
      <c r="DP57" s="521"/>
      <c r="DQ57" s="521"/>
      <c r="DR57" s="521"/>
      <c r="DS57" s="521"/>
      <c r="DT57" s="521"/>
      <c r="DU57" s="521"/>
      <c r="DV57" s="521"/>
      <c r="DW57" s="521"/>
      <c r="DX57" s="521"/>
      <c r="DY57" s="521"/>
      <c r="DZ57" s="521"/>
      <c r="EA57" s="521"/>
      <c r="EB57" s="521"/>
      <c r="EC57" s="521"/>
      <c r="ED57" s="521"/>
      <c r="EE57" s="521"/>
      <c r="EF57" s="521"/>
      <c r="EG57" s="521"/>
      <c r="EH57" s="521"/>
      <c r="EI57" s="521"/>
      <c r="EJ57" s="521"/>
      <c r="EK57" s="521"/>
      <c r="EL57" s="521"/>
      <c r="EM57" s="521"/>
      <c r="EN57" s="521"/>
      <c r="EO57" s="521"/>
      <c r="EP57" s="521"/>
      <c r="EQ57" s="521"/>
      <c r="ER57" s="521"/>
      <c r="ES57" s="521"/>
      <c r="ET57" s="521"/>
      <c r="EU57" s="521"/>
      <c r="EV57" s="521"/>
      <c r="EW57" s="521"/>
      <c r="EX57" s="521"/>
      <c r="EY57" s="521"/>
      <c r="EZ57" s="521"/>
      <c r="FA57" s="521"/>
      <c r="FB57" s="521"/>
      <c r="FC57" s="521"/>
      <c r="FD57" s="521"/>
      <c r="FE57" s="521"/>
      <c r="FF57" s="521"/>
      <c r="FG57" s="521"/>
      <c r="FH57" s="521"/>
      <c r="FI57" s="521"/>
      <c r="FJ57" s="521"/>
      <c r="FK57" s="521"/>
      <c r="FL57" s="521"/>
      <c r="FM57" s="521"/>
      <c r="FN57" s="521"/>
      <c r="FO57" s="521"/>
      <c r="FP57" s="521"/>
      <c r="FQ57" s="521"/>
      <c r="FR57" s="521"/>
      <c r="FS57" s="521"/>
      <c r="FT57" s="521"/>
      <c r="FU57" s="521"/>
      <c r="FV57" s="521"/>
      <c r="FW57" s="521"/>
      <c r="FX57" s="521"/>
      <c r="FY57" s="521"/>
      <c r="FZ57" s="521"/>
      <c r="GA57" s="521"/>
      <c r="GB57" s="521"/>
      <c r="GC57" s="521"/>
      <c r="GD57" s="521"/>
      <c r="GE57" s="521"/>
      <c r="GF57" s="521"/>
      <c r="GG57" s="521"/>
      <c r="GH57" s="521"/>
      <c r="GI57" s="521"/>
      <c r="GJ57" s="521"/>
      <c r="GK57" s="521"/>
      <c r="GL57" s="521"/>
      <c r="GM57" s="521"/>
      <c r="GN57" s="521"/>
      <c r="GO57" s="521"/>
      <c r="GP57" s="521"/>
      <c r="GQ57" s="521"/>
      <c r="GR57" s="521"/>
      <c r="GS57" s="521"/>
      <c r="GT57" s="521"/>
      <c r="GU57" s="521"/>
      <c r="GV57" s="521"/>
      <c r="GW57" s="521"/>
      <c r="GX57" s="521"/>
      <c r="GY57" s="521"/>
      <c r="GZ57" s="521"/>
      <c r="HA57" s="521"/>
      <c r="HB57" s="521"/>
      <c r="HC57" s="521"/>
      <c r="HD57" s="521"/>
      <c r="HE57" s="521"/>
      <c r="HF57" s="521"/>
      <c r="HG57" s="521"/>
      <c r="HH57" s="521"/>
      <c r="HI57" s="521"/>
      <c r="HJ57" s="521"/>
      <c r="HK57" s="521"/>
      <c r="HL57" s="521"/>
      <c r="HM57" s="521"/>
      <c r="HN57" s="521"/>
      <c r="HO57" s="521"/>
      <c r="HP57" s="521"/>
      <c r="HQ57" s="521"/>
      <c r="HR57" s="521"/>
      <c r="HS57" s="521"/>
      <c r="HT57" s="521"/>
      <c r="HU57" s="521"/>
      <c r="HV57" s="521"/>
      <c r="HW57" s="521"/>
      <c r="HX57" s="521"/>
      <c r="HY57" s="521"/>
      <c r="HZ57" s="521"/>
      <c r="IA57" s="521"/>
      <c r="IB57" s="521"/>
      <c r="IC57" s="521"/>
      <c r="ID57" s="521"/>
      <c r="IE57" s="521"/>
      <c r="IF57" s="521"/>
      <c r="IG57" s="521"/>
      <c r="IH57" s="521"/>
      <c r="II57" s="521"/>
      <c r="IJ57" s="521"/>
      <c r="IK57" s="521"/>
      <c r="IL57" s="521"/>
      <c r="IM57" s="521"/>
      <c r="IN57" s="521"/>
      <c r="IO57" s="521"/>
    </row>
    <row r="58" spans="1:250" s="508" customFormat="1" ht="12.75">
      <c r="A58" s="521"/>
      <c r="B58" s="521"/>
      <c r="C58" s="521"/>
      <c r="D58" s="521"/>
      <c r="E58" s="521"/>
      <c r="F58" s="521"/>
      <c r="G58" s="521"/>
      <c r="H58" s="521"/>
      <c r="I58" s="521"/>
      <c r="J58" s="521"/>
      <c r="K58" s="521"/>
      <c r="L58" s="521"/>
      <c r="M58" s="521"/>
      <c r="N58" s="521"/>
      <c r="O58" s="521"/>
      <c r="P58" s="521"/>
      <c r="Q58" s="1724" t="s">
        <v>80</v>
      </c>
      <c r="R58" s="1724"/>
      <c r="S58" s="1724"/>
      <c r="T58" s="1724"/>
      <c r="U58" s="1724"/>
      <c r="V58" s="1724"/>
      <c r="W58" s="1724"/>
      <c r="X58" s="1724"/>
      <c r="Y58" s="1724"/>
      <c r="Z58" s="1724"/>
      <c r="AA58" s="1724"/>
      <c r="AB58" s="1724"/>
      <c r="AC58" s="1724"/>
      <c r="AD58" s="1724"/>
      <c r="AE58" s="1724"/>
      <c r="AF58" s="1724"/>
      <c r="AG58" s="1724"/>
      <c r="AH58" s="1724"/>
      <c r="AI58" s="1724"/>
      <c r="AJ58" s="1724"/>
      <c r="AK58" s="1724"/>
      <c r="AL58" s="521"/>
      <c r="AM58" s="521"/>
      <c r="AN58" s="521"/>
      <c r="AO58" s="521"/>
      <c r="AP58" s="1724" t="s">
        <v>182</v>
      </c>
      <c r="AQ58" s="1724"/>
      <c r="AR58" s="1724"/>
      <c r="AS58" s="1724"/>
      <c r="AT58" s="1724"/>
      <c r="AU58" s="1724"/>
      <c r="AV58" s="1724"/>
      <c r="AW58" s="1724"/>
      <c r="AX58" s="1724"/>
      <c r="AY58" s="1724"/>
      <c r="AZ58" s="1724"/>
      <c r="BA58" s="1724"/>
      <c r="BB58" s="1724"/>
      <c r="BC58" s="1724"/>
      <c r="BD58" s="1724"/>
      <c r="BE58" s="1724"/>
      <c r="BF58" s="1724"/>
      <c r="BG58" s="1724"/>
      <c r="BH58" s="1724"/>
      <c r="BI58" s="1724"/>
      <c r="BJ58" s="1724"/>
      <c r="BK58" s="1724"/>
      <c r="BL58" s="1724"/>
      <c r="BM58" s="1724"/>
      <c r="BN58" s="1724"/>
      <c r="BO58" s="1724"/>
      <c r="BP58" s="1724"/>
      <c r="BQ58" s="1724"/>
      <c r="BR58" s="1724"/>
      <c r="BS58" s="1724"/>
      <c r="BT58" s="1724"/>
      <c r="BU58" s="1724"/>
      <c r="BV58" s="1724"/>
      <c r="BW58" s="521"/>
      <c r="BX58" s="521"/>
      <c r="BY58" s="521"/>
      <c r="BZ58" s="521"/>
      <c r="CA58" s="521"/>
      <c r="CB58" s="521"/>
      <c r="CC58" s="521"/>
      <c r="CD58" s="521"/>
      <c r="CE58" s="521"/>
      <c r="CF58" s="521"/>
      <c r="CG58" s="521"/>
      <c r="CH58" s="521"/>
      <c r="CI58" s="521"/>
      <c r="CJ58" s="521"/>
      <c r="CK58" s="521"/>
      <c r="CL58" s="521"/>
      <c r="CM58" s="521"/>
      <c r="CN58" s="521"/>
      <c r="CO58" s="521"/>
      <c r="CP58" s="521"/>
      <c r="CQ58" s="521"/>
      <c r="CR58" s="521"/>
      <c r="CS58" s="521"/>
      <c r="CT58" s="521"/>
      <c r="CU58" s="521"/>
      <c r="CV58" s="521"/>
      <c r="CW58" s="521"/>
      <c r="CX58" s="521"/>
      <c r="CY58" s="521"/>
      <c r="CZ58" s="521"/>
      <c r="DA58" s="521"/>
      <c r="DB58" s="521"/>
      <c r="DC58" s="521"/>
      <c r="DD58" s="521"/>
      <c r="DE58" s="521"/>
      <c r="DF58" s="521"/>
      <c r="DG58" s="521"/>
      <c r="DH58" s="521"/>
      <c r="DI58" s="521"/>
      <c r="DJ58" s="521"/>
      <c r="DK58" s="521"/>
      <c r="DL58" s="521"/>
      <c r="DM58" s="521"/>
      <c r="DN58" s="521"/>
      <c r="DO58" s="521"/>
      <c r="DP58" s="521"/>
      <c r="DQ58" s="521"/>
      <c r="DR58" s="521"/>
      <c r="DS58" s="521"/>
      <c r="DT58" s="521"/>
      <c r="DU58" s="521"/>
      <c r="DV58" s="521"/>
      <c r="DW58" s="521"/>
      <c r="DX58" s="521"/>
      <c r="DY58" s="521"/>
      <c r="DZ58" s="521"/>
      <c r="EA58" s="521"/>
      <c r="EB58" s="521"/>
      <c r="EC58" s="521"/>
      <c r="ED58" s="521"/>
      <c r="EE58" s="521"/>
      <c r="EF58" s="521"/>
      <c r="EG58" s="521"/>
      <c r="EH58" s="521"/>
      <c r="EI58" s="521"/>
      <c r="EJ58" s="521"/>
      <c r="EK58" s="521"/>
      <c r="EL58" s="521"/>
      <c r="EM58" s="521"/>
      <c r="EN58" s="521"/>
      <c r="EO58" s="521"/>
      <c r="EP58" s="521"/>
      <c r="EQ58" s="521"/>
      <c r="ER58" s="521"/>
      <c r="ES58" s="521"/>
      <c r="ET58" s="521"/>
      <c r="EU58" s="521"/>
      <c r="EV58" s="521"/>
      <c r="EW58" s="521"/>
      <c r="EX58" s="521"/>
      <c r="EY58" s="521"/>
      <c r="EZ58" s="521"/>
      <c r="FA58" s="521"/>
      <c r="FB58" s="521"/>
      <c r="FC58" s="521"/>
      <c r="FD58" s="521"/>
      <c r="FE58" s="521"/>
      <c r="FF58" s="521"/>
      <c r="FG58" s="521"/>
      <c r="FH58" s="521"/>
      <c r="FI58" s="521"/>
      <c r="FJ58" s="521"/>
      <c r="FK58" s="521"/>
      <c r="FL58" s="521"/>
      <c r="FM58" s="521"/>
      <c r="FN58" s="521"/>
      <c r="FO58" s="521"/>
      <c r="FP58" s="521"/>
      <c r="FQ58" s="521"/>
      <c r="FR58" s="521"/>
      <c r="FS58" s="521"/>
      <c r="FT58" s="521"/>
      <c r="FU58" s="521"/>
      <c r="FV58" s="521"/>
      <c r="FW58" s="521"/>
      <c r="FX58" s="521"/>
      <c r="FY58" s="521"/>
      <c r="FZ58" s="521"/>
      <c r="GA58" s="521"/>
      <c r="GB58" s="521"/>
      <c r="GC58" s="521"/>
      <c r="GD58" s="521"/>
      <c r="GE58" s="521"/>
      <c r="GF58" s="521"/>
      <c r="GG58" s="521"/>
      <c r="GH58" s="521"/>
      <c r="GI58" s="521"/>
      <c r="GJ58" s="521"/>
      <c r="GK58" s="521"/>
      <c r="GL58" s="521"/>
      <c r="GM58" s="521"/>
      <c r="GN58" s="521"/>
      <c r="GO58" s="521"/>
      <c r="GP58" s="521"/>
      <c r="GQ58" s="521"/>
      <c r="GR58" s="521"/>
      <c r="GS58" s="521"/>
      <c r="GT58" s="521"/>
      <c r="GU58" s="521"/>
      <c r="GV58" s="521"/>
      <c r="GW58" s="521"/>
      <c r="GX58" s="521"/>
      <c r="GY58" s="521"/>
      <c r="GZ58" s="521"/>
      <c r="HA58" s="521"/>
      <c r="HB58" s="521"/>
      <c r="HC58" s="521"/>
      <c r="HD58" s="521"/>
      <c r="HE58" s="521"/>
      <c r="HF58" s="521"/>
      <c r="HG58" s="521"/>
      <c r="HH58" s="521"/>
      <c r="HI58" s="521"/>
      <c r="HJ58" s="521"/>
      <c r="HK58" s="521"/>
      <c r="HL58" s="521"/>
      <c r="HM58" s="521"/>
      <c r="HN58" s="521"/>
      <c r="HO58" s="521"/>
      <c r="HP58" s="521"/>
      <c r="HQ58" s="521"/>
      <c r="HR58" s="521"/>
      <c r="HS58" s="521"/>
      <c r="HT58" s="521"/>
      <c r="HU58" s="521"/>
      <c r="HV58" s="521"/>
      <c r="HW58" s="521"/>
      <c r="HX58" s="521"/>
      <c r="HY58" s="521"/>
      <c r="HZ58" s="521"/>
      <c r="IA58" s="521"/>
      <c r="IB58" s="521"/>
      <c r="IC58" s="521"/>
      <c r="ID58" s="521"/>
      <c r="IE58" s="521"/>
      <c r="IF58" s="521"/>
      <c r="IG58" s="521"/>
      <c r="IH58" s="521"/>
      <c r="II58" s="521"/>
      <c r="IJ58" s="521"/>
      <c r="IK58" s="521"/>
      <c r="IL58" s="521"/>
      <c r="IM58" s="521"/>
      <c r="IN58" s="521"/>
      <c r="IO58" s="521"/>
    </row>
    <row r="59" spans="1:250" s="508" customFormat="1" ht="12.75">
      <c r="A59" s="1742" t="s">
        <v>124</v>
      </c>
      <c r="B59" s="1742"/>
      <c r="C59" s="1742"/>
      <c r="D59" s="1742"/>
      <c r="E59" s="1742"/>
      <c r="F59" s="1742"/>
      <c r="G59" s="1742"/>
      <c r="H59" s="1742"/>
      <c r="I59" s="1742"/>
      <c r="J59" s="1742"/>
      <c r="K59" s="1742"/>
      <c r="L59" s="1742"/>
      <c r="M59" s="1742"/>
      <c r="N59" s="1742"/>
      <c r="O59" s="1742"/>
      <c r="P59" s="1742"/>
      <c r="Q59" s="1742"/>
      <c r="R59" s="1742"/>
      <c r="S59" s="1742"/>
      <c r="T59" s="1742"/>
      <c r="U59" s="1742"/>
      <c r="V59" s="1742"/>
      <c r="W59" s="521"/>
      <c r="X59" s="521"/>
      <c r="Y59" s="1740" t="s">
        <v>125</v>
      </c>
      <c r="Z59" s="1740"/>
      <c r="AA59" s="1740"/>
      <c r="AB59" s="1740"/>
      <c r="AC59" s="1740"/>
      <c r="AD59" s="1740"/>
      <c r="AE59" s="1740"/>
      <c r="AF59" s="1740"/>
      <c r="AG59" s="1740"/>
      <c r="AH59" s="1740"/>
      <c r="AI59" s="1740"/>
      <c r="AJ59" s="1740"/>
      <c r="AK59" s="1740"/>
      <c r="AL59" s="1740"/>
      <c r="AM59" s="1740"/>
      <c r="AN59" s="1740"/>
      <c r="AO59" s="1740"/>
      <c r="AP59" s="1740"/>
      <c r="AQ59" s="1740"/>
      <c r="AR59" s="1740"/>
      <c r="AS59" s="1740"/>
      <c r="AT59" s="1740"/>
      <c r="AU59" s="1740"/>
      <c r="AV59" s="1740"/>
      <c r="AW59" s="1740"/>
      <c r="AX59" s="1740"/>
      <c r="AY59" s="1740"/>
      <c r="AZ59" s="1740"/>
      <c r="BA59" s="1740"/>
      <c r="BB59" s="1740"/>
      <c r="BC59" s="1740"/>
      <c r="BD59" s="1740"/>
      <c r="BE59" s="1740"/>
      <c r="BF59" s="1740"/>
      <c r="BG59" s="1740"/>
      <c r="BH59" s="1740"/>
      <c r="BI59" s="1740"/>
      <c r="BJ59" s="1740"/>
      <c r="BK59" s="1740"/>
      <c r="BL59" s="1740"/>
      <c r="BM59" s="1740"/>
      <c r="BN59" s="1740"/>
      <c r="BO59" s="1740"/>
      <c r="BP59" s="1740"/>
      <c r="BQ59" s="1740"/>
      <c r="BR59" s="1740"/>
      <c r="BS59" s="1740"/>
      <c r="BT59" s="1740"/>
      <c r="BU59" s="1740"/>
      <c r="BV59" s="1740"/>
      <c r="BW59" s="1740"/>
      <c r="BX59" s="1740"/>
      <c r="BY59" s="1740"/>
      <c r="BZ59" s="1740"/>
      <c r="CA59" s="1740"/>
      <c r="CB59" s="521"/>
      <c r="CC59" s="521"/>
      <c r="CD59" s="521"/>
      <c r="CE59" s="521"/>
      <c r="CF59" s="521"/>
      <c r="CG59" s="521"/>
      <c r="CH59" s="521"/>
      <c r="CI59" s="521"/>
      <c r="CJ59" s="521"/>
      <c r="CK59" s="521"/>
      <c r="CL59" s="521"/>
      <c r="CM59" s="521"/>
      <c r="CN59" s="521"/>
      <c r="CO59" s="521"/>
      <c r="CP59" s="521"/>
      <c r="CQ59" s="521"/>
      <c r="CR59" s="521"/>
      <c r="CS59" s="521"/>
      <c r="CT59" s="521"/>
      <c r="CU59" s="521"/>
      <c r="CV59" s="1741" t="s">
        <v>126</v>
      </c>
      <c r="CW59" s="1741"/>
      <c r="CX59" s="1741"/>
      <c r="CY59" s="1741"/>
      <c r="CZ59" s="1741"/>
      <c r="DA59" s="1741"/>
      <c r="DB59" s="1741"/>
      <c r="DC59" s="1741"/>
      <c r="DD59" s="1741"/>
      <c r="DE59" s="1741"/>
      <c r="DF59" s="1741"/>
      <c r="DG59" s="1741"/>
      <c r="DH59" s="1741"/>
      <c r="DI59" s="1741"/>
      <c r="DJ59" s="1741"/>
      <c r="DK59" s="1741"/>
      <c r="DL59" s="1741"/>
      <c r="DM59" s="1741"/>
      <c r="DN59" s="1741"/>
      <c r="DO59" s="1741"/>
      <c r="DP59" s="1741"/>
      <c r="DQ59" s="1741"/>
      <c r="DR59" s="1741"/>
      <c r="DS59" s="1741"/>
      <c r="DT59" s="1741"/>
      <c r="DU59" s="1741"/>
      <c r="DV59" s="1741"/>
      <c r="DW59" s="1741"/>
      <c r="DX59" s="1741"/>
      <c r="DY59" s="1741"/>
      <c r="DZ59" s="1741"/>
      <c r="EA59" s="1741"/>
      <c r="EB59" s="1741"/>
      <c r="EC59" s="1741"/>
      <c r="ED59" s="1741"/>
      <c r="EE59" s="1741"/>
      <c r="EF59" s="1741"/>
      <c r="EG59" s="1741"/>
      <c r="EH59" s="1741"/>
      <c r="EI59" s="1741"/>
      <c r="EJ59" s="1741"/>
      <c r="EK59" s="1741"/>
      <c r="EL59" s="1741"/>
      <c r="EM59" s="1741"/>
      <c r="EN59" s="1741"/>
      <c r="EO59" s="1741"/>
      <c r="EP59" s="1741"/>
      <c r="EQ59" s="1741"/>
      <c r="ER59" s="1741"/>
      <c r="ES59" s="1741"/>
      <c r="ET59" s="1741"/>
      <c r="EU59" s="521"/>
      <c r="EV59" s="521"/>
      <c r="EW59" s="521"/>
      <c r="EX59" s="521"/>
      <c r="EY59" s="521"/>
      <c r="EZ59" s="521"/>
      <c r="FA59" s="521"/>
      <c r="FB59" s="521"/>
      <c r="FC59" s="521"/>
      <c r="FD59" s="521"/>
      <c r="FE59" s="521"/>
      <c r="FF59" s="521"/>
      <c r="FG59" s="521"/>
      <c r="FH59" s="521"/>
      <c r="FI59" s="521"/>
      <c r="FJ59" s="521"/>
      <c r="FK59" s="521"/>
      <c r="FL59" s="521"/>
      <c r="FM59" s="521"/>
      <c r="FN59" s="521"/>
      <c r="FO59" s="521"/>
      <c r="FP59" s="521"/>
      <c r="FQ59" s="521"/>
      <c r="FR59" s="521"/>
      <c r="FS59" s="521"/>
      <c r="FT59" s="521"/>
      <c r="FU59" s="521"/>
      <c r="FV59" s="521"/>
      <c r="FW59" s="521"/>
      <c r="FX59" s="521"/>
      <c r="FY59" s="521"/>
      <c r="FZ59" s="521"/>
      <c r="GA59" s="521"/>
      <c r="GB59" s="521"/>
      <c r="GC59" s="521"/>
      <c r="GD59" s="521"/>
      <c r="GE59" s="521"/>
      <c r="GF59" s="521"/>
      <c r="GG59" s="521"/>
      <c r="GH59" s="521"/>
      <c r="GI59" s="521"/>
      <c r="GJ59" s="521"/>
      <c r="GK59" s="521"/>
      <c r="GL59" s="521"/>
      <c r="GM59" s="521"/>
      <c r="GN59" s="521"/>
      <c r="GO59" s="521"/>
      <c r="GP59" s="521"/>
      <c r="GQ59" s="521"/>
      <c r="GR59" s="521"/>
      <c r="GS59" s="521"/>
      <c r="GT59" s="521"/>
      <c r="GU59" s="521"/>
      <c r="GV59" s="521"/>
      <c r="GW59" s="521"/>
      <c r="GX59" s="521"/>
      <c r="GY59" s="521"/>
      <c r="GZ59" s="521"/>
      <c r="HA59" s="521"/>
      <c r="HB59" s="521"/>
      <c r="HC59" s="521"/>
      <c r="HD59" s="521"/>
      <c r="HE59" s="521"/>
      <c r="HF59" s="521"/>
      <c r="HG59" s="521"/>
      <c r="HH59" s="521"/>
      <c r="HI59" s="521"/>
      <c r="HJ59" s="521"/>
      <c r="HK59" s="521"/>
      <c r="HL59" s="521"/>
      <c r="HM59" s="521"/>
      <c r="HN59" s="521"/>
      <c r="HO59" s="521"/>
      <c r="HP59" s="521"/>
      <c r="HQ59" s="521"/>
      <c r="HR59" s="521"/>
      <c r="HS59" s="521"/>
      <c r="HT59" s="521"/>
      <c r="HU59" s="521"/>
      <c r="HV59" s="521"/>
      <c r="HW59" s="521"/>
      <c r="HX59" s="521"/>
      <c r="HY59" s="521"/>
      <c r="HZ59" s="521"/>
      <c r="IA59" s="521"/>
      <c r="IB59" s="521"/>
      <c r="IC59" s="521"/>
      <c r="ID59" s="521"/>
      <c r="IE59" s="521"/>
      <c r="IF59" s="521"/>
      <c r="IG59" s="521"/>
      <c r="IH59" s="521"/>
      <c r="II59" s="521"/>
      <c r="IJ59" s="521"/>
      <c r="IK59" s="521"/>
      <c r="IL59" s="521"/>
      <c r="IM59" s="521"/>
      <c r="IN59" s="521"/>
      <c r="IO59" s="521"/>
    </row>
    <row r="60" spans="1:250" s="508" customFormat="1" ht="12.75">
      <c r="A60" s="521"/>
      <c r="B60" s="521"/>
      <c r="C60" s="521"/>
      <c r="D60" s="521"/>
      <c r="E60" s="521"/>
      <c r="F60" s="521"/>
      <c r="G60" s="521"/>
      <c r="H60" s="521"/>
      <c r="I60" s="521"/>
      <c r="J60" s="521"/>
      <c r="K60" s="521"/>
      <c r="L60" s="521"/>
      <c r="M60" s="521"/>
      <c r="N60" s="521"/>
      <c r="O60" s="521"/>
      <c r="P60" s="521"/>
      <c r="Q60" s="521"/>
      <c r="R60" s="521"/>
      <c r="S60" s="521"/>
      <c r="T60" s="521"/>
      <c r="U60" s="521"/>
      <c r="V60" s="521"/>
      <c r="W60" s="521"/>
      <c r="X60" s="1732" t="s">
        <v>183</v>
      </c>
      <c r="Y60" s="1732"/>
      <c r="Z60" s="1732"/>
      <c r="AA60" s="1732"/>
      <c r="AB60" s="1732"/>
      <c r="AC60" s="1732"/>
      <c r="AD60" s="1732"/>
      <c r="AE60" s="1732"/>
      <c r="AF60" s="1732"/>
      <c r="AG60" s="1732"/>
      <c r="AH60" s="1732"/>
      <c r="AI60" s="1732"/>
      <c r="AJ60" s="1732"/>
      <c r="AK60" s="1732"/>
      <c r="AL60" s="1732"/>
      <c r="AM60" s="1732"/>
      <c r="AN60" s="1732"/>
      <c r="AO60" s="1732"/>
      <c r="AP60" s="1732"/>
      <c r="AQ60" s="1732"/>
      <c r="AR60" s="1732"/>
      <c r="AS60" s="1732"/>
      <c r="AT60" s="1732"/>
      <c r="AU60" s="1732"/>
      <c r="AV60" s="1732"/>
      <c r="AW60" s="1732"/>
      <c r="AX60" s="1732"/>
      <c r="AY60" s="1732"/>
      <c r="AZ60" s="1732"/>
      <c r="BA60" s="1732"/>
      <c r="BB60" s="1732"/>
      <c r="BC60" s="1732"/>
      <c r="BD60" s="1732"/>
      <c r="BE60" s="1732"/>
      <c r="BF60" s="1732"/>
      <c r="BG60" s="1732"/>
      <c r="BH60" s="1732"/>
      <c r="BI60" s="1732"/>
      <c r="BJ60" s="1732"/>
      <c r="BK60" s="1732"/>
      <c r="BL60" s="1732"/>
      <c r="BM60" s="1732"/>
      <c r="BN60" s="1732"/>
      <c r="BO60" s="1732"/>
      <c r="BP60" s="1732"/>
      <c r="BQ60" s="1732"/>
      <c r="BR60" s="1732"/>
      <c r="BS60" s="1732"/>
      <c r="BT60" s="1732"/>
      <c r="BU60" s="1732"/>
      <c r="BV60" s="1732"/>
      <c r="BW60" s="1732"/>
      <c r="BX60" s="1732"/>
      <c r="BY60" s="1732"/>
      <c r="BZ60" s="1732"/>
      <c r="CA60" s="1732"/>
      <c r="CB60" s="821"/>
      <c r="CC60" s="821"/>
      <c r="CD60" s="1727" t="s">
        <v>80</v>
      </c>
      <c r="CE60" s="1727"/>
      <c r="CF60" s="1727"/>
      <c r="CG60" s="1727"/>
      <c r="CH60" s="1727"/>
      <c r="CI60" s="1727"/>
      <c r="CJ60" s="1727"/>
      <c r="CK60" s="1727"/>
      <c r="CL60" s="1727"/>
      <c r="CM60" s="1727"/>
      <c r="CN60" s="1727"/>
      <c r="CO60" s="1727"/>
      <c r="CP60" s="1727"/>
      <c r="CQ60" s="1727"/>
      <c r="CR60" s="1727"/>
      <c r="CS60" s="1727"/>
      <c r="CT60" s="821"/>
      <c r="CU60" s="821"/>
      <c r="CV60" s="1727" t="s">
        <v>182</v>
      </c>
      <c r="CW60" s="1727"/>
      <c r="CX60" s="1727"/>
      <c r="CY60" s="1727"/>
      <c r="CZ60" s="1727"/>
      <c r="DA60" s="1727"/>
      <c r="DB60" s="1727"/>
      <c r="DC60" s="1727"/>
      <c r="DD60" s="1727"/>
      <c r="DE60" s="1727"/>
      <c r="DF60" s="1727"/>
      <c r="DG60" s="1727"/>
      <c r="DH60" s="1727"/>
      <c r="DI60" s="1727"/>
      <c r="DJ60" s="1727"/>
      <c r="DK60" s="1727"/>
      <c r="DL60" s="1727"/>
      <c r="DM60" s="1727"/>
      <c r="DN60" s="1727"/>
      <c r="DO60" s="1727"/>
      <c r="DP60" s="1727"/>
      <c r="DQ60" s="1727"/>
      <c r="DR60" s="1727"/>
      <c r="DS60" s="1727"/>
      <c r="DT60" s="1727"/>
      <c r="DU60" s="1727"/>
      <c r="DV60" s="1727"/>
      <c r="DW60" s="1727"/>
      <c r="DX60" s="1727"/>
      <c r="DY60" s="1727"/>
      <c r="DZ60" s="1727"/>
      <c r="EA60" s="1727"/>
      <c r="EB60" s="1727"/>
      <c r="EC60" s="1727"/>
      <c r="ED60" s="1727"/>
      <c r="EE60" s="1727"/>
      <c r="EF60" s="1727"/>
      <c r="EG60" s="1727"/>
      <c r="EH60" s="1727"/>
      <c r="EI60" s="1727"/>
      <c r="EJ60" s="1727"/>
      <c r="EK60" s="1727"/>
      <c r="EL60" s="1727"/>
      <c r="EM60" s="1727"/>
      <c r="EN60" s="1727"/>
      <c r="EO60" s="1727"/>
      <c r="EP60" s="1727"/>
      <c r="EQ60" s="1727"/>
      <c r="ER60" s="1727"/>
      <c r="ES60" s="1727"/>
      <c r="ET60" s="1727"/>
      <c r="EU60" s="521"/>
      <c r="EV60" s="521"/>
      <c r="EW60" s="521"/>
      <c r="EX60" s="521"/>
      <c r="EY60" s="521"/>
      <c r="EZ60" s="521"/>
      <c r="FA60" s="521"/>
      <c r="FB60" s="521"/>
      <c r="FC60" s="521"/>
      <c r="FD60" s="521"/>
      <c r="FE60" s="521"/>
      <c r="FF60" s="521"/>
      <c r="FG60" s="521"/>
      <c r="FH60" s="521"/>
      <c r="FI60" s="521"/>
      <c r="FJ60" s="521"/>
      <c r="FK60" s="521"/>
      <c r="FL60" s="521"/>
      <c r="FM60" s="521"/>
      <c r="FN60" s="521"/>
      <c r="FO60" s="521"/>
      <c r="FP60" s="521"/>
      <c r="FQ60" s="521"/>
      <c r="FR60" s="521"/>
      <c r="FS60" s="521"/>
      <c r="FT60" s="521"/>
      <c r="FU60" s="521"/>
      <c r="FV60" s="521"/>
      <c r="FW60" s="521"/>
      <c r="FX60" s="521"/>
      <c r="FY60" s="521"/>
      <c r="FZ60" s="521"/>
      <c r="GA60" s="521"/>
      <c r="GB60" s="521"/>
      <c r="GC60" s="521"/>
      <c r="GD60" s="521"/>
      <c r="GE60" s="521"/>
      <c r="GF60" s="521"/>
      <c r="GG60" s="521"/>
      <c r="GH60" s="521"/>
      <c r="GI60" s="521"/>
      <c r="GJ60" s="521"/>
      <c r="GK60" s="521"/>
      <c r="GL60" s="521"/>
      <c r="GM60" s="521"/>
      <c r="GN60" s="521"/>
      <c r="GO60" s="521"/>
      <c r="GP60" s="521"/>
      <c r="GQ60" s="521"/>
      <c r="GR60" s="521"/>
      <c r="GS60" s="521"/>
      <c r="GT60" s="521"/>
      <c r="GU60" s="521"/>
      <c r="GV60" s="521"/>
      <c r="GW60" s="521"/>
      <c r="GX60" s="521"/>
      <c r="GY60" s="521"/>
      <c r="GZ60" s="521"/>
      <c r="HA60" s="521"/>
      <c r="HB60" s="521"/>
      <c r="HC60" s="521"/>
      <c r="HD60" s="521"/>
      <c r="HE60" s="521"/>
      <c r="HF60" s="521"/>
      <c r="HG60" s="521"/>
      <c r="HH60" s="521"/>
      <c r="HI60" s="521"/>
      <c r="HJ60" s="521"/>
      <c r="HK60" s="521"/>
      <c r="HL60" s="521"/>
      <c r="HM60" s="521"/>
      <c r="HN60" s="521"/>
      <c r="HO60" s="521"/>
      <c r="HP60" s="521"/>
      <c r="HQ60" s="521"/>
      <c r="HR60" s="521"/>
      <c r="HS60" s="521"/>
      <c r="HT60" s="521"/>
      <c r="HU60" s="521"/>
      <c r="HV60" s="521"/>
      <c r="HW60" s="521"/>
      <c r="HX60" s="521"/>
      <c r="HY60" s="521"/>
      <c r="HZ60" s="521"/>
      <c r="IA60" s="521"/>
      <c r="IB60" s="521"/>
      <c r="IC60" s="521"/>
      <c r="ID60" s="521"/>
      <c r="IE60" s="521"/>
      <c r="IF60" s="521"/>
      <c r="IG60" s="521"/>
      <c r="IH60" s="521"/>
      <c r="II60" s="521"/>
      <c r="IJ60" s="521"/>
      <c r="IK60" s="521"/>
      <c r="IL60" s="521"/>
      <c r="IM60" s="521"/>
      <c r="IN60" s="521"/>
      <c r="IO60" s="521"/>
    </row>
    <row r="61" spans="1:250" s="508" customFormat="1" ht="12.75">
      <c r="A61" s="1739" t="s">
        <v>127</v>
      </c>
      <c r="B61" s="1739"/>
      <c r="C61" s="1739"/>
      <c r="D61" s="1739"/>
      <c r="E61" s="1739"/>
      <c r="F61" s="1739"/>
      <c r="G61" s="1739"/>
      <c r="H61" s="1739"/>
      <c r="I61" s="1739"/>
      <c r="J61" s="1739"/>
      <c r="K61" s="1739"/>
      <c r="L61" s="1739"/>
      <c r="M61" s="1739"/>
      <c r="N61" s="1739"/>
      <c r="O61" s="1739"/>
      <c r="P61" s="1739"/>
      <c r="Q61" s="521"/>
      <c r="R61" s="521"/>
      <c r="S61" s="521"/>
      <c r="T61" s="521"/>
      <c r="U61" s="521"/>
      <c r="V61" s="521"/>
      <c r="W61" s="521"/>
      <c r="X61" s="521"/>
      <c r="Y61" s="521"/>
      <c r="Z61" s="521"/>
      <c r="AA61" s="521"/>
      <c r="AB61" s="521"/>
      <c r="AC61" s="521"/>
      <c r="AD61" s="521"/>
      <c r="AE61" s="521"/>
      <c r="AF61" s="521"/>
      <c r="AG61" s="521"/>
      <c r="AH61" s="521"/>
      <c r="AI61" s="521"/>
      <c r="AJ61" s="521"/>
      <c r="AK61" s="521"/>
      <c r="AL61" s="521"/>
      <c r="AM61" s="521"/>
      <c r="AN61" s="521"/>
      <c r="AO61" s="521"/>
      <c r="AP61" s="521"/>
      <c r="AQ61" s="521"/>
      <c r="AR61" s="521"/>
      <c r="AS61" s="521"/>
      <c r="AT61" s="521"/>
      <c r="AU61" s="521"/>
      <c r="AV61" s="521"/>
      <c r="AW61" s="521"/>
      <c r="AX61" s="521"/>
      <c r="AY61" s="521"/>
      <c r="AZ61" s="521"/>
      <c r="BA61" s="521"/>
      <c r="BB61" s="521"/>
      <c r="BC61" s="521"/>
      <c r="BD61" s="521"/>
      <c r="BE61" s="521"/>
      <c r="BF61" s="521"/>
      <c r="BG61" s="521"/>
      <c r="BH61" s="521"/>
      <c r="BI61" s="521"/>
      <c r="BJ61" s="521"/>
      <c r="BK61" s="521"/>
      <c r="BL61" s="521"/>
      <c r="BM61" s="521"/>
      <c r="BN61" s="521"/>
      <c r="BO61" s="521"/>
      <c r="BP61" s="521"/>
      <c r="BQ61" s="521"/>
      <c r="BR61" s="521"/>
      <c r="BS61" s="521"/>
      <c r="BT61" s="521"/>
      <c r="BU61" s="521"/>
      <c r="BV61" s="521"/>
      <c r="BW61" s="521"/>
      <c r="BX61" s="521"/>
      <c r="BY61" s="521"/>
      <c r="BZ61" s="521"/>
      <c r="CA61" s="521"/>
      <c r="CB61" s="521"/>
      <c r="CC61" s="521"/>
      <c r="CD61" s="521"/>
      <c r="CE61" s="521"/>
      <c r="CF61" s="521"/>
      <c r="CG61" s="521"/>
      <c r="CH61" s="521"/>
      <c r="CI61" s="521"/>
      <c r="CJ61" s="521"/>
      <c r="CK61" s="521"/>
      <c r="CL61" s="521"/>
      <c r="CM61" s="521"/>
      <c r="CN61" s="521"/>
      <c r="CO61" s="521"/>
      <c r="CP61" s="521"/>
      <c r="CQ61" s="521"/>
      <c r="CR61" s="521"/>
      <c r="CS61" s="521"/>
      <c r="CT61" s="521"/>
      <c r="CU61" s="521"/>
      <c r="CV61" s="521"/>
      <c r="CW61" s="521"/>
      <c r="CX61" s="521"/>
      <c r="CY61" s="521"/>
      <c r="CZ61" s="521"/>
      <c r="DA61" s="521"/>
      <c r="DB61" s="521"/>
      <c r="DC61" s="521"/>
      <c r="DD61" s="521"/>
      <c r="DE61" s="521"/>
      <c r="DF61" s="521"/>
      <c r="DG61" s="521"/>
      <c r="DH61" s="521"/>
      <c r="DI61" s="521"/>
      <c r="DJ61" s="521"/>
      <c r="DK61" s="521"/>
      <c r="DL61" s="521"/>
      <c r="DM61" s="521"/>
      <c r="DN61" s="521"/>
      <c r="DO61" s="521"/>
      <c r="DP61" s="521"/>
      <c r="DQ61" s="521"/>
      <c r="DR61" s="521"/>
      <c r="DS61" s="521"/>
      <c r="DT61" s="521"/>
      <c r="DU61" s="521"/>
      <c r="DV61" s="521"/>
      <c r="DW61" s="521"/>
      <c r="DX61" s="521"/>
      <c r="DY61" s="521"/>
      <c r="DZ61" s="521"/>
      <c r="EA61" s="521"/>
      <c r="EB61" s="521"/>
      <c r="EC61" s="521"/>
      <c r="ED61" s="521"/>
      <c r="EE61" s="521"/>
      <c r="EF61" s="521"/>
      <c r="EG61" s="521"/>
      <c r="EH61" s="521"/>
      <c r="EI61" s="521"/>
      <c r="EJ61" s="521"/>
      <c r="EK61" s="521"/>
      <c r="EL61" s="521"/>
      <c r="EM61" s="521"/>
      <c r="EN61" s="521"/>
      <c r="EO61" s="521"/>
      <c r="EP61" s="521"/>
      <c r="EQ61" s="521"/>
      <c r="ER61" s="521"/>
      <c r="ES61" s="521"/>
      <c r="ET61" s="521"/>
      <c r="EU61" s="521"/>
      <c r="EV61" s="521"/>
      <c r="EW61" s="521"/>
      <c r="EX61" s="521"/>
      <c r="EY61" s="521"/>
      <c r="EZ61" s="521"/>
      <c r="FA61" s="521"/>
      <c r="FB61" s="521"/>
      <c r="FC61" s="521"/>
      <c r="FD61" s="521"/>
      <c r="FE61" s="521"/>
      <c r="FF61" s="521"/>
      <c r="FG61" s="521"/>
      <c r="FH61" s="521"/>
      <c r="FI61" s="521"/>
      <c r="FJ61" s="521"/>
      <c r="FK61" s="521"/>
      <c r="FL61" s="521"/>
      <c r="FM61" s="521"/>
      <c r="FN61" s="521"/>
      <c r="FO61" s="521"/>
      <c r="FP61" s="521"/>
      <c r="FQ61" s="521"/>
      <c r="FR61" s="521"/>
      <c r="FS61" s="521"/>
      <c r="FT61" s="521"/>
      <c r="FU61" s="521"/>
      <c r="FV61" s="521"/>
      <c r="FW61" s="521"/>
      <c r="FX61" s="521"/>
      <c r="FY61" s="521"/>
      <c r="FZ61" s="521"/>
      <c r="GA61" s="521"/>
      <c r="GB61" s="521"/>
      <c r="GC61" s="521"/>
      <c r="GD61" s="521"/>
      <c r="GE61" s="521"/>
      <c r="GF61" s="521"/>
      <c r="GG61" s="521"/>
      <c r="GH61" s="521"/>
      <c r="GI61" s="521"/>
      <c r="GJ61" s="521"/>
      <c r="GK61" s="521"/>
      <c r="GL61" s="521"/>
      <c r="GM61" s="521"/>
      <c r="GN61" s="521"/>
      <c r="GO61" s="521"/>
      <c r="GP61" s="521"/>
      <c r="GQ61" s="521"/>
      <c r="GR61" s="521"/>
      <c r="GS61" s="521"/>
      <c r="GT61" s="521"/>
      <c r="GU61" s="521"/>
      <c r="GV61" s="521"/>
      <c r="GW61" s="521"/>
      <c r="GX61" s="521"/>
      <c r="GY61" s="521"/>
      <c r="GZ61" s="521"/>
      <c r="HA61" s="521"/>
      <c r="HB61" s="521"/>
      <c r="HC61" s="521"/>
      <c r="HD61" s="521"/>
      <c r="HE61" s="521"/>
      <c r="HF61" s="521"/>
      <c r="HG61" s="521"/>
      <c r="HH61" s="521"/>
      <c r="HI61" s="521"/>
      <c r="HJ61" s="521"/>
      <c r="HK61" s="521"/>
      <c r="HL61" s="521"/>
      <c r="HM61" s="521"/>
      <c r="HN61" s="521"/>
      <c r="HO61" s="521"/>
      <c r="HP61" s="521"/>
      <c r="HQ61" s="521"/>
      <c r="HR61" s="521"/>
      <c r="HS61" s="521"/>
      <c r="HT61" s="521"/>
      <c r="HU61" s="521"/>
      <c r="HV61" s="521"/>
      <c r="HW61" s="521"/>
      <c r="HX61" s="521"/>
      <c r="HY61" s="521"/>
      <c r="HZ61" s="521"/>
      <c r="IA61" s="521"/>
      <c r="IB61" s="521"/>
      <c r="IC61" s="521"/>
      <c r="ID61" s="521"/>
      <c r="IE61" s="521"/>
      <c r="IF61" s="521"/>
      <c r="IG61" s="521"/>
      <c r="IH61" s="521"/>
      <c r="II61" s="521"/>
      <c r="IJ61" s="521"/>
      <c r="IK61" s="521"/>
      <c r="IL61" s="521"/>
      <c r="IM61" s="521"/>
      <c r="IN61" s="521"/>
      <c r="IO61" s="521"/>
    </row>
    <row r="62" spans="1:250" s="508" customFormat="1" ht="12.75">
      <c r="A62" s="521"/>
      <c r="B62" s="521"/>
      <c r="C62" s="521"/>
      <c r="D62" s="521"/>
      <c r="E62" s="521"/>
      <c r="F62" s="521"/>
      <c r="G62" s="521"/>
      <c r="H62" s="521"/>
      <c r="I62" s="521"/>
      <c r="J62" s="521"/>
      <c r="K62" s="521"/>
      <c r="L62" s="521"/>
      <c r="M62" s="521"/>
      <c r="N62" s="521"/>
      <c r="O62" s="521"/>
      <c r="P62" s="521"/>
      <c r="Q62" s="521"/>
      <c r="R62" s="521"/>
      <c r="S62" s="521"/>
      <c r="T62" s="521"/>
      <c r="U62" s="521"/>
      <c r="V62" s="521"/>
      <c r="W62" s="521"/>
      <c r="X62" s="521"/>
      <c r="Y62" s="1740" t="s">
        <v>3</v>
      </c>
      <c r="Z62" s="1740"/>
      <c r="AA62" s="1740"/>
      <c r="AB62" s="1740"/>
      <c r="AC62" s="1740"/>
      <c r="AD62" s="1740"/>
      <c r="AE62" s="1740"/>
      <c r="AF62" s="1740"/>
      <c r="AG62" s="1740"/>
      <c r="AH62" s="1740"/>
      <c r="AI62" s="1740"/>
      <c r="AJ62" s="1740"/>
      <c r="AK62" s="1740"/>
      <c r="AL62" s="1740"/>
      <c r="AM62" s="1740"/>
      <c r="AN62" s="1740"/>
      <c r="AO62" s="1740"/>
      <c r="AP62" s="1740"/>
      <c r="AQ62" s="1740"/>
      <c r="AR62" s="1740"/>
      <c r="AS62" s="1740"/>
      <c r="AT62" s="1740"/>
      <c r="AU62" s="1740"/>
      <c r="AV62" s="1740"/>
      <c r="AW62" s="1740"/>
      <c r="AX62" s="1740"/>
      <c r="AY62" s="1740"/>
      <c r="AZ62" s="1740"/>
      <c r="BA62" s="1740"/>
      <c r="BB62" s="1740"/>
      <c r="BC62" s="1740"/>
      <c r="BD62" s="1740"/>
      <c r="BE62" s="1740"/>
      <c r="BF62" s="1740"/>
      <c r="BG62" s="1740"/>
      <c r="BH62" s="1740"/>
      <c r="BI62" s="1740"/>
      <c r="BJ62" s="1740"/>
      <c r="BK62" s="1740"/>
      <c r="BL62" s="1740"/>
      <c r="BM62" s="1740"/>
      <c r="BN62" s="1740"/>
      <c r="BO62" s="1740"/>
      <c r="BP62" s="1740"/>
      <c r="BQ62" s="1740"/>
      <c r="BR62" s="1740"/>
      <c r="BS62" s="1740"/>
      <c r="BT62" s="1740"/>
      <c r="BU62" s="1740"/>
      <c r="BV62" s="1740"/>
      <c r="BW62" s="1740"/>
      <c r="BX62" s="1740"/>
      <c r="BY62" s="1740"/>
      <c r="BZ62" s="1740"/>
      <c r="CA62" s="1740"/>
      <c r="CB62" s="521"/>
      <c r="CC62" s="521"/>
      <c r="CD62" s="521"/>
      <c r="CE62" s="521"/>
      <c r="CF62" s="521"/>
      <c r="CG62" s="521"/>
      <c r="CH62" s="521"/>
      <c r="CI62" s="521"/>
      <c r="CJ62" s="521"/>
      <c r="CK62" s="521"/>
      <c r="CL62" s="521"/>
      <c r="CM62" s="521"/>
      <c r="CN62" s="521"/>
      <c r="CO62" s="521"/>
      <c r="CP62" s="521"/>
      <c r="CQ62" s="521"/>
      <c r="CR62" s="521"/>
      <c r="CS62" s="521"/>
      <c r="CT62" s="521"/>
      <c r="CU62" s="521"/>
      <c r="CV62" s="1741" t="s">
        <v>1</v>
      </c>
      <c r="CW62" s="1741"/>
      <c r="CX62" s="1741"/>
      <c r="CY62" s="1741"/>
      <c r="CZ62" s="1741"/>
      <c r="DA62" s="1741"/>
      <c r="DB62" s="1741"/>
      <c r="DC62" s="1741"/>
      <c r="DD62" s="1741"/>
      <c r="DE62" s="1741"/>
      <c r="DF62" s="1741"/>
      <c r="DG62" s="1741"/>
      <c r="DH62" s="1741"/>
      <c r="DI62" s="1741"/>
      <c r="DJ62" s="1741"/>
      <c r="DK62" s="1741"/>
      <c r="DL62" s="1741"/>
      <c r="DM62" s="1741"/>
      <c r="DN62" s="1741"/>
      <c r="DO62" s="1741"/>
      <c r="DP62" s="1741"/>
      <c r="DQ62" s="1741"/>
      <c r="DR62" s="1741"/>
      <c r="DS62" s="1741"/>
      <c r="DT62" s="1741"/>
      <c r="DU62" s="1741"/>
      <c r="DV62" s="1741"/>
      <c r="DW62" s="1741"/>
      <c r="DX62" s="1741"/>
      <c r="DY62" s="1741"/>
      <c r="DZ62" s="1741"/>
      <c r="EA62" s="1741"/>
      <c r="EB62" s="1741"/>
      <c r="EC62" s="1741"/>
      <c r="ED62" s="1741"/>
      <c r="EE62" s="1741"/>
      <c r="EF62" s="1741"/>
      <c r="EG62" s="1741"/>
      <c r="EH62" s="1741"/>
      <c r="EI62" s="1741"/>
      <c r="EJ62" s="1741"/>
      <c r="EK62" s="1741"/>
      <c r="EL62" s="1741"/>
      <c r="EM62" s="1741"/>
      <c r="EN62" s="1741"/>
      <c r="EO62" s="1741"/>
      <c r="EP62" s="1741"/>
      <c r="EQ62" s="1741"/>
      <c r="ER62" s="1741"/>
      <c r="ES62" s="1741"/>
      <c r="ET62" s="521"/>
      <c r="EU62" s="521"/>
      <c r="EV62" s="521"/>
      <c r="EW62" s="521"/>
      <c r="EX62" s="521"/>
      <c r="EY62" s="521"/>
      <c r="EZ62" s="521"/>
      <c r="FA62" s="521"/>
      <c r="FB62" s="521"/>
      <c r="FC62" s="521"/>
      <c r="FD62" s="521"/>
      <c r="FE62" s="521"/>
      <c r="FF62" s="521"/>
      <c r="FG62" s="521"/>
      <c r="FH62" s="521"/>
      <c r="FI62" s="521"/>
      <c r="FJ62" s="521"/>
      <c r="FK62" s="521"/>
      <c r="FL62" s="521"/>
      <c r="FM62" s="521"/>
      <c r="FN62" s="521"/>
      <c r="FO62" s="521"/>
      <c r="FP62" s="521"/>
      <c r="FQ62" s="521"/>
      <c r="FR62" s="521"/>
      <c r="FS62" s="521"/>
      <c r="FT62" s="521"/>
      <c r="FU62" s="521"/>
      <c r="FV62" s="521"/>
      <c r="FW62" s="521"/>
      <c r="FX62" s="521"/>
      <c r="FY62" s="521"/>
      <c r="FZ62" s="521"/>
      <c r="GA62" s="521"/>
      <c r="GB62" s="521"/>
      <c r="GC62" s="521"/>
      <c r="GD62" s="521"/>
      <c r="GE62" s="521"/>
      <c r="GF62" s="521"/>
      <c r="GG62" s="521"/>
      <c r="GH62" s="521"/>
      <c r="GI62" s="521"/>
      <c r="GJ62" s="521"/>
      <c r="GK62" s="521"/>
      <c r="GL62" s="521"/>
      <c r="GM62" s="521"/>
      <c r="GN62" s="521"/>
      <c r="GO62" s="521"/>
      <c r="GP62" s="521"/>
      <c r="GQ62" s="521"/>
      <c r="GR62" s="521"/>
      <c r="GS62" s="521"/>
      <c r="GT62" s="521"/>
      <c r="GU62" s="521"/>
      <c r="GV62" s="521"/>
      <c r="GW62" s="521"/>
      <c r="GX62" s="521"/>
      <c r="GY62" s="521"/>
      <c r="GZ62" s="521"/>
      <c r="HA62" s="521"/>
      <c r="HB62" s="521"/>
      <c r="HC62" s="521"/>
      <c r="HD62" s="521"/>
      <c r="HE62" s="521"/>
      <c r="HF62" s="521"/>
      <c r="HG62" s="521"/>
      <c r="HH62" s="521"/>
      <c r="HI62" s="521"/>
      <c r="HJ62" s="521"/>
      <c r="HK62" s="521"/>
      <c r="HL62" s="521"/>
      <c r="HM62" s="521"/>
      <c r="HN62" s="521"/>
      <c r="HO62" s="521"/>
      <c r="HP62" s="521"/>
      <c r="HQ62" s="521"/>
      <c r="HR62" s="521"/>
      <c r="HS62" s="521"/>
      <c r="HT62" s="521"/>
      <c r="HU62" s="521"/>
      <c r="HV62" s="521"/>
      <c r="HW62" s="521"/>
      <c r="HX62" s="521"/>
      <c r="HY62" s="521"/>
      <c r="HZ62" s="521"/>
      <c r="IA62" s="521"/>
      <c r="IB62" s="521"/>
      <c r="IC62" s="521"/>
      <c r="ID62" s="521"/>
      <c r="IE62" s="521"/>
      <c r="IF62" s="521"/>
      <c r="IG62" s="521"/>
      <c r="IH62" s="521"/>
      <c r="II62" s="521"/>
      <c r="IJ62" s="521"/>
      <c r="IK62" s="521"/>
      <c r="IL62" s="521"/>
      <c r="IM62" s="521"/>
      <c r="IN62" s="521"/>
      <c r="IO62" s="521"/>
    </row>
    <row r="63" spans="1:250" s="508" customFormat="1" ht="12.75">
      <c r="A63" s="521"/>
      <c r="B63" s="521"/>
      <c r="C63" s="521"/>
      <c r="D63" s="521"/>
      <c r="E63" s="521"/>
      <c r="F63" s="521"/>
      <c r="G63" s="521"/>
      <c r="H63" s="521"/>
      <c r="I63" s="521"/>
      <c r="J63" s="521"/>
      <c r="K63" s="521"/>
      <c r="L63" s="521"/>
      <c r="M63" s="521"/>
      <c r="N63" s="521"/>
      <c r="O63" s="521"/>
      <c r="P63" s="521"/>
      <c r="Q63" s="521"/>
      <c r="R63" s="521"/>
      <c r="S63" s="521"/>
      <c r="T63" s="521"/>
      <c r="U63" s="521"/>
      <c r="V63" s="521"/>
      <c r="W63" s="521"/>
      <c r="X63" s="521"/>
      <c r="Y63" s="1727" t="s">
        <v>183</v>
      </c>
      <c r="Z63" s="1727"/>
      <c r="AA63" s="1727"/>
      <c r="AB63" s="1727"/>
      <c r="AC63" s="1727"/>
      <c r="AD63" s="1727"/>
      <c r="AE63" s="1727"/>
      <c r="AF63" s="1727"/>
      <c r="AG63" s="1727"/>
      <c r="AH63" s="1727"/>
      <c r="AI63" s="1727"/>
      <c r="AJ63" s="1727"/>
      <c r="AK63" s="1727"/>
      <c r="AL63" s="1727"/>
      <c r="AM63" s="1727"/>
      <c r="AN63" s="1727"/>
      <c r="AO63" s="1727"/>
      <c r="AP63" s="1727"/>
      <c r="AQ63" s="1727"/>
      <c r="AR63" s="1727"/>
      <c r="AS63" s="1727"/>
      <c r="AT63" s="1727"/>
      <c r="AU63" s="1727"/>
      <c r="AV63" s="1727"/>
      <c r="AW63" s="1727"/>
      <c r="AX63" s="1727"/>
      <c r="AY63" s="1727"/>
      <c r="AZ63" s="1727"/>
      <c r="BA63" s="1727"/>
      <c r="BB63" s="1727"/>
      <c r="BC63" s="1727"/>
      <c r="BD63" s="1727"/>
      <c r="BE63" s="1727"/>
      <c r="BF63" s="1727"/>
      <c r="BG63" s="1727"/>
      <c r="BH63" s="1727"/>
      <c r="BI63" s="1727"/>
      <c r="BJ63" s="1727"/>
      <c r="BK63" s="1727"/>
      <c r="BL63" s="1727"/>
      <c r="BM63" s="1727"/>
      <c r="BN63" s="1727"/>
      <c r="BO63" s="1727"/>
      <c r="BP63" s="1727"/>
      <c r="BQ63" s="1727"/>
      <c r="BR63" s="1727"/>
      <c r="BS63" s="1727"/>
      <c r="BT63" s="1727"/>
      <c r="BU63" s="1727"/>
      <c r="BV63" s="1727"/>
      <c r="BW63" s="1727"/>
      <c r="BX63" s="1727"/>
      <c r="BY63" s="1727"/>
      <c r="BZ63" s="1727"/>
      <c r="CA63" s="1727"/>
      <c r="CB63" s="821"/>
      <c r="CC63" s="821"/>
      <c r="CD63" s="1727" t="s">
        <v>80</v>
      </c>
      <c r="CE63" s="1727"/>
      <c r="CF63" s="1727"/>
      <c r="CG63" s="1727"/>
      <c r="CH63" s="1727"/>
      <c r="CI63" s="1727"/>
      <c r="CJ63" s="1727"/>
      <c r="CK63" s="1727"/>
      <c r="CL63" s="1727"/>
      <c r="CM63" s="1727"/>
      <c r="CN63" s="1727"/>
      <c r="CO63" s="1727"/>
      <c r="CP63" s="1727"/>
      <c r="CQ63" s="1727"/>
      <c r="CR63" s="1727"/>
      <c r="CS63" s="1727"/>
      <c r="CT63" s="821"/>
      <c r="CU63" s="821"/>
      <c r="CV63" s="1727" t="s">
        <v>182</v>
      </c>
      <c r="CW63" s="1727"/>
      <c r="CX63" s="1727"/>
      <c r="CY63" s="1727"/>
      <c r="CZ63" s="1727"/>
      <c r="DA63" s="1727"/>
      <c r="DB63" s="1727"/>
      <c r="DC63" s="1727"/>
      <c r="DD63" s="1727"/>
      <c r="DE63" s="1727"/>
      <c r="DF63" s="1727"/>
      <c r="DG63" s="1727"/>
      <c r="DH63" s="1727"/>
      <c r="DI63" s="1727"/>
      <c r="DJ63" s="1727"/>
      <c r="DK63" s="1727"/>
      <c r="DL63" s="1727"/>
      <c r="DM63" s="1727"/>
      <c r="DN63" s="1727"/>
      <c r="DO63" s="1727"/>
      <c r="DP63" s="1727"/>
      <c r="DQ63" s="1727"/>
      <c r="DR63" s="1727"/>
      <c r="DS63" s="1727"/>
      <c r="DT63" s="1727"/>
      <c r="DU63" s="1727"/>
      <c r="DV63" s="1727"/>
      <c r="DW63" s="1727"/>
      <c r="DX63" s="1727"/>
      <c r="DY63" s="1727"/>
      <c r="DZ63" s="1727"/>
      <c r="EA63" s="1727"/>
      <c r="EB63" s="1727"/>
      <c r="EC63" s="1727"/>
      <c r="ED63" s="1727"/>
      <c r="EE63" s="1727"/>
      <c r="EF63" s="1727"/>
      <c r="EG63" s="1727"/>
      <c r="EH63" s="1727"/>
      <c r="EI63" s="1727"/>
      <c r="EJ63" s="1727"/>
      <c r="EK63" s="1727"/>
      <c r="EL63" s="1727"/>
      <c r="EM63" s="1727"/>
      <c r="EN63" s="1727"/>
      <c r="EO63" s="1727"/>
      <c r="EP63" s="1727"/>
      <c r="EQ63" s="1727"/>
      <c r="ER63" s="1727"/>
      <c r="ES63" s="1727"/>
      <c r="ET63" s="1727"/>
      <c r="EU63" s="521"/>
      <c r="EV63" s="521"/>
      <c r="EW63" s="521"/>
      <c r="EX63" s="521"/>
      <c r="EY63" s="521"/>
      <c r="EZ63" s="521"/>
      <c r="FA63" s="521"/>
      <c r="FB63" s="521"/>
      <c r="FC63" s="521"/>
      <c r="FD63" s="521"/>
      <c r="FE63" s="521"/>
      <c r="FF63" s="521"/>
      <c r="FG63" s="521"/>
      <c r="FH63" s="521"/>
      <c r="FI63" s="521"/>
      <c r="FJ63" s="521"/>
      <c r="FK63" s="521"/>
      <c r="FL63" s="521"/>
      <c r="FM63" s="521"/>
      <c r="FN63" s="521"/>
      <c r="FO63" s="521"/>
      <c r="FP63" s="521"/>
      <c r="FQ63" s="521"/>
      <c r="FR63" s="521"/>
      <c r="FS63" s="521"/>
      <c r="FT63" s="521"/>
      <c r="FU63" s="521"/>
      <c r="FV63" s="521"/>
      <c r="FW63" s="521"/>
      <c r="FX63" s="521"/>
      <c r="FY63" s="521"/>
      <c r="FZ63" s="521"/>
      <c r="GA63" s="521"/>
      <c r="GB63" s="521"/>
      <c r="GC63" s="521"/>
      <c r="GD63" s="521"/>
      <c r="GE63" s="521"/>
      <c r="GF63" s="521"/>
      <c r="GG63" s="521"/>
      <c r="GH63" s="521"/>
      <c r="GI63" s="521"/>
      <c r="GJ63" s="521"/>
      <c r="GK63" s="521"/>
      <c r="GL63" s="521"/>
      <c r="GM63" s="521"/>
      <c r="GN63" s="521"/>
      <c r="GO63" s="521"/>
      <c r="GP63" s="521"/>
      <c r="GQ63" s="521"/>
      <c r="GR63" s="521"/>
      <c r="GS63" s="521"/>
      <c r="GT63" s="521"/>
      <c r="GU63" s="521"/>
      <c r="GV63" s="521"/>
      <c r="GW63" s="521"/>
      <c r="GX63" s="521"/>
      <c r="GY63" s="521"/>
      <c r="GZ63" s="521"/>
      <c r="HA63" s="521"/>
      <c r="HB63" s="521"/>
      <c r="HC63" s="521"/>
      <c r="HD63" s="521"/>
      <c r="HE63" s="521"/>
      <c r="HF63" s="521"/>
      <c r="HG63" s="521"/>
      <c r="HH63" s="521"/>
      <c r="HI63" s="521"/>
      <c r="HJ63" s="521"/>
      <c r="HK63" s="521"/>
      <c r="HL63" s="521"/>
      <c r="HM63" s="521"/>
      <c r="HN63" s="521"/>
      <c r="HO63" s="521"/>
      <c r="HP63" s="521"/>
      <c r="HQ63" s="521"/>
      <c r="HR63" s="521"/>
      <c r="HS63" s="521"/>
      <c r="HT63" s="521"/>
      <c r="HU63" s="521"/>
      <c r="HV63" s="521"/>
      <c r="HW63" s="521"/>
      <c r="HX63" s="521"/>
      <c r="HY63" s="521"/>
      <c r="HZ63" s="521"/>
      <c r="IA63" s="521"/>
      <c r="IB63" s="521"/>
      <c r="IC63" s="521"/>
      <c r="ID63" s="521"/>
      <c r="IE63" s="521"/>
      <c r="IF63" s="521"/>
      <c r="IG63" s="521"/>
      <c r="IH63" s="521"/>
      <c r="II63" s="521"/>
      <c r="IJ63" s="521"/>
      <c r="IK63" s="521"/>
      <c r="IL63" s="521"/>
      <c r="IM63" s="521"/>
      <c r="IN63" s="521"/>
      <c r="IO63" s="521"/>
    </row>
    <row r="64" spans="1:250" s="508" customFormat="1" ht="12.75">
      <c r="A64" s="521"/>
      <c r="B64" s="521"/>
      <c r="C64" s="521"/>
      <c r="D64" s="521"/>
      <c r="E64" s="521"/>
      <c r="F64" s="521"/>
      <c r="G64" s="521"/>
      <c r="H64" s="521"/>
      <c r="I64" s="521"/>
      <c r="J64" s="521"/>
      <c r="K64" s="521"/>
      <c r="L64" s="521"/>
      <c r="M64" s="521"/>
      <c r="N64" s="521"/>
      <c r="O64" s="521"/>
      <c r="P64" s="521"/>
      <c r="Q64" s="521"/>
      <c r="R64" s="521"/>
      <c r="S64" s="521"/>
      <c r="T64" s="521"/>
      <c r="U64" s="521"/>
      <c r="V64" s="521"/>
      <c r="W64" s="521"/>
      <c r="X64" s="521"/>
      <c r="Y64" s="521"/>
      <c r="Z64" s="521"/>
      <c r="AA64" s="521"/>
      <c r="AB64" s="521"/>
      <c r="AC64" s="521"/>
      <c r="AD64" s="521"/>
      <c r="AE64" s="521"/>
      <c r="AF64" s="521"/>
      <c r="AG64" s="521"/>
      <c r="AH64" s="521"/>
      <c r="AI64" s="521"/>
      <c r="AJ64" s="521"/>
      <c r="AK64" s="521"/>
      <c r="AL64" s="521"/>
      <c r="AM64" s="521"/>
      <c r="AN64" s="521"/>
      <c r="AO64" s="521"/>
      <c r="AP64" s="521"/>
      <c r="AQ64" s="521"/>
      <c r="AR64" s="521"/>
      <c r="AS64" s="521"/>
      <c r="AT64" s="521"/>
      <c r="AU64" s="521"/>
      <c r="AV64" s="521"/>
      <c r="AW64" s="521"/>
      <c r="AX64" s="521"/>
      <c r="AY64" s="521"/>
      <c r="AZ64" s="521"/>
      <c r="BA64" s="521"/>
      <c r="BB64" s="521"/>
      <c r="BC64" s="521"/>
      <c r="BD64" s="521"/>
      <c r="BE64" s="521"/>
      <c r="BF64" s="521"/>
      <c r="BG64" s="521"/>
      <c r="BH64" s="521"/>
      <c r="BI64" s="521"/>
      <c r="BJ64" s="521"/>
      <c r="BK64" s="521"/>
      <c r="BL64" s="521"/>
      <c r="BM64" s="521"/>
      <c r="BN64" s="521"/>
      <c r="BO64" s="521"/>
      <c r="BP64" s="521"/>
      <c r="BQ64" s="521"/>
      <c r="BR64" s="521"/>
      <c r="BS64" s="521"/>
      <c r="BT64" s="521"/>
      <c r="BU64" s="521"/>
      <c r="BV64" s="521"/>
      <c r="BW64" s="521"/>
      <c r="BX64" s="521"/>
      <c r="BY64" s="521"/>
      <c r="BZ64" s="521"/>
      <c r="CA64" s="521"/>
      <c r="CB64" s="521"/>
      <c r="CC64" s="521"/>
      <c r="CD64" s="521"/>
      <c r="CE64" s="521"/>
      <c r="CF64" s="521"/>
      <c r="CG64" s="521"/>
      <c r="CH64" s="521"/>
      <c r="CI64" s="521"/>
      <c r="CJ64" s="521"/>
      <c r="CK64" s="521"/>
      <c r="CL64" s="521"/>
      <c r="CM64" s="521"/>
      <c r="CN64" s="521"/>
      <c r="CO64" s="521"/>
      <c r="CP64" s="521"/>
      <c r="CQ64" s="521"/>
      <c r="CR64" s="521"/>
      <c r="CS64" s="521"/>
      <c r="CT64" s="521"/>
      <c r="CU64" s="521"/>
      <c r="CV64" s="521"/>
      <c r="CW64" s="521"/>
      <c r="CX64" s="521"/>
      <c r="CY64" s="521"/>
      <c r="CZ64" s="521"/>
      <c r="DA64" s="521"/>
      <c r="DB64" s="521"/>
      <c r="DC64" s="521"/>
      <c r="DD64" s="521"/>
      <c r="DE64" s="521"/>
      <c r="DF64" s="521"/>
      <c r="DG64" s="521"/>
      <c r="DH64" s="521"/>
      <c r="DI64" s="521"/>
      <c r="DJ64" s="521"/>
      <c r="DK64" s="521"/>
      <c r="DL64" s="521"/>
      <c r="DM64" s="521"/>
      <c r="DN64" s="521"/>
      <c r="DO64" s="521"/>
      <c r="DP64" s="521"/>
      <c r="DQ64" s="521"/>
      <c r="DR64" s="521"/>
      <c r="DS64" s="521"/>
      <c r="DT64" s="521"/>
      <c r="DU64" s="521"/>
      <c r="DV64" s="521"/>
      <c r="DW64" s="521"/>
      <c r="DX64" s="521"/>
      <c r="DY64" s="521"/>
      <c r="DZ64" s="521"/>
      <c r="EA64" s="521"/>
      <c r="EB64" s="521"/>
      <c r="EC64" s="521"/>
      <c r="ED64" s="521"/>
      <c r="EE64" s="521"/>
      <c r="EF64" s="521"/>
      <c r="EG64" s="521"/>
      <c r="EH64" s="521"/>
      <c r="EI64" s="521"/>
      <c r="EJ64" s="521"/>
      <c r="EK64" s="521"/>
      <c r="EL64" s="521"/>
      <c r="EM64" s="521"/>
      <c r="EN64" s="521"/>
      <c r="EO64" s="521"/>
      <c r="EP64" s="521"/>
      <c r="EQ64" s="521"/>
      <c r="ER64" s="521"/>
      <c r="ES64" s="521"/>
      <c r="ET64" s="521"/>
      <c r="EU64" s="521"/>
      <c r="EV64" s="521"/>
      <c r="EW64" s="521"/>
      <c r="EX64" s="521"/>
      <c r="EY64" s="521"/>
      <c r="EZ64" s="521"/>
      <c r="FA64" s="521"/>
      <c r="FB64" s="521"/>
      <c r="FC64" s="521"/>
      <c r="FD64" s="521"/>
      <c r="FE64" s="521"/>
      <c r="FF64" s="521"/>
      <c r="FG64" s="521"/>
      <c r="FH64" s="521"/>
      <c r="FI64" s="521"/>
      <c r="FJ64" s="521"/>
      <c r="FK64" s="521"/>
      <c r="FL64" s="521"/>
      <c r="FM64" s="521"/>
      <c r="FN64" s="521"/>
      <c r="FO64" s="521"/>
      <c r="FP64" s="521"/>
      <c r="FQ64" s="521"/>
      <c r="FR64" s="521"/>
      <c r="FS64" s="521"/>
      <c r="FT64" s="521"/>
      <c r="FU64" s="521"/>
      <c r="FV64" s="521"/>
      <c r="FW64" s="521"/>
      <c r="FX64" s="521"/>
      <c r="FY64" s="521"/>
      <c r="FZ64" s="521"/>
      <c r="GA64" s="521"/>
      <c r="GB64" s="521"/>
      <c r="GC64" s="521"/>
      <c r="GD64" s="521"/>
      <c r="GE64" s="521"/>
      <c r="GF64" s="521"/>
      <c r="GG64" s="521"/>
      <c r="GH64" s="521"/>
      <c r="GI64" s="521"/>
      <c r="GJ64" s="521"/>
      <c r="GK64" s="521"/>
      <c r="GL64" s="521"/>
      <c r="GM64" s="521"/>
      <c r="GN64" s="521"/>
      <c r="GO64" s="521"/>
      <c r="GP64" s="521"/>
      <c r="GQ64" s="521"/>
      <c r="GR64" s="521"/>
      <c r="GS64" s="521"/>
      <c r="GT64" s="521"/>
      <c r="GU64" s="521"/>
      <c r="GV64" s="521"/>
      <c r="GW64" s="521"/>
      <c r="GX64" s="521"/>
      <c r="GY64" s="521"/>
      <c r="GZ64" s="521"/>
      <c r="HA64" s="521"/>
      <c r="HB64" s="521"/>
      <c r="HC64" s="521"/>
      <c r="HD64" s="521"/>
      <c r="HE64" s="521"/>
      <c r="HF64" s="521"/>
      <c r="HG64" s="521"/>
      <c r="HH64" s="521"/>
      <c r="HI64" s="521"/>
      <c r="HJ64" s="521"/>
      <c r="HK64" s="521"/>
      <c r="HL64" s="521"/>
      <c r="HM64" s="521"/>
      <c r="HN64" s="521"/>
      <c r="HO64" s="521"/>
      <c r="HP64" s="521"/>
      <c r="HQ64" s="521"/>
      <c r="HR64" s="521"/>
      <c r="HS64" s="521"/>
      <c r="HT64" s="521"/>
      <c r="HU64" s="521"/>
      <c r="HV64" s="521"/>
      <c r="HW64" s="521"/>
      <c r="HX64" s="521"/>
      <c r="HY64" s="521"/>
      <c r="HZ64" s="521"/>
      <c r="IA64" s="521"/>
      <c r="IB64" s="521"/>
      <c r="IC64" s="521"/>
      <c r="ID64" s="521"/>
      <c r="IE64" s="521"/>
      <c r="IF64" s="521"/>
      <c r="IG64" s="521"/>
      <c r="IH64" s="521"/>
      <c r="II64" s="521"/>
      <c r="IJ64" s="521"/>
      <c r="IK64" s="521"/>
      <c r="IL64" s="521"/>
      <c r="IM64" s="521"/>
      <c r="IN64" s="521"/>
      <c r="IO64" s="521"/>
    </row>
    <row r="65" spans="1:249" s="508" customFormat="1" ht="12.75">
      <c r="A65" s="1736"/>
      <c r="B65" s="1736"/>
      <c r="C65" s="1736"/>
      <c r="D65" s="1736"/>
      <c r="E65" s="1736"/>
      <c r="F65" s="513" t="s">
        <v>396</v>
      </c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513"/>
      <c r="R65" s="513"/>
      <c r="S65" s="513"/>
      <c r="T65" s="513"/>
      <c r="U65" s="513"/>
      <c r="V65" s="513"/>
      <c r="W65" s="513"/>
      <c r="X65" s="513"/>
      <c r="Y65" s="513"/>
      <c r="Z65" s="513"/>
      <c r="AA65" s="513"/>
      <c r="AB65" s="513"/>
      <c r="AC65" s="513"/>
      <c r="AD65" s="513"/>
      <c r="AE65" s="513"/>
      <c r="AF65" s="513"/>
      <c r="AG65" s="513"/>
      <c r="AH65" s="513"/>
      <c r="AI65" s="513"/>
      <c r="AJ65" s="513"/>
      <c r="AK65" s="513"/>
      <c r="AL65" s="513"/>
      <c r="AM65" s="513"/>
      <c r="AN65" s="513"/>
      <c r="AO65" s="513"/>
      <c r="AP65" s="513"/>
      <c r="AQ65" s="513"/>
      <c r="AR65" s="513"/>
      <c r="AS65" s="513"/>
      <c r="AT65" s="513"/>
      <c r="AU65" s="513"/>
      <c r="AV65" s="513"/>
      <c r="AW65" s="513"/>
      <c r="AX65" s="513"/>
      <c r="AY65" s="513"/>
      <c r="AZ65" s="513"/>
      <c r="BA65" s="513"/>
      <c r="BB65" s="513"/>
      <c r="BC65" s="513"/>
      <c r="BD65" s="513"/>
      <c r="BE65" s="513"/>
      <c r="BF65" s="513"/>
      <c r="BG65" s="513"/>
      <c r="BH65" s="513"/>
      <c r="BI65" s="513"/>
      <c r="BJ65" s="513"/>
      <c r="BK65" s="513"/>
      <c r="BL65" s="513"/>
      <c r="BM65" s="513"/>
      <c r="BN65" s="513"/>
      <c r="BO65" s="513"/>
      <c r="BP65" s="513"/>
      <c r="BQ65" s="513"/>
      <c r="BR65" s="513"/>
      <c r="BS65" s="513"/>
      <c r="BT65" s="513"/>
      <c r="BU65" s="513"/>
      <c r="BV65" s="513"/>
      <c r="BW65" s="513"/>
      <c r="BX65" s="513"/>
      <c r="BY65" s="513"/>
      <c r="BZ65" s="513"/>
      <c r="CA65" s="513"/>
      <c r="CB65" s="513"/>
      <c r="CC65" s="513"/>
      <c r="CD65" s="513"/>
      <c r="CE65" s="513"/>
      <c r="CF65" s="513"/>
      <c r="CG65" s="513"/>
      <c r="CH65" s="513"/>
      <c r="CI65" s="513"/>
      <c r="CJ65" s="513"/>
      <c r="CK65" s="513"/>
      <c r="CL65" s="513"/>
      <c r="CM65" s="513"/>
      <c r="CN65" s="513"/>
      <c r="CO65" s="513"/>
      <c r="CP65" s="513"/>
      <c r="CQ65" s="513"/>
      <c r="CR65" s="513"/>
      <c r="CS65" s="513"/>
      <c r="CT65" s="513"/>
      <c r="CU65" s="513"/>
      <c r="CV65" s="513"/>
      <c r="CW65" s="513"/>
      <c r="CX65" s="513"/>
      <c r="CY65" s="513"/>
      <c r="CZ65" s="513"/>
      <c r="DA65" s="513"/>
      <c r="DB65" s="513"/>
      <c r="DC65" s="513"/>
      <c r="DD65" s="513"/>
      <c r="DE65" s="513"/>
      <c r="DF65" s="521"/>
      <c r="DG65" s="509"/>
      <c r="DH65" s="509"/>
      <c r="DI65" s="509"/>
      <c r="DJ65" s="489"/>
      <c r="DK65" s="489"/>
      <c r="DL65" s="489"/>
      <c r="DM65" s="489"/>
      <c r="DN65" s="1737">
        <v>1</v>
      </c>
      <c r="DO65" s="1737"/>
      <c r="DP65" s="1737"/>
      <c r="DQ65" s="1737"/>
      <c r="DR65" s="1737"/>
      <c r="DS65" s="1737"/>
      <c r="DT65" s="1737"/>
      <c r="DU65" s="1737"/>
      <c r="DV65" s="1737"/>
      <c r="DW65" s="1737"/>
      <c r="DX65" s="521"/>
      <c r="DY65" s="509" t="s">
        <v>280</v>
      </c>
      <c r="DZ65" s="509"/>
      <c r="EA65" s="509"/>
      <c r="EB65" s="509"/>
      <c r="EC65" s="509"/>
      <c r="ED65" s="489"/>
      <c r="EE65" s="1737" t="s">
        <v>39</v>
      </c>
      <c r="EF65" s="1737"/>
      <c r="EG65" s="1737"/>
      <c r="EH65" s="1737"/>
      <c r="EI65" s="1737"/>
      <c r="EJ65" s="1737"/>
      <c r="EK65" s="1737"/>
      <c r="EL65" s="1737"/>
      <c r="EM65" s="1737"/>
      <c r="EN65" s="1737"/>
      <c r="EO65" s="1737"/>
      <c r="EP65" s="1737"/>
      <c r="EQ65" s="1737"/>
      <c r="ER65" s="1737"/>
      <c r="ES65" s="1737"/>
      <c r="ET65" s="1737"/>
      <c r="EU65" s="521"/>
      <c r="EV65" s="521"/>
      <c r="EW65" s="521"/>
      <c r="EX65" s="521"/>
      <c r="EY65" s="521"/>
      <c r="EZ65" s="521"/>
      <c r="FA65" s="521"/>
      <c r="FB65" s="521"/>
      <c r="FC65" s="521"/>
      <c r="FD65" s="521"/>
      <c r="FE65" s="521"/>
      <c r="FF65" s="521"/>
      <c r="FG65" s="521"/>
      <c r="FH65" s="521"/>
      <c r="FI65" s="521"/>
      <c r="FJ65" s="521"/>
      <c r="FK65" s="521"/>
      <c r="FL65" s="521"/>
      <c r="FM65" s="521"/>
      <c r="FN65" s="521"/>
      <c r="FO65" s="521"/>
      <c r="FP65" s="521"/>
      <c r="FQ65" s="521"/>
      <c r="FR65" s="521"/>
      <c r="FS65" s="521"/>
      <c r="FT65" s="521"/>
      <c r="FU65" s="521"/>
      <c r="FV65" s="521"/>
      <c r="FW65" s="521"/>
      <c r="FX65" s="521"/>
      <c r="FY65" s="521"/>
      <c r="FZ65" s="521"/>
      <c r="GA65" s="521"/>
      <c r="GB65" s="521"/>
      <c r="GC65" s="521"/>
      <c r="GD65" s="521"/>
      <c r="GE65" s="521"/>
      <c r="GF65" s="521"/>
      <c r="GG65" s="521"/>
      <c r="GH65" s="521"/>
      <c r="GI65" s="521"/>
      <c r="GJ65" s="521"/>
      <c r="GK65" s="521"/>
      <c r="GL65" s="521"/>
      <c r="GM65" s="521"/>
      <c r="GN65" s="521"/>
      <c r="GO65" s="521"/>
      <c r="GP65" s="521"/>
      <c r="GQ65" s="521"/>
      <c r="GR65" s="521"/>
      <c r="GS65" s="521"/>
      <c r="GT65" s="521"/>
      <c r="GU65" s="521"/>
      <c r="GV65" s="521"/>
      <c r="GW65" s="521"/>
      <c r="GX65" s="521"/>
      <c r="GY65" s="521"/>
      <c r="GZ65" s="521"/>
      <c r="HA65" s="521"/>
      <c r="HB65" s="521"/>
      <c r="HC65" s="521"/>
      <c r="HD65" s="521"/>
      <c r="HE65" s="521"/>
      <c r="HF65" s="521"/>
      <c r="HG65" s="521"/>
      <c r="HH65" s="521"/>
      <c r="HI65" s="521"/>
      <c r="HJ65" s="521"/>
      <c r="HK65" s="521"/>
      <c r="HL65" s="521"/>
      <c r="HM65" s="521"/>
      <c r="HN65" s="521"/>
      <c r="HO65" s="521"/>
      <c r="HP65" s="521"/>
      <c r="HQ65" s="521"/>
      <c r="HR65" s="521"/>
      <c r="HS65" s="521"/>
      <c r="HT65" s="521"/>
      <c r="HU65" s="521"/>
      <c r="HV65" s="521"/>
      <c r="HW65" s="521"/>
      <c r="HX65" s="521"/>
      <c r="HY65" s="521"/>
      <c r="HZ65" s="521"/>
      <c r="IA65" s="521"/>
      <c r="IB65" s="521"/>
      <c r="IC65" s="521"/>
      <c r="ID65" s="521"/>
      <c r="IE65" s="521"/>
      <c r="IF65" s="521"/>
      <c r="IG65" s="521"/>
      <c r="IH65" s="521"/>
      <c r="II65" s="521"/>
      <c r="IJ65" s="521"/>
      <c r="IK65" s="521"/>
      <c r="IL65" s="521"/>
      <c r="IM65" s="521"/>
      <c r="IN65" s="521"/>
      <c r="IO65" s="521"/>
    </row>
    <row r="66" spans="1:249" s="508" customFormat="1" ht="12.75">
      <c r="A66" s="928" t="s">
        <v>600</v>
      </c>
      <c r="B66" s="928"/>
      <c r="C66" s="928"/>
      <c r="D66" s="928"/>
      <c r="E66" s="928"/>
      <c r="F66" s="513"/>
      <c r="G66" s="513"/>
      <c r="H66" s="513"/>
      <c r="I66" s="513"/>
      <c r="J66" s="513"/>
      <c r="K66" s="513"/>
      <c r="L66" s="513"/>
      <c r="M66" s="513"/>
      <c r="N66" s="513"/>
      <c r="O66" s="513"/>
      <c r="P66" s="513"/>
      <c r="Q66" s="513"/>
      <c r="R66" s="513"/>
      <c r="S66" s="513"/>
      <c r="T66" s="513"/>
      <c r="U66" s="513"/>
      <c r="V66" s="513"/>
      <c r="W66" s="513"/>
      <c r="X66" s="513"/>
      <c r="Y66" s="513"/>
      <c r="Z66" s="513"/>
      <c r="AA66" s="513"/>
      <c r="AB66" s="513"/>
      <c r="AC66" s="513"/>
      <c r="AD66" s="513"/>
      <c r="AE66" s="513"/>
      <c r="AF66" s="513"/>
      <c r="AG66" s="513"/>
      <c r="AH66" s="513"/>
      <c r="AI66" s="513"/>
      <c r="AJ66" s="513"/>
      <c r="AK66" s="513"/>
      <c r="AL66" s="513"/>
      <c r="AM66" s="513"/>
      <c r="AN66" s="513"/>
      <c r="AO66" s="513"/>
      <c r="AP66" s="513"/>
      <c r="AQ66" s="513"/>
      <c r="AR66" s="513"/>
      <c r="AS66" s="513"/>
      <c r="AT66" s="513"/>
      <c r="AU66" s="513"/>
      <c r="AV66" s="513"/>
      <c r="AW66" s="513"/>
      <c r="AX66" s="513"/>
      <c r="AY66" s="513"/>
      <c r="AZ66" s="513"/>
      <c r="BA66" s="513"/>
      <c r="BB66" s="513"/>
      <c r="BC66" s="513"/>
      <c r="BD66" s="513"/>
      <c r="BE66" s="513"/>
      <c r="BF66" s="513"/>
      <c r="BG66" s="513"/>
      <c r="BH66" s="513"/>
      <c r="BI66" s="513"/>
      <c r="BJ66" s="513"/>
      <c r="BK66" s="513"/>
      <c r="BL66" s="513"/>
      <c r="BM66" s="513"/>
      <c r="BN66" s="513"/>
      <c r="BO66" s="513"/>
      <c r="BP66" s="513"/>
      <c r="BQ66" s="513"/>
      <c r="BR66" s="513"/>
      <c r="BS66" s="513"/>
      <c r="BT66" s="513"/>
      <c r="BU66" s="513"/>
      <c r="BV66" s="513"/>
      <c r="BW66" s="513"/>
      <c r="BX66" s="513"/>
      <c r="BY66" s="513"/>
      <c r="BZ66" s="513"/>
      <c r="CA66" s="513"/>
      <c r="CB66" s="513"/>
      <c r="CC66" s="513"/>
      <c r="CD66" s="513"/>
      <c r="CE66" s="513"/>
      <c r="CF66" s="513"/>
      <c r="CG66" s="513"/>
      <c r="CH66" s="513"/>
      <c r="CI66" s="513"/>
      <c r="CJ66" s="513"/>
      <c r="CK66" s="513"/>
      <c r="CL66" s="513"/>
      <c r="CM66" s="513"/>
      <c r="CN66" s="513"/>
      <c r="CO66" s="513"/>
      <c r="CP66" s="513"/>
      <c r="CQ66" s="513"/>
      <c r="CR66" s="513"/>
      <c r="CS66" s="513"/>
      <c r="CT66" s="513"/>
      <c r="CU66" s="513"/>
      <c r="CV66" s="513"/>
      <c r="CW66" s="513"/>
      <c r="CX66" s="513"/>
      <c r="CY66" s="513"/>
      <c r="CZ66" s="513"/>
      <c r="DA66" s="513"/>
      <c r="DB66" s="513"/>
      <c r="DC66" s="513"/>
      <c r="DD66" s="513"/>
      <c r="DE66" s="513"/>
      <c r="DF66" s="521"/>
      <c r="DG66" s="509"/>
      <c r="DH66" s="509"/>
      <c r="DI66" s="509"/>
      <c r="DJ66" s="489"/>
      <c r="DK66" s="489"/>
      <c r="DL66" s="489"/>
      <c r="DM66" s="489"/>
      <c r="DN66" s="930"/>
      <c r="DO66" s="930"/>
      <c r="DP66" s="930"/>
      <c r="DQ66" s="930"/>
      <c r="DR66" s="930"/>
      <c r="DS66" s="930"/>
      <c r="DT66" s="930"/>
      <c r="DU66" s="930"/>
      <c r="DV66" s="930"/>
      <c r="DW66" s="930"/>
      <c r="DX66" s="521"/>
      <c r="DY66" s="509"/>
      <c r="DZ66" s="509"/>
      <c r="EA66" s="509"/>
      <c r="EB66" s="509"/>
      <c r="EC66" s="509"/>
      <c r="ED66" s="489"/>
      <c r="EE66" s="930"/>
      <c r="EF66" s="930"/>
      <c r="EG66" s="930"/>
      <c r="EH66" s="930"/>
      <c r="EI66" s="930"/>
      <c r="EJ66" s="930"/>
      <c r="EK66" s="930"/>
      <c r="EL66" s="930"/>
      <c r="EM66" s="930"/>
      <c r="EN66" s="930"/>
      <c r="EO66" s="930"/>
      <c r="EP66" s="930"/>
      <c r="EQ66" s="930"/>
      <c r="ER66" s="930"/>
      <c r="ES66" s="930"/>
      <c r="ET66" s="930"/>
      <c r="EU66" s="521"/>
      <c r="EV66" s="521"/>
      <c r="EW66" s="521"/>
      <c r="EX66" s="521"/>
      <c r="EY66" s="521"/>
      <c r="EZ66" s="521"/>
      <c r="FA66" s="521"/>
      <c r="FB66" s="521"/>
      <c r="FC66" s="521"/>
      <c r="FD66" s="521"/>
      <c r="FE66" s="521"/>
      <c r="FF66" s="521"/>
      <c r="FG66" s="521"/>
      <c r="FH66" s="521"/>
      <c r="FI66" s="521"/>
      <c r="FJ66" s="521"/>
      <c r="FK66" s="521"/>
      <c r="FL66" s="521"/>
      <c r="FM66" s="521"/>
      <c r="FN66" s="521"/>
      <c r="FO66" s="521"/>
      <c r="FP66" s="521"/>
      <c r="FQ66" s="521"/>
      <c r="FR66" s="521"/>
      <c r="FS66" s="521"/>
      <c r="FT66" s="521"/>
      <c r="FU66" s="521"/>
      <c r="FV66" s="521"/>
      <c r="FW66" s="521"/>
      <c r="FX66" s="521"/>
      <c r="FY66" s="521"/>
      <c r="FZ66" s="521"/>
      <c r="GA66" s="521"/>
      <c r="GB66" s="521"/>
      <c r="GC66" s="521"/>
      <c r="GD66" s="521"/>
      <c r="GE66" s="521"/>
      <c r="GF66" s="521"/>
      <c r="GG66" s="521"/>
      <c r="GH66" s="521"/>
      <c r="GI66" s="521"/>
      <c r="GJ66" s="521"/>
      <c r="GK66" s="521"/>
      <c r="GL66" s="521"/>
      <c r="GM66" s="521"/>
      <c r="GN66" s="521"/>
      <c r="GO66" s="521"/>
      <c r="GP66" s="521"/>
      <c r="GQ66" s="521"/>
      <c r="GR66" s="521"/>
      <c r="GS66" s="521"/>
      <c r="GT66" s="521"/>
      <c r="GU66" s="521"/>
      <c r="GV66" s="521"/>
      <c r="GW66" s="521"/>
      <c r="GX66" s="521"/>
      <c r="GY66" s="521"/>
      <c r="GZ66" s="521"/>
      <c r="HA66" s="521"/>
      <c r="HB66" s="521"/>
      <c r="HC66" s="521"/>
      <c r="HD66" s="521"/>
      <c r="HE66" s="521"/>
      <c r="HF66" s="521"/>
      <c r="HG66" s="521"/>
      <c r="HH66" s="521"/>
      <c r="HI66" s="521"/>
      <c r="HJ66" s="521"/>
      <c r="HK66" s="521"/>
      <c r="HL66" s="521"/>
      <c r="HM66" s="521"/>
      <c r="HN66" s="521"/>
      <c r="HO66" s="521"/>
      <c r="HP66" s="521"/>
      <c r="HQ66" s="521"/>
      <c r="HR66" s="521"/>
      <c r="HS66" s="521"/>
      <c r="HT66" s="521"/>
      <c r="HU66" s="521"/>
      <c r="HV66" s="521"/>
      <c r="HW66" s="521"/>
      <c r="HX66" s="521"/>
      <c r="HY66" s="521"/>
      <c r="HZ66" s="521"/>
      <c r="IA66" s="521"/>
      <c r="IB66" s="521"/>
      <c r="IC66" s="521"/>
      <c r="ID66" s="521"/>
      <c r="IE66" s="521"/>
      <c r="IF66" s="521"/>
      <c r="IG66" s="521"/>
      <c r="IH66" s="521"/>
      <c r="II66" s="521"/>
      <c r="IJ66" s="521"/>
      <c r="IK66" s="521"/>
      <c r="IL66" s="521"/>
      <c r="IM66" s="521"/>
      <c r="IN66" s="521"/>
      <c r="IO66" s="521"/>
    </row>
    <row r="67" spans="1:249" s="508" customFormat="1" ht="12.75">
      <c r="A67" s="1738" t="s">
        <v>601</v>
      </c>
      <c r="B67" s="1738"/>
      <c r="C67" s="1738"/>
      <c r="D67" s="1738"/>
      <c r="E67" s="1738"/>
      <c r="F67" s="1738"/>
      <c r="G67" s="1738"/>
      <c r="H67" s="1738"/>
      <c r="I67" s="1738"/>
      <c r="J67" s="1738"/>
      <c r="K67" s="1738"/>
      <c r="L67" s="1738"/>
      <c r="M67" s="1738"/>
      <c r="N67" s="1738"/>
      <c r="O67" s="1738"/>
      <c r="P67" s="1738"/>
      <c r="Q67" s="1738"/>
      <c r="R67" s="1738"/>
      <c r="S67" s="1738"/>
      <c r="T67" s="1738"/>
      <c r="U67" s="1738"/>
      <c r="V67" s="1738"/>
      <c r="W67" s="1738"/>
      <c r="X67" s="1738"/>
      <c r="Y67" s="1738"/>
      <c r="Z67" s="1738"/>
      <c r="AA67" s="1738"/>
      <c r="AB67" s="1738"/>
      <c r="AC67" s="1738"/>
      <c r="AD67" s="1738"/>
      <c r="AE67" s="1738"/>
      <c r="AF67" s="1738"/>
      <c r="AG67" s="1738"/>
      <c r="AH67" s="1738"/>
      <c r="AI67" s="1738"/>
      <c r="AJ67" s="1738"/>
      <c r="AK67" s="1738"/>
      <c r="AL67" s="1738"/>
      <c r="AM67" s="1738"/>
      <c r="AN67" s="1738"/>
      <c r="AO67" s="1738"/>
      <c r="AP67" s="1738"/>
      <c r="AQ67" s="1738"/>
      <c r="AR67" s="1738"/>
      <c r="AS67" s="1738"/>
      <c r="AT67" s="1738"/>
      <c r="AU67" s="1738"/>
      <c r="AV67" s="1738"/>
      <c r="AW67" s="1738"/>
      <c r="AX67" s="1738"/>
      <c r="AY67" s="1738"/>
      <c r="AZ67" s="1738"/>
      <c r="BA67" s="1738"/>
      <c r="BB67" s="1738"/>
      <c r="BC67" s="1738"/>
      <c r="BD67" s="1738"/>
      <c r="BE67" s="1738"/>
      <c r="BF67" s="1738"/>
      <c r="BG67" s="1738"/>
      <c r="BH67" s="1738"/>
      <c r="BI67" s="1738"/>
      <c r="BJ67" s="1738"/>
      <c r="BK67" s="1738"/>
      <c r="BL67" s="1738"/>
      <c r="BM67" s="1738"/>
      <c r="BN67" s="1738"/>
      <c r="BO67" s="1738"/>
      <c r="BP67" s="1738"/>
      <c r="BQ67" s="1738"/>
      <c r="BR67" s="1738"/>
      <c r="BS67" s="1738"/>
      <c r="BT67" s="1738"/>
      <c r="BU67" s="1738"/>
      <c r="BV67" s="1738"/>
      <c r="BW67" s="1738"/>
      <c r="BX67" s="1738"/>
      <c r="BY67" s="1738"/>
      <c r="BZ67" s="1738"/>
      <c r="CA67" s="1738"/>
      <c r="CB67" s="1738"/>
      <c r="CC67" s="1738"/>
      <c r="CD67" s="1738"/>
      <c r="CE67" s="1738"/>
      <c r="CF67" s="1738"/>
      <c r="CG67" s="1738"/>
      <c r="CH67" s="1738"/>
      <c r="CI67" s="1738"/>
      <c r="CJ67" s="1738"/>
      <c r="CK67" s="1738"/>
      <c r="CL67" s="1738"/>
      <c r="CM67" s="1738"/>
      <c r="CN67" s="1738"/>
      <c r="CO67" s="1738"/>
      <c r="CP67" s="1738"/>
      <c r="CQ67" s="1738"/>
      <c r="CR67" s="1738"/>
      <c r="CS67" s="1738"/>
      <c r="CT67" s="1738"/>
      <c r="CU67" s="1738"/>
      <c r="CV67" s="1738"/>
      <c r="CW67" s="1738"/>
      <c r="CX67" s="1738"/>
      <c r="CY67" s="1738"/>
      <c r="CZ67" s="1738"/>
      <c r="DA67" s="1738"/>
      <c r="DB67" s="1738"/>
      <c r="DC67" s="1738"/>
      <c r="DD67" s="1738"/>
      <c r="DE67" s="1738"/>
      <c r="DF67" s="1738"/>
      <c r="DG67" s="1738"/>
      <c r="DH67" s="1738"/>
      <c r="DI67" s="1738"/>
      <c r="DJ67" s="1738"/>
      <c r="DK67" s="1738"/>
      <c r="DL67" s="1738"/>
      <c r="DM67" s="1738"/>
      <c r="DN67" s="1738"/>
      <c r="DO67" s="1738"/>
      <c r="DP67" s="1738"/>
      <c r="DQ67" s="1738"/>
      <c r="DR67" s="1738"/>
      <c r="DS67" s="1738"/>
      <c r="DT67" s="1738"/>
      <c r="DU67" s="1738"/>
      <c r="DV67" s="1738"/>
      <c r="DW67" s="1738"/>
      <c r="DX67" s="1738"/>
      <c r="DY67" s="1738"/>
      <c r="DZ67" s="1738"/>
      <c r="EA67" s="1738"/>
      <c r="EB67" s="1738"/>
      <c r="EC67" s="1738"/>
      <c r="ED67" s="1738"/>
      <c r="EE67" s="1738"/>
      <c r="EF67" s="1738"/>
      <c r="EG67" s="1738"/>
      <c r="EH67" s="1738"/>
      <c r="EI67" s="1738"/>
      <c r="EJ67" s="1738"/>
      <c r="EK67" s="1738"/>
      <c r="EL67" s="1738"/>
      <c r="EM67" s="1738"/>
      <c r="EN67" s="1738"/>
      <c r="EO67" s="1738"/>
      <c r="EP67" s="1738"/>
      <c r="EQ67" s="1738"/>
      <c r="ER67" s="1738"/>
      <c r="ES67" s="1738"/>
      <c r="ET67" s="1738"/>
      <c r="EU67" s="521"/>
      <c r="EV67" s="521"/>
      <c r="EW67" s="521"/>
      <c r="EX67" s="521"/>
      <c r="EY67" s="521"/>
      <c r="EZ67" s="521"/>
      <c r="FA67" s="521"/>
      <c r="FB67" s="521"/>
      <c r="FC67" s="521"/>
      <c r="FD67" s="521"/>
      <c r="FE67" s="521"/>
      <c r="FF67" s="521"/>
      <c r="FG67" s="521"/>
      <c r="FH67" s="521"/>
      <c r="FI67" s="521"/>
      <c r="FJ67" s="521"/>
      <c r="FK67" s="521"/>
      <c r="FL67" s="521"/>
      <c r="FM67" s="521"/>
      <c r="FN67" s="521"/>
      <c r="FO67" s="521"/>
      <c r="FP67" s="521"/>
      <c r="FQ67" s="521"/>
      <c r="FR67" s="521"/>
      <c r="FS67" s="521"/>
      <c r="FT67" s="521"/>
      <c r="FU67" s="521"/>
      <c r="FV67" s="521"/>
      <c r="FW67" s="521"/>
      <c r="FX67" s="521"/>
      <c r="FY67" s="521"/>
      <c r="FZ67" s="521"/>
      <c r="GA67" s="521"/>
      <c r="GB67" s="521"/>
      <c r="GC67" s="521"/>
      <c r="GD67" s="521"/>
      <c r="GE67" s="521"/>
      <c r="GF67" s="521"/>
      <c r="GG67" s="521"/>
      <c r="GH67" s="521"/>
      <c r="GI67" s="521"/>
      <c r="GJ67" s="521"/>
      <c r="GK67" s="521"/>
      <c r="GL67" s="521"/>
      <c r="GM67" s="521"/>
      <c r="GN67" s="521"/>
      <c r="GO67" s="521"/>
      <c r="GP67" s="521"/>
      <c r="GQ67" s="521"/>
      <c r="GR67" s="521"/>
      <c r="GS67" s="521"/>
      <c r="GT67" s="521"/>
      <c r="GU67" s="521"/>
      <c r="GV67" s="521"/>
      <c r="GW67" s="521"/>
      <c r="GX67" s="521"/>
      <c r="GY67" s="521"/>
      <c r="GZ67" s="521"/>
      <c r="HA67" s="521"/>
      <c r="HB67" s="521"/>
      <c r="HC67" s="521"/>
      <c r="HD67" s="521"/>
      <c r="HE67" s="521"/>
      <c r="HF67" s="521"/>
      <c r="HG67" s="521"/>
      <c r="HH67" s="521"/>
      <c r="HI67" s="521"/>
      <c r="HJ67" s="521"/>
      <c r="HK67" s="521"/>
      <c r="HL67" s="521"/>
      <c r="HM67" s="521"/>
      <c r="HN67" s="521"/>
      <c r="HO67" s="521"/>
      <c r="HP67" s="521"/>
      <c r="HQ67" s="521"/>
      <c r="HR67" s="521"/>
      <c r="HS67" s="521"/>
      <c r="HT67" s="521"/>
      <c r="HU67" s="521"/>
      <c r="HV67" s="521"/>
      <c r="HW67" s="521"/>
      <c r="HX67" s="521"/>
      <c r="HY67" s="521"/>
      <c r="HZ67" s="521"/>
      <c r="IA67" s="521"/>
      <c r="IB67" s="521"/>
      <c r="IC67" s="521"/>
      <c r="ID67" s="521"/>
      <c r="IE67" s="521"/>
      <c r="IF67" s="521"/>
      <c r="IG67" s="521"/>
      <c r="IH67" s="521"/>
      <c r="II67" s="521"/>
      <c r="IJ67" s="521"/>
      <c r="IK67" s="521"/>
      <c r="IL67" s="521"/>
      <c r="IM67" s="521"/>
      <c r="IN67" s="521"/>
      <c r="IO67" s="521"/>
    </row>
    <row r="68" spans="1:249" s="508" customFormat="1" ht="11.25" customHeight="1">
      <c r="A68" s="521"/>
      <c r="B68" s="521"/>
      <c r="C68" s="521"/>
      <c r="D68" s="521"/>
      <c r="E68" s="521"/>
      <c r="F68" s="521"/>
      <c r="G68" s="521"/>
      <c r="H68" s="521"/>
      <c r="I68" s="521"/>
      <c r="J68" s="521"/>
      <c r="K68" s="521"/>
      <c r="L68" s="521"/>
      <c r="M68" s="521"/>
      <c r="N68" s="521"/>
      <c r="O68" s="521"/>
      <c r="P68" s="521"/>
      <c r="Q68" s="521"/>
      <c r="R68" s="521"/>
      <c r="S68" s="521"/>
      <c r="T68" s="521"/>
      <c r="U68" s="521"/>
      <c r="V68" s="521"/>
      <c r="W68" s="521"/>
      <c r="X68" s="521"/>
      <c r="Y68" s="521"/>
      <c r="Z68" s="521"/>
      <c r="AA68" s="521"/>
      <c r="AB68" s="521"/>
      <c r="AC68" s="521"/>
      <c r="AD68" s="521"/>
      <c r="AE68" s="521"/>
      <c r="AF68" s="521"/>
      <c r="AG68" s="521"/>
      <c r="AH68" s="521"/>
      <c r="AI68" s="521"/>
      <c r="AJ68" s="521"/>
      <c r="AK68" s="521"/>
      <c r="AL68" s="521"/>
      <c r="AM68" s="521"/>
      <c r="AN68" s="521"/>
      <c r="AO68" s="521"/>
      <c r="AP68" s="521"/>
      <c r="AQ68" s="521"/>
      <c r="AR68" s="521"/>
      <c r="AS68" s="521"/>
      <c r="AT68" s="521"/>
      <c r="AU68" s="521"/>
      <c r="AV68" s="521"/>
      <c r="AW68" s="521"/>
      <c r="AX68" s="521"/>
      <c r="AY68" s="521"/>
      <c r="AZ68" s="521"/>
      <c r="BA68" s="521"/>
      <c r="BB68" s="521"/>
      <c r="BC68" s="521"/>
      <c r="BD68" s="521"/>
      <c r="BE68" s="521"/>
      <c r="BF68" s="521"/>
      <c r="BG68" s="521"/>
      <c r="BH68" s="521"/>
      <c r="BI68" s="521"/>
      <c r="BJ68" s="521"/>
      <c r="BK68" s="521"/>
      <c r="BL68" s="521"/>
      <c r="BM68" s="521"/>
      <c r="BN68" s="521"/>
      <c r="BO68" s="521"/>
      <c r="BP68" s="521"/>
      <c r="BQ68" s="521"/>
      <c r="BR68" s="521"/>
      <c r="BS68" s="521"/>
      <c r="BT68" s="521"/>
      <c r="BU68" s="521"/>
      <c r="BV68" s="521"/>
      <c r="BW68" s="521"/>
      <c r="BX68" s="521"/>
      <c r="BY68" s="521"/>
      <c r="BZ68" s="521"/>
      <c r="CA68" s="521"/>
      <c r="CB68" s="521"/>
      <c r="CC68" s="521"/>
      <c r="CD68" s="521"/>
      <c r="CE68" s="521"/>
      <c r="CF68" s="521"/>
      <c r="CG68" s="521"/>
      <c r="CH68" s="521"/>
      <c r="CI68" s="521"/>
      <c r="CJ68" s="521"/>
      <c r="CK68" s="521"/>
      <c r="CL68" s="521"/>
      <c r="CM68" s="521"/>
      <c r="CN68" s="521"/>
      <c r="CO68" s="521"/>
      <c r="CP68" s="521"/>
      <c r="CQ68" s="521"/>
      <c r="CR68" s="521"/>
      <c r="CS68" s="521"/>
      <c r="CT68" s="521"/>
      <c r="CU68" s="521"/>
      <c r="CV68" s="521"/>
      <c r="CW68" s="521"/>
      <c r="CX68" s="521"/>
      <c r="CY68" s="521"/>
      <c r="CZ68" s="521"/>
      <c r="DA68" s="521"/>
      <c r="DB68" s="521"/>
      <c r="DC68" s="521"/>
      <c r="DD68" s="521"/>
      <c r="DE68" s="521"/>
      <c r="DF68" s="521"/>
      <c r="DG68" s="521"/>
      <c r="DH68" s="521"/>
      <c r="DI68" s="521"/>
      <c r="DJ68" s="521"/>
      <c r="DK68" s="521"/>
      <c r="DL68" s="521"/>
      <c r="DM68" s="521"/>
      <c r="DN68" s="521"/>
      <c r="DO68" s="521"/>
      <c r="DP68" s="521"/>
      <c r="DQ68" s="521"/>
      <c r="DR68" s="521"/>
      <c r="DS68" s="521"/>
      <c r="DT68" s="521"/>
      <c r="DU68" s="521"/>
      <c r="DV68" s="521"/>
      <c r="DW68" s="521"/>
      <c r="DX68" s="521"/>
      <c r="DY68" s="521"/>
      <c r="DZ68" s="521"/>
      <c r="EA68" s="521"/>
      <c r="EB68" s="521"/>
      <c r="EC68" s="521"/>
      <c r="ED68" s="521"/>
      <c r="EE68" s="521"/>
      <c r="EF68" s="521"/>
      <c r="EG68" s="521"/>
      <c r="EH68" s="521"/>
      <c r="EI68" s="521"/>
      <c r="EJ68" s="521"/>
      <c r="EK68" s="521"/>
      <c r="EL68" s="521"/>
      <c r="EM68" s="521"/>
      <c r="EN68" s="521"/>
      <c r="EO68" s="521"/>
      <c r="EP68" s="521"/>
      <c r="EQ68" s="521"/>
      <c r="ER68" s="521"/>
      <c r="ES68" s="521"/>
      <c r="ET68" s="521"/>
      <c r="EU68" s="521"/>
      <c r="EV68" s="521"/>
      <c r="EW68" s="521"/>
      <c r="EX68" s="521"/>
      <c r="EY68" s="521"/>
      <c r="EZ68" s="521"/>
      <c r="FA68" s="521"/>
      <c r="FB68" s="521"/>
      <c r="FC68" s="521"/>
      <c r="FD68" s="521"/>
      <c r="FE68" s="521"/>
      <c r="FF68" s="521"/>
      <c r="FG68" s="521"/>
      <c r="FH68" s="521"/>
      <c r="FI68" s="521"/>
      <c r="FJ68" s="521"/>
      <c r="FK68" s="521"/>
      <c r="FL68" s="521"/>
      <c r="FM68" s="521"/>
      <c r="FN68" s="521"/>
      <c r="FO68" s="521"/>
      <c r="FP68" s="521"/>
      <c r="FQ68" s="521"/>
      <c r="FR68" s="521"/>
      <c r="FS68" s="521"/>
      <c r="FT68" s="521"/>
      <c r="FU68" s="521"/>
      <c r="FV68" s="521"/>
      <c r="FW68" s="521"/>
      <c r="FX68" s="521"/>
      <c r="FY68" s="521"/>
      <c r="FZ68" s="521"/>
      <c r="GA68" s="521"/>
      <c r="GB68" s="521"/>
      <c r="GC68" s="521"/>
      <c r="GD68" s="521"/>
      <c r="GE68" s="521"/>
      <c r="GF68" s="521"/>
      <c r="GG68" s="521"/>
      <c r="GH68" s="521"/>
      <c r="GI68" s="521"/>
      <c r="GJ68" s="521"/>
      <c r="GK68" s="521"/>
      <c r="GL68" s="521"/>
      <c r="GM68" s="521"/>
      <c r="GN68" s="521"/>
      <c r="GO68" s="521"/>
      <c r="GP68" s="521"/>
      <c r="GQ68" s="521"/>
      <c r="GR68" s="521"/>
      <c r="GS68" s="521"/>
      <c r="GT68" s="521"/>
      <c r="GU68" s="521"/>
      <c r="GV68" s="521"/>
      <c r="GW68" s="521"/>
      <c r="GX68" s="521"/>
      <c r="GY68" s="521"/>
      <c r="GZ68" s="521"/>
      <c r="HA68" s="521"/>
      <c r="HB68" s="521"/>
      <c r="HC68" s="521"/>
      <c r="HD68" s="521"/>
      <c r="HE68" s="521"/>
      <c r="HF68" s="521"/>
      <c r="HG68" s="521"/>
      <c r="HH68" s="521"/>
      <c r="HI68" s="521"/>
      <c r="HJ68" s="521"/>
      <c r="HK68" s="521"/>
      <c r="HL68" s="521"/>
      <c r="HM68" s="521"/>
      <c r="HN68" s="521"/>
      <c r="HO68" s="521"/>
      <c r="HP68" s="521"/>
      <c r="HQ68" s="521"/>
      <c r="HR68" s="521"/>
      <c r="HS68" s="521"/>
      <c r="HT68" s="521"/>
      <c r="HU68" s="521"/>
      <c r="HV68" s="521"/>
      <c r="HW68" s="521"/>
      <c r="HX68" s="521"/>
      <c r="HY68" s="521"/>
      <c r="HZ68" s="521"/>
      <c r="IA68" s="521"/>
      <c r="IB68" s="521"/>
      <c r="IC68" s="521"/>
      <c r="ID68" s="521"/>
      <c r="IE68" s="521"/>
      <c r="IF68" s="521"/>
      <c r="IG68" s="521"/>
      <c r="IH68" s="521"/>
      <c r="II68" s="521"/>
      <c r="IJ68" s="521"/>
      <c r="IK68" s="521"/>
      <c r="IL68" s="521"/>
      <c r="IM68" s="521"/>
      <c r="IN68" s="521"/>
      <c r="IO68" s="521"/>
    </row>
    <row r="69" spans="1:249" s="508" customFormat="1" ht="11.25" customHeight="1">
      <c r="A69" s="1736" t="s">
        <v>78</v>
      </c>
      <c r="B69" s="1736"/>
      <c r="C69" s="1736"/>
      <c r="D69" s="1736"/>
      <c r="E69" s="1736"/>
      <c r="F69" s="1736"/>
      <c r="G69" s="1736"/>
      <c r="H69" s="1736"/>
      <c r="I69" s="1736"/>
      <c r="J69" s="1736"/>
      <c r="K69" s="1736"/>
      <c r="L69" s="1736"/>
      <c r="M69" s="1736"/>
      <c r="N69" s="1736"/>
      <c r="O69" s="1736"/>
      <c r="P69" s="1736"/>
      <c r="Q69" s="1736"/>
      <c r="R69" s="1736"/>
      <c r="S69" s="1736"/>
      <c r="T69" s="1736"/>
      <c r="U69" s="1736"/>
      <c r="V69" s="1736"/>
      <c r="W69" s="1736"/>
      <c r="X69" s="1736"/>
      <c r="Y69" s="1736"/>
      <c r="Z69" s="1736"/>
      <c r="AA69" s="1736"/>
      <c r="AB69" s="1736"/>
      <c r="AC69" s="1736"/>
      <c r="AD69" s="1736"/>
      <c r="AE69" s="1736"/>
      <c r="AF69" s="1736"/>
      <c r="AG69" s="1736"/>
      <c r="AH69" s="1736"/>
      <c r="AI69" s="1736"/>
      <c r="AJ69" s="1736"/>
      <c r="AK69" s="1736"/>
      <c r="AL69" s="1736"/>
      <c r="AM69" s="1736"/>
      <c r="AN69" s="521"/>
      <c r="AO69" s="1734" t="str">
        <f>A33</f>
        <v>МОЛ_Должн</v>
      </c>
      <c r="AP69" s="1734"/>
      <c r="AQ69" s="1734"/>
      <c r="AR69" s="1734"/>
      <c r="AS69" s="1734"/>
      <c r="AT69" s="1734"/>
      <c r="AU69" s="1734"/>
      <c r="AV69" s="1734"/>
      <c r="AW69" s="1734"/>
      <c r="AX69" s="1734"/>
      <c r="AY69" s="1734"/>
      <c r="AZ69" s="1734"/>
      <c r="BA69" s="1734"/>
      <c r="BB69" s="1734"/>
      <c r="BC69" s="1734"/>
      <c r="BD69" s="1734"/>
      <c r="BE69" s="1734"/>
      <c r="BF69" s="1734"/>
      <c r="BG69" s="1734"/>
      <c r="BH69" s="1734"/>
      <c r="BI69" s="1734"/>
      <c r="BJ69" s="1734"/>
      <c r="BK69" s="1734"/>
      <c r="BL69" s="1734"/>
      <c r="BM69" s="1734"/>
      <c r="BN69" s="1734"/>
      <c r="BO69" s="1734"/>
      <c r="BP69" s="1734"/>
      <c r="BQ69" s="1734"/>
      <c r="BR69" s="1734"/>
      <c r="BS69" s="489"/>
      <c r="BT69" s="489"/>
      <c r="BU69" s="1735"/>
      <c r="BV69" s="1735"/>
      <c r="BW69" s="1735"/>
      <c r="BX69" s="1735"/>
      <c r="BY69" s="1735"/>
      <c r="BZ69" s="1735"/>
      <c r="CA69" s="1735"/>
      <c r="CB69" s="1735"/>
      <c r="CC69" s="1735"/>
      <c r="CD69" s="1735"/>
      <c r="CE69" s="1735"/>
      <c r="CF69" s="1735"/>
      <c r="CG69" s="1735"/>
      <c r="CH69" s="1735"/>
      <c r="CI69" s="1735"/>
      <c r="CJ69" s="1735"/>
      <c r="CK69" s="1735"/>
      <c r="CL69" s="1735"/>
      <c r="CM69" s="1735"/>
      <c r="CN69" s="1735"/>
      <c r="CO69" s="1735"/>
      <c r="CP69" s="1735"/>
      <c r="CQ69" s="1735"/>
      <c r="CR69" s="521"/>
      <c r="CS69" s="521"/>
      <c r="CT69" s="1734" t="str">
        <f>BI33</f>
        <v>МОЛ</v>
      </c>
      <c r="CU69" s="1734"/>
      <c r="CV69" s="1734"/>
      <c r="CW69" s="1734"/>
      <c r="CX69" s="1734"/>
      <c r="CY69" s="1734"/>
      <c r="CZ69" s="1734"/>
      <c r="DA69" s="1734"/>
      <c r="DB69" s="1734"/>
      <c r="DC69" s="1734"/>
      <c r="DD69" s="1734"/>
      <c r="DE69" s="1734"/>
      <c r="DF69" s="1734"/>
      <c r="DG69" s="1734"/>
      <c r="DH69" s="1734"/>
      <c r="DI69" s="1734"/>
      <c r="DJ69" s="1734"/>
      <c r="DK69" s="1734"/>
      <c r="DL69" s="1734"/>
      <c r="DM69" s="1734"/>
      <c r="DN69" s="1734"/>
      <c r="DO69" s="1734"/>
      <c r="DP69" s="1734"/>
      <c r="DQ69" s="1734"/>
      <c r="DR69" s="1734"/>
      <c r="DS69" s="1734"/>
      <c r="DT69" s="1734"/>
      <c r="DU69" s="1734"/>
      <c r="DV69" s="1734"/>
      <c r="DW69" s="1734"/>
      <c r="DX69" s="1734"/>
      <c r="DY69" s="1734"/>
      <c r="DZ69" s="1734"/>
      <c r="EA69" s="1734"/>
      <c r="EB69" s="521"/>
      <c r="EC69" s="521"/>
      <c r="ED69" s="521"/>
      <c r="EE69" s="521"/>
      <c r="EF69" s="521"/>
      <c r="EG69" s="521"/>
      <c r="EH69" s="521"/>
      <c r="EI69" s="521"/>
      <c r="EJ69" s="521"/>
      <c r="EK69" s="521"/>
      <c r="EL69" s="521"/>
      <c r="EM69" s="521"/>
      <c r="EN69" s="521"/>
      <c r="EO69" s="521"/>
      <c r="EP69" s="521"/>
      <c r="EQ69" s="521"/>
      <c r="ER69" s="521"/>
      <c r="ES69" s="521"/>
      <c r="ET69" s="521"/>
      <c r="EU69" s="521"/>
      <c r="EV69" s="521"/>
      <c r="EW69" s="521"/>
      <c r="EX69" s="521"/>
      <c r="EY69" s="521"/>
      <c r="EZ69" s="521"/>
      <c r="FA69" s="521"/>
      <c r="FB69" s="521"/>
      <c r="FC69" s="521"/>
      <c r="FD69" s="521"/>
      <c r="FE69" s="521"/>
      <c r="FF69" s="521"/>
      <c r="FG69" s="521"/>
      <c r="FH69" s="521"/>
      <c r="FI69" s="521"/>
      <c r="FJ69" s="521"/>
      <c r="FK69" s="521"/>
      <c r="FL69" s="521"/>
      <c r="FM69" s="521"/>
      <c r="FN69" s="521"/>
      <c r="FO69" s="521"/>
      <c r="FP69" s="521"/>
      <c r="FQ69" s="521"/>
      <c r="FR69" s="521"/>
      <c r="FS69" s="521"/>
      <c r="FT69" s="521"/>
      <c r="FU69" s="521"/>
      <c r="FV69" s="521"/>
      <c r="FW69" s="521"/>
      <c r="FX69" s="521"/>
      <c r="FY69" s="521"/>
      <c r="FZ69" s="521"/>
      <c r="GA69" s="521"/>
      <c r="GB69" s="521"/>
      <c r="GC69" s="521"/>
      <c r="GD69" s="521"/>
      <c r="GE69" s="521"/>
      <c r="GF69" s="521"/>
      <c r="GG69" s="521"/>
      <c r="GH69" s="521"/>
      <c r="GI69" s="521"/>
      <c r="GJ69" s="521"/>
      <c r="GK69" s="521"/>
      <c r="GL69" s="521"/>
      <c r="GM69" s="521"/>
      <c r="GN69" s="521"/>
      <c r="GO69" s="521"/>
      <c r="GP69" s="521"/>
      <c r="GQ69" s="521"/>
      <c r="GR69" s="521"/>
      <c r="GS69" s="521"/>
      <c r="GT69" s="521"/>
      <c r="GU69" s="521"/>
      <c r="GV69" s="521"/>
      <c r="GW69" s="521"/>
      <c r="GX69" s="521"/>
      <c r="GY69" s="521"/>
      <c r="GZ69" s="521"/>
      <c r="HA69" s="521"/>
      <c r="HB69" s="521"/>
      <c r="HC69" s="521"/>
      <c r="HD69" s="521"/>
      <c r="HE69" s="521"/>
      <c r="HF69" s="521"/>
      <c r="HG69" s="521"/>
      <c r="HH69" s="521"/>
      <c r="HI69" s="521"/>
      <c r="HJ69" s="521"/>
      <c r="HK69" s="521"/>
      <c r="HL69" s="521"/>
      <c r="HM69" s="521"/>
      <c r="HN69" s="521"/>
      <c r="HO69" s="521"/>
      <c r="HP69" s="521"/>
      <c r="HQ69" s="521"/>
      <c r="HR69" s="521"/>
      <c r="HS69" s="521"/>
      <c r="HT69" s="521"/>
      <c r="HU69" s="521"/>
      <c r="HV69" s="521"/>
      <c r="HW69" s="521"/>
      <c r="HX69" s="521"/>
      <c r="HY69" s="521"/>
      <c r="HZ69" s="521"/>
      <c r="IA69" s="521"/>
      <c r="IB69" s="521"/>
      <c r="IC69" s="521"/>
      <c r="ID69" s="521"/>
      <c r="IE69" s="521"/>
      <c r="IF69" s="521"/>
      <c r="IG69" s="521"/>
      <c r="IH69" s="521"/>
      <c r="II69" s="521"/>
      <c r="IJ69" s="521"/>
      <c r="IK69" s="521"/>
      <c r="IL69" s="521"/>
      <c r="IM69" s="521"/>
      <c r="IN69" s="521"/>
      <c r="IO69" s="521"/>
    </row>
    <row r="70" spans="1:249" s="508" customFormat="1" ht="12.75">
      <c r="A70" s="521"/>
      <c r="B70" s="521"/>
      <c r="C70" s="521"/>
      <c r="D70" s="521"/>
      <c r="E70" s="521"/>
      <c r="F70" s="521"/>
      <c r="G70" s="521"/>
      <c r="H70" s="521"/>
      <c r="I70" s="521"/>
      <c r="J70" s="521"/>
      <c r="K70" s="521"/>
      <c r="L70" s="521"/>
      <c r="M70" s="521"/>
      <c r="N70" s="521"/>
      <c r="O70" s="521"/>
      <c r="P70" s="521"/>
      <c r="Q70" s="521"/>
      <c r="R70" s="521"/>
      <c r="S70" s="521"/>
      <c r="T70" s="521"/>
      <c r="U70" s="521"/>
      <c r="V70" s="521"/>
      <c r="W70" s="521"/>
      <c r="X70" s="521"/>
      <c r="Y70" s="521"/>
      <c r="Z70" s="521"/>
      <c r="AA70" s="521"/>
      <c r="AB70" s="521"/>
      <c r="AC70" s="521"/>
      <c r="AD70" s="521"/>
      <c r="AE70" s="521"/>
      <c r="AF70" s="521"/>
      <c r="AG70" s="521"/>
      <c r="AH70" s="521"/>
      <c r="AI70" s="521"/>
      <c r="AJ70" s="521"/>
      <c r="AK70" s="521"/>
      <c r="AL70" s="521"/>
      <c r="AM70" s="521"/>
      <c r="AN70" s="1732" t="s">
        <v>183</v>
      </c>
      <c r="AO70" s="1732"/>
      <c r="AP70" s="1732"/>
      <c r="AQ70" s="1732"/>
      <c r="AR70" s="1732"/>
      <c r="AS70" s="1732"/>
      <c r="AT70" s="1732"/>
      <c r="AU70" s="1732"/>
      <c r="AV70" s="1732"/>
      <c r="AW70" s="1732"/>
      <c r="AX70" s="1732"/>
      <c r="AY70" s="1732"/>
      <c r="AZ70" s="1732"/>
      <c r="BA70" s="1732"/>
      <c r="BB70" s="1732"/>
      <c r="BC70" s="1732"/>
      <c r="BD70" s="1732"/>
      <c r="BE70" s="1732"/>
      <c r="BF70" s="1732"/>
      <c r="BG70" s="1732"/>
      <c r="BH70" s="1732"/>
      <c r="BI70" s="1732"/>
      <c r="BJ70" s="1732"/>
      <c r="BK70" s="1732"/>
      <c r="BL70" s="1732"/>
      <c r="BM70" s="1732"/>
      <c r="BN70" s="1732"/>
      <c r="BO70" s="1732"/>
      <c r="BP70" s="1732"/>
      <c r="BQ70" s="1732"/>
      <c r="BR70" s="1732"/>
      <c r="BS70" s="1732"/>
      <c r="BT70" s="1733" t="s">
        <v>80</v>
      </c>
      <c r="BU70" s="1733"/>
      <c r="BV70" s="1733"/>
      <c r="BW70" s="1733"/>
      <c r="BX70" s="1733"/>
      <c r="BY70" s="1733"/>
      <c r="BZ70" s="1733"/>
      <c r="CA70" s="1733"/>
      <c r="CB70" s="1733"/>
      <c r="CC70" s="1733"/>
      <c r="CD70" s="1733"/>
      <c r="CE70" s="1733"/>
      <c r="CF70" s="1733"/>
      <c r="CG70" s="1733"/>
      <c r="CH70" s="1733"/>
      <c r="CI70" s="1733"/>
      <c r="CJ70" s="1733"/>
      <c r="CK70" s="1733"/>
      <c r="CL70" s="1733"/>
      <c r="CM70" s="1733"/>
      <c r="CN70" s="1733"/>
      <c r="CO70" s="1733"/>
      <c r="CP70" s="1733"/>
      <c r="CQ70" s="1733"/>
      <c r="CR70" s="522"/>
      <c r="CS70" s="522"/>
      <c r="CT70" s="1727" t="s">
        <v>182</v>
      </c>
      <c r="CU70" s="1727"/>
      <c r="CV70" s="1727"/>
      <c r="CW70" s="1727"/>
      <c r="CX70" s="1727"/>
      <c r="CY70" s="1727"/>
      <c r="CZ70" s="1727"/>
      <c r="DA70" s="1727"/>
      <c r="DB70" s="1727"/>
      <c r="DC70" s="1727"/>
      <c r="DD70" s="1727"/>
      <c r="DE70" s="1727"/>
      <c r="DF70" s="1727"/>
      <c r="DG70" s="1727"/>
      <c r="DH70" s="1727"/>
      <c r="DI70" s="1727"/>
      <c r="DJ70" s="1727"/>
      <c r="DK70" s="1727"/>
      <c r="DL70" s="1727"/>
      <c r="DM70" s="1727"/>
      <c r="DN70" s="1727"/>
      <c r="DO70" s="1727"/>
      <c r="DP70" s="1727"/>
      <c r="DQ70" s="1727"/>
      <c r="DR70" s="1727"/>
      <c r="DS70" s="1727"/>
      <c r="DT70" s="1727"/>
      <c r="DU70" s="1727"/>
      <c r="DV70" s="1727"/>
      <c r="DW70" s="1727"/>
      <c r="DX70" s="1727"/>
      <c r="DY70" s="1727"/>
      <c r="DZ70" s="1727"/>
      <c r="EA70" s="1727"/>
      <c r="EB70" s="521"/>
      <c r="EC70" s="521"/>
      <c r="ED70" s="521"/>
      <c r="EE70" s="521"/>
      <c r="EF70" s="521"/>
      <c r="EG70" s="521"/>
      <c r="EH70" s="521"/>
      <c r="EI70" s="521"/>
      <c r="EJ70" s="521"/>
      <c r="EK70" s="521"/>
      <c r="EL70" s="521"/>
      <c r="EM70" s="521"/>
      <c r="EN70" s="521"/>
      <c r="EO70" s="521"/>
      <c r="EP70" s="521"/>
      <c r="EQ70" s="521"/>
      <c r="ER70" s="521"/>
      <c r="ES70" s="521"/>
      <c r="ET70" s="521"/>
      <c r="EU70" s="521"/>
      <c r="EV70" s="521"/>
      <c r="EW70" s="521"/>
      <c r="EX70" s="521"/>
      <c r="EY70" s="521"/>
      <c r="EZ70" s="521"/>
      <c r="FA70" s="521"/>
      <c r="FB70" s="521"/>
      <c r="FC70" s="521"/>
      <c r="FD70" s="521"/>
      <c r="FE70" s="521"/>
      <c r="FF70" s="521"/>
      <c r="FG70" s="521"/>
      <c r="FH70" s="521"/>
      <c r="FI70" s="521"/>
      <c r="FJ70" s="521"/>
      <c r="FK70" s="521"/>
      <c r="FL70" s="521"/>
      <c r="FM70" s="521"/>
      <c r="FN70" s="521"/>
      <c r="FO70" s="521"/>
      <c r="FP70" s="521"/>
      <c r="FQ70" s="521"/>
      <c r="FR70" s="521"/>
      <c r="FS70" s="521"/>
      <c r="FT70" s="521"/>
      <c r="FU70" s="521"/>
      <c r="FV70" s="521"/>
      <c r="FW70" s="521"/>
      <c r="FX70" s="521"/>
      <c r="FY70" s="521"/>
      <c r="FZ70" s="521"/>
      <c r="GA70" s="521"/>
      <c r="GB70" s="521"/>
      <c r="GC70" s="521"/>
      <c r="GD70" s="521"/>
      <c r="GE70" s="521"/>
      <c r="GF70" s="521"/>
      <c r="GG70" s="521"/>
      <c r="GH70" s="521"/>
      <c r="GI70" s="521"/>
      <c r="GJ70" s="521"/>
      <c r="GK70" s="521"/>
      <c r="GL70" s="521"/>
      <c r="GM70" s="521"/>
      <c r="GN70" s="521"/>
      <c r="GO70" s="521"/>
      <c r="GP70" s="521"/>
      <c r="GQ70" s="521"/>
      <c r="GR70" s="521"/>
      <c r="GS70" s="521"/>
      <c r="GT70" s="521"/>
      <c r="GU70" s="521"/>
      <c r="GV70" s="521"/>
      <c r="GW70" s="521"/>
      <c r="GX70" s="521"/>
      <c r="GY70" s="521"/>
      <c r="GZ70" s="521"/>
      <c r="HA70" s="521"/>
      <c r="HB70" s="521"/>
      <c r="HC70" s="521"/>
      <c r="HD70" s="521"/>
      <c r="HE70" s="521"/>
      <c r="HF70" s="521"/>
      <c r="HG70" s="521"/>
      <c r="HH70" s="521"/>
      <c r="HI70" s="521"/>
      <c r="HJ70" s="521"/>
      <c r="HK70" s="521"/>
      <c r="HL70" s="521"/>
      <c r="HM70" s="521"/>
      <c r="HN70" s="521"/>
      <c r="HO70" s="521"/>
      <c r="HP70" s="521"/>
      <c r="HQ70" s="521"/>
      <c r="HR70" s="521"/>
      <c r="HS70" s="521"/>
      <c r="HT70" s="521"/>
      <c r="HU70" s="521"/>
      <c r="HV70" s="521"/>
      <c r="HW70" s="521"/>
      <c r="HX70" s="521"/>
      <c r="HY70" s="521"/>
      <c r="HZ70" s="521"/>
      <c r="IA70" s="521"/>
      <c r="IB70" s="521"/>
      <c r="IC70" s="521"/>
      <c r="ID70" s="521"/>
      <c r="IE70" s="521"/>
      <c r="IF70" s="521"/>
      <c r="IG70" s="521"/>
      <c r="IH70" s="521"/>
      <c r="II70" s="521"/>
      <c r="IJ70" s="521"/>
      <c r="IK70" s="521"/>
      <c r="IL70" s="521"/>
      <c r="IM70" s="521"/>
      <c r="IN70" s="521"/>
      <c r="IO70" s="521"/>
    </row>
    <row r="71" spans="1:249" s="508" customFormat="1" ht="12.75">
      <c r="A71" s="521"/>
      <c r="B71" s="521"/>
      <c r="C71" s="521"/>
      <c r="D71" s="521"/>
      <c r="E71" s="521"/>
      <c r="F71" s="521"/>
      <c r="G71" s="521"/>
      <c r="H71" s="521"/>
      <c r="I71" s="521"/>
      <c r="J71" s="521"/>
      <c r="K71" s="521"/>
      <c r="L71" s="521"/>
      <c r="M71" s="521"/>
      <c r="N71" s="521"/>
      <c r="O71" s="521"/>
      <c r="P71" s="521"/>
      <c r="Q71" s="521"/>
      <c r="R71" s="521"/>
      <c r="S71" s="521"/>
      <c r="T71" s="521"/>
      <c r="U71" s="521"/>
      <c r="V71" s="521"/>
      <c r="W71" s="521"/>
      <c r="X71" s="521"/>
      <c r="Y71" s="521"/>
      <c r="Z71" s="521"/>
      <c r="AA71" s="521"/>
      <c r="AB71" s="521"/>
      <c r="AC71" s="521"/>
      <c r="AD71" s="521"/>
      <c r="AE71" s="521"/>
      <c r="AF71" s="521"/>
      <c r="AG71" s="521"/>
      <c r="AH71" s="521"/>
      <c r="AI71" s="521"/>
      <c r="AJ71" s="521"/>
      <c r="AK71" s="521"/>
      <c r="AL71" s="521"/>
      <c r="AM71" s="521"/>
      <c r="AN71" s="521"/>
      <c r="AO71" s="1726"/>
      <c r="AP71" s="1726"/>
      <c r="AQ71" s="1726"/>
      <c r="AR71" s="1726"/>
      <c r="AS71" s="1726"/>
      <c r="AT71" s="1726"/>
      <c r="AU71" s="1726"/>
      <c r="AV71" s="1726"/>
      <c r="AW71" s="1726"/>
      <c r="AX71" s="1726"/>
      <c r="AY71" s="1726"/>
      <c r="AZ71" s="1726"/>
      <c r="BA71" s="1726"/>
      <c r="BB71" s="1726"/>
      <c r="BC71" s="1726"/>
      <c r="BD71" s="1726"/>
      <c r="BE71" s="1726"/>
      <c r="BF71" s="1726"/>
      <c r="BG71" s="1726"/>
      <c r="BH71" s="1726"/>
      <c r="BI71" s="1726"/>
      <c r="BJ71" s="1726"/>
      <c r="BK71" s="1726"/>
      <c r="BL71" s="1726"/>
      <c r="BM71" s="521"/>
      <c r="BN71" s="521"/>
      <c r="BO71" s="1726"/>
      <c r="BP71" s="1726"/>
      <c r="BQ71" s="1726"/>
      <c r="BR71" s="1726"/>
      <c r="BS71" s="1726"/>
      <c r="BT71" s="1726"/>
      <c r="BU71" s="1726"/>
      <c r="BV71" s="1726"/>
      <c r="BW71" s="1726"/>
      <c r="BX71" s="1726"/>
      <c r="BY71" s="1726"/>
      <c r="BZ71" s="1726"/>
      <c r="CA71" s="1726"/>
      <c r="CB71" s="1726"/>
      <c r="CC71" s="1726"/>
      <c r="CD71" s="1726"/>
      <c r="CE71" s="1726"/>
      <c r="CF71" s="1726"/>
      <c r="CG71" s="1726"/>
      <c r="CH71" s="1726"/>
      <c r="CI71" s="1726"/>
      <c r="CJ71" s="521"/>
      <c r="CK71" s="521"/>
      <c r="CL71" s="1726"/>
      <c r="CM71" s="1726"/>
      <c r="CN71" s="1726"/>
      <c r="CO71" s="1726"/>
      <c r="CP71" s="1726"/>
      <c r="CQ71" s="1726"/>
      <c r="CR71" s="1726"/>
      <c r="CS71" s="1726"/>
      <c r="CT71" s="1726"/>
      <c r="CU71" s="1726"/>
      <c r="CV71" s="1726"/>
      <c r="CW71" s="1726"/>
      <c r="CX71" s="1726"/>
      <c r="CY71" s="1726"/>
      <c r="CZ71" s="1726"/>
      <c r="DA71" s="1726"/>
      <c r="DB71" s="1726"/>
      <c r="DC71" s="1726"/>
      <c r="DD71" s="1726"/>
      <c r="DE71" s="1726"/>
      <c r="DF71" s="1726"/>
      <c r="DG71" s="1726"/>
      <c r="DH71" s="1726"/>
      <c r="DI71" s="1726"/>
      <c r="DJ71" s="1726"/>
      <c r="DK71" s="1726"/>
      <c r="DL71" s="1726"/>
      <c r="DM71" s="1726"/>
      <c r="DN71" s="1726"/>
      <c r="DO71" s="1726"/>
      <c r="DP71" s="1726"/>
      <c r="DQ71" s="1726"/>
      <c r="DR71" s="521"/>
      <c r="DS71" s="521"/>
      <c r="DT71" s="521"/>
      <c r="DU71" s="521"/>
      <c r="DV71" s="521"/>
      <c r="DW71" s="521"/>
      <c r="DX71" s="521"/>
      <c r="DY71" s="521"/>
      <c r="DZ71" s="521"/>
      <c r="EA71" s="521"/>
      <c r="EB71" s="521"/>
      <c r="EC71" s="521"/>
      <c r="ED71" s="521"/>
      <c r="EE71" s="521"/>
      <c r="EF71" s="521"/>
      <c r="EG71" s="521"/>
      <c r="EH71" s="521"/>
      <c r="EI71" s="521"/>
      <c r="EJ71" s="521"/>
      <c r="EK71" s="521"/>
      <c r="EL71" s="521"/>
      <c r="EM71" s="521"/>
      <c r="EN71" s="521"/>
      <c r="EO71" s="521"/>
      <c r="EP71" s="521"/>
      <c r="EQ71" s="521"/>
      <c r="ER71" s="521"/>
      <c r="ES71" s="521"/>
      <c r="ET71" s="521"/>
      <c r="EU71" s="521"/>
      <c r="EV71" s="521"/>
      <c r="EW71" s="521"/>
      <c r="EX71" s="521"/>
      <c r="EY71" s="521"/>
      <c r="EZ71" s="521"/>
      <c r="FA71" s="521"/>
      <c r="FB71" s="521"/>
      <c r="FC71" s="521"/>
      <c r="FD71" s="521"/>
      <c r="FE71" s="521"/>
      <c r="FF71" s="521"/>
      <c r="FG71" s="521"/>
      <c r="FH71" s="521"/>
      <c r="FI71" s="521"/>
      <c r="FJ71" s="521"/>
      <c r="FK71" s="521"/>
      <c r="FL71" s="521"/>
      <c r="FM71" s="521"/>
      <c r="FN71" s="521"/>
      <c r="FO71" s="521"/>
      <c r="FP71" s="521"/>
      <c r="FQ71" s="521"/>
      <c r="FR71" s="521"/>
      <c r="FS71" s="521"/>
      <c r="FT71" s="521"/>
      <c r="FU71" s="521"/>
      <c r="FV71" s="521"/>
      <c r="FW71" s="521"/>
      <c r="FX71" s="521"/>
      <c r="FY71" s="521"/>
      <c r="FZ71" s="521"/>
      <c r="GA71" s="521"/>
      <c r="GB71" s="521"/>
      <c r="GC71" s="521"/>
      <c r="GD71" s="521"/>
      <c r="GE71" s="521"/>
      <c r="GF71" s="521"/>
      <c r="GG71" s="521"/>
      <c r="GH71" s="521"/>
      <c r="GI71" s="521"/>
      <c r="GJ71" s="521"/>
      <c r="GK71" s="521"/>
      <c r="GL71" s="521"/>
      <c r="GM71" s="521"/>
      <c r="GN71" s="521"/>
      <c r="GO71" s="521"/>
      <c r="GP71" s="521"/>
      <c r="GQ71" s="521"/>
      <c r="GR71" s="521"/>
      <c r="GS71" s="521"/>
      <c r="GT71" s="521"/>
      <c r="GU71" s="521"/>
      <c r="GV71" s="521"/>
      <c r="GW71" s="521"/>
      <c r="GX71" s="521"/>
      <c r="GY71" s="521"/>
      <c r="GZ71" s="521"/>
      <c r="HA71" s="521"/>
      <c r="HB71" s="521"/>
      <c r="HC71" s="521"/>
      <c r="HD71" s="521"/>
      <c r="HE71" s="521"/>
      <c r="HF71" s="521"/>
      <c r="HG71" s="521"/>
      <c r="HH71" s="521"/>
      <c r="HI71" s="521"/>
      <c r="HJ71" s="521"/>
      <c r="HK71" s="521"/>
      <c r="HL71" s="521"/>
      <c r="HM71" s="521"/>
      <c r="HN71" s="521"/>
      <c r="HO71" s="521"/>
      <c r="HP71" s="521"/>
      <c r="HQ71" s="521"/>
      <c r="HR71" s="521"/>
      <c r="HS71" s="521"/>
      <c r="HT71" s="521"/>
      <c r="HU71" s="521"/>
      <c r="HV71" s="521"/>
      <c r="HW71" s="521"/>
      <c r="HX71" s="521"/>
      <c r="HY71" s="521"/>
      <c r="HZ71" s="521"/>
      <c r="IA71" s="521"/>
      <c r="IB71" s="521"/>
      <c r="IC71" s="521"/>
      <c r="ID71" s="521"/>
      <c r="IE71" s="521"/>
      <c r="IF71" s="521"/>
      <c r="IG71" s="521"/>
      <c r="IH71" s="521"/>
      <c r="II71" s="521"/>
      <c r="IJ71" s="521"/>
      <c r="IK71" s="521"/>
      <c r="IL71" s="521"/>
      <c r="IM71" s="521"/>
      <c r="IN71" s="521"/>
      <c r="IO71" s="521"/>
    </row>
    <row r="72" spans="1:249" s="508" customFormat="1" ht="12.75">
      <c r="A72" s="521"/>
      <c r="B72" s="521"/>
      <c r="C72" s="521"/>
      <c r="D72" s="521"/>
      <c r="E72" s="521"/>
      <c r="F72" s="521"/>
      <c r="G72" s="521"/>
      <c r="H72" s="521"/>
      <c r="I72" s="521"/>
      <c r="J72" s="521"/>
      <c r="K72" s="521"/>
      <c r="L72" s="521"/>
      <c r="M72" s="521"/>
      <c r="N72" s="521"/>
      <c r="O72" s="521"/>
      <c r="P72" s="521"/>
      <c r="Q72" s="521"/>
      <c r="R72" s="521"/>
      <c r="S72" s="521"/>
      <c r="T72" s="521"/>
      <c r="U72" s="521"/>
      <c r="V72" s="521"/>
      <c r="W72" s="521"/>
      <c r="X72" s="521"/>
      <c r="Y72" s="521"/>
      <c r="Z72" s="521"/>
      <c r="AA72" s="521"/>
      <c r="AB72" s="521"/>
      <c r="AC72" s="521"/>
      <c r="AD72" s="521"/>
      <c r="AE72" s="521"/>
      <c r="AF72" s="521"/>
      <c r="AG72" s="521"/>
      <c r="AH72" s="521"/>
      <c r="AI72" s="521"/>
      <c r="AJ72" s="521"/>
      <c r="AK72" s="521"/>
      <c r="AL72" s="521"/>
      <c r="AM72" s="521"/>
      <c r="AN72" s="521"/>
      <c r="AO72" s="1726"/>
      <c r="AP72" s="1726"/>
      <c r="AQ72" s="1726"/>
      <c r="AR72" s="1726"/>
      <c r="AS72" s="1726"/>
      <c r="AT72" s="1726"/>
      <c r="AU72" s="1726"/>
      <c r="AV72" s="1726"/>
      <c r="AW72" s="1726"/>
      <c r="AX72" s="1726"/>
      <c r="AY72" s="1726"/>
      <c r="AZ72" s="1726"/>
      <c r="BA72" s="1726"/>
      <c r="BB72" s="1726"/>
      <c r="BC72" s="1726"/>
      <c r="BD72" s="1726"/>
      <c r="BE72" s="1726"/>
      <c r="BF72" s="1726"/>
      <c r="BG72" s="1726"/>
      <c r="BH72" s="1726"/>
      <c r="BI72" s="1726"/>
      <c r="BJ72" s="1726"/>
      <c r="BK72" s="1726"/>
      <c r="BL72" s="1726"/>
      <c r="BM72" s="521"/>
      <c r="BN72" s="521"/>
      <c r="BO72" s="1726"/>
      <c r="BP72" s="1726"/>
      <c r="BQ72" s="1726"/>
      <c r="BR72" s="1726"/>
      <c r="BS72" s="1726"/>
      <c r="BT72" s="1726"/>
      <c r="BU72" s="1726"/>
      <c r="BV72" s="1726"/>
      <c r="BW72" s="1726"/>
      <c r="BX72" s="1726"/>
      <c r="BY72" s="1726"/>
      <c r="BZ72" s="1726"/>
      <c r="CA72" s="1726"/>
      <c r="CB72" s="1726"/>
      <c r="CC72" s="1726"/>
      <c r="CD72" s="1726"/>
      <c r="CE72" s="1726"/>
      <c r="CF72" s="1726"/>
      <c r="CG72" s="1726"/>
      <c r="CH72" s="1726"/>
      <c r="CI72" s="1726"/>
      <c r="CJ72" s="521"/>
      <c r="CK72" s="521"/>
      <c r="CL72" s="1726"/>
      <c r="CM72" s="1726"/>
      <c r="CN72" s="1726"/>
      <c r="CO72" s="1726"/>
      <c r="CP72" s="1726"/>
      <c r="CQ72" s="1726"/>
      <c r="CR72" s="1726"/>
      <c r="CS72" s="1726"/>
      <c r="CT72" s="1726"/>
      <c r="CU72" s="1726"/>
      <c r="CV72" s="1726"/>
      <c r="CW72" s="1726"/>
      <c r="CX72" s="1726"/>
      <c r="CY72" s="1726"/>
      <c r="CZ72" s="1726"/>
      <c r="DA72" s="1726"/>
      <c r="DB72" s="1726"/>
      <c r="DC72" s="1726"/>
      <c r="DD72" s="1726"/>
      <c r="DE72" s="1726"/>
      <c r="DF72" s="1726"/>
      <c r="DG72" s="1726"/>
      <c r="DH72" s="1726"/>
      <c r="DI72" s="1726"/>
      <c r="DJ72" s="1726"/>
      <c r="DK72" s="1726"/>
      <c r="DL72" s="1726"/>
      <c r="DM72" s="1726"/>
      <c r="DN72" s="1726"/>
      <c r="DO72" s="1726"/>
      <c r="DP72" s="1726"/>
      <c r="DQ72" s="1726"/>
      <c r="DR72" s="521"/>
      <c r="DS72" s="521"/>
      <c r="DT72" s="521"/>
      <c r="DU72" s="521"/>
      <c r="DV72" s="521"/>
      <c r="DW72" s="521"/>
      <c r="DX72" s="521"/>
      <c r="DY72" s="521"/>
      <c r="DZ72" s="521"/>
      <c r="EA72" s="521"/>
      <c r="EB72" s="521"/>
      <c r="EC72" s="521"/>
      <c r="ED72" s="521"/>
      <c r="EE72" s="521"/>
      <c r="EF72" s="521"/>
      <c r="EG72" s="521"/>
      <c r="EH72" s="521"/>
      <c r="EI72" s="521"/>
      <c r="EJ72" s="521"/>
      <c r="EK72" s="521"/>
      <c r="EL72" s="521"/>
      <c r="EM72" s="521"/>
      <c r="EN72" s="521"/>
      <c r="EO72" s="521"/>
      <c r="EP72" s="521"/>
      <c r="EQ72" s="521"/>
      <c r="ER72" s="521"/>
      <c r="ES72" s="521"/>
      <c r="ET72" s="521"/>
      <c r="EU72" s="521"/>
      <c r="EV72" s="521"/>
      <c r="EW72" s="521"/>
      <c r="EX72" s="521"/>
      <c r="EY72" s="521"/>
      <c r="EZ72" s="521"/>
      <c r="FA72" s="521"/>
      <c r="FB72" s="521"/>
      <c r="FC72" s="521"/>
      <c r="FD72" s="521"/>
      <c r="FE72" s="521"/>
      <c r="FF72" s="521"/>
      <c r="FG72" s="521"/>
      <c r="FH72" s="521"/>
      <c r="FI72" s="521"/>
      <c r="FJ72" s="521"/>
      <c r="FK72" s="521"/>
      <c r="FL72" s="521"/>
      <c r="FM72" s="521"/>
      <c r="FN72" s="521"/>
      <c r="FO72" s="521"/>
      <c r="FP72" s="521"/>
      <c r="FQ72" s="521"/>
      <c r="FR72" s="521"/>
      <c r="FS72" s="521"/>
      <c r="FT72" s="521"/>
      <c r="FU72" s="521"/>
      <c r="FV72" s="521"/>
      <c r="FW72" s="521"/>
      <c r="FX72" s="521"/>
      <c r="FY72" s="521"/>
      <c r="FZ72" s="521"/>
      <c r="GA72" s="521"/>
      <c r="GB72" s="521"/>
      <c r="GC72" s="521"/>
      <c r="GD72" s="521"/>
      <c r="GE72" s="521"/>
      <c r="GF72" s="521"/>
      <c r="GG72" s="521"/>
      <c r="GH72" s="521"/>
      <c r="GI72" s="521"/>
      <c r="GJ72" s="521"/>
      <c r="GK72" s="521"/>
      <c r="GL72" s="521"/>
      <c r="GM72" s="521"/>
      <c r="GN72" s="521"/>
      <c r="GO72" s="521"/>
      <c r="GP72" s="521"/>
      <c r="GQ72" s="521"/>
      <c r="GR72" s="521"/>
      <c r="GS72" s="521"/>
      <c r="GT72" s="521"/>
      <c r="GU72" s="521"/>
      <c r="GV72" s="521"/>
      <c r="GW72" s="521"/>
      <c r="GX72" s="521"/>
      <c r="GY72" s="521"/>
      <c r="GZ72" s="521"/>
      <c r="HA72" s="521"/>
      <c r="HB72" s="521"/>
      <c r="HC72" s="521"/>
      <c r="HD72" s="521"/>
      <c r="HE72" s="521"/>
      <c r="HF72" s="521"/>
      <c r="HG72" s="521"/>
      <c r="HH72" s="521"/>
      <c r="HI72" s="521"/>
      <c r="HJ72" s="521"/>
      <c r="HK72" s="521"/>
      <c r="HL72" s="521"/>
      <c r="HM72" s="521"/>
      <c r="HN72" s="521"/>
      <c r="HO72" s="521"/>
      <c r="HP72" s="521"/>
      <c r="HQ72" s="521"/>
      <c r="HR72" s="521"/>
      <c r="HS72" s="521"/>
      <c r="HT72" s="521"/>
      <c r="HU72" s="521"/>
      <c r="HV72" s="521"/>
      <c r="HW72" s="521"/>
      <c r="HX72" s="521"/>
      <c r="HY72" s="521"/>
      <c r="HZ72" s="521"/>
      <c r="IA72" s="521"/>
      <c r="IB72" s="521"/>
      <c r="IC72" s="521"/>
      <c r="ID72" s="521"/>
      <c r="IE72" s="521"/>
      <c r="IF72" s="521"/>
      <c r="IG72" s="521"/>
      <c r="IH72" s="521"/>
      <c r="II72" s="521"/>
      <c r="IJ72" s="521"/>
      <c r="IK72" s="521"/>
      <c r="IL72" s="521"/>
      <c r="IM72" s="521"/>
      <c r="IN72" s="521"/>
      <c r="IO72" s="521"/>
    </row>
    <row r="73" spans="1:249" s="508" customFormat="1" ht="12.75">
      <c r="A73" s="521"/>
      <c r="B73" s="521"/>
      <c r="C73" s="521"/>
      <c r="D73" s="521"/>
      <c r="E73" s="521"/>
      <c r="F73" s="521"/>
      <c r="G73" s="521"/>
      <c r="H73" s="521"/>
      <c r="I73" s="521"/>
      <c r="J73" s="521"/>
      <c r="K73" s="521"/>
      <c r="L73" s="521"/>
      <c r="M73" s="521"/>
      <c r="N73" s="521"/>
      <c r="O73" s="521"/>
      <c r="P73" s="521"/>
      <c r="Q73" s="521"/>
      <c r="R73" s="521"/>
      <c r="S73" s="521"/>
      <c r="T73" s="521"/>
      <c r="U73" s="521"/>
      <c r="V73" s="521"/>
      <c r="W73" s="521"/>
      <c r="X73" s="521"/>
      <c r="Y73" s="521"/>
      <c r="Z73" s="521"/>
      <c r="AA73" s="521"/>
      <c r="AB73" s="521"/>
      <c r="AC73" s="521"/>
      <c r="AD73" s="521"/>
      <c r="AE73" s="521"/>
      <c r="AF73" s="521"/>
      <c r="AG73" s="521"/>
      <c r="AH73" s="513"/>
      <c r="AI73" s="521"/>
      <c r="AJ73" s="521"/>
      <c r="AK73" s="521"/>
      <c r="AL73" s="521"/>
      <c r="AM73" s="521"/>
      <c r="AN73" s="521"/>
      <c r="AO73" s="521"/>
      <c r="AP73" s="521"/>
      <c r="AQ73" s="521"/>
      <c r="AR73" s="521"/>
      <c r="AS73" s="521"/>
      <c r="AT73" s="521"/>
      <c r="AU73" s="521"/>
      <c r="AV73" s="521"/>
      <c r="AW73" s="521"/>
      <c r="AX73" s="521"/>
      <c r="AY73" s="521"/>
      <c r="AZ73" s="521"/>
      <c r="BA73" s="521"/>
      <c r="BB73" s="521"/>
      <c r="BC73" s="521"/>
      <c r="BD73" s="521"/>
      <c r="BE73" s="521"/>
      <c r="BF73" s="521"/>
      <c r="BG73" s="521"/>
      <c r="BH73" s="521"/>
      <c r="BI73" s="521"/>
      <c r="BJ73" s="521"/>
      <c r="BK73" s="521"/>
      <c r="BL73" s="521"/>
      <c r="BM73" s="521"/>
      <c r="BN73" s="521"/>
      <c r="BO73" s="521"/>
      <c r="BP73" s="521"/>
      <c r="BQ73" s="521"/>
      <c r="BR73" s="521"/>
      <c r="BS73" s="521"/>
      <c r="BT73" s="521"/>
      <c r="BU73" s="521"/>
      <c r="BV73" s="521"/>
      <c r="BW73" s="521"/>
      <c r="BX73" s="521"/>
      <c r="BY73" s="521"/>
      <c r="BZ73" s="521"/>
      <c r="CA73" s="521"/>
      <c r="CB73" s="521"/>
      <c r="CC73" s="521"/>
      <c r="CD73" s="521"/>
      <c r="CE73" s="521"/>
      <c r="CF73" s="521"/>
      <c r="CG73" s="521"/>
      <c r="CH73" s="521"/>
      <c r="CI73" s="521"/>
      <c r="CJ73" s="521"/>
      <c r="CK73" s="521"/>
      <c r="CL73" s="521"/>
      <c r="CM73" s="521"/>
      <c r="CN73" s="521"/>
      <c r="CO73" s="521"/>
      <c r="CP73" s="521"/>
      <c r="CQ73" s="521"/>
      <c r="CR73" s="521"/>
      <c r="CS73" s="521"/>
      <c r="CT73" s="521"/>
      <c r="CU73" s="521"/>
      <c r="CV73" s="521"/>
      <c r="CW73" s="521"/>
      <c r="CX73" s="521"/>
      <c r="CY73" s="521"/>
      <c r="CZ73" s="521"/>
      <c r="DA73" s="521"/>
      <c r="DB73" s="521"/>
      <c r="DC73" s="521"/>
      <c r="DD73" s="521"/>
      <c r="DE73" s="521"/>
      <c r="DF73" s="521"/>
      <c r="DG73" s="521"/>
      <c r="DH73" s="521"/>
      <c r="DI73" s="521"/>
      <c r="DJ73" s="521"/>
      <c r="DK73" s="521"/>
      <c r="DL73" s="521"/>
      <c r="DM73" s="521"/>
      <c r="DN73" s="521"/>
      <c r="DO73" s="521"/>
      <c r="DP73" s="521"/>
      <c r="DQ73" s="521"/>
      <c r="DR73" s="521"/>
      <c r="DS73" s="521"/>
      <c r="DT73" s="521"/>
      <c r="DU73" s="521"/>
      <c r="DV73" s="521"/>
      <c r="DW73" s="521"/>
      <c r="DX73" s="521"/>
      <c r="DY73" s="521"/>
      <c r="DZ73" s="521"/>
      <c r="EA73" s="521"/>
      <c r="EB73" s="521"/>
      <c r="EC73" s="521"/>
      <c r="ED73" s="521"/>
      <c r="EE73" s="521"/>
      <c r="EF73" s="521"/>
      <c r="EG73" s="521"/>
      <c r="EH73" s="521"/>
      <c r="EI73" s="521"/>
      <c r="EJ73" s="521"/>
      <c r="EK73" s="521"/>
      <c r="EL73" s="521"/>
      <c r="EM73" s="521"/>
      <c r="EN73" s="521"/>
      <c r="EO73" s="521"/>
      <c r="EP73" s="521"/>
      <c r="EQ73" s="521"/>
      <c r="ER73" s="521"/>
      <c r="ES73" s="521"/>
      <c r="ET73" s="521"/>
      <c r="EU73" s="521"/>
      <c r="EV73" s="521"/>
      <c r="EW73" s="521"/>
      <c r="EX73" s="521"/>
      <c r="EY73" s="521"/>
      <c r="EZ73" s="521"/>
      <c r="FA73" s="521"/>
      <c r="FB73" s="521"/>
      <c r="FC73" s="521"/>
      <c r="FD73" s="521"/>
      <c r="FE73" s="521"/>
      <c r="FF73" s="521"/>
      <c r="FG73" s="521"/>
      <c r="FH73" s="521"/>
      <c r="FI73" s="521"/>
      <c r="FJ73" s="521"/>
      <c r="FK73" s="521"/>
      <c r="FL73" s="521"/>
      <c r="FM73" s="521"/>
      <c r="FN73" s="521"/>
      <c r="FO73" s="521"/>
      <c r="FP73" s="521"/>
      <c r="FQ73" s="521"/>
      <c r="FR73" s="521"/>
      <c r="FS73" s="521"/>
      <c r="FT73" s="521"/>
      <c r="FU73" s="521"/>
      <c r="FV73" s="521"/>
      <c r="FW73" s="521"/>
      <c r="FX73" s="521"/>
      <c r="FY73" s="521"/>
      <c r="FZ73" s="521"/>
      <c r="GA73" s="521"/>
      <c r="GB73" s="521"/>
      <c r="GC73" s="521"/>
      <c r="GD73" s="521"/>
      <c r="GE73" s="521"/>
      <c r="GF73" s="521"/>
      <c r="GG73" s="521"/>
      <c r="GH73" s="521"/>
      <c r="GI73" s="521"/>
      <c r="GJ73" s="521"/>
      <c r="GK73" s="521"/>
      <c r="GL73" s="521"/>
      <c r="GM73" s="521"/>
      <c r="GN73" s="521"/>
      <c r="GO73" s="521"/>
      <c r="GP73" s="521"/>
      <c r="GQ73" s="521"/>
      <c r="GR73" s="521"/>
      <c r="GS73" s="521"/>
      <c r="GT73" s="521"/>
      <c r="GU73" s="521"/>
      <c r="GV73" s="521"/>
      <c r="GW73" s="521"/>
      <c r="GX73" s="521"/>
      <c r="GY73" s="521"/>
      <c r="GZ73" s="521"/>
      <c r="HA73" s="521"/>
      <c r="HB73" s="521"/>
      <c r="HC73" s="521"/>
      <c r="HD73" s="521"/>
      <c r="HE73" s="521"/>
      <c r="HF73" s="521"/>
      <c r="HG73" s="521"/>
      <c r="HH73" s="521"/>
      <c r="HI73" s="521"/>
      <c r="HJ73" s="521"/>
      <c r="HK73" s="521"/>
      <c r="HL73" s="521"/>
      <c r="HM73" s="521"/>
      <c r="HN73" s="521"/>
      <c r="HO73" s="521"/>
      <c r="HP73" s="521"/>
      <c r="HQ73" s="521"/>
      <c r="HR73" s="521"/>
      <c r="HS73" s="521"/>
      <c r="HT73" s="521"/>
      <c r="HU73" s="521"/>
      <c r="HV73" s="521"/>
      <c r="HW73" s="521"/>
      <c r="HX73" s="521"/>
      <c r="HY73" s="521"/>
      <c r="HZ73" s="521"/>
      <c r="IA73" s="521"/>
      <c r="IB73" s="521"/>
      <c r="IC73" s="521"/>
      <c r="ID73" s="521"/>
      <c r="IE73" s="521"/>
      <c r="IF73" s="521"/>
      <c r="IG73" s="521"/>
      <c r="IH73" s="521"/>
      <c r="II73" s="521"/>
      <c r="IJ73" s="521"/>
      <c r="IK73" s="521"/>
      <c r="IL73" s="521"/>
      <c r="IM73" s="521"/>
      <c r="IN73" s="521"/>
      <c r="IO73" s="521"/>
    </row>
    <row r="74" spans="1:249" s="508" customFormat="1" ht="11.25" customHeight="1">
      <c r="A74" s="513" t="s">
        <v>368</v>
      </c>
      <c r="B74" s="513"/>
      <c r="C74" s="513"/>
      <c r="D74" s="513"/>
      <c r="E74" s="513"/>
      <c r="F74" s="513"/>
      <c r="G74" s="513"/>
      <c r="H74" s="513"/>
      <c r="I74" s="513"/>
      <c r="J74" s="513"/>
      <c r="K74" s="513"/>
      <c r="L74" s="513"/>
      <c r="M74" s="513"/>
      <c r="N74" s="513"/>
      <c r="O74" s="513"/>
      <c r="P74" s="513"/>
      <c r="Q74" s="513"/>
      <c r="R74" s="513"/>
      <c r="S74" s="513"/>
      <c r="T74" s="513"/>
      <c r="U74" s="513"/>
      <c r="V74" s="513"/>
      <c r="W74" s="513"/>
      <c r="X74" s="513"/>
      <c r="Y74" s="513"/>
      <c r="Z74" s="513"/>
      <c r="AA74" s="513"/>
      <c r="AB74" s="513"/>
      <c r="AC74" s="513"/>
      <c r="AD74" s="513"/>
      <c r="AE74" s="513"/>
      <c r="AF74" s="513"/>
      <c r="AG74" s="513"/>
      <c r="AH74" s="521"/>
      <c r="AI74" s="513"/>
      <c r="AJ74" s="513"/>
      <c r="AK74" s="513"/>
      <c r="AL74" s="513"/>
      <c r="AM74" s="928"/>
      <c r="AN74" s="515"/>
      <c r="AO74" s="515"/>
      <c r="AP74" s="515"/>
      <c r="AQ74" s="516"/>
      <c r="AR74" s="516"/>
      <c r="AS74" s="516"/>
      <c r="AT74" s="511"/>
      <c r="AU74" s="511"/>
      <c r="AV74" s="511"/>
      <c r="AW74" s="511"/>
      <c r="AX74" s="511"/>
      <c r="AY74" s="511"/>
      <c r="AZ74" s="511"/>
      <c r="BA74" s="511"/>
      <c r="BB74" s="511"/>
      <c r="BC74" s="511"/>
      <c r="BD74" s="511"/>
      <c r="BE74" s="511"/>
      <c r="BF74" s="511"/>
      <c r="BG74" s="511"/>
      <c r="BH74" s="511"/>
      <c r="BI74" s="511"/>
      <c r="BJ74" s="511"/>
      <c r="BK74" s="511"/>
      <c r="BL74" s="511"/>
      <c r="BM74" s="511"/>
      <c r="BN74" s="511"/>
      <c r="BO74" s="511"/>
      <c r="BP74" s="511"/>
      <c r="BQ74" s="511"/>
      <c r="BR74" s="511"/>
      <c r="BS74" s="511"/>
      <c r="BT74" s="511"/>
      <c r="BU74" s="511"/>
      <c r="BV74" s="511"/>
      <c r="BW74" s="511"/>
      <c r="BX74" s="511"/>
      <c r="BY74" s="511"/>
      <c r="BZ74" s="511"/>
      <c r="CA74" s="511"/>
      <c r="CB74" s="511"/>
      <c r="CC74" s="511"/>
      <c r="CD74" s="511"/>
      <c r="CE74" s="511"/>
      <c r="CF74" s="511"/>
      <c r="CG74" s="511"/>
      <c r="CH74" s="511"/>
      <c r="CI74" s="511"/>
      <c r="CJ74" s="511"/>
      <c r="CK74" s="511"/>
      <c r="CL74" s="511"/>
      <c r="CM74" s="511"/>
      <c r="CN74" s="511"/>
      <c r="CO74" s="511"/>
      <c r="CP74" s="511"/>
      <c r="CQ74" s="511"/>
      <c r="CR74" s="511"/>
      <c r="CS74" s="511"/>
      <c r="CT74" s="511"/>
      <c r="CU74" s="511"/>
      <c r="CV74" s="511"/>
      <c r="CW74" s="511"/>
      <c r="CX74" s="511"/>
      <c r="CY74" s="511"/>
      <c r="CZ74" s="511"/>
      <c r="DA74" s="511"/>
      <c r="DB74" s="511"/>
      <c r="DC74" s="511"/>
      <c r="DD74" s="511"/>
      <c r="DE74" s="511"/>
      <c r="DF74" s="511"/>
      <c r="DG74" s="511"/>
      <c r="DH74" s="511"/>
      <c r="DI74" s="511"/>
      <c r="DJ74" s="511"/>
      <c r="DK74" s="511"/>
      <c r="DL74" s="511"/>
      <c r="DM74" s="511"/>
      <c r="DN74" s="511"/>
      <c r="DO74" s="511"/>
      <c r="DP74" s="511"/>
      <c r="DQ74" s="511"/>
      <c r="DR74" s="511"/>
      <c r="DS74" s="511"/>
      <c r="DT74" s="511"/>
      <c r="DU74" s="511"/>
      <c r="DV74" s="511"/>
      <c r="DW74" s="511"/>
      <c r="DX74" s="511"/>
      <c r="DY74" s="511"/>
      <c r="DZ74" s="511"/>
      <c r="EA74" s="511"/>
      <c r="EB74" s="511"/>
      <c r="EC74" s="511"/>
      <c r="ED74" s="511"/>
      <c r="EE74" s="511"/>
      <c r="EF74" s="511"/>
      <c r="EG74" s="511"/>
      <c r="EH74" s="511"/>
      <c r="EI74" s="511"/>
      <c r="EJ74" s="511"/>
      <c r="EK74" s="511"/>
      <c r="EL74" s="511"/>
      <c r="EM74" s="511"/>
      <c r="EN74" s="511"/>
      <c r="EO74" s="511"/>
      <c r="EP74" s="511"/>
      <c r="EQ74" s="511"/>
      <c r="ER74" s="511"/>
      <c r="ES74" s="511"/>
      <c r="ET74" s="511"/>
      <c r="EU74" s="521"/>
      <c r="EV74" s="521"/>
      <c r="EW74" s="521"/>
      <c r="EX74" s="521"/>
      <c r="EY74" s="521"/>
      <c r="EZ74" s="521"/>
      <c r="FA74" s="521"/>
      <c r="FB74" s="521"/>
      <c r="FC74" s="521"/>
      <c r="FD74" s="521"/>
      <c r="FE74" s="521"/>
      <c r="FF74" s="521"/>
      <c r="FG74" s="521"/>
      <c r="FH74" s="521"/>
      <c r="FI74" s="521"/>
      <c r="FJ74" s="521"/>
      <c r="FK74" s="521"/>
      <c r="FL74" s="521"/>
      <c r="FM74" s="521"/>
      <c r="FN74" s="521"/>
      <c r="FO74" s="521"/>
      <c r="FP74" s="521"/>
      <c r="FQ74" s="521"/>
      <c r="FR74" s="521"/>
      <c r="FS74" s="521"/>
      <c r="FT74" s="521"/>
      <c r="FU74" s="521"/>
      <c r="FV74" s="521"/>
      <c r="FW74" s="521"/>
      <c r="FX74" s="521"/>
      <c r="FY74" s="521"/>
      <c r="FZ74" s="521"/>
      <c r="GA74" s="521"/>
      <c r="GB74" s="521"/>
      <c r="GC74" s="521"/>
      <c r="GD74" s="521"/>
      <c r="GE74" s="521"/>
      <c r="GF74" s="521"/>
      <c r="GG74" s="521"/>
      <c r="GH74" s="521"/>
      <c r="GI74" s="521"/>
      <c r="GJ74" s="521"/>
      <c r="GK74" s="521"/>
      <c r="GL74" s="521"/>
      <c r="GM74" s="521"/>
      <c r="GN74" s="521"/>
      <c r="GO74" s="521"/>
      <c r="GP74" s="521"/>
      <c r="GQ74" s="521"/>
      <c r="GR74" s="521"/>
      <c r="GS74" s="521"/>
      <c r="GT74" s="521"/>
      <c r="GU74" s="521"/>
      <c r="GV74" s="521"/>
      <c r="GW74" s="521"/>
      <c r="GX74" s="521"/>
      <c r="GY74" s="521"/>
      <c r="GZ74" s="521"/>
      <c r="HA74" s="521"/>
      <c r="HB74" s="521"/>
      <c r="HC74" s="521"/>
      <c r="HD74" s="521"/>
      <c r="HE74" s="521"/>
      <c r="HF74" s="521"/>
      <c r="HG74" s="521"/>
      <c r="HH74" s="521"/>
      <c r="HI74" s="521"/>
      <c r="HJ74" s="521"/>
      <c r="HK74" s="521"/>
      <c r="HL74" s="521"/>
      <c r="HM74" s="521"/>
      <c r="HN74" s="521"/>
      <c r="HO74" s="521"/>
      <c r="HP74" s="521"/>
      <c r="HQ74" s="521"/>
      <c r="HR74" s="521"/>
      <c r="HS74" s="521"/>
      <c r="HT74" s="521"/>
      <c r="HU74" s="521"/>
      <c r="HV74" s="521"/>
      <c r="HW74" s="521"/>
      <c r="HX74" s="521"/>
      <c r="HY74" s="521"/>
      <c r="HZ74" s="521"/>
      <c r="IA74" s="521"/>
      <c r="IB74" s="521"/>
      <c r="IC74" s="521"/>
      <c r="ID74" s="521"/>
      <c r="IE74" s="521"/>
      <c r="IF74" s="521"/>
      <c r="IG74" s="521"/>
      <c r="IH74" s="521"/>
      <c r="II74" s="521"/>
      <c r="IJ74" s="521"/>
      <c r="IK74" s="521"/>
      <c r="IL74" s="521"/>
      <c r="IM74" s="521"/>
      <c r="IN74" s="521"/>
      <c r="IO74" s="521"/>
    </row>
    <row r="75" spans="1:249" s="508" customFormat="1" ht="12.75">
      <c r="A75" s="927"/>
      <c r="B75" s="927"/>
      <c r="C75" s="927"/>
      <c r="D75" s="927"/>
      <c r="E75" s="927"/>
      <c r="F75" s="927"/>
      <c r="G75" s="927"/>
      <c r="H75" s="927"/>
      <c r="I75" s="927"/>
      <c r="J75" s="927"/>
      <c r="K75" s="927"/>
      <c r="L75" s="927"/>
      <c r="M75" s="927"/>
      <c r="N75" s="927"/>
      <c r="O75" s="927"/>
      <c r="P75" s="927"/>
      <c r="Q75" s="927"/>
      <c r="R75" s="927"/>
      <c r="S75" s="927"/>
      <c r="T75" s="927"/>
      <c r="U75" s="927"/>
      <c r="V75" s="927"/>
      <c r="W75" s="927"/>
      <c r="X75" s="927"/>
      <c r="Y75" s="927"/>
      <c r="Z75" s="927"/>
      <c r="AA75" s="927"/>
      <c r="AB75" s="927"/>
      <c r="AC75" s="927"/>
      <c r="AD75" s="927"/>
      <c r="AE75" s="927"/>
      <c r="AF75" s="927"/>
      <c r="AG75" s="927"/>
      <c r="AH75" s="519"/>
      <c r="AI75" s="927"/>
      <c r="AJ75" s="927"/>
      <c r="AK75" s="927"/>
      <c r="AL75" s="927"/>
      <c r="AM75" s="927"/>
      <c r="AN75" s="927"/>
      <c r="AO75" s="927"/>
      <c r="AP75" s="927"/>
      <c r="AQ75" s="927"/>
      <c r="AR75" s="927"/>
      <c r="AS75" s="927"/>
      <c r="AT75" s="927"/>
      <c r="AU75" s="927"/>
      <c r="AV75" s="927"/>
      <c r="AW75" s="927"/>
      <c r="AX75" s="927"/>
      <c r="AY75" s="927"/>
      <c r="AZ75" s="927"/>
      <c r="BA75" s="927"/>
      <c r="BB75" s="927"/>
      <c r="BC75" s="927"/>
      <c r="BD75" s="927"/>
      <c r="BE75" s="927"/>
      <c r="BF75" s="927"/>
      <c r="BG75" s="927"/>
      <c r="BH75" s="927"/>
      <c r="BI75" s="927"/>
      <c r="BJ75" s="927"/>
      <c r="BK75" s="927"/>
      <c r="BL75" s="927"/>
      <c r="BM75" s="927"/>
      <c r="BN75" s="927"/>
      <c r="BO75" s="927"/>
      <c r="BP75" s="927"/>
      <c r="BQ75" s="927"/>
      <c r="BR75" s="927"/>
      <c r="BS75" s="927"/>
      <c r="BT75" s="927"/>
      <c r="BU75" s="927"/>
      <c r="BV75" s="927"/>
      <c r="BW75" s="927"/>
      <c r="BX75" s="927"/>
      <c r="BY75" s="927"/>
      <c r="BZ75" s="927"/>
      <c r="CA75" s="927"/>
      <c r="CB75" s="927"/>
      <c r="CC75" s="927"/>
      <c r="CD75" s="927"/>
      <c r="CE75" s="927"/>
      <c r="CF75" s="927"/>
      <c r="CG75" s="927"/>
      <c r="CH75" s="927"/>
      <c r="CI75" s="927"/>
      <c r="CJ75" s="927"/>
      <c r="CK75" s="927"/>
      <c r="CL75" s="927"/>
      <c r="CM75" s="927"/>
      <c r="CN75" s="927"/>
      <c r="CO75" s="927"/>
      <c r="CP75" s="927"/>
      <c r="CQ75" s="927"/>
      <c r="CR75" s="927"/>
      <c r="CS75" s="927"/>
      <c r="CT75" s="927"/>
      <c r="CU75" s="927"/>
      <c r="CV75" s="927"/>
      <c r="CW75" s="927"/>
      <c r="CX75" s="927"/>
      <c r="CY75" s="927"/>
      <c r="CZ75" s="927"/>
      <c r="DA75" s="927"/>
      <c r="DB75" s="927"/>
      <c r="DC75" s="927"/>
      <c r="DD75" s="927"/>
      <c r="DE75" s="927"/>
      <c r="DF75" s="927"/>
      <c r="DG75" s="927"/>
      <c r="DH75" s="927"/>
      <c r="DI75" s="927"/>
      <c r="DJ75" s="927"/>
      <c r="DK75" s="927"/>
      <c r="DL75" s="927"/>
      <c r="DM75" s="927"/>
      <c r="DN75" s="927"/>
      <c r="DO75" s="927"/>
      <c r="DP75" s="927"/>
      <c r="DQ75" s="927"/>
      <c r="DR75" s="927"/>
      <c r="DS75" s="927"/>
      <c r="DT75" s="927"/>
      <c r="DU75" s="927"/>
      <c r="DV75" s="927"/>
      <c r="DW75" s="927"/>
      <c r="DX75" s="927"/>
      <c r="DY75" s="927"/>
      <c r="DZ75" s="927"/>
      <c r="EA75" s="927"/>
      <c r="EB75" s="927"/>
      <c r="EC75" s="927"/>
      <c r="ED75" s="927"/>
      <c r="EE75" s="927"/>
      <c r="EF75" s="927"/>
      <c r="EG75" s="927"/>
      <c r="EH75" s="927"/>
      <c r="EI75" s="927"/>
      <c r="EJ75" s="927"/>
      <c r="EK75" s="927"/>
      <c r="EL75" s="927"/>
      <c r="EM75" s="927"/>
      <c r="EN75" s="927"/>
      <c r="EO75" s="927"/>
      <c r="EP75" s="927"/>
      <c r="EQ75" s="927"/>
      <c r="ER75" s="927"/>
      <c r="ES75" s="927"/>
      <c r="ET75" s="927"/>
      <c r="EU75" s="521"/>
      <c r="EV75" s="521"/>
      <c r="EW75" s="521"/>
      <c r="EX75" s="521"/>
      <c r="EY75" s="521"/>
      <c r="EZ75" s="521"/>
      <c r="FA75" s="521"/>
      <c r="FB75" s="521"/>
      <c r="FC75" s="521"/>
      <c r="FD75" s="521"/>
      <c r="FE75" s="521"/>
      <c r="FF75" s="521"/>
      <c r="FG75" s="521"/>
      <c r="FH75" s="521"/>
      <c r="FI75" s="521"/>
      <c r="FJ75" s="521"/>
      <c r="FK75" s="521"/>
      <c r="FL75" s="521"/>
      <c r="FM75" s="521"/>
      <c r="FN75" s="521"/>
      <c r="FO75" s="521"/>
      <c r="FP75" s="521"/>
      <c r="FQ75" s="521"/>
      <c r="FR75" s="521"/>
      <c r="FS75" s="521"/>
      <c r="FT75" s="521"/>
      <c r="FU75" s="521"/>
      <c r="FV75" s="521"/>
      <c r="FW75" s="521"/>
      <c r="FX75" s="521"/>
      <c r="FY75" s="521"/>
      <c r="FZ75" s="521"/>
      <c r="GA75" s="521"/>
      <c r="GB75" s="521"/>
      <c r="GC75" s="521"/>
      <c r="GD75" s="521"/>
      <c r="GE75" s="521"/>
      <c r="GF75" s="521"/>
      <c r="GG75" s="521"/>
      <c r="GH75" s="521"/>
      <c r="GI75" s="521"/>
      <c r="GJ75" s="521"/>
      <c r="GK75" s="521"/>
      <c r="GL75" s="521"/>
      <c r="GM75" s="521"/>
      <c r="GN75" s="521"/>
      <c r="GO75" s="521"/>
      <c r="GP75" s="521"/>
      <c r="GQ75" s="521"/>
      <c r="GR75" s="521"/>
      <c r="GS75" s="521"/>
      <c r="GT75" s="521"/>
      <c r="GU75" s="521"/>
      <c r="GV75" s="521"/>
      <c r="GW75" s="521"/>
      <c r="GX75" s="521"/>
      <c r="GY75" s="521"/>
      <c r="GZ75" s="521"/>
      <c r="HA75" s="521"/>
      <c r="HB75" s="521"/>
      <c r="HC75" s="521"/>
      <c r="HD75" s="521"/>
      <c r="HE75" s="521"/>
      <c r="HF75" s="521"/>
      <c r="HG75" s="521"/>
      <c r="HH75" s="521"/>
      <c r="HI75" s="521"/>
      <c r="HJ75" s="521"/>
      <c r="HK75" s="521"/>
      <c r="HL75" s="521"/>
      <c r="HM75" s="521"/>
      <c r="HN75" s="521"/>
      <c r="HO75" s="521"/>
      <c r="HP75" s="521"/>
      <c r="HQ75" s="521"/>
      <c r="HR75" s="521"/>
      <c r="HS75" s="521"/>
      <c r="HT75" s="521"/>
      <c r="HU75" s="521"/>
      <c r="HV75" s="521"/>
      <c r="HW75" s="521"/>
      <c r="HX75" s="521"/>
      <c r="HY75" s="521"/>
      <c r="HZ75" s="521"/>
      <c r="IA75" s="521"/>
      <c r="IB75" s="521"/>
      <c r="IC75" s="521"/>
      <c r="ID75" s="521"/>
      <c r="IE75" s="521"/>
      <c r="IF75" s="521"/>
      <c r="IG75" s="521"/>
      <c r="IH75" s="521"/>
      <c r="II75" s="521"/>
      <c r="IJ75" s="521"/>
      <c r="IK75" s="521"/>
      <c r="IL75" s="521"/>
      <c r="IM75" s="521"/>
      <c r="IN75" s="521"/>
      <c r="IO75" s="521"/>
    </row>
    <row r="76" spans="1:249" s="508" customFormat="1" ht="12.75">
      <c r="A76" s="927"/>
      <c r="B76" s="927"/>
      <c r="C76" s="927"/>
      <c r="D76" s="927"/>
      <c r="E76" s="927"/>
      <c r="F76" s="927"/>
      <c r="G76" s="927"/>
      <c r="H76" s="927"/>
      <c r="I76" s="927"/>
      <c r="J76" s="927"/>
      <c r="K76" s="927"/>
      <c r="L76" s="927"/>
      <c r="M76" s="927"/>
      <c r="N76" s="927"/>
      <c r="O76" s="927"/>
      <c r="P76" s="927"/>
      <c r="Q76" s="927"/>
      <c r="R76" s="927"/>
      <c r="S76" s="927"/>
      <c r="T76" s="927"/>
      <c r="U76" s="927"/>
      <c r="V76" s="927"/>
      <c r="W76" s="927"/>
      <c r="X76" s="927"/>
      <c r="Y76" s="927"/>
      <c r="Z76" s="927"/>
      <c r="AA76" s="927"/>
      <c r="AB76" s="927"/>
      <c r="AC76" s="927"/>
      <c r="AD76" s="927"/>
      <c r="AE76" s="927"/>
      <c r="AF76" s="927"/>
      <c r="AG76" s="927"/>
      <c r="AH76" s="519"/>
      <c r="AI76" s="927"/>
      <c r="AJ76" s="927"/>
      <c r="AK76" s="927"/>
      <c r="AL76" s="927"/>
      <c r="AM76" s="927"/>
      <c r="AN76" s="927"/>
      <c r="AO76" s="927"/>
      <c r="AP76" s="927"/>
      <c r="AQ76" s="927"/>
      <c r="AR76" s="927"/>
      <c r="AS76" s="927"/>
      <c r="AT76" s="927"/>
      <c r="AU76" s="927"/>
      <c r="AV76" s="927"/>
      <c r="AW76" s="927"/>
      <c r="AX76" s="927"/>
      <c r="AY76" s="927"/>
      <c r="AZ76" s="927"/>
      <c r="BA76" s="927"/>
      <c r="BB76" s="927"/>
      <c r="BC76" s="927"/>
      <c r="BD76" s="927"/>
      <c r="BE76" s="927"/>
      <c r="BF76" s="927"/>
      <c r="BG76" s="927"/>
      <c r="BH76" s="927"/>
      <c r="BI76" s="927"/>
      <c r="BJ76" s="927"/>
      <c r="BK76" s="927"/>
      <c r="BL76" s="927"/>
      <c r="BM76" s="927"/>
      <c r="BN76" s="927"/>
      <c r="BO76" s="927"/>
      <c r="BP76" s="927"/>
      <c r="BQ76" s="927"/>
      <c r="BR76" s="927"/>
      <c r="BS76" s="927"/>
      <c r="BT76" s="927"/>
      <c r="BU76" s="927"/>
      <c r="BV76" s="927"/>
      <c r="BW76" s="927"/>
      <c r="BX76" s="927"/>
      <c r="BY76" s="927"/>
      <c r="BZ76" s="927"/>
      <c r="CA76" s="927"/>
      <c r="CB76" s="927"/>
      <c r="CC76" s="927"/>
      <c r="CD76" s="927"/>
      <c r="CE76" s="927"/>
      <c r="CF76" s="927"/>
      <c r="CG76" s="927"/>
      <c r="CH76" s="927"/>
      <c r="CI76" s="927"/>
      <c r="CJ76" s="927"/>
      <c r="CK76" s="927"/>
      <c r="CL76" s="927"/>
      <c r="CM76" s="927"/>
      <c r="CN76" s="927"/>
      <c r="CO76" s="927"/>
      <c r="CP76" s="927"/>
      <c r="CQ76" s="927"/>
      <c r="CR76" s="927"/>
      <c r="CS76" s="927"/>
      <c r="CT76" s="927"/>
      <c r="CU76" s="927"/>
      <c r="CV76" s="927"/>
      <c r="CW76" s="927"/>
      <c r="CX76" s="927"/>
      <c r="CY76" s="927"/>
      <c r="CZ76" s="927"/>
      <c r="DA76" s="927"/>
      <c r="DB76" s="927"/>
      <c r="DC76" s="927"/>
      <c r="DD76" s="927"/>
      <c r="DE76" s="927"/>
      <c r="DF76" s="927"/>
      <c r="DG76" s="927"/>
      <c r="DH76" s="927"/>
      <c r="DI76" s="927"/>
      <c r="DJ76" s="927"/>
      <c r="DK76" s="927"/>
      <c r="DL76" s="927"/>
      <c r="DM76" s="927"/>
      <c r="DN76" s="927"/>
      <c r="DO76" s="927"/>
      <c r="DP76" s="927"/>
      <c r="DQ76" s="927"/>
      <c r="DR76" s="927"/>
      <c r="DS76" s="927"/>
      <c r="DT76" s="927"/>
      <c r="DU76" s="927"/>
      <c r="DV76" s="927"/>
      <c r="DW76" s="927"/>
      <c r="DX76" s="927"/>
      <c r="DY76" s="927"/>
      <c r="DZ76" s="927"/>
      <c r="EA76" s="927"/>
      <c r="EB76" s="927"/>
      <c r="EC76" s="927"/>
      <c r="ED76" s="927"/>
      <c r="EE76" s="927"/>
      <c r="EF76" s="927"/>
      <c r="EG76" s="927"/>
      <c r="EH76" s="927"/>
      <c r="EI76" s="927"/>
      <c r="EJ76" s="927"/>
      <c r="EK76" s="927"/>
      <c r="EL76" s="927"/>
      <c r="EM76" s="927"/>
      <c r="EN76" s="927"/>
      <c r="EO76" s="927"/>
      <c r="EP76" s="927"/>
      <c r="EQ76" s="927"/>
      <c r="ER76" s="927"/>
      <c r="ES76" s="927"/>
      <c r="ET76" s="927"/>
      <c r="EU76" s="521"/>
      <c r="EV76" s="521"/>
      <c r="EW76" s="521"/>
      <c r="EX76" s="521"/>
      <c r="EY76" s="521"/>
      <c r="EZ76" s="521"/>
      <c r="FA76" s="521"/>
      <c r="FB76" s="521"/>
      <c r="FC76" s="521"/>
      <c r="FD76" s="521"/>
      <c r="FE76" s="521"/>
      <c r="FF76" s="521"/>
      <c r="FG76" s="521"/>
      <c r="FH76" s="521"/>
      <c r="FI76" s="521"/>
      <c r="FJ76" s="521"/>
      <c r="FK76" s="521"/>
      <c r="FL76" s="521"/>
      <c r="FM76" s="521"/>
      <c r="FN76" s="521"/>
      <c r="FO76" s="521"/>
      <c r="FP76" s="521"/>
      <c r="FQ76" s="521"/>
      <c r="FR76" s="521"/>
      <c r="FS76" s="521"/>
      <c r="FT76" s="521"/>
      <c r="FU76" s="521"/>
      <c r="FV76" s="521"/>
      <c r="FW76" s="521"/>
      <c r="FX76" s="521"/>
      <c r="FY76" s="521"/>
      <c r="FZ76" s="521"/>
      <c r="GA76" s="521"/>
      <c r="GB76" s="521"/>
      <c r="GC76" s="521"/>
      <c r="GD76" s="521"/>
      <c r="GE76" s="521"/>
      <c r="GF76" s="521"/>
      <c r="GG76" s="521"/>
      <c r="GH76" s="521"/>
      <c r="GI76" s="521"/>
      <c r="GJ76" s="521"/>
      <c r="GK76" s="521"/>
      <c r="GL76" s="521"/>
      <c r="GM76" s="521"/>
      <c r="GN76" s="521"/>
      <c r="GO76" s="521"/>
      <c r="GP76" s="521"/>
      <c r="GQ76" s="521"/>
      <c r="GR76" s="521"/>
      <c r="GS76" s="521"/>
      <c r="GT76" s="521"/>
      <c r="GU76" s="521"/>
      <c r="GV76" s="521"/>
      <c r="GW76" s="521"/>
      <c r="GX76" s="521"/>
      <c r="GY76" s="521"/>
      <c r="GZ76" s="521"/>
      <c r="HA76" s="521"/>
      <c r="HB76" s="521"/>
      <c r="HC76" s="521"/>
      <c r="HD76" s="521"/>
      <c r="HE76" s="521"/>
      <c r="HF76" s="521"/>
      <c r="HG76" s="521"/>
      <c r="HH76" s="521"/>
      <c r="HI76" s="521"/>
      <c r="HJ76" s="521"/>
      <c r="HK76" s="521"/>
      <c r="HL76" s="521"/>
      <c r="HM76" s="521"/>
      <c r="HN76" s="521"/>
      <c r="HO76" s="521"/>
      <c r="HP76" s="521"/>
      <c r="HQ76" s="521"/>
      <c r="HR76" s="521"/>
      <c r="HS76" s="521"/>
      <c r="HT76" s="521"/>
      <c r="HU76" s="521"/>
      <c r="HV76" s="521"/>
      <c r="HW76" s="521"/>
      <c r="HX76" s="521"/>
      <c r="HY76" s="521"/>
      <c r="HZ76" s="521"/>
      <c r="IA76" s="521"/>
      <c r="IB76" s="521"/>
      <c r="IC76" s="521"/>
      <c r="ID76" s="521"/>
      <c r="IE76" s="521"/>
      <c r="IF76" s="521"/>
      <c r="IG76" s="521"/>
      <c r="IH76" s="521"/>
      <c r="II76" s="521"/>
      <c r="IJ76" s="521"/>
      <c r="IK76" s="521"/>
      <c r="IL76" s="521"/>
      <c r="IM76" s="521"/>
      <c r="IN76" s="521"/>
      <c r="IO76" s="521"/>
    </row>
    <row r="77" spans="1:249" s="508" customFormat="1" ht="12.75">
      <c r="A77" s="928" t="s">
        <v>78</v>
      </c>
      <c r="B77" s="928"/>
      <c r="C77" s="928"/>
      <c r="D77" s="928"/>
      <c r="E77" s="928"/>
      <c r="F77" s="928"/>
      <c r="G77" s="928"/>
      <c r="H77" s="928"/>
      <c r="I77" s="928"/>
      <c r="J77" s="928"/>
      <c r="K77" s="928"/>
      <c r="L77" s="928"/>
      <c r="M77" s="928"/>
      <c r="N77" s="928"/>
      <c r="O77" s="928"/>
      <c r="P77" s="928"/>
      <c r="Q77" s="928"/>
      <c r="R77" s="928"/>
      <c r="S77" s="928"/>
      <c r="T77" s="928"/>
      <c r="U77" s="928"/>
      <c r="V77" s="928"/>
      <c r="W77" s="928"/>
      <c r="X77" s="928"/>
      <c r="Y77" s="928"/>
      <c r="Z77" s="928"/>
      <c r="AA77" s="928"/>
      <c r="AB77" s="928"/>
      <c r="AC77" s="928"/>
      <c r="AD77" s="928"/>
      <c r="AE77" s="928"/>
      <c r="AF77" s="928"/>
      <c r="AG77" s="928"/>
      <c r="AH77" s="521"/>
      <c r="AI77" s="928"/>
      <c r="AJ77" s="928"/>
      <c r="AK77" s="928"/>
      <c r="AL77" s="928"/>
      <c r="AM77" s="928"/>
      <c r="AN77" s="521"/>
      <c r="AO77" s="1734" t="str">
        <f>A33</f>
        <v>МОЛ_Должн</v>
      </c>
      <c r="AP77" s="1734"/>
      <c r="AQ77" s="1734"/>
      <c r="AR77" s="1734"/>
      <c r="AS77" s="1734"/>
      <c r="AT77" s="1734"/>
      <c r="AU77" s="1734"/>
      <c r="AV77" s="1734"/>
      <c r="AW77" s="1734"/>
      <c r="AX77" s="1734"/>
      <c r="AY77" s="1734"/>
      <c r="AZ77" s="1734"/>
      <c r="BA77" s="1734"/>
      <c r="BB77" s="1734"/>
      <c r="BC77" s="1734"/>
      <c r="BD77" s="1734"/>
      <c r="BE77" s="1734"/>
      <c r="BF77" s="1734"/>
      <c r="BG77" s="1734"/>
      <c r="BH77" s="1734"/>
      <c r="BI77" s="1734"/>
      <c r="BJ77" s="1734"/>
      <c r="BK77" s="1734"/>
      <c r="BL77" s="1734"/>
      <c r="BM77" s="1734"/>
      <c r="BN77" s="1734"/>
      <c r="BO77" s="1734"/>
      <c r="BP77" s="1734"/>
      <c r="BQ77" s="1734"/>
      <c r="BR77" s="1734"/>
      <c r="BS77" s="489"/>
      <c r="BT77" s="489"/>
      <c r="BU77" s="1735"/>
      <c r="BV77" s="1735"/>
      <c r="BW77" s="1735"/>
      <c r="BX77" s="1735"/>
      <c r="BY77" s="1735"/>
      <c r="BZ77" s="1735"/>
      <c r="CA77" s="1735"/>
      <c r="CB77" s="1735"/>
      <c r="CC77" s="1735"/>
      <c r="CD77" s="1735"/>
      <c r="CE77" s="1735"/>
      <c r="CF77" s="1735"/>
      <c r="CG77" s="1735"/>
      <c r="CH77" s="1735"/>
      <c r="CI77" s="1735"/>
      <c r="CJ77" s="1735"/>
      <c r="CK77" s="1735"/>
      <c r="CL77" s="1735"/>
      <c r="CM77" s="1735"/>
      <c r="CN77" s="1735"/>
      <c r="CO77" s="1735"/>
      <c r="CP77" s="1735"/>
      <c r="CQ77" s="1735"/>
      <c r="CR77" s="521"/>
      <c r="CS77" s="521"/>
      <c r="CT77" s="1734" t="str">
        <f>BI33</f>
        <v>МОЛ</v>
      </c>
      <c r="CU77" s="1734"/>
      <c r="CV77" s="1734"/>
      <c r="CW77" s="1734"/>
      <c r="CX77" s="1734"/>
      <c r="CY77" s="1734"/>
      <c r="CZ77" s="1734"/>
      <c r="DA77" s="1734"/>
      <c r="DB77" s="1734"/>
      <c r="DC77" s="1734"/>
      <c r="DD77" s="1734"/>
      <c r="DE77" s="1734"/>
      <c r="DF77" s="1734"/>
      <c r="DG77" s="1734"/>
      <c r="DH77" s="1734"/>
      <c r="DI77" s="1734"/>
      <c r="DJ77" s="1734"/>
      <c r="DK77" s="1734"/>
      <c r="DL77" s="1734"/>
      <c r="DM77" s="1734"/>
      <c r="DN77" s="1734"/>
      <c r="DO77" s="1734"/>
      <c r="DP77" s="1734"/>
      <c r="DQ77" s="1734"/>
      <c r="DR77" s="1734"/>
      <c r="DS77" s="1734"/>
      <c r="DT77" s="1734"/>
      <c r="DU77" s="1734"/>
      <c r="DV77" s="1734"/>
      <c r="DW77" s="1734"/>
      <c r="DX77" s="1734"/>
      <c r="DY77" s="1734"/>
      <c r="DZ77" s="1734"/>
      <c r="EA77" s="1734"/>
      <c r="EB77" s="523"/>
      <c r="EC77" s="523"/>
      <c r="ED77" s="523"/>
      <c r="EE77" s="523"/>
      <c r="EF77" s="523"/>
      <c r="EG77" s="523"/>
      <c r="EH77" s="523"/>
      <c r="EI77" s="523"/>
      <c r="EJ77" s="523"/>
      <c r="EK77" s="523"/>
      <c r="EL77" s="523"/>
      <c r="EM77" s="523"/>
      <c r="EN77" s="523"/>
      <c r="EO77" s="523"/>
      <c r="EP77" s="523"/>
      <c r="EQ77" s="523"/>
      <c r="ER77" s="523"/>
      <c r="ES77" s="523"/>
      <c r="ET77" s="523"/>
      <c r="EU77" s="523"/>
      <c r="EV77" s="523"/>
      <c r="EW77" s="523"/>
      <c r="EX77" s="523"/>
      <c r="EY77" s="521"/>
      <c r="EZ77" s="521"/>
      <c r="FA77" s="521"/>
      <c r="FB77" s="521"/>
      <c r="FC77" s="521"/>
      <c r="FD77" s="521"/>
      <c r="FE77" s="521"/>
      <c r="FF77" s="521"/>
      <c r="FG77" s="521"/>
      <c r="FH77" s="521"/>
      <c r="FI77" s="521"/>
      <c r="FJ77" s="521"/>
      <c r="FK77" s="521"/>
      <c r="FL77" s="521"/>
      <c r="FM77" s="521"/>
      <c r="FN77" s="521"/>
      <c r="FO77" s="521"/>
      <c r="FP77" s="521"/>
      <c r="FQ77" s="521"/>
      <c r="FR77" s="521"/>
      <c r="FS77" s="521"/>
      <c r="FT77" s="521"/>
      <c r="FU77" s="521"/>
      <c r="FV77" s="521"/>
      <c r="FW77" s="521"/>
      <c r="FX77" s="521"/>
      <c r="FY77" s="521"/>
      <c r="FZ77" s="521"/>
      <c r="GA77" s="521"/>
      <c r="GB77" s="521"/>
      <c r="GC77" s="521"/>
      <c r="GD77" s="521"/>
      <c r="GE77" s="521"/>
      <c r="GF77" s="521"/>
      <c r="GG77" s="521"/>
      <c r="GH77" s="521"/>
      <c r="GI77" s="521"/>
      <c r="GJ77" s="521"/>
      <c r="GK77" s="521"/>
      <c r="GL77" s="521"/>
      <c r="GM77" s="521"/>
      <c r="GN77" s="521"/>
      <c r="GO77" s="521"/>
      <c r="GP77" s="521"/>
      <c r="GQ77" s="521"/>
      <c r="GR77" s="521"/>
      <c r="GS77" s="521"/>
      <c r="GT77" s="521"/>
      <c r="GU77" s="521"/>
      <c r="GV77" s="521"/>
      <c r="GW77" s="521"/>
      <c r="GX77" s="521"/>
      <c r="GY77" s="521"/>
      <c r="GZ77" s="521"/>
      <c r="HA77" s="521"/>
      <c r="HB77" s="521"/>
      <c r="HC77" s="521"/>
      <c r="HD77" s="521"/>
      <c r="HE77" s="521"/>
      <c r="HF77" s="521"/>
      <c r="HG77" s="521"/>
      <c r="HH77" s="521"/>
      <c r="HI77" s="521"/>
      <c r="HJ77" s="521"/>
      <c r="HK77" s="521"/>
      <c r="HL77" s="521"/>
      <c r="HM77" s="521"/>
      <c r="HN77" s="521"/>
      <c r="HO77" s="521"/>
      <c r="HP77" s="521"/>
      <c r="HQ77" s="521"/>
      <c r="HR77" s="521"/>
      <c r="HS77" s="521"/>
      <c r="HT77" s="521"/>
      <c r="HU77" s="521"/>
      <c r="HV77" s="521"/>
      <c r="HW77" s="521"/>
      <c r="HX77" s="521"/>
      <c r="HY77" s="521"/>
      <c r="HZ77" s="521"/>
      <c r="IA77" s="521"/>
      <c r="IB77" s="521"/>
      <c r="IC77" s="521"/>
      <c r="ID77" s="521"/>
      <c r="IE77" s="521"/>
      <c r="IF77" s="521"/>
      <c r="IG77" s="521"/>
      <c r="IH77" s="521"/>
      <c r="II77" s="521"/>
      <c r="IJ77" s="521"/>
      <c r="IK77" s="521"/>
      <c r="IL77" s="521"/>
      <c r="IM77" s="521"/>
      <c r="IN77" s="521"/>
      <c r="IO77" s="521"/>
    </row>
    <row r="78" spans="1:249" s="508" customFormat="1" ht="11.25" customHeight="1">
      <c r="A78" s="521"/>
      <c r="B78" s="521"/>
      <c r="C78" s="521"/>
      <c r="D78" s="521"/>
      <c r="E78" s="521"/>
      <c r="F78" s="521"/>
      <c r="G78" s="521"/>
      <c r="H78" s="521"/>
      <c r="I78" s="521"/>
      <c r="J78" s="521"/>
      <c r="K78" s="521"/>
      <c r="L78" s="521"/>
      <c r="M78" s="521"/>
      <c r="N78" s="521"/>
      <c r="O78" s="521"/>
      <c r="P78" s="521"/>
      <c r="Q78" s="521"/>
      <c r="R78" s="521"/>
      <c r="S78" s="521"/>
      <c r="T78" s="521"/>
      <c r="U78" s="521"/>
      <c r="V78" s="521"/>
      <c r="W78" s="521"/>
      <c r="X78" s="521"/>
      <c r="Y78" s="521"/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1732" t="s">
        <v>183</v>
      </c>
      <c r="AO78" s="1732"/>
      <c r="AP78" s="1732"/>
      <c r="AQ78" s="1732"/>
      <c r="AR78" s="1732"/>
      <c r="AS78" s="1732"/>
      <c r="AT78" s="1732"/>
      <c r="AU78" s="1732"/>
      <c r="AV78" s="1732"/>
      <c r="AW78" s="1732"/>
      <c r="AX78" s="1732"/>
      <c r="AY78" s="1732"/>
      <c r="AZ78" s="1732"/>
      <c r="BA78" s="1732"/>
      <c r="BB78" s="1732"/>
      <c r="BC78" s="1732"/>
      <c r="BD78" s="1732"/>
      <c r="BE78" s="1732"/>
      <c r="BF78" s="1732"/>
      <c r="BG78" s="1732"/>
      <c r="BH78" s="1732"/>
      <c r="BI78" s="1732"/>
      <c r="BJ78" s="1732"/>
      <c r="BK78" s="1732"/>
      <c r="BL78" s="1732"/>
      <c r="BM78" s="1732"/>
      <c r="BN78" s="1732"/>
      <c r="BO78" s="1732"/>
      <c r="BP78" s="1732"/>
      <c r="BQ78" s="1732"/>
      <c r="BR78" s="1732"/>
      <c r="BS78" s="1732"/>
      <c r="BT78" s="1733" t="s">
        <v>80</v>
      </c>
      <c r="BU78" s="1733"/>
      <c r="BV78" s="1733"/>
      <c r="BW78" s="1733"/>
      <c r="BX78" s="1733"/>
      <c r="BY78" s="1733"/>
      <c r="BZ78" s="1733"/>
      <c r="CA78" s="1733"/>
      <c r="CB78" s="1733"/>
      <c r="CC78" s="1733"/>
      <c r="CD78" s="1733"/>
      <c r="CE78" s="1733"/>
      <c r="CF78" s="1733"/>
      <c r="CG78" s="1733"/>
      <c r="CH78" s="1733"/>
      <c r="CI78" s="1733"/>
      <c r="CJ78" s="1733"/>
      <c r="CK78" s="1733"/>
      <c r="CL78" s="1733"/>
      <c r="CM78" s="1733"/>
      <c r="CN78" s="1733"/>
      <c r="CO78" s="1733"/>
      <c r="CP78" s="1733"/>
      <c r="CQ78" s="1733"/>
      <c r="CR78" s="522"/>
      <c r="CS78" s="522"/>
      <c r="CT78" s="1727" t="s">
        <v>182</v>
      </c>
      <c r="CU78" s="1727"/>
      <c r="CV78" s="1727"/>
      <c r="CW78" s="1727"/>
      <c r="CX78" s="1727"/>
      <c r="CY78" s="1727"/>
      <c r="CZ78" s="1727"/>
      <c r="DA78" s="1727"/>
      <c r="DB78" s="1727"/>
      <c r="DC78" s="1727"/>
      <c r="DD78" s="1727"/>
      <c r="DE78" s="1727"/>
      <c r="DF78" s="1727"/>
      <c r="DG78" s="1727"/>
      <c r="DH78" s="1727"/>
      <c r="DI78" s="1727"/>
      <c r="DJ78" s="1727"/>
      <c r="DK78" s="1727"/>
      <c r="DL78" s="1727"/>
      <c r="DM78" s="1727"/>
      <c r="DN78" s="1727"/>
      <c r="DO78" s="1727"/>
      <c r="DP78" s="1727"/>
      <c r="DQ78" s="1727"/>
      <c r="DR78" s="1727"/>
      <c r="DS78" s="1727"/>
      <c r="DT78" s="1727"/>
      <c r="DU78" s="1727"/>
      <c r="DV78" s="1727"/>
      <c r="DW78" s="1727"/>
      <c r="DX78" s="1727"/>
      <c r="DY78" s="1727"/>
      <c r="DZ78" s="1727"/>
      <c r="EA78" s="1727"/>
      <c r="EB78" s="521"/>
      <c r="EC78" s="521"/>
      <c r="ED78" s="521"/>
      <c r="EE78" s="521"/>
      <c r="EF78" s="521"/>
      <c r="EG78" s="521"/>
      <c r="EH78" s="521"/>
      <c r="EI78" s="521"/>
      <c r="EJ78" s="521"/>
      <c r="EK78" s="521"/>
      <c r="EL78" s="521"/>
      <c r="EM78" s="521"/>
      <c r="EN78" s="521"/>
      <c r="EO78" s="521"/>
      <c r="EP78" s="521"/>
      <c r="EQ78" s="521"/>
      <c r="ER78" s="521"/>
      <c r="ES78" s="521"/>
      <c r="ET78" s="521"/>
      <c r="EU78" s="521"/>
      <c r="EV78" s="521"/>
      <c r="EW78" s="521"/>
      <c r="EX78" s="521"/>
      <c r="EY78" s="521"/>
      <c r="EZ78" s="521"/>
      <c r="FA78" s="521"/>
      <c r="FB78" s="521"/>
      <c r="FC78" s="521"/>
      <c r="FD78" s="521"/>
      <c r="FE78" s="521"/>
      <c r="FF78" s="521"/>
      <c r="FG78" s="521"/>
      <c r="FH78" s="521"/>
      <c r="FI78" s="521"/>
      <c r="FJ78" s="521"/>
      <c r="FK78" s="521"/>
      <c r="FL78" s="521"/>
      <c r="FM78" s="521"/>
      <c r="FN78" s="521"/>
      <c r="FO78" s="521"/>
      <c r="FP78" s="521"/>
      <c r="FQ78" s="521"/>
      <c r="FR78" s="521"/>
      <c r="FS78" s="521"/>
      <c r="FT78" s="521"/>
      <c r="FU78" s="521"/>
      <c r="FV78" s="521"/>
      <c r="FW78" s="521"/>
      <c r="FX78" s="521"/>
      <c r="FY78" s="521"/>
      <c r="FZ78" s="521"/>
      <c r="GA78" s="521"/>
      <c r="GB78" s="521"/>
      <c r="GC78" s="521"/>
      <c r="GD78" s="521"/>
      <c r="GE78" s="521"/>
      <c r="GF78" s="521"/>
      <c r="GG78" s="521"/>
      <c r="GH78" s="521"/>
      <c r="GI78" s="521"/>
      <c r="GJ78" s="521"/>
      <c r="GK78" s="521"/>
      <c r="GL78" s="521"/>
      <c r="GM78" s="521"/>
      <c r="GN78" s="521"/>
      <c r="GO78" s="521"/>
      <c r="GP78" s="521"/>
      <c r="GQ78" s="521"/>
      <c r="GR78" s="521"/>
      <c r="GS78" s="521"/>
      <c r="GT78" s="521"/>
      <c r="GU78" s="521"/>
      <c r="GV78" s="521"/>
      <c r="GW78" s="521"/>
      <c r="GX78" s="521"/>
      <c r="GY78" s="521"/>
      <c r="GZ78" s="521"/>
      <c r="HA78" s="521"/>
      <c r="HB78" s="521"/>
      <c r="HC78" s="521"/>
      <c r="HD78" s="521"/>
      <c r="HE78" s="521"/>
      <c r="HF78" s="521"/>
      <c r="HG78" s="521"/>
      <c r="HH78" s="521"/>
      <c r="HI78" s="521"/>
      <c r="HJ78" s="521"/>
      <c r="HK78" s="521"/>
      <c r="HL78" s="521"/>
      <c r="HM78" s="521"/>
      <c r="HN78" s="521"/>
      <c r="HO78" s="521"/>
      <c r="HP78" s="521"/>
      <c r="HQ78" s="521"/>
      <c r="HR78" s="521"/>
      <c r="HS78" s="521"/>
      <c r="HT78" s="521"/>
      <c r="HU78" s="521"/>
      <c r="HV78" s="521"/>
      <c r="HW78" s="521"/>
      <c r="HX78" s="521"/>
      <c r="HY78" s="521"/>
      <c r="HZ78" s="521"/>
      <c r="IA78" s="521"/>
      <c r="IB78" s="521"/>
      <c r="IC78" s="521"/>
      <c r="ID78" s="521"/>
      <c r="IE78" s="521"/>
      <c r="IF78" s="521"/>
      <c r="IG78" s="521"/>
      <c r="IH78" s="521"/>
      <c r="II78" s="521"/>
      <c r="IJ78" s="521"/>
      <c r="IK78" s="521"/>
      <c r="IL78" s="521"/>
      <c r="IM78" s="521"/>
      <c r="IN78" s="521"/>
      <c r="IO78" s="521"/>
    </row>
    <row r="79" spans="1:249" s="508" customFormat="1" ht="12.75">
      <c r="A79" s="521"/>
      <c r="B79" s="521"/>
      <c r="C79" s="521"/>
      <c r="D79" s="521"/>
      <c r="E79" s="521"/>
      <c r="F79" s="521"/>
      <c r="G79" s="521"/>
      <c r="H79" s="521"/>
      <c r="I79" s="521"/>
      <c r="J79" s="521"/>
      <c r="K79" s="521"/>
      <c r="L79" s="521"/>
      <c r="M79" s="521"/>
      <c r="N79" s="521"/>
      <c r="O79" s="521"/>
      <c r="P79" s="521"/>
      <c r="Q79" s="521"/>
      <c r="R79" s="521"/>
      <c r="S79" s="521"/>
      <c r="T79" s="521"/>
      <c r="U79" s="521"/>
      <c r="V79" s="521"/>
      <c r="W79" s="521"/>
      <c r="X79" s="521"/>
      <c r="Y79" s="521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1726"/>
      <c r="AP79" s="1726"/>
      <c r="AQ79" s="1726"/>
      <c r="AR79" s="1726"/>
      <c r="AS79" s="1726"/>
      <c r="AT79" s="1726"/>
      <c r="AU79" s="1726"/>
      <c r="AV79" s="1726"/>
      <c r="AW79" s="1726"/>
      <c r="AX79" s="1726"/>
      <c r="AY79" s="1726"/>
      <c r="AZ79" s="1726"/>
      <c r="BA79" s="1726"/>
      <c r="BB79" s="1726"/>
      <c r="BC79" s="1726"/>
      <c r="BD79" s="1726"/>
      <c r="BE79" s="1726"/>
      <c r="BF79" s="1726"/>
      <c r="BG79" s="1726"/>
      <c r="BH79" s="1726"/>
      <c r="BI79" s="1726"/>
      <c r="BJ79" s="1726"/>
      <c r="BK79" s="1726"/>
      <c r="BL79" s="1726"/>
      <c r="BM79" s="521"/>
      <c r="BN79" s="521"/>
      <c r="BO79" s="1726"/>
      <c r="BP79" s="1726"/>
      <c r="BQ79" s="1726"/>
      <c r="BR79" s="1726"/>
      <c r="BS79" s="1726"/>
      <c r="BT79" s="1726"/>
      <c r="BU79" s="1726"/>
      <c r="BV79" s="1726"/>
      <c r="BW79" s="1726"/>
      <c r="BX79" s="1726"/>
      <c r="BY79" s="1726"/>
      <c r="BZ79" s="1726"/>
      <c r="CA79" s="1726"/>
      <c r="CB79" s="1726"/>
      <c r="CC79" s="1726"/>
      <c r="CD79" s="1726"/>
      <c r="CE79" s="1726"/>
      <c r="CF79" s="1726"/>
      <c r="CG79" s="1726"/>
      <c r="CH79" s="1726"/>
      <c r="CI79" s="1726"/>
      <c r="CJ79" s="521"/>
      <c r="CK79" s="521"/>
      <c r="CL79" s="1726"/>
      <c r="CM79" s="1726"/>
      <c r="CN79" s="1726"/>
      <c r="CO79" s="1726"/>
      <c r="CP79" s="1726"/>
      <c r="CQ79" s="1726"/>
      <c r="CR79" s="1726"/>
      <c r="CS79" s="1726"/>
      <c r="CT79" s="1726"/>
      <c r="CU79" s="1726"/>
      <c r="CV79" s="1726"/>
      <c r="CW79" s="1726"/>
      <c r="CX79" s="1726"/>
      <c r="CY79" s="1726"/>
      <c r="CZ79" s="1726"/>
      <c r="DA79" s="1726"/>
      <c r="DB79" s="1726"/>
      <c r="DC79" s="1726"/>
      <c r="DD79" s="1726"/>
      <c r="DE79" s="1726"/>
      <c r="DF79" s="1726"/>
      <c r="DG79" s="1726"/>
      <c r="DH79" s="1726"/>
      <c r="DI79" s="1726"/>
      <c r="DJ79" s="1726"/>
      <c r="DK79" s="1726"/>
      <c r="DL79" s="1726"/>
      <c r="DM79" s="1726"/>
      <c r="DN79" s="1726"/>
      <c r="DO79" s="1726"/>
      <c r="DP79" s="1726"/>
      <c r="DQ79" s="1726"/>
      <c r="DR79" s="521"/>
      <c r="DS79" s="521"/>
      <c r="DT79" s="521"/>
      <c r="DU79" s="521"/>
      <c r="DV79" s="521"/>
      <c r="DW79" s="521"/>
      <c r="DX79" s="521"/>
      <c r="DY79" s="521"/>
      <c r="DZ79" s="521"/>
      <c r="EA79" s="521"/>
      <c r="EB79" s="521"/>
      <c r="EC79" s="521"/>
      <c r="ED79" s="521"/>
      <c r="EE79" s="521"/>
      <c r="EF79" s="521"/>
      <c r="EG79" s="521"/>
      <c r="EH79" s="521"/>
      <c r="EI79" s="521"/>
      <c r="EJ79" s="521"/>
      <c r="EK79" s="521"/>
      <c r="EL79" s="521"/>
      <c r="EM79" s="521"/>
      <c r="EN79" s="521"/>
      <c r="EO79" s="521"/>
      <c r="EP79" s="521"/>
      <c r="EQ79" s="521"/>
      <c r="ER79" s="521"/>
      <c r="ES79" s="521"/>
      <c r="ET79" s="521"/>
      <c r="EU79" s="521"/>
      <c r="EV79" s="521"/>
      <c r="EW79" s="521"/>
      <c r="EX79" s="521"/>
      <c r="EY79" s="521"/>
      <c r="EZ79" s="521"/>
      <c r="FA79" s="521"/>
      <c r="FB79" s="521"/>
      <c r="FC79" s="521"/>
      <c r="FD79" s="521"/>
      <c r="FE79" s="521"/>
      <c r="FF79" s="521"/>
      <c r="FG79" s="521"/>
      <c r="FH79" s="521"/>
      <c r="FI79" s="521"/>
      <c r="FJ79" s="521"/>
      <c r="FK79" s="521"/>
      <c r="FL79" s="521"/>
      <c r="FM79" s="521"/>
      <c r="FN79" s="521"/>
      <c r="FO79" s="521"/>
      <c r="FP79" s="521"/>
      <c r="FQ79" s="521"/>
      <c r="FR79" s="521"/>
      <c r="FS79" s="521"/>
      <c r="FT79" s="521"/>
      <c r="FU79" s="521"/>
      <c r="FV79" s="521"/>
      <c r="FW79" s="521"/>
      <c r="FX79" s="521"/>
      <c r="FY79" s="521"/>
      <c r="FZ79" s="521"/>
      <c r="GA79" s="521"/>
      <c r="GB79" s="521"/>
      <c r="GC79" s="521"/>
      <c r="GD79" s="521"/>
      <c r="GE79" s="521"/>
      <c r="GF79" s="521"/>
      <c r="GG79" s="521"/>
      <c r="GH79" s="521"/>
      <c r="GI79" s="521"/>
      <c r="GJ79" s="521"/>
      <c r="GK79" s="521"/>
      <c r="GL79" s="521"/>
      <c r="GM79" s="521"/>
      <c r="GN79" s="521"/>
      <c r="GO79" s="521"/>
      <c r="GP79" s="521"/>
      <c r="GQ79" s="521"/>
      <c r="GR79" s="521"/>
      <c r="GS79" s="521"/>
      <c r="GT79" s="521"/>
      <c r="GU79" s="521"/>
      <c r="GV79" s="521"/>
      <c r="GW79" s="521"/>
      <c r="GX79" s="521"/>
      <c r="GY79" s="521"/>
      <c r="GZ79" s="521"/>
      <c r="HA79" s="521"/>
      <c r="HB79" s="521"/>
      <c r="HC79" s="521"/>
      <c r="HD79" s="521"/>
      <c r="HE79" s="521"/>
      <c r="HF79" s="521"/>
      <c r="HG79" s="521"/>
      <c r="HH79" s="521"/>
      <c r="HI79" s="521"/>
      <c r="HJ79" s="521"/>
      <c r="HK79" s="521"/>
      <c r="HL79" s="521"/>
      <c r="HM79" s="521"/>
      <c r="HN79" s="521"/>
      <c r="HO79" s="521"/>
      <c r="HP79" s="521"/>
      <c r="HQ79" s="521"/>
      <c r="HR79" s="521"/>
      <c r="HS79" s="521"/>
      <c r="HT79" s="521"/>
      <c r="HU79" s="521"/>
      <c r="HV79" s="521"/>
      <c r="HW79" s="521"/>
      <c r="HX79" s="521"/>
      <c r="HY79" s="521"/>
      <c r="HZ79" s="521"/>
      <c r="IA79" s="521"/>
      <c r="IB79" s="521"/>
      <c r="IC79" s="521"/>
      <c r="ID79" s="521"/>
      <c r="IE79" s="521"/>
      <c r="IF79" s="521"/>
      <c r="IG79" s="521"/>
      <c r="IH79" s="521"/>
      <c r="II79" s="521"/>
      <c r="IJ79" s="521"/>
      <c r="IK79" s="521"/>
      <c r="IL79" s="521"/>
      <c r="IM79" s="521"/>
      <c r="IN79" s="521"/>
      <c r="IO79" s="521"/>
    </row>
    <row r="80" spans="1:249" s="508" customFormat="1" ht="12.75">
      <c r="A80" s="521"/>
      <c r="B80" s="521"/>
      <c r="C80" s="521"/>
      <c r="D80" s="521"/>
      <c r="E80" s="521"/>
      <c r="F80" s="521"/>
      <c r="G80" s="521"/>
      <c r="H80" s="521"/>
      <c r="I80" s="521"/>
      <c r="J80" s="521"/>
      <c r="K80" s="521"/>
      <c r="L80" s="521"/>
      <c r="M80" s="521"/>
      <c r="N80" s="521"/>
      <c r="O80" s="521"/>
      <c r="P80" s="521"/>
      <c r="Q80" s="521"/>
      <c r="R80" s="521"/>
      <c r="S80" s="521"/>
      <c r="T80" s="521"/>
      <c r="U80" s="521"/>
      <c r="V80" s="521"/>
      <c r="W80" s="521"/>
      <c r="X80" s="521"/>
      <c r="Y80" s="521"/>
      <c r="Z80" s="521"/>
      <c r="AA80" s="521"/>
      <c r="AB80" s="521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1726"/>
      <c r="AP80" s="1726"/>
      <c r="AQ80" s="1726"/>
      <c r="AR80" s="1726"/>
      <c r="AS80" s="1726"/>
      <c r="AT80" s="1726"/>
      <c r="AU80" s="1726"/>
      <c r="AV80" s="1726"/>
      <c r="AW80" s="1726"/>
      <c r="AX80" s="1726"/>
      <c r="AY80" s="1726"/>
      <c r="AZ80" s="1726"/>
      <c r="BA80" s="1726"/>
      <c r="BB80" s="1726"/>
      <c r="BC80" s="1726"/>
      <c r="BD80" s="1726"/>
      <c r="BE80" s="1726"/>
      <c r="BF80" s="1726"/>
      <c r="BG80" s="1726"/>
      <c r="BH80" s="1726"/>
      <c r="BI80" s="1726"/>
      <c r="BJ80" s="1726"/>
      <c r="BK80" s="1726"/>
      <c r="BL80" s="1726"/>
      <c r="BM80" s="521"/>
      <c r="BN80" s="521"/>
      <c r="BO80" s="1726"/>
      <c r="BP80" s="1726"/>
      <c r="BQ80" s="1726"/>
      <c r="BR80" s="1726"/>
      <c r="BS80" s="1726"/>
      <c r="BT80" s="1726"/>
      <c r="BU80" s="1726"/>
      <c r="BV80" s="1726"/>
      <c r="BW80" s="1726"/>
      <c r="BX80" s="1726"/>
      <c r="BY80" s="1726"/>
      <c r="BZ80" s="1726"/>
      <c r="CA80" s="1726"/>
      <c r="CB80" s="1726"/>
      <c r="CC80" s="1726"/>
      <c r="CD80" s="1726"/>
      <c r="CE80" s="1726"/>
      <c r="CF80" s="1726"/>
      <c r="CG80" s="1726"/>
      <c r="CH80" s="1726"/>
      <c r="CI80" s="1726"/>
      <c r="CJ80" s="521"/>
      <c r="CK80" s="521"/>
      <c r="CL80" s="1726"/>
      <c r="CM80" s="1726"/>
      <c r="CN80" s="1726"/>
      <c r="CO80" s="1726"/>
      <c r="CP80" s="1726"/>
      <c r="CQ80" s="1726"/>
      <c r="CR80" s="1726"/>
      <c r="CS80" s="1726"/>
      <c r="CT80" s="1726"/>
      <c r="CU80" s="1726"/>
      <c r="CV80" s="1726"/>
      <c r="CW80" s="1726"/>
      <c r="CX80" s="1726"/>
      <c r="CY80" s="1726"/>
      <c r="CZ80" s="1726"/>
      <c r="DA80" s="1726"/>
      <c r="DB80" s="1726"/>
      <c r="DC80" s="1726"/>
      <c r="DD80" s="1726"/>
      <c r="DE80" s="1726"/>
      <c r="DF80" s="1726"/>
      <c r="DG80" s="1726"/>
      <c r="DH80" s="1726"/>
      <c r="DI80" s="1726"/>
      <c r="DJ80" s="1726"/>
      <c r="DK80" s="1726"/>
      <c r="DL80" s="1726"/>
      <c r="DM80" s="1726"/>
      <c r="DN80" s="1726"/>
      <c r="DO80" s="1726"/>
      <c r="DP80" s="1726"/>
      <c r="DQ80" s="1726"/>
      <c r="DR80" s="521"/>
      <c r="DS80" s="521"/>
      <c r="DT80" s="521"/>
      <c r="DU80" s="521"/>
      <c r="DV80" s="521"/>
      <c r="DW80" s="521"/>
      <c r="DX80" s="521"/>
      <c r="DY80" s="521"/>
      <c r="DZ80" s="521"/>
      <c r="EA80" s="521"/>
      <c r="EB80" s="521"/>
      <c r="EC80" s="521"/>
      <c r="ED80" s="521"/>
      <c r="EE80" s="521"/>
      <c r="EF80" s="521"/>
      <c r="EG80" s="521"/>
      <c r="EH80" s="521"/>
      <c r="EI80" s="521"/>
      <c r="EJ80" s="521"/>
      <c r="EK80" s="521"/>
      <c r="EL80" s="521"/>
      <c r="EM80" s="521"/>
      <c r="EN80" s="521"/>
      <c r="EO80" s="521"/>
      <c r="EP80" s="521"/>
      <c r="EQ80" s="521"/>
      <c r="ER80" s="521"/>
      <c r="ES80" s="521"/>
      <c r="ET80" s="521"/>
      <c r="EU80" s="521"/>
      <c r="EV80" s="521"/>
      <c r="EW80" s="521"/>
      <c r="EX80" s="521"/>
      <c r="EY80" s="521"/>
      <c r="EZ80" s="521"/>
      <c r="FA80" s="521"/>
      <c r="FB80" s="521"/>
      <c r="FC80" s="521"/>
      <c r="FD80" s="521"/>
      <c r="FE80" s="521"/>
      <c r="FF80" s="521"/>
      <c r="FG80" s="521"/>
      <c r="FH80" s="521"/>
      <c r="FI80" s="521"/>
      <c r="FJ80" s="521"/>
      <c r="FK80" s="521"/>
      <c r="FL80" s="521"/>
      <c r="FM80" s="521"/>
      <c r="FN80" s="521"/>
      <c r="FO80" s="521"/>
      <c r="FP80" s="521"/>
      <c r="FQ80" s="521"/>
      <c r="FR80" s="521"/>
      <c r="FS80" s="521"/>
      <c r="FT80" s="521"/>
      <c r="FU80" s="521"/>
      <c r="FV80" s="521"/>
      <c r="FW80" s="521"/>
      <c r="FX80" s="521"/>
      <c r="FY80" s="521"/>
      <c r="FZ80" s="521"/>
      <c r="GA80" s="521"/>
      <c r="GB80" s="521"/>
      <c r="GC80" s="521"/>
      <c r="GD80" s="521"/>
      <c r="GE80" s="521"/>
      <c r="GF80" s="521"/>
      <c r="GG80" s="521"/>
      <c r="GH80" s="521"/>
      <c r="GI80" s="521"/>
      <c r="GJ80" s="521"/>
      <c r="GK80" s="521"/>
      <c r="GL80" s="521"/>
      <c r="GM80" s="521"/>
      <c r="GN80" s="521"/>
      <c r="GO80" s="521"/>
      <c r="GP80" s="521"/>
      <c r="GQ80" s="521"/>
      <c r="GR80" s="521"/>
      <c r="GS80" s="521"/>
      <c r="GT80" s="521"/>
      <c r="GU80" s="521"/>
      <c r="GV80" s="521"/>
      <c r="GW80" s="521"/>
      <c r="GX80" s="521"/>
      <c r="GY80" s="521"/>
      <c r="GZ80" s="521"/>
      <c r="HA80" s="521"/>
      <c r="HB80" s="521"/>
      <c r="HC80" s="521"/>
      <c r="HD80" s="521"/>
      <c r="HE80" s="521"/>
      <c r="HF80" s="521"/>
      <c r="HG80" s="521"/>
      <c r="HH80" s="521"/>
      <c r="HI80" s="521"/>
      <c r="HJ80" s="521"/>
      <c r="HK80" s="521"/>
      <c r="HL80" s="521"/>
      <c r="HM80" s="521"/>
      <c r="HN80" s="521"/>
      <c r="HO80" s="521"/>
      <c r="HP80" s="521"/>
      <c r="HQ80" s="521"/>
      <c r="HR80" s="521"/>
      <c r="HS80" s="521"/>
      <c r="HT80" s="521"/>
      <c r="HU80" s="521"/>
      <c r="HV80" s="521"/>
      <c r="HW80" s="521"/>
      <c r="HX80" s="521"/>
      <c r="HY80" s="521"/>
      <c r="HZ80" s="521"/>
      <c r="IA80" s="521"/>
      <c r="IB80" s="521"/>
      <c r="IC80" s="521"/>
      <c r="ID80" s="521"/>
      <c r="IE80" s="521"/>
      <c r="IF80" s="521"/>
      <c r="IG80" s="521"/>
      <c r="IH80" s="521"/>
      <c r="II80" s="521"/>
      <c r="IJ80" s="521"/>
      <c r="IK80" s="521"/>
      <c r="IL80" s="521"/>
      <c r="IM80" s="521"/>
      <c r="IN80" s="521"/>
      <c r="IO80" s="521"/>
    </row>
    <row r="81" spans="1:249" s="508" customFormat="1" ht="12.75">
      <c r="A81" s="521"/>
      <c r="B81" s="521"/>
      <c r="C81" s="521"/>
      <c r="D81" s="521"/>
      <c r="E81" s="521"/>
      <c r="F81" s="521"/>
      <c r="G81" s="521"/>
      <c r="H81" s="521"/>
      <c r="I81" s="521"/>
      <c r="J81" s="521"/>
      <c r="K81" s="521"/>
      <c r="L81" s="521"/>
      <c r="M81" s="521"/>
      <c r="N81" s="521"/>
      <c r="O81" s="521"/>
      <c r="P81" s="521"/>
      <c r="Q81" s="521"/>
      <c r="R81" s="521"/>
      <c r="S81" s="521"/>
      <c r="T81" s="521"/>
      <c r="U81" s="521"/>
      <c r="V81" s="521"/>
      <c r="W81" s="521"/>
      <c r="X81" s="521"/>
      <c r="Y81" s="521"/>
      <c r="Z81" s="521"/>
      <c r="AA81" s="521"/>
      <c r="AB81" s="521"/>
      <c r="AC81" s="521"/>
      <c r="AD81" s="521"/>
      <c r="AE81" s="521"/>
      <c r="AF81" s="521"/>
      <c r="AG81" s="521"/>
      <c r="AH81" s="489"/>
      <c r="AI81" s="521"/>
      <c r="AJ81" s="521"/>
      <c r="AK81" s="521"/>
      <c r="AL81" s="521"/>
      <c r="AM81" s="521"/>
      <c r="AN81" s="521"/>
      <c r="AO81" s="521"/>
      <c r="AP81" s="521"/>
      <c r="AQ81" s="521"/>
      <c r="AR81" s="521"/>
      <c r="AS81" s="521"/>
      <c r="AT81" s="521"/>
      <c r="AU81" s="521"/>
      <c r="AV81" s="521"/>
      <c r="AW81" s="521"/>
      <c r="AX81" s="521"/>
      <c r="AY81" s="521"/>
      <c r="AZ81" s="521"/>
      <c r="BA81" s="521"/>
      <c r="BB81" s="521"/>
      <c r="BC81" s="521"/>
      <c r="BD81" s="521"/>
      <c r="BE81" s="521"/>
      <c r="BF81" s="521"/>
      <c r="BG81" s="521"/>
      <c r="BH81" s="521"/>
      <c r="BI81" s="521"/>
      <c r="BJ81" s="521"/>
      <c r="BK81" s="521"/>
      <c r="BL81" s="521"/>
      <c r="BM81" s="521"/>
      <c r="BN81" s="521"/>
      <c r="BO81" s="521"/>
      <c r="BP81" s="521"/>
      <c r="BQ81" s="521"/>
      <c r="BR81" s="521"/>
      <c r="BS81" s="521"/>
      <c r="BT81" s="521"/>
      <c r="BU81" s="521"/>
      <c r="BV81" s="521"/>
      <c r="BW81" s="521"/>
      <c r="BX81" s="521"/>
      <c r="BY81" s="521"/>
      <c r="BZ81" s="521"/>
      <c r="CA81" s="521"/>
      <c r="CB81" s="521"/>
      <c r="CC81" s="521"/>
      <c r="CD81" s="521"/>
      <c r="CE81" s="521"/>
      <c r="CF81" s="521"/>
      <c r="CG81" s="521"/>
      <c r="CH81" s="521"/>
      <c r="CI81" s="521"/>
      <c r="CJ81" s="521"/>
      <c r="CK81" s="521"/>
      <c r="CL81" s="521"/>
      <c r="CM81" s="521"/>
      <c r="CN81" s="521"/>
      <c r="CO81" s="521"/>
      <c r="CP81" s="521"/>
      <c r="CQ81" s="521"/>
      <c r="CR81" s="521"/>
      <c r="CS81" s="521"/>
      <c r="CT81" s="521"/>
      <c r="CU81" s="521"/>
      <c r="CV81" s="521"/>
      <c r="CW81" s="521"/>
      <c r="CX81" s="521"/>
      <c r="CY81" s="521"/>
      <c r="CZ81" s="521"/>
      <c r="DA81" s="521"/>
      <c r="DB81" s="521"/>
      <c r="DC81" s="521"/>
      <c r="DD81" s="521"/>
      <c r="DE81" s="521"/>
      <c r="DF81" s="521"/>
      <c r="DG81" s="521"/>
      <c r="DH81" s="521"/>
      <c r="DI81" s="521"/>
      <c r="DJ81" s="521"/>
      <c r="DK81" s="521"/>
      <c r="DL81" s="521"/>
      <c r="DM81" s="521"/>
      <c r="DN81" s="521"/>
      <c r="DO81" s="521"/>
      <c r="DP81" s="521"/>
      <c r="DQ81" s="521"/>
      <c r="DR81" s="521"/>
      <c r="DS81" s="521"/>
      <c r="DT81" s="521"/>
      <c r="DU81" s="521"/>
      <c r="DV81" s="521"/>
      <c r="DW81" s="521"/>
      <c r="DX81" s="521"/>
      <c r="DY81" s="521"/>
      <c r="DZ81" s="521"/>
      <c r="EA81" s="521"/>
      <c r="EB81" s="521"/>
      <c r="EC81" s="521"/>
      <c r="ED81" s="521"/>
      <c r="EE81" s="521"/>
      <c r="EF81" s="521"/>
      <c r="EG81" s="521"/>
      <c r="EH81" s="521"/>
      <c r="EI81" s="521"/>
      <c r="EJ81" s="521"/>
      <c r="EK81" s="521"/>
      <c r="EL81" s="521"/>
      <c r="EM81" s="521"/>
      <c r="EN81" s="521"/>
      <c r="EO81" s="521"/>
      <c r="EP81" s="521"/>
      <c r="EQ81" s="521"/>
      <c r="ER81" s="521"/>
      <c r="ES81" s="521"/>
      <c r="ET81" s="521"/>
      <c r="EU81" s="521"/>
      <c r="EV81" s="521"/>
      <c r="EW81" s="521"/>
      <c r="EX81" s="521"/>
      <c r="EY81" s="521"/>
      <c r="EZ81" s="521"/>
      <c r="FA81" s="521"/>
      <c r="FB81" s="521"/>
      <c r="FC81" s="521"/>
      <c r="FD81" s="521"/>
      <c r="FE81" s="521"/>
      <c r="FF81" s="521"/>
      <c r="FG81" s="521"/>
      <c r="FH81" s="521"/>
      <c r="FI81" s="521"/>
      <c r="FJ81" s="521"/>
      <c r="FK81" s="521"/>
      <c r="FL81" s="521"/>
      <c r="FM81" s="521"/>
      <c r="FN81" s="521"/>
      <c r="FO81" s="521"/>
      <c r="FP81" s="521"/>
      <c r="FQ81" s="521"/>
      <c r="FR81" s="521"/>
      <c r="FS81" s="521"/>
      <c r="FT81" s="521"/>
      <c r="FU81" s="521"/>
      <c r="FV81" s="521"/>
      <c r="FW81" s="521"/>
      <c r="FX81" s="521"/>
      <c r="FY81" s="521"/>
      <c r="FZ81" s="521"/>
      <c r="GA81" s="521"/>
      <c r="GB81" s="521"/>
      <c r="GC81" s="521"/>
      <c r="GD81" s="521"/>
      <c r="GE81" s="521"/>
      <c r="GF81" s="521"/>
      <c r="GG81" s="521"/>
      <c r="GH81" s="521"/>
      <c r="GI81" s="521"/>
      <c r="GJ81" s="521"/>
      <c r="GK81" s="521"/>
      <c r="GL81" s="521"/>
      <c r="GM81" s="521"/>
      <c r="GN81" s="521"/>
      <c r="GO81" s="521"/>
      <c r="GP81" s="521"/>
      <c r="GQ81" s="521"/>
      <c r="GR81" s="521"/>
      <c r="GS81" s="521"/>
      <c r="GT81" s="521"/>
      <c r="GU81" s="521"/>
      <c r="GV81" s="521"/>
      <c r="GW81" s="521"/>
      <c r="GX81" s="521"/>
      <c r="GY81" s="521"/>
      <c r="GZ81" s="521"/>
      <c r="HA81" s="521"/>
      <c r="HB81" s="521"/>
      <c r="HC81" s="521"/>
      <c r="HD81" s="521"/>
      <c r="HE81" s="521"/>
      <c r="HF81" s="521"/>
      <c r="HG81" s="521"/>
      <c r="HH81" s="521"/>
      <c r="HI81" s="521"/>
      <c r="HJ81" s="521"/>
      <c r="HK81" s="521"/>
      <c r="HL81" s="521"/>
      <c r="HM81" s="521"/>
      <c r="HN81" s="521"/>
      <c r="HO81" s="521"/>
      <c r="HP81" s="521"/>
      <c r="HQ81" s="521"/>
      <c r="HR81" s="521"/>
      <c r="HS81" s="521"/>
      <c r="HT81" s="521"/>
      <c r="HU81" s="521"/>
      <c r="HV81" s="521"/>
      <c r="HW81" s="521"/>
      <c r="HX81" s="521"/>
      <c r="HY81" s="521"/>
      <c r="HZ81" s="521"/>
      <c r="IA81" s="521"/>
      <c r="IB81" s="521"/>
      <c r="IC81" s="521"/>
      <c r="ID81" s="521"/>
      <c r="IE81" s="521"/>
      <c r="IF81" s="521"/>
      <c r="IG81" s="521"/>
      <c r="IH81" s="521"/>
      <c r="II81" s="521"/>
      <c r="IJ81" s="521"/>
      <c r="IK81" s="521"/>
      <c r="IL81" s="521"/>
      <c r="IM81" s="521"/>
      <c r="IN81" s="521"/>
      <c r="IO81" s="521"/>
    </row>
    <row r="82" spans="1:249" s="508" customFormat="1" ht="12.75">
      <c r="A82" s="513" t="s">
        <v>369</v>
      </c>
      <c r="B82" s="509"/>
      <c r="C82" s="509"/>
      <c r="D82" s="509"/>
      <c r="E82" s="509"/>
      <c r="F82" s="509"/>
      <c r="G82" s="509"/>
      <c r="H82" s="509"/>
      <c r="I82" s="509"/>
      <c r="J82" s="509"/>
      <c r="K82" s="509"/>
      <c r="L82" s="509"/>
      <c r="M82" s="509"/>
      <c r="N82" s="509"/>
      <c r="O82" s="509"/>
      <c r="P82" s="509"/>
      <c r="Q82" s="509"/>
      <c r="R82" s="509"/>
      <c r="S82" s="509"/>
      <c r="T82" s="509"/>
      <c r="U82" s="509"/>
      <c r="V82" s="509"/>
      <c r="W82" s="509"/>
      <c r="X82" s="509"/>
      <c r="Y82" s="509"/>
      <c r="Z82" s="509"/>
      <c r="AA82" s="509"/>
      <c r="AB82" s="509"/>
      <c r="AC82" s="509"/>
      <c r="AD82" s="509"/>
      <c r="AE82" s="509"/>
      <c r="AF82" s="521"/>
      <c r="AG82" s="489"/>
      <c r="AH82" s="521"/>
      <c r="AI82" s="489"/>
      <c r="AJ82" s="511"/>
      <c r="AK82" s="511"/>
      <c r="AL82" s="511"/>
      <c r="AM82" s="511"/>
      <c r="AN82" s="511"/>
      <c r="AO82" s="511"/>
      <c r="AP82" s="511"/>
      <c r="AQ82" s="511"/>
      <c r="AR82" s="511"/>
      <c r="AS82" s="511"/>
      <c r="AT82" s="511"/>
      <c r="AU82" s="511"/>
      <c r="AV82" s="511"/>
      <c r="AW82" s="511"/>
      <c r="AX82" s="511"/>
      <c r="AY82" s="511"/>
      <c r="AZ82" s="511"/>
      <c r="BA82" s="511"/>
      <c r="BB82" s="511"/>
      <c r="BC82" s="511"/>
      <c r="BD82" s="511"/>
      <c r="BE82" s="511"/>
      <c r="BF82" s="511"/>
      <c r="BG82" s="511"/>
      <c r="BH82" s="511"/>
      <c r="BI82" s="511"/>
      <c r="BJ82" s="511"/>
      <c r="BK82" s="511"/>
      <c r="BL82" s="511"/>
      <c r="BM82" s="511"/>
      <c r="BN82" s="511"/>
      <c r="BO82" s="511"/>
      <c r="BP82" s="511"/>
      <c r="BQ82" s="511"/>
      <c r="BR82" s="511"/>
      <c r="BS82" s="511"/>
      <c r="BT82" s="511"/>
      <c r="BU82" s="511"/>
      <c r="BV82" s="511"/>
      <c r="BW82" s="511"/>
      <c r="BX82" s="511"/>
      <c r="BY82" s="511"/>
      <c r="BZ82" s="511"/>
      <c r="CA82" s="511"/>
      <c r="CB82" s="511"/>
      <c r="CC82" s="511"/>
      <c r="CD82" s="511"/>
      <c r="CE82" s="511"/>
      <c r="CF82" s="511"/>
      <c r="CG82" s="511"/>
      <c r="CH82" s="511"/>
      <c r="CI82" s="511"/>
      <c r="CJ82" s="511"/>
      <c r="CK82" s="511"/>
      <c r="CL82" s="511"/>
      <c r="CM82" s="511"/>
      <c r="CN82" s="511"/>
      <c r="CO82" s="511"/>
      <c r="CP82" s="511"/>
      <c r="CQ82" s="511"/>
      <c r="CR82" s="511"/>
      <c r="CS82" s="511"/>
      <c r="CT82" s="511"/>
      <c r="CU82" s="511"/>
      <c r="CV82" s="511"/>
      <c r="CW82" s="511"/>
      <c r="CX82" s="511"/>
      <c r="CY82" s="511"/>
      <c r="CZ82" s="511"/>
      <c r="DA82" s="511"/>
      <c r="DB82" s="511"/>
      <c r="DC82" s="511"/>
      <c r="DD82" s="511"/>
      <c r="DE82" s="511"/>
      <c r="DF82" s="511"/>
      <c r="DG82" s="511"/>
      <c r="DH82" s="511"/>
      <c r="DI82" s="511"/>
      <c r="DJ82" s="511"/>
      <c r="DK82" s="511"/>
      <c r="DL82" s="511"/>
      <c r="DM82" s="511"/>
      <c r="DN82" s="511"/>
      <c r="DO82" s="511"/>
      <c r="DP82" s="511"/>
      <c r="DQ82" s="511"/>
      <c r="DR82" s="511"/>
      <c r="DS82" s="511"/>
      <c r="DT82" s="511"/>
      <c r="DU82" s="511"/>
      <c r="DV82" s="511"/>
      <c r="DW82" s="511"/>
      <c r="DX82" s="511"/>
      <c r="DY82" s="511"/>
      <c r="DZ82" s="511"/>
      <c r="EA82" s="511"/>
      <c r="EB82" s="511"/>
      <c r="EC82" s="511"/>
      <c r="ED82" s="511"/>
      <c r="EE82" s="511"/>
      <c r="EF82" s="511"/>
      <c r="EG82" s="511"/>
      <c r="EH82" s="511"/>
      <c r="EI82" s="511"/>
      <c r="EJ82" s="511"/>
      <c r="EK82" s="511"/>
      <c r="EL82" s="511"/>
      <c r="EM82" s="511"/>
      <c r="EN82" s="511"/>
      <c r="EO82" s="511"/>
      <c r="EP82" s="511"/>
      <c r="EQ82" s="511"/>
      <c r="ER82" s="511"/>
      <c r="ES82" s="511"/>
      <c r="ET82" s="511"/>
      <c r="EU82" s="521"/>
      <c r="EV82" s="521"/>
      <c r="EW82" s="521"/>
      <c r="EX82" s="521"/>
      <c r="EY82" s="521"/>
      <c r="EZ82" s="521"/>
      <c r="FA82" s="521"/>
      <c r="FB82" s="521"/>
      <c r="FC82" s="521"/>
      <c r="FD82" s="521"/>
      <c r="FE82" s="521"/>
      <c r="FF82" s="521"/>
      <c r="FG82" s="521"/>
      <c r="FH82" s="521"/>
      <c r="FI82" s="521"/>
      <c r="FJ82" s="521"/>
      <c r="FK82" s="521"/>
      <c r="FL82" s="521"/>
      <c r="FM82" s="521"/>
      <c r="FN82" s="521"/>
      <c r="FO82" s="521"/>
      <c r="FP82" s="521"/>
      <c r="FQ82" s="521"/>
      <c r="FR82" s="521"/>
      <c r="FS82" s="521"/>
      <c r="FT82" s="521"/>
      <c r="FU82" s="521"/>
      <c r="FV82" s="521"/>
      <c r="FW82" s="521"/>
      <c r="FX82" s="521"/>
      <c r="FY82" s="521"/>
      <c r="FZ82" s="521"/>
      <c r="GA82" s="521"/>
      <c r="GB82" s="521"/>
      <c r="GC82" s="521"/>
      <c r="GD82" s="521"/>
      <c r="GE82" s="521"/>
      <c r="GF82" s="521"/>
      <c r="GG82" s="521"/>
      <c r="GH82" s="521"/>
      <c r="GI82" s="521"/>
      <c r="GJ82" s="521"/>
      <c r="GK82" s="521"/>
      <c r="GL82" s="521"/>
      <c r="GM82" s="521"/>
      <c r="GN82" s="521"/>
      <c r="GO82" s="521"/>
      <c r="GP82" s="521"/>
      <c r="GQ82" s="521"/>
      <c r="GR82" s="521"/>
      <c r="GS82" s="521"/>
      <c r="GT82" s="521"/>
      <c r="GU82" s="521"/>
      <c r="GV82" s="521"/>
      <c r="GW82" s="521"/>
      <c r="GX82" s="521"/>
      <c r="GY82" s="521"/>
      <c r="GZ82" s="521"/>
      <c r="HA82" s="521"/>
      <c r="HB82" s="521"/>
      <c r="HC82" s="521"/>
      <c r="HD82" s="521"/>
      <c r="HE82" s="521"/>
      <c r="HF82" s="521"/>
      <c r="HG82" s="521"/>
      <c r="HH82" s="521"/>
      <c r="HI82" s="521"/>
      <c r="HJ82" s="521"/>
      <c r="HK82" s="521"/>
      <c r="HL82" s="521"/>
      <c r="HM82" s="521"/>
      <c r="HN82" s="521"/>
      <c r="HO82" s="521"/>
      <c r="HP82" s="521"/>
      <c r="HQ82" s="521"/>
      <c r="HR82" s="521"/>
      <c r="HS82" s="521"/>
      <c r="HT82" s="521"/>
      <c r="HU82" s="521"/>
      <c r="HV82" s="521"/>
      <c r="HW82" s="521"/>
      <c r="HX82" s="521"/>
      <c r="HY82" s="521"/>
      <c r="HZ82" s="521"/>
      <c r="IA82" s="521"/>
      <c r="IB82" s="521"/>
      <c r="IC82" s="521"/>
      <c r="ID82" s="521"/>
      <c r="IE82" s="521"/>
      <c r="IF82" s="521"/>
      <c r="IG82" s="521"/>
      <c r="IH82" s="521"/>
      <c r="II82" s="521"/>
      <c r="IJ82" s="521"/>
      <c r="IK82" s="521"/>
      <c r="IL82" s="521"/>
      <c r="IM82" s="521"/>
      <c r="IN82" s="521"/>
      <c r="IO82" s="521"/>
    </row>
    <row r="83" spans="1:249" s="508" customFormat="1" ht="12.75">
      <c r="A83" s="927"/>
      <c r="B83" s="927"/>
      <c r="C83" s="927"/>
      <c r="D83" s="927"/>
      <c r="E83" s="927"/>
      <c r="F83" s="927"/>
      <c r="G83" s="927"/>
      <c r="H83" s="927"/>
      <c r="I83" s="927"/>
      <c r="J83" s="927"/>
      <c r="K83" s="927"/>
      <c r="L83" s="927"/>
      <c r="M83" s="927"/>
      <c r="N83" s="927"/>
      <c r="O83" s="927"/>
      <c r="P83" s="927"/>
      <c r="Q83" s="927"/>
      <c r="R83" s="927"/>
      <c r="S83" s="927"/>
      <c r="T83" s="927"/>
      <c r="U83" s="927"/>
      <c r="V83" s="927"/>
      <c r="W83" s="927"/>
      <c r="X83" s="927"/>
      <c r="Y83" s="927"/>
      <c r="Z83" s="927"/>
      <c r="AA83" s="927"/>
      <c r="AB83" s="927"/>
      <c r="AC83" s="927"/>
      <c r="AD83" s="927"/>
      <c r="AE83" s="927"/>
      <c r="AF83" s="927"/>
      <c r="AG83" s="927"/>
      <c r="AH83" s="519"/>
      <c r="AI83" s="927"/>
      <c r="AJ83" s="927"/>
      <c r="AK83" s="927"/>
      <c r="AL83" s="927"/>
      <c r="AM83" s="927"/>
      <c r="AN83" s="927"/>
      <c r="AO83" s="927"/>
      <c r="AP83" s="927"/>
      <c r="AQ83" s="927"/>
      <c r="AR83" s="927"/>
      <c r="AS83" s="927"/>
      <c r="AT83" s="927"/>
      <c r="AU83" s="927"/>
      <c r="AV83" s="927"/>
      <c r="AW83" s="927"/>
      <c r="AX83" s="927"/>
      <c r="AY83" s="927"/>
      <c r="AZ83" s="927"/>
      <c r="BA83" s="927"/>
      <c r="BB83" s="927"/>
      <c r="BC83" s="927"/>
      <c r="BD83" s="927"/>
      <c r="BE83" s="927"/>
      <c r="BF83" s="927"/>
      <c r="BG83" s="927"/>
      <c r="BH83" s="927"/>
      <c r="BI83" s="927"/>
      <c r="BJ83" s="927"/>
      <c r="BK83" s="927"/>
      <c r="BL83" s="927"/>
      <c r="BM83" s="927"/>
      <c r="BN83" s="927"/>
      <c r="BO83" s="927"/>
      <c r="BP83" s="927"/>
      <c r="BQ83" s="927"/>
      <c r="BR83" s="927"/>
      <c r="BS83" s="927"/>
      <c r="BT83" s="927"/>
      <c r="BU83" s="927"/>
      <c r="BV83" s="927"/>
      <c r="BW83" s="927"/>
      <c r="BX83" s="927"/>
      <c r="BY83" s="927"/>
      <c r="BZ83" s="927"/>
      <c r="CA83" s="927"/>
      <c r="CB83" s="927"/>
      <c r="CC83" s="927"/>
      <c r="CD83" s="927"/>
      <c r="CE83" s="927"/>
      <c r="CF83" s="927"/>
      <c r="CG83" s="927"/>
      <c r="CH83" s="927"/>
      <c r="CI83" s="927"/>
      <c r="CJ83" s="927"/>
      <c r="CK83" s="927"/>
      <c r="CL83" s="927"/>
      <c r="CM83" s="927"/>
      <c r="CN83" s="927"/>
      <c r="CO83" s="927"/>
      <c r="CP83" s="927"/>
      <c r="CQ83" s="927"/>
      <c r="CR83" s="927"/>
      <c r="CS83" s="927"/>
      <c r="CT83" s="927"/>
      <c r="CU83" s="927"/>
      <c r="CV83" s="927"/>
      <c r="CW83" s="927"/>
      <c r="CX83" s="927"/>
      <c r="CY83" s="927"/>
      <c r="CZ83" s="927"/>
      <c r="DA83" s="927"/>
      <c r="DB83" s="927"/>
      <c r="DC83" s="927"/>
      <c r="DD83" s="927"/>
      <c r="DE83" s="927"/>
      <c r="DF83" s="927"/>
      <c r="DG83" s="927"/>
      <c r="DH83" s="927"/>
      <c r="DI83" s="927"/>
      <c r="DJ83" s="927"/>
      <c r="DK83" s="927"/>
      <c r="DL83" s="927"/>
      <c r="DM83" s="927"/>
      <c r="DN83" s="927"/>
      <c r="DO83" s="927"/>
      <c r="DP83" s="927"/>
      <c r="DQ83" s="927"/>
      <c r="DR83" s="927"/>
      <c r="DS83" s="927"/>
      <c r="DT83" s="927"/>
      <c r="DU83" s="927"/>
      <c r="DV83" s="927"/>
      <c r="DW83" s="927"/>
      <c r="DX83" s="927"/>
      <c r="DY83" s="927"/>
      <c r="DZ83" s="927"/>
      <c r="EA83" s="927"/>
      <c r="EB83" s="927"/>
      <c r="EC83" s="927"/>
      <c r="ED83" s="927"/>
      <c r="EE83" s="927"/>
      <c r="EF83" s="927"/>
      <c r="EG83" s="927"/>
      <c r="EH83" s="927"/>
      <c r="EI83" s="927"/>
      <c r="EJ83" s="927"/>
      <c r="EK83" s="927"/>
      <c r="EL83" s="927"/>
      <c r="EM83" s="927"/>
      <c r="EN83" s="927"/>
      <c r="EO83" s="927"/>
      <c r="EP83" s="927"/>
      <c r="EQ83" s="927"/>
      <c r="ER83" s="927"/>
      <c r="ES83" s="927"/>
      <c r="ET83" s="927"/>
      <c r="EU83" s="521"/>
      <c r="EV83" s="521"/>
      <c r="EW83" s="521"/>
      <c r="EX83" s="521"/>
      <c r="EY83" s="521"/>
      <c r="EZ83" s="521"/>
      <c r="FA83" s="521"/>
      <c r="FB83" s="521"/>
      <c r="FC83" s="521"/>
      <c r="FD83" s="521"/>
      <c r="FE83" s="521"/>
      <c r="FF83" s="521"/>
      <c r="FG83" s="521"/>
      <c r="FH83" s="521"/>
      <c r="FI83" s="521"/>
      <c r="FJ83" s="521"/>
      <c r="FK83" s="521"/>
      <c r="FL83" s="521"/>
      <c r="FM83" s="521"/>
      <c r="FN83" s="521"/>
      <c r="FO83" s="521"/>
      <c r="FP83" s="521"/>
      <c r="FQ83" s="521"/>
      <c r="FR83" s="521"/>
      <c r="FS83" s="521"/>
      <c r="FT83" s="521"/>
      <c r="FU83" s="521"/>
      <c r="FV83" s="521"/>
      <c r="FW83" s="521"/>
      <c r="FX83" s="521"/>
      <c r="FY83" s="521"/>
      <c r="FZ83" s="521"/>
      <c r="GA83" s="521"/>
      <c r="GB83" s="521"/>
      <c r="GC83" s="521"/>
      <c r="GD83" s="521"/>
      <c r="GE83" s="521"/>
      <c r="GF83" s="521"/>
      <c r="GG83" s="521"/>
      <c r="GH83" s="521"/>
      <c r="GI83" s="521"/>
      <c r="GJ83" s="521"/>
      <c r="GK83" s="521"/>
      <c r="GL83" s="521"/>
      <c r="GM83" s="521"/>
      <c r="GN83" s="521"/>
      <c r="GO83" s="521"/>
      <c r="GP83" s="521"/>
      <c r="GQ83" s="521"/>
      <c r="GR83" s="521"/>
      <c r="GS83" s="521"/>
      <c r="GT83" s="521"/>
      <c r="GU83" s="521"/>
      <c r="GV83" s="521"/>
      <c r="GW83" s="521"/>
      <c r="GX83" s="521"/>
      <c r="GY83" s="521"/>
      <c r="GZ83" s="521"/>
      <c r="HA83" s="521"/>
      <c r="HB83" s="521"/>
      <c r="HC83" s="521"/>
      <c r="HD83" s="521"/>
      <c r="HE83" s="521"/>
      <c r="HF83" s="521"/>
      <c r="HG83" s="521"/>
      <c r="HH83" s="521"/>
      <c r="HI83" s="521"/>
      <c r="HJ83" s="521"/>
      <c r="HK83" s="521"/>
      <c r="HL83" s="521"/>
      <c r="HM83" s="521"/>
      <c r="HN83" s="521"/>
      <c r="HO83" s="521"/>
      <c r="HP83" s="521"/>
      <c r="HQ83" s="521"/>
      <c r="HR83" s="521"/>
      <c r="HS83" s="521"/>
      <c r="HT83" s="521"/>
      <c r="HU83" s="521"/>
      <c r="HV83" s="521"/>
      <c r="HW83" s="521"/>
      <c r="HX83" s="521"/>
      <c r="HY83" s="521"/>
      <c r="HZ83" s="521"/>
      <c r="IA83" s="521"/>
      <c r="IB83" s="521"/>
      <c r="IC83" s="521"/>
      <c r="ID83" s="521"/>
      <c r="IE83" s="521"/>
      <c r="IF83" s="521"/>
      <c r="IG83" s="521"/>
      <c r="IH83" s="521"/>
      <c r="II83" s="521"/>
      <c r="IJ83" s="521"/>
      <c r="IK83" s="521"/>
      <c r="IL83" s="521"/>
      <c r="IM83" s="521"/>
      <c r="IN83" s="521"/>
      <c r="IO83" s="521"/>
    </row>
    <row r="84" spans="1:249" s="508" customFormat="1" ht="12.75">
      <c r="A84" s="927"/>
      <c r="B84" s="927"/>
      <c r="C84" s="927"/>
      <c r="D84" s="927"/>
      <c r="E84" s="927"/>
      <c r="F84" s="927"/>
      <c r="G84" s="927"/>
      <c r="H84" s="927"/>
      <c r="I84" s="927"/>
      <c r="J84" s="927"/>
      <c r="K84" s="927"/>
      <c r="L84" s="927"/>
      <c r="M84" s="927"/>
      <c r="N84" s="927"/>
      <c r="O84" s="927"/>
      <c r="P84" s="927"/>
      <c r="Q84" s="927"/>
      <c r="R84" s="927"/>
      <c r="S84" s="927"/>
      <c r="T84" s="927"/>
      <c r="U84" s="927"/>
      <c r="V84" s="927"/>
      <c r="W84" s="927"/>
      <c r="X84" s="927"/>
      <c r="Y84" s="927"/>
      <c r="Z84" s="927"/>
      <c r="AA84" s="927"/>
      <c r="AB84" s="927"/>
      <c r="AC84" s="927"/>
      <c r="AD84" s="927"/>
      <c r="AE84" s="927"/>
      <c r="AF84" s="927"/>
      <c r="AG84" s="927"/>
      <c r="AH84" s="519"/>
      <c r="AI84" s="927"/>
      <c r="AJ84" s="927"/>
      <c r="AK84" s="927"/>
      <c r="AL84" s="927"/>
      <c r="AM84" s="927"/>
      <c r="AN84" s="927"/>
      <c r="AO84" s="927"/>
      <c r="AP84" s="927"/>
      <c r="AQ84" s="927"/>
      <c r="AR84" s="927"/>
      <c r="AS84" s="927"/>
      <c r="AT84" s="927"/>
      <c r="AU84" s="927"/>
      <c r="AV84" s="927"/>
      <c r="AW84" s="927"/>
      <c r="AX84" s="927"/>
      <c r="AY84" s="927"/>
      <c r="AZ84" s="927"/>
      <c r="BA84" s="927"/>
      <c r="BB84" s="927"/>
      <c r="BC84" s="927"/>
      <c r="BD84" s="927"/>
      <c r="BE84" s="927"/>
      <c r="BF84" s="927"/>
      <c r="BG84" s="927"/>
      <c r="BH84" s="927"/>
      <c r="BI84" s="927"/>
      <c r="BJ84" s="927"/>
      <c r="BK84" s="927"/>
      <c r="BL84" s="927"/>
      <c r="BM84" s="927"/>
      <c r="BN84" s="927"/>
      <c r="BO84" s="927"/>
      <c r="BP84" s="927"/>
      <c r="BQ84" s="927"/>
      <c r="BR84" s="927"/>
      <c r="BS84" s="927"/>
      <c r="BT84" s="927"/>
      <c r="BU84" s="927"/>
      <c r="BV84" s="927"/>
      <c r="BW84" s="927"/>
      <c r="BX84" s="927"/>
      <c r="BY84" s="927"/>
      <c r="BZ84" s="927"/>
      <c r="CA84" s="927"/>
      <c r="CB84" s="927"/>
      <c r="CC84" s="927"/>
      <c r="CD84" s="927"/>
      <c r="CE84" s="927"/>
      <c r="CF84" s="927"/>
      <c r="CG84" s="927"/>
      <c r="CH84" s="927"/>
      <c r="CI84" s="927"/>
      <c r="CJ84" s="927"/>
      <c r="CK84" s="927"/>
      <c r="CL84" s="927"/>
      <c r="CM84" s="927"/>
      <c r="CN84" s="927"/>
      <c r="CO84" s="927"/>
      <c r="CP84" s="927"/>
      <c r="CQ84" s="927"/>
      <c r="CR84" s="927"/>
      <c r="CS84" s="927"/>
      <c r="CT84" s="927"/>
      <c r="CU84" s="927"/>
      <c r="CV84" s="927"/>
      <c r="CW84" s="927"/>
      <c r="CX84" s="927"/>
      <c r="CY84" s="927"/>
      <c r="CZ84" s="927"/>
      <c r="DA84" s="927"/>
      <c r="DB84" s="927"/>
      <c r="DC84" s="927"/>
      <c r="DD84" s="927"/>
      <c r="DE84" s="927"/>
      <c r="DF84" s="927"/>
      <c r="DG84" s="927"/>
      <c r="DH84" s="927"/>
      <c r="DI84" s="927"/>
      <c r="DJ84" s="927"/>
      <c r="DK84" s="927"/>
      <c r="DL84" s="927"/>
      <c r="DM84" s="927"/>
      <c r="DN84" s="927"/>
      <c r="DO84" s="927"/>
      <c r="DP84" s="927"/>
      <c r="DQ84" s="927"/>
      <c r="DR84" s="927"/>
      <c r="DS84" s="927"/>
      <c r="DT84" s="927"/>
      <c r="DU84" s="927"/>
      <c r="DV84" s="927"/>
      <c r="DW84" s="927"/>
      <c r="DX84" s="927"/>
      <c r="DY84" s="927"/>
      <c r="DZ84" s="927"/>
      <c r="EA84" s="927"/>
      <c r="EB84" s="927"/>
      <c r="EC84" s="927"/>
      <c r="ED84" s="927"/>
      <c r="EE84" s="927"/>
      <c r="EF84" s="927"/>
      <c r="EG84" s="927"/>
      <c r="EH84" s="927"/>
      <c r="EI84" s="927"/>
      <c r="EJ84" s="927"/>
      <c r="EK84" s="927"/>
      <c r="EL84" s="927"/>
      <c r="EM84" s="927"/>
      <c r="EN84" s="927"/>
      <c r="EO84" s="927"/>
      <c r="EP84" s="927"/>
      <c r="EQ84" s="927"/>
      <c r="ER84" s="927"/>
      <c r="ES84" s="927"/>
      <c r="ET84" s="927"/>
      <c r="EU84" s="521"/>
      <c r="EV84" s="521"/>
      <c r="EW84" s="521"/>
      <c r="EX84" s="521"/>
      <c r="EY84" s="521"/>
      <c r="EZ84" s="521"/>
      <c r="FA84" s="521"/>
      <c r="FB84" s="521"/>
      <c r="FC84" s="521"/>
      <c r="FD84" s="521"/>
      <c r="FE84" s="521"/>
      <c r="FF84" s="521"/>
      <c r="FG84" s="521"/>
      <c r="FH84" s="521"/>
      <c r="FI84" s="521"/>
      <c r="FJ84" s="521"/>
      <c r="FK84" s="521"/>
      <c r="FL84" s="521"/>
      <c r="FM84" s="521"/>
      <c r="FN84" s="521"/>
      <c r="FO84" s="521"/>
      <c r="FP84" s="521"/>
      <c r="FQ84" s="521"/>
      <c r="FR84" s="521"/>
      <c r="FS84" s="521"/>
      <c r="FT84" s="521"/>
      <c r="FU84" s="521"/>
      <c r="FV84" s="521"/>
      <c r="FW84" s="521"/>
      <c r="FX84" s="521"/>
      <c r="FY84" s="521"/>
      <c r="FZ84" s="521"/>
      <c r="GA84" s="521"/>
      <c r="GB84" s="521"/>
      <c r="GC84" s="521"/>
      <c r="GD84" s="521"/>
      <c r="GE84" s="521"/>
      <c r="GF84" s="521"/>
      <c r="GG84" s="521"/>
      <c r="GH84" s="521"/>
      <c r="GI84" s="521"/>
      <c r="GJ84" s="521"/>
      <c r="GK84" s="521"/>
      <c r="GL84" s="521"/>
      <c r="GM84" s="521"/>
      <c r="GN84" s="521"/>
      <c r="GO84" s="521"/>
      <c r="GP84" s="521"/>
      <c r="GQ84" s="521"/>
      <c r="GR84" s="521"/>
      <c r="GS84" s="521"/>
      <c r="GT84" s="521"/>
      <c r="GU84" s="521"/>
      <c r="GV84" s="521"/>
      <c r="GW84" s="521"/>
      <c r="GX84" s="521"/>
      <c r="GY84" s="521"/>
      <c r="GZ84" s="521"/>
      <c r="HA84" s="521"/>
      <c r="HB84" s="521"/>
      <c r="HC84" s="521"/>
      <c r="HD84" s="521"/>
      <c r="HE84" s="521"/>
      <c r="HF84" s="521"/>
      <c r="HG84" s="521"/>
      <c r="HH84" s="521"/>
      <c r="HI84" s="521"/>
      <c r="HJ84" s="521"/>
      <c r="HK84" s="521"/>
      <c r="HL84" s="521"/>
      <c r="HM84" s="521"/>
      <c r="HN84" s="521"/>
      <c r="HO84" s="521"/>
      <c r="HP84" s="521"/>
      <c r="HQ84" s="521"/>
      <c r="HR84" s="521"/>
      <c r="HS84" s="521"/>
      <c r="HT84" s="521"/>
      <c r="HU84" s="521"/>
      <c r="HV84" s="521"/>
      <c r="HW84" s="521"/>
      <c r="HX84" s="521"/>
      <c r="HY84" s="521"/>
      <c r="HZ84" s="521"/>
      <c r="IA84" s="521"/>
      <c r="IB84" s="521"/>
      <c r="IC84" s="521"/>
      <c r="ID84" s="521"/>
      <c r="IE84" s="521"/>
      <c r="IF84" s="521"/>
      <c r="IG84" s="521"/>
      <c r="IH84" s="521"/>
      <c r="II84" s="521"/>
      <c r="IJ84" s="521"/>
      <c r="IK84" s="521"/>
      <c r="IL84" s="521"/>
      <c r="IM84" s="521"/>
      <c r="IN84" s="521"/>
      <c r="IO84" s="521"/>
    </row>
    <row r="85" spans="1:249" s="508" customFormat="1" ht="12.75">
      <c r="A85" s="521"/>
      <c r="B85" s="521"/>
      <c r="C85" s="521"/>
      <c r="D85" s="521"/>
      <c r="E85" s="521"/>
      <c r="F85" s="521"/>
      <c r="G85" s="521"/>
      <c r="H85" s="521"/>
      <c r="I85" s="521"/>
      <c r="J85" s="521"/>
      <c r="K85" s="521"/>
      <c r="L85" s="521"/>
      <c r="M85" s="521"/>
      <c r="N85" s="521"/>
      <c r="O85" s="521"/>
      <c r="P85" s="521"/>
      <c r="Q85" s="521"/>
      <c r="R85" s="521"/>
      <c r="S85" s="521"/>
      <c r="T85" s="521"/>
      <c r="U85" s="521"/>
      <c r="V85" s="521"/>
      <c r="W85" s="521"/>
      <c r="X85" s="521"/>
      <c r="Y85" s="521"/>
      <c r="Z85" s="521"/>
      <c r="AA85" s="521"/>
      <c r="AB85" s="521"/>
      <c r="AC85" s="521"/>
      <c r="AD85" s="521"/>
      <c r="AE85" s="521"/>
      <c r="AF85" s="521"/>
      <c r="AG85" s="521"/>
      <c r="AH85" s="518"/>
      <c r="AI85" s="521"/>
      <c r="AJ85" s="521"/>
      <c r="AK85" s="521"/>
      <c r="AL85" s="521"/>
      <c r="AM85" s="521"/>
      <c r="AN85" s="521"/>
      <c r="AO85" s="521"/>
      <c r="AP85" s="521"/>
      <c r="AQ85" s="521"/>
      <c r="AR85" s="521"/>
      <c r="AS85" s="521"/>
      <c r="AT85" s="521"/>
      <c r="AU85" s="521"/>
      <c r="AV85" s="521"/>
      <c r="AW85" s="521"/>
      <c r="AX85" s="521"/>
      <c r="AY85" s="521"/>
      <c r="AZ85" s="521"/>
      <c r="BA85" s="521"/>
      <c r="BB85" s="521"/>
      <c r="BC85" s="521"/>
      <c r="BD85" s="521"/>
      <c r="BE85" s="521"/>
      <c r="BF85" s="521"/>
      <c r="BG85" s="521"/>
      <c r="BH85" s="521"/>
      <c r="BI85" s="521"/>
      <c r="BJ85" s="521"/>
      <c r="BK85" s="521"/>
      <c r="BL85" s="521"/>
      <c r="BM85" s="521"/>
      <c r="BN85" s="521"/>
      <c r="BO85" s="521"/>
      <c r="BP85" s="521"/>
      <c r="BQ85" s="521"/>
      <c r="BR85" s="521"/>
      <c r="BS85" s="521"/>
      <c r="BT85" s="521"/>
      <c r="BU85" s="521"/>
      <c r="BV85" s="521"/>
      <c r="BW85" s="521"/>
      <c r="BX85" s="521"/>
      <c r="BY85" s="521"/>
      <c r="BZ85" s="521"/>
      <c r="CA85" s="521"/>
      <c r="CB85" s="521"/>
      <c r="CC85" s="521"/>
      <c r="CD85" s="521"/>
      <c r="CE85" s="521"/>
      <c r="CF85" s="521"/>
      <c r="CG85" s="521"/>
      <c r="CH85" s="521"/>
      <c r="CI85" s="521"/>
      <c r="CJ85" s="521"/>
      <c r="CK85" s="521"/>
      <c r="CL85" s="521"/>
      <c r="CM85" s="521"/>
      <c r="CN85" s="521"/>
      <c r="CO85" s="521"/>
      <c r="CP85" s="521"/>
      <c r="CQ85" s="521"/>
      <c r="CR85" s="521"/>
      <c r="CS85" s="521"/>
      <c r="CT85" s="521"/>
      <c r="CU85" s="521"/>
      <c r="CV85" s="521"/>
      <c r="CW85" s="521"/>
      <c r="CX85" s="521"/>
      <c r="CY85" s="521"/>
      <c r="CZ85" s="521"/>
      <c r="DA85" s="521"/>
      <c r="DB85" s="521"/>
      <c r="DC85" s="521"/>
      <c r="DD85" s="521"/>
      <c r="DE85" s="521"/>
      <c r="DF85" s="521"/>
      <c r="DG85" s="521"/>
      <c r="DH85" s="521"/>
      <c r="DI85" s="521"/>
      <c r="DJ85" s="521"/>
      <c r="DK85" s="521"/>
      <c r="DL85" s="521"/>
      <c r="DM85" s="521"/>
      <c r="DN85" s="521"/>
      <c r="DO85" s="521"/>
      <c r="DP85" s="521"/>
      <c r="DQ85" s="521"/>
      <c r="DR85" s="521"/>
      <c r="DS85" s="521"/>
      <c r="DT85" s="521"/>
      <c r="DU85" s="521"/>
      <c r="DV85" s="521"/>
      <c r="DW85" s="521"/>
      <c r="DX85" s="521"/>
      <c r="DY85" s="521"/>
      <c r="DZ85" s="521"/>
      <c r="EA85" s="521"/>
      <c r="EB85" s="521"/>
      <c r="EC85" s="521"/>
      <c r="ED85" s="521"/>
      <c r="EE85" s="521"/>
      <c r="EF85" s="521"/>
      <c r="EG85" s="521"/>
      <c r="EH85" s="521"/>
      <c r="EI85" s="521"/>
      <c r="EJ85" s="521"/>
      <c r="EK85" s="521"/>
      <c r="EL85" s="521"/>
      <c r="EM85" s="521"/>
      <c r="EN85" s="521"/>
      <c r="EO85" s="521"/>
      <c r="EP85" s="521"/>
      <c r="EQ85" s="521"/>
      <c r="ER85" s="521"/>
      <c r="ES85" s="521"/>
      <c r="ET85" s="521"/>
      <c r="EU85" s="521"/>
      <c r="EV85" s="521"/>
      <c r="EW85" s="521"/>
      <c r="EX85" s="521"/>
      <c r="EY85" s="521"/>
      <c r="EZ85" s="521"/>
      <c r="FA85" s="521"/>
      <c r="FB85" s="521"/>
      <c r="FC85" s="521"/>
      <c r="FD85" s="521"/>
      <c r="FE85" s="521"/>
      <c r="FF85" s="521"/>
      <c r="FG85" s="521"/>
      <c r="FH85" s="521"/>
      <c r="FI85" s="521"/>
      <c r="FJ85" s="521"/>
      <c r="FK85" s="521"/>
      <c r="FL85" s="521"/>
      <c r="FM85" s="521"/>
      <c r="FN85" s="521"/>
      <c r="FO85" s="521"/>
      <c r="FP85" s="521"/>
      <c r="FQ85" s="521"/>
      <c r="FR85" s="521"/>
      <c r="FS85" s="521"/>
      <c r="FT85" s="521"/>
      <c r="FU85" s="521"/>
      <c r="FV85" s="521"/>
      <c r="FW85" s="521"/>
      <c r="FX85" s="521"/>
      <c r="FY85" s="521"/>
      <c r="FZ85" s="521"/>
      <c r="GA85" s="521"/>
      <c r="GB85" s="521"/>
      <c r="GC85" s="521"/>
      <c r="GD85" s="521"/>
      <c r="GE85" s="521"/>
      <c r="GF85" s="521"/>
      <c r="GG85" s="521"/>
      <c r="GH85" s="521"/>
      <c r="GI85" s="521"/>
      <c r="GJ85" s="521"/>
      <c r="GK85" s="521"/>
      <c r="GL85" s="521"/>
      <c r="GM85" s="521"/>
      <c r="GN85" s="521"/>
      <c r="GO85" s="521"/>
      <c r="GP85" s="521"/>
      <c r="GQ85" s="521"/>
      <c r="GR85" s="521"/>
      <c r="GS85" s="521"/>
      <c r="GT85" s="521"/>
      <c r="GU85" s="521"/>
      <c r="GV85" s="521"/>
      <c r="GW85" s="521"/>
      <c r="GX85" s="521"/>
      <c r="GY85" s="521"/>
      <c r="GZ85" s="521"/>
      <c r="HA85" s="521"/>
      <c r="HB85" s="521"/>
      <c r="HC85" s="521"/>
      <c r="HD85" s="521"/>
      <c r="HE85" s="521"/>
      <c r="HF85" s="521"/>
      <c r="HG85" s="521"/>
      <c r="HH85" s="521"/>
      <c r="HI85" s="521"/>
      <c r="HJ85" s="521"/>
      <c r="HK85" s="521"/>
      <c r="HL85" s="521"/>
      <c r="HM85" s="521"/>
      <c r="HN85" s="521"/>
      <c r="HO85" s="521"/>
      <c r="HP85" s="521"/>
      <c r="HQ85" s="521"/>
      <c r="HR85" s="521"/>
      <c r="HS85" s="521"/>
      <c r="HT85" s="521"/>
      <c r="HU85" s="521"/>
      <c r="HV85" s="521"/>
      <c r="HW85" s="521"/>
      <c r="HX85" s="521"/>
      <c r="HY85" s="521"/>
      <c r="HZ85" s="521"/>
      <c r="IA85" s="521"/>
      <c r="IB85" s="521"/>
      <c r="IC85" s="521"/>
      <c r="ID85" s="521"/>
      <c r="IE85" s="521"/>
      <c r="IF85" s="521"/>
      <c r="IG85" s="521"/>
      <c r="IH85" s="521"/>
      <c r="II85" s="521"/>
      <c r="IJ85" s="521"/>
      <c r="IK85" s="521"/>
      <c r="IL85" s="521"/>
      <c r="IM85" s="521"/>
      <c r="IN85" s="521"/>
      <c r="IO85" s="521"/>
    </row>
    <row r="86" spans="1:249" s="508" customFormat="1" ht="12.75">
      <c r="A86" s="1727" t="s">
        <v>392</v>
      </c>
      <c r="B86" s="1727"/>
      <c r="C86" s="1727"/>
      <c r="D86" s="1727"/>
      <c r="E86" s="1727"/>
      <c r="F86" s="1727"/>
      <c r="G86" s="1727"/>
      <c r="H86" s="1727"/>
      <c r="I86" s="1727"/>
      <c r="J86" s="1727"/>
      <c r="K86" s="1727"/>
      <c r="L86" s="1727"/>
      <c r="M86" s="1727"/>
      <c r="N86" s="1727"/>
      <c r="O86" s="1727"/>
      <c r="P86" s="1727"/>
      <c r="Q86" s="1727"/>
      <c r="R86" s="1727"/>
      <c r="S86" s="1727"/>
      <c r="T86" s="1727"/>
      <c r="U86" s="1727"/>
      <c r="V86" s="1727"/>
      <c r="W86" s="1727"/>
      <c r="X86" s="1727"/>
      <c r="Y86" s="1727"/>
      <c r="Z86" s="1727"/>
      <c r="AA86" s="1727"/>
      <c r="AB86" s="1727"/>
      <c r="AC86" s="1727"/>
      <c r="AD86" s="1727"/>
      <c r="AE86" s="1727"/>
      <c r="AF86" s="1727"/>
      <c r="AG86" s="1727"/>
      <c r="AH86" s="507"/>
      <c r="AI86" s="921"/>
      <c r="AJ86" s="521"/>
      <c r="AK86" s="521"/>
      <c r="AL86" s="521"/>
      <c r="AM86" s="521"/>
      <c r="AN86" s="521"/>
      <c r="AO86" s="521"/>
      <c r="AP86" s="521"/>
      <c r="AQ86" s="521"/>
      <c r="AR86" s="521"/>
      <c r="AS86" s="521"/>
      <c r="AT86" s="521"/>
      <c r="AU86" s="521"/>
      <c r="AV86" s="521"/>
      <c r="AW86" s="521"/>
      <c r="AX86" s="521"/>
      <c r="AY86" s="521"/>
      <c r="AZ86" s="521"/>
      <c r="BA86" s="521"/>
      <c r="BB86" s="521"/>
      <c r="BC86" s="521"/>
      <c r="BD86" s="521"/>
      <c r="BE86" s="521"/>
      <c r="BF86" s="521"/>
      <c r="BG86" s="521"/>
      <c r="BH86" s="521"/>
      <c r="BI86" s="521"/>
      <c r="BJ86" s="521"/>
      <c r="BK86" s="521"/>
      <c r="BL86" s="521"/>
      <c r="BM86" s="521"/>
      <c r="BN86" s="521"/>
      <c r="BO86" s="521"/>
      <c r="BP86" s="521"/>
      <c r="BQ86" s="521"/>
      <c r="BR86" s="521"/>
      <c r="BS86" s="521"/>
      <c r="BT86" s="521"/>
      <c r="BU86" s="521"/>
      <c r="BV86" s="521"/>
      <c r="BW86" s="521"/>
      <c r="BX86" s="521"/>
      <c r="BY86" s="521"/>
      <c r="BZ86" s="521"/>
      <c r="CA86" s="521"/>
      <c r="CB86" s="521"/>
      <c r="CC86" s="521"/>
      <c r="CD86" s="521"/>
      <c r="CE86" s="521"/>
      <c r="CF86" s="521"/>
      <c r="CG86" s="521"/>
      <c r="CH86" s="521"/>
      <c r="CI86" s="521"/>
      <c r="CJ86" s="521"/>
      <c r="CK86" s="521"/>
      <c r="CL86" s="521"/>
      <c r="CM86" s="521"/>
      <c r="CN86" s="521"/>
      <c r="CO86" s="521"/>
      <c r="CP86" s="521"/>
      <c r="CQ86" s="521"/>
      <c r="CR86" s="521"/>
      <c r="CS86" s="521"/>
      <c r="CT86" s="521"/>
      <c r="CU86" s="521"/>
      <c r="CV86" s="521"/>
      <c r="CW86" s="521"/>
      <c r="CX86" s="521"/>
      <c r="CY86" s="521"/>
      <c r="CZ86" s="521"/>
      <c r="DA86" s="521"/>
      <c r="DB86" s="521"/>
      <c r="DC86" s="1728" t="s">
        <v>80</v>
      </c>
      <c r="DD86" s="1728"/>
      <c r="DE86" s="1728"/>
      <c r="DF86" s="1728"/>
      <c r="DG86" s="1728"/>
      <c r="DH86" s="1728"/>
      <c r="DI86" s="1728"/>
      <c r="DJ86" s="1728"/>
      <c r="DK86" s="1728"/>
      <c r="DL86" s="1728"/>
      <c r="DM86" s="1728"/>
      <c r="DN86" s="1728"/>
      <c r="DO86" s="1728"/>
      <c r="DP86" s="1728"/>
      <c r="DQ86" s="1728"/>
      <c r="DR86" s="1728"/>
      <c r="DS86" s="1728"/>
      <c r="DT86" s="1728"/>
      <c r="DU86" s="1728"/>
      <c r="DV86" s="1728"/>
      <c r="DW86" s="1728"/>
      <c r="DX86" s="1728"/>
      <c r="DY86" s="1728"/>
      <c r="DZ86" s="1728"/>
      <c r="EA86" s="1728"/>
      <c r="EB86" s="1728"/>
      <c r="EC86" s="1728"/>
      <c r="ED86" s="1728"/>
      <c r="EE86" s="1728"/>
      <c r="EF86" s="1728"/>
      <c r="EG86" s="1728"/>
      <c r="EH86" s="521"/>
      <c r="EI86" s="521"/>
      <c r="EJ86" s="521"/>
      <c r="EK86" s="521"/>
      <c r="EL86" s="521"/>
      <c r="EM86" s="521"/>
      <c r="EN86" s="521"/>
      <c r="EO86" s="521"/>
      <c r="EP86" s="521"/>
      <c r="EQ86" s="521"/>
      <c r="ER86" s="521"/>
      <c r="ES86" s="521"/>
      <c r="ET86" s="521"/>
      <c r="EU86" s="521"/>
      <c r="EV86" s="521"/>
      <c r="EW86" s="521"/>
      <c r="EX86" s="521"/>
      <c r="EY86" s="521"/>
      <c r="EZ86" s="521"/>
      <c r="FA86" s="521"/>
      <c r="FB86" s="521"/>
      <c r="FC86" s="521"/>
      <c r="FD86" s="521"/>
      <c r="FE86" s="521"/>
      <c r="FF86" s="521"/>
      <c r="FG86" s="521"/>
      <c r="FH86" s="521"/>
      <c r="FI86" s="521"/>
      <c r="FJ86" s="521"/>
      <c r="FK86" s="521"/>
      <c r="FL86" s="521"/>
      <c r="FM86" s="521"/>
      <c r="FN86" s="521"/>
      <c r="FO86" s="521"/>
      <c r="FP86" s="521"/>
      <c r="FQ86" s="521"/>
      <c r="FR86" s="521"/>
      <c r="FS86" s="521"/>
      <c r="FT86" s="521"/>
      <c r="FU86" s="521"/>
      <c r="FV86" s="521"/>
      <c r="FW86" s="521"/>
      <c r="FX86" s="521"/>
      <c r="FY86" s="521"/>
      <c r="FZ86" s="521"/>
      <c r="GA86" s="521"/>
      <c r="GB86" s="521"/>
      <c r="GC86" s="521"/>
      <c r="GD86" s="521"/>
      <c r="GE86" s="521"/>
      <c r="GF86" s="521"/>
      <c r="GG86" s="521"/>
      <c r="GH86" s="521"/>
      <c r="GI86" s="521"/>
      <c r="GJ86" s="521"/>
      <c r="GK86" s="521"/>
      <c r="GL86" s="521"/>
      <c r="GM86" s="521"/>
      <c r="GN86" s="521"/>
      <c r="GO86" s="521"/>
      <c r="GP86" s="521"/>
      <c r="GQ86" s="521"/>
      <c r="GR86" s="521"/>
      <c r="GS86" s="521"/>
      <c r="GT86" s="521"/>
      <c r="GU86" s="521"/>
      <c r="GV86" s="521"/>
      <c r="GW86" s="521"/>
      <c r="GX86" s="521"/>
      <c r="GY86" s="521"/>
      <c r="GZ86" s="521"/>
      <c r="HA86" s="521"/>
      <c r="HB86" s="521"/>
      <c r="HC86" s="521"/>
      <c r="HD86" s="521"/>
      <c r="HE86" s="521"/>
      <c r="HF86" s="521"/>
      <c r="HG86" s="521"/>
      <c r="HH86" s="521"/>
      <c r="HI86" s="521"/>
      <c r="HJ86" s="521"/>
      <c r="HK86" s="521"/>
      <c r="HL86" s="521"/>
      <c r="HM86" s="521"/>
      <c r="HN86" s="521"/>
      <c r="HO86" s="521"/>
      <c r="HP86" s="521"/>
      <c r="HQ86" s="521"/>
      <c r="HR86" s="521"/>
      <c r="HS86" s="521"/>
      <c r="HT86" s="521"/>
      <c r="HU86" s="521"/>
      <c r="HV86" s="521"/>
      <c r="HW86" s="521"/>
      <c r="HX86" s="521"/>
      <c r="HY86" s="521"/>
      <c r="HZ86" s="521"/>
      <c r="IA86" s="521"/>
      <c r="IB86" s="521"/>
      <c r="IC86" s="521"/>
      <c r="ID86" s="521"/>
      <c r="IE86" s="521"/>
      <c r="IF86" s="521"/>
      <c r="IG86" s="521"/>
      <c r="IH86" s="521"/>
      <c r="II86" s="521"/>
      <c r="IJ86" s="521"/>
      <c r="IK86" s="521"/>
      <c r="IL86" s="521"/>
      <c r="IM86" s="521"/>
      <c r="IN86" s="521"/>
      <c r="IO86" s="521"/>
    </row>
    <row r="87" spans="1:249" s="508" customFormat="1" ht="12.75">
      <c r="A87" s="507"/>
      <c r="B87" s="507"/>
      <c r="C87" s="507"/>
      <c r="D87" s="507"/>
      <c r="E87" s="507"/>
      <c r="F87" s="507"/>
      <c r="G87" s="507"/>
      <c r="H87" s="507"/>
      <c r="I87" s="507"/>
      <c r="J87" s="507"/>
      <c r="K87" s="507"/>
      <c r="L87" s="507"/>
      <c r="M87" s="507"/>
      <c r="N87" s="507"/>
      <c r="O87" s="507"/>
      <c r="P87" s="507"/>
      <c r="Q87" s="507"/>
      <c r="R87" s="507"/>
      <c r="S87" s="507"/>
      <c r="T87" s="507"/>
      <c r="U87" s="507"/>
      <c r="V87" s="507"/>
      <c r="W87" s="507"/>
      <c r="X87" s="507"/>
      <c r="Y87" s="507"/>
      <c r="Z87" s="507"/>
      <c r="AA87" s="507"/>
      <c r="AB87" s="507"/>
      <c r="AC87" s="507"/>
      <c r="AD87" s="507"/>
      <c r="AE87" s="507"/>
      <c r="AF87" s="507"/>
      <c r="AG87" s="507"/>
      <c r="AH87" s="481"/>
      <c r="AI87" s="507"/>
      <c r="AJ87" s="507"/>
      <c r="AK87" s="507"/>
      <c r="AL87" s="507"/>
      <c r="AM87" s="507"/>
      <c r="AN87" s="507"/>
      <c r="AO87" s="507"/>
      <c r="AP87" s="507"/>
      <c r="AQ87" s="507"/>
      <c r="AR87" s="507"/>
      <c r="AS87" s="507"/>
      <c r="AT87" s="507"/>
      <c r="AU87" s="507"/>
      <c r="AV87" s="507"/>
      <c r="AW87" s="507"/>
      <c r="AX87" s="507"/>
      <c r="AY87" s="507"/>
      <c r="AZ87" s="507"/>
      <c r="BA87" s="507"/>
      <c r="BB87" s="507"/>
      <c r="BC87" s="507"/>
      <c r="BD87" s="507"/>
      <c r="BE87" s="507"/>
      <c r="BF87" s="507"/>
      <c r="BG87" s="507"/>
      <c r="BH87" s="507"/>
      <c r="BI87" s="507"/>
      <c r="BJ87" s="507"/>
      <c r="BK87" s="507"/>
      <c r="BL87" s="507"/>
      <c r="BM87" s="507"/>
      <c r="BN87" s="507"/>
      <c r="BO87" s="507"/>
      <c r="BP87" s="507"/>
      <c r="BQ87" s="507"/>
      <c r="BR87" s="507"/>
      <c r="BS87" s="507"/>
      <c r="BT87" s="507"/>
      <c r="BU87" s="507"/>
      <c r="BV87" s="507"/>
      <c r="BW87" s="507"/>
      <c r="BX87" s="507"/>
      <c r="BY87" s="507"/>
      <c r="BZ87" s="507"/>
      <c r="CA87" s="507"/>
      <c r="CB87" s="507"/>
      <c r="CC87" s="507"/>
      <c r="CD87" s="507"/>
      <c r="CE87" s="507"/>
      <c r="CF87" s="507"/>
      <c r="CG87" s="507"/>
      <c r="CH87" s="507"/>
      <c r="CI87" s="507"/>
      <c r="CJ87" s="507"/>
      <c r="CK87" s="507"/>
      <c r="CL87" s="507"/>
      <c r="CM87" s="507"/>
      <c r="CN87" s="507"/>
      <c r="CO87" s="507"/>
      <c r="CP87" s="507"/>
      <c r="CQ87" s="507"/>
      <c r="CR87" s="507"/>
      <c r="CS87" s="507"/>
      <c r="CT87" s="507"/>
      <c r="CU87" s="507"/>
      <c r="CV87" s="507"/>
      <c r="CW87" s="507"/>
      <c r="CX87" s="507"/>
      <c r="CY87" s="507"/>
      <c r="CZ87" s="507"/>
      <c r="DA87" s="507"/>
      <c r="DB87" s="507"/>
      <c r="DC87" s="507"/>
      <c r="DD87" s="507"/>
      <c r="DE87" s="507"/>
      <c r="DF87" s="507"/>
      <c r="DG87" s="507"/>
      <c r="DH87" s="507"/>
      <c r="DI87" s="507"/>
      <c r="DJ87" s="507"/>
      <c r="DK87" s="507"/>
      <c r="DL87" s="507"/>
      <c r="DM87" s="507"/>
      <c r="DN87" s="507"/>
      <c r="DO87" s="507"/>
      <c r="DP87" s="507"/>
      <c r="DQ87" s="507"/>
      <c r="DR87" s="507"/>
      <c r="DS87" s="507"/>
      <c r="DT87" s="507"/>
      <c r="DU87" s="507"/>
      <c r="DV87" s="507"/>
      <c r="DW87" s="507"/>
      <c r="DX87" s="507"/>
      <c r="DY87" s="507"/>
      <c r="DZ87" s="507"/>
      <c r="EA87" s="507"/>
      <c r="EB87" s="507"/>
      <c r="EC87" s="507"/>
      <c r="ED87" s="507"/>
      <c r="EE87" s="507"/>
      <c r="EF87" s="507"/>
      <c r="EG87" s="507"/>
      <c r="EH87" s="507"/>
      <c r="EI87" s="507"/>
      <c r="EJ87" s="507"/>
      <c r="EK87" s="507"/>
      <c r="EL87" s="507"/>
      <c r="EM87" s="507"/>
      <c r="EN87" s="507"/>
      <c r="EO87" s="507"/>
      <c r="EP87" s="507"/>
      <c r="EQ87" s="507"/>
      <c r="ER87" s="507"/>
      <c r="ES87" s="507"/>
      <c r="ET87" s="507"/>
    </row>
    <row r="88" spans="1:249" ht="12.75"/>
    <row r="89" spans="1:249" ht="12.75"/>
    <row r="90" spans="1:249" ht="12.75"/>
  </sheetData>
  <mergeCells count="180">
    <mergeCell ref="EF1:ET1"/>
    <mergeCell ref="DW2:ET2"/>
    <mergeCell ref="A4:ET4"/>
    <mergeCell ref="A5:ET5"/>
    <mergeCell ref="BL7:BN7"/>
    <mergeCell ref="BP7:CN7"/>
    <mergeCell ref="DJ13:EA14"/>
    <mergeCell ref="EC13:ET14"/>
    <mergeCell ref="A14:AA14"/>
    <mergeCell ref="AB14:DH14"/>
    <mergeCell ref="DJ15:EA16"/>
    <mergeCell ref="EC15:ET16"/>
    <mergeCell ref="EC9:ET9"/>
    <mergeCell ref="A11:AA11"/>
    <mergeCell ref="AB11:DI11"/>
    <mergeCell ref="DJ11:EA11"/>
    <mergeCell ref="EC11:ET12"/>
    <mergeCell ref="DJ12:EA12"/>
    <mergeCell ref="CU21:EA22"/>
    <mergeCell ref="EC21:ET22"/>
    <mergeCell ref="CU23:EA24"/>
    <mergeCell ref="EC23:ET24"/>
    <mergeCell ref="A26:ET26"/>
    <mergeCell ref="A28:E28"/>
    <mergeCell ref="F28:ET28"/>
    <mergeCell ref="DJ17:EA18"/>
    <mergeCell ref="EC17:ET18"/>
    <mergeCell ref="AP18:CB18"/>
    <mergeCell ref="AP19:CB19"/>
    <mergeCell ref="DJ19:EA20"/>
    <mergeCell ref="EC19:ET20"/>
    <mergeCell ref="A36:AF36"/>
    <mergeCell ref="AJ36:BD36"/>
    <mergeCell ref="BI36:CI36"/>
    <mergeCell ref="A38:AF38"/>
    <mergeCell ref="AJ38:BD38"/>
    <mergeCell ref="BI38:CI38"/>
    <mergeCell ref="A29:ET29"/>
    <mergeCell ref="A31:CU31"/>
    <mergeCell ref="A33:AF33"/>
    <mergeCell ref="AJ33:BD33"/>
    <mergeCell ref="BI33:CI33"/>
    <mergeCell ref="A34:AF34"/>
    <mergeCell ref="AJ34:BD34"/>
    <mergeCell ref="BI34:CI34"/>
    <mergeCell ref="A44:J46"/>
    <mergeCell ref="K44:AT44"/>
    <mergeCell ref="AU44:BF46"/>
    <mergeCell ref="BH44:ET44"/>
    <mergeCell ref="EZ45:GT45"/>
    <mergeCell ref="GU45:IO45"/>
    <mergeCell ref="CR46:DI46"/>
    <mergeCell ref="EB46:ET46"/>
    <mergeCell ref="EZ46:FJ46"/>
    <mergeCell ref="FK46:FV46"/>
    <mergeCell ref="FW46:GH46"/>
    <mergeCell ref="GI46:GO46"/>
    <mergeCell ref="GP46:GT46"/>
    <mergeCell ref="GU46:HF46"/>
    <mergeCell ref="CR45:DI45"/>
    <mergeCell ref="DJ45:EA46"/>
    <mergeCell ref="EB45:ET45"/>
    <mergeCell ref="EU45:EU46"/>
    <mergeCell ref="EV45:EV46"/>
    <mergeCell ref="EX45:EX46"/>
    <mergeCell ref="HG46:HR46"/>
    <mergeCell ref="HS46:ID46"/>
    <mergeCell ref="IE46:IK46"/>
    <mergeCell ref="IL46:IO46"/>
    <mergeCell ref="EU44:EY44"/>
    <mergeCell ref="EZ44:IO44"/>
    <mergeCell ref="K45:AF46"/>
    <mergeCell ref="AG45:AT46"/>
    <mergeCell ref="BH45:BY46"/>
    <mergeCell ref="BZ45:CQ46"/>
    <mergeCell ref="GI47:GT47"/>
    <mergeCell ref="GU47:HF47"/>
    <mergeCell ref="HG47:HR47"/>
    <mergeCell ref="HS47:ID47"/>
    <mergeCell ref="IE47:IO47"/>
    <mergeCell ref="FK47:FV47"/>
    <mergeCell ref="FW47:GH47"/>
    <mergeCell ref="K47:AF47"/>
    <mergeCell ref="AG47:AT47"/>
    <mergeCell ref="AU47:BF47"/>
    <mergeCell ref="BH47:BY47"/>
    <mergeCell ref="BZ47:CQ47"/>
    <mergeCell ref="A48:J48"/>
    <mergeCell ref="K48:AF48"/>
    <mergeCell ref="AG48:AT48"/>
    <mergeCell ref="AU48:BF48"/>
    <mergeCell ref="BH48:BY48"/>
    <mergeCell ref="CR47:DI47"/>
    <mergeCell ref="DJ47:EA47"/>
    <mergeCell ref="EB47:ET47"/>
    <mergeCell ref="EZ47:FJ47"/>
    <mergeCell ref="A47:J47"/>
    <mergeCell ref="HG48:HR48"/>
    <mergeCell ref="HS48:ID48"/>
    <mergeCell ref="IE48:IO48"/>
    <mergeCell ref="BZ48:CQ48"/>
    <mergeCell ref="CR48:DI48"/>
    <mergeCell ref="DJ48:EA48"/>
    <mergeCell ref="EB48:ET48"/>
    <mergeCell ref="EZ48:FJ48"/>
    <mergeCell ref="FK48:FV48"/>
    <mergeCell ref="K49:AF49"/>
    <mergeCell ref="AG49:AT49"/>
    <mergeCell ref="AU49:BF49"/>
    <mergeCell ref="BH49:BY49"/>
    <mergeCell ref="BZ49:CQ49"/>
    <mergeCell ref="CR49:DI49"/>
    <mergeCell ref="FW48:GH48"/>
    <mergeCell ref="GI48:GT48"/>
    <mergeCell ref="GU48:HF48"/>
    <mergeCell ref="GU49:HF49"/>
    <mergeCell ref="HG49:HR49"/>
    <mergeCell ref="HS49:ID49"/>
    <mergeCell ref="IE49:IO49"/>
    <mergeCell ref="AV51:ET51"/>
    <mergeCell ref="AS52:ET52"/>
    <mergeCell ref="DJ49:EA49"/>
    <mergeCell ref="EB49:ET49"/>
    <mergeCell ref="EZ49:FJ49"/>
    <mergeCell ref="FK49:FV49"/>
    <mergeCell ref="FW49:GH49"/>
    <mergeCell ref="GI49:GT49"/>
    <mergeCell ref="Q58:AK58"/>
    <mergeCell ref="AP58:BV58"/>
    <mergeCell ref="A59:V59"/>
    <mergeCell ref="Y59:CA59"/>
    <mergeCell ref="CV59:ET59"/>
    <mergeCell ref="X60:CA60"/>
    <mergeCell ref="CD60:CS60"/>
    <mergeCell ref="CV60:ET60"/>
    <mergeCell ref="AL53:ET53"/>
    <mergeCell ref="AI54:ET54"/>
    <mergeCell ref="AB55:ET55"/>
    <mergeCell ref="Z56:ET56"/>
    <mergeCell ref="A57:N57"/>
    <mergeCell ref="Q57:AK57"/>
    <mergeCell ref="AP57:BV57"/>
    <mergeCell ref="A65:E65"/>
    <mergeCell ref="DN65:DW65"/>
    <mergeCell ref="EE65:ET65"/>
    <mergeCell ref="A67:ET67"/>
    <mergeCell ref="A69:AM69"/>
    <mergeCell ref="AO69:BR69"/>
    <mergeCell ref="BU69:CQ69"/>
    <mergeCell ref="CT69:EA69"/>
    <mergeCell ref="A61:P61"/>
    <mergeCell ref="Y62:CA62"/>
    <mergeCell ref="CV62:ES62"/>
    <mergeCell ref="Y63:CA63"/>
    <mergeCell ref="CD63:CS63"/>
    <mergeCell ref="CV63:ET63"/>
    <mergeCell ref="AO80:BL80"/>
    <mergeCell ref="BO80:CI80"/>
    <mergeCell ref="CL80:DQ80"/>
    <mergeCell ref="A86:AG86"/>
    <mergeCell ref="DC86:EG86"/>
    <mergeCell ref="BG44:BG46"/>
    <mergeCell ref="AN78:BS78"/>
    <mergeCell ref="BT78:CQ78"/>
    <mergeCell ref="CT78:EA78"/>
    <mergeCell ref="AO79:BL79"/>
    <mergeCell ref="BO79:CI79"/>
    <mergeCell ref="CL79:DQ79"/>
    <mergeCell ref="AO72:BL72"/>
    <mergeCell ref="BO72:CI72"/>
    <mergeCell ref="CL72:DQ72"/>
    <mergeCell ref="AO77:BR77"/>
    <mergeCell ref="BU77:CQ77"/>
    <mergeCell ref="CT77:EA77"/>
    <mergeCell ref="AN70:BS70"/>
    <mergeCell ref="BT70:CQ70"/>
    <mergeCell ref="CT70:EA70"/>
    <mergeCell ref="AO71:BL71"/>
    <mergeCell ref="BO71:CI71"/>
    <mergeCell ref="CL71:DQ71"/>
  </mergeCells>
  <pageMargins left="0.78740157480314965" right="0.39370078740157483" top="0.39370078740157483" bottom="0.39370078740157483" header="0" footer="0"/>
  <pageSetup paperSize="9" scale="99" orientation="landscape" r:id="rId1"/>
  <headerFooter alignWithMargins="0"/>
  <rowBreaks count="1" manualBreakCount="1">
    <brk id="43" max="247" man="1"/>
  </rowBreaks>
  <colBreaks count="1" manualBreakCount="1">
    <brk id="250" max="99" man="1"/>
  </colBreaks>
</worksheet>
</file>

<file path=xl/worksheets/sheet38.xml><?xml version="1.0" encoding="utf-8"?>
<worksheet xmlns="http://schemas.openxmlformats.org/spreadsheetml/2006/main" xmlns:r="http://schemas.openxmlformats.org/officeDocument/2006/relationships">
  <sheetPr codeName="Лист23"/>
  <dimension ref="A1:IO130"/>
  <sheetViews>
    <sheetView tabSelected="1" view="pageBreakPreview" topLeftCell="A34" zoomScaleNormal="100" zoomScaleSheetLayoutView="100" workbookViewId="0">
      <selection activeCell="A44" sqref="A44:AT48"/>
    </sheetView>
  </sheetViews>
  <sheetFormatPr defaultColWidth="0.85546875" defaultRowHeight="11.25" customHeight="1"/>
  <cols>
    <col min="1" max="27" width="0.85546875" style="481"/>
    <col min="28" max="28" width="0.85546875" style="481" customWidth="1"/>
    <col min="29" max="37" width="0.85546875" style="481"/>
    <col min="38" max="38" width="0.85546875" style="481" customWidth="1"/>
    <col min="39" max="43" width="0.85546875" style="481"/>
    <col min="44" max="44" width="1.28515625" style="481" customWidth="1"/>
    <col min="45" max="58" width="0.85546875" style="481"/>
    <col min="59" max="60" width="0.85546875" style="481" customWidth="1"/>
    <col min="61" max="76" width="0.85546875" style="481"/>
    <col min="77" max="77" width="0.85546875" style="481" customWidth="1"/>
    <col min="78" max="94" width="0.85546875" style="481"/>
    <col min="95" max="95" width="5.140625" style="481" customWidth="1"/>
    <col min="96" max="112" width="0.85546875" style="481"/>
    <col min="113" max="113" width="0.85546875" style="481" customWidth="1"/>
    <col min="114" max="120" width="0.85546875" style="481"/>
    <col min="121" max="121" width="1.85546875" style="481" bestFit="1" customWidth="1"/>
    <col min="122" max="130" width="0.85546875" style="481"/>
    <col min="131" max="131" width="0.85546875" style="481" customWidth="1"/>
    <col min="132" max="148" width="0.85546875" style="481"/>
    <col min="149" max="149" width="0.85546875" style="481" customWidth="1"/>
    <col min="150" max="150" width="16.140625" style="481" customWidth="1"/>
    <col min="151" max="151" width="10.140625" style="481" customWidth="1"/>
    <col min="152" max="152" width="8.5703125" style="481" customWidth="1"/>
    <col min="153" max="153" width="12.28515625" style="481" customWidth="1"/>
    <col min="154" max="154" width="11.140625" style="481" customWidth="1"/>
    <col min="155" max="174" width="0.85546875" style="481"/>
    <col min="175" max="175" width="0.85546875" style="481" customWidth="1"/>
    <col min="176" max="176" width="0.85546875" style="481" hidden="1" customWidth="1"/>
    <col min="177" max="210" width="0.85546875" style="481"/>
    <col min="211" max="211" width="0.42578125" style="481" customWidth="1"/>
    <col min="212" max="222" width="0.85546875" style="481"/>
    <col min="223" max="223" width="0.140625" style="481" customWidth="1"/>
    <col min="224" max="246" width="0.85546875" style="481"/>
    <col min="247" max="247" width="1.5703125" style="481" customWidth="1"/>
    <col min="248" max="249" width="0.85546875" style="481" customWidth="1"/>
    <col min="250" max="16384" width="0.85546875" style="481"/>
  </cols>
  <sheetData>
    <row r="1" spans="1:248" ht="11.25" customHeight="1">
      <c r="A1" s="479"/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0"/>
      <c r="AC1" s="480"/>
      <c r="AD1" s="480"/>
      <c r="AE1" s="480"/>
      <c r="AF1" s="480"/>
      <c r="AG1" s="480"/>
      <c r="AH1" s="480"/>
      <c r="AI1" s="480"/>
      <c r="AJ1" s="480"/>
      <c r="AK1" s="480"/>
      <c r="AL1" s="480"/>
      <c r="AM1" s="480"/>
      <c r="AN1" s="480"/>
      <c r="AO1" s="480"/>
      <c r="AP1" s="480"/>
      <c r="AQ1" s="480"/>
      <c r="AR1" s="480"/>
      <c r="AS1" s="480"/>
      <c r="AT1" s="480"/>
      <c r="AU1" s="480"/>
      <c r="AV1" s="480"/>
      <c r="AW1" s="480"/>
      <c r="AX1" s="480"/>
      <c r="AY1" s="480"/>
      <c r="AZ1" s="480"/>
      <c r="BA1" s="480"/>
      <c r="BB1" s="480"/>
      <c r="BC1" s="480"/>
      <c r="BD1" s="480"/>
      <c r="BE1" s="480"/>
      <c r="BF1" s="480"/>
      <c r="BG1" s="480"/>
      <c r="BH1" s="480"/>
      <c r="BI1" s="480"/>
      <c r="BJ1" s="480"/>
      <c r="BK1" s="480"/>
      <c r="BL1" s="480"/>
      <c r="BM1" s="480"/>
      <c r="BN1" s="480"/>
      <c r="BO1" s="480"/>
      <c r="BP1" s="480"/>
      <c r="BQ1" s="480"/>
      <c r="BR1" s="480"/>
      <c r="BS1" s="480"/>
      <c r="BT1" s="480"/>
      <c r="BU1" s="480"/>
      <c r="BV1" s="480"/>
      <c r="BW1" s="480"/>
      <c r="BX1" s="480"/>
      <c r="BY1" s="480"/>
      <c r="BZ1" s="480"/>
      <c r="CA1" s="480"/>
      <c r="CB1" s="480"/>
      <c r="CC1" s="480"/>
      <c r="CD1" s="480"/>
      <c r="CE1" s="480"/>
      <c r="CF1" s="480"/>
      <c r="CG1" s="480"/>
      <c r="CH1" s="480"/>
      <c r="CI1" s="480"/>
      <c r="CJ1" s="480"/>
      <c r="CK1" s="480"/>
      <c r="CL1" s="480"/>
      <c r="CM1" s="480"/>
      <c r="CN1" s="480"/>
      <c r="CO1" s="480"/>
      <c r="CP1" s="480"/>
      <c r="CQ1" s="480"/>
      <c r="CR1" s="480"/>
      <c r="CS1" s="480"/>
      <c r="CT1" s="480"/>
      <c r="CU1" s="480"/>
      <c r="CV1" s="480"/>
      <c r="CW1" s="480"/>
      <c r="CX1" s="480"/>
      <c r="CY1" s="480"/>
      <c r="CZ1" s="480"/>
      <c r="DA1" s="480"/>
      <c r="DB1" s="480"/>
      <c r="DC1" s="480"/>
      <c r="DD1" s="480"/>
      <c r="DE1" s="480"/>
      <c r="DF1" s="480"/>
      <c r="DG1" s="480"/>
      <c r="DH1" s="480"/>
      <c r="DI1" s="480"/>
      <c r="DJ1" s="480"/>
      <c r="DK1" s="480"/>
      <c r="DL1" s="480"/>
      <c r="DM1" s="480"/>
      <c r="DN1" s="480"/>
      <c r="DO1" s="480"/>
      <c r="DP1" s="480"/>
      <c r="DQ1" s="480"/>
      <c r="DR1" s="480"/>
      <c r="DS1" s="480"/>
      <c r="DT1" s="480"/>
      <c r="DU1" s="480"/>
      <c r="DV1" s="480"/>
      <c r="DW1" s="480"/>
      <c r="DX1" s="480"/>
      <c r="DY1" s="480"/>
      <c r="DZ1" s="480"/>
      <c r="EA1" s="480"/>
      <c r="EB1" s="480"/>
      <c r="EC1" s="480"/>
      <c r="ED1" s="480"/>
      <c r="EE1" s="1823" t="s">
        <v>376</v>
      </c>
      <c r="EF1" s="1824"/>
      <c r="EG1" s="1824"/>
      <c r="EH1" s="1824"/>
      <c r="EI1" s="1824"/>
      <c r="EJ1" s="1824"/>
      <c r="EK1" s="1824"/>
      <c r="EL1" s="1824"/>
      <c r="EM1" s="1824"/>
      <c r="EN1" s="1824"/>
      <c r="EO1" s="1824"/>
      <c r="EP1" s="1824"/>
      <c r="EQ1" s="1824"/>
      <c r="ER1" s="1824"/>
      <c r="ES1" s="1824"/>
      <c r="ET1" s="529"/>
      <c r="EU1" s="529"/>
      <c r="EV1" s="529"/>
      <c r="EW1" s="529"/>
      <c r="EX1" s="529"/>
      <c r="EY1" s="529"/>
      <c r="EZ1" s="529"/>
      <c r="FA1" s="529"/>
      <c r="FB1" s="529"/>
      <c r="FC1" s="529"/>
      <c r="FD1" s="529"/>
      <c r="FE1" s="529"/>
      <c r="FF1" s="529"/>
      <c r="FG1" s="529"/>
      <c r="FH1" s="529"/>
      <c r="FI1" s="529"/>
      <c r="FJ1" s="529"/>
      <c r="FK1" s="529"/>
      <c r="FL1" s="529"/>
      <c r="FM1" s="529"/>
      <c r="FN1" s="529"/>
      <c r="FO1" s="529"/>
      <c r="FP1" s="529"/>
      <c r="FQ1" s="529"/>
      <c r="FR1" s="529"/>
      <c r="FS1" s="529"/>
      <c r="FT1" s="529"/>
      <c r="FU1" s="529"/>
      <c r="FV1" s="529"/>
      <c r="FW1" s="529"/>
      <c r="FX1" s="529"/>
      <c r="FY1" s="529"/>
      <c r="FZ1" s="529"/>
      <c r="GA1" s="529"/>
      <c r="GB1" s="529"/>
      <c r="GC1" s="529"/>
      <c r="GD1" s="529"/>
      <c r="GE1" s="529"/>
      <c r="GF1" s="529"/>
      <c r="GG1" s="529"/>
      <c r="GH1" s="529"/>
      <c r="GI1" s="529"/>
      <c r="GJ1" s="529"/>
      <c r="GK1" s="529"/>
      <c r="GL1" s="529"/>
      <c r="GM1" s="529"/>
      <c r="GN1" s="529"/>
      <c r="GO1" s="529"/>
      <c r="GP1" s="529"/>
      <c r="GQ1" s="529"/>
      <c r="GR1" s="529"/>
      <c r="GS1" s="529"/>
      <c r="GT1" s="529"/>
      <c r="GU1" s="529"/>
      <c r="GV1" s="529"/>
      <c r="GW1" s="529"/>
      <c r="GX1" s="529"/>
      <c r="GY1" s="529"/>
      <c r="GZ1" s="529"/>
      <c r="HA1" s="529"/>
      <c r="HB1" s="529"/>
      <c r="HC1" s="529"/>
      <c r="HD1" s="529"/>
      <c r="HE1" s="529"/>
      <c r="HF1" s="529"/>
      <c r="HG1" s="529"/>
      <c r="HH1" s="529"/>
      <c r="HI1" s="529"/>
      <c r="HJ1" s="529"/>
      <c r="HK1" s="529"/>
      <c r="HL1" s="529"/>
      <c r="HM1" s="529"/>
      <c r="HN1" s="529"/>
      <c r="HO1" s="529"/>
      <c r="HP1" s="529"/>
      <c r="HQ1" s="529"/>
      <c r="HR1" s="529"/>
      <c r="HS1" s="529"/>
      <c r="HT1" s="529"/>
      <c r="HU1" s="529"/>
      <c r="HV1" s="529"/>
      <c r="HW1" s="529"/>
      <c r="HX1" s="529"/>
      <c r="HY1" s="529"/>
      <c r="HZ1" s="529"/>
      <c r="IA1" s="529"/>
      <c r="IB1" s="529"/>
      <c r="IC1" s="529"/>
      <c r="ID1" s="529"/>
      <c r="IE1" s="529"/>
      <c r="IF1" s="529"/>
      <c r="IG1" s="529"/>
      <c r="IH1" s="529"/>
      <c r="II1" s="529"/>
      <c r="IJ1" s="529"/>
      <c r="IK1" s="529"/>
      <c r="IL1" s="529"/>
      <c r="IM1" s="529"/>
      <c r="IN1" s="529"/>
    </row>
    <row r="2" spans="1:248" ht="23.25" customHeight="1">
      <c r="A2" s="480"/>
      <c r="B2" s="480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0"/>
      <c r="AD2" s="480"/>
      <c r="AE2" s="480"/>
      <c r="AF2" s="480"/>
      <c r="AG2" s="480"/>
      <c r="AH2" s="480"/>
      <c r="AI2" s="480"/>
      <c r="AJ2" s="480"/>
      <c r="AK2" s="480"/>
      <c r="AL2" s="480"/>
      <c r="AM2" s="480"/>
      <c r="AN2" s="480"/>
      <c r="AO2" s="480"/>
      <c r="AP2" s="480"/>
      <c r="AQ2" s="480"/>
      <c r="AR2" s="480"/>
      <c r="AS2" s="480"/>
      <c r="AT2" s="480"/>
      <c r="AU2" s="480"/>
      <c r="AV2" s="480"/>
      <c r="AW2" s="480"/>
      <c r="AX2" s="480"/>
      <c r="AY2" s="480"/>
      <c r="AZ2" s="480"/>
      <c r="BA2" s="480"/>
      <c r="BB2" s="480"/>
      <c r="BC2" s="480"/>
      <c r="BD2" s="480"/>
      <c r="BE2" s="480"/>
      <c r="BF2" s="480"/>
      <c r="BG2" s="480"/>
      <c r="BH2" s="480"/>
      <c r="BI2" s="480"/>
      <c r="BJ2" s="480"/>
      <c r="BK2" s="480"/>
      <c r="BL2" s="480"/>
      <c r="BM2" s="480"/>
      <c r="BN2" s="480"/>
      <c r="BO2" s="480"/>
      <c r="BP2" s="480"/>
      <c r="BQ2" s="480"/>
      <c r="BR2" s="480"/>
      <c r="BS2" s="480"/>
      <c r="BT2" s="480"/>
      <c r="BU2" s="480"/>
      <c r="BV2" s="480"/>
      <c r="BW2" s="480"/>
      <c r="BX2" s="480"/>
      <c r="BY2" s="480"/>
      <c r="BZ2" s="480"/>
      <c r="CA2" s="480"/>
      <c r="CB2" s="480"/>
      <c r="CC2" s="480"/>
      <c r="CD2" s="480"/>
      <c r="CE2" s="480"/>
      <c r="CF2" s="480"/>
      <c r="CG2" s="480"/>
      <c r="CH2" s="480"/>
      <c r="CI2" s="480"/>
      <c r="CJ2" s="480"/>
      <c r="CK2" s="480"/>
      <c r="CL2" s="480"/>
      <c r="CM2" s="480"/>
      <c r="CN2" s="480"/>
      <c r="CO2" s="480"/>
      <c r="CP2" s="480"/>
      <c r="CQ2" s="480"/>
      <c r="CR2" s="480"/>
      <c r="CS2" s="480"/>
      <c r="CT2" s="480"/>
      <c r="CU2" s="480"/>
      <c r="CV2" s="480"/>
      <c r="CW2" s="480"/>
      <c r="CX2" s="480"/>
      <c r="CY2" s="480"/>
      <c r="CZ2" s="480"/>
      <c r="DA2" s="480"/>
      <c r="DB2" s="480"/>
      <c r="DC2" s="480"/>
      <c r="DD2" s="480"/>
      <c r="DE2" s="480"/>
      <c r="DF2" s="480"/>
      <c r="DG2" s="480"/>
      <c r="DH2" s="480"/>
      <c r="DI2" s="480"/>
      <c r="DJ2" s="480"/>
      <c r="DK2" s="480"/>
      <c r="DL2" s="480"/>
      <c r="DM2" s="480"/>
      <c r="DN2" s="480"/>
      <c r="DO2" s="480"/>
      <c r="DP2" s="480"/>
      <c r="DQ2" s="480"/>
      <c r="DR2" s="480"/>
      <c r="DS2" s="480"/>
      <c r="DT2" s="480"/>
      <c r="DU2" s="480"/>
      <c r="DV2" s="1823" t="s">
        <v>377</v>
      </c>
      <c r="DW2" s="1824"/>
      <c r="DX2" s="1824"/>
      <c r="DY2" s="1824"/>
      <c r="DZ2" s="1824"/>
      <c r="EA2" s="1824"/>
      <c r="EB2" s="1824"/>
      <c r="EC2" s="1824"/>
      <c r="ED2" s="1824"/>
      <c r="EE2" s="1824"/>
      <c r="EF2" s="1824"/>
      <c r="EG2" s="1824"/>
      <c r="EH2" s="1824"/>
      <c r="EI2" s="1824"/>
      <c r="EJ2" s="1824"/>
      <c r="EK2" s="1824"/>
      <c r="EL2" s="1824"/>
      <c r="EM2" s="1824"/>
      <c r="EN2" s="1824"/>
      <c r="EO2" s="1824"/>
      <c r="EP2" s="1824"/>
      <c r="EQ2" s="1824"/>
      <c r="ER2" s="1824"/>
      <c r="ES2" s="1824"/>
      <c r="ET2" s="529"/>
      <c r="EU2" s="529"/>
      <c r="EV2" s="529"/>
      <c r="EW2" s="529"/>
      <c r="EX2" s="529"/>
      <c r="EY2" s="529"/>
      <c r="EZ2" s="529"/>
      <c r="FA2" s="529"/>
      <c r="FB2" s="529"/>
      <c r="FC2" s="529"/>
      <c r="FD2" s="529"/>
      <c r="FE2" s="529"/>
      <c r="FF2" s="529"/>
      <c r="FG2" s="529"/>
      <c r="FH2" s="529"/>
      <c r="FI2" s="529"/>
      <c r="FJ2" s="529"/>
      <c r="FK2" s="529"/>
      <c r="FL2" s="529"/>
      <c r="FM2" s="529"/>
      <c r="FN2" s="529"/>
      <c r="FO2" s="529"/>
      <c r="FP2" s="529"/>
      <c r="FQ2" s="529"/>
      <c r="FR2" s="529"/>
      <c r="FS2" s="529"/>
      <c r="FT2" s="529"/>
      <c r="FU2" s="529"/>
      <c r="FV2" s="529"/>
      <c r="FW2" s="529"/>
      <c r="FX2" s="529"/>
      <c r="FY2" s="529"/>
      <c r="FZ2" s="529"/>
      <c r="GA2" s="529"/>
      <c r="GB2" s="529"/>
      <c r="GC2" s="529"/>
      <c r="GD2" s="529"/>
      <c r="GE2" s="529"/>
      <c r="GF2" s="529"/>
      <c r="GG2" s="529"/>
      <c r="GH2" s="529"/>
      <c r="GI2" s="529"/>
      <c r="GJ2" s="529"/>
      <c r="GK2" s="529"/>
      <c r="GL2" s="529"/>
      <c r="GM2" s="529"/>
      <c r="GN2" s="529"/>
      <c r="GO2" s="529"/>
      <c r="GP2" s="529"/>
      <c r="GQ2" s="529"/>
      <c r="GR2" s="529"/>
      <c r="GS2" s="529"/>
      <c r="GT2" s="529"/>
      <c r="GU2" s="529"/>
      <c r="GV2" s="529"/>
      <c r="GW2" s="529"/>
      <c r="GX2" s="529"/>
      <c r="GY2" s="529"/>
      <c r="GZ2" s="529"/>
      <c r="HA2" s="529"/>
      <c r="HB2" s="529"/>
      <c r="HC2" s="529"/>
      <c r="HD2" s="529"/>
      <c r="HE2" s="529"/>
      <c r="HF2" s="529"/>
      <c r="HG2" s="529"/>
      <c r="HH2" s="529"/>
      <c r="HI2" s="529"/>
      <c r="HJ2" s="529"/>
      <c r="HK2" s="529"/>
      <c r="HL2" s="529"/>
      <c r="HM2" s="529"/>
      <c r="HN2" s="529"/>
      <c r="HO2" s="529"/>
      <c r="HP2" s="529"/>
      <c r="HQ2" s="529"/>
      <c r="HR2" s="529"/>
      <c r="HS2" s="529"/>
      <c r="HT2" s="529"/>
      <c r="HU2" s="529"/>
      <c r="HV2" s="529"/>
      <c r="HW2" s="529"/>
      <c r="HX2" s="529"/>
      <c r="HY2" s="529"/>
      <c r="HZ2" s="529"/>
      <c r="IA2" s="529"/>
      <c r="IB2" s="529"/>
      <c r="IC2" s="529"/>
      <c r="ID2" s="529"/>
      <c r="IE2" s="529"/>
      <c r="IF2" s="529"/>
      <c r="IG2" s="529"/>
      <c r="IH2" s="529"/>
      <c r="II2" s="529"/>
      <c r="IJ2" s="529"/>
      <c r="IK2" s="529"/>
      <c r="IL2" s="529"/>
      <c r="IM2" s="529"/>
      <c r="IN2" s="529"/>
    </row>
    <row r="3" spans="1:248" ht="11.25" customHeight="1">
      <c r="A3" s="480"/>
      <c r="B3" s="480"/>
      <c r="C3" s="480"/>
      <c r="D3" s="480"/>
      <c r="E3" s="480"/>
      <c r="F3" s="480"/>
      <c r="G3" s="480"/>
      <c r="H3" s="480"/>
      <c r="I3" s="480"/>
      <c r="J3" s="480"/>
      <c r="K3" s="480"/>
      <c r="L3" s="480"/>
      <c r="M3" s="480"/>
      <c r="N3" s="480"/>
      <c r="O3" s="480"/>
      <c r="P3" s="480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0"/>
      <c r="AC3" s="480"/>
      <c r="AD3" s="480"/>
      <c r="AE3" s="480"/>
      <c r="AF3" s="480"/>
      <c r="AG3" s="480"/>
      <c r="AH3" s="480"/>
      <c r="AI3" s="480"/>
      <c r="AJ3" s="480"/>
      <c r="AK3" s="480"/>
      <c r="AL3" s="480"/>
      <c r="AM3" s="480"/>
      <c r="AN3" s="480"/>
      <c r="AO3" s="480"/>
      <c r="AP3" s="480"/>
      <c r="AQ3" s="480"/>
      <c r="AR3" s="480"/>
      <c r="AS3" s="480"/>
      <c r="AT3" s="480"/>
      <c r="AU3" s="480"/>
      <c r="AV3" s="480"/>
      <c r="AW3" s="480"/>
      <c r="AX3" s="480"/>
      <c r="AY3" s="480"/>
      <c r="AZ3" s="480"/>
      <c r="BA3" s="480"/>
      <c r="BB3" s="480"/>
      <c r="BC3" s="480"/>
      <c r="BD3" s="480"/>
      <c r="BE3" s="480"/>
      <c r="BF3" s="480"/>
      <c r="BG3" s="480"/>
      <c r="BH3" s="480"/>
      <c r="BI3" s="480"/>
      <c r="BJ3" s="480"/>
      <c r="BK3" s="480"/>
      <c r="BL3" s="480"/>
      <c r="BM3" s="480"/>
      <c r="BN3" s="480"/>
      <c r="BO3" s="480"/>
      <c r="BP3" s="480"/>
      <c r="BQ3" s="480"/>
      <c r="BR3" s="480"/>
      <c r="BS3" s="480"/>
      <c r="BT3" s="480"/>
      <c r="BU3" s="480"/>
      <c r="BV3" s="480"/>
      <c r="BW3" s="480"/>
      <c r="BX3" s="480"/>
      <c r="BY3" s="480"/>
      <c r="BZ3" s="480"/>
      <c r="CA3" s="480"/>
      <c r="CB3" s="480"/>
      <c r="CC3" s="480"/>
      <c r="CD3" s="480"/>
      <c r="CE3" s="480"/>
      <c r="CF3" s="480"/>
      <c r="CG3" s="480"/>
      <c r="CH3" s="480"/>
      <c r="CI3" s="480"/>
      <c r="CJ3" s="480"/>
      <c r="CK3" s="480"/>
      <c r="CL3" s="480"/>
      <c r="CM3" s="480"/>
      <c r="CN3" s="480"/>
      <c r="CO3" s="480"/>
      <c r="CP3" s="480"/>
      <c r="CQ3" s="480"/>
      <c r="CR3" s="480"/>
      <c r="CS3" s="480"/>
      <c r="CT3" s="480"/>
      <c r="CU3" s="480"/>
      <c r="CV3" s="480"/>
      <c r="CW3" s="480"/>
      <c r="CX3" s="480"/>
      <c r="CY3" s="480"/>
      <c r="CZ3" s="480"/>
      <c r="DA3" s="480"/>
      <c r="DB3" s="480"/>
      <c r="DC3" s="480"/>
      <c r="DD3" s="480"/>
      <c r="DE3" s="480"/>
      <c r="DF3" s="480"/>
      <c r="DG3" s="480"/>
      <c r="DH3" s="480"/>
      <c r="DI3" s="480"/>
      <c r="DJ3" s="480"/>
      <c r="DK3" s="480"/>
      <c r="DL3" s="480"/>
      <c r="DM3" s="480"/>
      <c r="DN3" s="480"/>
      <c r="DO3" s="480"/>
      <c r="DP3" s="480"/>
      <c r="DQ3" s="480"/>
      <c r="DR3" s="480"/>
      <c r="DS3" s="480"/>
      <c r="DT3" s="480"/>
      <c r="DU3" s="480"/>
      <c r="DV3" s="480"/>
      <c r="DW3" s="480"/>
      <c r="DX3" s="480"/>
      <c r="DY3" s="480"/>
      <c r="DZ3" s="480"/>
      <c r="EA3" s="480"/>
      <c r="EB3" s="480"/>
      <c r="EC3" s="480"/>
      <c r="ED3" s="480"/>
      <c r="EE3" s="480"/>
      <c r="EF3" s="480"/>
      <c r="EG3" s="480"/>
      <c r="EH3" s="480"/>
      <c r="EI3" s="480"/>
      <c r="EJ3" s="480"/>
      <c r="EK3" s="480"/>
      <c r="EL3" s="480"/>
      <c r="EM3" s="480"/>
      <c r="EN3" s="480"/>
      <c r="EO3" s="480"/>
      <c r="EP3" s="480"/>
      <c r="EQ3" s="480"/>
      <c r="ER3" s="480"/>
      <c r="ES3" s="480"/>
      <c r="ET3" s="529"/>
      <c r="EU3" s="529"/>
      <c r="EV3" s="529"/>
      <c r="EW3" s="529"/>
      <c r="EX3" s="529"/>
      <c r="EY3" s="529"/>
      <c r="EZ3" s="529"/>
      <c r="FA3" s="529"/>
      <c r="FB3" s="529"/>
      <c r="FC3" s="529"/>
      <c r="FD3" s="529"/>
      <c r="FE3" s="529"/>
      <c r="FF3" s="529"/>
      <c r="FG3" s="529"/>
      <c r="FH3" s="529"/>
      <c r="FI3" s="529"/>
      <c r="FJ3" s="529"/>
      <c r="FK3" s="529"/>
      <c r="FL3" s="529"/>
      <c r="FM3" s="529"/>
      <c r="FN3" s="529"/>
      <c r="FO3" s="529"/>
      <c r="FP3" s="529"/>
      <c r="FQ3" s="529"/>
      <c r="FR3" s="529"/>
      <c r="FS3" s="529"/>
      <c r="FT3" s="529"/>
      <c r="FU3" s="529"/>
      <c r="FV3" s="529"/>
      <c r="FW3" s="529"/>
      <c r="FX3" s="529"/>
      <c r="FY3" s="529"/>
      <c r="FZ3" s="529"/>
      <c r="GA3" s="529"/>
      <c r="GB3" s="529"/>
      <c r="GC3" s="529"/>
      <c r="GD3" s="529"/>
      <c r="GE3" s="529"/>
      <c r="GF3" s="529"/>
      <c r="GG3" s="529"/>
      <c r="GH3" s="529"/>
      <c r="GI3" s="529"/>
      <c r="GJ3" s="529"/>
      <c r="GK3" s="529"/>
      <c r="GL3" s="529"/>
      <c r="GM3" s="529"/>
      <c r="GN3" s="529"/>
      <c r="GO3" s="529"/>
      <c r="GP3" s="529"/>
      <c r="GQ3" s="529"/>
      <c r="GR3" s="529"/>
      <c r="GS3" s="529"/>
      <c r="GT3" s="529"/>
      <c r="GU3" s="529"/>
      <c r="GV3" s="529"/>
      <c r="GW3" s="529"/>
      <c r="GX3" s="529"/>
      <c r="GY3" s="529"/>
      <c r="GZ3" s="529"/>
      <c r="HA3" s="529"/>
      <c r="HB3" s="529"/>
      <c r="HC3" s="529"/>
      <c r="HD3" s="529"/>
      <c r="HE3" s="529"/>
      <c r="HF3" s="529"/>
      <c r="HG3" s="529"/>
      <c r="HH3" s="529"/>
      <c r="HI3" s="529"/>
      <c r="HJ3" s="529"/>
      <c r="HK3" s="529"/>
      <c r="HL3" s="529"/>
      <c r="HM3" s="529"/>
      <c r="HN3" s="529"/>
      <c r="HO3" s="529"/>
      <c r="HP3" s="529"/>
      <c r="HQ3" s="529"/>
      <c r="HR3" s="529"/>
      <c r="HS3" s="529"/>
      <c r="HT3" s="529"/>
      <c r="HU3" s="529"/>
      <c r="HV3" s="529"/>
      <c r="HW3" s="529"/>
      <c r="HX3" s="529"/>
      <c r="HY3" s="529"/>
      <c r="HZ3" s="529"/>
      <c r="IA3" s="529"/>
      <c r="IB3" s="529"/>
      <c r="IC3" s="529"/>
      <c r="ID3" s="529"/>
      <c r="IE3" s="529"/>
      <c r="IF3" s="529"/>
      <c r="IG3" s="529"/>
      <c r="IH3" s="529"/>
      <c r="II3" s="529"/>
      <c r="IJ3" s="529"/>
      <c r="IK3" s="529"/>
      <c r="IL3" s="529"/>
      <c r="IM3" s="529"/>
      <c r="IN3" s="529"/>
    </row>
    <row r="4" spans="1:248" ht="15" customHeight="1">
      <c r="A4" s="1809" t="s">
        <v>342</v>
      </c>
      <c r="B4" s="1809"/>
      <c r="C4" s="1809"/>
      <c r="D4" s="1809"/>
      <c r="E4" s="1809"/>
      <c r="F4" s="1809"/>
      <c r="G4" s="1809"/>
      <c r="H4" s="1809"/>
      <c r="I4" s="1809"/>
      <c r="J4" s="1809"/>
      <c r="K4" s="1809"/>
      <c r="L4" s="1809"/>
      <c r="M4" s="1809"/>
      <c r="N4" s="1809"/>
      <c r="O4" s="1809"/>
      <c r="P4" s="1809"/>
      <c r="Q4" s="1809"/>
      <c r="R4" s="1809"/>
      <c r="S4" s="1809"/>
      <c r="T4" s="1809"/>
      <c r="U4" s="1809"/>
      <c r="V4" s="1809"/>
      <c r="W4" s="1809"/>
      <c r="X4" s="1809"/>
      <c r="Y4" s="1809"/>
      <c r="Z4" s="1809"/>
      <c r="AA4" s="1809"/>
      <c r="AB4" s="1809"/>
      <c r="AC4" s="1809"/>
      <c r="AD4" s="1809"/>
      <c r="AE4" s="1809"/>
      <c r="AF4" s="1809"/>
      <c r="AG4" s="1809"/>
      <c r="AH4" s="1809"/>
      <c r="AI4" s="1809"/>
      <c r="AJ4" s="1809"/>
      <c r="AK4" s="1809"/>
      <c r="AL4" s="1809"/>
      <c r="AM4" s="1809"/>
      <c r="AN4" s="1809"/>
      <c r="AO4" s="1809"/>
      <c r="AP4" s="1809"/>
      <c r="AQ4" s="1809"/>
      <c r="AR4" s="1809"/>
      <c r="AS4" s="1809"/>
      <c r="AT4" s="1809"/>
      <c r="AU4" s="1809"/>
      <c r="AV4" s="1809"/>
      <c r="AW4" s="1809"/>
      <c r="AX4" s="1809"/>
      <c r="AY4" s="1809"/>
      <c r="AZ4" s="1809"/>
      <c r="BA4" s="1809"/>
      <c r="BB4" s="1809"/>
      <c r="BC4" s="1809"/>
      <c r="BD4" s="1809"/>
      <c r="BE4" s="1809"/>
      <c r="BF4" s="1809"/>
      <c r="BG4" s="1809"/>
      <c r="BH4" s="1809"/>
      <c r="BI4" s="1809"/>
      <c r="BJ4" s="1809"/>
      <c r="BK4" s="1809"/>
      <c r="BL4" s="1809"/>
      <c r="BM4" s="1809"/>
      <c r="BN4" s="1809"/>
      <c r="BO4" s="1809"/>
      <c r="BP4" s="1809"/>
      <c r="BQ4" s="1809"/>
      <c r="BR4" s="1809"/>
      <c r="BS4" s="1809"/>
      <c r="BT4" s="1809"/>
      <c r="BU4" s="1809"/>
      <c r="BV4" s="1809"/>
      <c r="BW4" s="1809"/>
      <c r="BX4" s="1809"/>
      <c r="BY4" s="1809"/>
      <c r="BZ4" s="1809"/>
      <c r="CA4" s="1809"/>
      <c r="CB4" s="1809"/>
      <c r="CC4" s="1809"/>
      <c r="CD4" s="1809"/>
      <c r="CE4" s="1809"/>
      <c r="CF4" s="1809"/>
      <c r="CG4" s="1809"/>
      <c r="CH4" s="1809"/>
      <c r="CI4" s="1809"/>
      <c r="CJ4" s="1809"/>
      <c r="CK4" s="1809"/>
      <c r="CL4" s="1809"/>
      <c r="CM4" s="1809"/>
      <c r="CN4" s="1809"/>
      <c r="CO4" s="1809"/>
      <c r="CP4" s="1809"/>
      <c r="CQ4" s="1809"/>
      <c r="CR4" s="1809"/>
      <c r="CS4" s="1809"/>
      <c r="CT4" s="1809"/>
      <c r="CU4" s="1809"/>
      <c r="CV4" s="1809"/>
      <c r="CW4" s="1809"/>
      <c r="CX4" s="1809"/>
      <c r="CY4" s="1809"/>
      <c r="CZ4" s="1809"/>
      <c r="DA4" s="1809"/>
      <c r="DB4" s="1809"/>
      <c r="DC4" s="1809"/>
      <c r="DD4" s="1809"/>
      <c r="DE4" s="1809"/>
      <c r="DF4" s="1809"/>
      <c r="DG4" s="1809"/>
      <c r="DH4" s="1809"/>
      <c r="DI4" s="1809"/>
      <c r="DJ4" s="1809"/>
      <c r="DK4" s="1809"/>
      <c r="DL4" s="1809"/>
      <c r="DM4" s="1809"/>
      <c r="DN4" s="1809"/>
      <c r="DO4" s="1809"/>
      <c r="DP4" s="1809"/>
      <c r="DQ4" s="1809"/>
      <c r="DR4" s="1809"/>
      <c r="DS4" s="1809"/>
      <c r="DT4" s="1809"/>
      <c r="DU4" s="1809"/>
      <c r="DV4" s="1809"/>
      <c r="DW4" s="1809"/>
      <c r="DX4" s="1809"/>
      <c r="DY4" s="1809"/>
      <c r="DZ4" s="1809"/>
      <c r="EA4" s="1809"/>
      <c r="EB4" s="1809"/>
      <c r="EC4" s="1809"/>
      <c r="ED4" s="1809"/>
      <c r="EE4" s="1809"/>
      <c r="EF4" s="1809"/>
      <c r="EG4" s="1809"/>
      <c r="EH4" s="1809"/>
      <c r="EI4" s="1809"/>
      <c r="EJ4" s="1809"/>
      <c r="EK4" s="1809"/>
      <c r="EL4" s="1809"/>
      <c r="EM4" s="1809"/>
      <c r="EN4" s="1809"/>
      <c r="EO4" s="1809"/>
      <c r="EP4" s="1809"/>
      <c r="EQ4" s="1809"/>
      <c r="ER4" s="1809"/>
      <c r="ES4" s="1809"/>
      <c r="ET4" s="529"/>
      <c r="EU4" s="529"/>
      <c r="EV4" s="529"/>
      <c r="EW4" s="529"/>
      <c r="EX4" s="529"/>
      <c r="EY4" s="529"/>
      <c r="EZ4" s="529"/>
      <c r="FA4" s="529"/>
      <c r="FB4" s="529"/>
      <c r="FC4" s="529"/>
      <c r="FD4" s="529"/>
      <c r="FE4" s="529"/>
      <c r="FF4" s="529"/>
      <c r="FG4" s="529"/>
      <c r="FH4" s="529"/>
      <c r="FI4" s="529"/>
      <c r="FJ4" s="529"/>
      <c r="FK4" s="529"/>
      <c r="FL4" s="529"/>
      <c r="FM4" s="529"/>
      <c r="FN4" s="529"/>
      <c r="FO4" s="529"/>
      <c r="FP4" s="529"/>
      <c r="FQ4" s="529"/>
      <c r="FR4" s="529"/>
      <c r="FS4" s="529"/>
      <c r="FT4" s="529"/>
      <c r="FU4" s="529"/>
      <c r="FV4" s="529"/>
      <c r="FW4" s="529"/>
      <c r="FX4" s="529"/>
      <c r="FY4" s="529"/>
      <c r="FZ4" s="529"/>
      <c r="GA4" s="529"/>
      <c r="GB4" s="529"/>
      <c r="GC4" s="529"/>
      <c r="GD4" s="529"/>
      <c r="GE4" s="529"/>
      <c r="GF4" s="529"/>
      <c r="GG4" s="529"/>
      <c r="GH4" s="529"/>
      <c r="GI4" s="529"/>
      <c r="GJ4" s="529"/>
      <c r="GK4" s="529"/>
      <c r="GL4" s="529"/>
      <c r="GM4" s="529"/>
      <c r="GN4" s="529"/>
      <c r="GO4" s="529"/>
      <c r="GP4" s="529"/>
      <c r="GQ4" s="529"/>
      <c r="GR4" s="529"/>
      <c r="GS4" s="529"/>
      <c r="GT4" s="529"/>
      <c r="GU4" s="529"/>
      <c r="GV4" s="529"/>
      <c r="GW4" s="529"/>
      <c r="GX4" s="529"/>
      <c r="GY4" s="529"/>
      <c r="GZ4" s="529"/>
      <c r="HA4" s="529"/>
      <c r="HB4" s="529"/>
      <c r="HC4" s="529"/>
      <c r="HD4" s="529"/>
      <c r="HE4" s="529"/>
      <c r="HF4" s="529"/>
      <c r="HG4" s="529"/>
      <c r="HH4" s="529"/>
      <c r="HI4" s="529"/>
      <c r="HJ4" s="529"/>
      <c r="HK4" s="529"/>
      <c r="HL4" s="529"/>
      <c r="HM4" s="529"/>
      <c r="HN4" s="529"/>
      <c r="HO4" s="529"/>
      <c r="HP4" s="529"/>
      <c r="HQ4" s="529"/>
      <c r="HR4" s="529"/>
      <c r="HS4" s="529"/>
      <c r="HT4" s="529"/>
      <c r="HU4" s="529"/>
      <c r="HV4" s="529"/>
      <c r="HW4" s="529"/>
      <c r="HX4" s="529"/>
      <c r="HY4" s="529"/>
      <c r="HZ4" s="529"/>
      <c r="IA4" s="529"/>
      <c r="IB4" s="529"/>
      <c r="IC4" s="529"/>
      <c r="ID4" s="529"/>
      <c r="IE4" s="529"/>
      <c r="IF4" s="529"/>
      <c r="IG4" s="529"/>
      <c r="IH4" s="529"/>
      <c r="II4" s="529"/>
      <c r="IJ4" s="529"/>
      <c r="IK4" s="529"/>
      <c r="IL4" s="529"/>
      <c r="IM4" s="529"/>
      <c r="IN4" s="529"/>
    </row>
    <row r="5" spans="1:248" ht="15" customHeight="1">
      <c r="A5" s="1809" t="s">
        <v>378</v>
      </c>
      <c r="B5" s="1809"/>
      <c r="C5" s="1809"/>
      <c r="D5" s="1809"/>
      <c r="E5" s="1809"/>
      <c r="F5" s="1809"/>
      <c r="G5" s="1809"/>
      <c r="H5" s="1809"/>
      <c r="I5" s="1809"/>
      <c r="J5" s="1809"/>
      <c r="K5" s="1809"/>
      <c r="L5" s="1809"/>
      <c r="M5" s="1809"/>
      <c r="N5" s="1809"/>
      <c r="O5" s="1809"/>
      <c r="P5" s="1809"/>
      <c r="Q5" s="1809"/>
      <c r="R5" s="1809"/>
      <c r="S5" s="1809"/>
      <c r="T5" s="1809"/>
      <c r="U5" s="1809"/>
      <c r="V5" s="1809"/>
      <c r="W5" s="1809"/>
      <c r="X5" s="1809"/>
      <c r="Y5" s="1809"/>
      <c r="Z5" s="1809"/>
      <c r="AA5" s="1809"/>
      <c r="AB5" s="1809"/>
      <c r="AC5" s="1809"/>
      <c r="AD5" s="1809"/>
      <c r="AE5" s="1809"/>
      <c r="AF5" s="1809"/>
      <c r="AG5" s="1809"/>
      <c r="AH5" s="1809"/>
      <c r="AI5" s="1809"/>
      <c r="AJ5" s="1809"/>
      <c r="AK5" s="1809"/>
      <c r="AL5" s="1809"/>
      <c r="AM5" s="1809"/>
      <c r="AN5" s="1809"/>
      <c r="AO5" s="1809"/>
      <c r="AP5" s="1809"/>
      <c r="AQ5" s="1809"/>
      <c r="AR5" s="1809"/>
      <c r="AS5" s="1809"/>
      <c r="AT5" s="1809"/>
      <c r="AU5" s="1809"/>
      <c r="AV5" s="1809"/>
      <c r="AW5" s="1809"/>
      <c r="AX5" s="1809"/>
      <c r="AY5" s="1809"/>
      <c r="AZ5" s="1809"/>
      <c r="BA5" s="1809"/>
      <c r="BB5" s="1809"/>
      <c r="BC5" s="1809"/>
      <c r="BD5" s="1809"/>
      <c r="BE5" s="1809"/>
      <c r="BF5" s="1809"/>
      <c r="BG5" s="1809"/>
      <c r="BH5" s="1809"/>
      <c r="BI5" s="1809"/>
      <c r="BJ5" s="1809"/>
      <c r="BK5" s="1809"/>
      <c r="BL5" s="1809"/>
      <c r="BM5" s="1809"/>
      <c r="BN5" s="1809"/>
      <c r="BO5" s="1809"/>
      <c r="BP5" s="1809"/>
      <c r="BQ5" s="1809"/>
      <c r="BR5" s="1809"/>
      <c r="BS5" s="1809"/>
      <c r="BT5" s="1809"/>
      <c r="BU5" s="1809"/>
      <c r="BV5" s="1809"/>
      <c r="BW5" s="1809"/>
      <c r="BX5" s="1809"/>
      <c r="BY5" s="1809"/>
      <c r="BZ5" s="1809"/>
      <c r="CA5" s="1809"/>
      <c r="CB5" s="1809"/>
      <c r="CC5" s="1809"/>
      <c r="CD5" s="1809"/>
      <c r="CE5" s="1809"/>
      <c r="CF5" s="1809"/>
      <c r="CG5" s="1809"/>
      <c r="CH5" s="1809"/>
      <c r="CI5" s="1809"/>
      <c r="CJ5" s="1809"/>
      <c r="CK5" s="1809"/>
      <c r="CL5" s="1809"/>
      <c r="CM5" s="1809"/>
      <c r="CN5" s="1809"/>
      <c r="CO5" s="1809"/>
      <c r="CP5" s="1809"/>
      <c r="CQ5" s="1809"/>
      <c r="CR5" s="1809"/>
      <c r="CS5" s="1809"/>
      <c r="CT5" s="1809"/>
      <c r="CU5" s="1809"/>
      <c r="CV5" s="1809"/>
      <c r="CW5" s="1809"/>
      <c r="CX5" s="1809"/>
      <c r="CY5" s="1809"/>
      <c r="CZ5" s="1809"/>
      <c r="DA5" s="1809"/>
      <c r="DB5" s="1809"/>
      <c r="DC5" s="1809"/>
      <c r="DD5" s="1809"/>
      <c r="DE5" s="1809"/>
      <c r="DF5" s="1809"/>
      <c r="DG5" s="1809"/>
      <c r="DH5" s="1809"/>
      <c r="DI5" s="1809"/>
      <c r="DJ5" s="1809"/>
      <c r="DK5" s="1809"/>
      <c r="DL5" s="1809"/>
      <c r="DM5" s="1809"/>
      <c r="DN5" s="1809"/>
      <c r="DO5" s="1809"/>
      <c r="DP5" s="1809"/>
      <c r="DQ5" s="1809"/>
      <c r="DR5" s="1809"/>
      <c r="DS5" s="1809"/>
      <c r="DT5" s="1809"/>
      <c r="DU5" s="1809"/>
      <c r="DV5" s="1809"/>
      <c r="DW5" s="1809"/>
      <c r="DX5" s="1809"/>
      <c r="DY5" s="1809"/>
      <c r="DZ5" s="1809"/>
      <c r="EA5" s="1809"/>
      <c r="EB5" s="1809"/>
      <c r="EC5" s="1809"/>
      <c r="ED5" s="1809"/>
      <c r="EE5" s="1809"/>
      <c r="EF5" s="1809"/>
      <c r="EG5" s="1809"/>
      <c r="EH5" s="1809"/>
      <c r="EI5" s="1809"/>
      <c r="EJ5" s="1809"/>
      <c r="EK5" s="1809"/>
      <c r="EL5" s="1809"/>
      <c r="EM5" s="1809"/>
      <c r="EN5" s="1809"/>
      <c r="EO5" s="1809"/>
      <c r="EP5" s="1809"/>
      <c r="EQ5" s="1809"/>
      <c r="ER5" s="1809"/>
      <c r="ES5" s="1809"/>
      <c r="ET5" s="529"/>
      <c r="EU5" s="529"/>
      <c r="EV5" s="529"/>
      <c r="EW5" s="529"/>
      <c r="EX5" s="529"/>
      <c r="EY5" s="529"/>
      <c r="EZ5" s="529"/>
      <c r="FA5" s="529"/>
      <c r="FB5" s="529"/>
      <c r="FC5" s="529"/>
      <c r="FD5" s="529"/>
      <c r="FE5" s="529"/>
      <c r="FF5" s="529"/>
      <c r="FG5" s="529"/>
      <c r="FH5" s="529"/>
      <c r="FI5" s="529"/>
      <c r="FJ5" s="529"/>
      <c r="FK5" s="529"/>
      <c r="FL5" s="529"/>
      <c r="FM5" s="529"/>
      <c r="FN5" s="529"/>
      <c r="FO5" s="529"/>
      <c r="FP5" s="529"/>
      <c r="FQ5" s="529"/>
      <c r="FR5" s="529"/>
      <c r="FS5" s="529"/>
      <c r="FT5" s="529"/>
      <c r="FU5" s="529"/>
      <c r="FV5" s="529"/>
      <c r="FW5" s="529"/>
      <c r="FX5" s="529"/>
      <c r="FY5" s="529"/>
      <c r="FZ5" s="529"/>
      <c r="GA5" s="529"/>
      <c r="GB5" s="529"/>
      <c r="GC5" s="529"/>
      <c r="GD5" s="529"/>
      <c r="GE5" s="529"/>
      <c r="GF5" s="529"/>
      <c r="GG5" s="529"/>
      <c r="GH5" s="529"/>
      <c r="GI5" s="529"/>
      <c r="GJ5" s="529"/>
      <c r="GK5" s="529"/>
      <c r="GL5" s="529"/>
      <c r="GM5" s="529"/>
      <c r="GN5" s="529"/>
      <c r="GO5" s="529"/>
      <c r="GP5" s="529"/>
      <c r="GQ5" s="529"/>
      <c r="GR5" s="529"/>
      <c r="GS5" s="529"/>
      <c r="GT5" s="529"/>
      <c r="GU5" s="529"/>
      <c r="GV5" s="529"/>
      <c r="GW5" s="529"/>
      <c r="GX5" s="529"/>
      <c r="GY5" s="529"/>
      <c r="GZ5" s="529"/>
      <c r="HA5" s="529"/>
      <c r="HB5" s="529"/>
      <c r="HC5" s="529"/>
      <c r="HD5" s="529"/>
      <c r="HE5" s="529"/>
      <c r="HF5" s="529"/>
      <c r="HG5" s="529"/>
      <c r="HH5" s="529"/>
      <c r="HI5" s="529"/>
      <c r="HJ5" s="529"/>
      <c r="HK5" s="529"/>
      <c r="HL5" s="529"/>
      <c r="HM5" s="529"/>
      <c r="HN5" s="529"/>
      <c r="HO5" s="529"/>
      <c r="HP5" s="529"/>
      <c r="HQ5" s="529"/>
      <c r="HR5" s="529"/>
      <c r="HS5" s="529"/>
      <c r="HT5" s="529"/>
      <c r="HU5" s="529"/>
      <c r="HV5" s="529"/>
      <c r="HW5" s="529"/>
      <c r="HX5" s="529"/>
      <c r="HY5" s="529"/>
      <c r="HZ5" s="529"/>
      <c r="IA5" s="529"/>
      <c r="IB5" s="529"/>
      <c r="IC5" s="529"/>
      <c r="ID5" s="529"/>
      <c r="IE5" s="529"/>
      <c r="IF5" s="529"/>
      <c r="IG5" s="529"/>
      <c r="IH5" s="529"/>
      <c r="II5" s="529"/>
      <c r="IJ5" s="529"/>
      <c r="IK5" s="529"/>
      <c r="IL5" s="529"/>
      <c r="IM5" s="529"/>
      <c r="IN5" s="529"/>
    </row>
    <row r="6" spans="1:248" ht="3.2" customHeight="1">
      <c r="A6" s="482"/>
      <c r="B6" s="482"/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2"/>
      <c r="Z6" s="482"/>
      <c r="AA6" s="482"/>
      <c r="AB6" s="482"/>
      <c r="AC6" s="482"/>
      <c r="AD6" s="482"/>
      <c r="AE6" s="482"/>
      <c r="AF6" s="482"/>
      <c r="AG6" s="482"/>
      <c r="AH6" s="482"/>
      <c r="AI6" s="482"/>
      <c r="AJ6" s="482"/>
      <c r="AK6" s="482"/>
      <c r="AL6" s="482"/>
      <c r="AM6" s="482"/>
      <c r="AN6" s="482"/>
      <c r="AO6" s="482"/>
      <c r="AP6" s="482"/>
      <c r="AQ6" s="482"/>
      <c r="AR6" s="482"/>
      <c r="AS6" s="482"/>
      <c r="AT6" s="482"/>
      <c r="AU6" s="482"/>
      <c r="AV6" s="482"/>
      <c r="AW6" s="482"/>
      <c r="AX6" s="482"/>
      <c r="AY6" s="482"/>
      <c r="AZ6" s="482"/>
      <c r="BA6" s="482"/>
      <c r="BB6" s="482"/>
      <c r="BC6" s="482"/>
      <c r="BD6" s="482"/>
      <c r="BE6" s="482"/>
      <c r="BF6" s="482"/>
      <c r="BG6" s="482"/>
      <c r="BH6" s="482"/>
      <c r="BI6" s="482"/>
      <c r="BJ6" s="482"/>
      <c r="BK6" s="482"/>
      <c r="BL6" s="482"/>
      <c r="BM6" s="482"/>
      <c r="BN6" s="482"/>
      <c r="BO6" s="482"/>
      <c r="BP6" s="482"/>
      <c r="BQ6" s="482"/>
      <c r="BR6" s="482"/>
      <c r="BS6" s="482"/>
      <c r="BT6" s="482"/>
      <c r="BU6" s="482"/>
      <c r="BV6" s="482"/>
      <c r="BW6" s="482"/>
      <c r="BX6" s="482"/>
      <c r="BY6" s="482"/>
      <c r="BZ6" s="482"/>
      <c r="CA6" s="482"/>
      <c r="CB6" s="482"/>
      <c r="CC6" s="482"/>
      <c r="CD6" s="482"/>
      <c r="CE6" s="482"/>
      <c r="CF6" s="482"/>
      <c r="CG6" s="482"/>
      <c r="CH6" s="482"/>
      <c r="CI6" s="482"/>
      <c r="CJ6" s="482"/>
      <c r="CK6" s="482"/>
      <c r="CL6" s="482"/>
      <c r="CM6" s="482"/>
      <c r="CN6" s="482"/>
      <c r="CO6" s="482"/>
      <c r="CP6" s="482"/>
      <c r="CQ6" s="482"/>
      <c r="CR6" s="482"/>
      <c r="CS6" s="482"/>
      <c r="CT6" s="482"/>
      <c r="CU6" s="482"/>
      <c r="CV6" s="482"/>
      <c r="CW6" s="480"/>
      <c r="CX6" s="480"/>
      <c r="CY6" s="480"/>
      <c r="CZ6" s="480"/>
      <c r="DA6" s="480"/>
      <c r="DB6" s="480"/>
      <c r="DC6" s="480"/>
      <c r="DD6" s="480"/>
      <c r="DE6" s="480"/>
      <c r="DF6" s="480"/>
      <c r="DG6" s="480"/>
      <c r="DH6" s="480"/>
      <c r="DI6" s="480"/>
      <c r="DJ6" s="480"/>
      <c r="DK6" s="480"/>
      <c r="DL6" s="480"/>
      <c r="DM6" s="480"/>
      <c r="DN6" s="480"/>
      <c r="DO6" s="480"/>
      <c r="DP6" s="480"/>
      <c r="DQ6" s="480"/>
      <c r="DR6" s="480"/>
      <c r="DS6" s="480"/>
      <c r="DT6" s="480"/>
      <c r="DU6" s="480"/>
      <c r="DV6" s="480"/>
      <c r="DW6" s="480"/>
      <c r="DX6" s="480"/>
      <c r="DY6" s="480"/>
      <c r="DZ6" s="480"/>
      <c r="EA6" s="480"/>
      <c r="EB6" s="480"/>
      <c r="EC6" s="480"/>
      <c r="ED6" s="480"/>
      <c r="EE6" s="480"/>
      <c r="EF6" s="480"/>
      <c r="EG6" s="480"/>
      <c r="EH6" s="480"/>
      <c r="EI6" s="480"/>
      <c r="EJ6" s="480"/>
      <c r="EK6" s="480"/>
      <c r="EL6" s="480"/>
      <c r="EM6" s="480"/>
      <c r="EN6" s="480"/>
      <c r="EO6" s="480"/>
      <c r="EP6" s="480"/>
      <c r="EQ6" s="480"/>
      <c r="ER6" s="480"/>
      <c r="ES6" s="480"/>
      <c r="ET6" s="529"/>
      <c r="EU6" s="529"/>
      <c r="EV6" s="529"/>
      <c r="EW6" s="529"/>
      <c r="EX6" s="529"/>
      <c r="EY6" s="529"/>
      <c r="EZ6" s="529"/>
      <c r="FA6" s="529"/>
      <c r="FB6" s="529"/>
      <c r="FC6" s="529"/>
      <c r="FD6" s="529"/>
      <c r="FE6" s="529"/>
      <c r="FF6" s="529"/>
      <c r="FG6" s="529"/>
      <c r="FH6" s="529"/>
      <c r="FI6" s="529"/>
      <c r="FJ6" s="529"/>
      <c r="FK6" s="529"/>
      <c r="FL6" s="529"/>
      <c r="FM6" s="529"/>
      <c r="FN6" s="529"/>
      <c r="FO6" s="529"/>
      <c r="FP6" s="529"/>
      <c r="FQ6" s="529"/>
      <c r="FR6" s="529"/>
      <c r="FS6" s="529"/>
      <c r="FT6" s="529"/>
      <c r="FU6" s="529"/>
      <c r="FV6" s="529"/>
      <c r="FW6" s="529"/>
      <c r="FX6" s="529"/>
      <c r="FY6" s="529"/>
      <c r="FZ6" s="529"/>
      <c r="GA6" s="529"/>
      <c r="GB6" s="529"/>
      <c r="GC6" s="529"/>
      <c r="GD6" s="529"/>
      <c r="GE6" s="529"/>
      <c r="GF6" s="529"/>
      <c r="GG6" s="529"/>
      <c r="GH6" s="529"/>
      <c r="GI6" s="529"/>
      <c r="GJ6" s="529"/>
      <c r="GK6" s="529"/>
      <c r="GL6" s="529"/>
      <c r="GM6" s="529"/>
      <c r="GN6" s="529"/>
      <c r="GO6" s="529"/>
      <c r="GP6" s="529"/>
      <c r="GQ6" s="529"/>
      <c r="GR6" s="529"/>
      <c r="GS6" s="529"/>
      <c r="GT6" s="529"/>
      <c r="GU6" s="529"/>
      <c r="GV6" s="529"/>
      <c r="GW6" s="529"/>
      <c r="GX6" s="529"/>
      <c r="GY6" s="529"/>
      <c r="GZ6" s="529"/>
      <c r="HA6" s="529"/>
      <c r="HB6" s="529"/>
      <c r="HC6" s="529"/>
      <c r="HD6" s="529"/>
      <c r="HE6" s="529"/>
      <c r="HF6" s="529"/>
      <c r="HG6" s="529"/>
      <c r="HH6" s="529"/>
      <c r="HI6" s="529"/>
      <c r="HJ6" s="529"/>
      <c r="HK6" s="529"/>
      <c r="HL6" s="529"/>
      <c r="HM6" s="529"/>
      <c r="HN6" s="529"/>
      <c r="HO6" s="529"/>
      <c r="HP6" s="529"/>
      <c r="HQ6" s="529"/>
      <c r="HR6" s="529"/>
      <c r="HS6" s="529"/>
      <c r="HT6" s="529"/>
      <c r="HU6" s="529"/>
      <c r="HV6" s="529"/>
      <c r="HW6" s="529"/>
      <c r="HX6" s="529"/>
      <c r="HY6" s="529"/>
      <c r="HZ6" s="529"/>
      <c r="IA6" s="529"/>
      <c r="IB6" s="529"/>
      <c r="IC6" s="529"/>
      <c r="ID6" s="529"/>
      <c r="IE6" s="529"/>
      <c r="IF6" s="529"/>
      <c r="IG6" s="529"/>
      <c r="IH6" s="529"/>
      <c r="II6" s="529"/>
      <c r="IJ6" s="529"/>
      <c r="IK6" s="529"/>
      <c r="IL6" s="529"/>
      <c r="IM6" s="529"/>
      <c r="IN6" s="529"/>
    </row>
    <row r="7" spans="1:248" ht="11.25" customHeight="1">
      <c r="A7" s="480"/>
      <c r="B7" s="480"/>
      <c r="C7" s="480"/>
      <c r="D7" s="480"/>
      <c r="E7" s="480"/>
      <c r="F7" s="480"/>
      <c r="G7" s="480"/>
      <c r="H7" s="480"/>
      <c r="I7" s="480"/>
      <c r="J7" s="480"/>
      <c r="K7" s="480"/>
      <c r="L7" s="480"/>
      <c r="M7" s="480"/>
      <c r="N7" s="480"/>
      <c r="O7" s="480"/>
      <c r="P7" s="480"/>
      <c r="Q7" s="480"/>
      <c r="R7" s="480"/>
      <c r="S7" s="480"/>
      <c r="T7" s="480"/>
      <c r="U7" s="480"/>
      <c r="V7" s="480"/>
      <c r="W7" s="480"/>
      <c r="X7" s="480"/>
      <c r="Y7" s="480"/>
      <c r="Z7" s="480"/>
      <c r="AA7" s="480"/>
      <c r="AB7" s="480"/>
      <c r="AC7" s="480"/>
      <c r="AD7" s="480"/>
      <c r="AE7" s="480"/>
      <c r="AF7" s="480"/>
      <c r="AG7" s="480"/>
      <c r="AH7" s="480"/>
      <c r="AI7" s="480"/>
      <c r="AJ7" s="480"/>
      <c r="AK7" s="480"/>
      <c r="AL7" s="480"/>
      <c r="AM7" s="480"/>
      <c r="AN7" s="480"/>
      <c r="AO7" s="480"/>
      <c r="AP7" s="480"/>
      <c r="AQ7" s="480"/>
      <c r="AR7" s="480"/>
      <c r="AS7" s="480"/>
      <c r="AT7" s="480"/>
      <c r="AU7" s="480"/>
      <c r="AV7" s="480"/>
      <c r="AW7" s="480"/>
      <c r="AX7" s="480"/>
      <c r="AY7" s="480"/>
      <c r="AZ7" s="480"/>
      <c r="BA7" s="480"/>
      <c r="BB7" s="480"/>
      <c r="BC7" s="480"/>
      <c r="BD7" s="480"/>
      <c r="BE7" s="480"/>
      <c r="BF7" s="480"/>
      <c r="BG7" s="480"/>
      <c r="BH7" s="480"/>
      <c r="BI7" s="480"/>
      <c r="BJ7" s="480"/>
      <c r="BK7" s="1805" t="s">
        <v>379</v>
      </c>
      <c r="BL7" s="1805"/>
      <c r="BM7" s="1805"/>
      <c r="BN7" s="480"/>
      <c r="BO7" s="1806" t="s">
        <v>877</v>
      </c>
      <c r="BP7" s="1806"/>
      <c r="BQ7" s="1806"/>
      <c r="BR7" s="1806"/>
      <c r="BS7" s="1806"/>
      <c r="BT7" s="1806"/>
      <c r="BU7" s="1806"/>
      <c r="BV7" s="1806"/>
      <c r="BW7" s="1806"/>
      <c r="BX7" s="1806"/>
      <c r="BY7" s="1806"/>
      <c r="BZ7" s="1806"/>
      <c r="CA7" s="1806"/>
      <c r="CB7" s="1806"/>
      <c r="CC7" s="1806"/>
      <c r="CD7" s="1806"/>
      <c r="CE7" s="1806"/>
      <c r="CF7" s="1806"/>
      <c r="CG7" s="1806"/>
      <c r="CH7" s="1806"/>
      <c r="CI7" s="1806"/>
      <c r="CJ7" s="1806"/>
      <c r="CK7" s="1806"/>
      <c r="CL7" s="1806"/>
      <c r="CM7" s="1806"/>
      <c r="CN7" s="480"/>
      <c r="CO7" s="480"/>
      <c r="CP7" s="480"/>
      <c r="CQ7" s="480"/>
      <c r="CR7" s="480"/>
      <c r="CS7" s="480"/>
      <c r="CT7" s="480"/>
      <c r="CU7" s="480"/>
      <c r="CV7" s="480"/>
      <c r="CW7" s="480"/>
      <c r="CX7" s="480"/>
      <c r="CY7" s="480"/>
      <c r="CZ7" s="480"/>
      <c r="DA7" s="480"/>
      <c r="DB7" s="480"/>
      <c r="DC7" s="480"/>
      <c r="DD7" s="480"/>
      <c r="DE7" s="480"/>
      <c r="DF7" s="480"/>
      <c r="DG7" s="480"/>
      <c r="DH7" s="480"/>
      <c r="DI7" s="480"/>
      <c r="DJ7" s="480"/>
      <c r="DK7" s="480"/>
      <c r="DL7" s="480"/>
      <c r="DM7" s="480"/>
      <c r="DN7" s="480"/>
      <c r="DO7" s="480"/>
      <c r="DP7" s="480"/>
      <c r="DQ7" s="480"/>
      <c r="DR7" s="480"/>
      <c r="DS7" s="480"/>
      <c r="DT7" s="480"/>
      <c r="DU7" s="480"/>
      <c r="DV7" s="480"/>
      <c r="DW7" s="480"/>
      <c r="DX7" s="480"/>
      <c r="DY7" s="480"/>
      <c r="DZ7" s="480"/>
      <c r="EA7" s="480"/>
      <c r="EB7" s="480"/>
      <c r="EC7" s="480"/>
      <c r="ED7" s="480"/>
      <c r="EE7" s="480"/>
      <c r="EF7" s="480"/>
      <c r="EG7" s="480"/>
      <c r="EH7" s="480"/>
      <c r="EI7" s="480"/>
      <c r="EJ7" s="480"/>
      <c r="EK7" s="480"/>
      <c r="EL7" s="480"/>
      <c r="EM7" s="480"/>
      <c r="EN7" s="480"/>
      <c r="EO7" s="480"/>
      <c r="EP7" s="480"/>
      <c r="EQ7" s="480"/>
      <c r="ER7" s="480"/>
      <c r="ES7" s="480"/>
      <c r="ET7" s="529"/>
      <c r="EU7" s="529"/>
      <c r="EV7" s="529"/>
      <c r="EW7" s="529"/>
      <c r="EX7" s="529"/>
      <c r="EY7" s="529"/>
      <c r="EZ7" s="529"/>
      <c r="FA7" s="529"/>
      <c r="FB7" s="529"/>
      <c r="FC7" s="529"/>
      <c r="FD7" s="529"/>
      <c r="FE7" s="529"/>
      <c r="FF7" s="529"/>
      <c r="FG7" s="529"/>
      <c r="FH7" s="529"/>
      <c r="FI7" s="529"/>
      <c r="FJ7" s="529"/>
      <c r="FK7" s="529"/>
      <c r="FL7" s="529"/>
      <c r="FM7" s="529"/>
      <c r="FN7" s="529"/>
      <c r="FO7" s="529"/>
      <c r="FP7" s="529"/>
      <c r="FQ7" s="529"/>
      <c r="FR7" s="529"/>
      <c r="FS7" s="529"/>
      <c r="FT7" s="529"/>
      <c r="FU7" s="529"/>
      <c r="FV7" s="529"/>
      <c r="FW7" s="529"/>
      <c r="FX7" s="529"/>
      <c r="FY7" s="529"/>
      <c r="FZ7" s="529"/>
      <c r="GA7" s="529"/>
      <c r="GB7" s="529"/>
      <c r="GC7" s="529"/>
      <c r="GD7" s="529"/>
      <c r="GE7" s="529"/>
      <c r="GF7" s="529"/>
      <c r="GG7" s="529"/>
      <c r="GH7" s="529"/>
      <c r="GI7" s="529"/>
      <c r="GJ7" s="529"/>
      <c r="GK7" s="529"/>
      <c r="GL7" s="529"/>
      <c r="GM7" s="529"/>
      <c r="GN7" s="529"/>
      <c r="GO7" s="529"/>
      <c r="GP7" s="529"/>
      <c r="GQ7" s="529"/>
      <c r="GR7" s="529"/>
      <c r="GS7" s="529"/>
      <c r="GT7" s="529"/>
      <c r="GU7" s="529"/>
      <c r="GV7" s="529"/>
      <c r="GW7" s="529"/>
      <c r="GX7" s="529"/>
      <c r="GY7" s="529"/>
      <c r="GZ7" s="529"/>
      <c r="HA7" s="529"/>
      <c r="HB7" s="529"/>
      <c r="HC7" s="529"/>
      <c r="HD7" s="529"/>
      <c r="HE7" s="529"/>
      <c r="HF7" s="529"/>
      <c r="HG7" s="529"/>
      <c r="HH7" s="529"/>
      <c r="HI7" s="529"/>
      <c r="HJ7" s="529"/>
      <c r="HK7" s="529"/>
      <c r="HL7" s="529"/>
      <c r="HM7" s="529"/>
      <c r="HN7" s="529"/>
      <c r="HO7" s="529"/>
      <c r="HP7" s="529"/>
      <c r="HQ7" s="529"/>
      <c r="HR7" s="529"/>
      <c r="HS7" s="529"/>
      <c r="HT7" s="529"/>
      <c r="HU7" s="529"/>
      <c r="HV7" s="529"/>
      <c r="HW7" s="529"/>
      <c r="HX7" s="529"/>
      <c r="HY7" s="529"/>
      <c r="HZ7" s="529"/>
      <c r="IA7" s="529"/>
      <c r="IB7" s="529"/>
      <c r="IC7" s="529"/>
      <c r="ID7" s="529"/>
      <c r="IE7" s="529"/>
      <c r="IF7" s="529"/>
      <c r="IG7" s="529"/>
      <c r="IH7" s="529"/>
      <c r="II7" s="529"/>
      <c r="IJ7" s="529"/>
      <c r="IK7" s="529"/>
      <c r="IL7" s="529"/>
      <c r="IM7" s="529"/>
      <c r="IN7" s="529"/>
    </row>
    <row r="8" spans="1:248" ht="11.25" customHeight="1">
      <c r="A8" s="480"/>
      <c r="B8" s="480"/>
      <c r="C8" s="480"/>
      <c r="D8" s="480"/>
      <c r="E8" s="480"/>
      <c r="F8" s="480"/>
      <c r="G8" s="480"/>
      <c r="H8" s="480"/>
      <c r="I8" s="480"/>
      <c r="J8" s="480"/>
      <c r="K8" s="480"/>
      <c r="L8" s="480"/>
      <c r="M8" s="480"/>
      <c r="N8" s="480"/>
      <c r="O8" s="480"/>
      <c r="P8" s="480"/>
      <c r="Q8" s="480"/>
      <c r="R8" s="480"/>
      <c r="S8" s="480"/>
      <c r="T8" s="480"/>
      <c r="U8" s="480"/>
      <c r="V8" s="480"/>
      <c r="W8" s="480"/>
      <c r="X8" s="480"/>
      <c r="Y8" s="480"/>
      <c r="Z8" s="480"/>
      <c r="AA8" s="480"/>
      <c r="AB8" s="480"/>
      <c r="AC8" s="480"/>
      <c r="AD8" s="480"/>
      <c r="AE8" s="480"/>
      <c r="AF8" s="480"/>
      <c r="AG8" s="480"/>
      <c r="AH8" s="480"/>
      <c r="AI8" s="480"/>
      <c r="AJ8" s="480"/>
      <c r="AK8" s="480"/>
      <c r="AL8" s="480"/>
      <c r="AM8" s="480"/>
      <c r="AN8" s="480"/>
      <c r="AO8" s="480"/>
      <c r="AP8" s="480"/>
      <c r="AQ8" s="480"/>
      <c r="AR8" s="480"/>
      <c r="AS8" s="480"/>
      <c r="AT8" s="480"/>
      <c r="AU8" s="480"/>
      <c r="AV8" s="480"/>
      <c r="AW8" s="480"/>
      <c r="AX8" s="480"/>
      <c r="AY8" s="480"/>
      <c r="AZ8" s="480"/>
      <c r="BA8" s="480"/>
      <c r="BB8" s="480"/>
      <c r="BC8" s="480"/>
      <c r="BD8" s="480"/>
      <c r="BE8" s="480"/>
      <c r="BF8" s="480"/>
      <c r="BG8" s="480"/>
      <c r="BH8" s="480"/>
      <c r="BI8" s="480"/>
      <c r="BJ8" s="480"/>
      <c r="BK8" s="480"/>
      <c r="BL8" s="480"/>
      <c r="BM8" s="480"/>
      <c r="BN8" s="480"/>
      <c r="BO8" s="480"/>
      <c r="BP8" s="480"/>
      <c r="BQ8" s="480"/>
      <c r="BR8" s="480"/>
      <c r="BS8" s="480"/>
      <c r="BT8" s="480"/>
      <c r="BU8" s="480"/>
      <c r="BV8" s="480"/>
      <c r="BW8" s="480"/>
      <c r="BX8" s="480"/>
      <c r="BY8" s="480"/>
      <c r="BZ8" s="480"/>
      <c r="CA8" s="480"/>
      <c r="CB8" s="480"/>
      <c r="CC8" s="480"/>
      <c r="CD8" s="480"/>
      <c r="CE8" s="480"/>
      <c r="CF8" s="480"/>
      <c r="CG8" s="480"/>
      <c r="CH8" s="480"/>
      <c r="CI8" s="480"/>
      <c r="CJ8" s="480"/>
      <c r="CK8" s="480"/>
      <c r="CL8" s="480"/>
      <c r="CM8" s="480"/>
      <c r="CN8" s="480"/>
      <c r="CO8" s="480"/>
      <c r="CP8" s="480"/>
      <c r="CQ8" s="480"/>
      <c r="CR8" s="480"/>
      <c r="CS8" s="480"/>
      <c r="CT8" s="480"/>
      <c r="CU8" s="480"/>
      <c r="CV8" s="480"/>
      <c r="CW8" s="480"/>
      <c r="CX8" s="480"/>
      <c r="CY8" s="480"/>
      <c r="CZ8" s="480"/>
      <c r="DA8" s="480"/>
      <c r="DB8" s="480"/>
      <c r="DC8" s="480"/>
      <c r="DD8" s="480"/>
      <c r="DE8" s="480"/>
      <c r="DF8" s="480"/>
      <c r="DG8" s="480"/>
      <c r="DH8" s="480"/>
      <c r="DI8" s="480"/>
      <c r="DJ8" s="480"/>
      <c r="DK8" s="480"/>
      <c r="DL8" s="480"/>
      <c r="DM8" s="480"/>
      <c r="DN8" s="480"/>
      <c r="DO8" s="480"/>
      <c r="DP8" s="480"/>
      <c r="DQ8" s="480"/>
      <c r="DR8" s="480"/>
      <c r="DS8" s="480"/>
      <c r="DT8" s="480"/>
      <c r="DU8" s="480"/>
      <c r="DV8" s="480"/>
      <c r="DW8" s="480"/>
      <c r="DX8" s="480"/>
      <c r="DY8" s="480"/>
      <c r="DZ8" s="480"/>
      <c r="EA8" s="480"/>
      <c r="EB8" s="480"/>
      <c r="EC8" s="480"/>
      <c r="ED8" s="480"/>
      <c r="EE8" s="480"/>
      <c r="EF8" s="480"/>
      <c r="EG8" s="480"/>
      <c r="EH8" s="480"/>
      <c r="EI8" s="480"/>
      <c r="EJ8" s="480"/>
      <c r="EK8" s="480"/>
      <c r="EL8" s="480"/>
      <c r="EM8" s="480"/>
      <c r="EN8" s="480"/>
      <c r="EO8" s="480"/>
      <c r="EP8" s="480"/>
      <c r="EQ8" s="480"/>
      <c r="ER8" s="480"/>
      <c r="ES8" s="480"/>
      <c r="ET8" s="529"/>
      <c r="EU8" s="529"/>
      <c r="EV8" s="529"/>
      <c r="EW8" s="529"/>
      <c r="EX8" s="529"/>
      <c r="EY8" s="529"/>
      <c r="EZ8" s="529"/>
      <c r="FA8" s="529"/>
      <c r="FB8" s="529"/>
      <c r="FC8" s="529"/>
      <c r="FD8" s="529"/>
      <c r="FE8" s="529"/>
      <c r="FF8" s="529"/>
      <c r="FG8" s="529"/>
      <c r="FH8" s="529"/>
      <c r="FI8" s="529"/>
      <c r="FJ8" s="529"/>
      <c r="FK8" s="529"/>
      <c r="FL8" s="529"/>
      <c r="FM8" s="529"/>
      <c r="FN8" s="529"/>
      <c r="FO8" s="529"/>
      <c r="FP8" s="529"/>
      <c r="FQ8" s="529"/>
      <c r="FR8" s="529"/>
      <c r="FS8" s="529"/>
      <c r="FT8" s="529"/>
      <c r="FU8" s="529"/>
      <c r="FV8" s="529"/>
      <c r="FW8" s="529"/>
      <c r="FX8" s="529"/>
      <c r="FY8" s="529"/>
      <c r="FZ8" s="529"/>
      <c r="GA8" s="529"/>
      <c r="GB8" s="529"/>
      <c r="GC8" s="529"/>
      <c r="GD8" s="529"/>
      <c r="GE8" s="529"/>
      <c r="GF8" s="529"/>
      <c r="GG8" s="529"/>
      <c r="GH8" s="529"/>
      <c r="GI8" s="529"/>
      <c r="GJ8" s="529"/>
      <c r="GK8" s="529"/>
      <c r="GL8" s="529"/>
      <c r="GM8" s="529"/>
      <c r="GN8" s="529"/>
      <c r="GO8" s="529"/>
      <c r="GP8" s="529"/>
      <c r="GQ8" s="529"/>
      <c r="GR8" s="529"/>
      <c r="GS8" s="529"/>
      <c r="GT8" s="529"/>
      <c r="GU8" s="529"/>
      <c r="GV8" s="529"/>
      <c r="GW8" s="529"/>
      <c r="GX8" s="529"/>
      <c r="GY8" s="529"/>
      <c r="GZ8" s="529"/>
      <c r="HA8" s="529"/>
      <c r="HB8" s="529"/>
      <c r="HC8" s="529"/>
      <c r="HD8" s="529"/>
      <c r="HE8" s="529"/>
      <c r="HF8" s="529"/>
      <c r="HG8" s="529"/>
      <c r="HH8" s="529"/>
      <c r="HI8" s="529"/>
      <c r="HJ8" s="529"/>
      <c r="HK8" s="529"/>
      <c r="HL8" s="529"/>
      <c r="HM8" s="529"/>
      <c r="HN8" s="529"/>
      <c r="HO8" s="529"/>
      <c r="HP8" s="529"/>
      <c r="HQ8" s="529"/>
      <c r="HR8" s="529"/>
      <c r="HS8" s="529"/>
      <c r="HT8" s="529"/>
      <c r="HU8" s="529"/>
      <c r="HV8" s="529"/>
      <c r="HW8" s="529"/>
      <c r="HX8" s="529"/>
      <c r="HY8" s="529"/>
      <c r="HZ8" s="529"/>
      <c r="IA8" s="529"/>
      <c r="IB8" s="529"/>
      <c r="IC8" s="529"/>
      <c r="ID8" s="529"/>
      <c r="IE8" s="529"/>
      <c r="IF8" s="529"/>
      <c r="IG8" s="529"/>
      <c r="IH8" s="529"/>
      <c r="II8" s="529"/>
      <c r="IJ8" s="529"/>
      <c r="IK8" s="529"/>
      <c r="IL8" s="529"/>
      <c r="IM8" s="529"/>
      <c r="IN8" s="529"/>
    </row>
    <row r="9" spans="1:248" ht="11.25" customHeight="1">
      <c r="A9" s="480"/>
      <c r="B9" s="480"/>
      <c r="C9" s="480"/>
      <c r="D9" s="480"/>
      <c r="E9" s="480"/>
      <c r="F9" s="480"/>
      <c r="G9" s="480"/>
      <c r="H9" s="480"/>
      <c r="I9" s="480"/>
      <c r="J9" s="480"/>
      <c r="K9" s="480"/>
      <c r="L9" s="480"/>
      <c r="M9" s="480"/>
      <c r="N9" s="480"/>
      <c r="O9" s="480"/>
      <c r="P9" s="480"/>
      <c r="Q9" s="480"/>
      <c r="R9" s="480"/>
      <c r="S9" s="480"/>
      <c r="T9" s="480"/>
      <c r="U9" s="480"/>
      <c r="V9" s="480"/>
      <c r="W9" s="480"/>
      <c r="X9" s="480"/>
      <c r="Y9" s="480"/>
      <c r="Z9" s="480"/>
      <c r="AA9" s="480"/>
      <c r="AB9" s="480"/>
      <c r="AC9" s="480"/>
      <c r="AD9" s="480"/>
      <c r="AE9" s="480"/>
      <c r="AF9" s="480"/>
      <c r="AG9" s="480"/>
      <c r="AH9" s="480"/>
      <c r="AI9" s="480"/>
      <c r="AJ9" s="480"/>
      <c r="AK9" s="480"/>
      <c r="AL9" s="480"/>
      <c r="AM9" s="480"/>
      <c r="AN9" s="480"/>
      <c r="AO9" s="480"/>
      <c r="AP9" s="480"/>
      <c r="AQ9" s="480"/>
      <c r="AR9" s="480"/>
      <c r="AS9" s="480"/>
      <c r="AT9" s="480"/>
      <c r="AU9" s="480"/>
      <c r="AV9" s="480"/>
      <c r="AW9" s="480"/>
      <c r="AX9" s="480"/>
      <c r="AY9" s="480"/>
      <c r="AZ9" s="480"/>
      <c r="BA9" s="480"/>
      <c r="BB9" s="480"/>
      <c r="BC9" s="480"/>
      <c r="BD9" s="480"/>
      <c r="BE9" s="480"/>
      <c r="BF9" s="480"/>
      <c r="BG9" s="480"/>
      <c r="BH9" s="480"/>
      <c r="BI9" s="480"/>
      <c r="BJ9" s="480"/>
      <c r="BK9" s="480"/>
      <c r="BL9" s="480"/>
      <c r="BM9" s="480"/>
      <c r="BN9" s="480"/>
      <c r="BO9" s="480"/>
      <c r="BP9" s="480"/>
      <c r="BQ9" s="480"/>
      <c r="BR9" s="480"/>
      <c r="BS9" s="480"/>
      <c r="BT9" s="480"/>
      <c r="BU9" s="480"/>
      <c r="BV9" s="480"/>
      <c r="BW9" s="480"/>
      <c r="BX9" s="480"/>
      <c r="BY9" s="480"/>
      <c r="BZ9" s="480"/>
      <c r="CA9" s="480"/>
      <c r="CB9" s="480"/>
      <c r="CC9" s="480"/>
      <c r="CD9" s="480"/>
      <c r="CE9" s="480"/>
      <c r="CF9" s="480"/>
      <c r="CG9" s="480"/>
      <c r="CH9" s="480"/>
      <c r="CI9" s="480"/>
      <c r="CJ9" s="480"/>
      <c r="CK9" s="480"/>
      <c r="CL9" s="480"/>
      <c r="CM9" s="480"/>
      <c r="CN9" s="480"/>
      <c r="CO9" s="480"/>
      <c r="CP9" s="480"/>
      <c r="CQ9" s="480"/>
      <c r="CR9" s="480"/>
      <c r="CS9" s="480"/>
      <c r="CT9" s="480"/>
      <c r="CU9" s="480"/>
      <c r="CV9" s="480"/>
      <c r="CW9" s="480"/>
      <c r="CX9" s="480"/>
      <c r="CY9" s="480"/>
      <c r="CZ9" s="480"/>
      <c r="DA9" s="480"/>
      <c r="DB9" s="480"/>
      <c r="DC9" s="480"/>
      <c r="DD9" s="480"/>
      <c r="DE9" s="480"/>
      <c r="DF9" s="480"/>
      <c r="DG9" s="480"/>
      <c r="DH9" s="480"/>
      <c r="DI9" s="480"/>
      <c r="DJ9" s="480"/>
      <c r="DK9" s="480"/>
      <c r="DL9" s="480"/>
      <c r="DM9" s="480"/>
      <c r="DN9" s="480"/>
      <c r="DO9" s="480"/>
      <c r="DP9" s="480"/>
      <c r="DQ9" s="480"/>
      <c r="DR9" s="480"/>
      <c r="DS9" s="480"/>
      <c r="DT9" s="480"/>
      <c r="DU9" s="480"/>
      <c r="DV9" s="480"/>
      <c r="DW9" s="480"/>
      <c r="DX9" s="480"/>
      <c r="DY9" s="480"/>
      <c r="DZ9" s="480"/>
      <c r="EA9" s="480"/>
      <c r="EB9" s="1813" t="s">
        <v>218</v>
      </c>
      <c r="EC9" s="1813"/>
      <c r="ED9" s="1813"/>
      <c r="EE9" s="1813"/>
      <c r="EF9" s="1813"/>
      <c r="EG9" s="1813"/>
      <c r="EH9" s="1813"/>
      <c r="EI9" s="1813"/>
      <c r="EJ9" s="1813"/>
      <c r="EK9" s="1813"/>
      <c r="EL9" s="1813"/>
      <c r="EM9" s="1813"/>
      <c r="EN9" s="1813"/>
      <c r="EO9" s="1813"/>
      <c r="EP9" s="1813"/>
      <c r="EQ9" s="1813"/>
      <c r="ER9" s="1813"/>
      <c r="ES9" s="1813"/>
      <c r="ET9" s="529"/>
      <c r="EU9" s="529"/>
      <c r="EV9" s="529"/>
      <c r="EW9" s="529"/>
      <c r="EX9" s="529"/>
      <c r="EY9" s="529"/>
      <c r="EZ9" s="529"/>
      <c r="FA9" s="529"/>
      <c r="FB9" s="529"/>
      <c r="FC9" s="529"/>
      <c r="FD9" s="529"/>
      <c r="FE9" s="529"/>
      <c r="FF9" s="529"/>
      <c r="FG9" s="529"/>
      <c r="FH9" s="529"/>
      <c r="FI9" s="529"/>
      <c r="FJ9" s="529"/>
      <c r="FK9" s="529"/>
      <c r="FL9" s="529"/>
      <c r="FM9" s="529"/>
      <c r="FN9" s="529"/>
      <c r="FO9" s="529"/>
      <c r="FP9" s="529"/>
      <c r="FQ9" s="529"/>
      <c r="FR9" s="529"/>
      <c r="FS9" s="529"/>
      <c r="FT9" s="529"/>
      <c r="FU9" s="529"/>
      <c r="FV9" s="529"/>
      <c r="FW9" s="529"/>
      <c r="FX9" s="529"/>
      <c r="FY9" s="529"/>
      <c r="FZ9" s="529"/>
      <c r="GA9" s="529"/>
      <c r="GB9" s="529"/>
      <c r="GC9" s="529"/>
      <c r="GD9" s="529"/>
      <c r="GE9" s="529"/>
      <c r="GF9" s="529"/>
      <c r="GG9" s="529"/>
      <c r="GH9" s="529"/>
      <c r="GI9" s="529"/>
      <c r="GJ9" s="529"/>
      <c r="GK9" s="529"/>
      <c r="GL9" s="529"/>
      <c r="GM9" s="529"/>
      <c r="GN9" s="529"/>
      <c r="GO9" s="529"/>
      <c r="GP9" s="529"/>
      <c r="GQ9" s="529"/>
      <c r="GR9" s="529"/>
      <c r="GS9" s="529"/>
      <c r="GT9" s="529"/>
      <c r="GU9" s="529"/>
      <c r="GV9" s="529"/>
      <c r="GW9" s="529"/>
      <c r="GX9" s="529"/>
      <c r="GY9" s="529"/>
      <c r="GZ9" s="529"/>
      <c r="HA9" s="529"/>
      <c r="HB9" s="529"/>
      <c r="HC9" s="529"/>
      <c r="HD9" s="529"/>
      <c r="HE9" s="529"/>
      <c r="HF9" s="529"/>
      <c r="HG9" s="529"/>
      <c r="HH9" s="529"/>
      <c r="HI9" s="529"/>
      <c r="HJ9" s="529"/>
      <c r="HK9" s="529"/>
      <c r="HL9" s="529"/>
      <c r="HM9" s="529"/>
      <c r="HN9" s="529"/>
      <c r="HO9" s="529"/>
      <c r="HP9" s="529"/>
      <c r="HQ9" s="529"/>
      <c r="HR9" s="529"/>
      <c r="HS9" s="529"/>
      <c r="HT9" s="529"/>
      <c r="HU9" s="529"/>
      <c r="HV9" s="529"/>
      <c r="HW9" s="529"/>
      <c r="HX9" s="529"/>
      <c r="HY9" s="529"/>
      <c r="HZ9" s="529"/>
      <c r="IA9" s="529"/>
      <c r="IB9" s="529"/>
      <c r="IC9" s="529"/>
      <c r="ID9" s="529"/>
      <c r="IE9" s="529"/>
      <c r="IF9" s="529"/>
      <c r="IG9" s="529"/>
      <c r="IH9" s="529"/>
      <c r="II9" s="529"/>
      <c r="IJ9" s="529"/>
      <c r="IK9" s="529"/>
      <c r="IL9" s="529"/>
      <c r="IM9" s="529"/>
      <c r="IN9" s="529"/>
    </row>
    <row r="10" spans="1:248" ht="3.2" customHeight="1">
      <c r="A10" s="480"/>
      <c r="B10" s="480"/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0"/>
      <c r="Z10" s="480"/>
      <c r="AA10" s="480"/>
      <c r="AB10" s="480"/>
      <c r="AC10" s="480"/>
      <c r="AD10" s="480"/>
      <c r="AE10" s="480"/>
      <c r="AF10" s="480"/>
      <c r="AG10" s="480"/>
      <c r="AH10" s="480"/>
      <c r="AI10" s="480"/>
      <c r="AJ10" s="480"/>
      <c r="AK10" s="480"/>
      <c r="AL10" s="480"/>
      <c r="AM10" s="480"/>
      <c r="AN10" s="480"/>
      <c r="AO10" s="480"/>
      <c r="AP10" s="480"/>
      <c r="AQ10" s="480"/>
      <c r="AR10" s="480"/>
      <c r="AS10" s="480"/>
      <c r="AT10" s="480"/>
      <c r="AU10" s="480"/>
      <c r="AV10" s="480"/>
      <c r="AW10" s="480"/>
      <c r="AX10" s="480"/>
      <c r="AY10" s="480"/>
      <c r="AZ10" s="480"/>
      <c r="BA10" s="480"/>
      <c r="BB10" s="480"/>
      <c r="BC10" s="480"/>
      <c r="BD10" s="480"/>
      <c r="BE10" s="480"/>
      <c r="BF10" s="480"/>
      <c r="BG10" s="480"/>
      <c r="BH10" s="480"/>
      <c r="BI10" s="480"/>
      <c r="BJ10" s="480"/>
      <c r="BK10" s="480"/>
      <c r="BL10" s="480"/>
      <c r="BM10" s="480"/>
      <c r="BN10" s="480"/>
      <c r="BO10" s="480"/>
      <c r="BP10" s="480"/>
      <c r="BQ10" s="480"/>
      <c r="BR10" s="480"/>
      <c r="BS10" s="480"/>
      <c r="BT10" s="480"/>
      <c r="BU10" s="480"/>
      <c r="BV10" s="480"/>
      <c r="BW10" s="480"/>
      <c r="BX10" s="480"/>
      <c r="BY10" s="480"/>
      <c r="BZ10" s="480"/>
      <c r="CA10" s="480"/>
      <c r="CB10" s="480"/>
      <c r="CC10" s="480"/>
      <c r="CD10" s="480"/>
      <c r="CE10" s="480"/>
      <c r="CF10" s="480"/>
      <c r="CG10" s="480"/>
      <c r="CH10" s="480"/>
      <c r="CI10" s="480"/>
      <c r="CJ10" s="480"/>
      <c r="CK10" s="480"/>
      <c r="CL10" s="480"/>
      <c r="CM10" s="480"/>
      <c r="CN10" s="480"/>
      <c r="CO10" s="480"/>
      <c r="CP10" s="480"/>
      <c r="CQ10" s="480"/>
      <c r="CR10" s="480"/>
      <c r="CS10" s="480"/>
      <c r="CT10" s="480"/>
      <c r="CU10" s="480"/>
      <c r="CV10" s="480"/>
      <c r="CW10" s="480"/>
      <c r="CX10" s="480"/>
      <c r="CY10" s="480"/>
      <c r="CZ10" s="480"/>
      <c r="DA10" s="480"/>
      <c r="DB10" s="480"/>
      <c r="DC10" s="480"/>
      <c r="DD10" s="480"/>
      <c r="DE10" s="480"/>
      <c r="DF10" s="480"/>
      <c r="DG10" s="480"/>
      <c r="DH10" s="480"/>
      <c r="DI10" s="480"/>
      <c r="DJ10" s="480"/>
      <c r="DK10" s="480"/>
      <c r="DL10" s="480"/>
      <c r="DM10" s="480"/>
      <c r="DN10" s="480"/>
      <c r="DO10" s="480"/>
      <c r="DP10" s="480"/>
      <c r="DQ10" s="480"/>
      <c r="DR10" s="480"/>
      <c r="DS10" s="480"/>
      <c r="DT10" s="480"/>
      <c r="DU10" s="480"/>
      <c r="DV10" s="480"/>
      <c r="DW10" s="480"/>
      <c r="DX10" s="480"/>
      <c r="DY10" s="480"/>
      <c r="DZ10" s="480"/>
      <c r="EA10" s="480"/>
      <c r="EB10" s="480"/>
      <c r="EC10" s="480"/>
      <c r="ED10" s="480"/>
      <c r="EE10" s="480"/>
      <c r="EF10" s="480"/>
      <c r="EG10" s="480"/>
      <c r="EH10" s="480"/>
      <c r="EI10" s="480"/>
      <c r="EJ10" s="480"/>
      <c r="EK10" s="480"/>
      <c r="EL10" s="480"/>
      <c r="EM10" s="480"/>
      <c r="EN10" s="480"/>
      <c r="EO10" s="480"/>
      <c r="EP10" s="480"/>
      <c r="EQ10" s="480"/>
      <c r="ER10" s="480"/>
      <c r="ES10" s="480"/>
      <c r="ET10" s="529"/>
      <c r="EU10" s="529"/>
      <c r="EV10" s="529"/>
      <c r="EW10" s="529"/>
      <c r="EX10" s="529"/>
      <c r="EY10" s="529"/>
      <c r="EZ10" s="529"/>
      <c r="FA10" s="529"/>
      <c r="FB10" s="529"/>
      <c r="FC10" s="529"/>
      <c r="FD10" s="529"/>
      <c r="FE10" s="529"/>
      <c r="FF10" s="529"/>
      <c r="FG10" s="529"/>
      <c r="FH10" s="529"/>
      <c r="FI10" s="529"/>
      <c r="FJ10" s="529"/>
      <c r="FK10" s="529"/>
      <c r="FL10" s="529"/>
      <c r="FM10" s="529"/>
      <c r="FN10" s="529"/>
      <c r="FO10" s="529"/>
      <c r="FP10" s="529"/>
      <c r="FQ10" s="529"/>
      <c r="FR10" s="529"/>
      <c r="FS10" s="529"/>
      <c r="FT10" s="529"/>
      <c r="FU10" s="529"/>
      <c r="FV10" s="529"/>
      <c r="FW10" s="529"/>
      <c r="FX10" s="529"/>
      <c r="FY10" s="529"/>
      <c r="FZ10" s="529"/>
      <c r="GA10" s="529"/>
      <c r="GB10" s="529"/>
      <c r="GC10" s="529"/>
      <c r="GD10" s="529"/>
      <c r="GE10" s="529"/>
      <c r="GF10" s="529"/>
      <c r="GG10" s="529"/>
      <c r="GH10" s="529"/>
      <c r="GI10" s="529"/>
      <c r="GJ10" s="529"/>
      <c r="GK10" s="529"/>
      <c r="GL10" s="529"/>
      <c r="GM10" s="529"/>
      <c r="GN10" s="529"/>
      <c r="GO10" s="529"/>
      <c r="GP10" s="529"/>
      <c r="GQ10" s="529"/>
      <c r="GR10" s="529"/>
      <c r="GS10" s="529"/>
      <c r="GT10" s="529"/>
      <c r="GU10" s="529"/>
      <c r="GV10" s="529"/>
      <c r="GW10" s="529"/>
      <c r="GX10" s="529"/>
      <c r="GY10" s="529"/>
      <c r="GZ10" s="529"/>
      <c r="HA10" s="529"/>
      <c r="HB10" s="529"/>
      <c r="HC10" s="529"/>
      <c r="HD10" s="529"/>
      <c r="HE10" s="529"/>
      <c r="HF10" s="529"/>
      <c r="HG10" s="529"/>
      <c r="HH10" s="529"/>
      <c r="HI10" s="529"/>
      <c r="HJ10" s="529"/>
      <c r="HK10" s="529"/>
      <c r="HL10" s="529"/>
      <c r="HM10" s="529"/>
      <c r="HN10" s="529"/>
      <c r="HO10" s="529"/>
      <c r="HP10" s="529"/>
      <c r="HQ10" s="529"/>
      <c r="HR10" s="529"/>
      <c r="HS10" s="529"/>
      <c r="HT10" s="529"/>
      <c r="HU10" s="529"/>
      <c r="HV10" s="529"/>
      <c r="HW10" s="529"/>
      <c r="HX10" s="529"/>
      <c r="HY10" s="529"/>
      <c r="HZ10" s="529"/>
      <c r="IA10" s="529"/>
      <c r="IB10" s="529"/>
      <c r="IC10" s="529"/>
      <c r="ID10" s="529"/>
      <c r="IE10" s="529"/>
      <c r="IF10" s="529"/>
      <c r="IG10" s="529"/>
      <c r="IH10" s="529"/>
      <c r="II10" s="529"/>
      <c r="IJ10" s="529"/>
      <c r="IK10" s="529"/>
      <c r="IL10" s="529"/>
      <c r="IM10" s="529"/>
      <c r="IN10" s="529"/>
    </row>
    <row r="11" spans="1:248" ht="29.25" customHeight="1">
      <c r="A11" s="1814" t="s">
        <v>380</v>
      </c>
      <c r="B11" s="1814"/>
      <c r="C11" s="1814"/>
      <c r="D11" s="1814"/>
      <c r="E11" s="1814"/>
      <c r="F11" s="1814"/>
      <c r="G11" s="1814"/>
      <c r="H11" s="1814"/>
      <c r="I11" s="1814"/>
      <c r="J11" s="1814"/>
      <c r="K11" s="1814"/>
      <c r="L11" s="1814"/>
      <c r="M11" s="1814"/>
      <c r="N11" s="1814"/>
      <c r="O11" s="1814"/>
      <c r="P11" s="1814"/>
      <c r="Q11" s="1814"/>
      <c r="R11" s="1814"/>
      <c r="S11" s="1814"/>
      <c r="T11" s="1814"/>
      <c r="U11" s="1814"/>
      <c r="V11" s="1814"/>
      <c r="W11" s="1814"/>
      <c r="X11" s="1814"/>
      <c r="Y11" s="1814"/>
      <c r="Z11" s="1814"/>
      <c r="AA11" s="1814"/>
      <c r="AB11" s="1815" t="s">
        <v>883</v>
      </c>
      <c r="AC11" s="1815"/>
      <c r="AD11" s="1815"/>
      <c r="AE11" s="1815"/>
      <c r="AF11" s="1815"/>
      <c r="AG11" s="1815"/>
      <c r="AH11" s="1815"/>
      <c r="AI11" s="1815"/>
      <c r="AJ11" s="1815"/>
      <c r="AK11" s="1815"/>
      <c r="AL11" s="1815"/>
      <c r="AM11" s="1815"/>
      <c r="AN11" s="1815"/>
      <c r="AO11" s="1815"/>
      <c r="AP11" s="1815"/>
      <c r="AQ11" s="1815"/>
      <c r="AR11" s="1815"/>
      <c r="AS11" s="1815"/>
      <c r="AT11" s="1815"/>
      <c r="AU11" s="1815"/>
      <c r="AV11" s="1815"/>
      <c r="AW11" s="1815"/>
      <c r="AX11" s="1815"/>
      <c r="AY11" s="1815"/>
      <c r="AZ11" s="1815"/>
      <c r="BA11" s="1815"/>
      <c r="BB11" s="1815"/>
      <c r="BC11" s="1815"/>
      <c r="BD11" s="1815"/>
      <c r="BE11" s="1815"/>
      <c r="BF11" s="1815"/>
      <c r="BG11" s="1815"/>
      <c r="BH11" s="1815"/>
      <c r="BI11" s="1815"/>
      <c r="BJ11" s="1815"/>
      <c r="BK11" s="1815"/>
      <c r="BL11" s="1815"/>
      <c r="BM11" s="1815"/>
      <c r="BN11" s="1815"/>
      <c r="BO11" s="1815"/>
      <c r="BP11" s="1815"/>
      <c r="BQ11" s="1815"/>
      <c r="BR11" s="1815"/>
      <c r="BS11" s="1815"/>
      <c r="BT11" s="1815"/>
      <c r="BU11" s="1815"/>
      <c r="BV11" s="1815"/>
      <c r="BW11" s="1815"/>
      <c r="BX11" s="1815"/>
      <c r="BY11" s="1815"/>
      <c r="BZ11" s="1815"/>
      <c r="CA11" s="1815"/>
      <c r="CB11" s="1815"/>
      <c r="CC11" s="1815"/>
      <c r="CD11" s="1815"/>
      <c r="CE11" s="1815"/>
      <c r="CF11" s="1815"/>
      <c r="CG11" s="1815"/>
      <c r="CH11" s="1815"/>
      <c r="CI11" s="1815"/>
      <c r="CJ11" s="1815"/>
      <c r="CK11" s="1815"/>
      <c r="CL11" s="1815"/>
      <c r="CM11" s="1815"/>
      <c r="CN11" s="1815"/>
      <c r="CO11" s="1815"/>
      <c r="CP11" s="1815"/>
      <c r="CQ11" s="1815"/>
      <c r="CR11" s="1815"/>
      <c r="CS11" s="1815"/>
      <c r="CT11" s="1815"/>
      <c r="CU11" s="1815"/>
      <c r="CV11" s="1815"/>
      <c r="CW11" s="1815"/>
      <c r="CX11" s="1815"/>
      <c r="CY11" s="1815"/>
      <c r="CZ11" s="1815"/>
      <c r="DA11" s="1815"/>
      <c r="DB11" s="1815"/>
      <c r="DC11" s="1815"/>
      <c r="DD11" s="1815"/>
      <c r="DE11" s="1815"/>
      <c r="DF11" s="1815"/>
      <c r="DG11" s="1815"/>
      <c r="DH11" s="1815"/>
      <c r="DI11" s="1816" t="s">
        <v>381</v>
      </c>
      <c r="DJ11" s="1816"/>
      <c r="DK11" s="1816"/>
      <c r="DL11" s="1816"/>
      <c r="DM11" s="1816"/>
      <c r="DN11" s="1816"/>
      <c r="DO11" s="1816"/>
      <c r="DP11" s="1816"/>
      <c r="DQ11" s="1816"/>
      <c r="DR11" s="1816"/>
      <c r="DS11" s="1816"/>
      <c r="DT11" s="1816"/>
      <c r="DU11" s="1816"/>
      <c r="DV11" s="1816"/>
      <c r="DW11" s="1816"/>
      <c r="DX11" s="1816"/>
      <c r="DY11" s="1816"/>
      <c r="DZ11" s="1816"/>
      <c r="EA11" s="480"/>
      <c r="EB11" s="1817" t="s">
        <v>382</v>
      </c>
      <c r="EC11" s="1818"/>
      <c r="ED11" s="1818"/>
      <c r="EE11" s="1818"/>
      <c r="EF11" s="1818"/>
      <c r="EG11" s="1818"/>
      <c r="EH11" s="1818"/>
      <c r="EI11" s="1818"/>
      <c r="EJ11" s="1818"/>
      <c r="EK11" s="1818"/>
      <c r="EL11" s="1818"/>
      <c r="EM11" s="1818"/>
      <c r="EN11" s="1818"/>
      <c r="EO11" s="1818"/>
      <c r="EP11" s="1818"/>
      <c r="EQ11" s="1818"/>
      <c r="ER11" s="1818"/>
      <c r="ES11" s="1819"/>
      <c r="ET11" s="529"/>
      <c r="EU11" s="529"/>
      <c r="EV11" s="529"/>
      <c r="EW11" s="529"/>
      <c r="EX11" s="529"/>
      <c r="EY11" s="529"/>
      <c r="EZ11" s="529"/>
      <c r="FA11" s="529"/>
      <c r="FB11" s="529"/>
      <c r="FC11" s="529"/>
      <c r="FD11" s="529"/>
      <c r="FE11" s="529"/>
      <c r="FF11" s="529"/>
      <c r="FG11" s="529"/>
      <c r="FH11" s="529"/>
      <c r="FI11" s="529"/>
      <c r="FJ11" s="529"/>
      <c r="FK11" s="529"/>
      <c r="FL11" s="529"/>
      <c r="FM11" s="529"/>
      <c r="FN11" s="529"/>
      <c r="FO11" s="529"/>
      <c r="FP11" s="529"/>
      <c r="FQ11" s="529"/>
      <c r="FR11" s="529"/>
      <c r="FS11" s="529"/>
      <c r="FT11" s="529"/>
      <c r="FU11" s="529"/>
      <c r="FV11" s="529"/>
      <c r="FW11" s="529"/>
      <c r="FX11" s="529"/>
      <c r="FY11" s="529"/>
      <c r="FZ11" s="529"/>
      <c r="GA11" s="529"/>
      <c r="GB11" s="529"/>
      <c r="GC11" s="529"/>
      <c r="GD11" s="529"/>
      <c r="GE11" s="529"/>
      <c r="GF11" s="529"/>
      <c r="GG11" s="529"/>
      <c r="GH11" s="529"/>
      <c r="GI11" s="529"/>
      <c r="GJ11" s="529"/>
      <c r="GK11" s="529"/>
      <c r="GL11" s="529"/>
      <c r="GM11" s="529"/>
      <c r="GN11" s="529"/>
      <c r="GO11" s="529"/>
      <c r="GP11" s="529"/>
      <c r="GQ11" s="529"/>
      <c r="GR11" s="529"/>
      <c r="GS11" s="529"/>
      <c r="GT11" s="529"/>
      <c r="GU11" s="529"/>
      <c r="GV11" s="529"/>
      <c r="GW11" s="529"/>
      <c r="GX11" s="529"/>
      <c r="GY11" s="529"/>
      <c r="GZ11" s="529"/>
      <c r="HA11" s="529"/>
      <c r="HB11" s="529"/>
      <c r="HC11" s="529"/>
      <c r="HD11" s="529"/>
      <c r="HE11" s="529"/>
      <c r="HF11" s="529"/>
      <c r="HG11" s="529"/>
      <c r="HH11" s="529"/>
      <c r="HI11" s="529"/>
      <c r="HJ11" s="529"/>
      <c r="HK11" s="529"/>
      <c r="HL11" s="529"/>
      <c r="HM11" s="529"/>
      <c r="HN11" s="529"/>
      <c r="HO11" s="529"/>
      <c r="HP11" s="529"/>
      <c r="HQ11" s="529"/>
      <c r="HR11" s="529"/>
      <c r="HS11" s="529"/>
      <c r="HT11" s="529"/>
      <c r="HU11" s="529"/>
      <c r="HV11" s="529"/>
      <c r="HW11" s="529"/>
      <c r="HX11" s="529"/>
      <c r="HY11" s="529"/>
      <c r="HZ11" s="529"/>
      <c r="IA11" s="529"/>
      <c r="IB11" s="529"/>
      <c r="IC11" s="529"/>
      <c r="ID11" s="529"/>
      <c r="IE11" s="529"/>
      <c r="IF11" s="529"/>
      <c r="IG11" s="529"/>
      <c r="IH11" s="529"/>
      <c r="II11" s="529"/>
      <c r="IJ11" s="529"/>
      <c r="IK11" s="529"/>
      <c r="IL11" s="529"/>
      <c r="IM11" s="529"/>
      <c r="IN11" s="529"/>
    </row>
    <row r="12" spans="1:248" ht="11.25" customHeight="1">
      <c r="A12" s="488"/>
      <c r="B12" s="488"/>
      <c r="C12" s="488"/>
      <c r="D12" s="488"/>
      <c r="E12" s="488"/>
      <c r="F12" s="488"/>
      <c r="G12" s="488"/>
      <c r="H12" s="488"/>
      <c r="I12" s="488"/>
      <c r="J12" s="488"/>
      <c r="K12" s="488"/>
      <c r="L12" s="488"/>
      <c r="M12" s="488"/>
      <c r="N12" s="488"/>
      <c r="O12" s="488"/>
      <c r="P12" s="488"/>
      <c r="Q12" s="488"/>
      <c r="R12" s="488"/>
      <c r="S12" s="488"/>
      <c r="T12" s="488"/>
      <c r="U12" s="488"/>
      <c r="V12" s="488"/>
      <c r="W12" s="488"/>
      <c r="X12" s="488"/>
      <c r="Y12" s="488"/>
      <c r="Z12" s="488"/>
      <c r="AA12" s="488"/>
      <c r="AB12" s="489"/>
      <c r="AC12" s="489"/>
      <c r="AD12" s="489"/>
      <c r="AE12" s="489"/>
      <c r="AF12" s="489"/>
      <c r="AG12" s="489"/>
      <c r="AH12" s="489"/>
      <c r="AI12" s="489"/>
      <c r="AJ12" s="489"/>
      <c r="AK12" s="489"/>
      <c r="AL12" s="489"/>
      <c r="AM12" s="489"/>
      <c r="AN12" s="489"/>
      <c r="AO12" s="484"/>
      <c r="AP12" s="484"/>
      <c r="AQ12" s="484"/>
      <c r="AR12" s="484"/>
      <c r="AS12" s="484"/>
      <c r="AT12" s="484"/>
      <c r="AU12" s="484"/>
      <c r="AV12" s="484"/>
      <c r="AW12" s="484"/>
      <c r="AX12" s="484"/>
      <c r="AY12" s="484"/>
      <c r="AZ12" s="484"/>
      <c r="BA12" s="484"/>
      <c r="BB12" s="484"/>
      <c r="BC12" s="484"/>
      <c r="BD12" s="484"/>
      <c r="BE12" s="484"/>
      <c r="BF12" s="484"/>
      <c r="BG12" s="484"/>
      <c r="BH12" s="484"/>
      <c r="BI12" s="484"/>
      <c r="BJ12" s="484"/>
      <c r="BK12" s="484"/>
      <c r="BL12" s="484"/>
      <c r="BM12" s="484"/>
      <c r="BN12" s="484"/>
      <c r="BO12" s="484"/>
      <c r="BP12" s="484"/>
      <c r="BQ12" s="484"/>
      <c r="BR12" s="484"/>
      <c r="BS12" s="484"/>
      <c r="BT12" s="484"/>
      <c r="BU12" s="484"/>
      <c r="BV12" s="484"/>
      <c r="BW12" s="484"/>
      <c r="BX12" s="484"/>
      <c r="BY12" s="484"/>
      <c r="BZ12" s="484"/>
      <c r="CA12" s="484"/>
      <c r="CB12" s="484"/>
      <c r="CC12" s="484"/>
      <c r="CD12" s="484"/>
      <c r="CE12" s="484"/>
      <c r="CF12" s="484"/>
      <c r="CG12" s="484"/>
      <c r="CH12" s="484"/>
      <c r="CI12" s="484"/>
      <c r="CJ12" s="484"/>
      <c r="CK12" s="484"/>
      <c r="CL12" s="484"/>
      <c r="CM12" s="484"/>
      <c r="CN12" s="484"/>
      <c r="CO12" s="484"/>
      <c r="CP12" s="484"/>
      <c r="CQ12" s="484"/>
      <c r="CR12" s="484"/>
      <c r="CS12" s="484"/>
      <c r="CT12" s="484"/>
      <c r="CU12" s="484"/>
      <c r="CV12" s="484"/>
      <c r="CW12" s="484"/>
      <c r="CX12" s="484"/>
      <c r="CY12" s="484"/>
      <c r="CZ12" s="484"/>
      <c r="DA12" s="484"/>
      <c r="DB12" s="484"/>
      <c r="DC12" s="484"/>
      <c r="DD12" s="484"/>
      <c r="DE12" s="484"/>
      <c r="DF12" s="484"/>
      <c r="DG12" s="484"/>
      <c r="DH12" s="480"/>
      <c r="DI12" s="1810" t="s">
        <v>249</v>
      </c>
      <c r="DJ12" s="1810"/>
      <c r="DK12" s="1810"/>
      <c r="DL12" s="1810"/>
      <c r="DM12" s="1810"/>
      <c r="DN12" s="1810"/>
      <c r="DO12" s="1810"/>
      <c r="DP12" s="1810"/>
      <c r="DQ12" s="1810"/>
      <c r="DR12" s="1810"/>
      <c r="DS12" s="1810"/>
      <c r="DT12" s="1810"/>
      <c r="DU12" s="1810"/>
      <c r="DV12" s="1810"/>
      <c r="DW12" s="1810"/>
      <c r="DX12" s="1810"/>
      <c r="DY12" s="1810"/>
      <c r="DZ12" s="1810"/>
      <c r="EA12" s="480"/>
      <c r="EB12" s="1820"/>
      <c r="EC12" s="1821"/>
      <c r="ED12" s="1821"/>
      <c r="EE12" s="1821"/>
      <c r="EF12" s="1821"/>
      <c r="EG12" s="1821"/>
      <c r="EH12" s="1821"/>
      <c r="EI12" s="1821"/>
      <c r="EJ12" s="1821"/>
      <c r="EK12" s="1821"/>
      <c r="EL12" s="1821"/>
      <c r="EM12" s="1821"/>
      <c r="EN12" s="1821"/>
      <c r="EO12" s="1821"/>
      <c r="EP12" s="1821"/>
      <c r="EQ12" s="1821"/>
      <c r="ER12" s="1821"/>
      <c r="ES12" s="1822"/>
      <c r="ET12" s="529"/>
      <c r="EU12" s="529"/>
      <c r="EV12" s="529"/>
      <c r="EW12" s="529"/>
      <c r="EX12" s="529"/>
      <c r="EY12" s="529"/>
      <c r="EZ12" s="529"/>
      <c r="FA12" s="529"/>
      <c r="FB12" s="529"/>
      <c r="FC12" s="529"/>
      <c r="FD12" s="529"/>
      <c r="FE12" s="529"/>
      <c r="FF12" s="529"/>
      <c r="FG12" s="529"/>
      <c r="FH12" s="529"/>
      <c r="FI12" s="529"/>
      <c r="FJ12" s="529"/>
      <c r="FK12" s="529"/>
      <c r="FL12" s="529"/>
      <c r="FM12" s="529"/>
      <c r="FN12" s="529"/>
      <c r="FO12" s="529"/>
      <c r="FP12" s="529"/>
      <c r="FQ12" s="529"/>
      <c r="FR12" s="529"/>
      <c r="FS12" s="529"/>
      <c r="FT12" s="529"/>
      <c r="FU12" s="529"/>
      <c r="FV12" s="529"/>
      <c r="FW12" s="529"/>
      <c r="FX12" s="529"/>
      <c r="FY12" s="529"/>
      <c r="FZ12" s="529"/>
      <c r="GA12" s="529"/>
      <c r="GB12" s="529"/>
      <c r="GC12" s="529"/>
      <c r="GD12" s="529"/>
      <c r="GE12" s="529"/>
      <c r="GF12" s="529"/>
      <c r="GG12" s="529"/>
      <c r="GH12" s="529"/>
      <c r="GI12" s="529"/>
      <c r="GJ12" s="529"/>
      <c r="GK12" s="529"/>
      <c r="GL12" s="529"/>
      <c r="GM12" s="529"/>
      <c r="GN12" s="529"/>
      <c r="GO12" s="529"/>
      <c r="GP12" s="529"/>
      <c r="GQ12" s="529"/>
      <c r="GR12" s="529"/>
      <c r="GS12" s="529"/>
      <c r="GT12" s="529"/>
      <c r="GU12" s="529"/>
      <c r="GV12" s="529"/>
      <c r="GW12" s="529"/>
      <c r="GX12" s="529"/>
      <c r="GY12" s="529"/>
      <c r="GZ12" s="529"/>
      <c r="HA12" s="529"/>
      <c r="HB12" s="529"/>
      <c r="HC12" s="529"/>
      <c r="HD12" s="529"/>
      <c r="HE12" s="529"/>
      <c r="HF12" s="529"/>
      <c r="HG12" s="529"/>
      <c r="HH12" s="529"/>
      <c r="HI12" s="529"/>
      <c r="HJ12" s="529"/>
      <c r="HK12" s="529"/>
      <c r="HL12" s="529"/>
      <c r="HM12" s="529"/>
      <c r="HN12" s="529"/>
      <c r="HO12" s="529"/>
      <c r="HP12" s="529"/>
      <c r="HQ12" s="529"/>
      <c r="HR12" s="529"/>
      <c r="HS12" s="529"/>
      <c r="HT12" s="529"/>
      <c r="HU12" s="529"/>
      <c r="HV12" s="529"/>
      <c r="HW12" s="529"/>
      <c r="HX12" s="529"/>
      <c r="HY12" s="529"/>
      <c r="HZ12" s="529"/>
      <c r="IA12" s="529"/>
      <c r="IB12" s="529"/>
      <c r="IC12" s="529"/>
      <c r="ID12" s="529"/>
      <c r="IE12" s="529"/>
      <c r="IF12" s="529"/>
      <c r="IG12" s="529"/>
      <c r="IH12" s="529"/>
      <c r="II12" s="529"/>
      <c r="IJ12" s="529"/>
      <c r="IK12" s="529"/>
      <c r="IL12" s="529"/>
      <c r="IM12" s="529"/>
      <c r="IN12" s="529"/>
    </row>
    <row r="13" spans="1:248" ht="11.25" customHeight="1">
      <c r="A13" s="488"/>
      <c r="B13" s="490"/>
      <c r="C13" s="490"/>
      <c r="D13" s="490"/>
      <c r="E13" s="490"/>
      <c r="F13" s="490"/>
      <c r="G13" s="490"/>
      <c r="H13" s="490"/>
      <c r="I13" s="490"/>
      <c r="J13" s="490"/>
      <c r="K13" s="490"/>
      <c r="L13" s="490"/>
      <c r="M13" s="490"/>
      <c r="N13" s="490"/>
      <c r="O13" s="490"/>
      <c r="P13" s="490"/>
      <c r="Q13" s="490"/>
      <c r="R13" s="490"/>
      <c r="S13" s="490"/>
      <c r="T13" s="490"/>
      <c r="U13" s="490"/>
      <c r="V13" s="490"/>
      <c r="W13" s="490"/>
      <c r="X13" s="490"/>
      <c r="Y13" s="490"/>
      <c r="Z13" s="490"/>
      <c r="AA13" s="491"/>
      <c r="AB13" s="491"/>
      <c r="AC13" s="491"/>
      <c r="AD13" s="491"/>
      <c r="AE13" s="491"/>
      <c r="AF13" s="491"/>
      <c r="AG13" s="491"/>
      <c r="AH13" s="491"/>
      <c r="AI13" s="491"/>
      <c r="AJ13" s="491"/>
      <c r="AK13" s="491"/>
      <c r="AL13" s="491"/>
      <c r="AM13" s="491"/>
      <c r="AN13" s="491"/>
      <c r="AO13" s="487"/>
      <c r="AP13" s="487"/>
      <c r="AQ13" s="487"/>
      <c r="AR13" s="487"/>
      <c r="AS13" s="487"/>
      <c r="AT13" s="487"/>
      <c r="AU13" s="487"/>
      <c r="AV13" s="487"/>
      <c r="AW13" s="487"/>
      <c r="AX13" s="487"/>
      <c r="AY13" s="487"/>
      <c r="AZ13" s="487"/>
      <c r="BA13" s="487"/>
      <c r="BB13" s="487"/>
      <c r="BC13" s="487"/>
      <c r="BD13" s="487"/>
      <c r="BE13" s="487"/>
      <c r="BF13" s="487"/>
      <c r="BG13" s="487"/>
      <c r="BH13" s="487"/>
      <c r="BI13" s="487"/>
      <c r="BJ13" s="487"/>
      <c r="BK13" s="487"/>
      <c r="BL13" s="487"/>
      <c r="BM13" s="487"/>
      <c r="BN13" s="487"/>
      <c r="BO13" s="487"/>
      <c r="BP13" s="487"/>
      <c r="BQ13" s="487"/>
      <c r="BR13" s="487"/>
      <c r="BS13" s="487"/>
      <c r="BT13" s="487"/>
      <c r="BU13" s="487"/>
      <c r="BV13" s="487"/>
      <c r="BW13" s="487"/>
      <c r="BX13" s="487"/>
      <c r="BY13" s="487"/>
      <c r="BZ13" s="487"/>
      <c r="CA13" s="487"/>
      <c r="CB13" s="487"/>
      <c r="CC13" s="487"/>
      <c r="CD13" s="487"/>
      <c r="CE13" s="487"/>
      <c r="CF13" s="487"/>
      <c r="CG13" s="487"/>
      <c r="CH13" s="487"/>
      <c r="CI13" s="487"/>
      <c r="CJ13" s="487"/>
      <c r="CK13" s="487"/>
      <c r="CL13" s="487"/>
      <c r="CM13" s="487"/>
      <c r="CN13" s="487"/>
      <c r="CO13" s="487"/>
      <c r="CP13" s="487"/>
      <c r="CQ13" s="487"/>
      <c r="CR13" s="487"/>
      <c r="CS13" s="487"/>
      <c r="CT13" s="487"/>
      <c r="CU13" s="487"/>
      <c r="CV13" s="487"/>
      <c r="CW13" s="487"/>
      <c r="CX13" s="487"/>
      <c r="CY13" s="487"/>
      <c r="CZ13" s="487"/>
      <c r="DA13" s="487"/>
      <c r="DB13" s="487"/>
      <c r="DC13" s="487"/>
      <c r="DD13" s="487"/>
      <c r="DE13" s="487"/>
      <c r="DF13" s="487"/>
      <c r="DG13" s="487"/>
      <c r="DH13" s="480"/>
      <c r="DI13" s="1810" t="s">
        <v>226</v>
      </c>
      <c r="DJ13" s="1810"/>
      <c r="DK13" s="1810"/>
      <c r="DL13" s="1810"/>
      <c r="DM13" s="1810"/>
      <c r="DN13" s="1810"/>
      <c r="DO13" s="1810"/>
      <c r="DP13" s="1810"/>
      <c r="DQ13" s="1810"/>
      <c r="DR13" s="1810"/>
      <c r="DS13" s="1810"/>
      <c r="DT13" s="1810"/>
      <c r="DU13" s="1810"/>
      <c r="DV13" s="1810"/>
      <c r="DW13" s="1810"/>
      <c r="DX13" s="1810"/>
      <c r="DY13" s="1810"/>
      <c r="DZ13" s="1810"/>
      <c r="EA13" s="480"/>
      <c r="EB13" s="1808" t="s">
        <v>882</v>
      </c>
      <c r="EC13" s="1808"/>
      <c r="ED13" s="1808"/>
      <c r="EE13" s="1808"/>
      <c r="EF13" s="1808"/>
      <c r="EG13" s="1808"/>
      <c r="EH13" s="1808"/>
      <c r="EI13" s="1808"/>
      <c r="EJ13" s="1808"/>
      <c r="EK13" s="1808"/>
      <c r="EL13" s="1808"/>
      <c r="EM13" s="1808"/>
      <c r="EN13" s="1808"/>
      <c r="EO13" s="1808"/>
      <c r="EP13" s="1808"/>
      <c r="EQ13" s="1808"/>
      <c r="ER13" s="1808"/>
      <c r="ES13" s="1808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</row>
    <row r="14" spans="1:248" ht="19.5" customHeight="1">
      <c r="A14" s="1813" t="s">
        <v>383</v>
      </c>
      <c r="B14" s="1813"/>
      <c r="C14" s="1813"/>
      <c r="D14" s="1813"/>
      <c r="E14" s="1813"/>
      <c r="F14" s="1813"/>
      <c r="G14" s="1813"/>
      <c r="H14" s="1813"/>
      <c r="I14" s="1813"/>
      <c r="J14" s="1813"/>
      <c r="K14" s="1813"/>
      <c r="L14" s="1813"/>
      <c r="M14" s="1813"/>
      <c r="N14" s="1813"/>
      <c r="O14" s="1813"/>
      <c r="P14" s="1813"/>
      <c r="Q14" s="1813"/>
      <c r="R14" s="1813"/>
      <c r="S14" s="1813"/>
      <c r="T14" s="1813"/>
      <c r="U14" s="1813"/>
      <c r="V14" s="1813"/>
      <c r="W14" s="1813"/>
      <c r="X14" s="1813"/>
      <c r="Y14" s="1813"/>
      <c r="Z14" s="1813"/>
      <c r="AA14" s="1813"/>
      <c r="AB14" s="1825" t="s">
        <v>879</v>
      </c>
      <c r="AC14" s="1825"/>
      <c r="AD14" s="1825"/>
      <c r="AE14" s="1825"/>
      <c r="AF14" s="1825"/>
      <c r="AG14" s="1825"/>
      <c r="AH14" s="1825"/>
      <c r="AI14" s="1825"/>
      <c r="AJ14" s="1825"/>
      <c r="AK14" s="1825"/>
      <c r="AL14" s="1825"/>
      <c r="AM14" s="1825"/>
      <c r="AN14" s="1825"/>
      <c r="AO14" s="1825"/>
      <c r="AP14" s="1825"/>
      <c r="AQ14" s="1825"/>
      <c r="AR14" s="1825"/>
      <c r="AS14" s="1825"/>
      <c r="AT14" s="1825"/>
      <c r="AU14" s="1825"/>
      <c r="AV14" s="1825"/>
      <c r="AW14" s="1825"/>
      <c r="AX14" s="1825"/>
      <c r="AY14" s="1825"/>
      <c r="AZ14" s="1825"/>
      <c r="BA14" s="1825"/>
      <c r="BB14" s="1825"/>
      <c r="BC14" s="1825"/>
      <c r="BD14" s="1825"/>
      <c r="BE14" s="1825"/>
      <c r="BF14" s="1825"/>
      <c r="BG14" s="1825"/>
      <c r="BH14" s="1825"/>
      <c r="BI14" s="1825"/>
      <c r="BJ14" s="1825"/>
      <c r="BK14" s="1825"/>
      <c r="BL14" s="1825"/>
      <c r="BM14" s="1825"/>
      <c r="BN14" s="1825"/>
      <c r="BO14" s="1825"/>
      <c r="BP14" s="1825"/>
      <c r="BQ14" s="1825"/>
      <c r="BR14" s="1825"/>
      <c r="BS14" s="1825"/>
      <c r="BT14" s="1825"/>
      <c r="BU14" s="1825"/>
      <c r="BV14" s="1825"/>
      <c r="BW14" s="1825"/>
      <c r="BX14" s="1825"/>
      <c r="BY14" s="1825"/>
      <c r="BZ14" s="1825"/>
      <c r="CA14" s="1825"/>
      <c r="CB14" s="1825"/>
      <c r="CC14" s="1825"/>
      <c r="CD14" s="1825"/>
      <c r="CE14" s="1825"/>
      <c r="CF14" s="1825"/>
      <c r="CG14" s="1825"/>
      <c r="CH14" s="1825"/>
      <c r="CI14" s="1825"/>
      <c r="CJ14" s="1825"/>
      <c r="CK14" s="1825"/>
      <c r="CL14" s="1825"/>
      <c r="CM14" s="1825"/>
      <c r="CN14" s="1825"/>
      <c r="CO14" s="1825"/>
      <c r="CP14" s="1825"/>
      <c r="CQ14" s="1825"/>
      <c r="CR14" s="1825"/>
      <c r="CS14" s="1825"/>
      <c r="CT14" s="1825"/>
      <c r="CU14" s="1825"/>
      <c r="CV14" s="1825"/>
      <c r="CW14" s="1825"/>
      <c r="CX14" s="1825"/>
      <c r="CY14" s="1825"/>
      <c r="CZ14" s="1825"/>
      <c r="DA14" s="1825"/>
      <c r="DB14" s="1825"/>
      <c r="DC14" s="1825"/>
      <c r="DD14" s="1825"/>
      <c r="DE14" s="1825"/>
      <c r="DF14" s="1825"/>
      <c r="DG14" s="1825"/>
      <c r="DH14" s="480"/>
      <c r="DI14" s="1810"/>
      <c r="DJ14" s="1810"/>
      <c r="DK14" s="1810"/>
      <c r="DL14" s="1810"/>
      <c r="DM14" s="1810"/>
      <c r="DN14" s="1810"/>
      <c r="DO14" s="1810"/>
      <c r="DP14" s="1810"/>
      <c r="DQ14" s="1810"/>
      <c r="DR14" s="1810"/>
      <c r="DS14" s="1810"/>
      <c r="DT14" s="1810"/>
      <c r="DU14" s="1810"/>
      <c r="DV14" s="1810"/>
      <c r="DW14" s="1810"/>
      <c r="DX14" s="1810"/>
      <c r="DY14" s="1810"/>
      <c r="DZ14" s="1810"/>
      <c r="EA14" s="480"/>
      <c r="EB14" s="1808"/>
      <c r="EC14" s="1808"/>
      <c r="ED14" s="1808"/>
      <c r="EE14" s="1808"/>
      <c r="EF14" s="1808"/>
      <c r="EG14" s="1808"/>
      <c r="EH14" s="1808"/>
      <c r="EI14" s="1808"/>
      <c r="EJ14" s="1808"/>
      <c r="EK14" s="1808"/>
      <c r="EL14" s="1808"/>
      <c r="EM14" s="1808"/>
      <c r="EN14" s="1808"/>
      <c r="EO14" s="1808"/>
      <c r="EP14" s="1808"/>
      <c r="EQ14" s="1808"/>
      <c r="ER14" s="1808"/>
      <c r="ES14" s="1808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</row>
    <row r="15" spans="1:248" ht="11.25" customHeight="1">
      <c r="A15" s="480"/>
      <c r="B15" s="480"/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480"/>
      <c r="AU15" s="480"/>
      <c r="AV15" s="480"/>
      <c r="AW15" s="480"/>
      <c r="AX15" s="480"/>
      <c r="AY15" s="480"/>
      <c r="AZ15" s="480"/>
      <c r="BA15" s="480"/>
      <c r="BB15" s="480"/>
      <c r="BC15" s="480"/>
      <c r="BD15" s="480"/>
      <c r="BE15" s="480"/>
      <c r="BF15" s="480"/>
      <c r="BG15" s="480"/>
      <c r="BH15" s="480"/>
      <c r="BI15" s="480"/>
      <c r="BJ15" s="480"/>
      <c r="BK15" s="480"/>
      <c r="BL15" s="480"/>
      <c r="BM15" s="480"/>
      <c r="BN15" s="480"/>
      <c r="BO15" s="480"/>
      <c r="BP15" s="480"/>
      <c r="BQ15" s="480"/>
      <c r="BR15" s="480"/>
      <c r="BS15" s="480"/>
      <c r="BT15" s="480"/>
      <c r="BU15" s="480"/>
      <c r="BV15" s="480"/>
      <c r="BW15" s="480"/>
      <c r="BX15" s="480"/>
      <c r="BY15" s="480"/>
      <c r="BZ15" s="480"/>
      <c r="CA15" s="480"/>
      <c r="CB15" s="480"/>
      <c r="CC15" s="480"/>
      <c r="CD15" s="480"/>
      <c r="CE15" s="480"/>
      <c r="CF15" s="480"/>
      <c r="CG15" s="480"/>
      <c r="CH15" s="480"/>
      <c r="CI15" s="480"/>
      <c r="CJ15" s="480"/>
      <c r="CK15" s="480"/>
      <c r="CL15" s="480"/>
      <c r="CM15" s="480"/>
      <c r="CN15" s="480"/>
      <c r="CO15" s="480"/>
      <c r="CP15" s="480"/>
      <c r="CQ15" s="480"/>
      <c r="CR15" s="480"/>
      <c r="CS15" s="480"/>
      <c r="CT15" s="480"/>
      <c r="CU15" s="480"/>
      <c r="CV15" s="480"/>
      <c r="CW15" s="480"/>
      <c r="CX15" s="480"/>
      <c r="CY15" s="480"/>
      <c r="CZ15" s="480"/>
      <c r="DA15" s="480"/>
      <c r="DB15" s="480"/>
      <c r="DC15" s="480"/>
      <c r="DD15" s="480"/>
      <c r="DE15" s="480"/>
      <c r="DF15" s="480"/>
      <c r="DG15" s="480"/>
      <c r="DH15" s="480"/>
      <c r="DI15" s="1810"/>
      <c r="DJ15" s="1810"/>
      <c r="DK15" s="1810"/>
      <c r="DL15" s="1810"/>
      <c r="DM15" s="1810"/>
      <c r="DN15" s="1810"/>
      <c r="DO15" s="1810"/>
      <c r="DP15" s="1810"/>
      <c r="DQ15" s="1810"/>
      <c r="DR15" s="1810"/>
      <c r="DS15" s="1810"/>
      <c r="DT15" s="1810"/>
      <c r="DU15" s="1810"/>
      <c r="DV15" s="1810"/>
      <c r="DW15" s="1810"/>
      <c r="DX15" s="1810"/>
      <c r="DY15" s="1810"/>
      <c r="DZ15" s="1810"/>
      <c r="EA15" s="480"/>
      <c r="EB15" s="1808"/>
      <c r="EC15" s="1808"/>
      <c r="ED15" s="1808"/>
      <c r="EE15" s="1808"/>
      <c r="EF15" s="1808"/>
      <c r="EG15" s="1808"/>
      <c r="EH15" s="1808"/>
      <c r="EI15" s="1808"/>
      <c r="EJ15" s="1808"/>
      <c r="EK15" s="1808"/>
      <c r="EL15" s="1808"/>
      <c r="EM15" s="1808"/>
      <c r="EN15" s="1808"/>
      <c r="EO15" s="1808"/>
      <c r="EP15" s="1808"/>
      <c r="EQ15" s="1808"/>
      <c r="ER15" s="1808"/>
      <c r="ES15" s="1808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</row>
    <row r="16" spans="1:248" ht="11.25" customHeight="1">
      <c r="A16" s="488"/>
      <c r="B16" s="485"/>
      <c r="C16" s="485"/>
      <c r="D16" s="485"/>
      <c r="E16" s="485"/>
      <c r="F16" s="485"/>
      <c r="G16" s="485"/>
      <c r="H16" s="485"/>
      <c r="I16" s="485"/>
      <c r="J16" s="485"/>
      <c r="K16" s="485"/>
      <c r="L16" s="485"/>
      <c r="M16" s="485"/>
      <c r="N16" s="485"/>
      <c r="O16" s="485"/>
      <c r="P16" s="485"/>
      <c r="Q16" s="485"/>
      <c r="R16" s="485"/>
      <c r="S16" s="485"/>
      <c r="T16" s="485"/>
      <c r="U16" s="485"/>
      <c r="V16" s="485"/>
      <c r="W16" s="485"/>
      <c r="X16" s="485"/>
      <c r="Y16" s="485"/>
      <c r="Z16" s="485"/>
      <c r="AA16" s="485"/>
      <c r="AB16" s="480"/>
      <c r="AC16" s="480"/>
      <c r="AD16" s="480"/>
      <c r="AE16" s="480"/>
      <c r="AF16" s="480"/>
      <c r="AG16" s="480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480"/>
      <c r="AU16" s="480"/>
      <c r="AV16" s="480"/>
      <c r="AW16" s="480"/>
      <c r="AX16" s="480"/>
      <c r="AY16" s="480"/>
      <c r="AZ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480"/>
      <c r="CB16" s="480"/>
      <c r="CC16" s="480"/>
      <c r="CD16" s="480"/>
      <c r="CE16" s="480"/>
      <c r="CF16" s="480"/>
      <c r="CG16" s="480"/>
      <c r="CH16" s="480"/>
      <c r="CI16" s="480"/>
      <c r="CJ16" s="480"/>
      <c r="CK16" s="480"/>
      <c r="CL16" s="480"/>
      <c r="CM16" s="480"/>
      <c r="CN16" s="480"/>
      <c r="CO16" s="480"/>
      <c r="CP16" s="480"/>
      <c r="CQ16" s="480"/>
      <c r="CR16" s="480"/>
      <c r="CS16" s="480"/>
      <c r="CT16" s="480"/>
      <c r="CU16" s="480"/>
      <c r="CV16" s="480"/>
      <c r="CW16" s="480"/>
      <c r="CX16" s="480"/>
      <c r="CY16" s="480"/>
      <c r="CZ16" s="480"/>
      <c r="DA16" s="480"/>
      <c r="DB16" s="480"/>
      <c r="DC16" s="480"/>
      <c r="DD16" s="480"/>
      <c r="DE16" s="480"/>
      <c r="DF16" s="480"/>
      <c r="DG16" s="480"/>
      <c r="DH16" s="480"/>
      <c r="DI16" s="1810"/>
      <c r="DJ16" s="1810"/>
      <c r="DK16" s="1810"/>
      <c r="DL16" s="1810"/>
      <c r="DM16" s="1810"/>
      <c r="DN16" s="1810"/>
      <c r="DO16" s="1810"/>
      <c r="DP16" s="1810"/>
      <c r="DQ16" s="1810"/>
      <c r="DR16" s="1810"/>
      <c r="DS16" s="1810"/>
      <c r="DT16" s="1810"/>
      <c r="DU16" s="1810"/>
      <c r="DV16" s="1810"/>
      <c r="DW16" s="1810"/>
      <c r="DX16" s="1810"/>
      <c r="DY16" s="1810"/>
      <c r="DZ16" s="1810"/>
      <c r="EA16" s="480"/>
      <c r="EB16" s="1808"/>
      <c r="EC16" s="1808"/>
      <c r="ED16" s="1808"/>
      <c r="EE16" s="1808"/>
      <c r="EF16" s="1808"/>
      <c r="EG16" s="1808"/>
      <c r="EH16" s="1808"/>
      <c r="EI16" s="1808"/>
      <c r="EJ16" s="1808"/>
      <c r="EK16" s="1808"/>
      <c r="EL16" s="1808"/>
      <c r="EM16" s="1808"/>
      <c r="EN16" s="1808"/>
      <c r="EO16" s="1808"/>
      <c r="EP16" s="1808"/>
      <c r="EQ16" s="1808"/>
      <c r="ER16" s="1808"/>
      <c r="ES16" s="1808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</row>
    <row r="17" spans="1:248" ht="11.25" customHeight="1">
      <c r="A17" s="483" t="s">
        <v>384</v>
      </c>
      <c r="B17" s="480"/>
      <c r="C17" s="480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80"/>
      <c r="R17" s="480"/>
      <c r="S17" s="480"/>
      <c r="T17" s="480"/>
      <c r="U17" s="480"/>
      <c r="V17" s="480"/>
      <c r="W17" s="480"/>
      <c r="X17" s="480"/>
      <c r="Y17" s="480"/>
      <c r="Z17" s="480"/>
      <c r="AA17" s="480"/>
      <c r="AB17" s="480"/>
      <c r="AC17" s="480"/>
      <c r="AD17" s="480"/>
      <c r="AE17" s="480"/>
      <c r="AF17" s="480"/>
      <c r="AG17" s="480"/>
      <c r="AH17" s="480"/>
      <c r="AI17" s="480"/>
      <c r="AJ17" s="480"/>
      <c r="AK17" s="480"/>
      <c r="AL17" s="480"/>
      <c r="AM17" s="480"/>
      <c r="AN17" s="480"/>
      <c r="AO17" s="480"/>
      <c r="AP17" s="480"/>
      <c r="AQ17" s="486"/>
      <c r="AR17" s="486"/>
      <c r="AS17" s="486"/>
      <c r="AT17" s="486"/>
      <c r="AU17" s="486"/>
      <c r="AV17" s="486"/>
      <c r="AW17" s="486"/>
      <c r="AX17" s="486"/>
      <c r="AY17" s="486"/>
      <c r="AZ17" s="486"/>
      <c r="BA17" s="486"/>
      <c r="BB17" s="486"/>
      <c r="BC17" s="486"/>
      <c r="BD17" s="486"/>
      <c r="BE17" s="486"/>
      <c r="BF17" s="486"/>
      <c r="BG17" s="486"/>
      <c r="BH17" s="486"/>
      <c r="BI17" s="486"/>
      <c r="BJ17" s="486"/>
      <c r="BK17" s="486"/>
      <c r="BL17" s="486"/>
      <c r="BM17" s="486"/>
      <c r="BN17" s="486"/>
      <c r="BO17" s="486"/>
      <c r="BP17" s="486"/>
      <c r="BQ17" s="486"/>
      <c r="BR17" s="486"/>
      <c r="BS17" s="486"/>
      <c r="BT17" s="486"/>
      <c r="BU17" s="486"/>
      <c r="BV17" s="486"/>
      <c r="BW17" s="486"/>
      <c r="BX17" s="486"/>
      <c r="BY17" s="486"/>
      <c r="BZ17" s="486"/>
      <c r="CA17" s="480"/>
      <c r="CB17" s="480"/>
      <c r="CC17" s="480"/>
      <c r="CD17" s="480"/>
      <c r="CE17" s="480"/>
      <c r="CF17" s="480"/>
      <c r="CG17" s="480"/>
      <c r="CH17" s="480"/>
      <c r="CI17" s="480"/>
      <c r="CJ17" s="480"/>
      <c r="CK17" s="480"/>
      <c r="CL17" s="480"/>
      <c r="CM17" s="480"/>
      <c r="CN17" s="480"/>
      <c r="CO17" s="480"/>
      <c r="CP17" s="480"/>
      <c r="CQ17" s="480"/>
      <c r="CR17" s="480"/>
      <c r="CS17" s="480"/>
      <c r="CT17" s="480"/>
      <c r="CU17" s="480"/>
      <c r="CV17" s="480"/>
      <c r="CW17" s="480"/>
      <c r="CX17" s="480"/>
      <c r="CY17" s="480"/>
      <c r="CZ17" s="480"/>
      <c r="DA17" s="480"/>
      <c r="DB17" s="480"/>
      <c r="DC17" s="480"/>
      <c r="DD17" s="480"/>
      <c r="DE17" s="480"/>
      <c r="DF17" s="480"/>
      <c r="DG17" s="480"/>
      <c r="DH17" s="480"/>
      <c r="DI17" s="1810" t="s">
        <v>269</v>
      </c>
      <c r="DJ17" s="1810"/>
      <c r="DK17" s="1810"/>
      <c r="DL17" s="1810"/>
      <c r="DM17" s="1810"/>
      <c r="DN17" s="1810"/>
      <c r="DO17" s="1810"/>
      <c r="DP17" s="1810"/>
      <c r="DQ17" s="1810"/>
      <c r="DR17" s="1810"/>
      <c r="DS17" s="1810"/>
      <c r="DT17" s="1810"/>
      <c r="DU17" s="1810"/>
      <c r="DV17" s="1810"/>
      <c r="DW17" s="1810"/>
      <c r="DX17" s="1810"/>
      <c r="DY17" s="1810"/>
      <c r="DZ17" s="1810"/>
      <c r="EA17" s="480"/>
      <c r="EB17" s="1808" t="s">
        <v>755</v>
      </c>
      <c r="EC17" s="1808"/>
      <c r="ED17" s="1808"/>
      <c r="EE17" s="1808"/>
      <c r="EF17" s="1808"/>
      <c r="EG17" s="1808"/>
      <c r="EH17" s="1808"/>
      <c r="EI17" s="1808"/>
      <c r="EJ17" s="1808"/>
      <c r="EK17" s="1808"/>
      <c r="EL17" s="1808"/>
      <c r="EM17" s="1808"/>
      <c r="EN17" s="1808"/>
      <c r="EO17" s="1808"/>
      <c r="EP17" s="1808"/>
      <c r="EQ17" s="1808"/>
      <c r="ER17" s="1808"/>
      <c r="ES17" s="1808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</row>
    <row r="18" spans="1:248" ht="11.25" customHeight="1">
      <c r="A18" s="488"/>
      <c r="B18" s="480"/>
      <c r="C18" s="480"/>
      <c r="D18" s="480"/>
      <c r="E18" s="480"/>
      <c r="F18" s="480"/>
      <c r="G18" s="480"/>
      <c r="H18" s="480"/>
      <c r="I18" s="480"/>
      <c r="J18" s="480"/>
      <c r="K18" s="480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Z18" s="480"/>
      <c r="AA18" s="480"/>
      <c r="AB18" s="480"/>
      <c r="AC18" s="480"/>
      <c r="AD18" s="480"/>
      <c r="AE18" s="480"/>
      <c r="AF18" s="480"/>
      <c r="AG18" s="480"/>
      <c r="AH18" s="480"/>
      <c r="AI18" s="480"/>
      <c r="AJ18" s="480"/>
      <c r="AK18" s="480"/>
      <c r="AL18" s="480"/>
      <c r="AM18" s="480"/>
      <c r="AN18" s="480"/>
      <c r="AO18" s="480"/>
      <c r="AP18" s="1811" t="s">
        <v>253</v>
      </c>
      <c r="AQ18" s="1724"/>
      <c r="AR18" s="1724"/>
      <c r="AS18" s="1724"/>
      <c r="AT18" s="1724"/>
      <c r="AU18" s="1724"/>
      <c r="AV18" s="1724"/>
      <c r="AW18" s="1724"/>
      <c r="AX18" s="1724"/>
      <c r="AY18" s="1724"/>
      <c r="AZ18" s="1724"/>
      <c r="BA18" s="1724"/>
      <c r="BB18" s="1724"/>
      <c r="BC18" s="1724"/>
      <c r="BD18" s="1724"/>
      <c r="BE18" s="1724"/>
      <c r="BF18" s="1724"/>
      <c r="BG18" s="1724"/>
      <c r="BH18" s="1724"/>
      <c r="BI18" s="1724"/>
      <c r="BJ18" s="1724"/>
      <c r="BK18" s="1724"/>
      <c r="BL18" s="1724"/>
      <c r="BM18" s="1724"/>
      <c r="BN18" s="1724"/>
      <c r="BO18" s="1724"/>
      <c r="BP18" s="1724"/>
      <c r="BQ18" s="1724"/>
      <c r="BR18" s="1724"/>
      <c r="BS18" s="1724"/>
      <c r="BT18" s="1724"/>
      <c r="BU18" s="1724"/>
      <c r="BV18" s="1724"/>
      <c r="BW18" s="1724"/>
      <c r="BX18" s="1724"/>
      <c r="BY18" s="1724"/>
      <c r="BZ18" s="1724"/>
      <c r="CA18" s="1724"/>
      <c r="CB18" s="480"/>
      <c r="CC18" s="480"/>
      <c r="CD18" s="480"/>
      <c r="CE18" s="480"/>
      <c r="CF18" s="480"/>
      <c r="CG18" s="480"/>
      <c r="CH18" s="480"/>
      <c r="CI18" s="480"/>
      <c r="CJ18" s="480"/>
      <c r="CK18" s="480"/>
      <c r="CL18" s="480"/>
      <c r="CM18" s="480"/>
      <c r="CN18" s="480"/>
      <c r="CO18" s="480"/>
      <c r="CP18" s="480"/>
      <c r="CQ18" s="480"/>
      <c r="CR18" s="480"/>
      <c r="CS18" s="480"/>
      <c r="CT18" s="480"/>
      <c r="CU18" s="480"/>
      <c r="CV18" s="480"/>
      <c r="CW18" s="480"/>
      <c r="CX18" s="480"/>
      <c r="CY18" s="480"/>
      <c r="CZ18" s="480"/>
      <c r="DA18" s="480"/>
      <c r="DB18" s="480"/>
      <c r="DC18" s="480"/>
      <c r="DD18" s="480"/>
      <c r="DE18" s="480"/>
      <c r="DF18" s="480"/>
      <c r="DG18" s="480"/>
      <c r="DH18" s="480"/>
      <c r="DI18" s="1810"/>
      <c r="DJ18" s="1810"/>
      <c r="DK18" s="1810"/>
      <c r="DL18" s="1810"/>
      <c r="DM18" s="1810"/>
      <c r="DN18" s="1810"/>
      <c r="DO18" s="1810"/>
      <c r="DP18" s="1810"/>
      <c r="DQ18" s="1810"/>
      <c r="DR18" s="1810"/>
      <c r="DS18" s="1810"/>
      <c r="DT18" s="1810"/>
      <c r="DU18" s="1810"/>
      <c r="DV18" s="1810"/>
      <c r="DW18" s="1810"/>
      <c r="DX18" s="1810"/>
      <c r="DY18" s="1810"/>
      <c r="DZ18" s="1810"/>
      <c r="EA18" s="480"/>
      <c r="EB18" s="1808"/>
      <c r="EC18" s="1808"/>
      <c r="ED18" s="1808"/>
      <c r="EE18" s="1808"/>
      <c r="EF18" s="1808"/>
      <c r="EG18" s="1808"/>
      <c r="EH18" s="1808"/>
      <c r="EI18" s="1808"/>
      <c r="EJ18" s="1808"/>
      <c r="EK18" s="1808"/>
      <c r="EL18" s="1808"/>
      <c r="EM18" s="1808"/>
      <c r="EN18" s="1808"/>
      <c r="EO18" s="1808"/>
      <c r="EP18" s="1808"/>
      <c r="EQ18" s="1808"/>
      <c r="ER18" s="1808"/>
      <c r="ES18" s="1808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</row>
    <row r="19" spans="1:248" ht="11.25" customHeight="1">
      <c r="A19" s="480"/>
      <c r="B19" s="480"/>
      <c r="C19" s="480"/>
      <c r="D19" s="480"/>
      <c r="E19" s="480"/>
      <c r="F19" s="480"/>
      <c r="G19" s="480"/>
      <c r="H19" s="480"/>
      <c r="I19" s="480"/>
      <c r="J19" s="480"/>
      <c r="K19" s="480"/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Z19" s="480"/>
      <c r="AA19" s="480"/>
      <c r="AB19" s="480"/>
      <c r="AC19" s="480"/>
      <c r="AD19" s="480"/>
      <c r="AE19" s="480"/>
      <c r="AF19" s="480"/>
      <c r="AG19" s="480"/>
      <c r="AH19" s="480"/>
      <c r="AI19" s="480"/>
      <c r="AJ19" s="480"/>
      <c r="AK19" s="480"/>
      <c r="AL19" s="480"/>
      <c r="AM19" s="480"/>
      <c r="AN19" s="480"/>
      <c r="AO19" s="480"/>
      <c r="AP19" s="1811"/>
      <c r="AQ19" s="1724"/>
      <c r="AR19" s="1724"/>
      <c r="AS19" s="1724"/>
      <c r="AT19" s="1724"/>
      <c r="AU19" s="1724"/>
      <c r="AV19" s="1724"/>
      <c r="AW19" s="1724"/>
      <c r="AX19" s="1724"/>
      <c r="AY19" s="1724"/>
      <c r="AZ19" s="1724"/>
      <c r="BA19" s="1724"/>
      <c r="BB19" s="1724"/>
      <c r="BC19" s="1724"/>
      <c r="BD19" s="1724"/>
      <c r="BE19" s="1724"/>
      <c r="BF19" s="1724"/>
      <c r="BG19" s="1724"/>
      <c r="BH19" s="1724"/>
      <c r="BI19" s="1724"/>
      <c r="BJ19" s="1724"/>
      <c r="BK19" s="1724"/>
      <c r="BL19" s="1724"/>
      <c r="BM19" s="1724"/>
      <c r="BN19" s="1724"/>
      <c r="BO19" s="1724"/>
      <c r="BP19" s="1724"/>
      <c r="BQ19" s="1724"/>
      <c r="BR19" s="1724"/>
      <c r="BS19" s="1724"/>
      <c r="BT19" s="1724"/>
      <c r="BU19" s="1724"/>
      <c r="BV19" s="1724"/>
      <c r="BW19" s="1724"/>
      <c r="BX19" s="1724"/>
      <c r="BY19" s="1724"/>
      <c r="BZ19" s="1724"/>
      <c r="CA19" s="1724"/>
      <c r="CB19" s="480"/>
      <c r="CC19" s="480"/>
      <c r="CD19" s="480"/>
      <c r="CE19" s="480"/>
      <c r="CF19" s="480"/>
      <c r="CG19" s="480"/>
      <c r="CH19" s="480"/>
      <c r="CI19" s="480"/>
      <c r="CJ19" s="480"/>
      <c r="CK19" s="480"/>
      <c r="CL19" s="480"/>
      <c r="CM19" s="480"/>
      <c r="CN19" s="480"/>
      <c r="CO19" s="480"/>
      <c r="CP19" s="480"/>
      <c r="CQ19" s="480"/>
      <c r="CR19" s="480"/>
      <c r="CS19" s="480"/>
      <c r="CT19" s="480"/>
      <c r="CU19" s="480"/>
      <c r="CV19" s="480"/>
      <c r="CW19" s="480"/>
      <c r="CX19" s="480"/>
      <c r="CY19" s="480"/>
      <c r="CZ19" s="480"/>
      <c r="DA19" s="480"/>
      <c r="DB19" s="480"/>
      <c r="DC19" s="480"/>
      <c r="DD19" s="480"/>
      <c r="DE19" s="480"/>
      <c r="DF19" s="480"/>
      <c r="DG19" s="480"/>
      <c r="DH19" s="480"/>
      <c r="DI19" s="1812" t="s">
        <v>89</v>
      </c>
      <c r="DJ19" s="1812"/>
      <c r="DK19" s="1812"/>
      <c r="DL19" s="1812"/>
      <c r="DM19" s="1812"/>
      <c r="DN19" s="1812"/>
      <c r="DO19" s="1812"/>
      <c r="DP19" s="1812"/>
      <c r="DQ19" s="1812"/>
      <c r="DR19" s="1812"/>
      <c r="DS19" s="1812"/>
      <c r="DT19" s="1812"/>
      <c r="DU19" s="1812"/>
      <c r="DV19" s="1812"/>
      <c r="DW19" s="1812"/>
      <c r="DX19" s="1812"/>
      <c r="DY19" s="1812"/>
      <c r="DZ19" s="1812"/>
      <c r="EA19" s="480"/>
      <c r="EB19" s="1808" t="s">
        <v>755</v>
      </c>
      <c r="EC19" s="1808"/>
      <c r="ED19" s="1808"/>
      <c r="EE19" s="1808"/>
      <c r="EF19" s="1808"/>
      <c r="EG19" s="1808"/>
      <c r="EH19" s="1808"/>
      <c r="EI19" s="1808"/>
      <c r="EJ19" s="1808"/>
      <c r="EK19" s="1808"/>
      <c r="EL19" s="1808"/>
      <c r="EM19" s="1808"/>
      <c r="EN19" s="1808"/>
      <c r="EO19" s="1808"/>
      <c r="EP19" s="1808"/>
      <c r="EQ19" s="1808"/>
      <c r="ER19" s="1808"/>
      <c r="ES19" s="1808"/>
      <c r="ET19" s="529"/>
      <c r="EU19" s="529"/>
      <c r="EV19" s="529"/>
      <c r="EW19" s="529"/>
      <c r="EX19" s="529"/>
      <c r="EY19" s="529"/>
      <c r="EZ19" s="529"/>
      <c r="FA19" s="529"/>
      <c r="FB19" s="529"/>
      <c r="FC19" s="529"/>
      <c r="FD19" s="529"/>
      <c r="FE19" s="529"/>
      <c r="FF19" s="529"/>
      <c r="FG19" s="529"/>
      <c r="FH19" s="529"/>
      <c r="FI19" s="529"/>
      <c r="FJ19" s="529"/>
      <c r="FK19" s="529"/>
      <c r="FL19" s="529"/>
      <c r="FM19" s="529"/>
      <c r="FN19" s="529"/>
      <c r="FO19" s="529"/>
      <c r="FP19" s="529"/>
      <c r="FQ19" s="529"/>
      <c r="FR19" s="529"/>
      <c r="FS19" s="529"/>
      <c r="FT19" s="529"/>
      <c r="FU19" s="529"/>
      <c r="FV19" s="529"/>
      <c r="FW19" s="529"/>
      <c r="FX19" s="529"/>
      <c r="FY19" s="529"/>
      <c r="FZ19" s="529"/>
      <c r="GA19" s="529"/>
      <c r="GB19" s="529"/>
      <c r="GC19" s="529"/>
      <c r="GD19" s="529"/>
      <c r="GE19" s="529"/>
      <c r="GF19" s="529"/>
      <c r="GG19" s="529"/>
      <c r="GH19" s="529"/>
      <c r="GI19" s="529"/>
      <c r="GJ19" s="529"/>
      <c r="GK19" s="529"/>
      <c r="GL19" s="529"/>
      <c r="GM19" s="529"/>
      <c r="GN19" s="529"/>
      <c r="GO19" s="529"/>
      <c r="GP19" s="529"/>
      <c r="GQ19" s="529"/>
      <c r="GR19" s="529"/>
      <c r="GS19" s="529"/>
      <c r="GT19" s="529"/>
      <c r="GU19" s="529"/>
      <c r="GV19" s="529"/>
      <c r="GW19" s="529"/>
      <c r="GX19" s="529"/>
      <c r="GY19" s="529"/>
      <c r="GZ19" s="529"/>
      <c r="HA19" s="529"/>
      <c r="HB19" s="529"/>
      <c r="HC19" s="529"/>
      <c r="HD19" s="529"/>
      <c r="HE19" s="529"/>
      <c r="HF19" s="529"/>
      <c r="HG19" s="529"/>
      <c r="HH19" s="529"/>
      <c r="HI19" s="529"/>
      <c r="HJ19" s="529"/>
      <c r="HK19" s="529"/>
      <c r="HL19" s="529"/>
      <c r="HM19" s="529"/>
      <c r="HN19" s="529"/>
      <c r="HO19" s="529"/>
      <c r="HP19" s="529"/>
      <c r="HQ19" s="529"/>
      <c r="HR19" s="529"/>
      <c r="HS19" s="529"/>
      <c r="HT19" s="529"/>
      <c r="HU19" s="529"/>
      <c r="HV19" s="529"/>
      <c r="HW19" s="529"/>
      <c r="HX19" s="529"/>
      <c r="HY19" s="529"/>
      <c r="HZ19" s="529"/>
      <c r="IA19" s="529"/>
      <c r="IB19" s="529"/>
      <c r="IC19" s="529"/>
      <c r="ID19" s="529"/>
      <c r="IE19" s="529"/>
      <c r="IF19" s="529"/>
      <c r="IG19" s="529"/>
      <c r="IH19" s="529"/>
      <c r="II19" s="529"/>
      <c r="IJ19" s="529"/>
      <c r="IK19" s="529"/>
      <c r="IL19" s="529"/>
      <c r="IM19" s="529"/>
      <c r="IN19" s="529"/>
    </row>
    <row r="20" spans="1:248" ht="11.25" customHeight="1">
      <c r="A20" s="480"/>
      <c r="B20" s="480"/>
      <c r="C20" s="480"/>
      <c r="D20" s="480"/>
      <c r="E20" s="480"/>
      <c r="F20" s="480"/>
      <c r="G20" s="480"/>
      <c r="H20" s="480"/>
      <c r="I20" s="480"/>
      <c r="J20" s="480"/>
      <c r="K20" s="480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Z20" s="480"/>
      <c r="AA20" s="480"/>
      <c r="AB20" s="480"/>
      <c r="AC20" s="480"/>
      <c r="AD20" s="480"/>
      <c r="AE20" s="480"/>
      <c r="AF20" s="480"/>
      <c r="AG20" s="480"/>
      <c r="AH20" s="480"/>
      <c r="AI20" s="480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480"/>
      <c r="AU20" s="480"/>
      <c r="AV20" s="480"/>
      <c r="AW20" s="480"/>
      <c r="AX20" s="480"/>
      <c r="AY20" s="480"/>
      <c r="AZ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480"/>
      <c r="CB20" s="480"/>
      <c r="CC20" s="480"/>
      <c r="CD20" s="480"/>
      <c r="CE20" s="480"/>
      <c r="CF20" s="480"/>
      <c r="CG20" s="480"/>
      <c r="CH20" s="480"/>
      <c r="CI20" s="480"/>
      <c r="CJ20" s="480"/>
      <c r="CK20" s="480"/>
      <c r="CL20" s="480"/>
      <c r="CM20" s="480"/>
      <c r="CN20" s="480"/>
      <c r="CO20" s="480"/>
      <c r="CP20" s="480"/>
      <c r="CQ20" s="480"/>
      <c r="CR20" s="480"/>
      <c r="CS20" s="480"/>
      <c r="CT20" s="480"/>
      <c r="CU20" s="480"/>
      <c r="CV20" s="480"/>
      <c r="CW20" s="480"/>
      <c r="CX20" s="480"/>
      <c r="CY20" s="480"/>
      <c r="CZ20" s="480"/>
      <c r="DA20" s="480"/>
      <c r="DB20" s="480"/>
      <c r="DC20" s="480"/>
      <c r="DD20" s="480"/>
      <c r="DE20" s="480"/>
      <c r="DF20" s="480"/>
      <c r="DG20" s="480"/>
      <c r="DH20" s="480"/>
      <c r="DI20" s="1812"/>
      <c r="DJ20" s="1812"/>
      <c r="DK20" s="1812"/>
      <c r="DL20" s="1812"/>
      <c r="DM20" s="1812"/>
      <c r="DN20" s="1812"/>
      <c r="DO20" s="1812"/>
      <c r="DP20" s="1812"/>
      <c r="DQ20" s="1812"/>
      <c r="DR20" s="1812"/>
      <c r="DS20" s="1812"/>
      <c r="DT20" s="1812"/>
      <c r="DU20" s="1812"/>
      <c r="DV20" s="1812"/>
      <c r="DW20" s="1812"/>
      <c r="DX20" s="1812"/>
      <c r="DY20" s="1812"/>
      <c r="DZ20" s="1812"/>
      <c r="EA20" s="480"/>
      <c r="EB20" s="1808"/>
      <c r="EC20" s="1808"/>
      <c r="ED20" s="1808"/>
      <c r="EE20" s="1808"/>
      <c r="EF20" s="1808"/>
      <c r="EG20" s="1808"/>
      <c r="EH20" s="1808"/>
      <c r="EI20" s="1808"/>
      <c r="EJ20" s="1808"/>
      <c r="EK20" s="1808"/>
      <c r="EL20" s="1808"/>
      <c r="EM20" s="1808"/>
      <c r="EN20" s="1808"/>
      <c r="EO20" s="1808"/>
      <c r="EP20" s="1808"/>
      <c r="EQ20" s="1808"/>
      <c r="ER20" s="1808"/>
      <c r="ES20" s="1808"/>
      <c r="ET20" s="529"/>
      <c r="EU20" s="529"/>
      <c r="EV20" s="529"/>
      <c r="EW20" s="529"/>
      <c r="EX20" s="529"/>
      <c r="EY20" s="529"/>
      <c r="EZ20" s="529"/>
      <c r="FA20" s="529"/>
      <c r="FB20" s="529"/>
      <c r="FC20" s="529"/>
      <c r="FD20" s="529"/>
      <c r="FE20" s="529"/>
      <c r="FF20" s="529"/>
      <c r="FG20" s="529"/>
      <c r="FH20" s="529"/>
      <c r="FI20" s="529"/>
      <c r="FJ20" s="529"/>
      <c r="FK20" s="529"/>
      <c r="FL20" s="529"/>
      <c r="FM20" s="529"/>
      <c r="FN20" s="529"/>
      <c r="FO20" s="529"/>
      <c r="FP20" s="529"/>
      <c r="FQ20" s="529"/>
      <c r="FR20" s="529"/>
      <c r="FS20" s="529"/>
      <c r="FT20" s="529"/>
      <c r="FU20" s="529"/>
      <c r="FV20" s="529"/>
      <c r="FW20" s="529"/>
      <c r="FX20" s="529"/>
      <c r="FY20" s="529"/>
      <c r="FZ20" s="529"/>
      <c r="GA20" s="529"/>
      <c r="GB20" s="529"/>
      <c r="GC20" s="529"/>
      <c r="GD20" s="529"/>
      <c r="GE20" s="529"/>
      <c r="GF20" s="529"/>
      <c r="GG20" s="529"/>
      <c r="GH20" s="529"/>
      <c r="GI20" s="529"/>
      <c r="GJ20" s="529"/>
      <c r="GK20" s="529"/>
      <c r="GL20" s="529"/>
      <c r="GM20" s="529"/>
      <c r="GN20" s="529"/>
      <c r="GO20" s="529"/>
      <c r="GP20" s="529"/>
      <c r="GQ20" s="529"/>
      <c r="GR20" s="529"/>
      <c r="GS20" s="529"/>
      <c r="GT20" s="529"/>
      <c r="GU20" s="529"/>
      <c r="GV20" s="529"/>
      <c r="GW20" s="529"/>
      <c r="GX20" s="529"/>
      <c r="GY20" s="529"/>
      <c r="GZ20" s="529"/>
      <c r="HA20" s="529"/>
      <c r="HB20" s="529"/>
      <c r="HC20" s="529"/>
      <c r="HD20" s="529"/>
      <c r="HE20" s="529"/>
      <c r="HF20" s="529"/>
      <c r="HG20" s="529"/>
      <c r="HH20" s="529"/>
      <c r="HI20" s="529"/>
      <c r="HJ20" s="529"/>
      <c r="HK20" s="529"/>
      <c r="HL20" s="529"/>
      <c r="HM20" s="529"/>
      <c r="HN20" s="529"/>
      <c r="HO20" s="529"/>
      <c r="HP20" s="529"/>
      <c r="HQ20" s="529"/>
      <c r="HR20" s="529"/>
      <c r="HS20" s="529"/>
      <c r="HT20" s="529"/>
      <c r="HU20" s="529"/>
      <c r="HV20" s="529"/>
      <c r="HW20" s="529"/>
      <c r="HX20" s="529"/>
      <c r="HY20" s="529"/>
      <c r="HZ20" s="529"/>
      <c r="IA20" s="529"/>
      <c r="IB20" s="529"/>
      <c r="IC20" s="529"/>
      <c r="ID20" s="529"/>
      <c r="IE20" s="529"/>
      <c r="IF20" s="529"/>
      <c r="IG20" s="529"/>
      <c r="IH20" s="529"/>
      <c r="II20" s="529"/>
      <c r="IJ20" s="529"/>
      <c r="IK20" s="529"/>
      <c r="IL20" s="529"/>
      <c r="IM20" s="529"/>
      <c r="IN20" s="529"/>
    </row>
    <row r="21" spans="1:248" ht="11.25" customHeight="1">
      <c r="A21" s="480"/>
      <c r="B21" s="480"/>
      <c r="C21" s="480"/>
      <c r="D21" s="480"/>
      <c r="E21" s="480"/>
      <c r="F21" s="480"/>
      <c r="G21" s="480"/>
      <c r="H21" s="480"/>
      <c r="I21" s="480"/>
      <c r="J21" s="480"/>
      <c r="K21" s="480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Z21" s="480"/>
      <c r="AA21" s="480"/>
      <c r="AB21" s="480"/>
      <c r="AC21" s="480"/>
      <c r="AD21" s="480"/>
      <c r="AE21" s="480"/>
      <c r="AF21" s="480"/>
      <c r="AG21" s="480"/>
      <c r="AH21" s="480"/>
      <c r="AI21" s="480"/>
      <c r="AJ21" s="480"/>
      <c r="AK21" s="480"/>
      <c r="AL21" s="480"/>
      <c r="AM21" s="480"/>
      <c r="AN21" s="480"/>
      <c r="AO21" s="480"/>
      <c r="AP21" s="480"/>
      <c r="AQ21" s="480"/>
      <c r="AR21" s="480"/>
      <c r="AS21" s="480"/>
      <c r="AT21" s="480"/>
      <c r="AU21" s="480"/>
      <c r="AV21" s="480"/>
      <c r="AW21" s="480"/>
      <c r="AX21" s="480"/>
      <c r="AY21" s="480"/>
      <c r="AZ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480"/>
      <c r="CB21" s="480"/>
      <c r="CC21" s="480"/>
      <c r="CD21" s="480"/>
      <c r="CE21" s="480"/>
      <c r="CF21" s="480"/>
      <c r="CG21" s="480"/>
      <c r="CH21" s="480"/>
      <c r="CI21" s="480"/>
      <c r="CJ21" s="480"/>
      <c r="CK21" s="480"/>
      <c r="CL21" s="480"/>
      <c r="CM21" s="480"/>
      <c r="CN21" s="480"/>
      <c r="CO21" s="480"/>
      <c r="CP21" s="480"/>
      <c r="CQ21" s="480"/>
      <c r="CR21" s="480"/>
      <c r="CS21" s="480"/>
      <c r="CT21" s="1807" t="s">
        <v>65</v>
      </c>
      <c r="CU21" s="1807"/>
      <c r="CV21" s="1807"/>
      <c r="CW21" s="1807"/>
      <c r="CX21" s="1807"/>
      <c r="CY21" s="1807"/>
      <c r="CZ21" s="1807"/>
      <c r="DA21" s="1807"/>
      <c r="DB21" s="1807"/>
      <c r="DC21" s="1807"/>
      <c r="DD21" s="1807"/>
      <c r="DE21" s="1807"/>
      <c r="DF21" s="1807"/>
      <c r="DG21" s="1807"/>
      <c r="DH21" s="1807"/>
      <c r="DI21" s="1807"/>
      <c r="DJ21" s="1807"/>
      <c r="DK21" s="1807"/>
      <c r="DL21" s="1807"/>
      <c r="DM21" s="1807"/>
      <c r="DN21" s="1807"/>
      <c r="DO21" s="1807"/>
      <c r="DP21" s="1807"/>
      <c r="DQ21" s="1807"/>
      <c r="DR21" s="1807"/>
      <c r="DS21" s="1807"/>
      <c r="DT21" s="1807"/>
      <c r="DU21" s="1807"/>
      <c r="DV21" s="1807"/>
      <c r="DW21" s="1807"/>
      <c r="DX21" s="1807"/>
      <c r="DY21" s="1807"/>
      <c r="DZ21" s="1807"/>
      <c r="EA21" s="480"/>
      <c r="EB21" s="1808" t="s">
        <v>772</v>
      </c>
      <c r="EC21" s="1808"/>
      <c r="ED21" s="1808"/>
      <c r="EE21" s="1808"/>
      <c r="EF21" s="1808"/>
      <c r="EG21" s="1808"/>
      <c r="EH21" s="1808"/>
      <c r="EI21" s="1808"/>
      <c r="EJ21" s="1808"/>
      <c r="EK21" s="1808"/>
      <c r="EL21" s="1808"/>
      <c r="EM21" s="1808"/>
      <c r="EN21" s="1808"/>
      <c r="EO21" s="1808"/>
      <c r="EP21" s="1808"/>
      <c r="EQ21" s="1808"/>
      <c r="ER21" s="1808"/>
      <c r="ES21" s="1808"/>
      <c r="ET21" s="529"/>
      <c r="EU21" s="529"/>
      <c r="EV21" s="529"/>
      <c r="EW21" s="529"/>
      <c r="EX21" s="529"/>
      <c r="EY21" s="529"/>
      <c r="EZ21" s="529"/>
      <c r="FA21" s="529"/>
      <c r="FB21" s="529"/>
      <c r="FC21" s="529"/>
      <c r="FD21" s="529"/>
      <c r="FE21" s="529"/>
      <c r="FF21" s="529"/>
      <c r="FG21" s="529"/>
      <c r="FH21" s="529"/>
      <c r="FI21" s="529"/>
      <c r="FJ21" s="529"/>
      <c r="FK21" s="529"/>
      <c r="FL21" s="529"/>
      <c r="FM21" s="529"/>
      <c r="FN21" s="529"/>
      <c r="FO21" s="529"/>
      <c r="FP21" s="529"/>
      <c r="FQ21" s="529"/>
      <c r="FR21" s="529"/>
      <c r="FS21" s="529"/>
      <c r="FT21" s="529"/>
      <c r="FU21" s="529"/>
      <c r="FV21" s="529"/>
      <c r="FW21" s="529"/>
      <c r="FX21" s="529"/>
      <c r="FY21" s="529"/>
      <c r="FZ21" s="529"/>
      <c r="GA21" s="529"/>
      <c r="GB21" s="529"/>
      <c r="GC21" s="529"/>
      <c r="GD21" s="529"/>
      <c r="GE21" s="529"/>
      <c r="GF21" s="529"/>
      <c r="GG21" s="529"/>
      <c r="GH21" s="529"/>
      <c r="GI21" s="529"/>
      <c r="GJ21" s="529"/>
      <c r="GK21" s="529"/>
      <c r="GL21" s="529"/>
      <c r="GM21" s="529"/>
      <c r="GN21" s="529"/>
      <c r="GO21" s="529"/>
      <c r="GP21" s="529"/>
      <c r="GQ21" s="529"/>
      <c r="GR21" s="529"/>
      <c r="GS21" s="529"/>
      <c r="GT21" s="529"/>
      <c r="GU21" s="529"/>
      <c r="GV21" s="529"/>
      <c r="GW21" s="529"/>
      <c r="GX21" s="529"/>
      <c r="GY21" s="529"/>
      <c r="GZ21" s="529"/>
      <c r="HA21" s="529"/>
      <c r="HB21" s="529"/>
      <c r="HC21" s="529"/>
      <c r="HD21" s="529"/>
      <c r="HE21" s="529"/>
      <c r="HF21" s="529"/>
      <c r="HG21" s="529"/>
      <c r="HH21" s="529"/>
      <c r="HI21" s="529"/>
      <c r="HJ21" s="529"/>
      <c r="HK21" s="529"/>
      <c r="HL21" s="529"/>
      <c r="HM21" s="529"/>
      <c r="HN21" s="529"/>
      <c r="HO21" s="529"/>
      <c r="HP21" s="529"/>
      <c r="HQ21" s="529"/>
      <c r="HR21" s="529"/>
      <c r="HS21" s="529"/>
      <c r="HT21" s="529"/>
      <c r="HU21" s="529"/>
      <c r="HV21" s="529"/>
      <c r="HW21" s="529"/>
      <c r="HX21" s="529"/>
      <c r="HY21" s="529"/>
      <c r="HZ21" s="529"/>
      <c r="IA21" s="529"/>
      <c r="IB21" s="529"/>
      <c r="IC21" s="529"/>
      <c r="ID21" s="529"/>
      <c r="IE21" s="529"/>
      <c r="IF21" s="529"/>
      <c r="IG21" s="529"/>
      <c r="IH21" s="529"/>
      <c r="II21" s="529"/>
      <c r="IJ21" s="529"/>
      <c r="IK21" s="529"/>
      <c r="IL21" s="529"/>
      <c r="IM21" s="529"/>
      <c r="IN21" s="529"/>
    </row>
    <row r="22" spans="1:248" ht="11.25" customHeight="1">
      <c r="A22" s="480"/>
      <c r="B22" s="480"/>
      <c r="C22" s="480"/>
      <c r="D22" s="480"/>
      <c r="E22" s="480"/>
      <c r="F22" s="480"/>
      <c r="G22" s="480"/>
      <c r="H22" s="480"/>
      <c r="I22" s="480"/>
      <c r="J22" s="480"/>
      <c r="K22" s="480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Z22" s="480"/>
      <c r="AA22" s="480"/>
      <c r="AB22" s="480"/>
      <c r="AC22" s="480"/>
      <c r="AD22" s="480"/>
      <c r="AE22" s="480"/>
      <c r="AF22" s="480"/>
      <c r="AG22" s="480"/>
      <c r="AH22" s="480"/>
      <c r="AI22" s="480"/>
      <c r="AJ22" s="480"/>
      <c r="AK22" s="480"/>
      <c r="AL22" s="480"/>
      <c r="AM22" s="480"/>
      <c r="AN22" s="480"/>
      <c r="AO22" s="480"/>
      <c r="AP22" s="480"/>
      <c r="AQ22" s="480"/>
      <c r="AR22" s="480"/>
      <c r="AS22" s="480"/>
      <c r="AT22" s="480"/>
      <c r="AU22" s="480"/>
      <c r="AV22" s="480"/>
      <c r="AW22" s="480"/>
      <c r="AX22" s="480"/>
      <c r="AY22" s="480"/>
      <c r="AZ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480"/>
      <c r="CB22" s="480"/>
      <c r="CC22" s="480"/>
      <c r="CD22" s="480"/>
      <c r="CE22" s="480"/>
      <c r="CF22" s="480"/>
      <c r="CG22" s="480"/>
      <c r="CH22" s="480"/>
      <c r="CI22" s="480"/>
      <c r="CJ22" s="480"/>
      <c r="CK22" s="480"/>
      <c r="CL22" s="480"/>
      <c r="CM22" s="480"/>
      <c r="CN22" s="480"/>
      <c r="CO22" s="480"/>
      <c r="CP22" s="480"/>
      <c r="CQ22" s="480"/>
      <c r="CR22" s="480"/>
      <c r="CS22" s="480"/>
      <c r="CT22" s="1807"/>
      <c r="CU22" s="1807"/>
      <c r="CV22" s="1807"/>
      <c r="CW22" s="1807"/>
      <c r="CX22" s="1807"/>
      <c r="CY22" s="1807"/>
      <c r="CZ22" s="1807"/>
      <c r="DA22" s="1807"/>
      <c r="DB22" s="1807"/>
      <c r="DC22" s="1807"/>
      <c r="DD22" s="1807"/>
      <c r="DE22" s="1807"/>
      <c r="DF22" s="1807"/>
      <c r="DG22" s="1807"/>
      <c r="DH22" s="1807"/>
      <c r="DI22" s="1807"/>
      <c r="DJ22" s="1807"/>
      <c r="DK22" s="1807"/>
      <c r="DL22" s="1807"/>
      <c r="DM22" s="1807"/>
      <c r="DN22" s="1807"/>
      <c r="DO22" s="1807"/>
      <c r="DP22" s="1807"/>
      <c r="DQ22" s="1807"/>
      <c r="DR22" s="1807"/>
      <c r="DS22" s="1807"/>
      <c r="DT22" s="1807"/>
      <c r="DU22" s="1807"/>
      <c r="DV22" s="1807"/>
      <c r="DW22" s="1807"/>
      <c r="DX22" s="1807"/>
      <c r="DY22" s="1807"/>
      <c r="DZ22" s="1807"/>
      <c r="EA22" s="480"/>
      <c r="EB22" s="1808"/>
      <c r="EC22" s="1808"/>
      <c r="ED22" s="1808"/>
      <c r="EE22" s="1808"/>
      <c r="EF22" s="1808"/>
      <c r="EG22" s="1808"/>
      <c r="EH22" s="1808"/>
      <c r="EI22" s="1808"/>
      <c r="EJ22" s="1808"/>
      <c r="EK22" s="1808"/>
      <c r="EL22" s="1808"/>
      <c r="EM22" s="1808"/>
      <c r="EN22" s="1808"/>
      <c r="EO22" s="1808"/>
      <c r="EP22" s="1808"/>
      <c r="EQ22" s="1808"/>
      <c r="ER22" s="1808"/>
      <c r="ES22" s="1808"/>
      <c r="ET22" s="529"/>
      <c r="EU22" s="529"/>
      <c r="EV22" s="529"/>
      <c r="EW22" s="529"/>
      <c r="EX22" s="529"/>
      <c r="EY22" s="529"/>
      <c r="EZ22" s="529"/>
      <c r="FA22" s="529"/>
      <c r="FB22" s="529"/>
      <c r="FC22" s="529"/>
      <c r="FD22" s="529"/>
      <c r="FE22" s="529"/>
      <c r="FF22" s="529"/>
      <c r="FG22" s="529"/>
      <c r="FH22" s="529"/>
      <c r="FI22" s="529"/>
      <c r="FJ22" s="529"/>
      <c r="FK22" s="529"/>
      <c r="FL22" s="529"/>
      <c r="FM22" s="529"/>
      <c r="FN22" s="529"/>
      <c r="FO22" s="529"/>
      <c r="FP22" s="529"/>
      <c r="FQ22" s="529"/>
      <c r="FR22" s="529"/>
      <c r="FS22" s="529"/>
      <c r="FT22" s="529"/>
      <c r="FU22" s="529"/>
      <c r="FV22" s="529"/>
      <c r="FW22" s="529"/>
      <c r="FX22" s="529"/>
      <c r="FY22" s="529"/>
      <c r="FZ22" s="529"/>
      <c r="GA22" s="529"/>
      <c r="GB22" s="529"/>
      <c r="GC22" s="529"/>
      <c r="GD22" s="529"/>
      <c r="GE22" s="529"/>
      <c r="GF22" s="529"/>
      <c r="GG22" s="529"/>
      <c r="GH22" s="529"/>
      <c r="GI22" s="529"/>
      <c r="GJ22" s="529"/>
      <c r="GK22" s="529"/>
      <c r="GL22" s="529"/>
      <c r="GM22" s="529"/>
      <c r="GN22" s="529"/>
      <c r="GO22" s="529"/>
      <c r="GP22" s="529"/>
      <c r="GQ22" s="529"/>
      <c r="GR22" s="529"/>
      <c r="GS22" s="529"/>
      <c r="GT22" s="529"/>
      <c r="GU22" s="529"/>
      <c r="GV22" s="529"/>
      <c r="GW22" s="529"/>
      <c r="GX22" s="529"/>
      <c r="GY22" s="529"/>
      <c r="GZ22" s="529"/>
      <c r="HA22" s="529"/>
      <c r="HB22" s="529"/>
      <c r="HC22" s="529"/>
      <c r="HD22" s="529"/>
      <c r="HE22" s="529"/>
      <c r="HF22" s="529"/>
      <c r="HG22" s="529"/>
      <c r="HH22" s="529"/>
      <c r="HI22" s="529"/>
      <c r="HJ22" s="529"/>
      <c r="HK22" s="529"/>
      <c r="HL22" s="529"/>
      <c r="HM22" s="529"/>
      <c r="HN22" s="529"/>
      <c r="HO22" s="529"/>
      <c r="HP22" s="529"/>
      <c r="HQ22" s="529"/>
      <c r="HR22" s="529"/>
      <c r="HS22" s="529"/>
      <c r="HT22" s="529"/>
      <c r="HU22" s="529"/>
      <c r="HV22" s="529"/>
      <c r="HW22" s="529"/>
      <c r="HX22" s="529"/>
      <c r="HY22" s="529"/>
      <c r="HZ22" s="529"/>
      <c r="IA22" s="529"/>
      <c r="IB22" s="529"/>
      <c r="IC22" s="529"/>
      <c r="ID22" s="529"/>
      <c r="IE22" s="529"/>
      <c r="IF22" s="529"/>
      <c r="IG22" s="529"/>
      <c r="IH22" s="529"/>
      <c r="II22" s="529"/>
      <c r="IJ22" s="529"/>
      <c r="IK22" s="529"/>
      <c r="IL22" s="529"/>
      <c r="IM22" s="529"/>
      <c r="IN22" s="529"/>
    </row>
    <row r="23" spans="1:248" ht="11.25" customHeigh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Z23" s="480"/>
      <c r="AA23" s="480"/>
      <c r="AB23" s="480"/>
      <c r="AC23" s="480"/>
      <c r="AD23" s="480"/>
      <c r="AE23" s="480"/>
      <c r="AF23" s="480"/>
      <c r="AG23" s="480"/>
      <c r="AH23" s="480"/>
      <c r="AI23" s="480"/>
      <c r="AJ23" s="480"/>
      <c r="AK23" s="480"/>
      <c r="AL23" s="480"/>
      <c r="AM23" s="480"/>
      <c r="AN23" s="480"/>
      <c r="AO23" s="480"/>
      <c r="AP23" s="480"/>
      <c r="AQ23" s="480"/>
      <c r="AR23" s="480"/>
      <c r="AS23" s="480"/>
      <c r="AT23" s="480"/>
      <c r="AU23" s="480"/>
      <c r="AV23" s="480"/>
      <c r="AW23" s="480"/>
      <c r="AX23" s="480"/>
      <c r="AY23" s="480"/>
      <c r="AZ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480"/>
      <c r="CB23" s="480"/>
      <c r="CC23" s="480"/>
      <c r="CD23" s="480"/>
      <c r="CE23" s="480"/>
      <c r="CF23" s="480"/>
      <c r="CG23" s="480"/>
      <c r="CH23" s="480"/>
      <c r="CI23" s="480"/>
      <c r="CJ23" s="480"/>
      <c r="CK23" s="480"/>
      <c r="CL23" s="480"/>
      <c r="CM23" s="480"/>
      <c r="CN23" s="480"/>
      <c r="CO23" s="480"/>
      <c r="CP23" s="480"/>
      <c r="CQ23" s="480"/>
      <c r="CR23" s="480"/>
      <c r="CS23" s="480"/>
      <c r="CT23" s="1807" t="s">
        <v>66</v>
      </c>
      <c r="CU23" s="1807"/>
      <c r="CV23" s="1807"/>
      <c r="CW23" s="1807"/>
      <c r="CX23" s="1807"/>
      <c r="CY23" s="1807"/>
      <c r="CZ23" s="1807"/>
      <c r="DA23" s="1807"/>
      <c r="DB23" s="1807"/>
      <c r="DC23" s="1807"/>
      <c r="DD23" s="1807"/>
      <c r="DE23" s="1807"/>
      <c r="DF23" s="1807"/>
      <c r="DG23" s="1807"/>
      <c r="DH23" s="1807"/>
      <c r="DI23" s="1807"/>
      <c r="DJ23" s="1807"/>
      <c r="DK23" s="1807"/>
      <c r="DL23" s="1807"/>
      <c r="DM23" s="1807"/>
      <c r="DN23" s="1807"/>
      <c r="DO23" s="1807"/>
      <c r="DP23" s="1807"/>
      <c r="DQ23" s="1807"/>
      <c r="DR23" s="1807"/>
      <c r="DS23" s="1807"/>
      <c r="DT23" s="1807"/>
      <c r="DU23" s="1807"/>
      <c r="DV23" s="1807"/>
      <c r="DW23" s="1807"/>
      <c r="DX23" s="1807"/>
      <c r="DY23" s="1807"/>
      <c r="DZ23" s="1807"/>
      <c r="EA23" s="480"/>
      <c r="EB23" s="1808" t="s">
        <v>755</v>
      </c>
      <c r="EC23" s="1808"/>
      <c r="ED23" s="1808"/>
      <c r="EE23" s="1808"/>
      <c r="EF23" s="1808"/>
      <c r="EG23" s="1808"/>
      <c r="EH23" s="1808"/>
      <c r="EI23" s="1808"/>
      <c r="EJ23" s="1808"/>
      <c r="EK23" s="1808"/>
      <c r="EL23" s="1808"/>
      <c r="EM23" s="1808"/>
      <c r="EN23" s="1808"/>
      <c r="EO23" s="1808"/>
      <c r="EP23" s="1808"/>
      <c r="EQ23" s="1808"/>
      <c r="ER23" s="1808"/>
      <c r="ES23" s="1808"/>
      <c r="ET23" s="529"/>
      <c r="EU23" s="529"/>
      <c r="EV23" s="529"/>
      <c r="EW23" s="529"/>
      <c r="EX23" s="529"/>
      <c r="EY23" s="529"/>
      <c r="EZ23" s="529"/>
      <c r="FA23" s="529"/>
      <c r="FB23" s="529"/>
      <c r="FC23" s="529"/>
      <c r="FD23" s="529"/>
      <c r="FE23" s="529"/>
      <c r="FF23" s="529"/>
      <c r="FG23" s="529"/>
      <c r="FH23" s="529"/>
      <c r="FI23" s="529"/>
      <c r="FJ23" s="529"/>
      <c r="FK23" s="529"/>
      <c r="FL23" s="529"/>
      <c r="FM23" s="529"/>
      <c r="FN23" s="529"/>
      <c r="FO23" s="529"/>
      <c r="FP23" s="529"/>
      <c r="FQ23" s="529"/>
      <c r="FR23" s="529"/>
      <c r="FS23" s="529"/>
      <c r="FT23" s="529"/>
      <c r="FU23" s="529"/>
      <c r="FV23" s="529"/>
      <c r="FW23" s="529"/>
      <c r="FX23" s="529"/>
      <c r="FY23" s="529"/>
      <c r="FZ23" s="529"/>
      <c r="GA23" s="529"/>
      <c r="GB23" s="529"/>
      <c r="GC23" s="529"/>
      <c r="GD23" s="529"/>
      <c r="GE23" s="529"/>
      <c r="GF23" s="529"/>
      <c r="GG23" s="529"/>
      <c r="GH23" s="529"/>
      <c r="GI23" s="529"/>
      <c r="GJ23" s="529"/>
      <c r="GK23" s="529"/>
      <c r="GL23" s="529"/>
      <c r="GM23" s="529"/>
      <c r="GN23" s="529"/>
      <c r="GO23" s="529"/>
      <c r="GP23" s="529"/>
      <c r="GQ23" s="529"/>
      <c r="GR23" s="529"/>
      <c r="GS23" s="529"/>
      <c r="GT23" s="529"/>
      <c r="GU23" s="529"/>
      <c r="GV23" s="529"/>
      <c r="GW23" s="529"/>
      <c r="GX23" s="529"/>
      <c r="GY23" s="529"/>
      <c r="GZ23" s="529"/>
      <c r="HA23" s="529"/>
      <c r="HB23" s="529"/>
      <c r="HC23" s="529"/>
      <c r="HD23" s="529"/>
      <c r="HE23" s="529"/>
      <c r="HF23" s="529"/>
      <c r="HG23" s="529"/>
      <c r="HH23" s="529"/>
      <c r="HI23" s="529"/>
      <c r="HJ23" s="529"/>
      <c r="HK23" s="529"/>
      <c r="HL23" s="529"/>
      <c r="HM23" s="529"/>
      <c r="HN23" s="529"/>
      <c r="HO23" s="529"/>
      <c r="HP23" s="529"/>
      <c r="HQ23" s="529"/>
      <c r="HR23" s="529"/>
      <c r="HS23" s="529"/>
      <c r="HT23" s="529"/>
      <c r="HU23" s="529"/>
      <c r="HV23" s="529"/>
      <c r="HW23" s="529"/>
      <c r="HX23" s="529"/>
      <c r="HY23" s="529"/>
      <c r="HZ23" s="529"/>
      <c r="IA23" s="529"/>
      <c r="IB23" s="529"/>
      <c r="IC23" s="529"/>
      <c r="ID23" s="529"/>
      <c r="IE23" s="529"/>
      <c r="IF23" s="529"/>
      <c r="IG23" s="529"/>
      <c r="IH23" s="529"/>
      <c r="II23" s="529"/>
      <c r="IJ23" s="529"/>
      <c r="IK23" s="529"/>
      <c r="IL23" s="529"/>
      <c r="IM23" s="529"/>
      <c r="IN23" s="529"/>
    </row>
    <row r="24" spans="1:248" ht="11.25" customHeight="1">
      <c r="A24" s="480"/>
      <c r="B24" s="480"/>
      <c r="C24" s="480"/>
      <c r="D24" s="480"/>
      <c r="E24" s="480"/>
      <c r="F24" s="480"/>
      <c r="G24" s="480"/>
      <c r="H24" s="480"/>
      <c r="I24" s="480"/>
      <c r="J24" s="480"/>
      <c r="K24" s="480"/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Z24" s="480"/>
      <c r="AA24" s="480"/>
      <c r="AB24" s="480"/>
      <c r="AC24" s="480"/>
      <c r="AD24" s="480"/>
      <c r="AE24" s="480"/>
      <c r="AF24" s="480"/>
      <c r="AG24" s="480"/>
      <c r="AH24" s="480"/>
      <c r="AI24" s="480"/>
      <c r="AJ24" s="480"/>
      <c r="AK24" s="480"/>
      <c r="AL24" s="480"/>
      <c r="AM24" s="480"/>
      <c r="AN24" s="480"/>
      <c r="AO24" s="480"/>
      <c r="AP24" s="480"/>
      <c r="AQ24" s="480"/>
      <c r="AR24" s="480"/>
      <c r="AS24" s="480"/>
      <c r="AT24" s="480"/>
      <c r="AU24" s="480"/>
      <c r="AV24" s="480"/>
      <c r="AW24" s="480"/>
      <c r="AX24" s="480"/>
      <c r="AY24" s="480"/>
      <c r="AZ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480"/>
      <c r="CB24" s="480"/>
      <c r="CC24" s="480"/>
      <c r="CD24" s="480"/>
      <c r="CE24" s="480"/>
      <c r="CF24" s="480"/>
      <c r="CG24" s="480"/>
      <c r="CH24" s="480"/>
      <c r="CI24" s="480"/>
      <c r="CJ24" s="480"/>
      <c r="CK24" s="480"/>
      <c r="CL24" s="480"/>
      <c r="CM24" s="480"/>
      <c r="CN24" s="480"/>
      <c r="CO24" s="480"/>
      <c r="CP24" s="480"/>
      <c r="CQ24" s="480"/>
      <c r="CR24" s="480"/>
      <c r="CS24" s="480"/>
      <c r="CT24" s="1807"/>
      <c r="CU24" s="1807"/>
      <c r="CV24" s="1807"/>
      <c r="CW24" s="1807"/>
      <c r="CX24" s="1807"/>
      <c r="CY24" s="1807"/>
      <c r="CZ24" s="1807"/>
      <c r="DA24" s="1807"/>
      <c r="DB24" s="1807"/>
      <c r="DC24" s="1807"/>
      <c r="DD24" s="1807"/>
      <c r="DE24" s="1807"/>
      <c r="DF24" s="1807"/>
      <c r="DG24" s="1807"/>
      <c r="DH24" s="1807"/>
      <c r="DI24" s="1807"/>
      <c r="DJ24" s="1807"/>
      <c r="DK24" s="1807"/>
      <c r="DL24" s="1807"/>
      <c r="DM24" s="1807"/>
      <c r="DN24" s="1807"/>
      <c r="DO24" s="1807"/>
      <c r="DP24" s="1807"/>
      <c r="DQ24" s="1807"/>
      <c r="DR24" s="1807"/>
      <c r="DS24" s="1807"/>
      <c r="DT24" s="1807"/>
      <c r="DU24" s="1807"/>
      <c r="DV24" s="1807"/>
      <c r="DW24" s="1807"/>
      <c r="DX24" s="1807"/>
      <c r="DY24" s="1807"/>
      <c r="DZ24" s="1807"/>
      <c r="EA24" s="480"/>
      <c r="EB24" s="1808"/>
      <c r="EC24" s="1808"/>
      <c r="ED24" s="1808"/>
      <c r="EE24" s="1808"/>
      <c r="EF24" s="1808"/>
      <c r="EG24" s="1808"/>
      <c r="EH24" s="1808"/>
      <c r="EI24" s="1808"/>
      <c r="EJ24" s="1808"/>
      <c r="EK24" s="1808"/>
      <c r="EL24" s="1808"/>
      <c r="EM24" s="1808"/>
      <c r="EN24" s="1808"/>
      <c r="EO24" s="1808"/>
      <c r="EP24" s="1808"/>
      <c r="EQ24" s="1808"/>
      <c r="ER24" s="1808"/>
      <c r="ES24" s="1808"/>
      <c r="ET24" s="529"/>
      <c r="EU24" s="529"/>
      <c r="EV24" s="529"/>
      <c r="EW24" s="529"/>
      <c r="EX24" s="529"/>
      <c r="EY24" s="529"/>
      <c r="EZ24" s="529"/>
      <c r="FA24" s="529"/>
      <c r="FB24" s="529"/>
      <c r="FC24" s="529"/>
      <c r="FD24" s="529"/>
      <c r="FE24" s="529"/>
      <c r="FF24" s="529"/>
      <c r="FG24" s="529"/>
      <c r="FH24" s="529"/>
      <c r="FI24" s="529"/>
      <c r="FJ24" s="529"/>
      <c r="FK24" s="529"/>
      <c r="FL24" s="529"/>
      <c r="FM24" s="529"/>
      <c r="FN24" s="529"/>
      <c r="FO24" s="529"/>
      <c r="FP24" s="529"/>
      <c r="FQ24" s="529"/>
      <c r="FR24" s="529"/>
      <c r="FS24" s="529"/>
      <c r="FT24" s="529"/>
      <c r="FU24" s="529"/>
      <c r="FV24" s="529"/>
      <c r="FW24" s="529"/>
      <c r="FX24" s="529"/>
      <c r="FY24" s="529"/>
      <c r="FZ24" s="529"/>
      <c r="GA24" s="529"/>
      <c r="GB24" s="529"/>
      <c r="GC24" s="529"/>
      <c r="GD24" s="529"/>
      <c r="GE24" s="529"/>
      <c r="GF24" s="529"/>
      <c r="GG24" s="529"/>
      <c r="GH24" s="529"/>
      <c r="GI24" s="529"/>
      <c r="GJ24" s="529"/>
      <c r="GK24" s="529"/>
      <c r="GL24" s="529"/>
      <c r="GM24" s="529"/>
      <c r="GN24" s="529"/>
      <c r="GO24" s="529"/>
      <c r="GP24" s="529"/>
      <c r="GQ24" s="529"/>
      <c r="GR24" s="529"/>
      <c r="GS24" s="529"/>
      <c r="GT24" s="529"/>
      <c r="GU24" s="529"/>
      <c r="GV24" s="529"/>
      <c r="GW24" s="529"/>
      <c r="GX24" s="529"/>
      <c r="GY24" s="529"/>
      <c r="GZ24" s="529"/>
      <c r="HA24" s="529"/>
      <c r="HB24" s="529"/>
      <c r="HC24" s="529"/>
      <c r="HD24" s="529"/>
      <c r="HE24" s="529"/>
      <c r="HF24" s="529"/>
      <c r="HG24" s="529"/>
      <c r="HH24" s="529"/>
      <c r="HI24" s="529"/>
      <c r="HJ24" s="529"/>
      <c r="HK24" s="529"/>
      <c r="HL24" s="529"/>
      <c r="HM24" s="529"/>
      <c r="HN24" s="529"/>
      <c r="HO24" s="529"/>
      <c r="HP24" s="529"/>
      <c r="HQ24" s="529"/>
      <c r="HR24" s="529"/>
      <c r="HS24" s="529"/>
      <c r="HT24" s="529"/>
      <c r="HU24" s="529"/>
      <c r="HV24" s="529"/>
      <c r="HW24" s="529"/>
      <c r="HX24" s="529"/>
      <c r="HY24" s="529"/>
      <c r="HZ24" s="529"/>
      <c r="IA24" s="529"/>
      <c r="IB24" s="529"/>
      <c r="IC24" s="529"/>
      <c r="ID24" s="529"/>
      <c r="IE24" s="529"/>
      <c r="IF24" s="529"/>
      <c r="IG24" s="529"/>
      <c r="IH24" s="529"/>
      <c r="II24" s="529"/>
      <c r="IJ24" s="529"/>
      <c r="IK24" s="529"/>
      <c r="IL24" s="529"/>
      <c r="IM24" s="529"/>
      <c r="IN24" s="529"/>
    </row>
    <row r="25" spans="1:248" ht="11.25" customHeight="1">
      <c r="A25" s="480"/>
      <c r="B25" s="480"/>
      <c r="C25" s="480"/>
      <c r="D25" s="480"/>
      <c r="E25" s="480"/>
      <c r="F25" s="480"/>
      <c r="G25" s="480"/>
      <c r="H25" s="480"/>
      <c r="I25" s="480"/>
      <c r="J25" s="480"/>
      <c r="K25" s="480"/>
      <c r="L25" s="480"/>
      <c r="M25" s="480"/>
      <c r="N25" s="480"/>
      <c r="O25" s="480"/>
      <c r="P25" s="480"/>
      <c r="Q25" s="480"/>
      <c r="R25" s="480"/>
      <c r="S25" s="480"/>
      <c r="T25" s="480"/>
      <c r="U25" s="480"/>
      <c r="V25" s="480"/>
      <c r="W25" s="480"/>
      <c r="X25" s="480"/>
      <c r="Y25" s="480"/>
      <c r="Z25" s="480"/>
      <c r="AA25" s="480"/>
      <c r="AB25" s="480"/>
      <c r="AC25" s="480"/>
      <c r="AD25" s="480"/>
      <c r="AE25" s="480"/>
      <c r="AF25" s="480"/>
      <c r="AG25" s="480"/>
      <c r="AH25" s="480"/>
      <c r="AI25" s="480"/>
      <c r="AJ25" s="480"/>
      <c r="AK25" s="480"/>
      <c r="AL25" s="480"/>
      <c r="AM25" s="480"/>
      <c r="AN25" s="480"/>
      <c r="AO25" s="480"/>
      <c r="AP25" s="480"/>
      <c r="AQ25" s="480"/>
      <c r="AR25" s="480"/>
      <c r="AS25" s="480"/>
      <c r="AT25" s="480"/>
      <c r="AU25" s="480"/>
      <c r="AV25" s="480"/>
      <c r="AW25" s="480"/>
      <c r="AX25" s="480"/>
      <c r="AY25" s="480"/>
      <c r="AZ25" s="480"/>
      <c r="BA25" s="480"/>
      <c r="BB25" s="480"/>
      <c r="BC25" s="480"/>
      <c r="BD25" s="480"/>
      <c r="BE25" s="480"/>
      <c r="BF25" s="480"/>
      <c r="BG25" s="480"/>
      <c r="BH25" s="480"/>
      <c r="BI25" s="480"/>
      <c r="BJ25" s="480"/>
      <c r="BK25" s="480"/>
      <c r="BL25" s="480"/>
      <c r="BM25" s="480"/>
      <c r="BN25" s="480"/>
      <c r="BO25" s="480"/>
      <c r="BP25" s="480"/>
      <c r="BQ25" s="480"/>
      <c r="BR25" s="480"/>
      <c r="BS25" s="480"/>
      <c r="BT25" s="480"/>
      <c r="BU25" s="480"/>
      <c r="BV25" s="480"/>
      <c r="BW25" s="480"/>
      <c r="BX25" s="480"/>
      <c r="BY25" s="480"/>
      <c r="BZ25" s="480"/>
      <c r="CA25" s="480"/>
      <c r="CB25" s="480"/>
      <c r="CC25" s="480"/>
      <c r="CD25" s="480"/>
      <c r="CE25" s="480"/>
      <c r="CF25" s="480"/>
      <c r="CG25" s="480"/>
      <c r="CH25" s="480"/>
      <c r="CI25" s="480"/>
      <c r="CJ25" s="480"/>
      <c r="CK25" s="480"/>
      <c r="CL25" s="480"/>
      <c r="CM25" s="480"/>
      <c r="CN25" s="480"/>
      <c r="CO25" s="480"/>
      <c r="CP25" s="480"/>
      <c r="CQ25" s="480"/>
      <c r="CR25" s="480"/>
      <c r="CS25" s="480"/>
      <c r="CT25" s="480"/>
      <c r="CU25" s="480"/>
      <c r="CV25" s="480"/>
      <c r="CW25" s="480"/>
      <c r="CX25" s="480"/>
      <c r="CY25" s="480"/>
      <c r="CZ25" s="480"/>
      <c r="DA25" s="480"/>
      <c r="DB25" s="480"/>
      <c r="DC25" s="480"/>
      <c r="DD25" s="480"/>
      <c r="DE25" s="480"/>
      <c r="DF25" s="480"/>
      <c r="DG25" s="480"/>
      <c r="DH25" s="480"/>
      <c r="DI25" s="480"/>
      <c r="DJ25" s="480"/>
      <c r="DK25" s="480"/>
      <c r="DL25" s="480"/>
      <c r="DM25" s="480"/>
      <c r="DN25" s="480"/>
      <c r="DO25" s="480"/>
      <c r="DP25" s="480"/>
      <c r="DQ25" s="480"/>
      <c r="DR25" s="480"/>
      <c r="DS25" s="480"/>
      <c r="DT25" s="480"/>
      <c r="DU25" s="480"/>
      <c r="DV25" s="480"/>
      <c r="DW25" s="480"/>
      <c r="DX25" s="480"/>
      <c r="DY25" s="480"/>
      <c r="DZ25" s="480"/>
      <c r="EA25" s="480"/>
      <c r="EB25" s="480"/>
      <c r="EC25" s="480"/>
      <c r="ED25" s="480"/>
      <c r="EE25" s="480"/>
      <c r="EF25" s="480"/>
      <c r="EG25" s="480"/>
      <c r="EH25" s="480"/>
      <c r="EI25" s="480"/>
      <c r="EJ25" s="480"/>
      <c r="EK25" s="480"/>
      <c r="EL25" s="480"/>
      <c r="EM25" s="480"/>
      <c r="EN25" s="480"/>
      <c r="EO25" s="480"/>
      <c r="EP25" s="480"/>
      <c r="EQ25" s="480"/>
      <c r="ER25" s="480"/>
      <c r="ES25" s="480"/>
      <c r="ET25" s="529"/>
      <c r="EU25" s="529"/>
      <c r="EV25" s="529"/>
      <c r="EW25" s="529"/>
      <c r="EX25" s="529"/>
      <c r="EY25" s="529"/>
      <c r="EZ25" s="529"/>
      <c r="FA25" s="529"/>
      <c r="FB25" s="529"/>
      <c r="FC25" s="529"/>
      <c r="FD25" s="529"/>
      <c r="FE25" s="529"/>
      <c r="FF25" s="529"/>
      <c r="FG25" s="529"/>
      <c r="FH25" s="529"/>
      <c r="FI25" s="529"/>
      <c r="FJ25" s="529"/>
      <c r="FK25" s="529"/>
      <c r="FL25" s="529"/>
      <c r="FM25" s="529"/>
      <c r="FN25" s="529"/>
      <c r="FO25" s="529"/>
      <c r="FP25" s="529"/>
      <c r="FQ25" s="529"/>
      <c r="FR25" s="529"/>
      <c r="FS25" s="529"/>
      <c r="FT25" s="529"/>
      <c r="FU25" s="529"/>
      <c r="FV25" s="529"/>
      <c r="FW25" s="529"/>
      <c r="FX25" s="529"/>
      <c r="FY25" s="529"/>
      <c r="FZ25" s="529"/>
      <c r="GA25" s="529"/>
      <c r="GB25" s="529"/>
      <c r="GC25" s="529"/>
      <c r="GD25" s="529"/>
      <c r="GE25" s="529"/>
      <c r="GF25" s="529"/>
      <c r="GG25" s="529"/>
      <c r="GH25" s="529"/>
      <c r="GI25" s="529"/>
      <c r="GJ25" s="529"/>
      <c r="GK25" s="529"/>
      <c r="GL25" s="529"/>
      <c r="GM25" s="529"/>
      <c r="GN25" s="529"/>
      <c r="GO25" s="529"/>
      <c r="GP25" s="529"/>
      <c r="GQ25" s="529"/>
      <c r="GR25" s="529"/>
      <c r="GS25" s="529"/>
      <c r="GT25" s="529"/>
      <c r="GU25" s="529"/>
      <c r="GV25" s="529"/>
      <c r="GW25" s="529"/>
      <c r="GX25" s="529"/>
      <c r="GY25" s="529"/>
      <c r="GZ25" s="529"/>
      <c r="HA25" s="529"/>
      <c r="HB25" s="529"/>
      <c r="HC25" s="529"/>
      <c r="HD25" s="529"/>
      <c r="HE25" s="529"/>
      <c r="HF25" s="529"/>
      <c r="HG25" s="529"/>
      <c r="HH25" s="529"/>
      <c r="HI25" s="529"/>
      <c r="HJ25" s="529"/>
      <c r="HK25" s="529"/>
      <c r="HL25" s="529"/>
      <c r="HM25" s="529"/>
      <c r="HN25" s="529"/>
      <c r="HO25" s="529"/>
      <c r="HP25" s="529"/>
      <c r="HQ25" s="529"/>
      <c r="HR25" s="529"/>
      <c r="HS25" s="529"/>
      <c r="HT25" s="529"/>
      <c r="HU25" s="529"/>
      <c r="HV25" s="529"/>
      <c r="HW25" s="529"/>
      <c r="HX25" s="529"/>
      <c r="HY25" s="529"/>
      <c r="HZ25" s="529"/>
      <c r="IA25" s="529"/>
      <c r="IB25" s="529"/>
      <c r="IC25" s="529"/>
      <c r="ID25" s="529"/>
      <c r="IE25" s="529"/>
      <c r="IF25" s="529"/>
      <c r="IG25" s="529"/>
      <c r="IH25" s="529"/>
      <c r="II25" s="529"/>
      <c r="IJ25" s="529"/>
      <c r="IK25" s="529"/>
      <c r="IL25" s="529"/>
      <c r="IM25" s="529"/>
      <c r="IN25" s="529"/>
    </row>
    <row r="26" spans="1:248" ht="15" customHeight="1">
      <c r="A26" s="1809" t="s">
        <v>277</v>
      </c>
      <c r="B26" s="1809"/>
      <c r="C26" s="1809"/>
      <c r="D26" s="1809"/>
      <c r="E26" s="1809"/>
      <c r="F26" s="1809"/>
      <c r="G26" s="1809"/>
      <c r="H26" s="1809"/>
      <c r="I26" s="1809"/>
      <c r="J26" s="1809"/>
      <c r="K26" s="1809"/>
      <c r="L26" s="1809"/>
      <c r="M26" s="1809"/>
      <c r="N26" s="1809"/>
      <c r="O26" s="1809"/>
      <c r="P26" s="1809"/>
      <c r="Q26" s="1809"/>
      <c r="R26" s="1809"/>
      <c r="S26" s="1809"/>
      <c r="T26" s="1809"/>
      <c r="U26" s="1809"/>
      <c r="V26" s="1809"/>
      <c r="W26" s="1809"/>
      <c r="X26" s="1809"/>
      <c r="Y26" s="1809"/>
      <c r="Z26" s="1809"/>
      <c r="AA26" s="1809"/>
      <c r="AB26" s="1809"/>
      <c r="AC26" s="1809"/>
      <c r="AD26" s="1809"/>
      <c r="AE26" s="1809"/>
      <c r="AF26" s="1809"/>
      <c r="AG26" s="1809"/>
      <c r="AH26" s="1809"/>
      <c r="AI26" s="1809"/>
      <c r="AJ26" s="1809"/>
      <c r="AK26" s="1809"/>
      <c r="AL26" s="1809"/>
      <c r="AM26" s="1809"/>
      <c r="AN26" s="1809"/>
      <c r="AO26" s="1809"/>
      <c r="AP26" s="1809"/>
      <c r="AQ26" s="1809"/>
      <c r="AR26" s="1809"/>
      <c r="AS26" s="1809"/>
      <c r="AT26" s="1809"/>
      <c r="AU26" s="1809"/>
      <c r="AV26" s="1809"/>
      <c r="AW26" s="1809"/>
      <c r="AX26" s="1809"/>
      <c r="AY26" s="1809"/>
      <c r="AZ26" s="1809"/>
      <c r="BA26" s="1809"/>
      <c r="BB26" s="1809"/>
      <c r="BC26" s="1809"/>
      <c r="BD26" s="1809"/>
      <c r="BE26" s="1809"/>
      <c r="BF26" s="1809"/>
      <c r="BG26" s="1809"/>
      <c r="BH26" s="1809"/>
      <c r="BI26" s="1809"/>
      <c r="BJ26" s="1809"/>
      <c r="BK26" s="1809"/>
      <c r="BL26" s="1809"/>
      <c r="BM26" s="1809"/>
      <c r="BN26" s="1809"/>
      <c r="BO26" s="1809"/>
      <c r="BP26" s="1809"/>
      <c r="BQ26" s="1809"/>
      <c r="BR26" s="1809"/>
      <c r="BS26" s="1809"/>
      <c r="BT26" s="1809"/>
      <c r="BU26" s="1809"/>
      <c r="BV26" s="1809"/>
      <c r="BW26" s="1809"/>
      <c r="BX26" s="1809"/>
      <c r="BY26" s="1809"/>
      <c r="BZ26" s="1809"/>
      <c r="CA26" s="1809"/>
      <c r="CB26" s="1809"/>
      <c r="CC26" s="1809"/>
      <c r="CD26" s="1809"/>
      <c r="CE26" s="1809"/>
      <c r="CF26" s="1809"/>
      <c r="CG26" s="1809"/>
      <c r="CH26" s="1809"/>
      <c r="CI26" s="1809"/>
      <c r="CJ26" s="1809"/>
      <c r="CK26" s="1809"/>
      <c r="CL26" s="1809"/>
      <c r="CM26" s="1809"/>
      <c r="CN26" s="1809"/>
      <c r="CO26" s="1809"/>
      <c r="CP26" s="1809"/>
      <c r="CQ26" s="1809"/>
      <c r="CR26" s="1809"/>
      <c r="CS26" s="1809"/>
      <c r="CT26" s="1809"/>
      <c r="CU26" s="1809"/>
      <c r="CV26" s="1809"/>
      <c r="CW26" s="1809"/>
      <c r="CX26" s="1809"/>
      <c r="CY26" s="1809"/>
      <c r="CZ26" s="1809"/>
      <c r="DA26" s="1809"/>
      <c r="DB26" s="1809"/>
      <c r="DC26" s="1809"/>
      <c r="DD26" s="1809"/>
      <c r="DE26" s="1809"/>
      <c r="DF26" s="1809"/>
      <c r="DG26" s="1809"/>
      <c r="DH26" s="1809"/>
      <c r="DI26" s="1809"/>
      <c r="DJ26" s="1809"/>
      <c r="DK26" s="1809"/>
      <c r="DL26" s="1809"/>
      <c r="DM26" s="1809"/>
      <c r="DN26" s="1809"/>
      <c r="DO26" s="1809"/>
      <c r="DP26" s="1809"/>
      <c r="DQ26" s="1809"/>
      <c r="DR26" s="1809"/>
      <c r="DS26" s="1809"/>
      <c r="DT26" s="1809"/>
      <c r="DU26" s="1809"/>
      <c r="DV26" s="1809"/>
      <c r="DW26" s="1809"/>
      <c r="DX26" s="1809"/>
      <c r="DY26" s="1809"/>
      <c r="DZ26" s="1809"/>
      <c r="EA26" s="1809"/>
      <c r="EB26" s="1809"/>
      <c r="EC26" s="1809"/>
      <c r="ED26" s="1809"/>
      <c r="EE26" s="1809"/>
      <c r="EF26" s="1809"/>
      <c r="EG26" s="1809"/>
      <c r="EH26" s="1809"/>
      <c r="EI26" s="1809"/>
      <c r="EJ26" s="1809"/>
      <c r="EK26" s="1809"/>
      <c r="EL26" s="1809"/>
      <c r="EM26" s="1809"/>
      <c r="EN26" s="1809"/>
      <c r="EO26" s="1809"/>
      <c r="EP26" s="1809"/>
      <c r="EQ26" s="1809"/>
      <c r="ER26" s="1809"/>
      <c r="ES26" s="1809"/>
      <c r="ET26" s="529"/>
      <c r="EU26" s="529"/>
      <c r="EV26" s="529"/>
      <c r="EW26" s="529"/>
      <c r="EX26" s="529"/>
      <c r="EY26" s="529"/>
      <c r="EZ26" s="529"/>
      <c r="FA26" s="529"/>
      <c r="FB26" s="529"/>
      <c r="FC26" s="529"/>
      <c r="FD26" s="529"/>
      <c r="FE26" s="529"/>
      <c r="FF26" s="529"/>
      <c r="FG26" s="529"/>
      <c r="FH26" s="529"/>
      <c r="FI26" s="529"/>
      <c r="FJ26" s="529"/>
      <c r="FK26" s="529"/>
      <c r="FL26" s="529"/>
      <c r="FM26" s="529"/>
      <c r="FN26" s="529"/>
      <c r="FO26" s="529"/>
      <c r="FP26" s="529"/>
      <c r="FQ26" s="529"/>
      <c r="FR26" s="529"/>
      <c r="FS26" s="529"/>
      <c r="FT26" s="529"/>
      <c r="FU26" s="529"/>
      <c r="FV26" s="529"/>
      <c r="FW26" s="529"/>
      <c r="FX26" s="529"/>
      <c r="FY26" s="529"/>
      <c r="FZ26" s="529"/>
      <c r="GA26" s="529"/>
      <c r="GB26" s="529"/>
      <c r="GC26" s="529"/>
      <c r="GD26" s="529"/>
      <c r="GE26" s="529"/>
      <c r="GF26" s="529"/>
      <c r="GG26" s="529"/>
      <c r="GH26" s="529"/>
      <c r="GI26" s="529"/>
      <c r="GJ26" s="529"/>
      <c r="GK26" s="529"/>
      <c r="GL26" s="529"/>
      <c r="GM26" s="529"/>
      <c r="GN26" s="529"/>
      <c r="GO26" s="529"/>
      <c r="GP26" s="529"/>
      <c r="GQ26" s="529"/>
      <c r="GR26" s="529"/>
      <c r="GS26" s="529"/>
      <c r="GT26" s="529"/>
      <c r="GU26" s="529"/>
      <c r="GV26" s="529"/>
      <c r="GW26" s="529"/>
      <c r="GX26" s="529"/>
      <c r="GY26" s="529"/>
      <c r="GZ26" s="529"/>
      <c r="HA26" s="529"/>
      <c r="HB26" s="529"/>
      <c r="HC26" s="529"/>
      <c r="HD26" s="529"/>
      <c r="HE26" s="529"/>
      <c r="HF26" s="529"/>
      <c r="HG26" s="529"/>
      <c r="HH26" s="529"/>
      <c r="HI26" s="529"/>
      <c r="HJ26" s="529"/>
      <c r="HK26" s="529"/>
      <c r="HL26" s="529"/>
      <c r="HM26" s="529"/>
      <c r="HN26" s="529"/>
      <c r="HO26" s="529"/>
      <c r="HP26" s="529"/>
      <c r="HQ26" s="529"/>
      <c r="HR26" s="529"/>
      <c r="HS26" s="529"/>
      <c r="HT26" s="529"/>
      <c r="HU26" s="529"/>
      <c r="HV26" s="529"/>
      <c r="HW26" s="529"/>
      <c r="HX26" s="529"/>
      <c r="HY26" s="529"/>
      <c r="HZ26" s="529"/>
      <c r="IA26" s="529"/>
      <c r="IB26" s="529"/>
      <c r="IC26" s="529"/>
      <c r="ID26" s="529"/>
      <c r="IE26" s="529"/>
      <c r="IF26" s="529"/>
      <c r="IG26" s="529"/>
      <c r="IH26" s="529"/>
      <c r="II26" s="529"/>
      <c r="IJ26" s="529"/>
      <c r="IK26" s="529"/>
      <c r="IL26" s="529"/>
      <c r="IM26" s="529"/>
      <c r="IN26" s="529"/>
    </row>
    <row r="27" spans="1:248" ht="11.25" customHeight="1">
      <c r="A27" s="480"/>
      <c r="B27" s="480"/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0"/>
      <c r="Z27" s="480"/>
      <c r="AA27" s="480"/>
      <c r="AB27" s="480"/>
      <c r="AC27" s="480"/>
      <c r="AD27" s="480"/>
      <c r="AE27" s="480"/>
      <c r="AF27" s="480"/>
      <c r="AG27" s="480"/>
      <c r="AH27" s="480"/>
      <c r="AI27" s="480"/>
      <c r="AJ27" s="480"/>
      <c r="AK27" s="480"/>
      <c r="AL27" s="480"/>
      <c r="AM27" s="480"/>
      <c r="AN27" s="480"/>
      <c r="AO27" s="480"/>
      <c r="AP27" s="480"/>
      <c r="AQ27" s="480"/>
      <c r="AR27" s="480"/>
      <c r="AS27" s="480"/>
      <c r="AT27" s="480"/>
      <c r="AU27" s="480"/>
      <c r="AV27" s="480"/>
      <c r="AW27" s="480"/>
      <c r="AX27" s="480"/>
      <c r="AY27" s="480"/>
      <c r="AZ27" s="480"/>
      <c r="BA27" s="480"/>
      <c r="BB27" s="480"/>
      <c r="BC27" s="480"/>
      <c r="BD27" s="480"/>
      <c r="BE27" s="480"/>
      <c r="BF27" s="480"/>
      <c r="BG27" s="480"/>
      <c r="BH27" s="480"/>
      <c r="BI27" s="480"/>
      <c r="BJ27" s="480"/>
      <c r="BK27" s="480"/>
      <c r="BL27" s="480"/>
      <c r="BM27" s="480"/>
      <c r="BN27" s="480"/>
      <c r="BO27" s="480"/>
      <c r="BP27" s="480"/>
      <c r="BQ27" s="480"/>
      <c r="BR27" s="480"/>
      <c r="BS27" s="480"/>
      <c r="BT27" s="480"/>
      <c r="BU27" s="480"/>
      <c r="BV27" s="480"/>
      <c r="BW27" s="480"/>
      <c r="BX27" s="480"/>
      <c r="BY27" s="480"/>
      <c r="BZ27" s="480"/>
      <c r="CA27" s="480"/>
      <c r="CB27" s="480"/>
      <c r="CC27" s="480"/>
      <c r="CD27" s="480"/>
      <c r="CE27" s="480"/>
      <c r="CF27" s="480"/>
      <c r="CG27" s="480"/>
      <c r="CH27" s="480"/>
      <c r="CI27" s="480"/>
      <c r="CJ27" s="480"/>
      <c r="CK27" s="480"/>
      <c r="CL27" s="480"/>
      <c r="CM27" s="480"/>
      <c r="CN27" s="480"/>
      <c r="CO27" s="480"/>
      <c r="CP27" s="480"/>
      <c r="CQ27" s="480"/>
      <c r="CR27" s="480"/>
      <c r="CS27" s="480"/>
      <c r="CT27" s="480"/>
      <c r="CU27" s="480"/>
      <c r="CV27" s="480"/>
      <c r="CW27" s="480"/>
      <c r="CX27" s="480"/>
      <c r="CY27" s="480"/>
      <c r="CZ27" s="480"/>
      <c r="DA27" s="480"/>
      <c r="DB27" s="480"/>
      <c r="DC27" s="480"/>
      <c r="DD27" s="480"/>
      <c r="DE27" s="480"/>
      <c r="DF27" s="480"/>
      <c r="DG27" s="480"/>
      <c r="DH27" s="480"/>
      <c r="DI27" s="480"/>
      <c r="DJ27" s="480"/>
      <c r="DK27" s="480"/>
      <c r="DL27" s="480"/>
      <c r="DM27" s="480"/>
      <c r="DN27" s="480"/>
      <c r="DO27" s="480"/>
      <c r="DP27" s="480"/>
      <c r="DQ27" s="480"/>
      <c r="DR27" s="480"/>
      <c r="DS27" s="480"/>
      <c r="DT27" s="480"/>
      <c r="DU27" s="480"/>
      <c r="DV27" s="480"/>
      <c r="DW27" s="480"/>
      <c r="DX27" s="480"/>
      <c r="DY27" s="480"/>
      <c r="DZ27" s="480"/>
      <c r="EA27" s="480"/>
      <c r="EB27" s="480"/>
      <c r="EC27" s="480"/>
      <c r="ED27" s="480"/>
      <c r="EE27" s="480"/>
      <c r="EF27" s="480"/>
      <c r="EG27" s="480"/>
      <c r="EH27" s="480"/>
      <c r="EI27" s="480"/>
      <c r="EJ27" s="480"/>
      <c r="EK27" s="480"/>
      <c r="EL27" s="480"/>
      <c r="EM27" s="480"/>
      <c r="EN27" s="480"/>
      <c r="EO27" s="480"/>
      <c r="EP27" s="480"/>
      <c r="EQ27" s="480"/>
      <c r="ER27" s="480"/>
      <c r="ES27" s="480"/>
      <c r="ET27" s="529"/>
      <c r="EU27" s="529"/>
      <c r="EV27" s="529"/>
      <c r="EW27" s="529"/>
      <c r="EX27" s="529"/>
      <c r="EY27" s="529"/>
      <c r="EZ27" s="529"/>
      <c r="FA27" s="529"/>
      <c r="FB27" s="529"/>
      <c r="FC27" s="529"/>
      <c r="FD27" s="529"/>
      <c r="FE27" s="529"/>
      <c r="FF27" s="529"/>
      <c r="FG27" s="529"/>
      <c r="FH27" s="529"/>
      <c r="FI27" s="529"/>
      <c r="FJ27" s="529"/>
      <c r="FK27" s="529"/>
      <c r="FL27" s="529"/>
      <c r="FM27" s="529"/>
      <c r="FN27" s="529"/>
      <c r="FO27" s="529"/>
      <c r="FP27" s="529"/>
      <c r="FQ27" s="529"/>
      <c r="FR27" s="529"/>
      <c r="FS27" s="529"/>
      <c r="FT27" s="529"/>
      <c r="FU27" s="529"/>
      <c r="FV27" s="529"/>
      <c r="FW27" s="529"/>
      <c r="FX27" s="529"/>
      <c r="FY27" s="529"/>
      <c r="FZ27" s="529"/>
      <c r="GA27" s="529"/>
      <c r="GB27" s="529"/>
      <c r="GC27" s="529"/>
      <c r="GD27" s="529"/>
      <c r="GE27" s="529"/>
      <c r="GF27" s="529"/>
      <c r="GG27" s="529"/>
      <c r="GH27" s="529"/>
      <c r="GI27" s="529"/>
      <c r="GJ27" s="529"/>
      <c r="GK27" s="529"/>
      <c r="GL27" s="529"/>
      <c r="GM27" s="529"/>
      <c r="GN27" s="529"/>
      <c r="GO27" s="529"/>
      <c r="GP27" s="529"/>
      <c r="GQ27" s="529"/>
      <c r="GR27" s="529"/>
      <c r="GS27" s="529"/>
      <c r="GT27" s="529"/>
      <c r="GU27" s="529"/>
      <c r="GV27" s="529"/>
      <c r="GW27" s="529"/>
      <c r="GX27" s="529"/>
      <c r="GY27" s="529"/>
      <c r="GZ27" s="529"/>
      <c r="HA27" s="529"/>
      <c r="HB27" s="529"/>
      <c r="HC27" s="529"/>
      <c r="HD27" s="529"/>
      <c r="HE27" s="529"/>
      <c r="HF27" s="529"/>
      <c r="HG27" s="529"/>
      <c r="HH27" s="529"/>
      <c r="HI27" s="529"/>
      <c r="HJ27" s="529"/>
      <c r="HK27" s="529"/>
      <c r="HL27" s="529"/>
      <c r="HM27" s="529"/>
      <c r="HN27" s="529"/>
      <c r="HO27" s="529"/>
      <c r="HP27" s="529"/>
      <c r="HQ27" s="529"/>
      <c r="HR27" s="529"/>
      <c r="HS27" s="529"/>
      <c r="HT27" s="529"/>
      <c r="HU27" s="529"/>
      <c r="HV27" s="529"/>
      <c r="HW27" s="529"/>
      <c r="HX27" s="529"/>
      <c r="HY27" s="529"/>
      <c r="HZ27" s="529"/>
      <c r="IA27" s="529"/>
      <c r="IB27" s="529"/>
      <c r="IC27" s="529"/>
      <c r="ID27" s="529"/>
      <c r="IE27" s="529"/>
      <c r="IF27" s="529"/>
      <c r="IG27" s="529"/>
      <c r="IH27" s="529"/>
      <c r="II27" s="529"/>
      <c r="IJ27" s="529"/>
      <c r="IK27" s="529"/>
      <c r="IL27" s="529"/>
      <c r="IM27" s="529"/>
      <c r="IN27" s="529"/>
    </row>
    <row r="28" spans="1:248" ht="11.25" customHeight="1">
      <c r="A28" s="1805"/>
      <c r="B28" s="1805"/>
      <c r="C28" s="1805"/>
      <c r="D28" s="1805"/>
      <c r="E28" s="1805"/>
      <c r="F28" s="1805" t="s">
        <v>385</v>
      </c>
      <c r="G28" s="1805"/>
      <c r="H28" s="1805"/>
      <c r="I28" s="1805"/>
      <c r="J28" s="1805"/>
      <c r="K28" s="1805"/>
      <c r="L28" s="1805"/>
      <c r="M28" s="1805"/>
      <c r="N28" s="1805"/>
      <c r="O28" s="1805"/>
      <c r="P28" s="1805"/>
      <c r="Q28" s="1805"/>
      <c r="R28" s="1805"/>
      <c r="S28" s="1805"/>
      <c r="T28" s="1805"/>
      <c r="U28" s="1805"/>
      <c r="V28" s="1805"/>
      <c r="W28" s="1805"/>
      <c r="X28" s="1805"/>
      <c r="Y28" s="1805"/>
      <c r="Z28" s="1805"/>
      <c r="AA28" s="1805"/>
      <c r="AB28" s="1805"/>
      <c r="AC28" s="1805"/>
      <c r="AD28" s="1805"/>
      <c r="AE28" s="1805"/>
      <c r="AF28" s="1805"/>
      <c r="AG28" s="1805"/>
      <c r="AH28" s="1805"/>
      <c r="AI28" s="1805"/>
      <c r="AJ28" s="1805"/>
      <c r="AK28" s="1805"/>
      <c r="AL28" s="1805"/>
      <c r="AM28" s="1805"/>
      <c r="AN28" s="1805"/>
      <c r="AO28" s="1805"/>
      <c r="AP28" s="1805"/>
      <c r="AQ28" s="1805"/>
      <c r="AR28" s="1805"/>
      <c r="AS28" s="1805"/>
      <c r="AT28" s="1805"/>
      <c r="AU28" s="1805"/>
      <c r="AV28" s="1805"/>
      <c r="AW28" s="1805"/>
      <c r="AX28" s="1805"/>
      <c r="AY28" s="1805"/>
      <c r="AZ28" s="1805"/>
      <c r="BA28" s="1805"/>
      <c r="BB28" s="1805"/>
      <c r="BC28" s="1805"/>
      <c r="BD28" s="1805"/>
      <c r="BE28" s="1805"/>
      <c r="BF28" s="1805"/>
      <c r="BG28" s="1805"/>
      <c r="BH28" s="1805"/>
      <c r="BI28" s="1805"/>
      <c r="BJ28" s="1805"/>
      <c r="BK28" s="1805"/>
      <c r="BL28" s="1805"/>
      <c r="BM28" s="1805"/>
      <c r="BN28" s="1805"/>
      <c r="BO28" s="1805"/>
      <c r="BP28" s="1805"/>
      <c r="BQ28" s="1805"/>
      <c r="BR28" s="1805"/>
      <c r="BS28" s="1805"/>
      <c r="BT28" s="1805"/>
      <c r="BU28" s="1805"/>
      <c r="BV28" s="1805"/>
      <c r="BW28" s="1805"/>
      <c r="BX28" s="1805"/>
      <c r="BY28" s="1805"/>
      <c r="BZ28" s="1805"/>
      <c r="CA28" s="1805"/>
      <c r="CB28" s="1805"/>
      <c r="CC28" s="1805"/>
      <c r="CD28" s="1805"/>
      <c r="CE28" s="1805"/>
      <c r="CF28" s="1805"/>
      <c r="CG28" s="1805"/>
      <c r="CH28" s="1805"/>
      <c r="CI28" s="1805"/>
      <c r="CJ28" s="1805"/>
      <c r="CK28" s="1805"/>
      <c r="CL28" s="1805"/>
      <c r="CM28" s="1805"/>
      <c r="CN28" s="1805"/>
      <c r="CO28" s="1805"/>
      <c r="CP28" s="1805"/>
      <c r="CQ28" s="1805"/>
      <c r="CR28" s="1805"/>
      <c r="CS28" s="1805"/>
      <c r="CT28" s="1805"/>
      <c r="CU28" s="1805"/>
      <c r="CV28" s="1805"/>
      <c r="CW28" s="1805"/>
      <c r="CX28" s="1805"/>
      <c r="CY28" s="1805"/>
      <c r="CZ28" s="1805"/>
      <c r="DA28" s="1805"/>
      <c r="DB28" s="1805"/>
      <c r="DC28" s="1805"/>
      <c r="DD28" s="1805"/>
      <c r="DE28" s="1805"/>
      <c r="DF28" s="1805"/>
      <c r="DG28" s="1805"/>
      <c r="DH28" s="1805"/>
      <c r="DI28" s="1805"/>
      <c r="DJ28" s="1805"/>
      <c r="DK28" s="1805"/>
      <c r="DL28" s="1805"/>
      <c r="DM28" s="1805"/>
      <c r="DN28" s="1805"/>
      <c r="DO28" s="1805"/>
      <c r="DP28" s="1805"/>
      <c r="DQ28" s="1805"/>
      <c r="DR28" s="1805"/>
      <c r="DS28" s="1805"/>
      <c r="DT28" s="1805"/>
      <c r="DU28" s="1805"/>
      <c r="DV28" s="1805"/>
      <c r="DW28" s="1805"/>
      <c r="DX28" s="1805"/>
      <c r="DY28" s="1805"/>
      <c r="DZ28" s="1805"/>
      <c r="EA28" s="1805"/>
      <c r="EB28" s="1805"/>
      <c r="EC28" s="1805"/>
      <c r="ED28" s="1805"/>
      <c r="EE28" s="1805"/>
      <c r="EF28" s="1805"/>
      <c r="EG28" s="1805"/>
      <c r="EH28" s="1805"/>
      <c r="EI28" s="1805"/>
      <c r="EJ28" s="1805"/>
      <c r="EK28" s="1805"/>
      <c r="EL28" s="1805"/>
      <c r="EM28" s="1805"/>
      <c r="EN28" s="1805"/>
      <c r="EO28" s="1805"/>
      <c r="EP28" s="1805"/>
      <c r="EQ28" s="1805"/>
      <c r="ER28" s="1805"/>
      <c r="ES28" s="1805"/>
      <c r="ET28" s="529"/>
      <c r="EU28" s="529"/>
      <c r="EV28" s="529"/>
      <c r="EW28" s="529"/>
      <c r="EX28" s="529"/>
      <c r="EY28" s="529"/>
      <c r="EZ28" s="529"/>
      <c r="FA28" s="529"/>
      <c r="FB28" s="529"/>
      <c r="FC28" s="529"/>
      <c r="FD28" s="529"/>
      <c r="FE28" s="529"/>
      <c r="FF28" s="529"/>
      <c r="FG28" s="529"/>
      <c r="FH28" s="529"/>
      <c r="FI28" s="529"/>
      <c r="FJ28" s="529"/>
      <c r="FK28" s="529"/>
      <c r="FL28" s="529"/>
      <c r="FM28" s="529"/>
      <c r="FN28" s="529"/>
      <c r="FO28" s="529"/>
      <c r="FP28" s="529"/>
      <c r="FQ28" s="529"/>
      <c r="FR28" s="529"/>
      <c r="FS28" s="529"/>
      <c r="FT28" s="529"/>
      <c r="FU28" s="529"/>
      <c r="FV28" s="529"/>
      <c r="FW28" s="529"/>
      <c r="FX28" s="529"/>
      <c r="FY28" s="529"/>
      <c r="FZ28" s="529"/>
      <c r="GA28" s="529"/>
      <c r="GB28" s="529"/>
      <c r="GC28" s="529"/>
      <c r="GD28" s="529"/>
      <c r="GE28" s="529"/>
      <c r="GF28" s="529"/>
      <c r="GG28" s="529"/>
      <c r="GH28" s="529"/>
      <c r="GI28" s="529"/>
      <c r="GJ28" s="529"/>
      <c r="GK28" s="529"/>
      <c r="GL28" s="529"/>
      <c r="GM28" s="529"/>
      <c r="GN28" s="529"/>
      <c r="GO28" s="529"/>
      <c r="GP28" s="529"/>
      <c r="GQ28" s="529"/>
      <c r="GR28" s="529"/>
      <c r="GS28" s="529"/>
      <c r="GT28" s="529"/>
      <c r="GU28" s="529"/>
      <c r="GV28" s="529"/>
      <c r="GW28" s="529"/>
      <c r="GX28" s="529"/>
      <c r="GY28" s="529"/>
      <c r="GZ28" s="529"/>
      <c r="HA28" s="529"/>
      <c r="HB28" s="529"/>
      <c r="HC28" s="529"/>
      <c r="HD28" s="529"/>
      <c r="HE28" s="529"/>
      <c r="HF28" s="529"/>
      <c r="HG28" s="529"/>
      <c r="HH28" s="529"/>
      <c r="HI28" s="529"/>
      <c r="HJ28" s="529"/>
      <c r="HK28" s="529"/>
      <c r="HL28" s="529"/>
      <c r="HM28" s="529"/>
      <c r="HN28" s="529"/>
      <c r="HO28" s="529"/>
      <c r="HP28" s="529"/>
      <c r="HQ28" s="529"/>
      <c r="HR28" s="529"/>
      <c r="HS28" s="529"/>
      <c r="HT28" s="529"/>
      <c r="HU28" s="529"/>
      <c r="HV28" s="529"/>
      <c r="HW28" s="529"/>
      <c r="HX28" s="529"/>
      <c r="HY28" s="529"/>
      <c r="HZ28" s="529"/>
      <c r="IA28" s="529"/>
      <c r="IB28" s="529"/>
      <c r="IC28" s="529"/>
      <c r="ID28" s="529"/>
      <c r="IE28" s="529"/>
      <c r="IF28" s="529"/>
      <c r="IG28" s="529"/>
      <c r="IH28" s="529"/>
      <c r="II28" s="529"/>
      <c r="IJ28" s="529"/>
      <c r="IK28" s="529"/>
      <c r="IL28" s="529"/>
      <c r="IM28" s="529"/>
      <c r="IN28" s="529"/>
    </row>
    <row r="29" spans="1:248" ht="11.25" customHeight="1">
      <c r="A29" s="1805" t="s">
        <v>386</v>
      </c>
      <c r="B29" s="1805"/>
      <c r="C29" s="1805"/>
      <c r="D29" s="1805"/>
      <c r="E29" s="1805"/>
      <c r="F29" s="1805"/>
      <c r="G29" s="1805"/>
      <c r="H29" s="1805"/>
      <c r="I29" s="1805"/>
      <c r="J29" s="1805"/>
      <c r="K29" s="1805"/>
      <c r="L29" s="1805"/>
      <c r="M29" s="1805"/>
      <c r="N29" s="1805"/>
      <c r="O29" s="1805"/>
      <c r="P29" s="1805"/>
      <c r="Q29" s="1805"/>
      <c r="R29" s="1805"/>
      <c r="S29" s="1805"/>
      <c r="T29" s="1805"/>
      <c r="U29" s="1805"/>
      <c r="V29" s="1805"/>
      <c r="W29" s="1805"/>
      <c r="X29" s="1805"/>
      <c r="Y29" s="1805"/>
      <c r="Z29" s="1805"/>
      <c r="AA29" s="1805"/>
      <c r="AB29" s="1805"/>
      <c r="AC29" s="1805"/>
      <c r="AD29" s="1805"/>
      <c r="AE29" s="1805"/>
      <c r="AF29" s="1805"/>
      <c r="AG29" s="1805"/>
      <c r="AH29" s="1805"/>
      <c r="AI29" s="1805"/>
      <c r="AJ29" s="1805"/>
      <c r="AK29" s="1805"/>
      <c r="AL29" s="1805"/>
      <c r="AM29" s="1805"/>
      <c r="AN29" s="1805"/>
      <c r="AO29" s="1805"/>
      <c r="AP29" s="1805"/>
      <c r="AQ29" s="1805"/>
      <c r="AR29" s="1805"/>
      <c r="AS29" s="1805"/>
      <c r="AT29" s="1805"/>
      <c r="AU29" s="1805"/>
      <c r="AV29" s="1805"/>
      <c r="AW29" s="1805"/>
      <c r="AX29" s="1805"/>
      <c r="AY29" s="1805"/>
      <c r="AZ29" s="1805"/>
      <c r="BA29" s="1805"/>
      <c r="BB29" s="1805"/>
      <c r="BC29" s="1805"/>
      <c r="BD29" s="1805"/>
      <c r="BE29" s="1805"/>
      <c r="BF29" s="1805"/>
      <c r="BG29" s="1805"/>
      <c r="BH29" s="1805"/>
      <c r="BI29" s="1805"/>
      <c r="BJ29" s="1805"/>
      <c r="BK29" s="1805"/>
      <c r="BL29" s="1805"/>
      <c r="BM29" s="1805"/>
      <c r="BN29" s="1805"/>
      <c r="BO29" s="1805"/>
      <c r="BP29" s="1805"/>
      <c r="BQ29" s="1805"/>
      <c r="BR29" s="1805"/>
      <c r="BS29" s="1805"/>
      <c r="BT29" s="1805"/>
      <c r="BU29" s="1805"/>
      <c r="BV29" s="1805"/>
      <c r="BW29" s="1805"/>
      <c r="BX29" s="1805"/>
      <c r="BY29" s="1805"/>
      <c r="BZ29" s="1805"/>
      <c r="CA29" s="1805"/>
      <c r="CB29" s="1805"/>
      <c r="CC29" s="1805"/>
      <c r="CD29" s="1805"/>
      <c r="CE29" s="1805"/>
      <c r="CF29" s="1805"/>
      <c r="CG29" s="1805"/>
      <c r="CH29" s="1805"/>
      <c r="CI29" s="1805"/>
      <c r="CJ29" s="1805"/>
      <c r="CK29" s="1805"/>
      <c r="CL29" s="1805"/>
      <c r="CM29" s="1805"/>
      <c r="CN29" s="1805"/>
      <c r="CO29" s="1805"/>
      <c r="CP29" s="1805"/>
      <c r="CQ29" s="1805"/>
      <c r="CR29" s="1805"/>
      <c r="CS29" s="1805"/>
      <c r="CT29" s="1805"/>
      <c r="CU29" s="1805"/>
      <c r="CV29" s="1805"/>
      <c r="CW29" s="1805"/>
      <c r="CX29" s="1805"/>
      <c r="CY29" s="1805"/>
      <c r="CZ29" s="1805"/>
      <c r="DA29" s="1805"/>
      <c r="DB29" s="1805"/>
      <c r="DC29" s="1805"/>
      <c r="DD29" s="1805"/>
      <c r="DE29" s="1805"/>
      <c r="DF29" s="1805"/>
      <c r="DG29" s="1805"/>
      <c r="DH29" s="1805"/>
      <c r="DI29" s="1805"/>
      <c r="DJ29" s="1805"/>
      <c r="DK29" s="1805"/>
      <c r="DL29" s="1805"/>
      <c r="DM29" s="1805"/>
      <c r="DN29" s="1805"/>
      <c r="DO29" s="1805"/>
      <c r="DP29" s="1805"/>
      <c r="DQ29" s="1805"/>
      <c r="DR29" s="1805"/>
      <c r="DS29" s="1805"/>
      <c r="DT29" s="1805"/>
      <c r="DU29" s="1805"/>
      <c r="DV29" s="1805"/>
      <c r="DW29" s="1805"/>
      <c r="DX29" s="1805"/>
      <c r="DY29" s="1805"/>
      <c r="DZ29" s="1805"/>
      <c r="EA29" s="1805"/>
      <c r="EB29" s="1805"/>
      <c r="EC29" s="1805"/>
      <c r="ED29" s="1805"/>
      <c r="EE29" s="1805"/>
      <c r="EF29" s="1805"/>
      <c r="EG29" s="1805"/>
      <c r="EH29" s="1805"/>
      <c r="EI29" s="1805"/>
      <c r="EJ29" s="1805"/>
      <c r="EK29" s="1805"/>
      <c r="EL29" s="1805"/>
      <c r="EM29" s="1805"/>
      <c r="EN29" s="1805"/>
      <c r="EO29" s="1805"/>
      <c r="EP29" s="1805"/>
      <c r="EQ29" s="1805"/>
      <c r="ER29" s="1805"/>
      <c r="ES29" s="1805"/>
      <c r="ET29" s="529"/>
      <c r="EU29" s="529"/>
      <c r="EV29" s="529"/>
      <c r="EW29" s="529"/>
      <c r="EX29" s="529"/>
      <c r="EY29" s="529"/>
      <c r="EZ29" s="529"/>
      <c r="FA29" s="529"/>
      <c r="FB29" s="529"/>
      <c r="FC29" s="529"/>
      <c r="FD29" s="529"/>
      <c r="FE29" s="529"/>
      <c r="FF29" s="529"/>
      <c r="FG29" s="529"/>
      <c r="FH29" s="529"/>
      <c r="FI29" s="529"/>
      <c r="FJ29" s="529"/>
      <c r="FK29" s="529"/>
      <c r="FL29" s="529"/>
      <c r="FM29" s="529"/>
      <c r="FN29" s="529"/>
      <c r="FO29" s="529"/>
      <c r="FP29" s="529"/>
      <c r="FQ29" s="529"/>
      <c r="FR29" s="529"/>
      <c r="FS29" s="529"/>
      <c r="FT29" s="529"/>
      <c r="FU29" s="529"/>
      <c r="FV29" s="529"/>
      <c r="FW29" s="529"/>
      <c r="FX29" s="529"/>
      <c r="FY29" s="529"/>
      <c r="FZ29" s="529"/>
      <c r="GA29" s="529"/>
      <c r="GB29" s="529"/>
      <c r="GC29" s="529"/>
      <c r="GD29" s="529"/>
      <c r="GE29" s="529"/>
      <c r="GF29" s="529"/>
      <c r="GG29" s="529"/>
      <c r="GH29" s="529"/>
      <c r="GI29" s="529"/>
      <c r="GJ29" s="529"/>
      <c r="GK29" s="529"/>
      <c r="GL29" s="529"/>
      <c r="GM29" s="529"/>
      <c r="GN29" s="529"/>
      <c r="GO29" s="529"/>
      <c r="GP29" s="529"/>
      <c r="GQ29" s="529"/>
      <c r="GR29" s="529"/>
      <c r="GS29" s="529"/>
      <c r="GT29" s="529"/>
      <c r="GU29" s="529"/>
      <c r="GV29" s="529"/>
      <c r="GW29" s="529"/>
      <c r="GX29" s="529"/>
      <c r="GY29" s="529"/>
      <c r="GZ29" s="529"/>
      <c r="HA29" s="529"/>
      <c r="HB29" s="529"/>
      <c r="HC29" s="529"/>
      <c r="HD29" s="529"/>
      <c r="HE29" s="529"/>
      <c r="HF29" s="529"/>
      <c r="HG29" s="529"/>
      <c r="HH29" s="529"/>
      <c r="HI29" s="529"/>
      <c r="HJ29" s="529"/>
      <c r="HK29" s="529"/>
      <c r="HL29" s="529"/>
      <c r="HM29" s="529"/>
      <c r="HN29" s="529"/>
      <c r="HO29" s="529"/>
      <c r="HP29" s="529"/>
      <c r="HQ29" s="529"/>
      <c r="HR29" s="529"/>
      <c r="HS29" s="529"/>
      <c r="HT29" s="529"/>
      <c r="HU29" s="529"/>
      <c r="HV29" s="529"/>
      <c r="HW29" s="529"/>
      <c r="HX29" s="529"/>
      <c r="HY29" s="529"/>
      <c r="HZ29" s="529"/>
      <c r="IA29" s="529"/>
      <c r="IB29" s="529"/>
      <c r="IC29" s="529"/>
      <c r="ID29" s="529"/>
      <c r="IE29" s="529"/>
      <c r="IF29" s="529"/>
      <c r="IG29" s="529"/>
      <c r="IH29" s="529"/>
      <c r="II29" s="529"/>
      <c r="IJ29" s="529"/>
      <c r="IK29" s="529"/>
      <c r="IL29" s="529"/>
      <c r="IM29" s="529"/>
      <c r="IN29" s="529"/>
    </row>
    <row r="30" spans="1:248" ht="11.25" customHeight="1">
      <c r="A30" s="480"/>
      <c r="B30" s="480"/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0"/>
      <c r="Z30" s="480"/>
      <c r="AA30" s="480"/>
      <c r="AB30" s="480"/>
      <c r="AC30" s="480"/>
      <c r="AD30" s="480"/>
      <c r="AE30" s="480"/>
      <c r="AF30" s="480"/>
      <c r="AG30" s="480"/>
      <c r="AH30" s="480"/>
      <c r="AI30" s="480"/>
      <c r="AJ30" s="480"/>
      <c r="AK30" s="480"/>
      <c r="AL30" s="480"/>
      <c r="AM30" s="480"/>
      <c r="AN30" s="480"/>
      <c r="AO30" s="480"/>
      <c r="AP30" s="480"/>
      <c r="AQ30" s="480"/>
      <c r="AR30" s="480"/>
      <c r="AS30" s="480"/>
      <c r="AT30" s="480"/>
      <c r="AU30" s="480"/>
      <c r="AV30" s="480"/>
      <c r="AW30" s="480"/>
      <c r="AX30" s="480"/>
      <c r="AY30" s="480"/>
      <c r="AZ30" s="480"/>
      <c r="BA30" s="480"/>
      <c r="BB30" s="480"/>
      <c r="BC30" s="480"/>
      <c r="BD30" s="480"/>
      <c r="BE30" s="480"/>
      <c r="BF30" s="480"/>
      <c r="BG30" s="480"/>
      <c r="BH30" s="480"/>
      <c r="BI30" s="480"/>
      <c r="BJ30" s="480"/>
      <c r="BK30" s="480"/>
      <c r="BL30" s="480"/>
      <c r="BM30" s="480"/>
      <c r="BN30" s="480"/>
      <c r="BO30" s="480"/>
      <c r="BP30" s="480"/>
      <c r="BQ30" s="480"/>
      <c r="BR30" s="480"/>
      <c r="BS30" s="480"/>
      <c r="BT30" s="480"/>
      <c r="BU30" s="480"/>
      <c r="BV30" s="480"/>
      <c r="BW30" s="480"/>
      <c r="BX30" s="480"/>
      <c r="BY30" s="480"/>
      <c r="BZ30" s="480"/>
      <c r="CA30" s="480"/>
      <c r="CB30" s="480"/>
      <c r="CC30" s="480"/>
      <c r="CD30" s="480"/>
      <c r="CE30" s="480"/>
      <c r="CF30" s="480"/>
      <c r="CG30" s="480"/>
      <c r="CH30" s="480"/>
      <c r="CI30" s="480"/>
      <c r="CJ30" s="480"/>
      <c r="CK30" s="480"/>
      <c r="CL30" s="480"/>
      <c r="CM30" s="480"/>
      <c r="CN30" s="480"/>
      <c r="CO30" s="480"/>
      <c r="CP30" s="480"/>
      <c r="CQ30" s="480"/>
      <c r="CR30" s="480"/>
      <c r="CS30" s="480"/>
      <c r="CT30" s="480"/>
      <c r="CU30" s="480"/>
      <c r="CV30" s="480"/>
      <c r="CW30" s="480"/>
      <c r="CX30" s="480"/>
      <c r="CY30" s="480"/>
      <c r="CZ30" s="480"/>
      <c r="DA30" s="480"/>
      <c r="DB30" s="480"/>
      <c r="DC30" s="480"/>
      <c r="DD30" s="480"/>
      <c r="DE30" s="480"/>
      <c r="DF30" s="480"/>
      <c r="DG30" s="480"/>
      <c r="DH30" s="480"/>
      <c r="DI30" s="480"/>
      <c r="DJ30" s="480"/>
      <c r="DK30" s="480"/>
      <c r="DL30" s="480"/>
      <c r="DM30" s="480"/>
      <c r="DN30" s="480"/>
      <c r="DO30" s="480"/>
      <c r="DP30" s="480"/>
      <c r="DQ30" s="480"/>
      <c r="DR30" s="480"/>
      <c r="DS30" s="480"/>
      <c r="DT30" s="480"/>
      <c r="DU30" s="480"/>
      <c r="DV30" s="480"/>
      <c r="DW30" s="480"/>
      <c r="DX30" s="480"/>
      <c r="DY30" s="480"/>
      <c r="DZ30" s="480"/>
      <c r="EA30" s="480"/>
      <c r="EB30" s="480"/>
      <c r="EC30" s="480"/>
      <c r="ED30" s="480"/>
      <c r="EE30" s="480"/>
      <c r="EF30" s="480"/>
      <c r="EG30" s="480"/>
      <c r="EH30" s="480"/>
      <c r="EI30" s="480"/>
      <c r="EJ30" s="480"/>
      <c r="EK30" s="480"/>
      <c r="EL30" s="480"/>
      <c r="EM30" s="480"/>
      <c r="EN30" s="480"/>
      <c r="EO30" s="480"/>
      <c r="EP30" s="480"/>
      <c r="EQ30" s="480"/>
      <c r="ER30" s="480"/>
      <c r="ES30" s="480"/>
      <c r="ET30" s="529"/>
      <c r="EU30" s="529"/>
      <c r="EV30" s="529"/>
      <c r="EW30" s="529"/>
      <c r="EX30" s="529"/>
      <c r="EY30" s="529"/>
      <c r="EZ30" s="529"/>
      <c r="FA30" s="529"/>
      <c r="FB30" s="529"/>
      <c r="FC30" s="529"/>
      <c r="FD30" s="529"/>
      <c r="FE30" s="529"/>
      <c r="FF30" s="529"/>
      <c r="FG30" s="529"/>
      <c r="FH30" s="529"/>
      <c r="FI30" s="529"/>
      <c r="FJ30" s="529"/>
      <c r="FK30" s="529"/>
      <c r="FL30" s="529"/>
      <c r="FM30" s="529"/>
      <c r="FN30" s="529"/>
      <c r="FO30" s="529"/>
      <c r="FP30" s="529"/>
      <c r="FQ30" s="529"/>
      <c r="FR30" s="529"/>
      <c r="FS30" s="529"/>
      <c r="FT30" s="529"/>
      <c r="FU30" s="529"/>
      <c r="FV30" s="529"/>
      <c r="FW30" s="529"/>
      <c r="FX30" s="529"/>
      <c r="FY30" s="529"/>
      <c r="FZ30" s="529"/>
      <c r="GA30" s="529"/>
      <c r="GB30" s="529"/>
      <c r="GC30" s="529"/>
      <c r="GD30" s="529"/>
      <c r="GE30" s="529"/>
      <c r="GF30" s="529"/>
      <c r="GG30" s="529"/>
      <c r="GH30" s="529"/>
      <c r="GI30" s="529"/>
      <c r="GJ30" s="529"/>
      <c r="GK30" s="529"/>
      <c r="GL30" s="529"/>
      <c r="GM30" s="529"/>
      <c r="GN30" s="529"/>
      <c r="GO30" s="529"/>
      <c r="GP30" s="529"/>
      <c r="GQ30" s="529"/>
      <c r="GR30" s="529"/>
      <c r="GS30" s="529"/>
      <c r="GT30" s="529"/>
      <c r="GU30" s="529"/>
      <c r="GV30" s="529"/>
      <c r="GW30" s="529"/>
      <c r="GX30" s="529"/>
      <c r="GY30" s="529"/>
      <c r="GZ30" s="529"/>
      <c r="HA30" s="529"/>
      <c r="HB30" s="529"/>
      <c r="HC30" s="529"/>
      <c r="HD30" s="529"/>
      <c r="HE30" s="529"/>
      <c r="HF30" s="529"/>
      <c r="HG30" s="529"/>
      <c r="HH30" s="529"/>
      <c r="HI30" s="529"/>
      <c r="HJ30" s="529"/>
      <c r="HK30" s="529"/>
      <c r="HL30" s="529"/>
      <c r="HM30" s="529"/>
      <c r="HN30" s="529"/>
      <c r="HO30" s="529"/>
      <c r="HP30" s="529"/>
      <c r="HQ30" s="529"/>
      <c r="HR30" s="529"/>
      <c r="HS30" s="529"/>
      <c r="HT30" s="529"/>
      <c r="HU30" s="529"/>
      <c r="HV30" s="529"/>
      <c r="HW30" s="529"/>
      <c r="HX30" s="529"/>
      <c r="HY30" s="529"/>
      <c r="HZ30" s="529"/>
      <c r="IA30" s="529"/>
      <c r="IB30" s="529"/>
      <c r="IC30" s="529"/>
      <c r="ID30" s="529"/>
      <c r="IE30" s="529"/>
      <c r="IF30" s="529"/>
      <c r="IG30" s="529"/>
      <c r="IH30" s="529"/>
      <c r="II30" s="529"/>
      <c r="IJ30" s="529"/>
      <c r="IK30" s="529"/>
      <c r="IL30" s="529"/>
      <c r="IM30" s="529"/>
      <c r="IN30" s="529"/>
    </row>
    <row r="31" spans="1:248" ht="11.25" customHeight="1">
      <c r="A31" s="1805" t="s">
        <v>387</v>
      </c>
      <c r="B31" s="1805"/>
      <c r="C31" s="1805"/>
      <c r="D31" s="1805"/>
      <c r="E31" s="1805"/>
      <c r="F31" s="1805"/>
      <c r="G31" s="1805"/>
      <c r="H31" s="1805"/>
      <c r="I31" s="1805"/>
      <c r="J31" s="1805"/>
      <c r="K31" s="1805"/>
      <c r="L31" s="1805"/>
      <c r="M31" s="1805"/>
      <c r="N31" s="1805"/>
      <c r="O31" s="1805"/>
      <c r="P31" s="1805"/>
      <c r="Q31" s="1805"/>
      <c r="R31" s="1805"/>
      <c r="S31" s="1805"/>
      <c r="T31" s="1805"/>
      <c r="U31" s="1805"/>
      <c r="V31" s="1805"/>
      <c r="W31" s="1805"/>
      <c r="X31" s="1805"/>
      <c r="Y31" s="1805"/>
      <c r="Z31" s="1805"/>
      <c r="AA31" s="1805"/>
      <c r="AB31" s="1805"/>
      <c r="AC31" s="1805"/>
      <c r="AD31" s="1805"/>
      <c r="AE31" s="1805"/>
      <c r="AF31" s="1805"/>
      <c r="AG31" s="1805"/>
      <c r="AH31" s="1805"/>
      <c r="AI31" s="1805"/>
      <c r="AJ31" s="1805"/>
      <c r="AK31" s="1805"/>
      <c r="AL31" s="1805"/>
      <c r="AM31" s="1805"/>
      <c r="AN31" s="1805"/>
      <c r="AO31" s="1805"/>
      <c r="AP31" s="1805"/>
      <c r="AQ31" s="1805"/>
      <c r="AR31" s="1805"/>
      <c r="AS31" s="1805"/>
      <c r="AT31" s="1805"/>
      <c r="AU31" s="1805"/>
      <c r="AV31" s="1805"/>
      <c r="AW31" s="1805"/>
      <c r="AX31" s="1805"/>
      <c r="AY31" s="1805"/>
      <c r="AZ31" s="1805"/>
      <c r="BA31" s="1805"/>
      <c r="BB31" s="1805"/>
      <c r="BC31" s="1805"/>
      <c r="BD31" s="1805"/>
      <c r="BE31" s="1805"/>
      <c r="BF31" s="1805"/>
      <c r="BG31" s="1805"/>
      <c r="BH31" s="1805"/>
      <c r="BI31" s="1805"/>
      <c r="BJ31" s="1805"/>
      <c r="BK31" s="1805"/>
      <c r="BL31" s="1805"/>
      <c r="BM31" s="1805"/>
      <c r="BN31" s="1805"/>
      <c r="BO31" s="1805"/>
      <c r="BP31" s="1805"/>
      <c r="BQ31" s="1805"/>
      <c r="BR31" s="1805"/>
      <c r="BS31" s="1805"/>
      <c r="BT31" s="1805"/>
      <c r="BU31" s="1805"/>
      <c r="BV31" s="1805"/>
      <c r="BW31" s="1805"/>
      <c r="BX31" s="1805"/>
      <c r="BY31" s="1805"/>
      <c r="BZ31" s="1805"/>
      <c r="CA31" s="1805"/>
      <c r="CB31" s="1805"/>
      <c r="CC31" s="1805"/>
      <c r="CD31" s="1805"/>
      <c r="CE31" s="1805"/>
      <c r="CF31" s="1805"/>
      <c r="CG31" s="1805"/>
      <c r="CH31" s="1805"/>
      <c r="CI31" s="1805"/>
      <c r="CJ31" s="1805"/>
      <c r="CK31" s="1805"/>
      <c r="CL31" s="1805"/>
      <c r="CM31" s="1805"/>
      <c r="CN31" s="1805"/>
      <c r="CO31" s="1805"/>
      <c r="CP31" s="1805"/>
      <c r="CQ31" s="1805"/>
      <c r="CR31" s="1805"/>
      <c r="CS31" s="1805"/>
      <c r="CT31" s="1805"/>
      <c r="CU31" s="480"/>
      <c r="CV31" s="480"/>
      <c r="CW31" s="480"/>
      <c r="CX31" s="480"/>
      <c r="CY31" s="480"/>
      <c r="CZ31" s="480"/>
      <c r="DA31" s="480"/>
      <c r="DB31" s="480"/>
      <c r="DC31" s="480"/>
      <c r="DD31" s="480"/>
      <c r="DE31" s="480"/>
      <c r="DF31" s="480"/>
      <c r="DG31" s="480"/>
      <c r="DH31" s="480"/>
      <c r="DI31" s="480"/>
      <c r="DJ31" s="480"/>
      <c r="DK31" s="480"/>
      <c r="DL31" s="480"/>
      <c r="DM31" s="480"/>
      <c r="DN31" s="480"/>
      <c r="DO31" s="480"/>
      <c r="DP31" s="480"/>
      <c r="DQ31" s="480"/>
      <c r="DR31" s="480"/>
      <c r="DS31" s="480"/>
      <c r="DT31" s="480"/>
      <c r="DU31" s="480"/>
      <c r="DV31" s="480"/>
      <c r="DW31" s="480"/>
      <c r="DX31" s="480"/>
      <c r="DY31" s="480"/>
      <c r="DZ31" s="480"/>
      <c r="EA31" s="480"/>
      <c r="EB31" s="480"/>
      <c r="EC31" s="480"/>
      <c r="ED31" s="480"/>
      <c r="EE31" s="480"/>
      <c r="EF31" s="480"/>
      <c r="EG31" s="480"/>
      <c r="EH31" s="480"/>
      <c r="EI31" s="480"/>
      <c r="EJ31" s="480"/>
      <c r="EK31" s="480"/>
      <c r="EL31" s="480"/>
      <c r="EM31" s="480"/>
      <c r="EN31" s="480"/>
      <c r="EO31" s="480"/>
      <c r="EP31" s="480"/>
      <c r="EQ31" s="480"/>
      <c r="ER31" s="480"/>
      <c r="ES31" s="480"/>
      <c r="ET31" s="529"/>
      <c r="EU31" s="529"/>
      <c r="EV31" s="529"/>
      <c r="EW31" s="529"/>
      <c r="EX31" s="529"/>
      <c r="EY31" s="529"/>
      <c r="EZ31" s="529"/>
      <c r="FA31" s="529"/>
      <c r="FB31" s="529"/>
      <c r="FC31" s="529"/>
      <c r="FD31" s="529"/>
      <c r="FE31" s="529"/>
      <c r="FF31" s="529"/>
      <c r="FG31" s="529"/>
      <c r="FH31" s="529"/>
      <c r="FI31" s="529"/>
      <c r="FJ31" s="529"/>
      <c r="FK31" s="529"/>
      <c r="FL31" s="529"/>
      <c r="FM31" s="529"/>
      <c r="FN31" s="529"/>
      <c r="FO31" s="529"/>
      <c r="FP31" s="529"/>
      <c r="FQ31" s="529"/>
      <c r="FR31" s="529"/>
      <c r="FS31" s="529"/>
      <c r="FT31" s="529"/>
      <c r="FU31" s="529"/>
      <c r="FV31" s="529"/>
      <c r="FW31" s="529"/>
      <c r="FX31" s="529"/>
      <c r="FY31" s="529"/>
      <c r="FZ31" s="529"/>
      <c r="GA31" s="529"/>
      <c r="GB31" s="529"/>
      <c r="GC31" s="529"/>
      <c r="GD31" s="529"/>
      <c r="GE31" s="529"/>
      <c r="GF31" s="529"/>
      <c r="GG31" s="529"/>
      <c r="GH31" s="529"/>
      <c r="GI31" s="529"/>
      <c r="GJ31" s="529"/>
      <c r="GK31" s="529"/>
      <c r="GL31" s="529"/>
      <c r="GM31" s="529"/>
      <c r="GN31" s="529"/>
      <c r="GO31" s="529"/>
      <c r="GP31" s="529"/>
      <c r="GQ31" s="529"/>
      <c r="GR31" s="529"/>
      <c r="GS31" s="529"/>
      <c r="GT31" s="529"/>
      <c r="GU31" s="529"/>
      <c r="GV31" s="529"/>
      <c r="GW31" s="529"/>
      <c r="GX31" s="529"/>
      <c r="GY31" s="529"/>
      <c r="GZ31" s="529"/>
      <c r="HA31" s="529"/>
      <c r="HB31" s="529"/>
      <c r="HC31" s="529"/>
      <c r="HD31" s="529"/>
      <c r="HE31" s="529"/>
      <c r="HF31" s="529"/>
      <c r="HG31" s="529"/>
      <c r="HH31" s="529"/>
      <c r="HI31" s="529"/>
      <c r="HJ31" s="529"/>
      <c r="HK31" s="529"/>
      <c r="HL31" s="529"/>
      <c r="HM31" s="529"/>
      <c r="HN31" s="529"/>
      <c r="HO31" s="529"/>
      <c r="HP31" s="529"/>
      <c r="HQ31" s="529"/>
      <c r="HR31" s="529"/>
      <c r="HS31" s="529"/>
      <c r="HT31" s="529"/>
      <c r="HU31" s="529"/>
      <c r="HV31" s="529"/>
      <c r="HW31" s="529"/>
      <c r="HX31" s="529"/>
      <c r="HY31" s="529"/>
      <c r="HZ31" s="529"/>
      <c r="IA31" s="529"/>
      <c r="IB31" s="529"/>
      <c r="IC31" s="529"/>
      <c r="ID31" s="529"/>
      <c r="IE31" s="529"/>
      <c r="IF31" s="529"/>
      <c r="IG31" s="529"/>
      <c r="IH31" s="529"/>
      <c r="II31" s="529"/>
      <c r="IJ31" s="529"/>
      <c r="IK31" s="529"/>
      <c r="IL31" s="529"/>
      <c r="IM31" s="529"/>
      <c r="IN31" s="529"/>
    </row>
    <row r="32" spans="1:248" ht="11.25" customHeight="1">
      <c r="A32" s="480"/>
      <c r="B32" s="480"/>
      <c r="C32" s="480"/>
      <c r="D32" s="480"/>
      <c r="E32" s="480"/>
      <c r="F32" s="480"/>
      <c r="G32" s="480"/>
      <c r="H32" s="480"/>
      <c r="I32" s="480"/>
      <c r="J32" s="480"/>
      <c r="K32" s="480"/>
      <c r="L32" s="480"/>
      <c r="M32" s="480"/>
      <c r="N32" s="480"/>
      <c r="O32" s="480"/>
      <c r="P32" s="480"/>
      <c r="Q32" s="480"/>
      <c r="R32" s="480"/>
      <c r="S32" s="480"/>
      <c r="T32" s="480"/>
      <c r="U32" s="480"/>
      <c r="V32" s="480"/>
      <c r="W32" s="480"/>
      <c r="X32" s="480"/>
      <c r="Y32" s="480"/>
      <c r="Z32" s="480"/>
      <c r="AA32" s="480"/>
      <c r="AB32" s="480"/>
      <c r="AC32" s="480"/>
      <c r="AD32" s="480"/>
      <c r="AE32" s="480"/>
      <c r="AF32" s="480"/>
      <c r="AG32" s="480"/>
      <c r="AH32" s="480"/>
      <c r="AI32" s="480"/>
      <c r="AJ32" s="480"/>
      <c r="AK32" s="480"/>
      <c r="AL32" s="480"/>
      <c r="AM32" s="480"/>
      <c r="AN32" s="480"/>
      <c r="AO32" s="480"/>
      <c r="AP32" s="480"/>
      <c r="AQ32" s="480"/>
      <c r="AR32" s="480"/>
      <c r="AS32" s="480"/>
      <c r="AT32" s="480"/>
      <c r="AU32" s="480"/>
      <c r="AV32" s="480"/>
      <c r="AW32" s="480"/>
      <c r="AX32" s="480"/>
      <c r="AY32" s="480"/>
      <c r="AZ32" s="480"/>
      <c r="BA32" s="480"/>
      <c r="BB32" s="480"/>
      <c r="BC32" s="480"/>
      <c r="BD32" s="480"/>
      <c r="BE32" s="480"/>
      <c r="BF32" s="480"/>
      <c r="BG32" s="480"/>
      <c r="BH32" s="480"/>
      <c r="BI32" s="480"/>
      <c r="BJ32" s="480"/>
      <c r="BK32" s="480"/>
      <c r="BL32" s="480"/>
      <c r="BM32" s="480"/>
      <c r="BN32" s="480"/>
      <c r="BO32" s="480"/>
      <c r="BP32" s="480"/>
      <c r="BQ32" s="480"/>
      <c r="BR32" s="480"/>
      <c r="BS32" s="480"/>
      <c r="BT32" s="480"/>
      <c r="BU32" s="480"/>
      <c r="BV32" s="480"/>
      <c r="BW32" s="480"/>
      <c r="BX32" s="480"/>
      <c r="BY32" s="480"/>
      <c r="BZ32" s="480"/>
      <c r="CA32" s="480"/>
      <c r="CB32" s="480"/>
      <c r="CC32" s="480"/>
      <c r="CD32" s="480"/>
      <c r="CE32" s="480"/>
      <c r="CF32" s="480"/>
      <c r="CG32" s="480"/>
      <c r="CH32" s="480"/>
      <c r="CI32" s="480"/>
      <c r="CJ32" s="480"/>
      <c r="CK32" s="480"/>
      <c r="CL32" s="480"/>
      <c r="CM32" s="480"/>
      <c r="CN32" s="480"/>
      <c r="CO32" s="480"/>
      <c r="CP32" s="480"/>
      <c r="CQ32" s="480"/>
      <c r="CR32" s="480"/>
      <c r="CS32" s="480"/>
      <c r="CT32" s="480"/>
      <c r="CU32" s="480"/>
      <c r="CV32" s="480"/>
      <c r="CW32" s="480"/>
      <c r="CX32" s="480"/>
      <c r="CY32" s="480"/>
      <c r="CZ32" s="480"/>
      <c r="DA32" s="480"/>
      <c r="DB32" s="480"/>
      <c r="DC32" s="480"/>
      <c r="DD32" s="480"/>
      <c r="DE32" s="480"/>
      <c r="DF32" s="480"/>
      <c r="DG32" s="480"/>
      <c r="DH32" s="480"/>
      <c r="DI32" s="480"/>
      <c r="DJ32" s="480"/>
      <c r="DK32" s="480"/>
      <c r="DL32" s="480"/>
      <c r="DM32" s="480"/>
      <c r="DN32" s="480"/>
      <c r="DO32" s="480"/>
      <c r="DP32" s="480"/>
      <c r="DQ32" s="480"/>
      <c r="DR32" s="480"/>
      <c r="DS32" s="480"/>
      <c r="DT32" s="480"/>
      <c r="DU32" s="480"/>
      <c r="DV32" s="480"/>
      <c r="DW32" s="480"/>
      <c r="DX32" s="480"/>
      <c r="DY32" s="480"/>
      <c r="DZ32" s="480"/>
      <c r="EA32" s="480"/>
      <c r="EB32" s="480"/>
      <c r="EC32" s="480"/>
      <c r="ED32" s="480"/>
      <c r="EE32" s="480"/>
      <c r="EF32" s="480"/>
      <c r="EG32" s="480"/>
      <c r="EH32" s="480"/>
      <c r="EI32" s="480"/>
      <c r="EJ32" s="480"/>
      <c r="EK32" s="480"/>
      <c r="EL32" s="480"/>
      <c r="EM32" s="480"/>
      <c r="EN32" s="480"/>
      <c r="EO32" s="480"/>
      <c r="EP32" s="480"/>
      <c r="EQ32" s="480"/>
      <c r="ER32" s="480"/>
      <c r="ES32" s="480"/>
      <c r="ET32" s="529"/>
      <c r="EU32" s="529"/>
      <c r="EV32" s="529"/>
      <c r="EW32" s="529"/>
      <c r="EX32" s="529"/>
      <c r="EY32" s="529"/>
      <c r="EZ32" s="529"/>
      <c r="FA32" s="529"/>
      <c r="FB32" s="529"/>
      <c r="FC32" s="529"/>
      <c r="FD32" s="529"/>
      <c r="FE32" s="529"/>
      <c r="FF32" s="529"/>
      <c r="FG32" s="529"/>
      <c r="FH32" s="529"/>
      <c r="FI32" s="529"/>
      <c r="FJ32" s="529"/>
      <c r="FK32" s="529"/>
      <c r="FL32" s="529"/>
      <c r="FM32" s="529"/>
      <c r="FN32" s="529"/>
      <c r="FO32" s="529"/>
      <c r="FP32" s="529"/>
      <c r="FQ32" s="529"/>
      <c r="FR32" s="529"/>
      <c r="FS32" s="529"/>
      <c r="FT32" s="529"/>
      <c r="FU32" s="529"/>
      <c r="FV32" s="529"/>
      <c r="FW32" s="529"/>
      <c r="FX32" s="529"/>
      <c r="FY32" s="529"/>
      <c r="FZ32" s="529"/>
      <c r="GA32" s="529"/>
      <c r="GB32" s="529"/>
      <c r="GC32" s="529"/>
      <c r="GD32" s="529"/>
      <c r="GE32" s="529"/>
      <c r="GF32" s="529"/>
      <c r="GG32" s="529"/>
      <c r="GH32" s="529"/>
      <c r="GI32" s="529"/>
      <c r="GJ32" s="529"/>
      <c r="GK32" s="529"/>
      <c r="GL32" s="529"/>
      <c r="GM32" s="529"/>
      <c r="GN32" s="529"/>
      <c r="GO32" s="529"/>
      <c r="GP32" s="529"/>
      <c r="GQ32" s="529"/>
      <c r="GR32" s="529"/>
      <c r="GS32" s="529"/>
      <c r="GT32" s="529"/>
      <c r="GU32" s="529"/>
      <c r="GV32" s="529"/>
      <c r="GW32" s="529"/>
      <c r="GX32" s="529"/>
      <c r="GY32" s="529"/>
      <c r="GZ32" s="529"/>
      <c r="HA32" s="529"/>
      <c r="HB32" s="529"/>
      <c r="HC32" s="529"/>
      <c r="HD32" s="529"/>
      <c r="HE32" s="529"/>
      <c r="HF32" s="529"/>
      <c r="HG32" s="529"/>
      <c r="HH32" s="529"/>
      <c r="HI32" s="529"/>
      <c r="HJ32" s="529"/>
      <c r="HK32" s="529"/>
      <c r="HL32" s="529"/>
      <c r="HM32" s="529"/>
      <c r="HN32" s="529"/>
      <c r="HO32" s="529"/>
      <c r="HP32" s="529"/>
      <c r="HQ32" s="529"/>
      <c r="HR32" s="529"/>
      <c r="HS32" s="529"/>
      <c r="HT32" s="529"/>
      <c r="HU32" s="529"/>
      <c r="HV32" s="529"/>
      <c r="HW32" s="529"/>
      <c r="HX32" s="529"/>
      <c r="HY32" s="529"/>
      <c r="HZ32" s="529"/>
      <c r="IA32" s="529"/>
      <c r="IB32" s="529"/>
      <c r="IC32" s="529"/>
      <c r="ID32" s="529"/>
      <c r="IE32" s="529"/>
      <c r="IF32" s="529"/>
      <c r="IG32" s="529"/>
      <c r="IH32" s="529"/>
      <c r="II32" s="529"/>
      <c r="IJ32" s="529"/>
      <c r="IK32" s="529"/>
      <c r="IL32" s="529"/>
      <c r="IM32" s="529"/>
      <c r="IN32" s="529"/>
    </row>
    <row r="33" spans="1:248" ht="11.25" customHeight="1">
      <c r="A33" s="1806" t="s">
        <v>180</v>
      </c>
      <c r="B33" s="1806"/>
      <c r="C33" s="1806"/>
      <c r="D33" s="1806"/>
      <c r="E33" s="1806"/>
      <c r="F33" s="1806"/>
      <c r="G33" s="1806"/>
      <c r="H33" s="1806"/>
      <c r="I33" s="1806"/>
      <c r="J33" s="1806"/>
      <c r="K33" s="1806"/>
      <c r="L33" s="1806"/>
      <c r="M33" s="1806"/>
      <c r="N33" s="1806"/>
      <c r="O33" s="1806"/>
      <c r="P33" s="1806"/>
      <c r="Q33" s="1806"/>
      <c r="R33" s="1806"/>
      <c r="S33" s="1806"/>
      <c r="T33" s="1806"/>
      <c r="U33" s="1806"/>
      <c r="V33" s="1806"/>
      <c r="W33" s="1806"/>
      <c r="X33" s="1806"/>
      <c r="Y33" s="1806"/>
      <c r="Z33" s="1806"/>
      <c r="AA33" s="1806"/>
      <c r="AB33" s="1806"/>
      <c r="AC33" s="1806"/>
      <c r="AD33" s="1806"/>
      <c r="AE33" s="1806"/>
      <c r="AF33" s="1806"/>
      <c r="AG33" s="480"/>
      <c r="AH33" s="480"/>
      <c r="AI33" s="480"/>
      <c r="AJ33" s="1726"/>
      <c r="AK33" s="1726"/>
      <c r="AL33" s="1726"/>
      <c r="AM33" s="1726"/>
      <c r="AN33" s="1726"/>
      <c r="AO33" s="1726"/>
      <c r="AP33" s="1726"/>
      <c r="AQ33" s="1726"/>
      <c r="AR33" s="1726"/>
      <c r="AS33" s="1726"/>
      <c r="AT33" s="1726"/>
      <c r="AU33" s="1726"/>
      <c r="AV33" s="1726"/>
      <c r="AW33" s="1726"/>
      <c r="AX33" s="1726"/>
      <c r="AY33" s="1726"/>
      <c r="AZ33" s="1726"/>
      <c r="BA33" s="1726"/>
      <c r="BB33" s="1726"/>
      <c r="BC33" s="1726"/>
      <c r="BD33" s="1726"/>
      <c r="BE33" s="480"/>
      <c r="BF33" s="480"/>
      <c r="BG33" s="480"/>
      <c r="BH33" s="1806" t="s">
        <v>881</v>
      </c>
      <c r="BI33" s="1806"/>
      <c r="BJ33" s="1806"/>
      <c r="BK33" s="1806"/>
      <c r="BL33" s="1806"/>
      <c r="BM33" s="1806"/>
      <c r="BN33" s="1806"/>
      <c r="BO33" s="1806"/>
      <c r="BP33" s="1806"/>
      <c r="BQ33" s="1806"/>
      <c r="BR33" s="1806"/>
      <c r="BS33" s="1806"/>
      <c r="BT33" s="1806"/>
      <c r="BU33" s="1806"/>
      <c r="BV33" s="1806"/>
      <c r="BW33" s="1806"/>
      <c r="BX33" s="1806"/>
      <c r="BY33" s="1806"/>
      <c r="BZ33" s="1806"/>
      <c r="CA33" s="1806"/>
      <c r="CB33" s="1806"/>
      <c r="CC33" s="1806"/>
      <c r="CD33" s="1806"/>
      <c r="CE33" s="1806"/>
      <c r="CF33" s="1806"/>
      <c r="CG33" s="1806"/>
      <c r="CH33" s="1806"/>
      <c r="CI33" s="480"/>
      <c r="CJ33" s="480"/>
      <c r="CK33" s="480"/>
      <c r="CL33" s="480"/>
      <c r="CM33" s="480"/>
      <c r="CN33" s="480"/>
      <c r="CO33" s="480"/>
      <c r="CP33" s="480"/>
      <c r="CQ33" s="480"/>
      <c r="CR33" s="480"/>
      <c r="CS33" s="480"/>
      <c r="CT33" s="480"/>
      <c r="CU33" s="480"/>
      <c r="CV33" s="480"/>
      <c r="CW33" s="480"/>
      <c r="CX33" s="480"/>
      <c r="CY33" s="480"/>
      <c r="CZ33" s="480"/>
      <c r="DA33" s="480"/>
      <c r="DB33" s="480"/>
      <c r="DC33" s="480"/>
      <c r="DD33" s="480"/>
      <c r="DE33" s="480"/>
      <c r="DF33" s="480"/>
      <c r="DG33" s="480"/>
      <c r="DH33" s="480"/>
      <c r="DI33" s="480"/>
      <c r="DJ33" s="480"/>
      <c r="DK33" s="480"/>
      <c r="DL33" s="480"/>
      <c r="DM33" s="480"/>
      <c r="DN33" s="480"/>
      <c r="DO33" s="480"/>
      <c r="DP33" s="480"/>
      <c r="DQ33" s="480"/>
      <c r="DR33" s="480"/>
      <c r="DS33" s="480"/>
      <c r="DT33" s="480"/>
      <c r="DU33" s="480"/>
      <c r="DV33" s="480"/>
      <c r="DW33" s="480"/>
      <c r="DX33" s="480"/>
      <c r="DY33" s="480"/>
      <c r="DZ33" s="480"/>
      <c r="EA33" s="480"/>
      <c r="EB33" s="480"/>
      <c r="EC33" s="480"/>
      <c r="ED33" s="480"/>
      <c r="EE33" s="480"/>
      <c r="EF33" s="480"/>
      <c r="EG33" s="480"/>
      <c r="EH33" s="480"/>
      <c r="EI33" s="480"/>
      <c r="EJ33" s="480"/>
      <c r="EK33" s="480"/>
      <c r="EL33" s="480"/>
      <c r="EM33" s="480"/>
      <c r="EN33" s="480"/>
      <c r="EO33" s="480"/>
      <c r="EP33" s="480"/>
      <c r="EQ33" s="480"/>
      <c r="ER33" s="480"/>
      <c r="ES33" s="480"/>
      <c r="ET33" s="529"/>
      <c r="EU33" s="529"/>
      <c r="EV33" s="529"/>
      <c r="EW33" s="529"/>
      <c r="EX33" s="529"/>
      <c r="EY33" s="529"/>
      <c r="EZ33" s="529"/>
      <c r="FA33" s="529"/>
      <c r="FB33" s="529"/>
      <c r="FC33" s="529"/>
      <c r="FD33" s="529"/>
      <c r="FE33" s="529"/>
      <c r="FF33" s="529"/>
      <c r="FG33" s="529"/>
      <c r="FH33" s="529"/>
      <c r="FI33" s="529"/>
      <c r="FJ33" s="529"/>
      <c r="FK33" s="529"/>
      <c r="FL33" s="529"/>
      <c r="FM33" s="529"/>
      <c r="FN33" s="529"/>
      <c r="FO33" s="529"/>
      <c r="FP33" s="529"/>
      <c r="FQ33" s="529"/>
      <c r="FR33" s="529"/>
      <c r="FS33" s="529"/>
      <c r="FT33" s="529"/>
      <c r="FU33" s="529"/>
      <c r="FV33" s="529"/>
      <c r="FW33" s="529"/>
      <c r="FX33" s="529"/>
      <c r="FY33" s="529"/>
      <c r="FZ33" s="529"/>
      <c r="GA33" s="529"/>
      <c r="GB33" s="529"/>
      <c r="GC33" s="529"/>
      <c r="GD33" s="529"/>
      <c r="GE33" s="529"/>
      <c r="GF33" s="529"/>
      <c r="GG33" s="529"/>
      <c r="GH33" s="529"/>
      <c r="GI33" s="529"/>
      <c r="GJ33" s="529"/>
      <c r="GK33" s="529"/>
      <c r="GL33" s="529"/>
      <c r="GM33" s="529"/>
      <c r="GN33" s="529"/>
      <c r="GO33" s="529"/>
      <c r="GP33" s="529"/>
      <c r="GQ33" s="529"/>
      <c r="GR33" s="529"/>
      <c r="GS33" s="529"/>
      <c r="GT33" s="529"/>
      <c r="GU33" s="529"/>
      <c r="GV33" s="529"/>
      <c r="GW33" s="529"/>
      <c r="GX33" s="529"/>
      <c r="GY33" s="529"/>
      <c r="GZ33" s="529"/>
      <c r="HA33" s="529"/>
      <c r="HB33" s="529"/>
      <c r="HC33" s="529"/>
      <c r="HD33" s="529"/>
      <c r="HE33" s="529"/>
      <c r="HF33" s="529"/>
      <c r="HG33" s="529"/>
      <c r="HH33" s="529"/>
      <c r="HI33" s="529"/>
      <c r="HJ33" s="529"/>
      <c r="HK33" s="529"/>
      <c r="HL33" s="529"/>
      <c r="HM33" s="529"/>
      <c r="HN33" s="529"/>
      <c r="HO33" s="529"/>
      <c r="HP33" s="529"/>
      <c r="HQ33" s="529"/>
      <c r="HR33" s="529"/>
      <c r="HS33" s="529"/>
      <c r="HT33" s="529"/>
      <c r="HU33" s="529"/>
      <c r="HV33" s="529"/>
      <c r="HW33" s="529"/>
      <c r="HX33" s="529"/>
      <c r="HY33" s="529"/>
      <c r="HZ33" s="529"/>
      <c r="IA33" s="529"/>
      <c r="IB33" s="529"/>
      <c r="IC33" s="529"/>
      <c r="ID33" s="529"/>
      <c r="IE33" s="529"/>
      <c r="IF33" s="529"/>
      <c r="IG33" s="529"/>
      <c r="IH33" s="529"/>
      <c r="II33" s="529"/>
      <c r="IJ33" s="529"/>
      <c r="IK33" s="529"/>
      <c r="IL33" s="529"/>
      <c r="IM33" s="529"/>
      <c r="IN33" s="529"/>
    </row>
    <row r="34" spans="1:248" ht="11.25" customHeight="1">
      <c r="A34" s="1724" t="s">
        <v>183</v>
      </c>
      <c r="B34" s="1724"/>
      <c r="C34" s="1724"/>
      <c r="D34" s="1724"/>
      <c r="E34" s="1724"/>
      <c r="F34" s="1724"/>
      <c r="G34" s="1724"/>
      <c r="H34" s="1724"/>
      <c r="I34" s="1724"/>
      <c r="J34" s="1724"/>
      <c r="K34" s="1724"/>
      <c r="L34" s="1724"/>
      <c r="M34" s="1724"/>
      <c r="N34" s="1724"/>
      <c r="O34" s="1724"/>
      <c r="P34" s="1724"/>
      <c r="Q34" s="1724"/>
      <c r="R34" s="1724"/>
      <c r="S34" s="1724"/>
      <c r="T34" s="1724"/>
      <c r="U34" s="1724"/>
      <c r="V34" s="1724"/>
      <c r="W34" s="1724"/>
      <c r="X34" s="1724"/>
      <c r="Y34" s="1724"/>
      <c r="Z34" s="1724"/>
      <c r="AA34" s="1724"/>
      <c r="AB34" s="1724"/>
      <c r="AC34" s="1724"/>
      <c r="AD34" s="1724"/>
      <c r="AE34" s="1724"/>
      <c r="AF34" s="1724"/>
      <c r="AG34" s="480"/>
      <c r="AH34" s="480"/>
      <c r="AI34" s="480"/>
      <c r="AJ34" s="1724" t="s">
        <v>80</v>
      </c>
      <c r="AK34" s="1724"/>
      <c r="AL34" s="1724"/>
      <c r="AM34" s="1724"/>
      <c r="AN34" s="1724"/>
      <c r="AO34" s="1724"/>
      <c r="AP34" s="1724"/>
      <c r="AQ34" s="1724"/>
      <c r="AR34" s="1724"/>
      <c r="AS34" s="1724"/>
      <c r="AT34" s="1724"/>
      <c r="AU34" s="1724"/>
      <c r="AV34" s="1724"/>
      <c r="AW34" s="1724"/>
      <c r="AX34" s="1724"/>
      <c r="AY34" s="1724"/>
      <c r="AZ34" s="1724"/>
      <c r="BA34" s="1724"/>
      <c r="BB34" s="1724"/>
      <c r="BC34" s="1724"/>
      <c r="BD34" s="1724"/>
      <c r="BE34" s="480"/>
      <c r="BF34" s="480"/>
      <c r="BG34" s="480"/>
      <c r="BH34" s="1724" t="s">
        <v>182</v>
      </c>
      <c r="BI34" s="1724"/>
      <c r="BJ34" s="1724"/>
      <c r="BK34" s="1724"/>
      <c r="BL34" s="1724"/>
      <c r="BM34" s="1724"/>
      <c r="BN34" s="1724"/>
      <c r="BO34" s="1724"/>
      <c r="BP34" s="1724"/>
      <c r="BQ34" s="1724"/>
      <c r="BR34" s="1724"/>
      <c r="BS34" s="1724"/>
      <c r="BT34" s="1724"/>
      <c r="BU34" s="1724"/>
      <c r="BV34" s="1724"/>
      <c r="BW34" s="1724"/>
      <c r="BX34" s="1724"/>
      <c r="BY34" s="1724"/>
      <c r="BZ34" s="1724"/>
      <c r="CA34" s="1724"/>
      <c r="CB34" s="1724"/>
      <c r="CC34" s="1724"/>
      <c r="CD34" s="1724"/>
      <c r="CE34" s="1724"/>
      <c r="CF34" s="1724"/>
      <c r="CG34" s="1724"/>
      <c r="CH34" s="1724"/>
      <c r="CI34" s="480"/>
      <c r="CJ34" s="480"/>
      <c r="CK34" s="480"/>
      <c r="CL34" s="480"/>
      <c r="CM34" s="480"/>
      <c r="CN34" s="480"/>
      <c r="CO34" s="480"/>
      <c r="CP34" s="480"/>
      <c r="CQ34" s="480"/>
      <c r="CR34" s="480"/>
      <c r="CS34" s="480"/>
      <c r="CT34" s="480"/>
      <c r="CU34" s="480"/>
      <c r="CV34" s="480"/>
      <c r="CW34" s="480"/>
      <c r="CX34" s="480"/>
      <c r="CY34" s="480"/>
      <c r="CZ34" s="480"/>
      <c r="DA34" s="480"/>
      <c r="DB34" s="480"/>
      <c r="DC34" s="480"/>
      <c r="DD34" s="480"/>
      <c r="DE34" s="480"/>
      <c r="DF34" s="480"/>
      <c r="DG34" s="480"/>
      <c r="DH34" s="480"/>
      <c r="DI34" s="480"/>
      <c r="DJ34" s="480"/>
      <c r="DK34" s="480"/>
      <c r="DL34" s="480"/>
      <c r="DM34" s="480"/>
      <c r="DN34" s="480"/>
      <c r="DO34" s="480"/>
      <c r="DP34" s="480"/>
      <c r="DQ34" s="480"/>
      <c r="DR34" s="480"/>
      <c r="DS34" s="480"/>
      <c r="DT34" s="480"/>
      <c r="DU34" s="480"/>
      <c r="DV34" s="480"/>
      <c r="DW34" s="480"/>
      <c r="DX34" s="480"/>
      <c r="DY34" s="480"/>
      <c r="DZ34" s="480"/>
      <c r="EA34" s="480"/>
      <c r="EB34" s="480"/>
      <c r="EC34" s="480"/>
      <c r="ED34" s="480"/>
      <c r="EE34" s="480"/>
      <c r="EF34" s="480"/>
      <c r="EG34" s="480"/>
      <c r="EH34" s="480"/>
      <c r="EI34" s="480"/>
      <c r="EJ34" s="480"/>
      <c r="EK34" s="480"/>
      <c r="EL34" s="480"/>
      <c r="EM34" s="480"/>
      <c r="EN34" s="480"/>
      <c r="EO34" s="480"/>
      <c r="EP34" s="480"/>
      <c r="EQ34" s="480"/>
      <c r="ER34" s="480"/>
      <c r="ES34" s="480"/>
      <c r="ET34" s="529"/>
      <c r="EU34" s="529"/>
      <c r="EV34" s="529"/>
      <c r="EW34" s="529"/>
      <c r="EX34" s="529"/>
      <c r="EY34" s="529"/>
      <c r="EZ34" s="529"/>
      <c r="FA34" s="529"/>
      <c r="FB34" s="529"/>
      <c r="FC34" s="529"/>
      <c r="FD34" s="529"/>
      <c r="FE34" s="529"/>
      <c r="FF34" s="529"/>
      <c r="FG34" s="529"/>
      <c r="FH34" s="529"/>
      <c r="FI34" s="529"/>
      <c r="FJ34" s="529"/>
      <c r="FK34" s="529"/>
      <c r="FL34" s="529"/>
      <c r="FM34" s="529"/>
      <c r="FN34" s="529"/>
      <c r="FO34" s="529"/>
      <c r="FP34" s="529"/>
      <c r="FQ34" s="529"/>
      <c r="FR34" s="529"/>
      <c r="FS34" s="529"/>
      <c r="FT34" s="529"/>
      <c r="FU34" s="529"/>
      <c r="FV34" s="529"/>
      <c r="FW34" s="529"/>
      <c r="FX34" s="529"/>
      <c r="FY34" s="529"/>
      <c r="FZ34" s="529"/>
      <c r="GA34" s="529"/>
      <c r="GB34" s="529"/>
      <c r="GC34" s="529"/>
      <c r="GD34" s="529"/>
      <c r="GE34" s="529"/>
      <c r="GF34" s="529"/>
      <c r="GG34" s="529"/>
      <c r="GH34" s="529"/>
      <c r="GI34" s="529"/>
      <c r="GJ34" s="529"/>
      <c r="GK34" s="529"/>
      <c r="GL34" s="529"/>
      <c r="GM34" s="529"/>
      <c r="GN34" s="529"/>
      <c r="GO34" s="529"/>
      <c r="GP34" s="529"/>
      <c r="GQ34" s="529"/>
      <c r="GR34" s="529"/>
      <c r="GS34" s="529"/>
      <c r="GT34" s="529"/>
      <c r="GU34" s="529"/>
      <c r="GV34" s="529"/>
      <c r="GW34" s="529"/>
      <c r="GX34" s="529"/>
      <c r="GY34" s="529"/>
      <c r="GZ34" s="529"/>
      <c r="HA34" s="529"/>
      <c r="HB34" s="529"/>
      <c r="HC34" s="529"/>
      <c r="HD34" s="529"/>
      <c r="HE34" s="529"/>
      <c r="HF34" s="529"/>
      <c r="HG34" s="529"/>
      <c r="HH34" s="529"/>
      <c r="HI34" s="529"/>
      <c r="HJ34" s="529"/>
      <c r="HK34" s="529"/>
      <c r="HL34" s="529"/>
      <c r="HM34" s="529"/>
      <c r="HN34" s="529"/>
      <c r="HO34" s="529"/>
      <c r="HP34" s="529"/>
      <c r="HQ34" s="529"/>
      <c r="HR34" s="529"/>
      <c r="HS34" s="529"/>
      <c r="HT34" s="529"/>
      <c r="HU34" s="529"/>
      <c r="HV34" s="529"/>
      <c r="HW34" s="529"/>
      <c r="HX34" s="529"/>
      <c r="HY34" s="529"/>
      <c r="HZ34" s="529"/>
      <c r="IA34" s="529"/>
      <c r="IB34" s="529"/>
      <c r="IC34" s="529"/>
      <c r="ID34" s="529"/>
      <c r="IE34" s="529"/>
      <c r="IF34" s="529"/>
      <c r="IG34" s="529"/>
      <c r="IH34" s="529"/>
      <c r="II34" s="529"/>
      <c r="IJ34" s="529"/>
      <c r="IK34" s="529"/>
      <c r="IL34" s="529"/>
      <c r="IM34" s="529"/>
      <c r="IN34" s="529"/>
    </row>
    <row r="35" spans="1:248" ht="3.2" customHeight="1">
      <c r="A35" s="480"/>
      <c r="B35" s="480"/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0"/>
      <c r="Z35" s="480"/>
      <c r="AA35" s="480"/>
      <c r="AB35" s="480"/>
      <c r="AC35" s="480"/>
      <c r="AD35" s="480"/>
      <c r="AE35" s="480"/>
      <c r="AF35" s="480"/>
      <c r="AG35" s="480"/>
      <c r="AH35" s="480"/>
      <c r="AI35" s="480"/>
      <c r="AJ35" s="480"/>
      <c r="AK35" s="480"/>
      <c r="AL35" s="480"/>
      <c r="AM35" s="480"/>
      <c r="AN35" s="480"/>
      <c r="AO35" s="480"/>
      <c r="AP35" s="480"/>
      <c r="AQ35" s="480"/>
      <c r="AR35" s="480"/>
      <c r="AS35" s="480"/>
      <c r="AT35" s="480"/>
      <c r="AU35" s="480"/>
      <c r="AV35" s="480"/>
      <c r="AW35" s="480"/>
      <c r="AX35" s="480"/>
      <c r="AY35" s="480"/>
      <c r="AZ35" s="480"/>
      <c r="BA35" s="480"/>
      <c r="BB35" s="480"/>
      <c r="BC35" s="480"/>
      <c r="BD35" s="480"/>
      <c r="BE35" s="480"/>
      <c r="BF35" s="480"/>
      <c r="BG35" s="480"/>
      <c r="BH35" s="480"/>
      <c r="BI35" s="480"/>
      <c r="BJ35" s="480"/>
      <c r="BK35" s="480"/>
      <c r="BL35" s="480"/>
      <c r="BM35" s="480"/>
      <c r="BN35" s="480"/>
      <c r="BO35" s="480"/>
      <c r="BP35" s="480"/>
      <c r="BQ35" s="480"/>
      <c r="BR35" s="480"/>
      <c r="BS35" s="480"/>
      <c r="BT35" s="480"/>
      <c r="BU35" s="480"/>
      <c r="BV35" s="480"/>
      <c r="BW35" s="480"/>
      <c r="BX35" s="480"/>
      <c r="BY35" s="480"/>
      <c r="BZ35" s="480"/>
      <c r="CA35" s="480"/>
      <c r="CB35" s="480"/>
      <c r="CC35" s="480"/>
      <c r="CD35" s="480"/>
      <c r="CE35" s="480"/>
      <c r="CF35" s="480"/>
      <c r="CG35" s="480"/>
      <c r="CH35" s="480"/>
      <c r="CI35" s="480"/>
      <c r="CJ35" s="480"/>
      <c r="CK35" s="480"/>
      <c r="CL35" s="480"/>
      <c r="CM35" s="480"/>
      <c r="CN35" s="480"/>
      <c r="CO35" s="480"/>
      <c r="CP35" s="480"/>
      <c r="CQ35" s="480"/>
      <c r="CR35" s="480"/>
      <c r="CS35" s="480"/>
      <c r="CT35" s="480"/>
      <c r="CU35" s="480"/>
      <c r="CV35" s="480"/>
      <c r="CW35" s="480"/>
      <c r="CX35" s="480"/>
      <c r="CY35" s="480"/>
      <c r="CZ35" s="480"/>
      <c r="DA35" s="480"/>
      <c r="DB35" s="480"/>
      <c r="DC35" s="480"/>
      <c r="DD35" s="480"/>
      <c r="DE35" s="480"/>
      <c r="DF35" s="480"/>
      <c r="DG35" s="480"/>
      <c r="DH35" s="480"/>
      <c r="DI35" s="480"/>
      <c r="DJ35" s="480"/>
      <c r="DK35" s="480"/>
      <c r="DL35" s="480"/>
      <c r="DM35" s="480"/>
      <c r="DN35" s="480"/>
      <c r="DO35" s="480"/>
      <c r="DP35" s="480"/>
      <c r="DQ35" s="480"/>
      <c r="DR35" s="480"/>
      <c r="DS35" s="480"/>
      <c r="DT35" s="480"/>
      <c r="DU35" s="480"/>
      <c r="DV35" s="480"/>
      <c r="DW35" s="480"/>
      <c r="DX35" s="480"/>
      <c r="DY35" s="480"/>
      <c r="DZ35" s="480"/>
      <c r="EA35" s="480"/>
      <c r="EB35" s="480"/>
      <c r="EC35" s="480"/>
      <c r="ED35" s="480"/>
      <c r="EE35" s="480"/>
      <c r="EF35" s="480"/>
      <c r="EG35" s="480"/>
      <c r="EH35" s="480"/>
      <c r="EI35" s="480"/>
      <c r="EJ35" s="480"/>
      <c r="EK35" s="480"/>
      <c r="EL35" s="480"/>
      <c r="EM35" s="480"/>
      <c r="EN35" s="480"/>
      <c r="EO35" s="480"/>
      <c r="EP35" s="480"/>
      <c r="EQ35" s="480"/>
      <c r="ER35" s="480"/>
      <c r="ES35" s="480"/>
      <c r="ET35" s="529"/>
      <c r="EU35" s="529"/>
      <c r="EV35" s="529"/>
      <c r="EW35" s="529"/>
      <c r="EX35" s="529"/>
      <c r="EY35" s="529"/>
      <c r="EZ35" s="529"/>
      <c r="FA35" s="529"/>
      <c r="FB35" s="529"/>
      <c r="FC35" s="529"/>
      <c r="FD35" s="529"/>
      <c r="FE35" s="529"/>
      <c r="FF35" s="529"/>
      <c r="FG35" s="529"/>
      <c r="FH35" s="529"/>
      <c r="FI35" s="529"/>
      <c r="FJ35" s="529"/>
      <c r="FK35" s="529"/>
      <c r="FL35" s="529"/>
      <c r="FM35" s="529"/>
      <c r="FN35" s="529"/>
      <c r="FO35" s="529"/>
      <c r="FP35" s="529"/>
      <c r="FQ35" s="529"/>
      <c r="FR35" s="529"/>
      <c r="FS35" s="529"/>
      <c r="FT35" s="529"/>
      <c r="FU35" s="529"/>
      <c r="FV35" s="529"/>
      <c r="FW35" s="529"/>
      <c r="FX35" s="529"/>
      <c r="FY35" s="529"/>
      <c r="FZ35" s="529"/>
      <c r="GA35" s="529"/>
      <c r="GB35" s="529"/>
      <c r="GC35" s="529"/>
      <c r="GD35" s="529"/>
      <c r="GE35" s="529"/>
      <c r="GF35" s="529"/>
      <c r="GG35" s="529"/>
      <c r="GH35" s="529"/>
      <c r="GI35" s="529"/>
      <c r="GJ35" s="529"/>
      <c r="GK35" s="529"/>
      <c r="GL35" s="529"/>
      <c r="GM35" s="529"/>
      <c r="GN35" s="529"/>
      <c r="GO35" s="529"/>
      <c r="GP35" s="529"/>
      <c r="GQ35" s="529"/>
      <c r="GR35" s="529"/>
      <c r="GS35" s="529"/>
      <c r="GT35" s="529"/>
      <c r="GU35" s="529"/>
      <c r="GV35" s="529"/>
      <c r="GW35" s="529"/>
      <c r="GX35" s="529"/>
      <c r="GY35" s="529"/>
      <c r="GZ35" s="529"/>
      <c r="HA35" s="529"/>
      <c r="HB35" s="529"/>
      <c r="HC35" s="529"/>
      <c r="HD35" s="529"/>
      <c r="HE35" s="529"/>
      <c r="HF35" s="529"/>
      <c r="HG35" s="529"/>
      <c r="HH35" s="529"/>
      <c r="HI35" s="529"/>
      <c r="HJ35" s="529"/>
      <c r="HK35" s="529"/>
      <c r="HL35" s="529"/>
      <c r="HM35" s="529"/>
      <c r="HN35" s="529"/>
      <c r="HO35" s="529"/>
      <c r="HP35" s="529"/>
      <c r="HQ35" s="529"/>
      <c r="HR35" s="529"/>
      <c r="HS35" s="529"/>
      <c r="HT35" s="529"/>
      <c r="HU35" s="529"/>
      <c r="HV35" s="529"/>
      <c r="HW35" s="529"/>
      <c r="HX35" s="529"/>
      <c r="HY35" s="529"/>
      <c r="HZ35" s="529"/>
      <c r="IA35" s="529"/>
      <c r="IB35" s="529"/>
      <c r="IC35" s="529"/>
      <c r="ID35" s="529"/>
      <c r="IE35" s="529"/>
      <c r="IF35" s="529"/>
      <c r="IG35" s="529"/>
      <c r="IH35" s="529"/>
      <c r="II35" s="529"/>
      <c r="IJ35" s="529"/>
      <c r="IK35" s="529"/>
      <c r="IL35" s="529"/>
      <c r="IM35" s="529"/>
      <c r="IN35" s="529"/>
    </row>
    <row r="36" spans="1:248" ht="11.25" customHeight="1">
      <c r="A36" s="1726"/>
      <c r="B36" s="1726"/>
      <c r="C36" s="1726"/>
      <c r="D36" s="1726"/>
      <c r="E36" s="1726"/>
      <c r="F36" s="1726"/>
      <c r="G36" s="1726"/>
      <c r="H36" s="1726"/>
      <c r="I36" s="1726"/>
      <c r="J36" s="1726"/>
      <c r="K36" s="1726"/>
      <c r="L36" s="1726"/>
      <c r="M36" s="1726"/>
      <c r="N36" s="1726"/>
      <c r="O36" s="1726"/>
      <c r="P36" s="1726"/>
      <c r="Q36" s="1726"/>
      <c r="R36" s="1726"/>
      <c r="S36" s="1726"/>
      <c r="T36" s="1726"/>
      <c r="U36" s="1726"/>
      <c r="V36" s="1726"/>
      <c r="W36" s="1726"/>
      <c r="X36" s="1726"/>
      <c r="Y36" s="1726"/>
      <c r="Z36" s="1726"/>
      <c r="AA36" s="1726"/>
      <c r="AB36" s="1726"/>
      <c r="AC36" s="1726"/>
      <c r="AD36" s="1726"/>
      <c r="AE36" s="1726"/>
      <c r="AF36" s="1726"/>
      <c r="AG36" s="480"/>
      <c r="AH36" s="480"/>
      <c r="AI36" s="480"/>
      <c r="AJ36" s="1726"/>
      <c r="AK36" s="1726"/>
      <c r="AL36" s="1726"/>
      <c r="AM36" s="1726"/>
      <c r="AN36" s="1726"/>
      <c r="AO36" s="1726"/>
      <c r="AP36" s="1726"/>
      <c r="AQ36" s="1726"/>
      <c r="AR36" s="1726"/>
      <c r="AS36" s="1726"/>
      <c r="AT36" s="1726"/>
      <c r="AU36" s="1726"/>
      <c r="AV36" s="1726"/>
      <c r="AW36" s="1726"/>
      <c r="AX36" s="1726"/>
      <c r="AY36" s="1726"/>
      <c r="AZ36" s="1726"/>
      <c r="BA36" s="1726"/>
      <c r="BB36" s="1726"/>
      <c r="BC36" s="1726"/>
      <c r="BD36" s="1726"/>
      <c r="BE36" s="480"/>
      <c r="BF36" s="480"/>
      <c r="BG36" s="480"/>
      <c r="BH36" s="1726"/>
      <c r="BI36" s="1726"/>
      <c r="BJ36" s="1726"/>
      <c r="BK36" s="1726"/>
      <c r="BL36" s="1726"/>
      <c r="BM36" s="1726"/>
      <c r="BN36" s="1726"/>
      <c r="BO36" s="1726"/>
      <c r="BP36" s="1726"/>
      <c r="BQ36" s="1726"/>
      <c r="BR36" s="1726"/>
      <c r="BS36" s="1726"/>
      <c r="BT36" s="1726"/>
      <c r="BU36" s="1726"/>
      <c r="BV36" s="1726"/>
      <c r="BW36" s="1726"/>
      <c r="BX36" s="1726"/>
      <c r="BY36" s="1726"/>
      <c r="BZ36" s="1726"/>
      <c r="CA36" s="1726"/>
      <c r="CB36" s="1726"/>
      <c r="CC36" s="1726"/>
      <c r="CD36" s="1726"/>
      <c r="CE36" s="1726"/>
      <c r="CF36" s="1726"/>
      <c r="CG36" s="1726"/>
      <c r="CH36" s="1726"/>
      <c r="CI36" s="480"/>
      <c r="CJ36" s="480"/>
      <c r="CK36" s="480"/>
      <c r="CL36" s="480"/>
      <c r="CM36" s="480"/>
      <c r="CN36" s="480"/>
      <c r="CO36" s="480"/>
      <c r="CP36" s="480"/>
      <c r="CQ36" s="480"/>
      <c r="CR36" s="480"/>
      <c r="CS36" s="480"/>
      <c r="CT36" s="480"/>
      <c r="CU36" s="480"/>
      <c r="CV36" s="480"/>
      <c r="CW36" s="480"/>
      <c r="CX36" s="480"/>
      <c r="CY36" s="480"/>
      <c r="CZ36" s="480"/>
      <c r="DA36" s="480"/>
      <c r="DB36" s="480"/>
      <c r="DC36" s="480"/>
      <c r="DD36" s="480"/>
      <c r="DE36" s="480"/>
      <c r="DF36" s="480"/>
      <c r="DG36" s="480"/>
      <c r="DH36" s="480"/>
      <c r="DI36" s="480"/>
      <c r="DJ36" s="480"/>
      <c r="DK36" s="480"/>
      <c r="DL36" s="480"/>
      <c r="DM36" s="480"/>
      <c r="DN36" s="480"/>
      <c r="DO36" s="480"/>
      <c r="DP36" s="480"/>
      <c r="DQ36" s="480"/>
      <c r="DR36" s="480"/>
      <c r="DS36" s="480"/>
      <c r="DT36" s="480"/>
      <c r="DU36" s="480"/>
      <c r="DV36" s="480"/>
      <c r="DW36" s="480"/>
      <c r="DX36" s="480"/>
      <c r="DY36" s="480"/>
      <c r="DZ36" s="480"/>
      <c r="EA36" s="480"/>
      <c r="EB36" s="480"/>
      <c r="EC36" s="480"/>
      <c r="ED36" s="480"/>
      <c r="EE36" s="480"/>
      <c r="EF36" s="480"/>
      <c r="EG36" s="480"/>
      <c r="EH36" s="480"/>
      <c r="EI36" s="480"/>
      <c r="EJ36" s="480"/>
      <c r="EK36" s="480"/>
      <c r="EL36" s="480"/>
      <c r="EM36" s="480"/>
      <c r="EN36" s="480"/>
      <c r="EO36" s="480"/>
      <c r="EP36" s="480"/>
      <c r="EQ36" s="480"/>
      <c r="ER36" s="480"/>
      <c r="ES36" s="480"/>
      <c r="ET36" s="529"/>
      <c r="EU36" s="529"/>
      <c r="EV36" s="529"/>
      <c r="EW36" s="529"/>
      <c r="EX36" s="529"/>
      <c r="EY36" s="529"/>
      <c r="EZ36" s="529"/>
      <c r="FA36" s="529"/>
      <c r="FB36" s="529"/>
      <c r="FC36" s="529"/>
      <c r="FD36" s="529"/>
      <c r="FE36" s="529"/>
      <c r="FF36" s="529"/>
      <c r="FG36" s="529"/>
      <c r="FH36" s="529"/>
      <c r="FI36" s="529"/>
      <c r="FJ36" s="529"/>
      <c r="FK36" s="529"/>
      <c r="FL36" s="529"/>
      <c r="FM36" s="529"/>
      <c r="FN36" s="529"/>
      <c r="FO36" s="529"/>
      <c r="FP36" s="529"/>
      <c r="FQ36" s="529"/>
      <c r="FR36" s="529"/>
      <c r="FS36" s="529"/>
      <c r="FT36" s="529"/>
      <c r="FU36" s="529"/>
      <c r="FV36" s="529"/>
      <c r="FW36" s="529"/>
      <c r="FX36" s="529"/>
      <c r="FY36" s="529"/>
      <c r="FZ36" s="529"/>
      <c r="GA36" s="529"/>
      <c r="GB36" s="529"/>
      <c r="GC36" s="529"/>
      <c r="GD36" s="529"/>
      <c r="GE36" s="529"/>
      <c r="GF36" s="529"/>
      <c r="GG36" s="529"/>
      <c r="GH36" s="529"/>
      <c r="GI36" s="529"/>
      <c r="GJ36" s="529"/>
      <c r="GK36" s="529"/>
      <c r="GL36" s="529"/>
      <c r="GM36" s="529"/>
      <c r="GN36" s="529"/>
      <c r="GO36" s="529"/>
      <c r="GP36" s="529"/>
      <c r="GQ36" s="529"/>
      <c r="GR36" s="529"/>
      <c r="GS36" s="529"/>
      <c r="GT36" s="529"/>
      <c r="GU36" s="529"/>
      <c r="GV36" s="529"/>
      <c r="GW36" s="529"/>
      <c r="GX36" s="529"/>
      <c r="GY36" s="529"/>
      <c r="GZ36" s="529"/>
      <c r="HA36" s="529"/>
      <c r="HB36" s="529"/>
      <c r="HC36" s="529"/>
      <c r="HD36" s="529"/>
      <c r="HE36" s="529"/>
      <c r="HF36" s="529"/>
      <c r="HG36" s="529"/>
      <c r="HH36" s="529"/>
      <c r="HI36" s="529"/>
      <c r="HJ36" s="529"/>
      <c r="HK36" s="529"/>
      <c r="HL36" s="529"/>
      <c r="HM36" s="529"/>
      <c r="HN36" s="529"/>
      <c r="HO36" s="529"/>
      <c r="HP36" s="529"/>
      <c r="HQ36" s="529"/>
      <c r="HR36" s="529"/>
      <c r="HS36" s="529"/>
      <c r="HT36" s="529"/>
      <c r="HU36" s="529"/>
      <c r="HV36" s="529"/>
      <c r="HW36" s="529"/>
      <c r="HX36" s="529"/>
      <c r="HY36" s="529"/>
      <c r="HZ36" s="529"/>
      <c r="IA36" s="529"/>
      <c r="IB36" s="529"/>
      <c r="IC36" s="529"/>
      <c r="ID36" s="529"/>
      <c r="IE36" s="529"/>
      <c r="IF36" s="529"/>
      <c r="IG36" s="529"/>
      <c r="IH36" s="529"/>
      <c r="II36" s="529"/>
      <c r="IJ36" s="529"/>
      <c r="IK36" s="529"/>
      <c r="IL36" s="529"/>
      <c r="IM36" s="529"/>
      <c r="IN36" s="529"/>
    </row>
    <row r="37" spans="1:248" ht="3.2" customHeight="1">
      <c r="A37" s="480"/>
      <c r="B37" s="480"/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0"/>
      <c r="Z37" s="480"/>
      <c r="AA37" s="480"/>
      <c r="AB37" s="480"/>
      <c r="AC37" s="480"/>
      <c r="AD37" s="480"/>
      <c r="AE37" s="480"/>
      <c r="AF37" s="480"/>
      <c r="AG37" s="480"/>
      <c r="AH37" s="480"/>
      <c r="AI37" s="480"/>
      <c r="AJ37" s="480"/>
      <c r="AK37" s="480"/>
      <c r="AL37" s="480"/>
      <c r="AM37" s="480"/>
      <c r="AN37" s="480"/>
      <c r="AO37" s="480"/>
      <c r="AP37" s="480"/>
      <c r="AQ37" s="480"/>
      <c r="AR37" s="480"/>
      <c r="AS37" s="480"/>
      <c r="AT37" s="480"/>
      <c r="AU37" s="480"/>
      <c r="AV37" s="480"/>
      <c r="AW37" s="480"/>
      <c r="AX37" s="480"/>
      <c r="AY37" s="480"/>
      <c r="AZ37" s="480"/>
      <c r="BA37" s="480"/>
      <c r="BB37" s="480"/>
      <c r="BC37" s="480"/>
      <c r="BD37" s="480"/>
      <c r="BE37" s="480"/>
      <c r="BF37" s="480"/>
      <c r="BG37" s="480"/>
      <c r="BH37" s="480"/>
      <c r="BI37" s="480"/>
      <c r="BJ37" s="480"/>
      <c r="BK37" s="480"/>
      <c r="BL37" s="480"/>
      <c r="BM37" s="480"/>
      <c r="BN37" s="480"/>
      <c r="BO37" s="480"/>
      <c r="BP37" s="480"/>
      <c r="BQ37" s="480"/>
      <c r="BR37" s="480"/>
      <c r="BS37" s="480"/>
      <c r="BT37" s="480"/>
      <c r="BU37" s="480"/>
      <c r="BV37" s="480"/>
      <c r="BW37" s="480"/>
      <c r="BX37" s="480"/>
      <c r="BY37" s="480"/>
      <c r="BZ37" s="480"/>
      <c r="CA37" s="480"/>
      <c r="CB37" s="480"/>
      <c r="CC37" s="480"/>
      <c r="CD37" s="480"/>
      <c r="CE37" s="480"/>
      <c r="CF37" s="480"/>
      <c r="CG37" s="480"/>
      <c r="CH37" s="480"/>
      <c r="CI37" s="480"/>
      <c r="CJ37" s="480"/>
      <c r="CK37" s="480"/>
      <c r="CL37" s="480"/>
      <c r="CM37" s="480"/>
      <c r="CN37" s="480"/>
      <c r="CO37" s="480"/>
      <c r="CP37" s="480"/>
      <c r="CQ37" s="480"/>
      <c r="CR37" s="480"/>
      <c r="CS37" s="480"/>
      <c r="CT37" s="480"/>
      <c r="CU37" s="480"/>
      <c r="CV37" s="480"/>
      <c r="CW37" s="480"/>
      <c r="CX37" s="480"/>
      <c r="CY37" s="480"/>
      <c r="CZ37" s="480"/>
      <c r="DA37" s="480"/>
      <c r="DB37" s="480"/>
      <c r="DC37" s="480"/>
      <c r="DD37" s="480"/>
      <c r="DE37" s="480"/>
      <c r="DF37" s="480"/>
      <c r="DG37" s="480"/>
      <c r="DH37" s="480"/>
      <c r="DI37" s="480"/>
      <c r="DJ37" s="480"/>
      <c r="DK37" s="480"/>
      <c r="DL37" s="480"/>
      <c r="DM37" s="480"/>
      <c r="DN37" s="480"/>
      <c r="DO37" s="480"/>
      <c r="DP37" s="480"/>
      <c r="DQ37" s="480"/>
      <c r="DR37" s="480"/>
      <c r="DS37" s="480"/>
      <c r="DT37" s="480"/>
      <c r="DU37" s="480"/>
      <c r="DV37" s="480"/>
      <c r="DW37" s="480"/>
      <c r="DX37" s="480"/>
      <c r="DY37" s="480"/>
      <c r="DZ37" s="480"/>
      <c r="EA37" s="480"/>
      <c r="EB37" s="480"/>
      <c r="EC37" s="480"/>
      <c r="ED37" s="480"/>
      <c r="EE37" s="480"/>
      <c r="EF37" s="480"/>
      <c r="EG37" s="480"/>
      <c r="EH37" s="480"/>
      <c r="EI37" s="480"/>
      <c r="EJ37" s="480"/>
      <c r="EK37" s="480"/>
      <c r="EL37" s="480"/>
      <c r="EM37" s="480"/>
      <c r="EN37" s="480"/>
      <c r="EO37" s="480"/>
      <c r="EP37" s="480"/>
      <c r="EQ37" s="480"/>
      <c r="ER37" s="480"/>
      <c r="ES37" s="480"/>
      <c r="ET37" s="529"/>
      <c r="EU37" s="529"/>
      <c r="EV37" s="529"/>
      <c r="EW37" s="529"/>
      <c r="EX37" s="529"/>
      <c r="EY37" s="529"/>
      <c r="EZ37" s="529"/>
      <c r="FA37" s="529"/>
      <c r="FB37" s="529"/>
      <c r="FC37" s="529"/>
      <c r="FD37" s="529"/>
      <c r="FE37" s="529"/>
      <c r="FF37" s="529"/>
      <c r="FG37" s="529"/>
      <c r="FH37" s="529"/>
      <c r="FI37" s="529"/>
      <c r="FJ37" s="529"/>
      <c r="FK37" s="529"/>
      <c r="FL37" s="529"/>
      <c r="FM37" s="529"/>
      <c r="FN37" s="529"/>
      <c r="FO37" s="529"/>
      <c r="FP37" s="529"/>
      <c r="FQ37" s="529"/>
      <c r="FR37" s="529"/>
      <c r="FS37" s="529"/>
      <c r="FT37" s="529"/>
      <c r="FU37" s="529"/>
      <c r="FV37" s="529"/>
      <c r="FW37" s="529"/>
      <c r="FX37" s="529"/>
      <c r="FY37" s="529"/>
      <c r="FZ37" s="529"/>
      <c r="GA37" s="529"/>
      <c r="GB37" s="529"/>
      <c r="GC37" s="529"/>
      <c r="GD37" s="529"/>
      <c r="GE37" s="529"/>
      <c r="GF37" s="529"/>
      <c r="GG37" s="529"/>
      <c r="GH37" s="529"/>
      <c r="GI37" s="529"/>
      <c r="GJ37" s="529"/>
      <c r="GK37" s="529"/>
      <c r="GL37" s="529"/>
      <c r="GM37" s="529"/>
      <c r="GN37" s="529"/>
      <c r="GO37" s="529"/>
      <c r="GP37" s="529"/>
      <c r="GQ37" s="529"/>
      <c r="GR37" s="529"/>
      <c r="GS37" s="529"/>
      <c r="GT37" s="529"/>
      <c r="GU37" s="529"/>
      <c r="GV37" s="529"/>
      <c r="GW37" s="529"/>
      <c r="GX37" s="529"/>
      <c r="GY37" s="529"/>
      <c r="GZ37" s="529"/>
      <c r="HA37" s="529"/>
      <c r="HB37" s="529"/>
      <c r="HC37" s="529"/>
      <c r="HD37" s="529"/>
      <c r="HE37" s="529"/>
      <c r="HF37" s="529"/>
      <c r="HG37" s="529"/>
      <c r="HH37" s="529"/>
      <c r="HI37" s="529"/>
      <c r="HJ37" s="529"/>
      <c r="HK37" s="529"/>
      <c r="HL37" s="529"/>
      <c r="HM37" s="529"/>
      <c r="HN37" s="529"/>
      <c r="HO37" s="529"/>
      <c r="HP37" s="529"/>
      <c r="HQ37" s="529"/>
      <c r="HR37" s="529"/>
      <c r="HS37" s="529"/>
      <c r="HT37" s="529"/>
      <c r="HU37" s="529"/>
      <c r="HV37" s="529"/>
      <c r="HW37" s="529"/>
      <c r="HX37" s="529"/>
      <c r="HY37" s="529"/>
      <c r="HZ37" s="529"/>
      <c r="IA37" s="529"/>
      <c r="IB37" s="529"/>
      <c r="IC37" s="529"/>
      <c r="ID37" s="529"/>
      <c r="IE37" s="529"/>
      <c r="IF37" s="529"/>
      <c r="IG37" s="529"/>
      <c r="IH37" s="529"/>
      <c r="II37" s="529"/>
      <c r="IJ37" s="529"/>
      <c r="IK37" s="529"/>
      <c r="IL37" s="529"/>
      <c r="IM37" s="529"/>
      <c r="IN37" s="529"/>
    </row>
    <row r="38" spans="1:248" ht="11.25" customHeight="1">
      <c r="A38" s="1726"/>
      <c r="B38" s="1726"/>
      <c r="C38" s="1726"/>
      <c r="D38" s="1726"/>
      <c r="E38" s="1726"/>
      <c r="F38" s="1726"/>
      <c r="G38" s="1726"/>
      <c r="H38" s="1726"/>
      <c r="I38" s="1726"/>
      <c r="J38" s="1726"/>
      <c r="K38" s="1726"/>
      <c r="L38" s="1726"/>
      <c r="M38" s="1726"/>
      <c r="N38" s="1726"/>
      <c r="O38" s="1726"/>
      <c r="P38" s="1726"/>
      <c r="Q38" s="1726"/>
      <c r="R38" s="1726"/>
      <c r="S38" s="1726"/>
      <c r="T38" s="1726"/>
      <c r="U38" s="1726"/>
      <c r="V38" s="1726"/>
      <c r="W38" s="1726"/>
      <c r="X38" s="1726"/>
      <c r="Y38" s="1726"/>
      <c r="Z38" s="1726"/>
      <c r="AA38" s="1726"/>
      <c r="AB38" s="1726"/>
      <c r="AC38" s="1726"/>
      <c r="AD38" s="1726"/>
      <c r="AE38" s="1726"/>
      <c r="AF38" s="1726"/>
      <c r="AG38" s="480"/>
      <c r="AH38" s="480"/>
      <c r="AI38" s="480"/>
      <c r="AJ38" s="1726"/>
      <c r="AK38" s="1726"/>
      <c r="AL38" s="1726"/>
      <c r="AM38" s="1726"/>
      <c r="AN38" s="1726"/>
      <c r="AO38" s="1726"/>
      <c r="AP38" s="1726"/>
      <c r="AQ38" s="1726"/>
      <c r="AR38" s="1726"/>
      <c r="AS38" s="1726"/>
      <c r="AT38" s="1726"/>
      <c r="AU38" s="1726"/>
      <c r="AV38" s="1726"/>
      <c r="AW38" s="1726"/>
      <c r="AX38" s="1726"/>
      <c r="AY38" s="1726"/>
      <c r="AZ38" s="1726"/>
      <c r="BA38" s="1726"/>
      <c r="BB38" s="1726"/>
      <c r="BC38" s="1726"/>
      <c r="BD38" s="1726"/>
      <c r="BE38" s="480"/>
      <c r="BF38" s="480"/>
      <c r="BG38" s="480"/>
      <c r="BH38" s="1726"/>
      <c r="BI38" s="1726"/>
      <c r="BJ38" s="1726"/>
      <c r="BK38" s="1726"/>
      <c r="BL38" s="1726"/>
      <c r="BM38" s="1726"/>
      <c r="BN38" s="1726"/>
      <c r="BO38" s="1726"/>
      <c r="BP38" s="1726"/>
      <c r="BQ38" s="1726"/>
      <c r="BR38" s="1726"/>
      <c r="BS38" s="1726"/>
      <c r="BT38" s="1726"/>
      <c r="BU38" s="1726"/>
      <c r="BV38" s="1726"/>
      <c r="BW38" s="1726"/>
      <c r="BX38" s="1726"/>
      <c r="BY38" s="1726"/>
      <c r="BZ38" s="1726"/>
      <c r="CA38" s="1726"/>
      <c r="CB38" s="1726"/>
      <c r="CC38" s="1726"/>
      <c r="CD38" s="1726"/>
      <c r="CE38" s="1726"/>
      <c r="CF38" s="1726"/>
      <c r="CG38" s="1726"/>
      <c r="CH38" s="1726"/>
      <c r="CI38" s="480"/>
      <c r="CJ38" s="480"/>
      <c r="CK38" s="480"/>
      <c r="CL38" s="480"/>
      <c r="CM38" s="480"/>
      <c r="CN38" s="480"/>
      <c r="CO38" s="480"/>
      <c r="CP38" s="480"/>
      <c r="CQ38" s="480"/>
      <c r="CR38" s="480"/>
      <c r="CS38" s="480"/>
      <c r="CT38" s="480"/>
      <c r="CU38" s="480"/>
      <c r="CV38" s="480"/>
      <c r="CW38" s="480"/>
      <c r="CX38" s="480"/>
      <c r="CY38" s="480"/>
      <c r="CZ38" s="480"/>
      <c r="DA38" s="480"/>
      <c r="DB38" s="480"/>
      <c r="DC38" s="480"/>
      <c r="DD38" s="480"/>
      <c r="DE38" s="480"/>
      <c r="DF38" s="480"/>
      <c r="DG38" s="480"/>
      <c r="DH38" s="480"/>
      <c r="DI38" s="480"/>
      <c r="DJ38" s="480"/>
      <c r="DK38" s="480"/>
      <c r="DL38" s="480"/>
      <c r="DM38" s="480"/>
      <c r="DN38" s="480"/>
      <c r="DO38" s="480"/>
      <c r="DP38" s="480"/>
      <c r="DQ38" s="480"/>
      <c r="DR38" s="480"/>
      <c r="DS38" s="480"/>
      <c r="DT38" s="480"/>
      <c r="DU38" s="480"/>
      <c r="DV38" s="480"/>
      <c r="DW38" s="480"/>
      <c r="DX38" s="480"/>
      <c r="DY38" s="480"/>
      <c r="DZ38" s="480"/>
      <c r="EA38" s="480"/>
      <c r="EB38" s="480"/>
      <c r="EC38" s="480"/>
      <c r="ED38" s="480"/>
      <c r="EE38" s="480"/>
      <c r="EF38" s="480"/>
      <c r="EG38" s="480"/>
      <c r="EH38" s="480"/>
      <c r="EI38" s="480"/>
      <c r="EJ38" s="480"/>
      <c r="EK38" s="480"/>
      <c r="EL38" s="480"/>
      <c r="EM38" s="480"/>
      <c r="EN38" s="480"/>
      <c r="EO38" s="480"/>
      <c r="EP38" s="480"/>
      <c r="EQ38" s="480"/>
      <c r="ER38" s="480"/>
      <c r="ES38" s="480"/>
      <c r="ET38" s="529"/>
      <c r="EU38" s="529"/>
      <c r="EV38" s="529"/>
      <c r="EW38" s="529"/>
      <c r="EX38" s="529"/>
      <c r="EY38" s="529"/>
      <c r="EZ38" s="529"/>
      <c r="FA38" s="529"/>
      <c r="FB38" s="529"/>
      <c r="FC38" s="529"/>
      <c r="FD38" s="529"/>
      <c r="FE38" s="529"/>
      <c r="FF38" s="529"/>
      <c r="FG38" s="529"/>
      <c r="FH38" s="529"/>
      <c r="FI38" s="529"/>
      <c r="FJ38" s="529"/>
      <c r="FK38" s="529"/>
      <c r="FL38" s="529"/>
      <c r="FM38" s="529"/>
      <c r="FN38" s="529"/>
      <c r="FO38" s="529"/>
      <c r="FP38" s="529"/>
      <c r="FQ38" s="529"/>
      <c r="FR38" s="529"/>
      <c r="FS38" s="529"/>
      <c r="FT38" s="529"/>
      <c r="FU38" s="529"/>
      <c r="FV38" s="529"/>
      <c r="FW38" s="529"/>
      <c r="FX38" s="529"/>
      <c r="FY38" s="529"/>
      <c r="FZ38" s="529"/>
      <c r="GA38" s="529"/>
      <c r="GB38" s="529"/>
      <c r="GC38" s="529"/>
      <c r="GD38" s="529"/>
      <c r="GE38" s="529"/>
      <c r="GF38" s="529"/>
      <c r="GG38" s="529"/>
      <c r="GH38" s="529"/>
      <c r="GI38" s="529"/>
      <c r="GJ38" s="529"/>
      <c r="GK38" s="529"/>
      <c r="GL38" s="529"/>
      <c r="GM38" s="529"/>
      <c r="GN38" s="529"/>
      <c r="GO38" s="529"/>
      <c r="GP38" s="529"/>
      <c r="GQ38" s="529"/>
      <c r="GR38" s="529"/>
      <c r="GS38" s="529"/>
      <c r="GT38" s="529"/>
      <c r="GU38" s="529"/>
      <c r="GV38" s="529"/>
      <c r="GW38" s="529"/>
      <c r="GX38" s="529"/>
      <c r="GY38" s="529"/>
      <c r="GZ38" s="529"/>
      <c r="HA38" s="529"/>
      <c r="HB38" s="529"/>
      <c r="HC38" s="529"/>
      <c r="HD38" s="529"/>
      <c r="HE38" s="529"/>
      <c r="HF38" s="529"/>
      <c r="HG38" s="529"/>
      <c r="HH38" s="529"/>
      <c r="HI38" s="529"/>
      <c r="HJ38" s="529"/>
      <c r="HK38" s="529"/>
      <c r="HL38" s="529"/>
      <c r="HM38" s="529"/>
      <c r="HN38" s="529"/>
      <c r="HO38" s="529"/>
      <c r="HP38" s="529"/>
      <c r="HQ38" s="529"/>
      <c r="HR38" s="529"/>
      <c r="HS38" s="529"/>
      <c r="HT38" s="529"/>
      <c r="HU38" s="529"/>
      <c r="HV38" s="529"/>
      <c r="HW38" s="529"/>
      <c r="HX38" s="529"/>
      <c r="HY38" s="529"/>
      <c r="HZ38" s="529"/>
      <c r="IA38" s="529"/>
      <c r="IB38" s="529"/>
      <c r="IC38" s="529"/>
      <c r="ID38" s="529"/>
      <c r="IE38" s="529"/>
      <c r="IF38" s="529"/>
      <c r="IG38" s="529"/>
      <c r="IH38" s="529"/>
      <c r="II38" s="529"/>
      <c r="IJ38" s="529"/>
      <c r="IK38" s="529"/>
      <c r="IL38" s="529"/>
      <c r="IM38" s="529"/>
      <c r="IN38" s="529"/>
    </row>
    <row r="39" spans="1:248" ht="11.25" customHeight="1">
      <c r="A39" s="480"/>
      <c r="B39" s="480"/>
      <c r="C39" s="480"/>
      <c r="D39" s="480"/>
      <c r="E39" s="480"/>
      <c r="F39" s="480"/>
      <c r="G39" s="480"/>
      <c r="H39" s="480"/>
      <c r="I39" s="480"/>
      <c r="J39" s="480"/>
      <c r="K39" s="480"/>
      <c r="L39" s="480"/>
      <c r="M39" s="480"/>
      <c r="N39" s="480"/>
      <c r="O39" s="480"/>
      <c r="P39" s="480"/>
      <c r="Q39" s="480"/>
      <c r="R39" s="480"/>
      <c r="S39" s="480"/>
      <c r="T39" s="480"/>
      <c r="U39" s="480"/>
      <c r="V39" s="480"/>
      <c r="W39" s="480"/>
      <c r="X39" s="480"/>
      <c r="Y39" s="480"/>
      <c r="Z39" s="480"/>
      <c r="AA39" s="480"/>
      <c r="AB39" s="480"/>
      <c r="AC39" s="480"/>
      <c r="AD39" s="480"/>
      <c r="AE39" s="480"/>
      <c r="AF39" s="480"/>
      <c r="AG39" s="480"/>
      <c r="AH39" s="480"/>
      <c r="AI39" s="480"/>
      <c r="AJ39" s="480"/>
      <c r="AK39" s="480"/>
      <c r="AL39" s="480"/>
      <c r="AM39" s="480"/>
      <c r="AN39" s="480"/>
      <c r="AO39" s="480"/>
      <c r="AP39" s="480"/>
      <c r="AQ39" s="480"/>
      <c r="AR39" s="480"/>
      <c r="AS39" s="480"/>
      <c r="AT39" s="480"/>
      <c r="AU39" s="480"/>
      <c r="AV39" s="480"/>
      <c r="AW39" s="480"/>
      <c r="AX39" s="480"/>
      <c r="AY39" s="480"/>
      <c r="AZ39" s="480"/>
      <c r="BA39" s="480"/>
      <c r="BB39" s="480"/>
      <c r="BC39" s="480"/>
      <c r="BD39" s="480"/>
      <c r="BE39" s="480"/>
      <c r="BF39" s="480"/>
      <c r="BG39" s="480"/>
      <c r="BH39" s="480"/>
      <c r="BI39" s="480"/>
      <c r="BJ39" s="480"/>
      <c r="BK39" s="480"/>
      <c r="BL39" s="480"/>
      <c r="BM39" s="480"/>
      <c r="BN39" s="480"/>
      <c r="BO39" s="480"/>
      <c r="BP39" s="480"/>
      <c r="BQ39" s="480"/>
      <c r="BR39" s="480"/>
      <c r="BS39" s="480"/>
      <c r="BT39" s="480"/>
      <c r="BU39" s="480"/>
      <c r="BV39" s="480"/>
      <c r="BW39" s="480"/>
      <c r="BX39" s="480"/>
      <c r="BY39" s="480"/>
      <c r="BZ39" s="480"/>
      <c r="CA39" s="480"/>
      <c r="CB39" s="480"/>
      <c r="CC39" s="480"/>
      <c r="CD39" s="480"/>
      <c r="CE39" s="480"/>
      <c r="CF39" s="480"/>
      <c r="CG39" s="480"/>
      <c r="CH39" s="480"/>
      <c r="CI39" s="480"/>
      <c r="CJ39" s="480"/>
      <c r="CK39" s="480"/>
      <c r="CL39" s="480"/>
      <c r="CM39" s="480"/>
      <c r="CN39" s="480"/>
      <c r="CO39" s="480"/>
      <c r="CP39" s="480"/>
      <c r="CQ39" s="480"/>
      <c r="CR39" s="480"/>
      <c r="CS39" s="480"/>
      <c r="CT39" s="480"/>
      <c r="CU39" s="480"/>
      <c r="CV39" s="480"/>
      <c r="CW39" s="480"/>
      <c r="CX39" s="480"/>
      <c r="CY39" s="480"/>
      <c r="CZ39" s="480"/>
      <c r="DA39" s="480"/>
      <c r="DB39" s="480"/>
      <c r="DC39" s="480"/>
      <c r="DD39" s="480"/>
      <c r="DE39" s="480"/>
      <c r="DF39" s="480"/>
      <c r="DG39" s="480"/>
      <c r="DH39" s="480"/>
      <c r="DI39" s="480"/>
      <c r="DJ39" s="480"/>
      <c r="DK39" s="480"/>
      <c r="DL39" s="480"/>
      <c r="DM39" s="480"/>
      <c r="DN39" s="480"/>
      <c r="DO39" s="480"/>
      <c r="DP39" s="480"/>
      <c r="DQ39" s="480"/>
      <c r="DR39" s="480"/>
      <c r="DS39" s="480"/>
      <c r="DT39" s="480"/>
      <c r="DU39" s="480"/>
      <c r="DV39" s="480"/>
      <c r="DW39" s="480"/>
      <c r="DX39" s="480"/>
      <c r="DY39" s="480"/>
      <c r="DZ39" s="480"/>
      <c r="EA39" s="480"/>
      <c r="EB39" s="480"/>
      <c r="EC39" s="480"/>
      <c r="ED39" s="480"/>
      <c r="EE39" s="480"/>
      <c r="EF39" s="480"/>
      <c r="EG39" s="480"/>
      <c r="EH39" s="480"/>
      <c r="EI39" s="480"/>
      <c r="EJ39" s="480"/>
      <c r="EK39" s="480"/>
      <c r="EL39" s="480"/>
      <c r="EM39" s="480"/>
      <c r="EN39" s="480"/>
      <c r="EO39" s="480"/>
      <c r="EP39" s="480"/>
      <c r="EQ39" s="480"/>
      <c r="ER39" s="480"/>
      <c r="ES39" s="480"/>
      <c r="ET39" s="529"/>
      <c r="EU39" s="529"/>
      <c r="EV39" s="529"/>
      <c r="EW39" s="529"/>
      <c r="EX39" s="529"/>
      <c r="EY39" s="529"/>
      <c r="EZ39" s="529"/>
      <c r="FA39" s="529"/>
      <c r="FB39" s="529"/>
      <c r="FC39" s="529"/>
      <c r="FD39" s="529"/>
      <c r="FE39" s="529"/>
      <c r="FF39" s="529"/>
      <c r="FG39" s="529"/>
      <c r="FH39" s="529"/>
      <c r="FI39" s="529"/>
      <c r="FJ39" s="529"/>
      <c r="FK39" s="529"/>
      <c r="FL39" s="529"/>
      <c r="FM39" s="529"/>
      <c r="FN39" s="529"/>
      <c r="FO39" s="529"/>
      <c r="FP39" s="529"/>
      <c r="FQ39" s="529"/>
      <c r="FR39" s="529"/>
      <c r="FS39" s="529"/>
      <c r="FT39" s="529"/>
      <c r="FU39" s="529"/>
      <c r="FV39" s="529"/>
      <c r="FW39" s="529"/>
      <c r="FX39" s="529"/>
      <c r="FY39" s="529"/>
      <c r="FZ39" s="529"/>
      <c r="GA39" s="529"/>
      <c r="GB39" s="529"/>
      <c r="GC39" s="529"/>
      <c r="GD39" s="529"/>
      <c r="GE39" s="529"/>
      <c r="GF39" s="529"/>
      <c r="GG39" s="529"/>
      <c r="GH39" s="529"/>
      <c r="GI39" s="529"/>
      <c r="GJ39" s="529"/>
      <c r="GK39" s="529"/>
      <c r="GL39" s="529"/>
      <c r="GM39" s="529"/>
      <c r="GN39" s="529"/>
      <c r="GO39" s="529"/>
      <c r="GP39" s="529"/>
      <c r="GQ39" s="529"/>
      <c r="GR39" s="529"/>
      <c r="GS39" s="529"/>
      <c r="GT39" s="529"/>
      <c r="GU39" s="529"/>
      <c r="GV39" s="529"/>
      <c r="GW39" s="529"/>
      <c r="GX39" s="529"/>
      <c r="GY39" s="529"/>
      <c r="GZ39" s="529"/>
      <c r="HA39" s="529"/>
      <c r="HB39" s="529"/>
      <c r="HC39" s="529"/>
      <c r="HD39" s="529"/>
      <c r="HE39" s="529"/>
      <c r="HF39" s="529"/>
      <c r="HG39" s="529"/>
      <c r="HH39" s="529"/>
      <c r="HI39" s="529"/>
      <c r="HJ39" s="529"/>
      <c r="HK39" s="529"/>
      <c r="HL39" s="529"/>
      <c r="HM39" s="529"/>
      <c r="HN39" s="529"/>
      <c r="HO39" s="529"/>
      <c r="HP39" s="529"/>
      <c r="HQ39" s="529"/>
      <c r="HR39" s="529"/>
      <c r="HS39" s="529"/>
      <c r="HT39" s="529"/>
      <c r="HU39" s="529"/>
      <c r="HV39" s="529"/>
      <c r="HW39" s="529"/>
      <c r="HX39" s="529"/>
      <c r="HY39" s="529"/>
      <c r="HZ39" s="529"/>
      <c r="IA39" s="529"/>
      <c r="IB39" s="529"/>
      <c r="IC39" s="529"/>
      <c r="ID39" s="529"/>
      <c r="IE39" s="529"/>
      <c r="IF39" s="529"/>
      <c r="IG39" s="529"/>
      <c r="IH39" s="529"/>
      <c r="II39" s="529"/>
      <c r="IJ39" s="529"/>
      <c r="IK39" s="529"/>
      <c r="IL39" s="529"/>
      <c r="IM39" s="529"/>
      <c r="IN39" s="529"/>
    </row>
    <row r="40" spans="1:248" ht="11.25" customHeight="1">
      <c r="A40" s="480"/>
      <c r="B40" s="480"/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0"/>
      <c r="Z40" s="480"/>
      <c r="AA40" s="480"/>
      <c r="AB40" s="480"/>
      <c r="AC40" s="480"/>
      <c r="AD40" s="480"/>
      <c r="AE40" s="480"/>
      <c r="AF40" s="480"/>
      <c r="AG40" s="480"/>
      <c r="AH40" s="480"/>
      <c r="AI40" s="480"/>
      <c r="AJ40" s="480"/>
      <c r="AK40" s="480"/>
      <c r="AL40" s="480"/>
      <c r="AM40" s="480"/>
      <c r="AN40" s="480"/>
      <c r="AO40" s="480"/>
      <c r="AP40" s="480"/>
      <c r="AQ40" s="480"/>
      <c r="AR40" s="480"/>
      <c r="AS40" s="480"/>
      <c r="AT40" s="480"/>
      <c r="AU40" s="480"/>
      <c r="AV40" s="480"/>
      <c r="AW40" s="480"/>
      <c r="AX40" s="480"/>
      <c r="AY40" s="480"/>
      <c r="AZ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M40" s="480"/>
      <c r="BN40" s="480"/>
      <c r="BO40" s="480"/>
      <c r="BP40" s="480"/>
      <c r="BQ40" s="480"/>
      <c r="BR40" s="480"/>
      <c r="BS40" s="480"/>
      <c r="BT40" s="480"/>
      <c r="BU40" s="480"/>
      <c r="BV40" s="480"/>
      <c r="BW40" s="480"/>
      <c r="BX40" s="480"/>
      <c r="BY40" s="480"/>
      <c r="BZ40" s="480"/>
      <c r="CA40" s="480"/>
      <c r="CB40" s="480"/>
      <c r="CC40" s="480"/>
      <c r="CD40" s="480"/>
      <c r="CE40" s="480"/>
      <c r="CF40" s="480"/>
      <c r="CG40" s="480"/>
      <c r="CH40" s="480"/>
      <c r="CI40" s="480"/>
      <c r="CJ40" s="480"/>
      <c r="CK40" s="480"/>
      <c r="CL40" s="480"/>
      <c r="CM40" s="480"/>
      <c r="CN40" s="480"/>
      <c r="CO40" s="480"/>
      <c r="CP40" s="480"/>
      <c r="CQ40" s="480"/>
      <c r="CR40" s="480"/>
      <c r="CS40" s="480"/>
      <c r="CT40" s="480"/>
      <c r="CU40" s="480"/>
      <c r="CV40" s="480"/>
      <c r="CW40" s="480"/>
      <c r="CX40" s="480"/>
      <c r="CY40" s="480"/>
      <c r="CZ40" s="480"/>
      <c r="DA40" s="480"/>
      <c r="DB40" s="480"/>
      <c r="DC40" s="480"/>
      <c r="DD40" s="480"/>
      <c r="DE40" s="480"/>
      <c r="DF40" s="480"/>
      <c r="DG40" s="480"/>
      <c r="DH40" s="480"/>
      <c r="DI40" s="480"/>
      <c r="DJ40" s="480"/>
      <c r="DK40" s="480"/>
      <c r="DL40" s="480"/>
      <c r="DM40" s="480"/>
      <c r="DN40" s="480"/>
      <c r="DO40" s="480"/>
      <c r="DP40" s="480"/>
      <c r="DQ40" s="480"/>
      <c r="DR40" s="480"/>
      <c r="DS40" s="480"/>
      <c r="DT40" s="480"/>
      <c r="DU40" s="480"/>
      <c r="DV40" s="480"/>
      <c r="DW40" s="480"/>
      <c r="DX40" s="480"/>
      <c r="DY40" s="480"/>
      <c r="DZ40" s="480"/>
      <c r="EA40" s="480"/>
      <c r="EB40" s="480"/>
      <c r="EC40" s="480"/>
      <c r="ED40" s="480"/>
      <c r="EE40" s="480"/>
      <c r="EF40" s="480"/>
      <c r="EG40" s="480"/>
      <c r="EH40" s="480"/>
      <c r="EI40" s="480"/>
      <c r="EJ40" s="480"/>
      <c r="EK40" s="480"/>
      <c r="EL40" s="480"/>
      <c r="EM40" s="480"/>
      <c r="EN40" s="480"/>
      <c r="EO40" s="480"/>
      <c r="EP40" s="480"/>
      <c r="EQ40" s="480"/>
      <c r="ER40" s="480"/>
      <c r="ES40" s="480"/>
      <c r="ET40" s="529"/>
      <c r="EU40" s="529"/>
      <c r="EV40" s="529"/>
      <c r="EW40" s="529"/>
      <c r="EX40" s="529"/>
      <c r="EY40" s="529"/>
      <c r="EZ40" s="529"/>
      <c r="FA40" s="529"/>
      <c r="FB40" s="529"/>
      <c r="FC40" s="529"/>
      <c r="FD40" s="529"/>
      <c r="FE40" s="529"/>
      <c r="FF40" s="529"/>
      <c r="FG40" s="529"/>
      <c r="FH40" s="529"/>
      <c r="FI40" s="529"/>
      <c r="FJ40" s="529"/>
      <c r="FK40" s="529"/>
      <c r="FL40" s="529"/>
      <c r="FM40" s="529"/>
      <c r="FN40" s="529"/>
      <c r="FO40" s="529"/>
      <c r="FP40" s="529"/>
      <c r="FQ40" s="529"/>
      <c r="FR40" s="529"/>
      <c r="FS40" s="529"/>
      <c r="FT40" s="529"/>
      <c r="FU40" s="529"/>
      <c r="FV40" s="529"/>
      <c r="FW40" s="529"/>
      <c r="FX40" s="529"/>
      <c r="FY40" s="529"/>
      <c r="FZ40" s="529"/>
      <c r="GA40" s="529"/>
      <c r="GB40" s="529"/>
      <c r="GC40" s="529"/>
      <c r="GD40" s="529"/>
      <c r="GE40" s="529"/>
      <c r="GF40" s="529"/>
      <c r="GG40" s="529"/>
      <c r="GH40" s="529"/>
      <c r="GI40" s="529"/>
      <c r="GJ40" s="529"/>
      <c r="GK40" s="529"/>
      <c r="GL40" s="529"/>
      <c r="GM40" s="529"/>
      <c r="GN40" s="529"/>
      <c r="GO40" s="529"/>
      <c r="GP40" s="529"/>
      <c r="GQ40" s="529"/>
      <c r="GR40" s="529"/>
      <c r="GS40" s="529"/>
      <c r="GT40" s="529"/>
      <c r="GU40" s="529"/>
      <c r="GV40" s="529"/>
      <c r="GW40" s="529"/>
      <c r="GX40" s="529"/>
      <c r="GY40" s="529"/>
      <c r="GZ40" s="529"/>
      <c r="HA40" s="529"/>
      <c r="HB40" s="529"/>
      <c r="HC40" s="529"/>
      <c r="HD40" s="529"/>
      <c r="HE40" s="529"/>
      <c r="HF40" s="529"/>
      <c r="HG40" s="529"/>
      <c r="HH40" s="529"/>
      <c r="HI40" s="529"/>
      <c r="HJ40" s="529"/>
      <c r="HK40" s="529"/>
      <c r="HL40" s="529"/>
      <c r="HM40" s="529"/>
      <c r="HN40" s="529"/>
      <c r="HO40" s="529"/>
      <c r="HP40" s="529"/>
      <c r="HQ40" s="529"/>
      <c r="HR40" s="529"/>
      <c r="HS40" s="529"/>
      <c r="HT40" s="529"/>
      <c r="HU40" s="529"/>
      <c r="HV40" s="529"/>
      <c r="HW40" s="529"/>
      <c r="HX40" s="529"/>
      <c r="HY40" s="529"/>
      <c r="HZ40" s="529"/>
      <c r="IA40" s="529"/>
      <c r="IB40" s="529"/>
      <c r="IC40" s="529"/>
      <c r="ID40" s="529"/>
      <c r="IE40" s="529"/>
      <c r="IF40" s="529"/>
      <c r="IG40" s="529"/>
      <c r="IH40" s="529"/>
      <c r="II40" s="529"/>
      <c r="IJ40" s="529"/>
      <c r="IK40" s="529"/>
      <c r="IL40" s="529"/>
      <c r="IM40" s="529"/>
      <c r="IN40" s="529"/>
    </row>
    <row r="41" spans="1:248" ht="44.45" customHeight="1">
      <c r="A41" s="480"/>
      <c r="B41" s="480"/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0"/>
      <c r="Z41" s="480"/>
      <c r="AA41" s="480"/>
      <c r="AB41" s="480"/>
      <c r="AC41" s="480"/>
      <c r="AD41" s="480"/>
      <c r="AE41" s="480"/>
      <c r="AF41" s="480"/>
      <c r="AG41" s="480"/>
      <c r="AH41" s="480"/>
      <c r="AI41" s="480"/>
      <c r="AJ41" s="480"/>
      <c r="AK41" s="480"/>
      <c r="AL41" s="480"/>
      <c r="AM41" s="480"/>
      <c r="AN41" s="480"/>
      <c r="AO41" s="480"/>
      <c r="AP41" s="480"/>
      <c r="AQ41" s="480"/>
      <c r="AR41" s="480"/>
      <c r="AS41" s="480"/>
      <c r="AT41" s="480"/>
      <c r="AU41" s="480"/>
      <c r="AV41" s="480"/>
      <c r="AW41" s="480"/>
      <c r="AX41" s="480"/>
      <c r="AY41" s="480"/>
      <c r="AZ41" s="480"/>
      <c r="BA41" s="480"/>
      <c r="BB41" s="480"/>
      <c r="BC41" s="480"/>
      <c r="BD41" s="480"/>
      <c r="BE41" s="480"/>
      <c r="BF41" s="480"/>
      <c r="BG41" s="480"/>
      <c r="BH41" s="480"/>
      <c r="BI41" s="480"/>
      <c r="BJ41" s="480"/>
      <c r="BK41" s="480"/>
      <c r="BL41" s="480"/>
      <c r="BM41" s="480"/>
      <c r="BN41" s="480"/>
      <c r="BO41" s="480"/>
      <c r="BP41" s="480"/>
      <c r="BQ41" s="480"/>
      <c r="BR41" s="480"/>
      <c r="BS41" s="480"/>
      <c r="BT41" s="480"/>
      <c r="BU41" s="480"/>
      <c r="BV41" s="480"/>
      <c r="BW41" s="480"/>
      <c r="BX41" s="480"/>
      <c r="BY41" s="480"/>
      <c r="BZ41" s="480"/>
      <c r="CA41" s="480"/>
      <c r="CB41" s="480"/>
      <c r="CC41" s="480"/>
      <c r="CD41" s="480"/>
      <c r="CE41" s="480"/>
      <c r="CF41" s="480"/>
      <c r="CG41" s="480"/>
      <c r="CH41" s="480"/>
      <c r="CI41" s="480"/>
      <c r="CJ41" s="480"/>
      <c r="CK41" s="480"/>
      <c r="CL41" s="480"/>
      <c r="CM41" s="480"/>
      <c r="CN41" s="480"/>
      <c r="CO41" s="480"/>
      <c r="CP41" s="480"/>
      <c r="CQ41" s="480"/>
      <c r="CR41" s="480"/>
      <c r="CS41" s="480"/>
      <c r="CT41" s="480"/>
      <c r="CU41" s="480"/>
      <c r="CV41" s="480"/>
      <c r="CW41" s="480"/>
      <c r="CX41" s="480"/>
      <c r="CY41" s="480"/>
      <c r="CZ41" s="480"/>
      <c r="DA41" s="480"/>
      <c r="DB41" s="480"/>
      <c r="DC41" s="480"/>
      <c r="DD41" s="480"/>
      <c r="DE41" s="480"/>
      <c r="DF41" s="480"/>
      <c r="DG41" s="480"/>
      <c r="DH41" s="480"/>
      <c r="DI41" s="480"/>
      <c r="DJ41" s="480"/>
      <c r="DK41" s="480"/>
      <c r="DL41" s="480"/>
      <c r="DM41" s="480"/>
      <c r="DN41" s="480"/>
      <c r="DO41" s="480"/>
      <c r="DP41" s="480"/>
      <c r="DQ41" s="480"/>
      <c r="DR41" s="480"/>
      <c r="DS41" s="480"/>
      <c r="DT41" s="480"/>
      <c r="DU41" s="480"/>
      <c r="DV41" s="480"/>
      <c r="DW41" s="480"/>
      <c r="DX41" s="480"/>
      <c r="DY41" s="480"/>
      <c r="DZ41" s="480"/>
      <c r="EA41" s="480"/>
      <c r="EB41" s="480"/>
      <c r="EC41" s="480"/>
      <c r="ED41" s="480"/>
      <c r="EE41" s="480"/>
      <c r="EF41" s="480"/>
      <c r="EG41" s="480"/>
      <c r="EH41" s="480"/>
      <c r="EI41" s="480"/>
      <c r="EJ41" s="480"/>
      <c r="EK41" s="480"/>
      <c r="EL41" s="480"/>
      <c r="EM41" s="480"/>
      <c r="EN41" s="480"/>
      <c r="EO41" s="480"/>
      <c r="EP41" s="480"/>
      <c r="EQ41" s="480"/>
      <c r="ER41" s="480"/>
      <c r="ES41" s="480"/>
      <c r="ET41" s="529"/>
      <c r="EU41" s="529"/>
      <c r="EV41" s="529"/>
      <c r="EW41" s="529"/>
      <c r="EX41" s="529"/>
      <c r="EY41" s="529"/>
      <c r="EZ41" s="529"/>
      <c r="FA41" s="529"/>
      <c r="FB41" s="529"/>
      <c r="FC41" s="529"/>
      <c r="FD41" s="529"/>
      <c r="FE41" s="529"/>
      <c r="FF41" s="529"/>
      <c r="FG41" s="529"/>
      <c r="FH41" s="529"/>
      <c r="FI41" s="529"/>
      <c r="FJ41" s="529"/>
      <c r="FK41" s="529"/>
      <c r="FL41" s="529"/>
      <c r="FM41" s="529"/>
      <c r="FN41" s="529"/>
      <c r="FO41" s="529"/>
      <c r="FP41" s="529"/>
      <c r="FQ41" s="529"/>
      <c r="FR41" s="529"/>
      <c r="FS41" s="529"/>
      <c r="FT41" s="529"/>
      <c r="FU41" s="529"/>
      <c r="FV41" s="529"/>
      <c r="FW41" s="529"/>
      <c r="FX41" s="529"/>
      <c r="FY41" s="529"/>
      <c r="FZ41" s="529"/>
      <c r="GA41" s="529"/>
      <c r="GB41" s="529"/>
      <c r="GC41" s="529"/>
      <c r="GD41" s="529"/>
      <c r="GE41" s="529"/>
      <c r="GF41" s="529"/>
      <c r="GG41" s="529"/>
      <c r="GH41" s="529"/>
      <c r="GI41" s="529"/>
      <c r="GJ41" s="529"/>
      <c r="GK41" s="529"/>
      <c r="GL41" s="529"/>
      <c r="GM41" s="529"/>
      <c r="GN41" s="529"/>
      <c r="GO41" s="529"/>
      <c r="GP41" s="529"/>
      <c r="GQ41" s="529"/>
      <c r="GR41" s="529"/>
      <c r="GS41" s="529"/>
      <c r="GT41" s="529"/>
      <c r="GU41" s="529"/>
      <c r="GV41" s="529"/>
      <c r="GW41" s="529"/>
      <c r="GX41" s="529"/>
      <c r="GY41" s="529"/>
      <c r="GZ41" s="529"/>
      <c r="HA41" s="529"/>
      <c r="HB41" s="529"/>
      <c r="HC41" s="529"/>
      <c r="HD41" s="529"/>
      <c r="HE41" s="529"/>
      <c r="HF41" s="529"/>
      <c r="HG41" s="529"/>
      <c r="HH41" s="529"/>
      <c r="HI41" s="529"/>
      <c r="HJ41" s="529"/>
      <c r="HK41" s="529"/>
      <c r="HL41" s="529"/>
      <c r="HM41" s="529"/>
      <c r="HN41" s="529"/>
      <c r="HO41" s="529"/>
      <c r="HP41" s="529"/>
      <c r="HQ41" s="529"/>
      <c r="HR41" s="529"/>
      <c r="HS41" s="529"/>
      <c r="HT41" s="529"/>
      <c r="HU41" s="529"/>
      <c r="HV41" s="529"/>
      <c r="HW41" s="529"/>
      <c r="HX41" s="529"/>
      <c r="HY41" s="529"/>
      <c r="HZ41" s="529"/>
      <c r="IA41" s="529"/>
      <c r="IB41" s="529"/>
      <c r="IC41" s="529"/>
      <c r="ID41" s="529"/>
      <c r="IE41" s="529"/>
      <c r="IF41" s="529"/>
      <c r="IG41" s="529"/>
      <c r="IH41" s="529"/>
      <c r="II41" s="529"/>
      <c r="IJ41" s="529"/>
      <c r="IK41" s="529"/>
      <c r="IL41" s="529"/>
      <c r="IM41" s="529"/>
      <c r="IN41" s="529"/>
    </row>
    <row r="42" spans="1:248" ht="11.25" customHeight="1">
      <c r="A42" s="480"/>
      <c r="B42" s="480"/>
      <c r="C42" s="480"/>
      <c r="D42" s="480"/>
      <c r="E42" s="480"/>
      <c r="F42" s="480"/>
      <c r="G42" s="480"/>
      <c r="H42" s="480"/>
      <c r="I42" s="480"/>
      <c r="J42" s="480"/>
      <c r="K42" s="480"/>
      <c r="L42" s="480"/>
      <c r="M42" s="480"/>
      <c r="N42" s="480"/>
      <c r="O42" s="480"/>
      <c r="P42" s="480"/>
      <c r="Q42" s="480"/>
      <c r="R42" s="480"/>
      <c r="S42" s="480"/>
      <c r="T42" s="480"/>
      <c r="U42" s="480"/>
      <c r="V42" s="480"/>
      <c r="W42" s="480"/>
      <c r="X42" s="480"/>
      <c r="Y42" s="480"/>
      <c r="Z42" s="480"/>
      <c r="AA42" s="480"/>
      <c r="AB42" s="480"/>
      <c r="AC42" s="480"/>
      <c r="AD42" s="480"/>
      <c r="AE42" s="480"/>
      <c r="AF42" s="480"/>
      <c r="AG42" s="480"/>
      <c r="AH42" s="480"/>
      <c r="AI42" s="480"/>
      <c r="AJ42" s="480"/>
      <c r="AK42" s="480"/>
      <c r="AL42" s="480"/>
      <c r="AM42" s="480"/>
      <c r="AN42" s="480"/>
      <c r="AO42" s="480"/>
      <c r="AP42" s="480"/>
      <c r="AQ42" s="480"/>
      <c r="AR42" s="480"/>
      <c r="AS42" s="480"/>
      <c r="AT42" s="480"/>
      <c r="AU42" s="480"/>
      <c r="AV42" s="480"/>
      <c r="AW42" s="480"/>
      <c r="AX42" s="480"/>
      <c r="AY42" s="480"/>
      <c r="AZ42" s="480"/>
      <c r="BA42" s="480"/>
      <c r="BB42" s="480"/>
      <c r="BC42" s="480"/>
      <c r="BD42" s="480"/>
      <c r="BE42" s="480"/>
      <c r="BF42" s="480"/>
      <c r="BG42" s="480"/>
      <c r="BH42" s="480"/>
      <c r="BI42" s="480"/>
      <c r="BJ42" s="480"/>
      <c r="BK42" s="480"/>
      <c r="BL42" s="480"/>
      <c r="BM42" s="480"/>
      <c r="BN42" s="480"/>
      <c r="BO42" s="480"/>
      <c r="BP42" s="480"/>
      <c r="BQ42" s="480"/>
      <c r="BR42" s="480"/>
      <c r="BS42" s="480"/>
      <c r="BT42" s="480"/>
      <c r="BU42" s="480"/>
      <c r="BV42" s="480"/>
      <c r="BW42" s="480"/>
      <c r="BX42" s="480"/>
      <c r="BY42" s="480"/>
      <c r="BZ42" s="480"/>
      <c r="CA42" s="480"/>
      <c r="CB42" s="480"/>
      <c r="CC42" s="480"/>
      <c r="CD42" s="480"/>
      <c r="CE42" s="480"/>
      <c r="CF42" s="480"/>
      <c r="CG42" s="480"/>
      <c r="CH42" s="480"/>
      <c r="CI42" s="480"/>
      <c r="CJ42" s="480"/>
      <c r="CK42" s="480"/>
      <c r="CL42" s="480"/>
      <c r="CM42" s="480"/>
      <c r="CN42" s="480"/>
      <c r="CO42" s="480"/>
      <c r="CP42" s="480"/>
      <c r="CQ42" s="480"/>
      <c r="CR42" s="480"/>
      <c r="CS42" s="480"/>
      <c r="CT42" s="480"/>
      <c r="CU42" s="480"/>
      <c r="CV42" s="480"/>
      <c r="CW42" s="480"/>
      <c r="CX42" s="480"/>
      <c r="CY42" s="480"/>
      <c r="CZ42" s="480"/>
      <c r="DA42" s="480"/>
      <c r="DB42" s="480"/>
      <c r="DC42" s="480"/>
      <c r="DD42" s="480"/>
      <c r="DE42" s="480"/>
      <c r="DF42" s="480"/>
      <c r="DG42" s="480"/>
      <c r="DH42" s="480"/>
      <c r="DI42" s="480"/>
      <c r="DJ42" s="480"/>
      <c r="DK42" s="480"/>
      <c r="DL42" s="480"/>
      <c r="DM42" s="480"/>
      <c r="DN42" s="480"/>
      <c r="DO42" s="480"/>
      <c r="DP42" s="480"/>
      <c r="DQ42" s="480"/>
      <c r="DR42" s="480"/>
      <c r="DS42" s="480"/>
      <c r="DT42" s="480"/>
      <c r="DU42" s="480"/>
      <c r="DV42" s="480"/>
      <c r="DW42" s="480"/>
      <c r="DX42" s="480"/>
      <c r="DY42" s="480"/>
      <c r="DZ42" s="480"/>
      <c r="EA42" s="480"/>
      <c r="EB42" s="480"/>
      <c r="EC42" s="480"/>
      <c r="ED42" s="480"/>
      <c r="EE42" s="480"/>
      <c r="EF42" s="480"/>
      <c r="EG42" s="480"/>
      <c r="EH42" s="480"/>
      <c r="EI42" s="480"/>
      <c r="EJ42" s="480"/>
      <c r="EK42" s="480"/>
      <c r="EL42" s="480"/>
      <c r="EM42" s="480"/>
      <c r="EN42" s="480"/>
      <c r="EO42" s="480"/>
      <c r="EP42" s="480"/>
      <c r="EQ42" s="480"/>
      <c r="ER42" s="480"/>
      <c r="ES42" s="480"/>
      <c r="ET42" s="529"/>
      <c r="EU42" s="529"/>
      <c r="EV42" s="529"/>
      <c r="EW42" s="529"/>
      <c r="EX42" s="529"/>
      <c r="EY42" s="529"/>
      <c r="EZ42" s="529"/>
      <c r="FA42" s="529"/>
      <c r="FB42" s="529"/>
      <c r="FC42" s="529"/>
      <c r="FD42" s="529"/>
      <c r="FE42" s="529"/>
      <c r="FF42" s="529"/>
      <c r="FG42" s="529"/>
      <c r="FH42" s="529"/>
      <c r="FI42" s="529"/>
      <c r="FJ42" s="529"/>
      <c r="FK42" s="529"/>
      <c r="FL42" s="529"/>
      <c r="FM42" s="529"/>
      <c r="FN42" s="529"/>
      <c r="FO42" s="529"/>
      <c r="FP42" s="529"/>
      <c r="FQ42" s="529"/>
      <c r="FR42" s="529"/>
      <c r="FS42" s="529"/>
      <c r="FT42" s="529"/>
      <c r="FU42" s="529"/>
      <c r="FV42" s="529"/>
      <c r="FW42" s="529"/>
      <c r="FX42" s="529"/>
      <c r="FY42" s="529"/>
      <c r="FZ42" s="529"/>
      <c r="GA42" s="529"/>
      <c r="GB42" s="529"/>
      <c r="GC42" s="529"/>
      <c r="GD42" s="529"/>
      <c r="GE42" s="529"/>
      <c r="GF42" s="529"/>
      <c r="GG42" s="529"/>
      <c r="GH42" s="529"/>
      <c r="GI42" s="529"/>
      <c r="GJ42" s="529"/>
      <c r="GK42" s="529"/>
      <c r="GL42" s="529"/>
      <c r="GM42" s="529"/>
      <c r="GN42" s="529"/>
      <c r="GO42" s="529"/>
      <c r="GP42" s="529"/>
      <c r="GQ42" s="529"/>
      <c r="GR42" s="529"/>
      <c r="GS42" s="529"/>
      <c r="GT42" s="529"/>
      <c r="GU42" s="529"/>
      <c r="GV42" s="529"/>
      <c r="GW42" s="529"/>
      <c r="GX42" s="529"/>
      <c r="GY42" s="529"/>
      <c r="GZ42" s="529"/>
      <c r="HA42" s="529"/>
      <c r="HB42" s="529"/>
      <c r="HC42" s="529"/>
      <c r="HD42" s="529"/>
      <c r="HE42" s="529"/>
      <c r="HF42" s="529"/>
      <c r="HG42" s="529"/>
      <c r="HH42" s="529"/>
      <c r="HI42" s="529"/>
      <c r="HJ42" s="529"/>
      <c r="HK42" s="529"/>
      <c r="HL42" s="529"/>
      <c r="HM42" s="529"/>
      <c r="HN42" s="529"/>
      <c r="HO42" s="529"/>
      <c r="HP42" s="529"/>
      <c r="HQ42" s="529"/>
      <c r="HR42" s="529"/>
      <c r="HS42" s="529"/>
      <c r="HT42" s="529"/>
      <c r="HU42" s="529"/>
      <c r="HV42" s="529"/>
      <c r="HW42" s="529"/>
      <c r="HX42" s="529"/>
      <c r="HY42" s="529"/>
      <c r="HZ42" s="529"/>
      <c r="IA42" s="529"/>
      <c r="IB42" s="529"/>
      <c r="IC42" s="529"/>
      <c r="ID42" s="529"/>
      <c r="IE42" s="529"/>
      <c r="IF42" s="529"/>
      <c r="IG42" s="529"/>
      <c r="IH42" s="529"/>
      <c r="II42" s="529"/>
      <c r="IJ42" s="529"/>
      <c r="IK42" s="529"/>
      <c r="IL42" s="529"/>
      <c r="IM42" s="529"/>
      <c r="IN42" s="529"/>
    </row>
    <row r="43" spans="1:248" ht="11.25" customHeight="1">
      <c r="A43" s="480"/>
      <c r="B43" s="480"/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0"/>
      <c r="Z43" s="480"/>
      <c r="AA43" s="480"/>
      <c r="AB43" s="480"/>
      <c r="AC43" s="480"/>
      <c r="AD43" s="480"/>
      <c r="AE43" s="480"/>
      <c r="AF43" s="480"/>
      <c r="AG43" s="480"/>
      <c r="AH43" s="480"/>
      <c r="AI43" s="480"/>
      <c r="AJ43" s="480"/>
      <c r="AK43" s="480"/>
      <c r="AL43" s="480"/>
      <c r="AM43" s="480"/>
      <c r="AN43" s="480"/>
      <c r="AO43" s="480"/>
      <c r="AP43" s="480"/>
      <c r="AQ43" s="480"/>
      <c r="AR43" s="480"/>
      <c r="AS43" s="480"/>
      <c r="AT43" s="480"/>
      <c r="AU43" s="480"/>
      <c r="AV43" s="480"/>
      <c r="AW43" s="480"/>
      <c r="AX43" s="480"/>
      <c r="AY43" s="480"/>
      <c r="AZ43" s="480"/>
      <c r="BA43" s="480"/>
      <c r="BB43" s="480"/>
      <c r="BC43" s="480"/>
      <c r="BD43" s="480"/>
      <c r="BE43" s="480"/>
      <c r="BF43" s="480"/>
      <c r="BG43" s="480"/>
      <c r="BH43" s="480"/>
      <c r="BI43" s="480"/>
      <c r="BJ43" s="480"/>
      <c r="BK43" s="480"/>
      <c r="BL43" s="480"/>
      <c r="BM43" s="480"/>
      <c r="BN43" s="480"/>
      <c r="BO43" s="480"/>
      <c r="BP43" s="480"/>
      <c r="BQ43" s="480"/>
      <c r="BR43" s="480"/>
      <c r="BS43" s="480"/>
      <c r="BT43" s="480"/>
      <c r="BU43" s="480"/>
      <c r="BV43" s="480"/>
      <c r="BW43" s="480"/>
      <c r="BX43" s="480"/>
      <c r="BY43" s="480"/>
      <c r="BZ43" s="480"/>
      <c r="CA43" s="480"/>
      <c r="CB43" s="480"/>
      <c r="CC43" s="480"/>
      <c r="CD43" s="480"/>
      <c r="CE43" s="480"/>
      <c r="CF43" s="480"/>
      <c r="CG43" s="480"/>
      <c r="CH43" s="480"/>
      <c r="CI43" s="480"/>
      <c r="CJ43" s="480"/>
      <c r="CK43" s="480"/>
      <c r="CL43" s="480"/>
      <c r="CM43" s="480"/>
      <c r="CN43" s="480"/>
      <c r="CO43" s="480"/>
      <c r="CP43" s="480"/>
      <c r="CQ43" s="480"/>
      <c r="CR43" s="480"/>
      <c r="CS43" s="480"/>
      <c r="CT43" s="480"/>
      <c r="CU43" s="480"/>
      <c r="CV43" s="480"/>
      <c r="CW43" s="480"/>
      <c r="CX43" s="480"/>
      <c r="CY43" s="480"/>
      <c r="CZ43" s="480"/>
      <c r="DA43" s="480"/>
      <c r="DB43" s="480"/>
      <c r="DC43" s="480"/>
      <c r="DD43" s="480"/>
      <c r="DE43" s="480"/>
      <c r="DF43" s="480"/>
      <c r="DG43" s="480"/>
      <c r="DH43" s="480"/>
      <c r="DI43" s="480"/>
      <c r="DJ43" s="480"/>
      <c r="DK43" s="480"/>
      <c r="DL43" s="480"/>
      <c r="DM43" s="480"/>
      <c r="DN43" s="480"/>
      <c r="DO43" s="480"/>
      <c r="DP43" s="480"/>
      <c r="DQ43" s="480"/>
      <c r="DR43" s="480"/>
      <c r="DS43" s="480"/>
      <c r="DT43" s="480"/>
      <c r="DU43" s="480"/>
      <c r="DV43" s="480"/>
      <c r="DW43" s="480"/>
      <c r="DX43" s="480"/>
      <c r="DY43" s="480"/>
      <c r="DZ43" s="480"/>
      <c r="EA43" s="480"/>
      <c r="EB43" s="480"/>
      <c r="EC43" s="480"/>
      <c r="ED43" s="480"/>
      <c r="EE43" s="480"/>
      <c r="EF43" s="480"/>
      <c r="EG43" s="480"/>
      <c r="EH43" s="480"/>
      <c r="EI43" s="480"/>
      <c r="EJ43" s="480"/>
      <c r="EK43" s="480"/>
      <c r="EL43" s="480"/>
      <c r="EM43" s="480"/>
      <c r="EN43" s="480"/>
      <c r="EO43" s="480"/>
      <c r="EP43" s="480"/>
      <c r="EQ43" s="480"/>
      <c r="ER43" s="480"/>
      <c r="ES43" s="480"/>
      <c r="ET43" s="529"/>
      <c r="EU43" s="529"/>
      <c r="EV43" s="529"/>
      <c r="EW43" s="529"/>
      <c r="EX43" s="529"/>
      <c r="EY43" s="529"/>
      <c r="EZ43" s="529"/>
      <c r="FA43" s="529"/>
      <c r="FB43" s="529"/>
      <c r="FC43" s="529"/>
      <c r="FD43" s="529"/>
      <c r="FE43" s="529"/>
      <c r="FF43" s="529"/>
      <c r="FG43" s="529"/>
      <c r="FH43" s="529"/>
      <c r="FI43" s="529"/>
      <c r="FJ43" s="529"/>
      <c r="FK43" s="529"/>
      <c r="FL43" s="529"/>
      <c r="FM43" s="529"/>
      <c r="FN43" s="529"/>
      <c r="FO43" s="529"/>
      <c r="FP43" s="529"/>
      <c r="FQ43" s="529"/>
      <c r="FR43" s="529"/>
      <c r="FS43" s="529"/>
      <c r="FT43" s="529"/>
      <c r="FU43" s="529"/>
      <c r="FV43" s="529"/>
      <c r="FW43" s="529"/>
      <c r="FX43" s="529"/>
      <c r="FY43" s="529"/>
      <c r="FZ43" s="529"/>
      <c r="GA43" s="529"/>
      <c r="GB43" s="529"/>
      <c r="GC43" s="529"/>
      <c r="GD43" s="529"/>
      <c r="GE43" s="529"/>
      <c r="GF43" s="529"/>
      <c r="GG43" s="529"/>
      <c r="GH43" s="529"/>
      <c r="GI43" s="529"/>
      <c r="GJ43" s="529"/>
      <c r="GK43" s="529"/>
      <c r="GL43" s="529"/>
      <c r="GM43" s="529"/>
      <c r="GN43" s="529"/>
      <c r="GO43" s="529"/>
      <c r="GP43" s="529"/>
      <c r="GQ43" s="529"/>
      <c r="GR43" s="529"/>
      <c r="GS43" s="529"/>
      <c r="GT43" s="529"/>
      <c r="GU43" s="529"/>
      <c r="GV43" s="529"/>
      <c r="GW43" s="529"/>
      <c r="GX43" s="529"/>
      <c r="GY43" s="529"/>
      <c r="GZ43" s="529"/>
      <c r="HA43" s="529"/>
      <c r="HB43" s="529"/>
      <c r="HC43" s="529"/>
      <c r="HD43" s="529"/>
      <c r="HE43" s="529"/>
      <c r="HF43" s="529"/>
      <c r="HG43" s="529"/>
      <c r="HH43" s="529"/>
      <c r="HI43" s="529"/>
      <c r="HJ43" s="529"/>
      <c r="HK43" s="529"/>
      <c r="HL43" s="529"/>
      <c r="HM43" s="529"/>
      <c r="HN43" s="529"/>
      <c r="HO43" s="529"/>
      <c r="HP43" s="529"/>
      <c r="HQ43" s="529"/>
      <c r="HR43" s="529"/>
      <c r="HS43" s="529"/>
      <c r="HT43" s="529"/>
      <c r="HU43" s="529"/>
      <c r="HV43" s="529"/>
      <c r="HW43" s="529"/>
      <c r="HX43" s="529"/>
      <c r="HY43" s="529"/>
      <c r="HZ43" s="529"/>
      <c r="IA43" s="529"/>
      <c r="IB43" s="529"/>
      <c r="IC43" s="529"/>
      <c r="ID43" s="529"/>
      <c r="IE43" s="529"/>
      <c r="IF43" s="529"/>
      <c r="IG43" s="529"/>
      <c r="IH43" s="529"/>
      <c r="II43" s="529"/>
      <c r="IJ43" s="529"/>
      <c r="IK43" s="529"/>
      <c r="IL43" s="529"/>
      <c r="IM43" s="529"/>
      <c r="IN43" s="529"/>
    </row>
    <row r="44" spans="1:248" ht="24" customHeight="1">
      <c r="A44" s="1782" t="s">
        <v>283</v>
      </c>
      <c r="B44" s="1783"/>
      <c r="C44" s="1783"/>
      <c r="D44" s="1783"/>
      <c r="E44" s="1783"/>
      <c r="F44" s="1783"/>
      <c r="G44" s="1783"/>
      <c r="H44" s="1783"/>
      <c r="I44" s="1783"/>
      <c r="J44" s="1784"/>
      <c r="K44" s="1791" t="s">
        <v>388</v>
      </c>
      <c r="L44" s="1725"/>
      <c r="M44" s="1725"/>
      <c r="N44" s="1725"/>
      <c r="O44" s="1725"/>
      <c r="P44" s="1725"/>
      <c r="Q44" s="1725"/>
      <c r="R44" s="1725"/>
      <c r="S44" s="1725"/>
      <c r="T44" s="1725"/>
      <c r="U44" s="1725"/>
      <c r="V44" s="1725"/>
      <c r="W44" s="1725"/>
      <c r="X44" s="1725"/>
      <c r="Y44" s="1725"/>
      <c r="Z44" s="1725"/>
      <c r="AA44" s="1725"/>
      <c r="AB44" s="1725"/>
      <c r="AC44" s="1725"/>
      <c r="AD44" s="1725"/>
      <c r="AE44" s="1725"/>
      <c r="AF44" s="1725"/>
      <c r="AG44" s="1725"/>
      <c r="AH44" s="1725"/>
      <c r="AI44" s="1725"/>
      <c r="AJ44" s="1725"/>
      <c r="AK44" s="1725"/>
      <c r="AL44" s="1725"/>
      <c r="AM44" s="1725"/>
      <c r="AN44" s="1725"/>
      <c r="AO44" s="1725"/>
      <c r="AP44" s="1725"/>
      <c r="AQ44" s="1725"/>
      <c r="AR44" s="1725"/>
      <c r="AS44" s="1725"/>
      <c r="AT44" s="1725"/>
      <c r="AU44" s="1782" t="s">
        <v>284</v>
      </c>
      <c r="AV44" s="1783"/>
      <c r="AW44" s="1783"/>
      <c r="AX44" s="1783"/>
      <c r="AY44" s="1783"/>
      <c r="AZ44" s="1783"/>
      <c r="BA44" s="1783"/>
      <c r="BB44" s="1783"/>
      <c r="BC44" s="1783"/>
      <c r="BD44" s="1783"/>
      <c r="BE44" s="1783"/>
      <c r="BF44" s="1784"/>
      <c r="BG44" s="1791" t="s">
        <v>285</v>
      </c>
      <c r="BH44" s="1725"/>
      <c r="BI44" s="1725"/>
      <c r="BJ44" s="1725"/>
      <c r="BK44" s="1725"/>
      <c r="BL44" s="1725"/>
      <c r="BM44" s="1725"/>
      <c r="BN44" s="1725"/>
      <c r="BO44" s="1725"/>
      <c r="BP44" s="1725"/>
      <c r="BQ44" s="1725"/>
      <c r="BR44" s="1725"/>
      <c r="BS44" s="1725"/>
      <c r="BT44" s="1725"/>
      <c r="BU44" s="1725"/>
      <c r="BV44" s="1725"/>
      <c r="BW44" s="1725"/>
      <c r="BX44" s="1725"/>
      <c r="BY44" s="1725"/>
      <c r="BZ44" s="1725"/>
      <c r="CA44" s="1725"/>
      <c r="CB44" s="1725"/>
      <c r="CC44" s="1725"/>
      <c r="CD44" s="1725"/>
      <c r="CE44" s="1725"/>
      <c r="CF44" s="1725"/>
      <c r="CG44" s="1725"/>
      <c r="CH44" s="1725"/>
      <c r="CI44" s="1725"/>
      <c r="CJ44" s="1725"/>
      <c r="CK44" s="1725"/>
      <c r="CL44" s="1725"/>
      <c r="CM44" s="1725"/>
      <c r="CN44" s="1725"/>
      <c r="CO44" s="1725"/>
      <c r="CP44" s="1725"/>
      <c r="CQ44" s="1725"/>
      <c r="CR44" s="1725"/>
      <c r="CS44" s="1725"/>
      <c r="CT44" s="1725"/>
      <c r="CU44" s="1725"/>
      <c r="CV44" s="1725"/>
      <c r="CW44" s="1725"/>
      <c r="CX44" s="1725"/>
      <c r="CY44" s="1725"/>
      <c r="CZ44" s="1725"/>
      <c r="DA44" s="1725"/>
      <c r="DB44" s="1725"/>
      <c r="DC44" s="1725"/>
      <c r="DD44" s="1725"/>
      <c r="DE44" s="1725"/>
      <c r="DF44" s="1725"/>
      <c r="DG44" s="1725"/>
      <c r="DH44" s="1725"/>
      <c r="DI44" s="1725"/>
      <c r="DJ44" s="1725"/>
      <c r="DK44" s="1725"/>
      <c r="DL44" s="1725"/>
      <c r="DM44" s="1725"/>
      <c r="DN44" s="1725"/>
      <c r="DO44" s="1725"/>
      <c r="DP44" s="1725"/>
      <c r="DQ44" s="1725"/>
      <c r="DR44" s="1725"/>
      <c r="DS44" s="1725"/>
      <c r="DT44" s="1725"/>
      <c r="DU44" s="1725"/>
      <c r="DV44" s="1725"/>
      <c r="DW44" s="1725"/>
      <c r="DX44" s="1725"/>
      <c r="DY44" s="1725"/>
      <c r="DZ44" s="1725"/>
      <c r="EA44" s="1725"/>
      <c r="EB44" s="1725"/>
      <c r="EC44" s="1725"/>
      <c r="ED44" s="1725"/>
      <c r="EE44" s="1725"/>
      <c r="EF44" s="1725"/>
      <c r="EG44" s="1725"/>
      <c r="EH44" s="1725"/>
      <c r="EI44" s="1725"/>
      <c r="EJ44" s="1725"/>
      <c r="EK44" s="1725"/>
      <c r="EL44" s="1725"/>
      <c r="EM44" s="1725"/>
      <c r="EN44" s="1725"/>
      <c r="EO44" s="1725"/>
      <c r="EP44" s="1725"/>
      <c r="EQ44" s="1725"/>
      <c r="ER44" s="1725"/>
      <c r="ES44" s="1725"/>
      <c r="ET44" s="1776" t="s">
        <v>389</v>
      </c>
      <c r="EU44" s="1777"/>
      <c r="EV44" s="1777"/>
      <c r="EW44" s="1777"/>
      <c r="EX44" s="1778"/>
      <c r="EY44" s="1779" t="s">
        <v>154</v>
      </c>
      <c r="EZ44" s="1780"/>
      <c r="FA44" s="1780"/>
      <c r="FB44" s="1780"/>
      <c r="FC44" s="1780"/>
      <c r="FD44" s="1780"/>
      <c r="FE44" s="1780"/>
      <c r="FF44" s="1780"/>
      <c r="FG44" s="1780"/>
      <c r="FH44" s="1780"/>
      <c r="FI44" s="1780"/>
      <c r="FJ44" s="1780"/>
      <c r="FK44" s="1780"/>
      <c r="FL44" s="1780"/>
      <c r="FM44" s="1780"/>
      <c r="FN44" s="1780"/>
      <c r="FO44" s="1780"/>
      <c r="FP44" s="1780"/>
      <c r="FQ44" s="1780"/>
      <c r="FR44" s="1780"/>
      <c r="FS44" s="1780"/>
      <c r="FT44" s="1780"/>
      <c r="FU44" s="1780"/>
      <c r="FV44" s="1780"/>
      <c r="FW44" s="1780"/>
      <c r="FX44" s="1780"/>
      <c r="FY44" s="1780"/>
      <c r="FZ44" s="1780"/>
      <c r="GA44" s="1780"/>
      <c r="GB44" s="1780"/>
      <c r="GC44" s="1780"/>
      <c r="GD44" s="1780"/>
      <c r="GE44" s="1780"/>
      <c r="GF44" s="1780"/>
      <c r="GG44" s="1780"/>
      <c r="GH44" s="1780"/>
      <c r="GI44" s="1780"/>
      <c r="GJ44" s="1780"/>
      <c r="GK44" s="1780"/>
      <c r="GL44" s="1780"/>
      <c r="GM44" s="1780"/>
      <c r="GN44" s="1780"/>
      <c r="GO44" s="1780"/>
      <c r="GP44" s="1780"/>
      <c r="GQ44" s="1780"/>
      <c r="GR44" s="1780"/>
      <c r="GS44" s="1780"/>
      <c r="GT44" s="1780"/>
      <c r="GU44" s="1780"/>
      <c r="GV44" s="1780"/>
      <c r="GW44" s="1780"/>
      <c r="GX44" s="1780"/>
      <c r="GY44" s="1780"/>
      <c r="GZ44" s="1780"/>
      <c r="HA44" s="1780"/>
      <c r="HB44" s="1780"/>
      <c r="HC44" s="1780"/>
      <c r="HD44" s="1780"/>
      <c r="HE44" s="1780"/>
      <c r="HF44" s="1780"/>
      <c r="HG44" s="1780"/>
      <c r="HH44" s="1780"/>
      <c r="HI44" s="1780"/>
      <c r="HJ44" s="1780"/>
      <c r="HK44" s="1780"/>
      <c r="HL44" s="1780"/>
      <c r="HM44" s="1780"/>
      <c r="HN44" s="1780"/>
      <c r="HO44" s="1780"/>
      <c r="HP44" s="1780"/>
      <c r="HQ44" s="1780"/>
      <c r="HR44" s="1780"/>
      <c r="HS44" s="1780"/>
      <c r="HT44" s="1780"/>
      <c r="HU44" s="1780"/>
      <c r="HV44" s="1780"/>
      <c r="HW44" s="1780"/>
      <c r="HX44" s="1780"/>
      <c r="HY44" s="1780"/>
      <c r="HZ44" s="1780"/>
      <c r="IA44" s="1780"/>
      <c r="IB44" s="1780"/>
      <c r="IC44" s="1780"/>
      <c r="ID44" s="1780"/>
      <c r="IE44" s="1780"/>
      <c r="IF44" s="1780"/>
      <c r="IG44" s="1780"/>
      <c r="IH44" s="1780"/>
      <c r="II44" s="1780"/>
      <c r="IJ44" s="1780"/>
      <c r="IK44" s="1780"/>
      <c r="IL44" s="1780"/>
      <c r="IM44" s="1780"/>
      <c r="IN44" s="1781"/>
    </row>
    <row r="45" spans="1:248" ht="15" customHeight="1">
      <c r="A45" s="1788"/>
      <c r="B45" s="1789"/>
      <c r="C45" s="1789"/>
      <c r="D45" s="1789"/>
      <c r="E45" s="1789"/>
      <c r="F45" s="1789"/>
      <c r="G45" s="1789"/>
      <c r="H45" s="1789"/>
      <c r="I45" s="1789"/>
      <c r="J45" s="1790"/>
      <c r="K45" s="1782" t="s">
        <v>8</v>
      </c>
      <c r="L45" s="1783"/>
      <c r="M45" s="1783"/>
      <c r="N45" s="1783"/>
      <c r="O45" s="1783"/>
      <c r="P45" s="1783"/>
      <c r="Q45" s="1783"/>
      <c r="R45" s="1783"/>
      <c r="S45" s="1783"/>
      <c r="T45" s="1783"/>
      <c r="U45" s="1783"/>
      <c r="V45" s="1783"/>
      <c r="W45" s="1783"/>
      <c r="X45" s="1783"/>
      <c r="Y45" s="1783"/>
      <c r="Z45" s="1783"/>
      <c r="AA45" s="1783"/>
      <c r="AB45" s="1783"/>
      <c r="AC45" s="1783"/>
      <c r="AD45" s="1783"/>
      <c r="AE45" s="1783"/>
      <c r="AF45" s="1784"/>
      <c r="AG45" s="1782" t="s">
        <v>7</v>
      </c>
      <c r="AH45" s="1783"/>
      <c r="AI45" s="1783"/>
      <c r="AJ45" s="1783"/>
      <c r="AK45" s="1783"/>
      <c r="AL45" s="1783"/>
      <c r="AM45" s="1783"/>
      <c r="AN45" s="1783"/>
      <c r="AO45" s="1783"/>
      <c r="AP45" s="1783"/>
      <c r="AQ45" s="1783"/>
      <c r="AR45" s="1783"/>
      <c r="AS45" s="1783"/>
      <c r="AT45" s="1784"/>
      <c r="AU45" s="1788"/>
      <c r="AV45" s="1789"/>
      <c r="AW45" s="1789"/>
      <c r="AX45" s="1789"/>
      <c r="AY45" s="1789"/>
      <c r="AZ45" s="1789"/>
      <c r="BA45" s="1789"/>
      <c r="BB45" s="1789"/>
      <c r="BC45" s="1789"/>
      <c r="BD45" s="1789"/>
      <c r="BE45" s="1789"/>
      <c r="BF45" s="1790"/>
      <c r="BG45" s="1782" t="s">
        <v>357</v>
      </c>
      <c r="BH45" s="1783"/>
      <c r="BI45" s="1783"/>
      <c r="BJ45" s="1783"/>
      <c r="BK45" s="1783"/>
      <c r="BL45" s="1783"/>
      <c r="BM45" s="1783"/>
      <c r="BN45" s="1783"/>
      <c r="BO45" s="1783"/>
      <c r="BP45" s="1783"/>
      <c r="BQ45" s="1783"/>
      <c r="BR45" s="1783"/>
      <c r="BS45" s="1783"/>
      <c r="BT45" s="1783"/>
      <c r="BU45" s="1783"/>
      <c r="BV45" s="1783"/>
      <c r="BW45" s="1783"/>
      <c r="BX45" s="1784"/>
      <c r="BY45" s="1782" t="s">
        <v>358</v>
      </c>
      <c r="BZ45" s="1783"/>
      <c r="CA45" s="1783"/>
      <c r="CB45" s="1783"/>
      <c r="CC45" s="1783"/>
      <c r="CD45" s="1783"/>
      <c r="CE45" s="1783"/>
      <c r="CF45" s="1783"/>
      <c r="CG45" s="1783"/>
      <c r="CH45" s="1783"/>
      <c r="CI45" s="1783"/>
      <c r="CJ45" s="1783"/>
      <c r="CK45" s="1783"/>
      <c r="CL45" s="1783"/>
      <c r="CM45" s="1783"/>
      <c r="CN45" s="1783"/>
      <c r="CO45" s="1783"/>
      <c r="CP45" s="1784"/>
      <c r="CQ45" s="1782" t="s">
        <v>393</v>
      </c>
      <c r="CR45" s="1783"/>
      <c r="CS45" s="1783"/>
      <c r="CT45" s="1783"/>
      <c r="CU45" s="1783"/>
      <c r="CV45" s="1783"/>
      <c r="CW45" s="1783"/>
      <c r="CX45" s="1783"/>
      <c r="CY45" s="1783"/>
      <c r="CZ45" s="1783"/>
      <c r="DA45" s="1783"/>
      <c r="DB45" s="1783"/>
      <c r="DC45" s="1783"/>
      <c r="DD45" s="1783"/>
      <c r="DE45" s="1783"/>
      <c r="DF45" s="1783"/>
      <c r="DG45" s="1783"/>
      <c r="DH45" s="1784"/>
      <c r="DI45" s="1782" t="s">
        <v>18</v>
      </c>
      <c r="DJ45" s="1783"/>
      <c r="DK45" s="1783"/>
      <c r="DL45" s="1783"/>
      <c r="DM45" s="1783"/>
      <c r="DN45" s="1783"/>
      <c r="DO45" s="1783"/>
      <c r="DP45" s="1783"/>
      <c r="DQ45" s="1783"/>
      <c r="DR45" s="1783"/>
      <c r="DS45" s="1783"/>
      <c r="DT45" s="1783"/>
      <c r="DU45" s="1783"/>
      <c r="DV45" s="1783"/>
      <c r="DW45" s="1783"/>
      <c r="DX45" s="1783"/>
      <c r="DY45" s="1783"/>
      <c r="DZ45" s="1784"/>
      <c r="EA45" s="1782" t="s">
        <v>187</v>
      </c>
      <c r="EB45" s="1783"/>
      <c r="EC45" s="1783"/>
      <c r="ED45" s="1783"/>
      <c r="EE45" s="1783"/>
      <c r="EF45" s="1783"/>
      <c r="EG45" s="1783"/>
      <c r="EH45" s="1783"/>
      <c r="EI45" s="1783"/>
      <c r="EJ45" s="1783"/>
      <c r="EK45" s="1783"/>
      <c r="EL45" s="1783"/>
      <c r="EM45" s="1783"/>
      <c r="EN45" s="1783"/>
      <c r="EO45" s="1783"/>
      <c r="EP45" s="1783"/>
      <c r="EQ45" s="1783"/>
      <c r="ER45" s="1783"/>
      <c r="ES45" s="1784"/>
      <c r="ET45" s="1802" t="s">
        <v>357</v>
      </c>
      <c r="EU45" s="1802" t="s">
        <v>358</v>
      </c>
      <c r="EV45" s="492" t="s">
        <v>393</v>
      </c>
      <c r="EW45" s="1802" t="s">
        <v>18</v>
      </c>
      <c r="EX45" s="492" t="s">
        <v>394</v>
      </c>
      <c r="EY45" s="1791" t="s">
        <v>163</v>
      </c>
      <c r="EZ45" s="1725"/>
      <c r="FA45" s="1725"/>
      <c r="FB45" s="1725"/>
      <c r="FC45" s="1725"/>
      <c r="FD45" s="1725"/>
      <c r="FE45" s="1725"/>
      <c r="FF45" s="1725"/>
      <c r="FG45" s="1725"/>
      <c r="FH45" s="1725"/>
      <c r="FI45" s="1725"/>
      <c r="FJ45" s="1725"/>
      <c r="FK45" s="1725"/>
      <c r="FL45" s="1725"/>
      <c r="FM45" s="1725"/>
      <c r="FN45" s="1725"/>
      <c r="FO45" s="1725"/>
      <c r="FP45" s="1725"/>
      <c r="FQ45" s="1725"/>
      <c r="FR45" s="1725"/>
      <c r="FS45" s="1725"/>
      <c r="FT45" s="1725"/>
      <c r="FU45" s="1725"/>
      <c r="FV45" s="1725"/>
      <c r="FW45" s="1725"/>
      <c r="FX45" s="1725"/>
      <c r="FY45" s="1725"/>
      <c r="FZ45" s="1725"/>
      <c r="GA45" s="1725"/>
      <c r="GB45" s="1725"/>
      <c r="GC45" s="1725"/>
      <c r="GD45" s="1725"/>
      <c r="GE45" s="1725"/>
      <c r="GF45" s="1725"/>
      <c r="GG45" s="1725"/>
      <c r="GH45" s="1725"/>
      <c r="GI45" s="1725"/>
      <c r="GJ45" s="1725"/>
      <c r="GK45" s="1725"/>
      <c r="GL45" s="1725"/>
      <c r="GM45" s="1725"/>
      <c r="GN45" s="1725"/>
      <c r="GO45" s="1725"/>
      <c r="GP45" s="1725"/>
      <c r="GQ45" s="1725"/>
      <c r="GR45" s="1725"/>
      <c r="GS45" s="1725"/>
      <c r="GT45" s="1791" t="s">
        <v>164</v>
      </c>
      <c r="GU45" s="1725"/>
      <c r="GV45" s="1725"/>
      <c r="GW45" s="1725"/>
      <c r="GX45" s="1725"/>
      <c r="GY45" s="1725"/>
      <c r="GZ45" s="1725"/>
      <c r="HA45" s="1725"/>
      <c r="HB45" s="1725"/>
      <c r="HC45" s="1725"/>
      <c r="HD45" s="1725"/>
      <c r="HE45" s="1725"/>
      <c r="HF45" s="1725"/>
      <c r="HG45" s="1725"/>
      <c r="HH45" s="1725"/>
      <c r="HI45" s="1725"/>
      <c r="HJ45" s="1725"/>
      <c r="HK45" s="1725"/>
      <c r="HL45" s="1725"/>
      <c r="HM45" s="1725"/>
      <c r="HN45" s="1725"/>
      <c r="HO45" s="1725"/>
      <c r="HP45" s="1725"/>
      <c r="HQ45" s="1725"/>
      <c r="HR45" s="1725"/>
      <c r="HS45" s="1725"/>
      <c r="HT45" s="1725"/>
      <c r="HU45" s="1725"/>
      <c r="HV45" s="1725"/>
      <c r="HW45" s="1725"/>
      <c r="HX45" s="1725"/>
      <c r="HY45" s="1725"/>
      <c r="HZ45" s="1725"/>
      <c r="IA45" s="1725"/>
      <c r="IB45" s="1725"/>
      <c r="IC45" s="1725"/>
      <c r="ID45" s="1725"/>
      <c r="IE45" s="1725"/>
      <c r="IF45" s="1725"/>
      <c r="IG45" s="1725"/>
      <c r="IH45" s="1725"/>
      <c r="II45" s="1725"/>
      <c r="IJ45" s="1725"/>
      <c r="IK45" s="1725"/>
      <c r="IL45" s="1725"/>
      <c r="IM45" s="1725"/>
      <c r="IN45" s="1725"/>
    </row>
    <row r="46" spans="1:248" ht="15" customHeight="1">
      <c r="A46" s="1785"/>
      <c r="B46" s="1786"/>
      <c r="C46" s="1786"/>
      <c r="D46" s="1786"/>
      <c r="E46" s="1786"/>
      <c r="F46" s="1786"/>
      <c r="G46" s="1786"/>
      <c r="H46" s="1786"/>
      <c r="I46" s="1786"/>
      <c r="J46" s="1787"/>
      <c r="K46" s="1785"/>
      <c r="L46" s="1786"/>
      <c r="M46" s="1786"/>
      <c r="N46" s="1786"/>
      <c r="O46" s="1786"/>
      <c r="P46" s="1786"/>
      <c r="Q46" s="1786"/>
      <c r="R46" s="1786"/>
      <c r="S46" s="1786"/>
      <c r="T46" s="1786"/>
      <c r="U46" s="1786"/>
      <c r="V46" s="1786"/>
      <c r="W46" s="1786"/>
      <c r="X46" s="1786"/>
      <c r="Y46" s="1786"/>
      <c r="Z46" s="1786"/>
      <c r="AA46" s="1786"/>
      <c r="AB46" s="1786"/>
      <c r="AC46" s="1786"/>
      <c r="AD46" s="1786"/>
      <c r="AE46" s="1786"/>
      <c r="AF46" s="1787"/>
      <c r="AG46" s="1785"/>
      <c r="AH46" s="1786"/>
      <c r="AI46" s="1786"/>
      <c r="AJ46" s="1786"/>
      <c r="AK46" s="1786"/>
      <c r="AL46" s="1786"/>
      <c r="AM46" s="1786"/>
      <c r="AN46" s="1786"/>
      <c r="AO46" s="1786"/>
      <c r="AP46" s="1786"/>
      <c r="AQ46" s="1786"/>
      <c r="AR46" s="1786"/>
      <c r="AS46" s="1786"/>
      <c r="AT46" s="1787"/>
      <c r="AU46" s="1785"/>
      <c r="AV46" s="1786"/>
      <c r="AW46" s="1786"/>
      <c r="AX46" s="1786"/>
      <c r="AY46" s="1786"/>
      <c r="AZ46" s="1786"/>
      <c r="BA46" s="1786"/>
      <c r="BB46" s="1786"/>
      <c r="BC46" s="1786"/>
      <c r="BD46" s="1786"/>
      <c r="BE46" s="1786"/>
      <c r="BF46" s="1787"/>
      <c r="BG46" s="1785"/>
      <c r="BH46" s="1786"/>
      <c r="BI46" s="1786"/>
      <c r="BJ46" s="1786"/>
      <c r="BK46" s="1786"/>
      <c r="BL46" s="1786"/>
      <c r="BM46" s="1786"/>
      <c r="BN46" s="1786"/>
      <c r="BO46" s="1786"/>
      <c r="BP46" s="1786"/>
      <c r="BQ46" s="1786"/>
      <c r="BR46" s="1786"/>
      <c r="BS46" s="1786"/>
      <c r="BT46" s="1786"/>
      <c r="BU46" s="1786"/>
      <c r="BV46" s="1786"/>
      <c r="BW46" s="1786"/>
      <c r="BX46" s="1787"/>
      <c r="BY46" s="1785"/>
      <c r="BZ46" s="1786"/>
      <c r="CA46" s="1786"/>
      <c r="CB46" s="1786"/>
      <c r="CC46" s="1786"/>
      <c r="CD46" s="1786"/>
      <c r="CE46" s="1786"/>
      <c r="CF46" s="1786"/>
      <c r="CG46" s="1786"/>
      <c r="CH46" s="1786"/>
      <c r="CI46" s="1786"/>
      <c r="CJ46" s="1786"/>
      <c r="CK46" s="1786"/>
      <c r="CL46" s="1786"/>
      <c r="CM46" s="1786"/>
      <c r="CN46" s="1786"/>
      <c r="CO46" s="1786"/>
      <c r="CP46" s="1787"/>
      <c r="CQ46" s="1792" t="s">
        <v>886</v>
      </c>
      <c r="CR46" s="1793"/>
      <c r="CS46" s="1793"/>
      <c r="CT46" s="1793"/>
      <c r="CU46" s="1793"/>
      <c r="CV46" s="1793"/>
      <c r="CW46" s="1793"/>
      <c r="CX46" s="1793"/>
      <c r="CY46" s="1793"/>
      <c r="CZ46" s="1793"/>
      <c r="DA46" s="1793"/>
      <c r="DB46" s="1793"/>
      <c r="DC46" s="1793"/>
      <c r="DD46" s="1793"/>
      <c r="DE46" s="1793"/>
      <c r="DF46" s="1793"/>
      <c r="DG46" s="1793"/>
      <c r="DH46" s="1794"/>
      <c r="DI46" s="1785"/>
      <c r="DJ46" s="1786"/>
      <c r="DK46" s="1786"/>
      <c r="DL46" s="1786"/>
      <c r="DM46" s="1786"/>
      <c r="DN46" s="1786"/>
      <c r="DO46" s="1786"/>
      <c r="DP46" s="1786"/>
      <c r="DQ46" s="1786"/>
      <c r="DR46" s="1786"/>
      <c r="DS46" s="1786"/>
      <c r="DT46" s="1786"/>
      <c r="DU46" s="1786"/>
      <c r="DV46" s="1786"/>
      <c r="DW46" s="1786"/>
      <c r="DX46" s="1786"/>
      <c r="DY46" s="1786"/>
      <c r="DZ46" s="1787"/>
      <c r="EA46" s="1792" t="str">
        <f>CQ46</f>
        <v>руб РБ</v>
      </c>
      <c r="EB46" s="1793"/>
      <c r="EC46" s="1793"/>
      <c r="ED46" s="1793"/>
      <c r="EE46" s="1793"/>
      <c r="EF46" s="1793"/>
      <c r="EG46" s="1793"/>
      <c r="EH46" s="1793"/>
      <c r="EI46" s="1793"/>
      <c r="EJ46" s="1793"/>
      <c r="EK46" s="1793"/>
      <c r="EL46" s="1793"/>
      <c r="EM46" s="1793"/>
      <c r="EN46" s="1793"/>
      <c r="EO46" s="1793"/>
      <c r="EP46" s="1793"/>
      <c r="EQ46" s="1793"/>
      <c r="ER46" s="1793"/>
      <c r="ES46" s="1794"/>
      <c r="ET46" s="1802"/>
      <c r="EU46" s="1802"/>
      <c r="EV46" s="530" t="str">
        <f>CQ46</f>
        <v>руб РБ</v>
      </c>
      <c r="EW46" s="1802"/>
      <c r="EX46" s="530" t="str">
        <f>CQ46</f>
        <v>руб РБ</v>
      </c>
      <c r="EY46" s="1791" t="s">
        <v>357</v>
      </c>
      <c r="EZ46" s="1725"/>
      <c r="FA46" s="1725"/>
      <c r="FB46" s="1725"/>
      <c r="FC46" s="1725"/>
      <c r="FD46" s="1725"/>
      <c r="FE46" s="1725"/>
      <c r="FF46" s="1725"/>
      <c r="FG46" s="1725"/>
      <c r="FH46" s="1725"/>
      <c r="FI46" s="1725"/>
      <c r="FJ46" s="1791" t="s">
        <v>358</v>
      </c>
      <c r="FK46" s="1725"/>
      <c r="FL46" s="1725"/>
      <c r="FM46" s="1725"/>
      <c r="FN46" s="1725"/>
      <c r="FO46" s="1725"/>
      <c r="FP46" s="1725"/>
      <c r="FQ46" s="1725"/>
      <c r="FR46" s="1725"/>
      <c r="FS46" s="1725"/>
      <c r="FT46" s="1725"/>
      <c r="FU46" s="1725"/>
      <c r="FV46" s="1791" t="s">
        <v>18</v>
      </c>
      <c r="FW46" s="1725"/>
      <c r="FX46" s="1725"/>
      <c r="FY46" s="1725"/>
      <c r="FZ46" s="1725"/>
      <c r="GA46" s="1725"/>
      <c r="GB46" s="1725"/>
      <c r="GC46" s="1725"/>
      <c r="GD46" s="1725"/>
      <c r="GE46" s="1725"/>
      <c r="GF46" s="1725"/>
      <c r="GG46" s="1725"/>
      <c r="GH46" s="1795" t="s">
        <v>394</v>
      </c>
      <c r="GI46" s="1796"/>
      <c r="GJ46" s="1796"/>
      <c r="GK46" s="1796"/>
      <c r="GL46" s="1796"/>
      <c r="GM46" s="1796"/>
      <c r="GN46" s="1796"/>
      <c r="GO46" s="1797" t="str">
        <f>CQ46</f>
        <v>руб РБ</v>
      </c>
      <c r="GP46" s="1797"/>
      <c r="GQ46" s="1797"/>
      <c r="GR46" s="1797"/>
      <c r="GS46" s="1798"/>
      <c r="GT46" s="1799" t="s">
        <v>357</v>
      </c>
      <c r="GU46" s="1800"/>
      <c r="GV46" s="1800"/>
      <c r="GW46" s="1800"/>
      <c r="GX46" s="1800"/>
      <c r="GY46" s="1800"/>
      <c r="GZ46" s="1800"/>
      <c r="HA46" s="1800"/>
      <c r="HB46" s="1800"/>
      <c r="HC46" s="1800"/>
      <c r="HD46" s="1800"/>
      <c r="HE46" s="1801"/>
      <c r="HF46" s="1791" t="s">
        <v>358</v>
      </c>
      <c r="HG46" s="1725"/>
      <c r="HH46" s="1725"/>
      <c r="HI46" s="1725"/>
      <c r="HJ46" s="1725"/>
      <c r="HK46" s="1725"/>
      <c r="HL46" s="1725"/>
      <c r="HM46" s="1725"/>
      <c r="HN46" s="1725"/>
      <c r="HO46" s="1725"/>
      <c r="HP46" s="1725"/>
      <c r="HQ46" s="1725"/>
      <c r="HR46" s="1791" t="s">
        <v>18</v>
      </c>
      <c r="HS46" s="1725"/>
      <c r="HT46" s="1725"/>
      <c r="HU46" s="1725"/>
      <c r="HV46" s="1725"/>
      <c r="HW46" s="1725"/>
      <c r="HX46" s="1725"/>
      <c r="HY46" s="1725"/>
      <c r="HZ46" s="1725"/>
      <c r="IA46" s="1725"/>
      <c r="IB46" s="1725"/>
      <c r="IC46" s="1725"/>
      <c r="ID46" s="1795" t="s">
        <v>394</v>
      </c>
      <c r="IE46" s="1796"/>
      <c r="IF46" s="1796"/>
      <c r="IG46" s="1796"/>
      <c r="IH46" s="1796"/>
      <c r="II46" s="1796"/>
      <c r="IJ46" s="1796"/>
      <c r="IK46" s="1803" t="str">
        <f>CQ46</f>
        <v>руб РБ</v>
      </c>
      <c r="IL46" s="1803"/>
      <c r="IM46" s="1803"/>
      <c r="IN46" s="1804"/>
    </row>
    <row r="47" spans="1:248" ht="12.75">
      <c r="A47" s="1725">
        <v>1</v>
      </c>
      <c r="B47" s="1725"/>
      <c r="C47" s="1725"/>
      <c r="D47" s="1725"/>
      <c r="E47" s="1725"/>
      <c r="F47" s="1725"/>
      <c r="G47" s="1725"/>
      <c r="H47" s="1725"/>
      <c r="I47" s="1725"/>
      <c r="J47" s="1725"/>
      <c r="K47" s="1725">
        <v>2</v>
      </c>
      <c r="L47" s="1725"/>
      <c r="M47" s="1725"/>
      <c r="N47" s="1725"/>
      <c r="O47" s="1725"/>
      <c r="P47" s="1725"/>
      <c r="Q47" s="1725"/>
      <c r="R47" s="1725"/>
      <c r="S47" s="1725"/>
      <c r="T47" s="1725"/>
      <c r="U47" s="1725"/>
      <c r="V47" s="1725"/>
      <c r="W47" s="1725"/>
      <c r="X47" s="1725"/>
      <c r="Y47" s="1725"/>
      <c r="Z47" s="1725"/>
      <c r="AA47" s="1725"/>
      <c r="AB47" s="1725"/>
      <c r="AC47" s="1725"/>
      <c r="AD47" s="1725"/>
      <c r="AE47" s="1725"/>
      <c r="AF47" s="1725"/>
      <c r="AG47" s="1725">
        <v>3</v>
      </c>
      <c r="AH47" s="1725"/>
      <c r="AI47" s="1725"/>
      <c r="AJ47" s="1725"/>
      <c r="AK47" s="1725"/>
      <c r="AL47" s="1725"/>
      <c r="AM47" s="1725"/>
      <c r="AN47" s="1725"/>
      <c r="AO47" s="1725"/>
      <c r="AP47" s="1725"/>
      <c r="AQ47" s="1725"/>
      <c r="AR47" s="1725"/>
      <c r="AS47" s="1725"/>
      <c r="AT47" s="1725"/>
      <c r="AU47" s="1725">
        <v>4</v>
      </c>
      <c r="AV47" s="1725"/>
      <c r="AW47" s="1725"/>
      <c r="AX47" s="1725"/>
      <c r="AY47" s="1725"/>
      <c r="AZ47" s="1725"/>
      <c r="BA47" s="1725"/>
      <c r="BB47" s="1725"/>
      <c r="BC47" s="1725"/>
      <c r="BD47" s="1725"/>
      <c r="BE47" s="1725"/>
      <c r="BF47" s="1725"/>
      <c r="BG47" s="1725">
        <v>5</v>
      </c>
      <c r="BH47" s="1725"/>
      <c r="BI47" s="1725"/>
      <c r="BJ47" s="1725"/>
      <c r="BK47" s="1725"/>
      <c r="BL47" s="1725"/>
      <c r="BM47" s="1725"/>
      <c r="BN47" s="1725"/>
      <c r="BO47" s="1725"/>
      <c r="BP47" s="1725"/>
      <c r="BQ47" s="1725"/>
      <c r="BR47" s="1725"/>
      <c r="BS47" s="1725"/>
      <c r="BT47" s="1725"/>
      <c r="BU47" s="1725"/>
      <c r="BV47" s="1725"/>
      <c r="BW47" s="1725"/>
      <c r="BX47" s="1725"/>
      <c r="BY47" s="1725">
        <v>6</v>
      </c>
      <c r="BZ47" s="1725"/>
      <c r="CA47" s="1725"/>
      <c r="CB47" s="1725"/>
      <c r="CC47" s="1725"/>
      <c r="CD47" s="1725"/>
      <c r="CE47" s="1725"/>
      <c r="CF47" s="1725"/>
      <c r="CG47" s="1725"/>
      <c r="CH47" s="1725"/>
      <c r="CI47" s="1725"/>
      <c r="CJ47" s="1725"/>
      <c r="CK47" s="1725"/>
      <c r="CL47" s="1725"/>
      <c r="CM47" s="1725"/>
      <c r="CN47" s="1725"/>
      <c r="CO47" s="1725"/>
      <c r="CP47" s="1725"/>
      <c r="CQ47" s="1725">
        <v>7</v>
      </c>
      <c r="CR47" s="1725"/>
      <c r="CS47" s="1725"/>
      <c r="CT47" s="1725"/>
      <c r="CU47" s="1725"/>
      <c r="CV47" s="1725"/>
      <c r="CW47" s="1725"/>
      <c r="CX47" s="1725"/>
      <c r="CY47" s="1725"/>
      <c r="CZ47" s="1725"/>
      <c r="DA47" s="1725"/>
      <c r="DB47" s="1725"/>
      <c r="DC47" s="1725"/>
      <c r="DD47" s="1725"/>
      <c r="DE47" s="1725"/>
      <c r="DF47" s="1725"/>
      <c r="DG47" s="1725"/>
      <c r="DH47" s="1725"/>
      <c r="DI47" s="1725">
        <v>8</v>
      </c>
      <c r="DJ47" s="1725"/>
      <c r="DK47" s="1725"/>
      <c r="DL47" s="1725"/>
      <c r="DM47" s="1725"/>
      <c r="DN47" s="1725"/>
      <c r="DO47" s="1725"/>
      <c r="DP47" s="1725"/>
      <c r="DQ47" s="1725"/>
      <c r="DR47" s="1725"/>
      <c r="DS47" s="1725"/>
      <c r="DT47" s="1725"/>
      <c r="DU47" s="1725"/>
      <c r="DV47" s="1725"/>
      <c r="DW47" s="1725"/>
      <c r="DX47" s="1725"/>
      <c r="DY47" s="1725"/>
      <c r="DZ47" s="1725"/>
      <c r="EA47" s="1725">
        <v>9</v>
      </c>
      <c r="EB47" s="1725"/>
      <c r="EC47" s="1725"/>
      <c r="ED47" s="1725"/>
      <c r="EE47" s="1725"/>
      <c r="EF47" s="1725"/>
      <c r="EG47" s="1725"/>
      <c r="EH47" s="1725"/>
      <c r="EI47" s="1725"/>
      <c r="EJ47" s="1725"/>
      <c r="EK47" s="1725"/>
      <c r="EL47" s="1725"/>
      <c r="EM47" s="1725"/>
      <c r="EN47" s="1725"/>
      <c r="EO47" s="1725"/>
      <c r="EP47" s="1725"/>
      <c r="EQ47" s="1725"/>
      <c r="ER47" s="1725"/>
      <c r="ES47" s="1725"/>
      <c r="ET47" s="493">
        <v>10</v>
      </c>
      <c r="EU47" s="493">
        <v>11</v>
      </c>
      <c r="EV47" s="493">
        <v>12</v>
      </c>
      <c r="EW47" s="493">
        <v>13</v>
      </c>
      <c r="EX47" s="493">
        <v>14</v>
      </c>
      <c r="EY47" s="1725">
        <v>15</v>
      </c>
      <c r="EZ47" s="1725"/>
      <c r="FA47" s="1725"/>
      <c r="FB47" s="1725"/>
      <c r="FC47" s="1725"/>
      <c r="FD47" s="1725"/>
      <c r="FE47" s="1725"/>
      <c r="FF47" s="1725"/>
      <c r="FG47" s="1725"/>
      <c r="FH47" s="1725"/>
      <c r="FI47" s="1725"/>
      <c r="FJ47" s="1725">
        <v>16</v>
      </c>
      <c r="FK47" s="1725"/>
      <c r="FL47" s="1725"/>
      <c r="FM47" s="1725"/>
      <c r="FN47" s="1725"/>
      <c r="FO47" s="1725"/>
      <c r="FP47" s="1725"/>
      <c r="FQ47" s="1725"/>
      <c r="FR47" s="1725"/>
      <c r="FS47" s="1725"/>
      <c r="FT47" s="1725"/>
      <c r="FU47" s="1725"/>
      <c r="FV47" s="1725">
        <v>17</v>
      </c>
      <c r="FW47" s="1725"/>
      <c r="FX47" s="1725"/>
      <c r="FY47" s="1725"/>
      <c r="FZ47" s="1725"/>
      <c r="GA47" s="1725"/>
      <c r="GB47" s="1725"/>
      <c r="GC47" s="1725"/>
      <c r="GD47" s="1725"/>
      <c r="GE47" s="1725"/>
      <c r="GF47" s="1725"/>
      <c r="GG47" s="1725"/>
      <c r="GH47" s="1725">
        <v>18</v>
      </c>
      <c r="GI47" s="1725"/>
      <c r="GJ47" s="1725"/>
      <c r="GK47" s="1725"/>
      <c r="GL47" s="1725"/>
      <c r="GM47" s="1725"/>
      <c r="GN47" s="1725"/>
      <c r="GO47" s="1725"/>
      <c r="GP47" s="1725"/>
      <c r="GQ47" s="1725"/>
      <c r="GR47" s="1725"/>
      <c r="GS47" s="1725"/>
      <c r="GT47" s="1725">
        <v>19</v>
      </c>
      <c r="GU47" s="1725"/>
      <c r="GV47" s="1725"/>
      <c r="GW47" s="1725"/>
      <c r="GX47" s="1725"/>
      <c r="GY47" s="1725"/>
      <c r="GZ47" s="1725"/>
      <c r="HA47" s="1725"/>
      <c r="HB47" s="1725"/>
      <c r="HC47" s="1725"/>
      <c r="HD47" s="1725"/>
      <c r="HE47" s="1725"/>
      <c r="HF47" s="1725">
        <v>20</v>
      </c>
      <c r="HG47" s="1725"/>
      <c r="HH47" s="1725"/>
      <c r="HI47" s="1725"/>
      <c r="HJ47" s="1725"/>
      <c r="HK47" s="1725"/>
      <c r="HL47" s="1725"/>
      <c r="HM47" s="1725"/>
      <c r="HN47" s="1725"/>
      <c r="HO47" s="1725"/>
      <c r="HP47" s="1725"/>
      <c r="HQ47" s="1725"/>
      <c r="HR47" s="1725">
        <v>21</v>
      </c>
      <c r="HS47" s="1725"/>
      <c r="HT47" s="1725"/>
      <c r="HU47" s="1725"/>
      <c r="HV47" s="1725"/>
      <c r="HW47" s="1725"/>
      <c r="HX47" s="1725"/>
      <c r="HY47" s="1725"/>
      <c r="HZ47" s="1725"/>
      <c r="IA47" s="1725"/>
      <c r="IB47" s="1725"/>
      <c r="IC47" s="1725"/>
      <c r="ID47" s="1725">
        <v>22</v>
      </c>
      <c r="IE47" s="1725"/>
      <c r="IF47" s="1725"/>
      <c r="IG47" s="1725"/>
      <c r="IH47" s="1725"/>
      <c r="II47" s="1725"/>
      <c r="IJ47" s="1725"/>
      <c r="IK47" s="1725"/>
      <c r="IL47" s="1725"/>
      <c r="IM47" s="1725"/>
      <c r="IN47" s="1725"/>
    </row>
    <row r="48" spans="1:248" ht="60.75" customHeight="1">
      <c r="A48" s="1769">
        <v>1</v>
      </c>
      <c r="B48" s="1769"/>
      <c r="C48" s="1769"/>
      <c r="D48" s="1769"/>
      <c r="E48" s="1769"/>
      <c r="F48" s="1769"/>
      <c r="G48" s="1769"/>
      <c r="H48" s="1769"/>
      <c r="I48" s="1769"/>
      <c r="J48" s="1769"/>
      <c r="K48" s="1770" t="s">
        <v>768</v>
      </c>
      <c r="L48" s="1771"/>
      <c r="M48" s="1771"/>
      <c r="N48" s="1771"/>
      <c r="O48" s="1771"/>
      <c r="P48" s="1771"/>
      <c r="Q48" s="1771"/>
      <c r="R48" s="1771"/>
      <c r="S48" s="1771"/>
      <c r="T48" s="1771"/>
      <c r="U48" s="1771"/>
      <c r="V48" s="1771"/>
      <c r="W48" s="1771"/>
      <c r="X48" s="1771"/>
      <c r="Y48" s="1771"/>
      <c r="Z48" s="1771"/>
      <c r="AA48" s="1771"/>
      <c r="AB48" s="1771"/>
      <c r="AC48" s="1771"/>
      <c r="AD48" s="1771"/>
      <c r="AE48" s="1771"/>
      <c r="AF48" s="1772"/>
      <c r="AG48" s="1773">
        <v>1001009816</v>
      </c>
      <c r="AH48" s="1774"/>
      <c r="AI48" s="1774"/>
      <c r="AJ48" s="1774"/>
      <c r="AK48" s="1774"/>
      <c r="AL48" s="1774"/>
      <c r="AM48" s="1774"/>
      <c r="AN48" s="1774"/>
      <c r="AO48" s="1774"/>
      <c r="AP48" s="1774"/>
      <c r="AQ48" s="1774"/>
      <c r="AR48" s="1774"/>
      <c r="AS48" s="1774"/>
      <c r="AT48" s="1775"/>
      <c r="AU48" s="1773" t="s">
        <v>770</v>
      </c>
      <c r="AV48" s="1774"/>
      <c r="AW48" s="1774"/>
      <c r="AX48" s="1774"/>
      <c r="AY48" s="1774"/>
      <c r="AZ48" s="1774"/>
      <c r="BA48" s="1774"/>
      <c r="BB48" s="1774"/>
      <c r="BC48" s="1774"/>
      <c r="BD48" s="1774"/>
      <c r="BE48" s="1774"/>
      <c r="BF48" s="1775"/>
      <c r="BG48" s="1765" t="s">
        <v>755</v>
      </c>
      <c r="BH48" s="1766"/>
      <c r="BI48" s="1766"/>
      <c r="BJ48" s="1766"/>
      <c r="BK48" s="1766"/>
      <c r="BL48" s="1766"/>
      <c r="BM48" s="1766"/>
      <c r="BN48" s="1766"/>
      <c r="BO48" s="1766"/>
      <c r="BP48" s="1766"/>
      <c r="BQ48" s="1766"/>
      <c r="BR48" s="1766"/>
      <c r="BS48" s="1766"/>
      <c r="BT48" s="1766"/>
      <c r="BU48" s="1766"/>
      <c r="BV48" s="1766"/>
      <c r="BW48" s="1766"/>
      <c r="BX48" s="1767"/>
      <c r="BY48" s="1765" t="s">
        <v>755</v>
      </c>
      <c r="BZ48" s="1766"/>
      <c r="CA48" s="1766"/>
      <c r="CB48" s="1766"/>
      <c r="CC48" s="1766"/>
      <c r="CD48" s="1766"/>
      <c r="CE48" s="1766"/>
      <c r="CF48" s="1766"/>
      <c r="CG48" s="1766"/>
      <c r="CH48" s="1766"/>
      <c r="CI48" s="1766"/>
      <c r="CJ48" s="1766"/>
      <c r="CK48" s="1766"/>
      <c r="CL48" s="1766"/>
      <c r="CM48" s="1766"/>
      <c r="CN48" s="1766"/>
      <c r="CO48" s="1766"/>
      <c r="CP48" s="1767"/>
      <c r="CQ48" s="1762">
        <v>0.04</v>
      </c>
      <c r="CR48" s="1763"/>
      <c r="CS48" s="1763"/>
      <c r="CT48" s="1763"/>
      <c r="CU48" s="1763"/>
      <c r="CV48" s="1763"/>
      <c r="CW48" s="1763"/>
      <c r="CX48" s="1763"/>
      <c r="CY48" s="1763"/>
      <c r="CZ48" s="1763"/>
      <c r="DA48" s="1763"/>
      <c r="DB48" s="1763"/>
      <c r="DC48" s="1763"/>
      <c r="DD48" s="1763"/>
      <c r="DE48" s="1763"/>
      <c r="DF48" s="1763"/>
      <c r="DG48" s="1763"/>
      <c r="DH48" s="1764"/>
      <c r="DI48" s="1753">
        <v>98</v>
      </c>
      <c r="DJ48" s="1754"/>
      <c r="DK48" s="1754"/>
      <c r="DL48" s="1754"/>
      <c r="DM48" s="1754"/>
      <c r="DN48" s="1754"/>
      <c r="DO48" s="1754"/>
      <c r="DP48" s="1754"/>
      <c r="DQ48" s="1754"/>
      <c r="DR48" s="1754"/>
      <c r="DS48" s="1754"/>
      <c r="DT48" s="1754"/>
      <c r="DU48" s="1754"/>
      <c r="DV48" s="1754"/>
      <c r="DW48" s="1754"/>
      <c r="DX48" s="1754"/>
      <c r="DY48" s="1754"/>
      <c r="DZ48" s="1755"/>
      <c r="EA48" s="1762">
        <v>3.92</v>
      </c>
      <c r="EB48" s="1763"/>
      <c r="EC48" s="1763"/>
      <c r="ED48" s="1763"/>
      <c r="EE48" s="1763"/>
      <c r="EF48" s="1763"/>
      <c r="EG48" s="1763"/>
      <c r="EH48" s="1763"/>
      <c r="EI48" s="1763"/>
      <c r="EJ48" s="1763"/>
      <c r="EK48" s="1763"/>
      <c r="EL48" s="1763"/>
      <c r="EM48" s="1763"/>
      <c r="EN48" s="1763"/>
      <c r="EO48" s="1763"/>
      <c r="EP48" s="1763"/>
      <c r="EQ48" s="1763"/>
      <c r="ER48" s="1763"/>
      <c r="ES48" s="1764"/>
      <c r="ET48" s="2288" t="str">
        <f>BG48</f>
        <v/>
      </c>
      <c r="EU48" s="2288" t="str">
        <f>BY48</f>
        <v/>
      </c>
      <c r="EV48" s="524">
        <f>CQ48</f>
        <v>0.04</v>
      </c>
      <c r="EW48" s="494">
        <v>98</v>
      </c>
      <c r="EX48" s="495">
        <v>3.92</v>
      </c>
      <c r="EY48" s="1768"/>
      <c r="EZ48" s="1768"/>
      <c r="FA48" s="1768"/>
      <c r="FB48" s="1768"/>
      <c r="FC48" s="1768"/>
      <c r="FD48" s="1768"/>
      <c r="FE48" s="1768"/>
      <c r="FF48" s="1768"/>
      <c r="FG48" s="1768"/>
      <c r="FH48" s="1768"/>
      <c r="FI48" s="1768"/>
      <c r="FJ48" s="1758"/>
      <c r="FK48" s="1759"/>
      <c r="FL48" s="1759"/>
      <c r="FM48" s="1759"/>
      <c r="FN48" s="1759"/>
      <c r="FO48" s="1759"/>
      <c r="FP48" s="1759"/>
      <c r="FQ48" s="1759"/>
      <c r="FR48" s="1759"/>
      <c r="FS48" s="1759"/>
      <c r="FT48" s="1759"/>
      <c r="FU48" s="1760"/>
      <c r="FV48" s="1753"/>
      <c r="FW48" s="1754"/>
      <c r="FX48" s="1754"/>
      <c r="FY48" s="1754"/>
      <c r="FZ48" s="1754"/>
      <c r="GA48" s="1754"/>
      <c r="GB48" s="1754"/>
      <c r="GC48" s="1754"/>
      <c r="GD48" s="1754"/>
      <c r="GE48" s="1754"/>
      <c r="GF48" s="1754"/>
      <c r="GG48" s="1755"/>
      <c r="GH48" s="1756"/>
      <c r="GI48" s="1756"/>
      <c r="GJ48" s="1756"/>
      <c r="GK48" s="1756"/>
      <c r="GL48" s="1756"/>
      <c r="GM48" s="1756"/>
      <c r="GN48" s="1756"/>
      <c r="GO48" s="1756"/>
      <c r="GP48" s="1756"/>
      <c r="GQ48" s="1756"/>
      <c r="GR48" s="1756"/>
      <c r="GS48" s="1756"/>
      <c r="GT48" s="1757"/>
      <c r="GU48" s="1757"/>
      <c r="GV48" s="1757"/>
      <c r="GW48" s="1757"/>
      <c r="GX48" s="1757"/>
      <c r="GY48" s="1757"/>
      <c r="GZ48" s="1757"/>
      <c r="HA48" s="1757"/>
      <c r="HB48" s="1757"/>
      <c r="HC48" s="1757"/>
      <c r="HD48" s="1757"/>
      <c r="HE48" s="1757"/>
      <c r="HF48" s="1758"/>
      <c r="HG48" s="1759"/>
      <c r="HH48" s="1759"/>
      <c r="HI48" s="1759"/>
      <c r="HJ48" s="1759"/>
      <c r="HK48" s="1759"/>
      <c r="HL48" s="1759"/>
      <c r="HM48" s="1759"/>
      <c r="HN48" s="1759"/>
      <c r="HO48" s="1759"/>
      <c r="HP48" s="1759"/>
      <c r="HQ48" s="1760"/>
      <c r="HR48" s="1761"/>
      <c r="HS48" s="1761"/>
      <c r="HT48" s="1761"/>
      <c r="HU48" s="1761"/>
      <c r="HV48" s="1761"/>
      <c r="HW48" s="1761"/>
      <c r="HX48" s="1761"/>
      <c r="HY48" s="1761"/>
      <c r="HZ48" s="1761"/>
      <c r="IA48" s="1761"/>
      <c r="IB48" s="1761"/>
      <c r="IC48" s="1761"/>
      <c r="ID48" s="1762"/>
      <c r="IE48" s="1763"/>
      <c r="IF48" s="1763"/>
      <c r="IG48" s="1763"/>
      <c r="IH48" s="1763"/>
      <c r="II48" s="1763"/>
      <c r="IJ48" s="1763"/>
      <c r="IK48" s="1763"/>
      <c r="IL48" s="1763"/>
      <c r="IM48" s="1763"/>
      <c r="IN48" s="1764"/>
    </row>
    <row r="49" spans="1:248" ht="48.75" customHeight="1">
      <c r="A49" s="1769">
        <v>2</v>
      </c>
      <c r="B49" s="1769"/>
      <c r="C49" s="1769"/>
      <c r="D49" s="1769"/>
      <c r="E49" s="1769"/>
      <c r="F49" s="1769"/>
      <c r="G49" s="1769"/>
      <c r="H49" s="1769"/>
      <c r="I49" s="1769"/>
      <c r="J49" s="1769"/>
      <c r="K49" s="1770" t="s">
        <v>773</v>
      </c>
      <c r="L49" s="1771"/>
      <c r="M49" s="1771"/>
      <c r="N49" s="1771"/>
      <c r="O49" s="1771"/>
      <c r="P49" s="1771"/>
      <c r="Q49" s="1771"/>
      <c r="R49" s="1771"/>
      <c r="S49" s="1771"/>
      <c r="T49" s="1771"/>
      <c r="U49" s="1771"/>
      <c r="V49" s="1771"/>
      <c r="W49" s="1771"/>
      <c r="X49" s="1771"/>
      <c r="Y49" s="1771"/>
      <c r="Z49" s="1771"/>
      <c r="AA49" s="1771"/>
      <c r="AB49" s="1771"/>
      <c r="AC49" s="1771"/>
      <c r="AD49" s="1771"/>
      <c r="AE49" s="1771"/>
      <c r="AF49" s="1772"/>
      <c r="AG49" s="1773">
        <v>1001009817</v>
      </c>
      <c r="AH49" s="1774"/>
      <c r="AI49" s="1774"/>
      <c r="AJ49" s="1774"/>
      <c r="AK49" s="1774"/>
      <c r="AL49" s="1774"/>
      <c r="AM49" s="1774"/>
      <c r="AN49" s="1774"/>
      <c r="AO49" s="1774"/>
      <c r="AP49" s="1774"/>
      <c r="AQ49" s="1774"/>
      <c r="AR49" s="1774"/>
      <c r="AS49" s="1774"/>
      <c r="AT49" s="1775"/>
      <c r="AU49" s="1773" t="s">
        <v>770</v>
      </c>
      <c r="AV49" s="1774"/>
      <c r="AW49" s="1774"/>
      <c r="AX49" s="1774"/>
      <c r="AY49" s="1774"/>
      <c r="AZ49" s="1774"/>
      <c r="BA49" s="1774"/>
      <c r="BB49" s="1774"/>
      <c r="BC49" s="1774"/>
      <c r="BD49" s="1774"/>
      <c r="BE49" s="1774"/>
      <c r="BF49" s="1775"/>
      <c r="BG49" s="1765" t="s">
        <v>755</v>
      </c>
      <c r="BH49" s="1766"/>
      <c r="BI49" s="1766"/>
      <c r="BJ49" s="1766"/>
      <c r="BK49" s="1766"/>
      <c r="BL49" s="1766"/>
      <c r="BM49" s="1766"/>
      <c r="BN49" s="1766"/>
      <c r="BO49" s="1766"/>
      <c r="BP49" s="1766"/>
      <c r="BQ49" s="1766"/>
      <c r="BR49" s="1766"/>
      <c r="BS49" s="1766"/>
      <c r="BT49" s="1766"/>
      <c r="BU49" s="1766"/>
      <c r="BV49" s="1766"/>
      <c r="BW49" s="1766"/>
      <c r="BX49" s="1767"/>
      <c r="BY49" s="1765" t="s">
        <v>755</v>
      </c>
      <c r="BZ49" s="1766"/>
      <c r="CA49" s="1766"/>
      <c r="CB49" s="1766"/>
      <c r="CC49" s="1766"/>
      <c r="CD49" s="1766"/>
      <c r="CE49" s="1766"/>
      <c r="CF49" s="1766"/>
      <c r="CG49" s="1766"/>
      <c r="CH49" s="1766"/>
      <c r="CI49" s="1766"/>
      <c r="CJ49" s="1766"/>
      <c r="CK49" s="1766"/>
      <c r="CL49" s="1766"/>
      <c r="CM49" s="1766"/>
      <c r="CN49" s="1766"/>
      <c r="CO49" s="1766"/>
      <c r="CP49" s="1767"/>
      <c r="CQ49" s="1762">
        <v>0.01</v>
      </c>
      <c r="CR49" s="1763"/>
      <c r="CS49" s="1763"/>
      <c r="CT49" s="1763"/>
      <c r="CU49" s="1763"/>
      <c r="CV49" s="1763"/>
      <c r="CW49" s="1763"/>
      <c r="CX49" s="1763"/>
      <c r="CY49" s="1763"/>
      <c r="CZ49" s="1763"/>
      <c r="DA49" s="1763"/>
      <c r="DB49" s="1763"/>
      <c r="DC49" s="1763"/>
      <c r="DD49" s="1763"/>
      <c r="DE49" s="1763"/>
      <c r="DF49" s="1763"/>
      <c r="DG49" s="1763"/>
      <c r="DH49" s="1764"/>
      <c r="DI49" s="1753">
        <v>1</v>
      </c>
      <c r="DJ49" s="1754"/>
      <c r="DK49" s="1754"/>
      <c r="DL49" s="1754"/>
      <c r="DM49" s="1754"/>
      <c r="DN49" s="1754"/>
      <c r="DO49" s="1754"/>
      <c r="DP49" s="1754"/>
      <c r="DQ49" s="1754"/>
      <c r="DR49" s="1754"/>
      <c r="DS49" s="1754"/>
      <c r="DT49" s="1754"/>
      <c r="DU49" s="1754"/>
      <c r="DV49" s="1754"/>
      <c r="DW49" s="1754"/>
      <c r="DX49" s="1754"/>
      <c r="DY49" s="1754"/>
      <c r="DZ49" s="1755"/>
      <c r="EA49" s="1762">
        <v>0.01</v>
      </c>
      <c r="EB49" s="1763"/>
      <c r="EC49" s="1763"/>
      <c r="ED49" s="1763"/>
      <c r="EE49" s="1763"/>
      <c r="EF49" s="1763"/>
      <c r="EG49" s="1763"/>
      <c r="EH49" s="1763"/>
      <c r="EI49" s="1763"/>
      <c r="EJ49" s="1763"/>
      <c r="EK49" s="1763"/>
      <c r="EL49" s="1763"/>
      <c r="EM49" s="1763"/>
      <c r="EN49" s="1763"/>
      <c r="EO49" s="1763"/>
      <c r="EP49" s="1763"/>
      <c r="EQ49" s="1763"/>
      <c r="ER49" s="1763"/>
      <c r="ES49" s="1764"/>
      <c r="ET49" s="2288" t="str">
        <f>BG49</f>
        <v/>
      </c>
      <c r="EU49" s="2288" t="str">
        <f>BY49</f>
        <v/>
      </c>
      <c r="EV49" s="524">
        <f>CQ49</f>
        <v>0.01</v>
      </c>
      <c r="EW49" s="494">
        <v>1</v>
      </c>
      <c r="EX49" s="495">
        <v>0.01</v>
      </c>
      <c r="EY49" s="1768"/>
      <c r="EZ49" s="1768"/>
      <c r="FA49" s="1768"/>
      <c r="FB49" s="1768"/>
      <c r="FC49" s="1768"/>
      <c r="FD49" s="1768"/>
      <c r="FE49" s="1768"/>
      <c r="FF49" s="1768"/>
      <c r="FG49" s="1768"/>
      <c r="FH49" s="1768"/>
      <c r="FI49" s="1768"/>
      <c r="FJ49" s="1758"/>
      <c r="FK49" s="1759"/>
      <c r="FL49" s="1759"/>
      <c r="FM49" s="1759"/>
      <c r="FN49" s="1759"/>
      <c r="FO49" s="1759"/>
      <c r="FP49" s="1759"/>
      <c r="FQ49" s="1759"/>
      <c r="FR49" s="1759"/>
      <c r="FS49" s="1759"/>
      <c r="FT49" s="1759"/>
      <c r="FU49" s="1760"/>
      <c r="FV49" s="1753"/>
      <c r="FW49" s="1754"/>
      <c r="FX49" s="1754"/>
      <c r="FY49" s="1754"/>
      <c r="FZ49" s="1754"/>
      <c r="GA49" s="1754"/>
      <c r="GB49" s="1754"/>
      <c r="GC49" s="1754"/>
      <c r="GD49" s="1754"/>
      <c r="GE49" s="1754"/>
      <c r="GF49" s="1754"/>
      <c r="GG49" s="1755"/>
      <c r="GH49" s="1756"/>
      <c r="GI49" s="1756"/>
      <c r="GJ49" s="1756"/>
      <c r="GK49" s="1756"/>
      <c r="GL49" s="1756"/>
      <c r="GM49" s="1756"/>
      <c r="GN49" s="1756"/>
      <c r="GO49" s="1756"/>
      <c r="GP49" s="1756"/>
      <c r="GQ49" s="1756"/>
      <c r="GR49" s="1756"/>
      <c r="GS49" s="1756"/>
      <c r="GT49" s="1757"/>
      <c r="GU49" s="1757"/>
      <c r="GV49" s="1757"/>
      <c r="GW49" s="1757"/>
      <c r="GX49" s="1757"/>
      <c r="GY49" s="1757"/>
      <c r="GZ49" s="1757"/>
      <c r="HA49" s="1757"/>
      <c r="HB49" s="1757"/>
      <c r="HC49" s="1757"/>
      <c r="HD49" s="1757"/>
      <c r="HE49" s="1757"/>
      <c r="HF49" s="1758"/>
      <c r="HG49" s="1759"/>
      <c r="HH49" s="1759"/>
      <c r="HI49" s="1759"/>
      <c r="HJ49" s="1759"/>
      <c r="HK49" s="1759"/>
      <c r="HL49" s="1759"/>
      <c r="HM49" s="1759"/>
      <c r="HN49" s="1759"/>
      <c r="HO49" s="1759"/>
      <c r="HP49" s="1759"/>
      <c r="HQ49" s="1760"/>
      <c r="HR49" s="1761"/>
      <c r="HS49" s="1761"/>
      <c r="HT49" s="1761"/>
      <c r="HU49" s="1761"/>
      <c r="HV49" s="1761"/>
      <c r="HW49" s="1761"/>
      <c r="HX49" s="1761"/>
      <c r="HY49" s="1761"/>
      <c r="HZ49" s="1761"/>
      <c r="IA49" s="1761"/>
      <c r="IB49" s="1761"/>
      <c r="IC49" s="1761"/>
      <c r="ID49" s="1762"/>
      <c r="IE49" s="1763"/>
      <c r="IF49" s="1763"/>
      <c r="IG49" s="1763"/>
      <c r="IH49" s="1763"/>
      <c r="II49" s="1763"/>
      <c r="IJ49" s="1763"/>
      <c r="IK49" s="1763"/>
      <c r="IL49" s="1763"/>
      <c r="IM49" s="1763"/>
      <c r="IN49" s="1764"/>
    </row>
    <row r="50" spans="1:248" ht="36.75" customHeight="1">
      <c r="A50" s="1769">
        <v>3</v>
      </c>
      <c r="B50" s="1769"/>
      <c r="C50" s="1769"/>
      <c r="D50" s="1769"/>
      <c r="E50" s="1769"/>
      <c r="F50" s="1769"/>
      <c r="G50" s="1769"/>
      <c r="H50" s="1769"/>
      <c r="I50" s="1769"/>
      <c r="J50" s="1769"/>
      <c r="K50" s="1770" t="s">
        <v>775</v>
      </c>
      <c r="L50" s="1771"/>
      <c r="M50" s="1771"/>
      <c r="N50" s="1771"/>
      <c r="O50" s="1771"/>
      <c r="P50" s="1771"/>
      <c r="Q50" s="1771"/>
      <c r="R50" s="1771"/>
      <c r="S50" s="1771"/>
      <c r="T50" s="1771"/>
      <c r="U50" s="1771"/>
      <c r="V50" s="1771"/>
      <c r="W50" s="1771"/>
      <c r="X50" s="1771"/>
      <c r="Y50" s="1771"/>
      <c r="Z50" s="1771"/>
      <c r="AA50" s="1771"/>
      <c r="AB50" s="1771"/>
      <c r="AC50" s="1771"/>
      <c r="AD50" s="1771"/>
      <c r="AE50" s="1771"/>
      <c r="AF50" s="1772"/>
      <c r="AG50" s="1773">
        <v>1001010827</v>
      </c>
      <c r="AH50" s="1774"/>
      <c r="AI50" s="1774"/>
      <c r="AJ50" s="1774"/>
      <c r="AK50" s="1774"/>
      <c r="AL50" s="1774"/>
      <c r="AM50" s="1774"/>
      <c r="AN50" s="1774"/>
      <c r="AO50" s="1774"/>
      <c r="AP50" s="1774"/>
      <c r="AQ50" s="1774"/>
      <c r="AR50" s="1774"/>
      <c r="AS50" s="1774"/>
      <c r="AT50" s="1775"/>
      <c r="AU50" s="1773" t="s">
        <v>770</v>
      </c>
      <c r="AV50" s="1774"/>
      <c r="AW50" s="1774"/>
      <c r="AX50" s="1774"/>
      <c r="AY50" s="1774"/>
      <c r="AZ50" s="1774"/>
      <c r="BA50" s="1774"/>
      <c r="BB50" s="1774"/>
      <c r="BC50" s="1774"/>
      <c r="BD50" s="1774"/>
      <c r="BE50" s="1774"/>
      <c r="BF50" s="1775"/>
      <c r="BG50" s="1765" t="s">
        <v>776</v>
      </c>
      <c r="BH50" s="1766"/>
      <c r="BI50" s="1766"/>
      <c r="BJ50" s="1766"/>
      <c r="BK50" s="1766"/>
      <c r="BL50" s="1766"/>
      <c r="BM50" s="1766"/>
      <c r="BN50" s="1766"/>
      <c r="BO50" s="1766"/>
      <c r="BP50" s="1766"/>
      <c r="BQ50" s="1766"/>
      <c r="BR50" s="1766"/>
      <c r="BS50" s="1766"/>
      <c r="BT50" s="1766"/>
      <c r="BU50" s="1766"/>
      <c r="BV50" s="1766"/>
      <c r="BW50" s="1766"/>
      <c r="BX50" s="1767"/>
      <c r="BY50" s="1765" t="s">
        <v>777</v>
      </c>
      <c r="BZ50" s="1766"/>
      <c r="CA50" s="1766"/>
      <c r="CB50" s="1766"/>
      <c r="CC50" s="1766"/>
      <c r="CD50" s="1766"/>
      <c r="CE50" s="1766"/>
      <c r="CF50" s="1766"/>
      <c r="CG50" s="1766"/>
      <c r="CH50" s="1766"/>
      <c r="CI50" s="1766"/>
      <c r="CJ50" s="1766"/>
      <c r="CK50" s="1766"/>
      <c r="CL50" s="1766"/>
      <c r="CM50" s="1766"/>
      <c r="CN50" s="1766"/>
      <c r="CO50" s="1766"/>
      <c r="CP50" s="1767"/>
      <c r="CQ50" s="1762">
        <v>0</v>
      </c>
      <c r="CR50" s="1763"/>
      <c r="CS50" s="1763"/>
      <c r="CT50" s="1763"/>
      <c r="CU50" s="1763"/>
      <c r="CV50" s="1763"/>
      <c r="CW50" s="1763"/>
      <c r="CX50" s="1763"/>
      <c r="CY50" s="1763"/>
      <c r="CZ50" s="1763"/>
      <c r="DA50" s="1763"/>
      <c r="DB50" s="1763"/>
      <c r="DC50" s="1763"/>
      <c r="DD50" s="1763"/>
      <c r="DE50" s="1763"/>
      <c r="DF50" s="1763"/>
      <c r="DG50" s="1763"/>
      <c r="DH50" s="1764"/>
      <c r="DI50" s="1753">
        <v>1</v>
      </c>
      <c r="DJ50" s="1754"/>
      <c r="DK50" s="1754"/>
      <c r="DL50" s="1754"/>
      <c r="DM50" s="1754"/>
      <c r="DN50" s="1754"/>
      <c r="DO50" s="1754"/>
      <c r="DP50" s="1754"/>
      <c r="DQ50" s="1754"/>
      <c r="DR50" s="1754"/>
      <c r="DS50" s="1754"/>
      <c r="DT50" s="1754"/>
      <c r="DU50" s="1754"/>
      <c r="DV50" s="1754"/>
      <c r="DW50" s="1754"/>
      <c r="DX50" s="1754"/>
      <c r="DY50" s="1754"/>
      <c r="DZ50" s="1755"/>
      <c r="EA50" s="1762">
        <v>0</v>
      </c>
      <c r="EB50" s="1763"/>
      <c r="EC50" s="1763"/>
      <c r="ED50" s="1763"/>
      <c r="EE50" s="1763"/>
      <c r="EF50" s="1763"/>
      <c r="EG50" s="1763"/>
      <c r="EH50" s="1763"/>
      <c r="EI50" s="1763"/>
      <c r="EJ50" s="1763"/>
      <c r="EK50" s="1763"/>
      <c r="EL50" s="1763"/>
      <c r="EM50" s="1763"/>
      <c r="EN50" s="1763"/>
      <c r="EO50" s="1763"/>
      <c r="EP50" s="1763"/>
      <c r="EQ50" s="1763"/>
      <c r="ER50" s="1763"/>
      <c r="ES50" s="1764"/>
      <c r="ET50" s="2288" t="str">
        <f>BG50</f>
        <v>383350</v>
      </c>
      <c r="EU50" s="2288" t="str">
        <f>BY50</f>
        <v>ПК</v>
      </c>
      <c r="EV50" s="524">
        <f>CQ50</f>
        <v>0</v>
      </c>
      <c r="EW50" s="494">
        <v>1</v>
      </c>
      <c r="EX50" s="495">
        <v>0</v>
      </c>
      <c r="EY50" s="1768"/>
      <c r="EZ50" s="1768"/>
      <c r="FA50" s="1768"/>
      <c r="FB50" s="1768"/>
      <c r="FC50" s="1768"/>
      <c r="FD50" s="1768"/>
      <c r="FE50" s="1768"/>
      <c r="FF50" s="1768"/>
      <c r="FG50" s="1768"/>
      <c r="FH50" s="1768"/>
      <c r="FI50" s="1768"/>
      <c r="FJ50" s="1758"/>
      <c r="FK50" s="1759"/>
      <c r="FL50" s="1759"/>
      <c r="FM50" s="1759"/>
      <c r="FN50" s="1759"/>
      <c r="FO50" s="1759"/>
      <c r="FP50" s="1759"/>
      <c r="FQ50" s="1759"/>
      <c r="FR50" s="1759"/>
      <c r="FS50" s="1759"/>
      <c r="FT50" s="1759"/>
      <c r="FU50" s="1760"/>
      <c r="FV50" s="1753"/>
      <c r="FW50" s="1754"/>
      <c r="FX50" s="1754"/>
      <c r="FY50" s="1754"/>
      <c r="FZ50" s="1754"/>
      <c r="GA50" s="1754"/>
      <c r="GB50" s="1754"/>
      <c r="GC50" s="1754"/>
      <c r="GD50" s="1754"/>
      <c r="GE50" s="1754"/>
      <c r="GF50" s="1754"/>
      <c r="GG50" s="1755"/>
      <c r="GH50" s="1756"/>
      <c r="GI50" s="1756"/>
      <c r="GJ50" s="1756"/>
      <c r="GK50" s="1756"/>
      <c r="GL50" s="1756"/>
      <c r="GM50" s="1756"/>
      <c r="GN50" s="1756"/>
      <c r="GO50" s="1756"/>
      <c r="GP50" s="1756"/>
      <c r="GQ50" s="1756"/>
      <c r="GR50" s="1756"/>
      <c r="GS50" s="1756"/>
      <c r="GT50" s="1757"/>
      <c r="GU50" s="1757"/>
      <c r="GV50" s="1757"/>
      <c r="GW50" s="1757"/>
      <c r="GX50" s="1757"/>
      <c r="GY50" s="1757"/>
      <c r="GZ50" s="1757"/>
      <c r="HA50" s="1757"/>
      <c r="HB50" s="1757"/>
      <c r="HC50" s="1757"/>
      <c r="HD50" s="1757"/>
      <c r="HE50" s="1757"/>
      <c r="HF50" s="1758"/>
      <c r="HG50" s="1759"/>
      <c r="HH50" s="1759"/>
      <c r="HI50" s="1759"/>
      <c r="HJ50" s="1759"/>
      <c r="HK50" s="1759"/>
      <c r="HL50" s="1759"/>
      <c r="HM50" s="1759"/>
      <c r="HN50" s="1759"/>
      <c r="HO50" s="1759"/>
      <c r="HP50" s="1759"/>
      <c r="HQ50" s="1760"/>
      <c r="HR50" s="1761"/>
      <c r="HS50" s="1761"/>
      <c r="HT50" s="1761"/>
      <c r="HU50" s="1761"/>
      <c r="HV50" s="1761"/>
      <c r="HW50" s="1761"/>
      <c r="HX50" s="1761"/>
      <c r="HY50" s="1761"/>
      <c r="HZ50" s="1761"/>
      <c r="IA50" s="1761"/>
      <c r="IB50" s="1761"/>
      <c r="IC50" s="1761"/>
      <c r="ID50" s="1762"/>
      <c r="IE50" s="1763"/>
      <c r="IF50" s="1763"/>
      <c r="IG50" s="1763"/>
      <c r="IH50" s="1763"/>
      <c r="II50" s="1763"/>
      <c r="IJ50" s="1763"/>
      <c r="IK50" s="1763"/>
      <c r="IL50" s="1763"/>
      <c r="IM50" s="1763"/>
      <c r="IN50" s="1764"/>
    </row>
    <row r="51" spans="1:248" ht="36.75" customHeight="1">
      <c r="A51" s="1769">
        <v>4</v>
      </c>
      <c r="B51" s="1769"/>
      <c r="C51" s="1769"/>
      <c r="D51" s="1769"/>
      <c r="E51" s="1769"/>
      <c r="F51" s="1769"/>
      <c r="G51" s="1769"/>
      <c r="H51" s="1769"/>
      <c r="I51" s="1769"/>
      <c r="J51" s="1769"/>
      <c r="K51" s="1770" t="s">
        <v>779</v>
      </c>
      <c r="L51" s="1771"/>
      <c r="M51" s="1771"/>
      <c r="N51" s="1771"/>
      <c r="O51" s="1771"/>
      <c r="P51" s="1771"/>
      <c r="Q51" s="1771"/>
      <c r="R51" s="1771"/>
      <c r="S51" s="1771"/>
      <c r="T51" s="1771"/>
      <c r="U51" s="1771"/>
      <c r="V51" s="1771"/>
      <c r="W51" s="1771"/>
      <c r="X51" s="1771"/>
      <c r="Y51" s="1771"/>
      <c r="Z51" s="1771"/>
      <c r="AA51" s="1771"/>
      <c r="AB51" s="1771"/>
      <c r="AC51" s="1771"/>
      <c r="AD51" s="1771"/>
      <c r="AE51" s="1771"/>
      <c r="AF51" s="1772"/>
      <c r="AG51" s="1773">
        <v>1001010827</v>
      </c>
      <c r="AH51" s="1774"/>
      <c r="AI51" s="1774"/>
      <c r="AJ51" s="1774"/>
      <c r="AK51" s="1774"/>
      <c r="AL51" s="1774"/>
      <c r="AM51" s="1774"/>
      <c r="AN51" s="1774"/>
      <c r="AO51" s="1774"/>
      <c r="AP51" s="1774"/>
      <c r="AQ51" s="1774"/>
      <c r="AR51" s="1774"/>
      <c r="AS51" s="1774"/>
      <c r="AT51" s="1775"/>
      <c r="AU51" s="1773" t="s">
        <v>770</v>
      </c>
      <c r="AV51" s="1774"/>
      <c r="AW51" s="1774"/>
      <c r="AX51" s="1774"/>
      <c r="AY51" s="1774"/>
      <c r="AZ51" s="1774"/>
      <c r="BA51" s="1774"/>
      <c r="BB51" s="1774"/>
      <c r="BC51" s="1774"/>
      <c r="BD51" s="1774"/>
      <c r="BE51" s="1774"/>
      <c r="BF51" s="1775"/>
      <c r="BG51" s="1765" t="s">
        <v>780</v>
      </c>
      <c r="BH51" s="1766"/>
      <c r="BI51" s="1766"/>
      <c r="BJ51" s="1766"/>
      <c r="BK51" s="1766"/>
      <c r="BL51" s="1766"/>
      <c r="BM51" s="1766"/>
      <c r="BN51" s="1766"/>
      <c r="BO51" s="1766"/>
      <c r="BP51" s="1766"/>
      <c r="BQ51" s="1766"/>
      <c r="BR51" s="1766"/>
      <c r="BS51" s="1766"/>
      <c r="BT51" s="1766"/>
      <c r="BU51" s="1766"/>
      <c r="BV51" s="1766"/>
      <c r="BW51" s="1766"/>
      <c r="BX51" s="1767"/>
      <c r="BY51" s="1765" t="s">
        <v>777</v>
      </c>
      <c r="BZ51" s="1766"/>
      <c r="CA51" s="1766"/>
      <c r="CB51" s="1766"/>
      <c r="CC51" s="1766"/>
      <c r="CD51" s="1766"/>
      <c r="CE51" s="1766"/>
      <c r="CF51" s="1766"/>
      <c r="CG51" s="1766"/>
      <c r="CH51" s="1766"/>
      <c r="CI51" s="1766"/>
      <c r="CJ51" s="1766"/>
      <c r="CK51" s="1766"/>
      <c r="CL51" s="1766"/>
      <c r="CM51" s="1766"/>
      <c r="CN51" s="1766"/>
      <c r="CO51" s="1766"/>
      <c r="CP51" s="1767"/>
      <c r="CQ51" s="1762">
        <v>0.13</v>
      </c>
      <c r="CR51" s="1763"/>
      <c r="CS51" s="1763"/>
      <c r="CT51" s="1763"/>
      <c r="CU51" s="1763"/>
      <c r="CV51" s="1763"/>
      <c r="CW51" s="1763"/>
      <c r="CX51" s="1763"/>
      <c r="CY51" s="1763"/>
      <c r="CZ51" s="1763"/>
      <c r="DA51" s="1763"/>
      <c r="DB51" s="1763"/>
      <c r="DC51" s="1763"/>
      <c r="DD51" s="1763"/>
      <c r="DE51" s="1763"/>
      <c r="DF51" s="1763"/>
      <c r="DG51" s="1763"/>
      <c r="DH51" s="1764"/>
      <c r="DI51" s="1753">
        <v>45</v>
      </c>
      <c r="DJ51" s="1754"/>
      <c r="DK51" s="1754"/>
      <c r="DL51" s="1754"/>
      <c r="DM51" s="1754"/>
      <c r="DN51" s="1754"/>
      <c r="DO51" s="1754"/>
      <c r="DP51" s="1754"/>
      <c r="DQ51" s="1754"/>
      <c r="DR51" s="1754"/>
      <c r="DS51" s="1754"/>
      <c r="DT51" s="1754"/>
      <c r="DU51" s="1754"/>
      <c r="DV51" s="1754"/>
      <c r="DW51" s="1754"/>
      <c r="DX51" s="1754"/>
      <c r="DY51" s="1754"/>
      <c r="DZ51" s="1755"/>
      <c r="EA51" s="1762">
        <v>5.85</v>
      </c>
      <c r="EB51" s="1763"/>
      <c r="EC51" s="1763"/>
      <c r="ED51" s="1763"/>
      <c r="EE51" s="1763"/>
      <c r="EF51" s="1763"/>
      <c r="EG51" s="1763"/>
      <c r="EH51" s="1763"/>
      <c r="EI51" s="1763"/>
      <c r="EJ51" s="1763"/>
      <c r="EK51" s="1763"/>
      <c r="EL51" s="1763"/>
      <c r="EM51" s="1763"/>
      <c r="EN51" s="1763"/>
      <c r="EO51" s="1763"/>
      <c r="EP51" s="1763"/>
      <c r="EQ51" s="1763"/>
      <c r="ER51" s="1763"/>
      <c r="ES51" s="1764"/>
      <c r="ET51" s="2288" t="str">
        <f>BG51</f>
        <v>0699456-0699500</v>
      </c>
      <c r="EU51" s="2288" t="str">
        <f>BY51</f>
        <v>ПК</v>
      </c>
      <c r="EV51" s="524">
        <f>CQ51</f>
        <v>0.13</v>
      </c>
      <c r="EW51" s="494">
        <v>45</v>
      </c>
      <c r="EX51" s="495">
        <v>5.85</v>
      </c>
      <c r="EY51" s="1768"/>
      <c r="EZ51" s="1768"/>
      <c r="FA51" s="1768"/>
      <c r="FB51" s="1768"/>
      <c r="FC51" s="1768"/>
      <c r="FD51" s="1768"/>
      <c r="FE51" s="1768"/>
      <c r="FF51" s="1768"/>
      <c r="FG51" s="1768"/>
      <c r="FH51" s="1768"/>
      <c r="FI51" s="1768"/>
      <c r="FJ51" s="1758"/>
      <c r="FK51" s="1759"/>
      <c r="FL51" s="1759"/>
      <c r="FM51" s="1759"/>
      <c r="FN51" s="1759"/>
      <c r="FO51" s="1759"/>
      <c r="FP51" s="1759"/>
      <c r="FQ51" s="1759"/>
      <c r="FR51" s="1759"/>
      <c r="FS51" s="1759"/>
      <c r="FT51" s="1759"/>
      <c r="FU51" s="1760"/>
      <c r="FV51" s="1753"/>
      <c r="FW51" s="1754"/>
      <c r="FX51" s="1754"/>
      <c r="FY51" s="1754"/>
      <c r="FZ51" s="1754"/>
      <c r="GA51" s="1754"/>
      <c r="GB51" s="1754"/>
      <c r="GC51" s="1754"/>
      <c r="GD51" s="1754"/>
      <c r="GE51" s="1754"/>
      <c r="GF51" s="1754"/>
      <c r="GG51" s="1755"/>
      <c r="GH51" s="1756"/>
      <c r="GI51" s="1756"/>
      <c r="GJ51" s="1756"/>
      <c r="GK51" s="1756"/>
      <c r="GL51" s="1756"/>
      <c r="GM51" s="1756"/>
      <c r="GN51" s="1756"/>
      <c r="GO51" s="1756"/>
      <c r="GP51" s="1756"/>
      <c r="GQ51" s="1756"/>
      <c r="GR51" s="1756"/>
      <c r="GS51" s="1756"/>
      <c r="GT51" s="1757"/>
      <c r="GU51" s="1757"/>
      <c r="GV51" s="1757"/>
      <c r="GW51" s="1757"/>
      <c r="GX51" s="1757"/>
      <c r="GY51" s="1757"/>
      <c r="GZ51" s="1757"/>
      <c r="HA51" s="1757"/>
      <c r="HB51" s="1757"/>
      <c r="HC51" s="1757"/>
      <c r="HD51" s="1757"/>
      <c r="HE51" s="1757"/>
      <c r="HF51" s="1758"/>
      <c r="HG51" s="1759"/>
      <c r="HH51" s="1759"/>
      <c r="HI51" s="1759"/>
      <c r="HJ51" s="1759"/>
      <c r="HK51" s="1759"/>
      <c r="HL51" s="1759"/>
      <c r="HM51" s="1759"/>
      <c r="HN51" s="1759"/>
      <c r="HO51" s="1759"/>
      <c r="HP51" s="1759"/>
      <c r="HQ51" s="1760"/>
      <c r="HR51" s="1761"/>
      <c r="HS51" s="1761"/>
      <c r="HT51" s="1761"/>
      <c r="HU51" s="1761"/>
      <c r="HV51" s="1761"/>
      <c r="HW51" s="1761"/>
      <c r="HX51" s="1761"/>
      <c r="HY51" s="1761"/>
      <c r="HZ51" s="1761"/>
      <c r="IA51" s="1761"/>
      <c r="IB51" s="1761"/>
      <c r="IC51" s="1761"/>
      <c r="ID51" s="1762"/>
      <c r="IE51" s="1763"/>
      <c r="IF51" s="1763"/>
      <c r="IG51" s="1763"/>
      <c r="IH51" s="1763"/>
      <c r="II51" s="1763"/>
      <c r="IJ51" s="1763"/>
      <c r="IK51" s="1763"/>
      <c r="IL51" s="1763"/>
      <c r="IM51" s="1763"/>
      <c r="IN51" s="1764"/>
    </row>
    <row r="52" spans="1:248" ht="36.75" customHeight="1">
      <c r="A52" s="1769">
        <v>5</v>
      </c>
      <c r="B52" s="1769"/>
      <c r="C52" s="1769"/>
      <c r="D52" s="1769"/>
      <c r="E52" s="1769"/>
      <c r="F52" s="1769"/>
      <c r="G52" s="1769"/>
      <c r="H52" s="1769"/>
      <c r="I52" s="1769"/>
      <c r="J52" s="1769"/>
      <c r="K52" s="1770" t="s">
        <v>781</v>
      </c>
      <c r="L52" s="1771"/>
      <c r="M52" s="1771"/>
      <c r="N52" s="1771"/>
      <c r="O52" s="1771"/>
      <c r="P52" s="1771"/>
      <c r="Q52" s="1771"/>
      <c r="R52" s="1771"/>
      <c r="S52" s="1771"/>
      <c r="T52" s="1771"/>
      <c r="U52" s="1771"/>
      <c r="V52" s="1771"/>
      <c r="W52" s="1771"/>
      <c r="X52" s="1771"/>
      <c r="Y52" s="1771"/>
      <c r="Z52" s="1771"/>
      <c r="AA52" s="1771"/>
      <c r="AB52" s="1771"/>
      <c r="AC52" s="1771"/>
      <c r="AD52" s="1771"/>
      <c r="AE52" s="1771"/>
      <c r="AF52" s="1772"/>
      <c r="AG52" s="1773">
        <v>1001010827</v>
      </c>
      <c r="AH52" s="1774"/>
      <c r="AI52" s="1774"/>
      <c r="AJ52" s="1774"/>
      <c r="AK52" s="1774"/>
      <c r="AL52" s="1774"/>
      <c r="AM52" s="1774"/>
      <c r="AN52" s="1774"/>
      <c r="AO52" s="1774"/>
      <c r="AP52" s="1774"/>
      <c r="AQ52" s="1774"/>
      <c r="AR52" s="1774"/>
      <c r="AS52" s="1774"/>
      <c r="AT52" s="1775"/>
      <c r="AU52" s="1773" t="s">
        <v>770</v>
      </c>
      <c r="AV52" s="1774"/>
      <c r="AW52" s="1774"/>
      <c r="AX52" s="1774"/>
      <c r="AY52" s="1774"/>
      <c r="AZ52" s="1774"/>
      <c r="BA52" s="1774"/>
      <c r="BB52" s="1774"/>
      <c r="BC52" s="1774"/>
      <c r="BD52" s="1774"/>
      <c r="BE52" s="1774"/>
      <c r="BF52" s="1775"/>
      <c r="BG52" s="1765" t="s">
        <v>783</v>
      </c>
      <c r="BH52" s="1766"/>
      <c r="BI52" s="1766"/>
      <c r="BJ52" s="1766"/>
      <c r="BK52" s="1766"/>
      <c r="BL52" s="1766"/>
      <c r="BM52" s="1766"/>
      <c r="BN52" s="1766"/>
      <c r="BO52" s="1766"/>
      <c r="BP52" s="1766"/>
      <c r="BQ52" s="1766"/>
      <c r="BR52" s="1766"/>
      <c r="BS52" s="1766"/>
      <c r="BT52" s="1766"/>
      <c r="BU52" s="1766"/>
      <c r="BV52" s="1766"/>
      <c r="BW52" s="1766"/>
      <c r="BX52" s="1767"/>
      <c r="BY52" s="1765" t="s">
        <v>777</v>
      </c>
      <c r="BZ52" s="1766"/>
      <c r="CA52" s="1766"/>
      <c r="CB52" s="1766"/>
      <c r="CC52" s="1766"/>
      <c r="CD52" s="1766"/>
      <c r="CE52" s="1766"/>
      <c r="CF52" s="1766"/>
      <c r="CG52" s="1766"/>
      <c r="CH52" s="1766"/>
      <c r="CI52" s="1766"/>
      <c r="CJ52" s="1766"/>
      <c r="CK52" s="1766"/>
      <c r="CL52" s="1766"/>
      <c r="CM52" s="1766"/>
      <c r="CN52" s="1766"/>
      <c r="CO52" s="1766"/>
      <c r="CP52" s="1767"/>
      <c r="CQ52" s="1762">
        <v>0.01</v>
      </c>
      <c r="CR52" s="1763"/>
      <c r="CS52" s="1763"/>
      <c r="CT52" s="1763"/>
      <c r="CU52" s="1763"/>
      <c r="CV52" s="1763"/>
      <c r="CW52" s="1763"/>
      <c r="CX52" s="1763"/>
      <c r="CY52" s="1763"/>
      <c r="CZ52" s="1763"/>
      <c r="DA52" s="1763"/>
      <c r="DB52" s="1763"/>
      <c r="DC52" s="1763"/>
      <c r="DD52" s="1763"/>
      <c r="DE52" s="1763"/>
      <c r="DF52" s="1763"/>
      <c r="DG52" s="1763"/>
      <c r="DH52" s="1764"/>
      <c r="DI52" s="1753">
        <v>2</v>
      </c>
      <c r="DJ52" s="1754"/>
      <c r="DK52" s="1754"/>
      <c r="DL52" s="1754"/>
      <c r="DM52" s="1754"/>
      <c r="DN52" s="1754"/>
      <c r="DO52" s="1754"/>
      <c r="DP52" s="1754"/>
      <c r="DQ52" s="1754"/>
      <c r="DR52" s="1754"/>
      <c r="DS52" s="1754"/>
      <c r="DT52" s="1754"/>
      <c r="DU52" s="1754"/>
      <c r="DV52" s="1754"/>
      <c r="DW52" s="1754"/>
      <c r="DX52" s="1754"/>
      <c r="DY52" s="1754"/>
      <c r="DZ52" s="1755"/>
      <c r="EA52" s="1762">
        <v>0.02</v>
      </c>
      <c r="EB52" s="1763"/>
      <c r="EC52" s="1763"/>
      <c r="ED52" s="1763"/>
      <c r="EE52" s="1763"/>
      <c r="EF52" s="1763"/>
      <c r="EG52" s="1763"/>
      <c r="EH52" s="1763"/>
      <c r="EI52" s="1763"/>
      <c r="EJ52" s="1763"/>
      <c r="EK52" s="1763"/>
      <c r="EL52" s="1763"/>
      <c r="EM52" s="1763"/>
      <c r="EN52" s="1763"/>
      <c r="EO52" s="1763"/>
      <c r="EP52" s="1763"/>
      <c r="EQ52" s="1763"/>
      <c r="ER52" s="1763"/>
      <c r="ES52" s="1764"/>
      <c r="ET52" s="2288" t="str">
        <f>BG52</f>
        <v>383348-383349</v>
      </c>
      <c r="EU52" s="2288" t="str">
        <f>BY52</f>
        <v>ПК</v>
      </c>
      <c r="EV52" s="524">
        <f>CQ52</f>
        <v>0.01</v>
      </c>
      <c r="EW52" s="494">
        <v>2</v>
      </c>
      <c r="EX52" s="495">
        <v>0.02</v>
      </c>
      <c r="EY52" s="1768"/>
      <c r="EZ52" s="1768"/>
      <c r="FA52" s="1768"/>
      <c r="FB52" s="1768"/>
      <c r="FC52" s="1768"/>
      <c r="FD52" s="1768"/>
      <c r="FE52" s="1768"/>
      <c r="FF52" s="1768"/>
      <c r="FG52" s="1768"/>
      <c r="FH52" s="1768"/>
      <c r="FI52" s="1768"/>
      <c r="FJ52" s="1758"/>
      <c r="FK52" s="1759"/>
      <c r="FL52" s="1759"/>
      <c r="FM52" s="1759"/>
      <c r="FN52" s="1759"/>
      <c r="FO52" s="1759"/>
      <c r="FP52" s="1759"/>
      <c r="FQ52" s="1759"/>
      <c r="FR52" s="1759"/>
      <c r="FS52" s="1759"/>
      <c r="FT52" s="1759"/>
      <c r="FU52" s="1760"/>
      <c r="FV52" s="1753"/>
      <c r="FW52" s="1754"/>
      <c r="FX52" s="1754"/>
      <c r="FY52" s="1754"/>
      <c r="FZ52" s="1754"/>
      <c r="GA52" s="1754"/>
      <c r="GB52" s="1754"/>
      <c r="GC52" s="1754"/>
      <c r="GD52" s="1754"/>
      <c r="GE52" s="1754"/>
      <c r="GF52" s="1754"/>
      <c r="GG52" s="1755"/>
      <c r="GH52" s="1756"/>
      <c r="GI52" s="1756"/>
      <c r="GJ52" s="1756"/>
      <c r="GK52" s="1756"/>
      <c r="GL52" s="1756"/>
      <c r="GM52" s="1756"/>
      <c r="GN52" s="1756"/>
      <c r="GO52" s="1756"/>
      <c r="GP52" s="1756"/>
      <c r="GQ52" s="1756"/>
      <c r="GR52" s="1756"/>
      <c r="GS52" s="1756"/>
      <c r="GT52" s="1757"/>
      <c r="GU52" s="1757"/>
      <c r="GV52" s="1757"/>
      <c r="GW52" s="1757"/>
      <c r="GX52" s="1757"/>
      <c r="GY52" s="1757"/>
      <c r="GZ52" s="1757"/>
      <c r="HA52" s="1757"/>
      <c r="HB52" s="1757"/>
      <c r="HC52" s="1757"/>
      <c r="HD52" s="1757"/>
      <c r="HE52" s="1757"/>
      <c r="HF52" s="1758"/>
      <c r="HG52" s="1759"/>
      <c r="HH52" s="1759"/>
      <c r="HI52" s="1759"/>
      <c r="HJ52" s="1759"/>
      <c r="HK52" s="1759"/>
      <c r="HL52" s="1759"/>
      <c r="HM52" s="1759"/>
      <c r="HN52" s="1759"/>
      <c r="HO52" s="1759"/>
      <c r="HP52" s="1759"/>
      <c r="HQ52" s="1760"/>
      <c r="HR52" s="1761"/>
      <c r="HS52" s="1761"/>
      <c r="HT52" s="1761"/>
      <c r="HU52" s="1761"/>
      <c r="HV52" s="1761"/>
      <c r="HW52" s="1761"/>
      <c r="HX52" s="1761"/>
      <c r="HY52" s="1761"/>
      <c r="HZ52" s="1761"/>
      <c r="IA52" s="1761"/>
      <c r="IB52" s="1761"/>
      <c r="IC52" s="1761"/>
      <c r="ID52" s="1762"/>
      <c r="IE52" s="1763"/>
      <c r="IF52" s="1763"/>
      <c r="IG52" s="1763"/>
      <c r="IH52" s="1763"/>
      <c r="II52" s="1763"/>
      <c r="IJ52" s="1763"/>
      <c r="IK52" s="1763"/>
      <c r="IL52" s="1763"/>
      <c r="IM52" s="1763"/>
      <c r="IN52" s="1764"/>
    </row>
    <row r="53" spans="1:248" ht="36.75" customHeight="1">
      <c r="A53" s="1769">
        <v>6</v>
      </c>
      <c r="B53" s="1769"/>
      <c r="C53" s="1769"/>
      <c r="D53" s="1769"/>
      <c r="E53" s="1769"/>
      <c r="F53" s="1769"/>
      <c r="G53" s="1769"/>
      <c r="H53" s="1769"/>
      <c r="I53" s="1769"/>
      <c r="J53" s="1769"/>
      <c r="K53" s="1770" t="s">
        <v>784</v>
      </c>
      <c r="L53" s="1771"/>
      <c r="M53" s="1771"/>
      <c r="N53" s="1771"/>
      <c r="O53" s="1771"/>
      <c r="P53" s="1771"/>
      <c r="Q53" s="1771"/>
      <c r="R53" s="1771"/>
      <c r="S53" s="1771"/>
      <c r="T53" s="1771"/>
      <c r="U53" s="1771"/>
      <c r="V53" s="1771"/>
      <c r="W53" s="1771"/>
      <c r="X53" s="1771"/>
      <c r="Y53" s="1771"/>
      <c r="Z53" s="1771"/>
      <c r="AA53" s="1771"/>
      <c r="AB53" s="1771"/>
      <c r="AC53" s="1771"/>
      <c r="AD53" s="1771"/>
      <c r="AE53" s="1771"/>
      <c r="AF53" s="1772"/>
      <c r="AG53" s="1773">
        <v>1001010830</v>
      </c>
      <c r="AH53" s="1774"/>
      <c r="AI53" s="1774"/>
      <c r="AJ53" s="1774"/>
      <c r="AK53" s="1774"/>
      <c r="AL53" s="1774"/>
      <c r="AM53" s="1774"/>
      <c r="AN53" s="1774"/>
      <c r="AO53" s="1774"/>
      <c r="AP53" s="1774"/>
      <c r="AQ53" s="1774"/>
      <c r="AR53" s="1774"/>
      <c r="AS53" s="1774"/>
      <c r="AT53" s="1775"/>
      <c r="AU53" s="1773" t="s">
        <v>770</v>
      </c>
      <c r="AV53" s="1774"/>
      <c r="AW53" s="1774"/>
      <c r="AX53" s="1774"/>
      <c r="AY53" s="1774"/>
      <c r="AZ53" s="1774"/>
      <c r="BA53" s="1774"/>
      <c r="BB53" s="1774"/>
      <c r="BC53" s="1774"/>
      <c r="BD53" s="1774"/>
      <c r="BE53" s="1774"/>
      <c r="BF53" s="1775"/>
      <c r="BG53" s="1765" t="s">
        <v>785</v>
      </c>
      <c r="BH53" s="1766"/>
      <c r="BI53" s="1766"/>
      <c r="BJ53" s="1766"/>
      <c r="BK53" s="1766"/>
      <c r="BL53" s="1766"/>
      <c r="BM53" s="1766"/>
      <c r="BN53" s="1766"/>
      <c r="BO53" s="1766"/>
      <c r="BP53" s="1766"/>
      <c r="BQ53" s="1766"/>
      <c r="BR53" s="1766"/>
      <c r="BS53" s="1766"/>
      <c r="BT53" s="1766"/>
      <c r="BU53" s="1766"/>
      <c r="BV53" s="1766"/>
      <c r="BW53" s="1766"/>
      <c r="BX53" s="1767"/>
      <c r="BY53" s="1765" t="s">
        <v>786</v>
      </c>
      <c r="BZ53" s="1766"/>
      <c r="CA53" s="1766"/>
      <c r="CB53" s="1766"/>
      <c r="CC53" s="1766"/>
      <c r="CD53" s="1766"/>
      <c r="CE53" s="1766"/>
      <c r="CF53" s="1766"/>
      <c r="CG53" s="1766"/>
      <c r="CH53" s="1766"/>
      <c r="CI53" s="1766"/>
      <c r="CJ53" s="1766"/>
      <c r="CK53" s="1766"/>
      <c r="CL53" s="1766"/>
      <c r="CM53" s="1766"/>
      <c r="CN53" s="1766"/>
      <c r="CO53" s="1766"/>
      <c r="CP53" s="1767"/>
      <c r="CQ53" s="1762">
        <v>0</v>
      </c>
      <c r="CR53" s="1763"/>
      <c r="CS53" s="1763"/>
      <c r="CT53" s="1763"/>
      <c r="CU53" s="1763"/>
      <c r="CV53" s="1763"/>
      <c r="CW53" s="1763"/>
      <c r="CX53" s="1763"/>
      <c r="CY53" s="1763"/>
      <c r="CZ53" s="1763"/>
      <c r="DA53" s="1763"/>
      <c r="DB53" s="1763"/>
      <c r="DC53" s="1763"/>
      <c r="DD53" s="1763"/>
      <c r="DE53" s="1763"/>
      <c r="DF53" s="1763"/>
      <c r="DG53" s="1763"/>
      <c r="DH53" s="1764"/>
      <c r="DI53" s="1753">
        <v>22</v>
      </c>
      <c r="DJ53" s="1754"/>
      <c r="DK53" s="1754"/>
      <c r="DL53" s="1754"/>
      <c r="DM53" s="1754"/>
      <c r="DN53" s="1754"/>
      <c r="DO53" s="1754"/>
      <c r="DP53" s="1754"/>
      <c r="DQ53" s="1754"/>
      <c r="DR53" s="1754"/>
      <c r="DS53" s="1754"/>
      <c r="DT53" s="1754"/>
      <c r="DU53" s="1754"/>
      <c r="DV53" s="1754"/>
      <c r="DW53" s="1754"/>
      <c r="DX53" s="1754"/>
      <c r="DY53" s="1754"/>
      <c r="DZ53" s="1755"/>
      <c r="EA53" s="1762">
        <v>0</v>
      </c>
      <c r="EB53" s="1763"/>
      <c r="EC53" s="1763"/>
      <c r="ED53" s="1763"/>
      <c r="EE53" s="1763"/>
      <c r="EF53" s="1763"/>
      <c r="EG53" s="1763"/>
      <c r="EH53" s="1763"/>
      <c r="EI53" s="1763"/>
      <c r="EJ53" s="1763"/>
      <c r="EK53" s="1763"/>
      <c r="EL53" s="1763"/>
      <c r="EM53" s="1763"/>
      <c r="EN53" s="1763"/>
      <c r="EO53" s="1763"/>
      <c r="EP53" s="1763"/>
      <c r="EQ53" s="1763"/>
      <c r="ER53" s="1763"/>
      <c r="ES53" s="1764"/>
      <c r="ET53" s="2288" t="str">
        <f>BG53</f>
        <v>0742503-0742524</v>
      </c>
      <c r="EU53" s="2288" t="str">
        <f>BY53</f>
        <v>ВТ</v>
      </c>
      <c r="EV53" s="524">
        <f>CQ53</f>
        <v>0</v>
      </c>
      <c r="EW53" s="494">
        <v>22</v>
      </c>
      <c r="EX53" s="495">
        <v>0</v>
      </c>
      <c r="EY53" s="1768"/>
      <c r="EZ53" s="1768"/>
      <c r="FA53" s="1768"/>
      <c r="FB53" s="1768"/>
      <c r="FC53" s="1768"/>
      <c r="FD53" s="1768"/>
      <c r="FE53" s="1768"/>
      <c r="FF53" s="1768"/>
      <c r="FG53" s="1768"/>
      <c r="FH53" s="1768"/>
      <c r="FI53" s="1768"/>
      <c r="FJ53" s="1758"/>
      <c r="FK53" s="1759"/>
      <c r="FL53" s="1759"/>
      <c r="FM53" s="1759"/>
      <c r="FN53" s="1759"/>
      <c r="FO53" s="1759"/>
      <c r="FP53" s="1759"/>
      <c r="FQ53" s="1759"/>
      <c r="FR53" s="1759"/>
      <c r="FS53" s="1759"/>
      <c r="FT53" s="1759"/>
      <c r="FU53" s="1760"/>
      <c r="FV53" s="1753"/>
      <c r="FW53" s="1754"/>
      <c r="FX53" s="1754"/>
      <c r="FY53" s="1754"/>
      <c r="FZ53" s="1754"/>
      <c r="GA53" s="1754"/>
      <c r="GB53" s="1754"/>
      <c r="GC53" s="1754"/>
      <c r="GD53" s="1754"/>
      <c r="GE53" s="1754"/>
      <c r="GF53" s="1754"/>
      <c r="GG53" s="1755"/>
      <c r="GH53" s="1756"/>
      <c r="GI53" s="1756"/>
      <c r="GJ53" s="1756"/>
      <c r="GK53" s="1756"/>
      <c r="GL53" s="1756"/>
      <c r="GM53" s="1756"/>
      <c r="GN53" s="1756"/>
      <c r="GO53" s="1756"/>
      <c r="GP53" s="1756"/>
      <c r="GQ53" s="1756"/>
      <c r="GR53" s="1756"/>
      <c r="GS53" s="1756"/>
      <c r="GT53" s="1757"/>
      <c r="GU53" s="1757"/>
      <c r="GV53" s="1757"/>
      <c r="GW53" s="1757"/>
      <c r="GX53" s="1757"/>
      <c r="GY53" s="1757"/>
      <c r="GZ53" s="1757"/>
      <c r="HA53" s="1757"/>
      <c r="HB53" s="1757"/>
      <c r="HC53" s="1757"/>
      <c r="HD53" s="1757"/>
      <c r="HE53" s="1757"/>
      <c r="HF53" s="1758"/>
      <c r="HG53" s="1759"/>
      <c r="HH53" s="1759"/>
      <c r="HI53" s="1759"/>
      <c r="HJ53" s="1759"/>
      <c r="HK53" s="1759"/>
      <c r="HL53" s="1759"/>
      <c r="HM53" s="1759"/>
      <c r="HN53" s="1759"/>
      <c r="HO53" s="1759"/>
      <c r="HP53" s="1759"/>
      <c r="HQ53" s="1760"/>
      <c r="HR53" s="1761"/>
      <c r="HS53" s="1761"/>
      <c r="HT53" s="1761"/>
      <c r="HU53" s="1761"/>
      <c r="HV53" s="1761"/>
      <c r="HW53" s="1761"/>
      <c r="HX53" s="1761"/>
      <c r="HY53" s="1761"/>
      <c r="HZ53" s="1761"/>
      <c r="IA53" s="1761"/>
      <c r="IB53" s="1761"/>
      <c r="IC53" s="1761"/>
      <c r="ID53" s="1762"/>
      <c r="IE53" s="1763"/>
      <c r="IF53" s="1763"/>
      <c r="IG53" s="1763"/>
      <c r="IH53" s="1763"/>
      <c r="II53" s="1763"/>
      <c r="IJ53" s="1763"/>
      <c r="IK53" s="1763"/>
      <c r="IL53" s="1763"/>
      <c r="IM53" s="1763"/>
      <c r="IN53" s="1764"/>
    </row>
    <row r="54" spans="1:248" ht="36.75" customHeight="1">
      <c r="A54" s="1769">
        <v>7</v>
      </c>
      <c r="B54" s="1769"/>
      <c r="C54" s="1769"/>
      <c r="D54" s="1769"/>
      <c r="E54" s="1769"/>
      <c r="F54" s="1769"/>
      <c r="G54" s="1769"/>
      <c r="H54" s="1769"/>
      <c r="I54" s="1769"/>
      <c r="J54" s="1769"/>
      <c r="K54" s="1770" t="s">
        <v>788</v>
      </c>
      <c r="L54" s="1771"/>
      <c r="M54" s="1771"/>
      <c r="N54" s="1771"/>
      <c r="O54" s="1771"/>
      <c r="P54" s="1771"/>
      <c r="Q54" s="1771"/>
      <c r="R54" s="1771"/>
      <c r="S54" s="1771"/>
      <c r="T54" s="1771"/>
      <c r="U54" s="1771"/>
      <c r="V54" s="1771"/>
      <c r="W54" s="1771"/>
      <c r="X54" s="1771"/>
      <c r="Y54" s="1771"/>
      <c r="Z54" s="1771"/>
      <c r="AA54" s="1771"/>
      <c r="AB54" s="1771"/>
      <c r="AC54" s="1771"/>
      <c r="AD54" s="1771"/>
      <c r="AE54" s="1771"/>
      <c r="AF54" s="1772"/>
      <c r="AG54" s="1773">
        <v>1001010832</v>
      </c>
      <c r="AH54" s="1774"/>
      <c r="AI54" s="1774"/>
      <c r="AJ54" s="1774"/>
      <c r="AK54" s="1774"/>
      <c r="AL54" s="1774"/>
      <c r="AM54" s="1774"/>
      <c r="AN54" s="1774"/>
      <c r="AO54" s="1774"/>
      <c r="AP54" s="1774"/>
      <c r="AQ54" s="1774"/>
      <c r="AR54" s="1774"/>
      <c r="AS54" s="1774"/>
      <c r="AT54" s="1775"/>
      <c r="AU54" s="1773" t="s">
        <v>770</v>
      </c>
      <c r="AV54" s="1774"/>
      <c r="AW54" s="1774"/>
      <c r="AX54" s="1774"/>
      <c r="AY54" s="1774"/>
      <c r="AZ54" s="1774"/>
      <c r="BA54" s="1774"/>
      <c r="BB54" s="1774"/>
      <c r="BC54" s="1774"/>
      <c r="BD54" s="1774"/>
      <c r="BE54" s="1774"/>
      <c r="BF54" s="1775"/>
      <c r="BG54" s="1765" t="s">
        <v>789</v>
      </c>
      <c r="BH54" s="1766"/>
      <c r="BI54" s="1766"/>
      <c r="BJ54" s="1766"/>
      <c r="BK54" s="1766"/>
      <c r="BL54" s="1766"/>
      <c r="BM54" s="1766"/>
      <c r="BN54" s="1766"/>
      <c r="BO54" s="1766"/>
      <c r="BP54" s="1766"/>
      <c r="BQ54" s="1766"/>
      <c r="BR54" s="1766"/>
      <c r="BS54" s="1766"/>
      <c r="BT54" s="1766"/>
      <c r="BU54" s="1766"/>
      <c r="BV54" s="1766"/>
      <c r="BW54" s="1766"/>
      <c r="BX54" s="1767"/>
      <c r="BY54" s="1765" t="s">
        <v>777</v>
      </c>
      <c r="BZ54" s="1766"/>
      <c r="CA54" s="1766"/>
      <c r="CB54" s="1766"/>
      <c r="CC54" s="1766"/>
      <c r="CD54" s="1766"/>
      <c r="CE54" s="1766"/>
      <c r="CF54" s="1766"/>
      <c r="CG54" s="1766"/>
      <c r="CH54" s="1766"/>
      <c r="CI54" s="1766"/>
      <c r="CJ54" s="1766"/>
      <c r="CK54" s="1766"/>
      <c r="CL54" s="1766"/>
      <c r="CM54" s="1766"/>
      <c r="CN54" s="1766"/>
      <c r="CO54" s="1766"/>
      <c r="CP54" s="1767"/>
      <c r="CQ54" s="1762">
        <v>0</v>
      </c>
      <c r="CR54" s="1763"/>
      <c r="CS54" s="1763"/>
      <c r="CT54" s="1763"/>
      <c r="CU54" s="1763"/>
      <c r="CV54" s="1763"/>
      <c r="CW54" s="1763"/>
      <c r="CX54" s="1763"/>
      <c r="CY54" s="1763"/>
      <c r="CZ54" s="1763"/>
      <c r="DA54" s="1763"/>
      <c r="DB54" s="1763"/>
      <c r="DC54" s="1763"/>
      <c r="DD54" s="1763"/>
      <c r="DE54" s="1763"/>
      <c r="DF54" s="1763"/>
      <c r="DG54" s="1763"/>
      <c r="DH54" s="1764"/>
      <c r="DI54" s="1753">
        <v>1</v>
      </c>
      <c r="DJ54" s="1754"/>
      <c r="DK54" s="1754"/>
      <c r="DL54" s="1754"/>
      <c r="DM54" s="1754"/>
      <c r="DN54" s="1754"/>
      <c r="DO54" s="1754"/>
      <c r="DP54" s="1754"/>
      <c r="DQ54" s="1754"/>
      <c r="DR54" s="1754"/>
      <c r="DS54" s="1754"/>
      <c r="DT54" s="1754"/>
      <c r="DU54" s="1754"/>
      <c r="DV54" s="1754"/>
      <c r="DW54" s="1754"/>
      <c r="DX54" s="1754"/>
      <c r="DY54" s="1754"/>
      <c r="DZ54" s="1755"/>
      <c r="EA54" s="1762">
        <v>0</v>
      </c>
      <c r="EB54" s="1763"/>
      <c r="EC54" s="1763"/>
      <c r="ED54" s="1763"/>
      <c r="EE54" s="1763"/>
      <c r="EF54" s="1763"/>
      <c r="EG54" s="1763"/>
      <c r="EH54" s="1763"/>
      <c r="EI54" s="1763"/>
      <c r="EJ54" s="1763"/>
      <c r="EK54" s="1763"/>
      <c r="EL54" s="1763"/>
      <c r="EM54" s="1763"/>
      <c r="EN54" s="1763"/>
      <c r="EO54" s="1763"/>
      <c r="EP54" s="1763"/>
      <c r="EQ54" s="1763"/>
      <c r="ER54" s="1763"/>
      <c r="ES54" s="1764"/>
      <c r="ET54" s="2288" t="str">
        <f>BG54</f>
        <v>603099</v>
      </c>
      <c r="EU54" s="2288" t="str">
        <f>BY54</f>
        <v>ПК</v>
      </c>
      <c r="EV54" s="524">
        <f>CQ54</f>
        <v>0</v>
      </c>
      <c r="EW54" s="494">
        <v>1</v>
      </c>
      <c r="EX54" s="495">
        <v>0</v>
      </c>
      <c r="EY54" s="1768"/>
      <c r="EZ54" s="1768"/>
      <c r="FA54" s="1768"/>
      <c r="FB54" s="1768"/>
      <c r="FC54" s="1768"/>
      <c r="FD54" s="1768"/>
      <c r="FE54" s="1768"/>
      <c r="FF54" s="1768"/>
      <c r="FG54" s="1768"/>
      <c r="FH54" s="1768"/>
      <c r="FI54" s="1768"/>
      <c r="FJ54" s="1758"/>
      <c r="FK54" s="1759"/>
      <c r="FL54" s="1759"/>
      <c r="FM54" s="1759"/>
      <c r="FN54" s="1759"/>
      <c r="FO54" s="1759"/>
      <c r="FP54" s="1759"/>
      <c r="FQ54" s="1759"/>
      <c r="FR54" s="1759"/>
      <c r="FS54" s="1759"/>
      <c r="FT54" s="1759"/>
      <c r="FU54" s="1760"/>
      <c r="FV54" s="1753"/>
      <c r="FW54" s="1754"/>
      <c r="FX54" s="1754"/>
      <c r="FY54" s="1754"/>
      <c r="FZ54" s="1754"/>
      <c r="GA54" s="1754"/>
      <c r="GB54" s="1754"/>
      <c r="GC54" s="1754"/>
      <c r="GD54" s="1754"/>
      <c r="GE54" s="1754"/>
      <c r="GF54" s="1754"/>
      <c r="GG54" s="1755"/>
      <c r="GH54" s="1756"/>
      <c r="GI54" s="1756"/>
      <c r="GJ54" s="1756"/>
      <c r="GK54" s="1756"/>
      <c r="GL54" s="1756"/>
      <c r="GM54" s="1756"/>
      <c r="GN54" s="1756"/>
      <c r="GO54" s="1756"/>
      <c r="GP54" s="1756"/>
      <c r="GQ54" s="1756"/>
      <c r="GR54" s="1756"/>
      <c r="GS54" s="1756"/>
      <c r="GT54" s="1757"/>
      <c r="GU54" s="1757"/>
      <c r="GV54" s="1757"/>
      <c r="GW54" s="1757"/>
      <c r="GX54" s="1757"/>
      <c r="GY54" s="1757"/>
      <c r="GZ54" s="1757"/>
      <c r="HA54" s="1757"/>
      <c r="HB54" s="1757"/>
      <c r="HC54" s="1757"/>
      <c r="HD54" s="1757"/>
      <c r="HE54" s="1757"/>
      <c r="HF54" s="1758"/>
      <c r="HG54" s="1759"/>
      <c r="HH54" s="1759"/>
      <c r="HI54" s="1759"/>
      <c r="HJ54" s="1759"/>
      <c r="HK54" s="1759"/>
      <c r="HL54" s="1759"/>
      <c r="HM54" s="1759"/>
      <c r="HN54" s="1759"/>
      <c r="HO54" s="1759"/>
      <c r="HP54" s="1759"/>
      <c r="HQ54" s="1760"/>
      <c r="HR54" s="1761"/>
      <c r="HS54" s="1761"/>
      <c r="HT54" s="1761"/>
      <c r="HU54" s="1761"/>
      <c r="HV54" s="1761"/>
      <c r="HW54" s="1761"/>
      <c r="HX54" s="1761"/>
      <c r="HY54" s="1761"/>
      <c r="HZ54" s="1761"/>
      <c r="IA54" s="1761"/>
      <c r="IB54" s="1761"/>
      <c r="IC54" s="1761"/>
      <c r="ID54" s="1762"/>
      <c r="IE54" s="1763"/>
      <c r="IF54" s="1763"/>
      <c r="IG54" s="1763"/>
      <c r="IH54" s="1763"/>
      <c r="II54" s="1763"/>
      <c r="IJ54" s="1763"/>
      <c r="IK54" s="1763"/>
      <c r="IL54" s="1763"/>
      <c r="IM54" s="1763"/>
      <c r="IN54" s="1764"/>
    </row>
    <row r="55" spans="1:248" ht="36.75" customHeight="1">
      <c r="A55" s="1769">
        <v>8</v>
      </c>
      <c r="B55" s="1769"/>
      <c r="C55" s="1769"/>
      <c r="D55" s="1769"/>
      <c r="E55" s="1769"/>
      <c r="F55" s="1769"/>
      <c r="G55" s="1769"/>
      <c r="H55" s="1769"/>
      <c r="I55" s="1769"/>
      <c r="J55" s="1769"/>
      <c r="K55" s="1770" t="s">
        <v>791</v>
      </c>
      <c r="L55" s="1771"/>
      <c r="M55" s="1771"/>
      <c r="N55" s="1771"/>
      <c r="O55" s="1771"/>
      <c r="P55" s="1771"/>
      <c r="Q55" s="1771"/>
      <c r="R55" s="1771"/>
      <c r="S55" s="1771"/>
      <c r="T55" s="1771"/>
      <c r="U55" s="1771"/>
      <c r="V55" s="1771"/>
      <c r="W55" s="1771"/>
      <c r="X55" s="1771"/>
      <c r="Y55" s="1771"/>
      <c r="Z55" s="1771"/>
      <c r="AA55" s="1771"/>
      <c r="AB55" s="1771"/>
      <c r="AC55" s="1771"/>
      <c r="AD55" s="1771"/>
      <c r="AE55" s="1771"/>
      <c r="AF55" s="1772"/>
      <c r="AG55" s="1773">
        <v>1001010833</v>
      </c>
      <c r="AH55" s="1774"/>
      <c r="AI55" s="1774"/>
      <c r="AJ55" s="1774"/>
      <c r="AK55" s="1774"/>
      <c r="AL55" s="1774"/>
      <c r="AM55" s="1774"/>
      <c r="AN55" s="1774"/>
      <c r="AO55" s="1774"/>
      <c r="AP55" s="1774"/>
      <c r="AQ55" s="1774"/>
      <c r="AR55" s="1774"/>
      <c r="AS55" s="1774"/>
      <c r="AT55" s="1775"/>
      <c r="AU55" s="1773" t="s">
        <v>770</v>
      </c>
      <c r="AV55" s="1774"/>
      <c r="AW55" s="1774"/>
      <c r="AX55" s="1774"/>
      <c r="AY55" s="1774"/>
      <c r="AZ55" s="1774"/>
      <c r="BA55" s="1774"/>
      <c r="BB55" s="1774"/>
      <c r="BC55" s="1774"/>
      <c r="BD55" s="1774"/>
      <c r="BE55" s="1774"/>
      <c r="BF55" s="1775"/>
      <c r="BG55" s="1765" t="s">
        <v>792</v>
      </c>
      <c r="BH55" s="1766"/>
      <c r="BI55" s="1766"/>
      <c r="BJ55" s="1766"/>
      <c r="BK55" s="1766"/>
      <c r="BL55" s="1766"/>
      <c r="BM55" s="1766"/>
      <c r="BN55" s="1766"/>
      <c r="BO55" s="1766"/>
      <c r="BP55" s="1766"/>
      <c r="BQ55" s="1766"/>
      <c r="BR55" s="1766"/>
      <c r="BS55" s="1766"/>
      <c r="BT55" s="1766"/>
      <c r="BU55" s="1766"/>
      <c r="BV55" s="1766"/>
      <c r="BW55" s="1766"/>
      <c r="BX55" s="1767"/>
      <c r="BY55" s="1765" t="s">
        <v>777</v>
      </c>
      <c r="BZ55" s="1766"/>
      <c r="CA55" s="1766"/>
      <c r="CB55" s="1766"/>
      <c r="CC55" s="1766"/>
      <c r="CD55" s="1766"/>
      <c r="CE55" s="1766"/>
      <c r="CF55" s="1766"/>
      <c r="CG55" s="1766"/>
      <c r="CH55" s="1766"/>
      <c r="CI55" s="1766"/>
      <c r="CJ55" s="1766"/>
      <c r="CK55" s="1766"/>
      <c r="CL55" s="1766"/>
      <c r="CM55" s="1766"/>
      <c r="CN55" s="1766"/>
      <c r="CO55" s="1766"/>
      <c r="CP55" s="1767"/>
      <c r="CQ55" s="1762">
        <v>0</v>
      </c>
      <c r="CR55" s="1763"/>
      <c r="CS55" s="1763"/>
      <c r="CT55" s="1763"/>
      <c r="CU55" s="1763"/>
      <c r="CV55" s="1763"/>
      <c r="CW55" s="1763"/>
      <c r="CX55" s="1763"/>
      <c r="CY55" s="1763"/>
      <c r="CZ55" s="1763"/>
      <c r="DA55" s="1763"/>
      <c r="DB55" s="1763"/>
      <c r="DC55" s="1763"/>
      <c r="DD55" s="1763"/>
      <c r="DE55" s="1763"/>
      <c r="DF55" s="1763"/>
      <c r="DG55" s="1763"/>
      <c r="DH55" s="1764"/>
      <c r="DI55" s="1753">
        <v>1</v>
      </c>
      <c r="DJ55" s="1754"/>
      <c r="DK55" s="1754"/>
      <c r="DL55" s="1754"/>
      <c r="DM55" s="1754"/>
      <c r="DN55" s="1754"/>
      <c r="DO55" s="1754"/>
      <c r="DP55" s="1754"/>
      <c r="DQ55" s="1754"/>
      <c r="DR55" s="1754"/>
      <c r="DS55" s="1754"/>
      <c r="DT55" s="1754"/>
      <c r="DU55" s="1754"/>
      <c r="DV55" s="1754"/>
      <c r="DW55" s="1754"/>
      <c r="DX55" s="1754"/>
      <c r="DY55" s="1754"/>
      <c r="DZ55" s="1755"/>
      <c r="EA55" s="1762">
        <v>0</v>
      </c>
      <c r="EB55" s="1763"/>
      <c r="EC55" s="1763"/>
      <c r="ED55" s="1763"/>
      <c r="EE55" s="1763"/>
      <c r="EF55" s="1763"/>
      <c r="EG55" s="1763"/>
      <c r="EH55" s="1763"/>
      <c r="EI55" s="1763"/>
      <c r="EJ55" s="1763"/>
      <c r="EK55" s="1763"/>
      <c r="EL55" s="1763"/>
      <c r="EM55" s="1763"/>
      <c r="EN55" s="1763"/>
      <c r="EO55" s="1763"/>
      <c r="EP55" s="1763"/>
      <c r="EQ55" s="1763"/>
      <c r="ER55" s="1763"/>
      <c r="ES55" s="1764"/>
      <c r="ET55" s="2288" t="str">
        <f>BG55</f>
        <v>603100</v>
      </c>
      <c r="EU55" s="2288" t="str">
        <f>BY55</f>
        <v>ПК</v>
      </c>
      <c r="EV55" s="524">
        <f>CQ55</f>
        <v>0</v>
      </c>
      <c r="EW55" s="494">
        <v>1</v>
      </c>
      <c r="EX55" s="495">
        <v>0</v>
      </c>
      <c r="EY55" s="1768"/>
      <c r="EZ55" s="1768"/>
      <c r="FA55" s="1768"/>
      <c r="FB55" s="1768"/>
      <c r="FC55" s="1768"/>
      <c r="FD55" s="1768"/>
      <c r="FE55" s="1768"/>
      <c r="FF55" s="1768"/>
      <c r="FG55" s="1768"/>
      <c r="FH55" s="1768"/>
      <c r="FI55" s="1768"/>
      <c r="FJ55" s="1758"/>
      <c r="FK55" s="1759"/>
      <c r="FL55" s="1759"/>
      <c r="FM55" s="1759"/>
      <c r="FN55" s="1759"/>
      <c r="FO55" s="1759"/>
      <c r="FP55" s="1759"/>
      <c r="FQ55" s="1759"/>
      <c r="FR55" s="1759"/>
      <c r="FS55" s="1759"/>
      <c r="FT55" s="1759"/>
      <c r="FU55" s="1760"/>
      <c r="FV55" s="1753"/>
      <c r="FW55" s="1754"/>
      <c r="FX55" s="1754"/>
      <c r="FY55" s="1754"/>
      <c r="FZ55" s="1754"/>
      <c r="GA55" s="1754"/>
      <c r="GB55" s="1754"/>
      <c r="GC55" s="1754"/>
      <c r="GD55" s="1754"/>
      <c r="GE55" s="1754"/>
      <c r="GF55" s="1754"/>
      <c r="GG55" s="1755"/>
      <c r="GH55" s="1756"/>
      <c r="GI55" s="1756"/>
      <c r="GJ55" s="1756"/>
      <c r="GK55" s="1756"/>
      <c r="GL55" s="1756"/>
      <c r="GM55" s="1756"/>
      <c r="GN55" s="1756"/>
      <c r="GO55" s="1756"/>
      <c r="GP55" s="1756"/>
      <c r="GQ55" s="1756"/>
      <c r="GR55" s="1756"/>
      <c r="GS55" s="1756"/>
      <c r="GT55" s="1757"/>
      <c r="GU55" s="1757"/>
      <c r="GV55" s="1757"/>
      <c r="GW55" s="1757"/>
      <c r="GX55" s="1757"/>
      <c r="GY55" s="1757"/>
      <c r="GZ55" s="1757"/>
      <c r="HA55" s="1757"/>
      <c r="HB55" s="1757"/>
      <c r="HC55" s="1757"/>
      <c r="HD55" s="1757"/>
      <c r="HE55" s="1757"/>
      <c r="HF55" s="1758"/>
      <c r="HG55" s="1759"/>
      <c r="HH55" s="1759"/>
      <c r="HI55" s="1759"/>
      <c r="HJ55" s="1759"/>
      <c r="HK55" s="1759"/>
      <c r="HL55" s="1759"/>
      <c r="HM55" s="1759"/>
      <c r="HN55" s="1759"/>
      <c r="HO55" s="1759"/>
      <c r="HP55" s="1759"/>
      <c r="HQ55" s="1760"/>
      <c r="HR55" s="1761"/>
      <c r="HS55" s="1761"/>
      <c r="HT55" s="1761"/>
      <c r="HU55" s="1761"/>
      <c r="HV55" s="1761"/>
      <c r="HW55" s="1761"/>
      <c r="HX55" s="1761"/>
      <c r="HY55" s="1761"/>
      <c r="HZ55" s="1761"/>
      <c r="IA55" s="1761"/>
      <c r="IB55" s="1761"/>
      <c r="IC55" s="1761"/>
      <c r="ID55" s="1762"/>
      <c r="IE55" s="1763"/>
      <c r="IF55" s="1763"/>
      <c r="IG55" s="1763"/>
      <c r="IH55" s="1763"/>
      <c r="II55" s="1763"/>
      <c r="IJ55" s="1763"/>
      <c r="IK55" s="1763"/>
      <c r="IL55" s="1763"/>
      <c r="IM55" s="1763"/>
      <c r="IN55" s="1764"/>
    </row>
    <row r="56" spans="1:248" ht="36.75" customHeight="1">
      <c r="A56" s="1769">
        <v>9</v>
      </c>
      <c r="B56" s="1769"/>
      <c r="C56" s="1769"/>
      <c r="D56" s="1769"/>
      <c r="E56" s="1769"/>
      <c r="F56" s="1769"/>
      <c r="G56" s="1769"/>
      <c r="H56" s="1769"/>
      <c r="I56" s="1769"/>
      <c r="J56" s="1769"/>
      <c r="K56" s="1770" t="s">
        <v>794</v>
      </c>
      <c r="L56" s="1771"/>
      <c r="M56" s="1771"/>
      <c r="N56" s="1771"/>
      <c r="O56" s="1771"/>
      <c r="P56" s="1771"/>
      <c r="Q56" s="1771"/>
      <c r="R56" s="1771"/>
      <c r="S56" s="1771"/>
      <c r="T56" s="1771"/>
      <c r="U56" s="1771"/>
      <c r="V56" s="1771"/>
      <c r="W56" s="1771"/>
      <c r="X56" s="1771"/>
      <c r="Y56" s="1771"/>
      <c r="Z56" s="1771"/>
      <c r="AA56" s="1771"/>
      <c r="AB56" s="1771"/>
      <c r="AC56" s="1771"/>
      <c r="AD56" s="1771"/>
      <c r="AE56" s="1771"/>
      <c r="AF56" s="1772"/>
      <c r="AG56" s="1773">
        <v>1001010834</v>
      </c>
      <c r="AH56" s="1774"/>
      <c r="AI56" s="1774"/>
      <c r="AJ56" s="1774"/>
      <c r="AK56" s="1774"/>
      <c r="AL56" s="1774"/>
      <c r="AM56" s="1774"/>
      <c r="AN56" s="1774"/>
      <c r="AO56" s="1774"/>
      <c r="AP56" s="1774"/>
      <c r="AQ56" s="1774"/>
      <c r="AR56" s="1774"/>
      <c r="AS56" s="1774"/>
      <c r="AT56" s="1775"/>
      <c r="AU56" s="1773" t="s">
        <v>770</v>
      </c>
      <c r="AV56" s="1774"/>
      <c r="AW56" s="1774"/>
      <c r="AX56" s="1774"/>
      <c r="AY56" s="1774"/>
      <c r="AZ56" s="1774"/>
      <c r="BA56" s="1774"/>
      <c r="BB56" s="1774"/>
      <c r="BC56" s="1774"/>
      <c r="BD56" s="1774"/>
      <c r="BE56" s="1774"/>
      <c r="BF56" s="1775"/>
      <c r="BG56" s="1765" t="s">
        <v>795</v>
      </c>
      <c r="BH56" s="1766"/>
      <c r="BI56" s="1766"/>
      <c r="BJ56" s="1766"/>
      <c r="BK56" s="1766"/>
      <c r="BL56" s="1766"/>
      <c r="BM56" s="1766"/>
      <c r="BN56" s="1766"/>
      <c r="BO56" s="1766"/>
      <c r="BP56" s="1766"/>
      <c r="BQ56" s="1766"/>
      <c r="BR56" s="1766"/>
      <c r="BS56" s="1766"/>
      <c r="BT56" s="1766"/>
      <c r="BU56" s="1766"/>
      <c r="BV56" s="1766"/>
      <c r="BW56" s="1766"/>
      <c r="BX56" s="1767"/>
      <c r="BY56" s="1765" t="s">
        <v>777</v>
      </c>
      <c r="BZ56" s="1766"/>
      <c r="CA56" s="1766"/>
      <c r="CB56" s="1766"/>
      <c r="CC56" s="1766"/>
      <c r="CD56" s="1766"/>
      <c r="CE56" s="1766"/>
      <c r="CF56" s="1766"/>
      <c r="CG56" s="1766"/>
      <c r="CH56" s="1766"/>
      <c r="CI56" s="1766"/>
      <c r="CJ56" s="1766"/>
      <c r="CK56" s="1766"/>
      <c r="CL56" s="1766"/>
      <c r="CM56" s="1766"/>
      <c r="CN56" s="1766"/>
      <c r="CO56" s="1766"/>
      <c r="CP56" s="1767"/>
      <c r="CQ56" s="1762">
        <v>0.01</v>
      </c>
      <c r="CR56" s="1763"/>
      <c r="CS56" s="1763"/>
      <c r="CT56" s="1763"/>
      <c r="CU56" s="1763"/>
      <c r="CV56" s="1763"/>
      <c r="CW56" s="1763"/>
      <c r="CX56" s="1763"/>
      <c r="CY56" s="1763"/>
      <c r="CZ56" s="1763"/>
      <c r="DA56" s="1763"/>
      <c r="DB56" s="1763"/>
      <c r="DC56" s="1763"/>
      <c r="DD56" s="1763"/>
      <c r="DE56" s="1763"/>
      <c r="DF56" s="1763"/>
      <c r="DG56" s="1763"/>
      <c r="DH56" s="1764"/>
      <c r="DI56" s="1753">
        <v>1</v>
      </c>
      <c r="DJ56" s="1754"/>
      <c r="DK56" s="1754"/>
      <c r="DL56" s="1754"/>
      <c r="DM56" s="1754"/>
      <c r="DN56" s="1754"/>
      <c r="DO56" s="1754"/>
      <c r="DP56" s="1754"/>
      <c r="DQ56" s="1754"/>
      <c r="DR56" s="1754"/>
      <c r="DS56" s="1754"/>
      <c r="DT56" s="1754"/>
      <c r="DU56" s="1754"/>
      <c r="DV56" s="1754"/>
      <c r="DW56" s="1754"/>
      <c r="DX56" s="1754"/>
      <c r="DY56" s="1754"/>
      <c r="DZ56" s="1755"/>
      <c r="EA56" s="1762">
        <v>0.01</v>
      </c>
      <c r="EB56" s="1763"/>
      <c r="EC56" s="1763"/>
      <c r="ED56" s="1763"/>
      <c r="EE56" s="1763"/>
      <c r="EF56" s="1763"/>
      <c r="EG56" s="1763"/>
      <c r="EH56" s="1763"/>
      <c r="EI56" s="1763"/>
      <c r="EJ56" s="1763"/>
      <c r="EK56" s="1763"/>
      <c r="EL56" s="1763"/>
      <c r="EM56" s="1763"/>
      <c r="EN56" s="1763"/>
      <c r="EO56" s="1763"/>
      <c r="EP56" s="1763"/>
      <c r="EQ56" s="1763"/>
      <c r="ER56" s="1763"/>
      <c r="ES56" s="1764"/>
      <c r="ET56" s="2288" t="str">
        <f>BG56</f>
        <v>515874</v>
      </c>
      <c r="EU56" s="2288" t="str">
        <f>BY56</f>
        <v>ПК</v>
      </c>
      <c r="EV56" s="524">
        <f>CQ56</f>
        <v>0.01</v>
      </c>
      <c r="EW56" s="494">
        <v>1</v>
      </c>
      <c r="EX56" s="495">
        <v>0.01</v>
      </c>
      <c r="EY56" s="1768"/>
      <c r="EZ56" s="1768"/>
      <c r="FA56" s="1768"/>
      <c r="FB56" s="1768"/>
      <c r="FC56" s="1768"/>
      <c r="FD56" s="1768"/>
      <c r="FE56" s="1768"/>
      <c r="FF56" s="1768"/>
      <c r="FG56" s="1768"/>
      <c r="FH56" s="1768"/>
      <c r="FI56" s="1768"/>
      <c r="FJ56" s="1758"/>
      <c r="FK56" s="1759"/>
      <c r="FL56" s="1759"/>
      <c r="FM56" s="1759"/>
      <c r="FN56" s="1759"/>
      <c r="FO56" s="1759"/>
      <c r="FP56" s="1759"/>
      <c r="FQ56" s="1759"/>
      <c r="FR56" s="1759"/>
      <c r="FS56" s="1759"/>
      <c r="FT56" s="1759"/>
      <c r="FU56" s="1760"/>
      <c r="FV56" s="1753"/>
      <c r="FW56" s="1754"/>
      <c r="FX56" s="1754"/>
      <c r="FY56" s="1754"/>
      <c r="FZ56" s="1754"/>
      <c r="GA56" s="1754"/>
      <c r="GB56" s="1754"/>
      <c r="GC56" s="1754"/>
      <c r="GD56" s="1754"/>
      <c r="GE56" s="1754"/>
      <c r="GF56" s="1754"/>
      <c r="GG56" s="1755"/>
      <c r="GH56" s="1756"/>
      <c r="GI56" s="1756"/>
      <c r="GJ56" s="1756"/>
      <c r="GK56" s="1756"/>
      <c r="GL56" s="1756"/>
      <c r="GM56" s="1756"/>
      <c r="GN56" s="1756"/>
      <c r="GO56" s="1756"/>
      <c r="GP56" s="1756"/>
      <c r="GQ56" s="1756"/>
      <c r="GR56" s="1756"/>
      <c r="GS56" s="1756"/>
      <c r="GT56" s="1757"/>
      <c r="GU56" s="1757"/>
      <c r="GV56" s="1757"/>
      <c r="GW56" s="1757"/>
      <c r="GX56" s="1757"/>
      <c r="GY56" s="1757"/>
      <c r="GZ56" s="1757"/>
      <c r="HA56" s="1757"/>
      <c r="HB56" s="1757"/>
      <c r="HC56" s="1757"/>
      <c r="HD56" s="1757"/>
      <c r="HE56" s="1757"/>
      <c r="HF56" s="1758"/>
      <c r="HG56" s="1759"/>
      <c r="HH56" s="1759"/>
      <c r="HI56" s="1759"/>
      <c r="HJ56" s="1759"/>
      <c r="HK56" s="1759"/>
      <c r="HL56" s="1759"/>
      <c r="HM56" s="1759"/>
      <c r="HN56" s="1759"/>
      <c r="HO56" s="1759"/>
      <c r="HP56" s="1759"/>
      <c r="HQ56" s="1760"/>
      <c r="HR56" s="1761"/>
      <c r="HS56" s="1761"/>
      <c r="HT56" s="1761"/>
      <c r="HU56" s="1761"/>
      <c r="HV56" s="1761"/>
      <c r="HW56" s="1761"/>
      <c r="HX56" s="1761"/>
      <c r="HY56" s="1761"/>
      <c r="HZ56" s="1761"/>
      <c r="IA56" s="1761"/>
      <c r="IB56" s="1761"/>
      <c r="IC56" s="1761"/>
      <c r="ID56" s="1762"/>
      <c r="IE56" s="1763"/>
      <c r="IF56" s="1763"/>
      <c r="IG56" s="1763"/>
      <c r="IH56" s="1763"/>
      <c r="II56" s="1763"/>
      <c r="IJ56" s="1763"/>
      <c r="IK56" s="1763"/>
      <c r="IL56" s="1763"/>
      <c r="IM56" s="1763"/>
      <c r="IN56" s="1764"/>
    </row>
    <row r="57" spans="1:248" ht="36.75" customHeight="1">
      <c r="A57" s="1769">
        <v>10</v>
      </c>
      <c r="B57" s="1769"/>
      <c r="C57" s="1769"/>
      <c r="D57" s="1769"/>
      <c r="E57" s="1769"/>
      <c r="F57" s="1769"/>
      <c r="G57" s="1769"/>
      <c r="H57" s="1769"/>
      <c r="I57" s="1769"/>
      <c r="J57" s="1769"/>
      <c r="K57" s="1770" t="s">
        <v>797</v>
      </c>
      <c r="L57" s="1771"/>
      <c r="M57" s="1771"/>
      <c r="N57" s="1771"/>
      <c r="O57" s="1771"/>
      <c r="P57" s="1771"/>
      <c r="Q57" s="1771"/>
      <c r="R57" s="1771"/>
      <c r="S57" s="1771"/>
      <c r="T57" s="1771"/>
      <c r="U57" s="1771"/>
      <c r="V57" s="1771"/>
      <c r="W57" s="1771"/>
      <c r="X57" s="1771"/>
      <c r="Y57" s="1771"/>
      <c r="Z57" s="1771"/>
      <c r="AA57" s="1771"/>
      <c r="AB57" s="1771"/>
      <c r="AC57" s="1771"/>
      <c r="AD57" s="1771"/>
      <c r="AE57" s="1771"/>
      <c r="AF57" s="1772"/>
      <c r="AG57" s="1773">
        <v>1001010835</v>
      </c>
      <c r="AH57" s="1774"/>
      <c r="AI57" s="1774"/>
      <c r="AJ57" s="1774"/>
      <c r="AK57" s="1774"/>
      <c r="AL57" s="1774"/>
      <c r="AM57" s="1774"/>
      <c r="AN57" s="1774"/>
      <c r="AO57" s="1774"/>
      <c r="AP57" s="1774"/>
      <c r="AQ57" s="1774"/>
      <c r="AR57" s="1774"/>
      <c r="AS57" s="1774"/>
      <c r="AT57" s="1775"/>
      <c r="AU57" s="1773" t="s">
        <v>770</v>
      </c>
      <c r="AV57" s="1774"/>
      <c r="AW57" s="1774"/>
      <c r="AX57" s="1774"/>
      <c r="AY57" s="1774"/>
      <c r="AZ57" s="1774"/>
      <c r="BA57" s="1774"/>
      <c r="BB57" s="1774"/>
      <c r="BC57" s="1774"/>
      <c r="BD57" s="1774"/>
      <c r="BE57" s="1774"/>
      <c r="BF57" s="1775"/>
      <c r="BG57" s="1765" t="s">
        <v>798</v>
      </c>
      <c r="BH57" s="1766"/>
      <c r="BI57" s="1766"/>
      <c r="BJ57" s="1766"/>
      <c r="BK57" s="1766"/>
      <c r="BL57" s="1766"/>
      <c r="BM57" s="1766"/>
      <c r="BN57" s="1766"/>
      <c r="BO57" s="1766"/>
      <c r="BP57" s="1766"/>
      <c r="BQ57" s="1766"/>
      <c r="BR57" s="1766"/>
      <c r="BS57" s="1766"/>
      <c r="BT57" s="1766"/>
      <c r="BU57" s="1766"/>
      <c r="BV57" s="1766"/>
      <c r="BW57" s="1766"/>
      <c r="BX57" s="1767"/>
      <c r="BY57" s="1765" t="s">
        <v>777</v>
      </c>
      <c r="BZ57" s="1766"/>
      <c r="CA57" s="1766"/>
      <c r="CB57" s="1766"/>
      <c r="CC57" s="1766"/>
      <c r="CD57" s="1766"/>
      <c r="CE57" s="1766"/>
      <c r="CF57" s="1766"/>
      <c r="CG57" s="1766"/>
      <c r="CH57" s="1766"/>
      <c r="CI57" s="1766"/>
      <c r="CJ57" s="1766"/>
      <c r="CK57" s="1766"/>
      <c r="CL57" s="1766"/>
      <c r="CM57" s="1766"/>
      <c r="CN57" s="1766"/>
      <c r="CO57" s="1766"/>
      <c r="CP57" s="1767"/>
      <c r="CQ57" s="1762">
        <v>0.01</v>
      </c>
      <c r="CR57" s="1763"/>
      <c r="CS57" s="1763"/>
      <c r="CT57" s="1763"/>
      <c r="CU57" s="1763"/>
      <c r="CV57" s="1763"/>
      <c r="CW57" s="1763"/>
      <c r="CX57" s="1763"/>
      <c r="CY57" s="1763"/>
      <c r="CZ57" s="1763"/>
      <c r="DA57" s="1763"/>
      <c r="DB57" s="1763"/>
      <c r="DC57" s="1763"/>
      <c r="DD57" s="1763"/>
      <c r="DE57" s="1763"/>
      <c r="DF57" s="1763"/>
      <c r="DG57" s="1763"/>
      <c r="DH57" s="1764"/>
      <c r="DI57" s="1753">
        <v>1</v>
      </c>
      <c r="DJ57" s="1754"/>
      <c r="DK57" s="1754"/>
      <c r="DL57" s="1754"/>
      <c r="DM57" s="1754"/>
      <c r="DN57" s="1754"/>
      <c r="DO57" s="1754"/>
      <c r="DP57" s="1754"/>
      <c r="DQ57" s="1754"/>
      <c r="DR57" s="1754"/>
      <c r="DS57" s="1754"/>
      <c r="DT57" s="1754"/>
      <c r="DU57" s="1754"/>
      <c r="DV57" s="1754"/>
      <c r="DW57" s="1754"/>
      <c r="DX57" s="1754"/>
      <c r="DY57" s="1754"/>
      <c r="DZ57" s="1755"/>
      <c r="EA57" s="1762">
        <v>0.01</v>
      </c>
      <c r="EB57" s="1763"/>
      <c r="EC57" s="1763"/>
      <c r="ED57" s="1763"/>
      <c r="EE57" s="1763"/>
      <c r="EF57" s="1763"/>
      <c r="EG57" s="1763"/>
      <c r="EH57" s="1763"/>
      <c r="EI57" s="1763"/>
      <c r="EJ57" s="1763"/>
      <c r="EK57" s="1763"/>
      <c r="EL57" s="1763"/>
      <c r="EM57" s="1763"/>
      <c r="EN57" s="1763"/>
      <c r="EO57" s="1763"/>
      <c r="EP57" s="1763"/>
      <c r="EQ57" s="1763"/>
      <c r="ER57" s="1763"/>
      <c r="ES57" s="1764"/>
      <c r="ET57" s="2288" t="str">
        <f>BG57</f>
        <v>515875</v>
      </c>
      <c r="EU57" s="2288" t="str">
        <f>BY57</f>
        <v>ПК</v>
      </c>
      <c r="EV57" s="524">
        <f>CQ57</f>
        <v>0.01</v>
      </c>
      <c r="EW57" s="494">
        <v>1</v>
      </c>
      <c r="EX57" s="495">
        <v>0.01</v>
      </c>
      <c r="EY57" s="1768"/>
      <c r="EZ57" s="1768"/>
      <c r="FA57" s="1768"/>
      <c r="FB57" s="1768"/>
      <c r="FC57" s="1768"/>
      <c r="FD57" s="1768"/>
      <c r="FE57" s="1768"/>
      <c r="FF57" s="1768"/>
      <c r="FG57" s="1768"/>
      <c r="FH57" s="1768"/>
      <c r="FI57" s="1768"/>
      <c r="FJ57" s="1758"/>
      <c r="FK57" s="1759"/>
      <c r="FL57" s="1759"/>
      <c r="FM57" s="1759"/>
      <c r="FN57" s="1759"/>
      <c r="FO57" s="1759"/>
      <c r="FP57" s="1759"/>
      <c r="FQ57" s="1759"/>
      <c r="FR57" s="1759"/>
      <c r="FS57" s="1759"/>
      <c r="FT57" s="1759"/>
      <c r="FU57" s="1760"/>
      <c r="FV57" s="1753"/>
      <c r="FW57" s="1754"/>
      <c r="FX57" s="1754"/>
      <c r="FY57" s="1754"/>
      <c r="FZ57" s="1754"/>
      <c r="GA57" s="1754"/>
      <c r="GB57" s="1754"/>
      <c r="GC57" s="1754"/>
      <c r="GD57" s="1754"/>
      <c r="GE57" s="1754"/>
      <c r="GF57" s="1754"/>
      <c r="GG57" s="1755"/>
      <c r="GH57" s="1756"/>
      <c r="GI57" s="1756"/>
      <c r="GJ57" s="1756"/>
      <c r="GK57" s="1756"/>
      <c r="GL57" s="1756"/>
      <c r="GM57" s="1756"/>
      <c r="GN57" s="1756"/>
      <c r="GO57" s="1756"/>
      <c r="GP57" s="1756"/>
      <c r="GQ57" s="1756"/>
      <c r="GR57" s="1756"/>
      <c r="GS57" s="1756"/>
      <c r="GT57" s="1757"/>
      <c r="GU57" s="1757"/>
      <c r="GV57" s="1757"/>
      <c r="GW57" s="1757"/>
      <c r="GX57" s="1757"/>
      <c r="GY57" s="1757"/>
      <c r="GZ57" s="1757"/>
      <c r="HA57" s="1757"/>
      <c r="HB57" s="1757"/>
      <c r="HC57" s="1757"/>
      <c r="HD57" s="1757"/>
      <c r="HE57" s="1757"/>
      <c r="HF57" s="1758"/>
      <c r="HG57" s="1759"/>
      <c r="HH57" s="1759"/>
      <c r="HI57" s="1759"/>
      <c r="HJ57" s="1759"/>
      <c r="HK57" s="1759"/>
      <c r="HL57" s="1759"/>
      <c r="HM57" s="1759"/>
      <c r="HN57" s="1759"/>
      <c r="HO57" s="1759"/>
      <c r="HP57" s="1759"/>
      <c r="HQ57" s="1760"/>
      <c r="HR57" s="1761"/>
      <c r="HS57" s="1761"/>
      <c r="HT57" s="1761"/>
      <c r="HU57" s="1761"/>
      <c r="HV57" s="1761"/>
      <c r="HW57" s="1761"/>
      <c r="HX57" s="1761"/>
      <c r="HY57" s="1761"/>
      <c r="HZ57" s="1761"/>
      <c r="IA57" s="1761"/>
      <c r="IB57" s="1761"/>
      <c r="IC57" s="1761"/>
      <c r="ID57" s="1762"/>
      <c r="IE57" s="1763"/>
      <c r="IF57" s="1763"/>
      <c r="IG57" s="1763"/>
      <c r="IH57" s="1763"/>
      <c r="II57" s="1763"/>
      <c r="IJ57" s="1763"/>
      <c r="IK57" s="1763"/>
      <c r="IL57" s="1763"/>
      <c r="IM57" s="1763"/>
      <c r="IN57" s="1764"/>
    </row>
    <row r="58" spans="1:248" ht="36.75" customHeight="1">
      <c r="A58" s="1769">
        <v>11</v>
      </c>
      <c r="B58" s="1769"/>
      <c r="C58" s="1769"/>
      <c r="D58" s="1769"/>
      <c r="E58" s="1769"/>
      <c r="F58" s="1769"/>
      <c r="G58" s="1769"/>
      <c r="H58" s="1769"/>
      <c r="I58" s="1769"/>
      <c r="J58" s="1769"/>
      <c r="K58" s="1770" t="s">
        <v>800</v>
      </c>
      <c r="L58" s="1771"/>
      <c r="M58" s="1771"/>
      <c r="N58" s="1771"/>
      <c r="O58" s="1771"/>
      <c r="P58" s="1771"/>
      <c r="Q58" s="1771"/>
      <c r="R58" s="1771"/>
      <c r="S58" s="1771"/>
      <c r="T58" s="1771"/>
      <c r="U58" s="1771"/>
      <c r="V58" s="1771"/>
      <c r="W58" s="1771"/>
      <c r="X58" s="1771"/>
      <c r="Y58" s="1771"/>
      <c r="Z58" s="1771"/>
      <c r="AA58" s="1771"/>
      <c r="AB58" s="1771"/>
      <c r="AC58" s="1771"/>
      <c r="AD58" s="1771"/>
      <c r="AE58" s="1771"/>
      <c r="AF58" s="1772"/>
      <c r="AG58" s="1773">
        <v>1001010831</v>
      </c>
      <c r="AH58" s="1774"/>
      <c r="AI58" s="1774"/>
      <c r="AJ58" s="1774"/>
      <c r="AK58" s="1774"/>
      <c r="AL58" s="1774"/>
      <c r="AM58" s="1774"/>
      <c r="AN58" s="1774"/>
      <c r="AO58" s="1774"/>
      <c r="AP58" s="1774"/>
      <c r="AQ58" s="1774"/>
      <c r="AR58" s="1774"/>
      <c r="AS58" s="1774"/>
      <c r="AT58" s="1775"/>
      <c r="AU58" s="1773" t="s">
        <v>770</v>
      </c>
      <c r="AV58" s="1774"/>
      <c r="AW58" s="1774"/>
      <c r="AX58" s="1774"/>
      <c r="AY58" s="1774"/>
      <c r="AZ58" s="1774"/>
      <c r="BA58" s="1774"/>
      <c r="BB58" s="1774"/>
      <c r="BC58" s="1774"/>
      <c r="BD58" s="1774"/>
      <c r="BE58" s="1774"/>
      <c r="BF58" s="1775"/>
      <c r="BG58" s="1765" t="s">
        <v>801</v>
      </c>
      <c r="BH58" s="1766"/>
      <c r="BI58" s="1766"/>
      <c r="BJ58" s="1766"/>
      <c r="BK58" s="1766"/>
      <c r="BL58" s="1766"/>
      <c r="BM58" s="1766"/>
      <c r="BN58" s="1766"/>
      <c r="BO58" s="1766"/>
      <c r="BP58" s="1766"/>
      <c r="BQ58" s="1766"/>
      <c r="BR58" s="1766"/>
      <c r="BS58" s="1766"/>
      <c r="BT58" s="1766"/>
      <c r="BU58" s="1766"/>
      <c r="BV58" s="1766"/>
      <c r="BW58" s="1766"/>
      <c r="BX58" s="1767"/>
      <c r="BY58" s="1765" t="s">
        <v>786</v>
      </c>
      <c r="BZ58" s="1766"/>
      <c r="CA58" s="1766"/>
      <c r="CB58" s="1766"/>
      <c r="CC58" s="1766"/>
      <c r="CD58" s="1766"/>
      <c r="CE58" s="1766"/>
      <c r="CF58" s="1766"/>
      <c r="CG58" s="1766"/>
      <c r="CH58" s="1766"/>
      <c r="CI58" s="1766"/>
      <c r="CJ58" s="1766"/>
      <c r="CK58" s="1766"/>
      <c r="CL58" s="1766"/>
      <c r="CM58" s="1766"/>
      <c r="CN58" s="1766"/>
      <c r="CO58" s="1766"/>
      <c r="CP58" s="1767"/>
      <c r="CQ58" s="1762">
        <v>4.0000000000000001E-3</v>
      </c>
      <c r="CR58" s="1763"/>
      <c r="CS58" s="1763"/>
      <c r="CT58" s="1763"/>
      <c r="CU58" s="1763"/>
      <c r="CV58" s="1763"/>
      <c r="CW58" s="1763"/>
      <c r="CX58" s="1763"/>
      <c r="CY58" s="1763"/>
      <c r="CZ58" s="1763"/>
      <c r="DA58" s="1763"/>
      <c r="DB58" s="1763"/>
      <c r="DC58" s="1763"/>
      <c r="DD58" s="1763"/>
      <c r="DE58" s="1763"/>
      <c r="DF58" s="1763"/>
      <c r="DG58" s="1763"/>
      <c r="DH58" s="1764"/>
      <c r="DI58" s="1753">
        <v>1</v>
      </c>
      <c r="DJ58" s="1754"/>
      <c r="DK58" s="1754"/>
      <c r="DL58" s="1754"/>
      <c r="DM58" s="1754"/>
      <c r="DN58" s="1754"/>
      <c r="DO58" s="1754"/>
      <c r="DP58" s="1754"/>
      <c r="DQ58" s="1754"/>
      <c r="DR58" s="1754"/>
      <c r="DS58" s="1754"/>
      <c r="DT58" s="1754"/>
      <c r="DU58" s="1754"/>
      <c r="DV58" s="1754"/>
      <c r="DW58" s="1754"/>
      <c r="DX58" s="1754"/>
      <c r="DY58" s="1754"/>
      <c r="DZ58" s="1755"/>
      <c r="EA58" s="1762">
        <v>0</v>
      </c>
      <c r="EB58" s="1763"/>
      <c r="EC58" s="1763"/>
      <c r="ED58" s="1763"/>
      <c r="EE58" s="1763"/>
      <c r="EF58" s="1763"/>
      <c r="EG58" s="1763"/>
      <c r="EH58" s="1763"/>
      <c r="EI58" s="1763"/>
      <c r="EJ58" s="1763"/>
      <c r="EK58" s="1763"/>
      <c r="EL58" s="1763"/>
      <c r="EM58" s="1763"/>
      <c r="EN58" s="1763"/>
      <c r="EO58" s="1763"/>
      <c r="EP58" s="1763"/>
      <c r="EQ58" s="1763"/>
      <c r="ER58" s="1763"/>
      <c r="ES58" s="1764"/>
      <c r="ET58" s="2288" t="str">
        <f>BG58</f>
        <v>0742997</v>
      </c>
      <c r="EU58" s="2288" t="str">
        <f>BY58</f>
        <v>ВТ</v>
      </c>
      <c r="EV58" s="524">
        <f>CQ58</f>
        <v>4.0000000000000001E-3</v>
      </c>
      <c r="EW58" s="494">
        <v>1</v>
      </c>
      <c r="EX58" s="495">
        <v>0</v>
      </c>
      <c r="EY58" s="1768"/>
      <c r="EZ58" s="1768"/>
      <c r="FA58" s="1768"/>
      <c r="FB58" s="1768"/>
      <c r="FC58" s="1768"/>
      <c r="FD58" s="1768"/>
      <c r="FE58" s="1768"/>
      <c r="FF58" s="1768"/>
      <c r="FG58" s="1768"/>
      <c r="FH58" s="1768"/>
      <c r="FI58" s="1768"/>
      <c r="FJ58" s="1758"/>
      <c r="FK58" s="1759"/>
      <c r="FL58" s="1759"/>
      <c r="FM58" s="1759"/>
      <c r="FN58" s="1759"/>
      <c r="FO58" s="1759"/>
      <c r="FP58" s="1759"/>
      <c r="FQ58" s="1759"/>
      <c r="FR58" s="1759"/>
      <c r="FS58" s="1759"/>
      <c r="FT58" s="1759"/>
      <c r="FU58" s="1760"/>
      <c r="FV58" s="1753"/>
      <c r="FW58" s="1754"/>
      <c r="FX58" s="1754"/>
      <c r="FY58" s="1754"/>
      <c r="FZ58" s="1754"/>
      <c r="GA58" s="1754"/>
      <c r="GB58" s="1754"/>
      <c r="GC58" s="1754"/>
      <c r="GD58" s="1754"/>
      <c r="GE58" s="1754"/>
      <c r="GF58" s="1754"/>
      <c r="GG58" s="1755"/>
      <c r="GH58" s="1756"/>
      <c r="GI58" s="1756"/>
      <c r="GJ58" s="1756"/>
      <c r="GK58" s="1756"/>
      <c r="GL58" s="1756"/>
      <c r="GM58" s="1756"/>
      <c r="GN58" s="1756"/>
      <c r="GO58" s="1756"/>
      <c r="GP58" s="1756"/>
      <c r="GQ58" s="1756"/>
      <c r="GR58" s="1756"/>
      <c r="GS58" s="1756"/>
      <c r="GT58" s="1757"/>
      <c r="GU58" s="1757"/>
      <c r="GV58" s="1757"/>
      <c r="GW58" s="1757"/>
      <c r="GX58" s="1757"/>
      <c r="GY58" s="1757"/>
      <c r="GZ58" s="1757"/>
      <c r="HA58" s="1757"/>
      <c r="HB58" s="1757"/>
      <c r="HC58" s="1757"/>
      <c r="HD58" s="1757"/>
      <c r="HE58" s="1757"/>
      <c r="HF58" s="1758"/>
      <c r="HG58" s="1759"/>
      <c r="HH58" s="1759"/>
      <c r="HI58" s="1759"/>
      <c r="HJ58" s="1759"/>
      <c r="HK58" s="1759"/>
      <c r="HL58" s="1759"/>
      <c r="HM58" s="1759"/>
      <c r="HN58" s="1759"/>
      <c r="HO58" s="1759"/>
      <c r="HP58" s="1759"/>
      <c r="HQ58" s="1760"/>
      <c r="HR58" s="1761"/>
      <c r="HS58" s="1761"/>
      <c r="HT58" s="1761"/>
      <c r="HU58" s="1761"/>
      <c r="HV58" s="1761"/>
      <c r="HW58" s="1761"/>
      <c r="HX58" s="1761"/>
      <c r="HY58" s="1761"/>
      <c r="HZ58" s="1761"/>
      <c r="IA58" s="1761"/>
      <c r="IB58" s="1761"/>
      <c r="IC58" s="1761"/>
      <c r="ID58" s="1762"/>
      <c r="IE58" s="1763"/>
      <c r="IF58" s="1763"/>
      <c r="IG58" s="1763"/>
      <c r="IH58" s="1763"/>
      <c r="II58" s="1763"/>
      <c r="IJ58" s="1763"/>
      <c r="IK58" s="1763"/>
      <c r="IL58" s="1763"/>
      <c r="IM58" s="1763"/>
      <c r="IN58" s="1764"/>
    </row>
    <row r="59" spans="1:248" ht="36.75" customHeight="1">
      <c r="A59" s="1769">
        <v>12</v>
      </c>
      <c r="B59" s="1769"/>
      <c r="C59" s="1769"/>
      <c r="D59" s="1769"/>
      <c r="E59" s="1769"/>
      <c r="F59" s="1769"/>
      <c r="G59" s="1769"/>
      <c r="H59" s="1769"/>
      <c r="I59" s="1769"/>
      <c r="J59" s="1769"/>
      <c r="K59" s="1770" t="s">
        <v>800</v>
      </c>
      <c r="L59" s="1771"/>
      <c r="M59" s="1771"/>
      <c r="N59" s="1771"/>
      <c r="O59" s="1771"/>
      <c r="P59" s="1771"/>
      <c r="Q59" s="1771"/>
      <c r="R59" s="1771"/>
      <c r="S59" s="1771"/>
      <c r="T59" s="1771"/>
      <c r="U59" s="1771"/>
      <c r="V59" s="1771"/>
      <c r="W59" s="1771"/>
      <c r="X59" s="1771"/>
      <c r="Y59" s="1771"/>
      <c r="Z59" s="1771"/>
      <c r="AA59" s="1771"/>
      <c r="AB59" s="1771"/>
      <c r="AC59" s="1771"/>
      <c r="AD59" s="1771"/>
      <c r="AE59" s="1771"/>
      <c r="AF59" s="1772"/>
      <c r="AG59" s="1773">
        <v>1001010831</v>
      </c>
      <c r="AH59" s="1774"/>
      <c r="AI59" s="1774"/>
      <c r="AJ59" s="1774"/>
      <c r="AK59" s="1774"/>
      <c r="AL59" s="1774"/>
      <c r="AM59" s="1774"/>
      <c r="AN59" s="1774"/>
      <c r="AO59" s="1774"/>
      <c r="AP59" s="1774"/>
      <c r="AQ59" s="1774"/>
      <c r="AR59" s="1774"/>
      <c r="AS59" s="1774"/>
      <c r="AT59" s="1775"/>
      <c r="AU59" s="1773" t="s">
        <v>770</v>
      </c>
      <c r="AV59" s="1774"/>
      <c r="AW59" s="1774"/>
      <c r="AX59" s="1774"/>
      <c r="AY59" s="1774"/>
      <c r="AZ59" s="1774"/>
      <c r="BA59" s="1774"/>
      <c r="BB59" s="1774"/>
      <c r="BC59" s="1774"/>
      <c r="BD59" s="1774"/>
      <c r="BE59" s="1774"/>
      <c r="BF59" s="1775"/>
      <c r="BG59" s="1765" t="s">
        <v>803</v>
      </c>
      <c r="BH59" s="1766"/>
      <c r="BI59" s="1766"/>
      <c r="BJ59" s="1766"/>
      <c r="BK59" s="1766"/>
      <c r="BL59" s="1766"/>
      <c r="BM59" s="1766"/>
      <c r="BN59" s="1766"/>
      <c r="BO59" s="1766"/>
      <c r="BP59" s="1766"/>
      <c r="BQ59" s="1766"/>
      <c r="BR59" s="1766"/>
      <c r="BS59" s="1766"/>
      <c r="BT59" s="1766"/>
      <c r="BU59" s="1766"/>
      <c r="BV59" s="1766"/>
      <c r="BW59" s="1766"/>
      <c r="BX59" s="1767"/>
      <c r="BY59" s="1765" t="s">
        <v>786</v>
      </c>
      <c r="BZ59" s="1766"/>
      <c r="CA59" s="1766"/>
      <c r="CB59" s="1766"/>
      <c r="CC59" s="1766"/>
      <c r="CD59" s="1766"/>
      <c r="CE59" s="1766"/>
      <c r="CF59" s="1766"/>
      <c r="CG59" s="1766"/>
      <c r="CH59" s="1766"/>
      <c r="CI59" s="1766"/>
      <c r="CJ59" s="1766"/>
      <c r="CK59" s="1766"/>
      <c r="CL59" s="1766"/>
      <c r="CM59" s="1766"/>
      <c r="CN59" s="1766"/>
      <c r="CO59" s="1766"/>
      <c r="CP59" s="1767"/>
      <c r="CQ59" s="1762">
        <v>4.0000000000000001E-3</v>
      </c>
      <c r="CR59" s="1763"/>
      <c r="CS59" s="1763"/>
      <c r="CT59" s="1763"/>
      <c r="CU59" s="1763"/>
      <c r="CV59" s="1763"/>
      <c r="CW59" s="1763"/>
      <c r="CX59" s="1763"/>
      <c r="CY59" s="1763"/>
      <c r="CZ59" s="1763"/>
      <c r="DA59" s="1763"/>
      <c r="DB59" s="1763"/>
      <c r="DC59" s="1763"/>
      <c r="DD59" s="1763"/>
      <c r="DE59" s="1763"/>
      <c r="DF59" s="1763"/>
      <c r="DG59" s="1763"/>
      <c r="DH59" s="1764"/>
      <c r="DI59" s="1753">
        <v>1</v>
      </c>
      <c r="DJ59" s="1754"/>
      <c r="DK59" s="1754"/>
      <c r="DL59" s="1754"/>
      <c r="DM59" s="1754"/>
      <c r="DN59" s="1754"/>
      <c r="DO59" s="1754"/>
      <c r="DP59" s="1754"/>
      <c r="DQ59" s="1754"/>
      <c r="DR59" s="1754"/>
      <c r="DS59" s="1754"/>
      <c r="DT59" s="1754"/>
      <c r="DU59" s="1754"/>
      <c r="DV59" s="1754"/>
      <c r="DW59" s="1754"/>
      <c r="DX59" s="1754"/>
      <c r="DY59" s="1754"/>
      <c r="DZ59" s="1755"/>
      <c r="EA59" s="1762">
        <v>0</v>
      </c>
      <c r="EB59" s="1763"/>
      <c r="EC59" s="1763"/>
      <c r="ED59" s="1763"/>
      <c r="EE59" s="1763"/>
      <c r="EF59" s="1763"/>
      <c r="EG59" s="1763"/>
      <c r="EH59" s="1763"/>
      <c r="EI59" s="1763"/>
      <c r="EJ59" s="1763"/>
      <c r="EK59" s="1763"/>
      <c r="EL59" s="1763"/>
      <c r="EM59" s="1763"/>
      <c r="EN59" s="1763"/>
      <c r="EO59" s="1763"/>
      <c r="EP59" s="1763"/>
      <c r="EQ59" s="1763"/>
      <c r="ER59" s="1763"/>
      <c r="ES59" s="1764"/>
      <c r="ET59" s="2288" t="str">
        <f>BG59</f>
        <v>0742995</v>
      </c>
      <c r="EU59" s="2288" t="str">
        <f>BY59</f>
        <v>ВТ</v>
      </c>
      <c r="EV59" s="524">
        <f>CQ59</f>
        <v>4.0000000000000001E-3</v>
      </c>
      <c r="EW59" s="494">
        <v>1</v>
      </c>
      <c r="EX59" s="495">
        <v>0</v>
      </c>
      <c r="EY59" s="1768"/>
      <c r="EZ59" s="1768"/>
      <c r="FA59" s="1768"/>
      <c r="FB59" s="1768"/>
      <c r="FC59" s="1768"/>
      <c r="FD59" s="1768"/>
      <c r="FE59" s="1768"/>
      <c r="FF59" s="1768"/>
      <c r="FG59" s="1768"/>
      <c r="FH59" s="1768"/>
      <c r="FI59" s="1768"/>
      <c r="FJ59" s="1758"/>
      <c r="FK59" s="1759"/>
      <c r="FL59" s="1759"/>
      <c r="FM59" s="1759"/>
      <c r="FN59" s="1759"/>
      <c r="FO59" s="1759"/>
      <c r="FP59" s="1759"/>
      <c r="FQ59" s="1759"/>
      <c r="FR59" s="1759"/>
      <c r="FS59" s="1759"/>
      <c r="FT59" s="1759"/>
      <c r="FU59" s="1760"/>
      <c r="FV59" s="1753"/>
      <c r="FW59" s="1754"/>
      <c r="FX59" s="1754"/>
      <c r="FY59" s="1754"/>
      <c r="FZ59" s="1754"/>
      <c r="GA59" s="1754"/>
      <c r="GB59" s="1754"/>
      <c r="GC59" s="1754"/>
      <c r="GD59" s="1754"/>
      <c r="GE59" s="1754"/>
      <c r="GF59" s="1754"/>
      <c r="GG59" s="1755"/>
      <c r="GH59" s="1756"/>
      <c r="GI59" s="1756"/>
      <c r="GJ59" s="1756"/>
      <c r="GK59" s="1756"/>
      <c r="GL59" s="1756"/>
      <c r="GM59" s="1756"/>
      <c r="GN59" s="1756"/>
      <c r="GO59" s="1756"/>
      <c r="GP59" s="1756"/>
      <c r="GQ59" s="1756"/>
      <c r="GR59" s="1756"/>
      <c r="GS59" s="1756"/>
      <c r="GT59" s="1757"/>
      <c r="GU59" s="1757"/>
      <c r="GV59" s="1757"/>
      <c r="GW59" s="1757"/>
      <c r="GX59" s="1757"/>
      <c r="GY59" s="1757"/>
      <c r="GZ59" s="1757"/>
      <c r="HA59" s="1757"/>
      <c r="HB59" s="1757"/>
      <c r="HC59" s="1757"/>
      <c r="HD59" s="1757"/>
      <c r="HE59" s="1757"/>
      <c r="HF59" s="1758"/>
      <c r="HG59" s="1759"/>
      <c r="HH59" s="1759"/>
      <c r="HI59" s="1759"/>
      <c r="HJ59" s="1759"/>
      <c r="HK59" s="1759"/>
      <c r="HL59" s="1759"/>
      <c r="HM59" s="1759"/>
      <c r="HN59" s="1759"/>
      <c r="HO59" s="1759"/>
      <c r="HP59" s="1759"/>
      <c r="HQ59" s="1760"/>
      <c r="HR59" s="1761"/>
      <c r="HS59" s="1761"/>
      <c r="HT59" s="1761"/>
      <c r="HU59" s="1761"/>
      <c r="HV59" s="1761"/>
      <c r="HW59" s="1761"/>
      <c r="HX59" s="1761"/>
      <c r="HY59" s="1761"/>
      <c r="HZ59" s="1761"/>
      <c r="IA59" s="1761"/>
      <c r="IB59" s="1761"/>
      <c r="IC59" s="1761"/>
      <c r="ID59" s="1762"/>
      <c r="IE59" s="1763"/>
      <c r="IF59" s="1763"/>
      <c r="IG59" s="1763"/>
      <c r="IH59" s="1763"/>
      <c r="II59" s="1763"/>
      <c r="IJ59" s="1763"/>
      <c r="IK59" s="1763"/>
      <c r="IL59" s="1763"/>
      <c r="IM59" s="1763"/>
      <c r="IN59" s="1764"/>
    </row>
    <row r="60" spans="1:248" ht="36.75" customHeight="1">
      <c r="A60" s="1769">
        <v>13</v>
      </c>
      <c r="B60" s="1769"/>
      <c r="C60" s="1769"/>
      <c r="D60" s="1769"/>
      <c r="E60" s="1769"/>
      <c r="F60" s="1769"/>
      <c r="G60" s="1769"/>
      <c r="H60" s="1769"/>
      <c r="I60" s="1769"/>
      <c r="J60" s="1769"/>
      <c r="K60" s="1770" t="s">
        <v>800</v>
      </c>
      <c r="L60" s="1771"/>
      <c r="M60" s="1771"/>
      <c r="N60" s="1771"/>
      <c r="O60" s="1771"/>
      <c r="P60" s="1771"/>
      <c r="Q60" s="1771"/>
      <c r="R60" s="1771"/>
      <c r="S60" s="1771"/>
      <c r="T60" s="1771"/>
      <c r="U60" s="1771"/>
      <c r="V60" s="1771"/>
      <c r="W60" s="1771"/>
      <c r="X60" s="1771"/>
      <c r="Y60" s="1771"/>
      <c r="Z60" s="1771"/>
      <c r="AA60" s="1771"/>
      <c r="AB60" s="1771"/>
      <c r="AC60" s="1771"/>
      <c r="AD60" s="1771"/>
      <c r="AE60" s="1771"/>
      <c r="AF60" s="1772"/>
      <c r="AG60" s="1773">
        <v>1001010831</v>
      </c>
      <c r="AH60" s="1774"/>
      <c r="AI60" s="1774"/>
      <c r="AJ60" s="1774"/>
      <c r="AK60" s="1774"/>
      <c r="AL60" s="1774"/>
      <c r="AM60" s="1774"/>
      <c r="AN60" s="1774"/>
      <c r="AO60" s="1774"/>
      <c r="AP60" s="1774"/>
      <c r="AQ60" s="1774"/>
      <c r="AR60" s="1774"/>
      <c r="AS60" s="1774"/>
      <c r="AT60" s="1775"/>
      <c r="AU60" s="1773" t="s">
        <v>770</v>
      </c>
      <c r="AV60" s="1774"/>
      <c r="AW60" s="1774"/>
      <c r="AX60" s="1774"/>
      <c r="AY60" s="1774"/>
      <c r="AZ60" s="1774"/>
      <c r="BA60" s="1774"/>
      <c r="BB60" s="1774"/>
      <c r="BC60" s="1774"/>
      <c r="BD60" s="1774"/>
      <c r="BE60" s="1774"/>
      <c r="BF60" s="1775"/>
      <c r="BG60" s="1765" t="s">
        <v>804</v>
      </c>
      <c r="BH60" s="1766"/>
      <c r="BI60" s="1766"/>
      <c r="BJ60" s="1766"/>
      <c r="BK60" s="1766"/>
      <c r="BL60" s="1766"/>
      <c r="BM60" s="1766"/>
      <c r="BN60" s="1766"/>
      <c r="BO60" s="1766"/>
      <c r="BP60" s="1766"/>
      <c r="BQ60" s="1766"/>
      <c r="BR60" s="1766"/>
      <c r="BS60" s="1766"/>
      <c r="BT60" s="1766"/>
      <c r="BU60" s="1766"/>
      <c r="BV60" s="1766"/>
      <c r="BW60" s="1766"/>
      <c r="BX60" s="1767"/>
      <c r="BY60" s="1765" t="s">
        <v>786</v>
      </c>
      <c r="BZ60" s="1766"/>
      <c r="CA60" s="1766"/>
      <c r="CB60" s="1766"/>
      <c r="CC60" s="1766"/>
      <c r="CD60" s="1766"/>
      <c r="CE60" s="1766"/>
      <c r="CF60" s="1766"/>
      <c r="CG60" s="1766"/>
      <c r="CH60" s="1766"/>
      <c r="CI60" s="1766"/>
      <c r="CJ60" s="1766"/>
      <c r="CK60" s="1766"/>
      <c r="CL60" s="1766"/>
      <c r="CM60" s="1766"/>
      <c r="CN60" s="1766"/>
      <c r="CO60" s="1766"/>
      <c r="CP60" s="1767"/>
      <c r="CQ60" s="1762">
        <v>4.0000000000000001E-3</v>
      </c>
      <c r="CR60" s="1763"/>
      <c r="CS60" s="1763"/>
      <c r="CT60" s="1763"/>
      <c r="CU60" s="1763"/>
      <c r="CV60" s="1763"/>
      <c r="CW60" s="1763"/>
      <c r="CX60" s="1763"/>
      <c r="CY60" s="1763"/>
      <c r="CZ60" s="1763"/>
      <c r="DA60" s="1763"/>
      <c r="DB60" s="1763"/>
      <c r="DC60" s="1763"/>
      <c r="DD60" s="1763"/>
      <c r="DE60" s="1763"/>
      <c r="DF60" s="1763"/>
      <c r="DG60" s="1763"/>
      <c r="DH60" s="1764"/>
      <c r="DI60" s="1753">
        <v>1</v>
      </c>
      <c r="DJ60" s="1754"/>
      <c r="DK60" s="1754"/>
      <c r="DL60" s="1754"/>
      <c r="DM60" s="1754"/>
      <c r="DN60" s="1754"/>
      <c r="DO60" s="1754"/>
      <c r="DP60" s="1754"/>
      <c r="DQ60" s="1754"/>
      <c r="DR60" s="1754"/>
      <c r="DS60" s="1754"/>
      <c r="DT60" s="1754"/>
      <c r="DU60" s="1754"/>
      <c r="DV60" s="1754"/>
      <c r="DW60" s="1754"/>
      <c r="DX60" s="1754"/>
      <c r="DY60" s="1754"/>
      <c r="DZ60" s="1755"/>
      <c r="EA60" s="1762">
        <v>0</v>
      </c>
      <c r="EB60" s="1763"/>
      <c r="EC60" s="1763"/>
      <c r="ED60" s="1763"/>
      <c r="EE60" s="1763"/>
      <c r="EF60" s="1763"/>
      <c r="EG60" s="1763"/>
      <c r="EH60" s="1763"/>
      <c r="EI60" s="1763"/>
      <c r="EJ60" s="1763"/>
      <c r="EK60" s="1763"/>
      <c r="EL60" s="1763"/>
      <c r="EM60" s="1763"/>
      <c r="EN60" s="1763"/>
      <c r="EO60" s="1763"/>
      <c r="EP60" s="1763"/>
      <c r="EQ60" s="1763"/>
      <c r="ER60" s="1763"/>
      <c r="ES60" s="1764"/>
      <c r="ET60" s="2288" t="str">
        <f>BG60</f>
        <v>0381990</v>
      </c>
      <c r="EU60" s="2288" t="str">
        <f>BY60</f>
        <v>ВТ</v>
      </c>
      <c r="EV60" s="524">
        <f>CQ60</f>
        <v>4.0000000000000001E-3</v>
      </c>
      <c r="EW60" s="494">
        <v>1</v>
      </c>
      <c r="EX60" s="495">
        <v>0</v>
      </c>
      <c r="EY60" s="1768"/>
      <c r="EZ60" s="1768"/>
      <c r="FA60" s="1768"/>
      <c r="FB60" s="1768"/>
      <c r="FC60" s="1768"/>
      <c r="FD60" s="1768"/>
      <c r="FE60" s="1768"/>
      <c r="FF60" s="1768"/>
      <c r="FG60" s="1768"/>
      <c r="FH60" s="1768"/>
      <c r="FI60" s="1768"/>
      <c r="FJ60" s="1758"/>
      <c r="FK60" s="1759"/>
      <c r="FL60" s="1759"/>
      <c r="FM60" s="1759"/>
      <c r="FN60" s="1759"/>
      <c r="FO60" s="1759"/>
      <c r="FP60" s="1759"/>
      <c r="FQ60" s="1759"/>
      <c r="FR60" s="1759"/>
      <c r="FS60" s="1759"/>
      <c r="FT60" s="1759"/>
      <c r="FU60" s="1760"/>
      <c r="FV60" s="1753"/>
      <c r="FW60" s="1754"/>
      <c r="FX60" s="1754"/>
      <c r="FY60" s="1754"/>
      <c r="FZ60" s="1754"/>
      <c r="GA60" s="1754"/>
      <c r="GB60" s="1754"/>
      <c r="GC60" s="1754"/>
      <c r="GD60" s="1754"/>
      <c r="GE60" s="1754"/>
      <c r="GF60" s="1754"/>
      <c r="GG60" s="1755"/>
      <c r="GH60" s="1756"/>
      <c r="GI60" s="1756"/>
      <c r="GJ60" s="1756"/>
      <c r="GK60" s="1756"/>
      <c r="GL60" s="1756"/>
      <c r="GM60" s="1756"/>
      <c r="GN60" s="1756"/>
      <c r="GO60" s="1756"/>
      <c r="GP60" s="1756"/>
      <c r="GQ60" s="1756"/>
      <c r="GR60" s="1756"/>
      <c r="GS60" s="1756"/>
      <c r="GT60" s="1757"/>
      <c r="GU60" s="1757"/>
      <c r="GV60" s="1757"/>
      <c r="GW60" s="1757"/>
      <c r="GX60" s="1757"/>
      <c r="GY60" s="1757"/>
      <c r="GZ60" s="1757"/>
      <c r="HA60" s="1757"/>
      <c r="HB60" s="1757"/>
      <c r="HC60" s="1757"/>
      <c r="HD60" s="1757"/>
      <c r="HE60" s="1757"/>
      <c r="HF60" s="1758"/>
      <c r="HG60" s="1759"/>
      <c r="HH60" s="1759"/>
      <c r="HI60" s="1759"/>
      <c r="HJ60" s="1759"/>
      <c r="HK60" s="1759"/>
      <c r="HL60" s="1759"/>
      <c r="HM60" s="1759"/>
      <c r="HN60" s="1759"/>
      <c r="HO60" s="1759"/>
      <c r="HP60" s="1759"/>
      <c r="HQ60" s="1760"/>
      <c r="HR60" s="1761"/>
      <c r="HS60" s="1761"/>
      <c r="HT60" s="1761"/>
      <c r="HU60" s="1761"/>
      <c r="HV60" s="1761"/>
      <c r="HW60" s="1761"/>
      <c r="HX60" s="1761"/>
      <c r="HY60" s="1761"/>
      <c r="HZ60" s="1761"/>
      <c r="IA60" s="1761"/>
      <c r="IB60" s="1761"/>
      <c r="IC60" s="1761"/>
      <c r="ID60" s="1762"/>
      <c r="IE60" s="1763"/>
      <c r="IF60" s="1763"/>
      <c r="IG60" s="1763"/>
      <c r="IH60" s="1763"/>
      <c r="II60" s="1763"/>
      <c r="IJ60" s="1763"/>
      <c r="IK60" s="1763"/>
      <c r="IL60" s="1763"/>
      <c r="IM60" s="1763"/>
      <c r="IN60" s="1764"/>
    </row>
    <row r="61" spans="1:248" ht="36.75" customHeight="1">
      <c r="A61" s="1769">
        <v>14</v>
      </c>
      <c r="B61" s="1769"/>
      <c r="C61" s="1769"/>
      <c r="D61" s="1769"/>
      <c r="E61" s="1769"/>
      <c r="F61" s="1769"/>
      <c r="G61" s="1769"/>
      <c r="H61" s="1769"/>
      <c r="I61" s="1769"/>
      <c r="J61" s="1769"/>
      <c r="K61" s="1770" t="s">
        <v>800</v>
      </c>
      <c r="L61" s="1771"/>
      <c r="M61" s="1771"/>
      <c r="N61" s="1771"/>
      <c r="O61" s="1771"/>
      <c r="P61" s="1771"/>
      <c r="Q61" s="1771"/>
      <c r="R61" s="1771"/>
      <c r="S61" s="1771"/>
      <c r="T61" s="1771"/>
      <c r="U61" s="1771"/>
      <c r="V61" s="1771"/>
      <c r="W61" s="1771"/>
      <c r="X61" s="1771"/>
      <c r="Y61" s="1771"/>
      <c r="Z61" s="1771"/>
      <c r="AA61" s="1771"/>
      <c r="AB61" s="1771"/>
      <c r="AC61" s="1771"/>
      <c r="AD61" s="1771"/>
      <c r="AE61" s="1771"/>
      <c r="AF61" s="1772"/>
      <c r="AG61" s="1773">
        <v>1001010831</v>
      </c>
      <c r="AH61" s="1774"/>
      <c r="AI61" s="1774"/>
      <c r="AJ61" s="1774"/>
      <c r="AK61" s="1774"/>
      <c r="AL61" s="1774"/>
      <c r="AM61" s="1774"/>
      <c r="AN61" s="1774"/>
      <c r="AO61" s="1774"/>
      <c r="AP61" s="1774"/>
      <c r="AQ61" s="1774"/>
      <c r="AR61" s="1774"/>
      <c r="AS61" s="1774"/>
      <c r="AT61" s="1775"/>
      <c r="AU61" s="1773" t="s">
        <v>770</v>
      </c>
      <c r="AV61" s="1774"/>
      <c r="AW61" s="1774"/>
      <c r="AX61" s="1774"/>
      <c r="AY61" s="1774"/>
      <c r="AZ61" s="1774"/>
      <c r="BA61" s="1774"/>
      <c r="BB61" s="1774"/>
      <c r="BC61" s="1774"/>
      <c r="BD61" s="1774"/>
      <c r="BE61" s="1774"/>
      <c r="BF61" s="1775"/>
      <c r="BG61" s="1765" t="s">
        <v>805</v>
      </c>
      <c r="BH61" s="1766"/>
      <c r="BI61" s="1766"/>
      <c r="BJ61" s="1766"/>
      <c r="BK61" s="1766"/>
      <c r="BL61" s="1766"/>
      <c r="BM61" s="1766"/>
      <c r="BN61" s="1766"/>
      <c r="BO61" s="1766"/>
      <c r="BP61" s="1766"/>
      <c r="BQ61" s="1766"/>
      <c r="BR61" s="1766"/>
      <c r="BS61" s="1766"/>
      <c r="BT61" s="1766"/>
      <c r="BU61" s="1766"/>
      <c r="BV61" s="1766"/>
      <c r="BW61" s="1766"/>
      <c r="BX61" s="1767"/>
      <c r="BY61" s="1765" t="s">
        <v>786</v>
      </c>
      <c r="BZ61" s="1766"/>
      <c r="CA61" s="1766"/>
      <c r="CB61" s="1766"/>
      <c r="CC61" s="1766"/>
      <c r="CD61" s="1766"/>
      <c r="CE61" s="1766"/>
      <c r="CF61" s="1766"/>
      <c r="CG61" s="1766"/>
      <c r="CH61" s="1766"/>
      <c r="CI61" s="1766"/>
      <c r="CJ61" s="1766"/>
      <c r="CK61" s="1766"/>
      <c r="CL61" s="1766"/>
      <c r="CM61" s="1766"/>
      <c r="CN61" s="1766"/>
      <c r="CO61" s="1766"/>
      <c r="CP61" s="1767"/>
      <c r="CQ61" s="1762">
        <v>4.0000000000000001E-3</v>
      </c>
      <c r="CR61" s="1763"/>
      <c r="CS61" s="1763"/>
      <c r="CT61" s="1763"/>
      <c r="CU61" s="1763"/>
      <c r="CV61" s="1763"/>
      <c r="CW61" s="1763"/>
      <c r="CX61" s="1763"/>
      <c r="CY61" s="1763"/>
      <c r="CZ61" s="1763"/>
      <c r="DA61" s="1763"/>
      <c r="DB61" s="1763"/>
      <c r="DC61" s="1763"/>
      <c r="DD61" s="1763"/>
      <c r="DE61" s="1763"/>
      <c r="DF61" s="1763"/>
      <c r="DG61" s="1763"/>
      <c r="DH61" s="1764"/>
      <c r="DI61" s="1753">
        <v>1</v>
      </c>
      <c r="DJ61" s="1754"/>
      <c r="DK61" s="1754"/>
      <c r="DL61" s="1754"/>
      <c r="DM61" s="1754"/>
      <c r="DN61" s="1754"/>
      <c r="DO61" s="1754"/>
      <c r="DP61" s="1754"/>
      <c r="DQ61" s="1754"/>
      <c r="DR61" s="1754"/>
      <c r="DS61" s="1754"/>
      <c r="DT61" s="1754"/>
      <c r="DU61" s="1754"/>
      <c r="DV61" s="1754"/>
      <c r="DW61" s="1754"/>
      <c r="DX61" s="1754"/>
      <c r="DY61" s="1754"/>
      <c r="DZ61" s="1755"/>
      <c r="EA61" s="1762">
        <v>0</v>
      </c>
      <c r="EB61" s="1763"/>
      <c r="EC61" s="1763"/>
      <c r="ED61" s="1763"/>
      <c r="EE61" s="1763"/>
      <c r="EF61" s="1763"/>
      <c r="EG61" s="1763"/>
      <c r="EH61" s="1763"/>
      <c r="EI61" s="1763"/>
      <c r="EJ61" s="1763"/>
      <c r="EK61" s="1763"/>
      <c r="EL61" s="1763"/>
      <c r="EM61" s="1763"/>
      <c r="EN61" s="1763"/>
      <c r="EO61" s="1763"/>
      <c r="EP61" s="1763"/>
      <c r="EQ61" s="1763"/>
      <c r="ER61" s="1763"/>
      <c r="ES61" s="1764"/>
      <c r="ET61" s="2288" t="str">
        <f>BG61</f>
        <v>0381987</v>
      </c>
      <c r="EU61" s="2288" t="str">
        <f>BY61</f>
        <v>ВТ</v>
      </c>
      <c r="EV61" s="524">
        <f>CQ61</f>
        <v>4.0000000000000001E-3</v>
      </c>
      <c r="EW61" s="494">
        <v>1</v>
      </c>
      <c r="EX61" s="495">
        <v>0</v>
      </c>
      <c r="EY61" s="1768"/>
      <c r="EZ61" s="1768"/>
      <c r="FA61" s="1768"/>
      <c r="FB61" s="1768"/>
      <c r="FC61" s="1768"/>
      <c r="FD61" s="1768"/>
      <c r="FE61" s="1768"/>
      <c r="FF61" s="1768"/>
      <c r="FG61" s="1768"/>
      <c r="FH61" s="1768"/>
      <c r="FI61" s="1768"/>
      <c r="FJ61" s="1758"/>
      <c r="FK61" s="1759"/>
      <c r="FL61" s="1759"/>
      <c r="FM61" s="1759"/>
      <c r="FN61" s="1759"/>
      <c r="FO61" s="1759"/>
      <c r="FP61" s="1759"/>
      <c r="FQ61" s="1759"/>
      <c r="FR61" s="1759"/>
      <c r="FS61" s="1759"/>
      <c r="FT61" s="1759"/>
      <c r="FU61" s="1760"/>
      <c r="FV61" s="1753"/>
      <c r="FW61" s="1754"/>
      <c r="FX61" s="1754"/>
      <c r="FY61" s="1754"/>
      <c r="FZ61" s="1754"/>
      <c r="GA61" s="1754"/>
      <c r="GB61" s="1754"/>
      <c r="GC61" s="1754"/>
      <c r="GD61" s="1754"/>
      <c r="GE61" s="1754"/>
      <c r="GF61" s="1754"/>
      <c r="GG61" s="1755"/>
      <c r="GH61" s="1756"/>
      <c r="GI61" s="1756"/>
      <c r="GJ61" s="1756"/>
      <c r="GK61" s="1756"/>
      <c r="GL61" s="1756"/>
      <c r="GM61" s="1756"/>
      <c r="GN61" s="1756"/>
      <c r="GO61" s="1756"/>
      <c r="GP61" s="1756"/>
      <c r="GQ61" s="1756"/>
      <c r="GR61" s="1756"/>
      <c r="GS61" s="1756"/>
      <c r="GT61" s="1757"/>
      <c r="GU61" s="1757"/>
      <c r="GV61" s="1757"/>
      <c r="GW61" s="1757"/>
      <c r="GX61" s="1757"/>
      <c r="GY61" s="1757"/>
      <c r="GZ61" s="1757"/>
      <c r="HA61" s="1757"/>
      <c r="HB61" s="1757"/>
      <c r="HC61" s="1757"/>
      <c r="HD61" s="1757"/>
      <c r="HE61" s="1757"/>
      <c r="HF61" s="1758"/>
      <c r="HG61" s="1759"/>
      <c r="HH61" s="1759"/>
      <c r="HI61" s="1759"/>
      <c r="HJ61" s="1759"/>
      <c r="HK61" s="1759"/>
      <c r="HL61" s="1759"/>
      <c r="HM61" s="1759"/>
      <c r="HN61" s="1759"/>
      <c r="HO61" s="1759"/>
      <c r="HP61" s="1759"/>
      <c r="HQ61" s="1760"/>
      <c r="HR61" s="1761"/>
      <c r="HS61" s="1761"/>
      <c r="HT61" s="1761"/>
      <c r="HU61" s="1761"/>
      <c r="HV61" s="1761"/>
      <c r="HW61" s="1761"/>
      <c r="HX61" s="1761"/>
      <c r="HY61" s="1761"/>
      <c r="HZ61" s="1761"/>
      <c r="IA61" s="1761"/>
      <c r="IB61" s="1761"/>
      <c r="IC61" s="1761"/>
      <c r="ID61" s="1762"/>
      <c r="IE61" s="1763"/>
      <c r="IF61" s="1763"/>
      <c r="IG61" s="1763"/>
      <c r="IH61" s="1763"/>
      <c r="II61" s="1763"/>
      <c r="IJ61" s="1763"/>
      <c r="IK61" s="1763"/>
      <c r="IL61" s="1763"/>
      <c r="IM61" s="1763"/>
      <c r="IN61" s="1764"/>
    </row>
    <row r="62" spans="1:248" ht="36.75" customHeight="1">
      <c r="A62" s="1769">
        <v>15</v>
      </c>
      <c r="B62" s="1769"/>
      <c r="C62" s="1769"/>
      <c r="D62" s="1769"/>
      <c r="E62" s="1769"/>
      <c r="F62" s="1769"/>
      <c r="G62" s="1769"/>
      <c r="H62" s="1769"/>
      <c r="I62" s="1769"/>
      <c r="J62" s="1769"/>
      <c r="K62" s="1770" t="s">
        <v>800</v>
      </c>
      <c r="L62" s="1771"/>
      <c r="M62" s="1771"/>
      <c r="N62" s="1771"/>
      <c r="O62" s="1771"/>
      <c r="P62" s="1771"/>
      <c r="Q62" s="1771"/>
      <c r="R62" s="1771"/>
      <c r="S62" s="1771"/>
      <c r="T62" s="1771"/>
      <c r="U62" s="1771"/>
      <c r="V62" s="1771"/>
      <c r="W62" s="1771"/>
      <c r="X62" s="1771"/>
      <c r="Y62" s="1771"/>
      <c r="Z62" s="1771"/>
      <c r="AA62" s="1771"/>
      <c r="AB62" s="1771"/>
      <c r="AC62" s="1771"/>
      <c r="AD62" s="1771"/>
      <c r="AE62" s="1771"/>
      <c r="AF62" s="1772"/>
      <c r="AG62" s="1773">
        <v>1001010831</v>
      </c>
      <c r="AH62" s="1774"/>
      <c r="AI62" s="1774"/>
      <c r="AJ62" s="1774"/>
      <c r="AK62" s="1774"/>
      <c r="AL62" s="1774"/>
      <c r="AM62" s="1774"/>
      <c r="AN62" s="1774"/>
      <c r="AO62" s="1774"/>
      <c r="AP62" s="1774"/>
      <c r="AQ62" s="1774"/>
      <c r="AR62" s="1774"/>
      <c r="AS62" s="1774"/>
      <c r="AT62" s="1775"/>
      <c r="AU62" s="1773" t="s">
        <v>770</v>
      </c>
      <c r="AV62" s="1774"/>
      <c r="AW62" s="1774"/>
      <c r="AX62" s="1774"/>
      <c r="AY62" s="1774"/>
      <c r="AZ62" s="1774"/>
      <c r="BA62" s="1774"/>
      <c r="BB62" s="1774"/>
      <c r="BC62" s="1774"/>
      <c r="BD62" s="1774"/>
      <c r="BE62" s="1774"/>
      <c r="BF62" s="1775"/>
      <c r="BG62" s="1765" t="s">
        <v>806</v>
      </c>
      <c r="BH62" s="1766"/>
      <c r="BI62" s="1766"/>
      <c r="BJ62" s="1766"/>
      <c r="BK62" s="1766"/>
      <c r="BL62" s="1766"/>
      <c r="BM62" s="1766"/>
      <c r="BN62" s="1766"/>
      <c r="BO62" s="1766"/>
      <c r="BP62" s="1766"/>
      <c r="BQ62" s="1766"/>
      <c r="BR62" s="1766"/>
      <c r="BS62" s="1766"/>
      <c r="BT62" s="1766"/>
      <c r="BU62" s="1766"/>
      <c r="BV62" s="1766"/>
      <c r="BW62" s="1766"/>
      <c r="BX62" s="1767"/>
      <c r="BY62" s="1765" t="s">
        <v>807</v>
      </c>
      <c r="BZ62" s="1766"/>
      <c r="CA62" s="1766"/>
      <c r="CB62" s="1766"/>
      <c r="CC62" s="1766"/>
      <c r="CD62" s="1766"/>
      <c r="CE62" s="1766"/>
      <c r="CF62" s="1766"/>
      <c r="CG62" s="1766"/>
      <c r="CH62" s="1766"/>
      <c r="CI62" s="1766"/>
      <c r="CJ62" s="1766"/>
      <c r="CK62" s="1766"/>
      <c r="CL62" s="1766"/>
      <c r="CM62" s="1766"/>
      <c r="CN62" s="1766"/>
      <c r="CO62" s="1766"/>
      <c r="CP62" s="1767"/>
      <c r="CQ62" s="1762">
        <v>4.0000000000000001E-3</v>
      </c>
      <c r="CR62" s="1763"/>
      <c r="CS62" s="1763"/>
      <c r="CT62" s="1763"/>
      <c r="CU62" s="1763"/>
      <c r="CV62" s="1763"/>
      <c r="CW62" s="1763"/>
      <c r="CX62" s="1763"/>
      <c r="CY62" s="1763"/>
      <c r="CZ62" s="1763"/>
      <c r="DA62" s="1763"/>
      <c r="DB62" s="1763"/>
      <c r="DC62" s="1763"/>
      <c r="DD62" s="1763"/>
      <c r="DE62" s="1763"/>
      <c r="DF62" s="1763"/>
      <c r="DG62" s="1763"/>
      <c r="DH62" s="1764"/>
      <c r="DI62" s="1753">
        <v>1</v>
      </c>
      <c r="DJ62" s="1754"/>
      <c r="DK62" s="1754"/>
      <c r="DL62" s="1754"/>
      <c r="DM62" s="1754"/>
      <c r="DN62" s="1754"/>
      <c r="DO62" s="1754"/>
      <c r="DP62" s="1754"/>
      <c r="DQ62" s="1754"/>
      <c r="DR62" s="1754"/>
      <c r="DS62" s="1754"/>
      <c r="DT62" s="1754"/>
      <c r="DU62" s="1754"/>
      <c r="DV62" s="1754"/>
      <c r="DW62" s="1754"/>
      <c r="DX62" s="1754"/>
      <c r="DY62" s="1754"/>
      <c r="DZ62" s="1755"/>
      <c r="EA62" s="1762">
        <v>0</v>
      </c>
      <c r="EB62" s="1763"/>
      <c r="EC62" s="1763"/>
      <c r="ED62" s="1763"/>
      <c r="EE62" s="1763"/>
      <c r="EF62" s="1763"/>
      <c r="EG62" s="1763"/>
      <c r="EH62" s="1763"/>
      <c r="EI62" s="1763"/>
      <c r="EJ62" s="1763"/>
      <c r="EK62" s="1763"/>
      <c r="EL62" s="1763"/>
      <c r="EM62" s="1763"/>
      <c r="EN62" s="1763"/>
      <c r="EO62" s="1763"/>
      <c r="EP62" s="1763"/>
      <c r="EQ62" s="1763"/>
      <c r="ER62" s="1763"/>
      <c r="ES62" s="1764"/>
      <c r="ET62" s="2288" t="str">
        <f>BG62</f>
        <v>4500849</v>
      </c>
      <c r="EU62" s="2288" t="str">
        <f>BY62</f>
        <v>БТ</v>
      </c>
      <c r="EV62" s="524">
        <f>CQ62</f>
        <v>4.0000000000000001E-3</v>
      </c>
      <c r="EW62" s="494">
        <v>1</v>
      </c>
      <c r="EX62" s="495">
        <v>0</v>
      </c>
      <c r="EY62" s="1768"/>
      <c r="EZ62" s="1768"/>
      <c r="FA62" s="1768"/>
      <c r="FB62" s="1768"/>
      <c r="FC62" s="1768"/>
      <c r="FD62" s="1768"/>
      <c r="FE62" s="1768"/>
      <c r="FF62" s="1768"/>
      <c r="FG62" s="1768"/>
      <c r="FH62" s="1768"/>
      <c r="FI62" s="1768"/>
      <c r="FJ62" s="1758"/>
      <c r="FK62" s="1759"/>
      <c r="FL62" s="1759"/>
      <c r="FM62" s="1759"/>
      <c r="FN62" s="1759"/>
      <c r="FO62" s="1759"/>
      <c r="FP62" s="1759"/>
      <c r="FQ62" s="1759"/>
      <c r="FR62" s="1759"/>
      <c r="FS62" s="1759"/>
      <c r="FT62" s="1759"/>
      <c r="FU62" s="1760"/>
      <c r="FV62" s="1753"/>
      <c r="FW62" s="1754"/>
      <c r="FX62" s="1754"/>
      <c r="FY62" s="1754"/>
      <c r="FZ62" s="1754"/>
      <c r="GA62" s="1754"/>
      <c r="GB62" s="1754"/>
      <c r="GC62" s="1754"/>
      <c r="GD62" s="1754"/>
      <c r="GE62" s="1754"/>
      <c r="GF62" s="1754"/>
      <c r="GG62" s="1755"/>
      <c r="GH62" s="1756"/>
      <c r="GI62" s="1756"/>
      <c r="GJ62" s="1756"/>
      <c r="GK62" s="1756"/>
      <c r="GL62" s="1756"/>
      <c r="GM62" s="1756"/>
      <c r="GN62" s="1756"/>
      <c r="GO62" s="1756"/>
      <c r="GP62" s="1756"/>
      <c r="GQ62" s="1756"/>
      <c r="GR62" s="1756"/>
      <c r="GS62" s="1756"/>
      <c r="GT62" s="1757"/>
      <c r="GU62" s="1757"/>
      <c r="GV62" s="1757"/>
      <c r="GW62" s="1757"/>
      <c r="GX62" s="1757"/>
      <c r="GY62" s="1757"/>
      <c r="GZ62" s="1757"/>
      <c r="HA62" s="1757"/>
      <c r="HB62" s="1757"/>
      <c r="HC62" s="1757"/>
      <c r="HD62" s="1757"/>
      <c r="HE62" s="1757"/>
      <c r="HF62" s="1758"/>
      <c r="HG62" s="1759"/>
      <c r="HH62" s="1759"/>
      <c r="HI62" s="1759"/>
      <c r="HJ62" s="1759"/>
      <c r="HK62" s="1759"/>
      <c r="HL62" s="1759"/>
      <c r="HM62" s="1759"/>
      <c r="HN62" s="1759"/>
      <c r="HO62" s="1759"/>
      <c r="HP62" s="1759"/>
      <c r="HQ62" s="1760"/>
      <c r="HR62" s="1761"/>
      <c r="HS62" s="1761"/>
      <c r="HT62" s="1761"/>
      <c r="HU62" s="1761"/>
      <c r="HV62" s="1761"/>
      <c r="HW62" s="1761"/>
      <c r="HX62" s="1761"/>
      <c r="HY62" s="1761"/>
      <c r="HZ62" s="1761"/>
      <c r="IA62" s="1761"/>
      <c r="IB62" s="1761"/>
      <c r="IC62" s="1761"/>
      <c r="ID62" s="1762"/>
      <c r="IE62" s="1763"/>
      <c r="IF62" s="1763"/>
      <c r="IG62" s="1763"/>
      <c r="IH62" s="1763"/>
      <c r="II62" s="1763"/>
      <c r="IJ62" s="1763"/>
      <c r="IK62" s="1763"/>
      <c r="IL62" s="1763"/>
      <c r="IM62" s="1763"/>
      <c r="IN62" s="1764"/>
    </row>
    <row r="63" spans="1:248" ht="48.75" customHeight="1">
      <c r="A63" s="1769">
        <v>16</v>
      </c>
      <c r="B63" s="1769"/>
      <c r="C63" s="1769"/>
      <c r="D63" s="1769"/>
      <c r="E63" s="1769"/>
      <c r="F63" s="1769"/>
      <c r="G63" s="1769"/>
      <c r="H63" s="1769"/>
      <c r="I63" s="1769"/>
      <c r="J63" s="1769"/>
      <c r="K63" s="1770" t="s">
        <v>808</v>
      </c>
      <c r="L63" s="1771"/>
      <c r="M63" s="1771"/>
      <c r="N63" s="1771"/>
      <c r="O63" s="1771"/>
      <c r="P63" s="1771"/>
      <c r="Q63" s="1771"/>
      <c r="R63" s="1771"/>
      <c r="S63" s="1771"/>
      <c r="T63" s="1771"/>
      <c r="U63" s="1771"/>
      <c r="V63" s="1771"/>
      <c r="W63" s="1771"/>
      <c r="X63" s="1771"/>
      <c r="Y63" s="1771"/>
      <c r="Z63" s="1771"/>
      <c r="AA63" s="1771"/>
      <c r="AB63" s="1771"/>
      <c r="AC63" s="1771"/>
      <c r="AD63" s="1771"/>
      <c r="AE63" s="1771"/>
      <c r="AF63" s="1772"/>
      <c r="AG63" s="1773">
        <v>1001010831</v>
      </c>
      <c r="AH63" s="1774"/>
      <c r="AI63" s="1774"/>
      <c r="AJ63" s="1774"/>
      <c r="AK63" s="1774"/>
      <c r="AL63" s="1774"/>
      <c r="AM63" s="1774"/>
      <c r="AN63" s="1774"/>
      <c r="AO63" s="1774"/>
      <c r="AP63" s="1774"/>
      <c r="AQ63" s="1774"/>
      <c r="AR63" s="1774"/>
      <c r="AS63" s="1774"/>
      <c r="AT63" s="1775"/>
      <c r="AU63" s="1773" t="s">
        <v>770</v>
      </c>
      <c r="AV63" s="1774"/>
      <c r="AW63" s="1774"/>
      <c r="AX63" s="1774"/>
      <c r="AY63" s="1774"/>
      <c r="AZ63" s="1774"/>
      <c r="BA63" s="1774"/>
      <c r="BB63" s="1774"/>
      <c r="BC63" s="1774"/>
      <c r="BD63" s="1774"/>
      <c r="BE63" s="1774"/>
      <c r="BF63" s="1775"/>
      <c r="BG63" s="1765" t="s">
        <v>809</v>
      </c>
      <c r="BH63" s="1766"/>
      <c r="BI63" s="1766"/>
      <c r="BJ63" s="1766"/>
      <c r="BK63" s="1766"/>
      <c r="BL63" s="1766"/>
      <c r="BM63" s="1766"/>
      <c r="BN63" s="1766"/>
      <c r="BO63" s="1766"/>
      <c r="BP63" s="1766"/>
      <c r="BQ63" s="1766"/>
      <c r="BR63" s="1766"/>
      <c r="BS63" s="1766"/>
      <c r="BT63" s="1766"/>
      <c r="BU63" s="1766"/>
      <c r="BV63" s="1766"/>
      <c r="BW63" s="1766"/>
      <c r="BX63" s="1767"/>
      <c r="BY63" s="1765" t="s">
        <v>786</v>
      </c>
      <c r="BZ63" s="1766"/>
      <c r="CA63" s="1766"/>
      <c r="CB63" s="1766"/>
      <c r="CC63" s="1766"/>
      <c r="CD63" s="1766"/>
      <c r="CE63" s="1766"/>
      <c r="CF63" s="1766"/>
      <c r="CG63" s="1766"/>
      <c r="CH63" s="1766"/>
      <c r="CI63" s="1766"/>
      <c r="CJ63" s="1766"/>
      <c r="CK63" s="1766"/>
      <c r="CL63" s="1766"/>
      <c r="CM63" s="1766"/>
      <c r="CN63" s="1766"/>
      <c r="CO63" s="1766"/>
      <c r="CP63" s="1767"/>
      <c r="CQ63" s="1762">
        <v>0.02</v>
      </c>
      <c r="CR63" s="1763"/>
      <c r="CS63" s="1763"/>
      <c r="CT63" s="1763"/>
      <c r="CU63" s="1763"/>
      <c r="CV63" s="1763"/>
      <c r="CW63" s="1763"/>
      <c r="CX63" s="1763"/>
      <c r="CY63" s="1763"/>
      <c r="CZ63" s="1763"/>
      <c r="DA63" s="1763"/>
      <c r="DB63" s="1763"/>
      <c r="DC63" s="1763"/>
      <c r="DD63" s="1763"/>
      <c r="DE63" s="1763"/>
      <c r="DF63" s="1763"/>
      <c r="DG63" s="1763"/>
      <c r="DH63" s="1764"/>
      <c r="DI63" s="1753">
        <v>2</v>
      </c>
      <c r="DJ63" s="1754"/>
      <c r="DK63" s="1754"/>
      <c r="DL63" s="1754"/>
      <c r="DM63" s="1754"/>
      <c r="DN63" s="1754"/>
      <c r="DO63" s="1754"/>
      <c r="DP63" s="1754"/>
      <c r="DQ63" s="1754"/>
      <c r="DR63" s="1754"/>
      <c r="DS63" s="1754"/>
      <c r="DT63" s="1754"/>
      <c r="DU63" s="1754"/>
      <c r="DV63" s="1754"/>
      <c r="DW63" s="1754"/>
      <c r="DX63" s="1754"/>
      <c r="DY63" s="1754"/>
      <c r="DZ63" s="1755"/>
      <c r="EA63" s="1762">
        <v>0.04</v>
      </c>
      <c r="EB63" s="1763"/>
      <c r="EC63" s="1763"/>
      <c r="ED63" s="1763"/>
      <c r="EE63" s="1763"/>
      <c r="EF63" s="1763"/>
      <c r="EG63" s="1763"/>
      <c r="EH63" s="1763"/>
      <c r="EI63" s="1763"/>
      <c r="EJ63" s="1763"/>
      <c r="EK63" s="1763"/>
      <c r="EL63" s="1763"/>
      <c r="EM63" s="1763"/>
      <c r="EN63" s="1763"/>
      <c r="EO63" s="1763"/>
      <c r="EP63" s="1763"/>
      <c r="EQ63" s="1763"/>
      <c r="ER63" s="1763"/>
      <c r="ES63" s="1764"/>
      <c r="ET63" s="2288" t="str">
        <f>BG63</f>
        <v>0530739-0530740</v>
      </c>
      <c r="EU63" s="2288" t="str">
        <f>BY63</f>
        <v>ВТ</v>
      </c>
      <c r="EV63" s="524">
        <f>CQ63</f>
        <v>0.02</v>
      </c>
      <c r="EW63" s="494">
        <v>2</v>
      </c>
      <c r="EX63" s="495">
        <v>0.04</v>
      </c>
      <c r="EY63" s="1768"/>
      <c r="EZ63" s="1768"/>
      <c r="FA63" s="1768"/>
      <c r="FB63" s="1768"/>
      <c r="FC63" s="1768"/>
      <c r="FD63" s="1768"/>
      <c r="FE63" s="1768"/>
      <c r="FF63" s="1768"/>
      <c r="FG63" s="1768"/>
      <c r="FH63" s="1768"/>
      <c r="FI63" s="1768"/>
      <c r="FJ63" s="1758"/>
      <c r="FK63" s="1759"/>
      <c r="FL63" s="1759"/>
      <c r="FM63" s="1759"/>
      <c r="FN63" s="1759"/>
      <c r="FO63" s="1759"/>
      <c r="FP63" s="1759"/>
      <c r="FQ63" s="1759"/>
      <c r="FR63" s="1759"/>
      <c r="FS63" s="1759"/>
      <c r="FT63" s="1759"/>
      <c r="FU63" s="1760"/>
      <c r="FV63" s="1753"/>
      <c r="FW63" s="1754"/>
      <c r="FX63" s="1754"/>
      <c r="FY63" s="1754"/>
      <c r="FZ63" s="1754"/>
      <c r="GA63" s="1754"/>
      <c r="GB63" s="1754"/>
      <c r="GC63" s="1754"/>
      <c r="GD63" s="1754"/>
      <c r="GE63" s="1754"/>
      <c r="GF63" s="1754"/>
      <c r="GG63" s="1755"/>
      <c r="GH63" s="1756"/>
      <c r="GI63" s="1756"/>
      <c r="GJ63" s="1756"/>
      <c r="GK63" s="1756"/>
      <c r="GL63" s="1756"/>
      <c r="GM63" s="1756"/>
      <c r="GN63" s="1756"/>
      <c r="GO63" s="1756"/>
      <c r="GP63" s="1756"/>
      <c r="GQ63" s="1756"/>
      <c r="GR63" s="1756"/>
      <c r="GS63" s="1756"/>
      <c r="GT63" s="1757"/>
      <c r="GU63" s="1757"/>
      <c r="GV63" s="1757"/>
      <c r="GW63" s="1757"/>
      <c r="GX63" s="1757"/>
      <c r="GY63" s="1757"/>
      <c r="GZ63" s="1757"/>
      <c r="HA63" s="1757"/>
      <c r="HB63" s="1757"/>
      <c r="HC63" s="1757"/>
      <c r="HD63" s="1757"/>
      <c r="HE63" s="1757"/>
      <c r="HF63" s="1758"/>
      <c r="HG63" s="1759"/>
      <c r="HH63" s="1759"/>
      <c r="HI63" s="1759"/>
      <c r="HJ63" s="1759"/>
      <c r="HK63" s="1759"/>
      <c r="HL63" s="1759"/>
      <c r="HM63" s="1759"/>
      <c r="HN63" s="1759"/>
      <c r="HO63" s="1759"/>
      <c r="HP63" s="1759"/>
      <c r="HQ63" s="1760"/>
      <c r="HR63" s="1761"/>
      <c r="HS63" s="1761"/>
      <c r="HT63" s="1761"/>
      <c r="HU63" s="1761"/>
      <c r="HV63" s="1761"/>
      <c r="HW63" s="1761"/>
      <c r="HX63" s="1761"/>
      <c r="HY63" s="1761"/>
      <c r="HZ63" s="1761"/>
      <c r="IA63" s="1761"/>
      <c r="IB63" s="1761"/>
      <c r="IC63" s="1761"/>
      <c r="ID63" s="1762"/>
      <c r="IE63" s="1763"/>
      <c r="IF63" s="1763"/>
      <c r="IG63" s="1763"/>
      <c r="IH63" s="1763"/>
      <c r="II63" s="1763"/>
      <c r="IJ63" s="1763"/>
      <c r="IK63" s="1763"/>
      <c r="IL63" s="1763"/>
      <c r="IM63" s="1763"/>
      <c r="IN63" s="1764"/>
    </row>
    <row r="64" spans="1:248" ht="36.75" customHeight="1">
      <c r="A64" s="1769">
        <v>17</v>
      </c>
      <c r="B64" s="1769"/>
      <c r="C64" s="1769"/>
      <c r="D64" s="1769"/>
      <c r="E64" s="1769"/>
      <c r="F64" s="1769"/>
      <c r="G64" s="1769"/>
      <c r="H64" s="1769"/>
      <c r="I64" s="1769"/>
      <c r="J64" s="1769"/>
      <c r="K64" s="1770" t="s">
        <v>810</v>
      </c>
      <c r="L64" s="1771"/>
      <c r="M64" s="1771"/>
      <c r="N64" s="1771"/>
      <c r="O64" s="1771"/>
      <c r="P64" s="1771"/>
      <c r="Q64" s="1771"/>
      <c r="R64" s="1771"/>
      <c r="S64" s="1771"/>
      <c r="T64" s="1771"/>
      <c r="U64" s="1771"/>
      <c r="V64" s="1771"/>
      <c r="W64" s="1771"/>
      <c r="X64" s="1771"/>
      <c r="Y64" s="1771"/>
      <c r="Z64" s="1771"/>
      <c r="AA64" s="1771"/>
      <c r="AB64" s="1771"/>
      <c r="AC64" s="1771"/>
      <c r="AD64" s="1771"/>
      <c r="AE64" s="1771"/>
      <c r="AF64" s="1772"/>
      <c r="AG64" s="1773">
        <v>1001010836</v>
      </c>
      <c r="AH64" s="1774"/>
      <c r="AI64" s="1774"/>
      <c r="AJ64" s="1774"/>
      <c r="AK64" s="1774"/>
      <c r="AL64" s="1774"/>
      <c r="AM64" s="1774"/>
      <c r="AN64" s="1774"/>
      <c r="AO64" s="1774"/>
      <c r="AP64" s="1774"/>
      <c r="AQ64" s="1774"/>
      <c r="AR64" s="1774"/>
      <c r="AS64" s="1774"/>
      <c r="AT64" s="1775"/>
      <c r="AU64" s="1773" t="s">
        <v>770</v>
      </c>
      <c r="AV64" s="1774"/>
      <c r="AW64" s="1774"/>
      <c r="AX64" s="1774"/>
      <c r="AY64" s="1774"/>
      <c r="AZ64" s="1774"/>
      <c r="BA64" s="1774"/>
      <c r="BB64" s="1774"/>
      <c r="BC64" s="1774"/>
      <c r="BD64" s="1774"/>
      <c r="BE64" s="1774"/>
      <c r="BF64" s="1775"/>
      <c r="BG64" s="1765" t="s">
        <v>811</v>
      </c>
      <c r="BH64" s="1766"/>
      <c r="BI64" s="1766"/>
      <c r="BJ64" s="1766"/>
      <c r="BK64" s="1766"/>
      <c r="BL64" s="1766"/>
      <c r="BM64" s="1766"/>
      <c r="BN64" s="1766"/>
      <c r="BO64" s="1766"/>
      <c r="BP64" s="1766"/>
      <c r="BQ64" s="1766"/>
      <c r="BR64" s="1766"/>
      <c r="BS64" s="1766"/>
      <c r="BT64" s="1766"/>
      <c r="BU64" s="1766"/>
      <c r="BV64" s="1766"/>
      <c r="BW64" s="1766"/>
      <c r="BX64" s="1767"/>
      <c r="BY64" s="1765" t="s">
        <v>786</v>
      </c>
      <c r="BZ64" s="1766"/>
      <c r="CA64" s="1766"/>
      <c r="CB64" s="1766"/>
      <c r="CC64" s="1766"/>
      <c r="CD64" s="1766"/>
      <c r="CE64" s="1766"/>
      <c r="CF64" s="1766"/>
      <c r="CG64" s="1766"/>
      <c r="CH64" s="1766"/>
      <c r="CI64" s="1766"/>
      <c r="CJ64" s="1766"/>
      <c r="CK64" s="1766"/>
      <c r="CL64" s="1766"/>
      <c r="CM64" s="1766"/>
      <c r="CN64" s="1766"/>
      <c r="CO64" s="1766"/>
      <c r="CP64" s="1767"/>
      <c r="CQ64" s="1762">
        <v>0.01</v>
      </c>
      <c r="CR64" s="1763"/>
      <c r="CS64" s="1763"/>
      <c r="CT64" s="1763"/>
      <c r="CU64" s="1763"/>
      <c r="CV64" s="1763"/>
      <c r="CW64" s="1763"/>
      <c r="CX64" s="1763"/>
      <c r="CY64" s="1763"/>
      <c r="CZ64" s="1763"/>
      <c r="DA64" s="1763"/>
      <c r="DB64" s="1763"/>
      <c r="DC64" s="1763"/>
      <c r="DD64" s="1763"/>
      <c r="DE64" s="1763"/>
      <c r="DF64" s="1763"/>
      <c r="DG64" s="1763"/>
      <c r="DH64" s="1764"/>
      <c r="DI64" s="1753">
        <v>3</v>
      </c>
      <c r="DJ64" s="1754"/>
      <c r="DK64" s="1754"/>
      <c r="DL64" s="1754"/>
      <c r="DM64" s="1754"/>
      <c r="DN64" s="1754"/>
      <c r="DO64" s="1754"/>
      <c r="DP64" s="1754"/>
      <c r="DQ64" s="1754"/>
      <c r="DR64" s="1754"/>
      <c r="DS64" s="1754"/>
      <c r="DT64" s="1754"/>
      <c r="DU64" s="1754"/>
      <c r="DV64" s="1754"/>
      <c r="DW64" s="1754"/>
      <c r="DX64" s="1754"/>
      <c r="DY64" s="1754"/>
      <c r="DZ64" s="1755"/>
      <c r="EA64" s="1762">
        <v>0.03</v>
      </c>
      <c r="EB64" s="1763"/>
      <c r="EC64" s="1763"/>
      <c r="ED64" s="1763"/>
      <c r="EE64" s="1763"/>
      <c r="EF64" s="1763"/>
      <c r="EG64" s="1763"/>
      <c r="EH64" s="1763"/>
      <c r="EI64" s="1763"/>
      <c r="EJ64" s="1763"/>
      <c r="EK64" s="1763"/>
      <c r="EL64" s="1763"/>
      <c r="EM64" s="1763"/>
      <c r="EN64" s="1763"/>
      <c r="EO64" s="1763"/>
      <c r="EP64" s="1763"/>
      <c r="EQ64" s="1763"/>
      <c r="ER64" s="1763"/>
      <c r="ES64" s="1764"/>
      <c r="ET64" s="2288" t="str">
        <f>BG64</f>
        <v>0909673-0909675</v>
      </c>
      <c r="EU64" s="2288" t="str">
        <f>BY64</f>
        <v>ВТ</v>
      </c>
      <c r="EV64" s="524">
        <f>CQ64</f>
        <v>0.01</v>
      </c>
      <c r="EW64" s="494">
        <v>3</v>
      </c>
      <c r="EX64" s="495">
        <v>0.03</v>
      </c>
      <c r="EY64" s="1768"/>
      <c r="EZ64" s="1768"/>
      <c r="FA64" s="1768"/>
      <c r="FB64" s="1768"/>
      <c r="FC64" s="1768"/>
      <c r="FD64" s="1768"/>
      <c r="FE64" s="1768"/>
      <c r="FF64" s="1768"/>
      <c r="FG64" s="1768"/>
      <c r="FH64" s="1768"/>
      <c r="FI64" s="1768"/>
      <c r="FJ64" s="1758"/>
      <c r="FK64" s="1759"/>
      <c r="FL64" s="1759"/>
      <c r="FM64" s="1759"/>
      <c r="FN64" s="1759"/>
      <c r="FO64" s="1759"/>
      <c r="FP64" s="1759"/>
      <c r="FQ64" s="1759"/>
      <c r="FR64" s="1759"/>
      <c r="FS64" s="1759"/>
      <c r="FT64" s="1759"/>
      <c r="FU64" s="1760"/>
      <c r="FV64" s="1753"/>
      <c r="FW64" s="1754"/>
      <c r="FX64" s="1754"/>
      <c r="FY64" s="1754"/>
      <c r="FZ64" s="1754"/>
      <c r="GA64" s="1754"/>
      <c r="GB64" s="1754"/>
      <c r="GC64" s="1754"/>
      <c r="GD64" s="1754"/>
      <c r="GE64" s="1754"/>
      <c r="GF64" s="1754"/>
      <c r="GG64" s="1755"/>
      <c r="GH64" s="1756"/>
      <c r="GI64" s="1756"/>
      <c r="GJ64" s="1756"/>
      <c r="GK64" s="1756"/>
      <c r="GL64" s="1756"/>
      <c r="GM64" s="1756"/>
      <c r="GN64" s="1756"/>
      <c r="GO64" s="1756"/>
      <c r="GP64" s="1756"/>
      <c r="GQ64" s="1756"/>
      <c r="GR64" s="1756"/>
      <c r="GS64" s="1756"/>
      <c r="GT64" s="1757"/>
      <c r="GU64" s="1757"/>
      <c r="GV64" s="1757"/>
      <c r="GW64" s="1757"/>
      <c r="GX64" s="1757"/>
      <c r="GY64" s="1757"/>
      <c r="GZ64" s="1757"/>
      <c r="HA64" s="1757"/>
      <c r="HB64" s="1757"/>
      <c r="HC64" s="1757"/>
      <c r="HD64" s="1757"/>
      <c r="HE64" s="1757"/>
      <c r="HF64" s="1758"/>
      <c r="HG64" s="1759"/>
      <c r="HH64" s="1759"/>
      <c r="HI64" s="1759"/>
      <c r="HJ64" s="1759"/>
      <c r="HK64" s="1759"/>
      <c r="HL64" s="1759"/>
      <c r="HM64" s="1759"/>
      <c r="HN64" s="1759"/>
      <c r="HO64" s="1759"/>
      <c r="HP64" s="1759"/>
      <c r="HQ64" s="1760"/>
      <c r="HR64" s="1761"/>
      <c r="HS64" s="1761"/>
      <c r="HT64" s="1761"/>
      <c r="HU64" s="1761"/>
      <c r="HV64" s="1761"/>
      <c r="HW64" s="1761"/>
      <c r="HX64" s="1761"/>
      <c r="HY64" s="1761"/>
      <c r="HZ64" s="1761"/>
      <c r="IA64" s="1761"/>
      <c r="IB64" s="1761"/>
      <c r="IC64" s="1761"/>
      <c r="ID64" s="1762"/>
      <c r="IE64" s="1763"/>
      <c r="IF64" s="1763"/>
      <c r="IG64" s="1763"/>
      <c r="IH64" s="1763"/>
      <c r="II64" s="1763"/>
      <c r="IJ64" s="1763"/>
      <c r="IK64" s="1763"/>
      <c r="IL64" s="1763"/>
      <c r="IM64" s="1763"/>
      <c r="IN64" s="1764"/>
    </row>
    <row r="65" spans="1:248" ht="36.75" customHeight="1">
      <c r="A65" s="1769">
        <v>18</v>
      </c>
      <c r="B65" s="1769"/>
      <c r="C65" s="1769"/>
      <c r="D65" s="1769"/>
      <c r="E65" s="1769"/>
      <c r="F65" s="1769"/>
      <c r="G65" s="1769"/>
      <c r="H65" s="1769"/>
      <c r="I65" s="1769"/>
      <c r="J65" s="1769"/>
      <c r="K65" s="1770" t="s">
        <v>810</v>
      </c>
      <c r="L65" s="1771"/>
      <c r="M65" s="1771"/>
      <c r="N65" s="1771"/>
      <c r="O65" s="1771"/>
      <c r="P65" s="1771"/>
      <c r="Q65" s="1771"/>
      <c r="R65" s="1771"/>
      <c r="S65" s="1771"/>
      <c r="T65" s="1771"/>
      <c r="U65" s="1771"/>
      <c r="V65" s="1771"/>
      <c r="W65" s="1771"/>
      <c r="X65" s="1771"/>
      <c r="Y65" s="1771"/>
      <c r="Z65" s="1771"/>
      <c r="AA65" s="1771"/>
      <c r="AB65" s="1771"/>
      <c r="AC65" s="1771"/>
      <c r="AD65" s="1771"/>
      <c r="AE65" s="1771"/>
      <c r="AF65" s="1772"/>
      <c r="AG65" s="1773">
        <v>1001010836</v>
      </c>
      <c r="AH65" s="1774"/>
      <c r="AI65" s="1774"/>
      <c r="AJ65" s="1774"/>
      <c r="AK65" s="1774"/>
      <c r="AL65" s="1774"/>
      <c r="AM65" s="1774"/>
      <c r="AN65" s="1774"/>
      <c r="AO65" s="1774"/>
      <c r="AP65" s="1774"/>
      <c r="AQ65" s="1774"/>
      <c r="AR65" s="1774"/>
      <c r="AS65" s="1774"/>
      <c r="AT65" s="1775"/>
      <c r="AU65" s="1773" t="s">
        <v>770</v>
      </c>
      <c r="AV65" s="1774"/>
      <c r="AW65" s="1774"/>
      <c r="AX65" s="1774"/>
      <c r="AY65" s="1774"/>
      <c r="AZ65" s="1774"/>
      <c r="BA65" s="1774"/>
      <c r="BB65" s="1774"/>
      <c r="BC65" s="1774"/>
      <c r="BD65" s="1774"/>
      <c r="BE65" s="1774"/>
      <c r="BF65" s="1775"/>
      <c r="BG65" s="1765" t="s">
        <v>813</v>
      </c>
      <c r="BH65" s="1766"/>
      <c r="BI65" s="1766"/>
      <c r="BJ65" s="1766"/>
      <c r="BK65" s="1766"/>
      <c r="BL65" s="1766"/>
      <c r="BM65" s="1766"/>
      <c r="BN65" s="1766"/>
      <c r="BO65" s="1766"/>
      <c r="BP65" s="1766"/>
      <c r="BQ65" s="1766"/>
      <c r="BR65" s="1766"/>
      <c r="BS65" s="1766"/>
      <c r="BT65" s="1766"/>
      <c r="BU65" s="1766"/>
      <c r="BV65" s="1766"/>
      <c r="BW65" s="1766"/>
      <c r="BX65" s="1767"/>
      <c r="BY65" s="1765" t="s">
        <v>786</v>
      </c>
      <c r="BZ65" s="1766"/>
      <c r="CA65" s="1766"/>
      <c r="CB65" s="1766"/>
      <c r="CC65" s="1766"/>
      <c r="CD65" s="1766"/>
      <c r="CE65" s="1766"/>
      <c r="CF65" s="1766"/>
      <c r="CG65" s="1766"/>
      <c r="CH65" s="1766"/>
      <c r="CI65" s="1766"/>
      <c r="CJ65" s="1766"/>
      <c r="CK65" s="1766"/>
      <c r="CL65" s="1766"/>
      <c r="CM65" s="1766"/>
      <c r="CN65" s="1766"/>
      <c r="CO65" s="1766"/>
      <c r="CP65" s="1767"/>
      <c r="CQ65" s="1762">
        <v>0.01</v>
      </c>
      <c r="CR65" s="1763"/>
      <c r="CS65" s="1763"/>
      <c r="CT65" s="1763"/>
      <c r="CU65" s="1763"/>
      <c r="CV65" s="1763"/>
      <c r="CW65" s="1763"/>
      <c r="CX65" s="1763"/>
      <c r="CY65" s="1763"/>
      <c r="CZ65" s="1763"/>
      <c r="DA65" s="1763"/>
      <c r="DB65" s="1763"/>
      <c r="DC65" s="1763"/>
      <c r="DD65" s="1763"/>
      <c r="DE65" s="1763"/>
      <c r="DF65" s="1763"/>
      <c r="DG65" s="1763"/>
      <c r="DH65" s="1764"/>
      <c r="DI65" s="1753">
        <v>3</v>
      </c>
      <c r="DJ65" s="1754"/>
      <c r="DK65" s="1754"/>
      <c r="DL65" s="1754"/>
      <c r="DM65" s="1754"/>
      <c r="DN65" s="1754"/>
      <c r="DO65" s="1754"/>
      <c r="DP65" s="1754"/>
      <c r="DQ65" s="1754"/>
      <c r="DR65" s="1754"/>
      <c r="DS65" s="1754"/>
      <c r="DT65" s="1754"/>
      <c r="DU65" s="1754"/>
      <c r="DV65" s="1754"/>
      <c r="DW65" s="1754"/>
      <c r="DX65" s="1754"/>
      <c r="DY65" s="1754"/>
      <c r="DZ65" s="1755"/>
      <c r="EA65" s="1762">
        <v>0.03</v>
      </c>
      <c r="EB65" s="1763"/>
      <c r="EC65" s="1763"/>
      <c r="ED65" s="1763"/>
      <c r="EE65" s="1763"/>
      <c r="EF65" s="1763"/>
      <c r="EG65" s="1763"/>
      <c r="EH65" s="1763"/>
      <c r="EI65" s="1763"/>
      <c r="EJ65" s="1763"/>
      <c r="EK65" s="1763"/>
      <c r="EL65" s="1763"/>
      <c r="EM65" s="1763"/>
      <c r="EN65" s="1763"/>
      <c r="EO65" s="1763"/>
      <c r="EP65" s="1763"/>
      <c r="EQ65" s="1763"/>
      <c r="ER65" s="1763"/>
      <c r="ES65" s="1764"/>
      <c r="ET65" s="2288" t="str">
        <f>BG65</f>
        <v>0870276-0870278</v>
      </c>
      <c r="EU65" s="2288" t="str">
        <f>BY65</f>
        <v>ВТ</v>
      </c>
      <c r="EV65" s="524">
        <f>CQ65</f>
        <v>0.01</v>
      </c>
      <c r="EW65" s="494">
        <v>3</v>
      </c>
      <c r="EX65" s="495">
        <v>0.03</v>
      </c>
      <c r="EY65" s="1768"/>
      <c r="EZ65" s="1768"/>
      <c r="FA65" s="1768"/>
      <c r="FB65" s="1768"/>
      <c r="FC65" s="1768"/>
      <c r="FD65" s="1768"/>
      <c r="FE65" s="1768"/>
      <c r="FF65" s="1768"/>
      <c r="FG65" s="1768"/>
      <c r="FH65" s="1768"/>
      <c r="FI65" s="1768"/>
      <c r="FJ65" s="1758"/>
      <c r="FK65" s="1759"/>
      <c r="FL65" s="1759"/>
      <c r="FM65" s="1759"/>
      <c r="FN65" s="1759"/>
      <c r="FO65" s="1759"/>
      <c r="FP65" s="1759"/>
      <c r="FQ65" s="1759"/>
      <c r="FR65" s="1759"/>
      <c r="FS65" s="1759"/>
      <c r="FT65" s="1759"/>
      <c r="FU65" s="1760"/>
      <c r="FV65" s="1753"/>
      <c r="FW65" s="1754"/>
      <c r="FX65" s="1754"/>
      <c r="FY65" s="1754"/>
      <c r="FZ65" s="1754"/>
      <c r="GA65" s="1754"/>
      <c r="GB65" s="1754"/>
      <c r="GC65" s="1754"/>
      <c r="GD65" s="1754"/>
      <c r="GE65" s="1754"/>
      <c r="GF65" s="1754"/>
      <c r="GG65" s="1755"/>
      <c r="GH65" s="1756"/>
      <c r="GI65" s="1756"/>
      <c r="GJ65" s="1756"/>
      <c r="GK65" s="1756"/>
      <c r="GL65" s="1756"/>
      <c r="GM65" s="1756"/>
      <c r="GN65" s="1756"/>
      <c r="GO65" s="1756"/>
      <c r="GP65" s="1756"/>
      <c r="GQ65" s="1756"/>
      <c r="GR65" s="1756"/>
      <c r="GS65" s="1756"/>
      <c r="GT65" s="1757"/>
      <c r="GU65" s="1757"/>
      <c r="GV65" s="1757"/>
      <c r="GW65" s="1757"/>
      <c r="GX65" s="1757"/>
      <c r="GY65" s="1757"/>
      <c r="GZ65" s="1757"/>
      <c r="HA65" s="1757"/>
      <c r="HB65" s="1757"/>
      <c r="HC65" s="1757"/>
      <c r="HD65" s="1757"/>
      <c r="HE65" s="1757"/>
      <c r="HF65" s="1758"/>
      <c r="HG65" s="1759"/>
      <c r="HH65" s="1759"/>
      <c r="HI65" s="1759"/>
      <c r="HJ65" s="1759"/>
      <c r="HK65" s="1759"/>
      <c r="HL65" s="1759"/>
      <c r="HM65" s="1759"/>
      <c r="HN65" s="1759"/>
      <c r="HO65" s="1759"/>
      <c r="HP65" s="1759"/>
      <c r="HQ65" s="1760"/>
      <c r="HR65" s="1761"/>
      <c r="HS65" s="1761"/>
      <c r="HT65" s="1761"/>
      <c r="HU65" s="1761"/>
      <c r="HV65" s="1761"/>
      <c r="HW65" s="1761"/>
      <c r="HX65" s="1761"/>
      <c r="HY65" s="1761"/>
      <c r="HZ65" s="1761"/>
      <c r="IA65" s="1761"/>
      <c r="IB65" s="1761"/>
      <c r="IC65" s="1761"/>
      <c r="ID65" s="1762"/>
      <c r="IE65" s="1763"/>
      <c r="IF65" s="1763"/>
      <c r="IG65" s="1763"/>
      <c r="IH65" s="1763"/>
      <c r="II65" s="1763"/>
      <c r="IJ65" s="1763"/>
      <c r="IK65" s="1763"/>
      <c r="IL65" s="1763"/>
      <c r="IM65" s="1763"/>
      <c r="IN65" s="1764"/>
    </row>
    <row r="66" spans="1:248" ht="36.75" customHeight="1">
      <c r="A66" s="1769">
        <v>19</v>
      </c>
      <c r="B66" s="1769"/>
      <c r="C66" s="1769"/>
      <c r="D66" s="1769"/>
      <c r="E66" s="1769"/>
      <c r="F66" s="1769"/>
      <c r="G66" s="1769"/>
      <c r="H66" s="1769"/>
      <c r="I66" s="1769"/>
      <c r="J66" s="1769"/>
      <c r="K66" s="1770" t="s">
        <v>810</v>
      </c>
      <c r="L66" s="1771"/>
      <c r="M66" s="1771"/>
      <c r="N66" s="1771"/>
      <c r="O66" s="1771"/>
      <c r="P66" s="1771"/>
      <c r="Q66" s="1771"/>
      <c r="R66" s="1771"/>
      <c r="S66" s="1771"/>
      <c r="T66" s="1771"/>
      <c r="U66" s="1771"/>
      <c r="V66" s="1771"/>
      <c r="W66" s="1771"/>
      <c r="X66" s="1771"/>
      <c r="Y66" s="1771"/>
      <c r="Z66" s="1771"/>
      <c r="AA66" s="1771"/>
      <c r="AB66" s="1771"/>
      <c r="AC66" s="1771"/>
      <c r="AD66" s="1771"/>
      <c r="AE66" s="1771"/>
      <c r="AF66" s="1772"/>
      <c r="AG66" s="1773">
        <v>1001010836</v>
      </c>
      <c r="AH66" s="1774"/>
      <c r="AI66" s="1774"/>
      <c r="AJ66" s="1774"/>
      <c r="AK66" s="1774"/>
      <c r="AL66" s="1774"/>
      <c r="AM66" s="1774"/>
      <c r="AN66" s="1774"/>
      <c r="AO66" s="1774"/>
      <c r="AP66" s="1774"/>
      <c r="AQ66" s="1774"/>
      <c r="AR66" s="1774"/>
      <c r="AS66" s="1774"/>
      <c r="AT66" s="1775"/>
      <c r="AU66" s="1773" t="s">
        <v>770</v>
      </c>
      <c r="AV66" s="1774"/>
      <c r="AW66" s="1774"/>
      <c r="AX66" s="1774"/>
      <c r="AY66" s="1774"/>
      <c r="AZ66" s="1774"/>
      <c r="BA66" s="1774"/>
      <c r="BB66" s="1774"/>
      <c r="BC66" s="1774"/>
      <c r="BD66" s="1774"/>
      <c r="BE66" s="1774"/>
      <c r="BF66" s="1775"/>
      <c r="BG66" s="1765" t="s">
        <v>814</v>
      </c>
      <c r="BH66" s="1766"/>
      <c r="BI66" s="1766"/>
      <c r="BJ66" s="1766"/>
      <c r="BK66" s="1766"/>
      <c r="BL66" s="1766"/>
      <c r="BM66" s="1766"/>
      <c r="BN66" s="1766"/>
      <c r="BO66" s="1766"/>
      <c r="BP66" s="1766"/>
      <c r="BQ66" s="1766"/>
      <c r="BR66" s="1766"/>
      <c r="BS66" s="1766"/>
      <c r="BT66" s="1766"/>
      <c r="BU66" s="1766"/>
      <c r="BV66" s="1766"/>
      <c r="BW66" s="1766"/>
      <c r="BX66" s="1767"/>
      <c r="BY66" s="1765" t="s">
        <v>786</v>
      </c>
      <c r="BZ66" s="1766"/>
      <c r="CA66" s="1766"/>
      <c r="CB66" s="1766"/>
      <c r="CC66" s="1766"/>
      <c r="CD66" s="1766"/>
      <c r="CE66" s="1766"/>
      <c r="CF66" s="1766"/>
      <c r="CG66" s="1766"/>
      <c r="CH66" s="1766"/>
      <c r="CI66" s="1766"/>
      <c r="CJ66" s="1766"/>
      <c r="CK66" s="1766"/>
      <c r="CL66" s="1766"/>
      <c r="CM66" s="1766"/>
      <c r="CN66" s="1766"/>
      <c r="CO66" s="1766"/>
      <c r="CP66" s="1767"/>
      <c r="CQ66" s="1762">
        <v>0.01</v>
      </c>
      <c r="CR66" s="1763"/>
      <c r="CS66" s="1763"/>
      <c r="CT66" s="1763"/>
      <c r="CU66" s="1763"/>
      <c r="CV66" s="1763"/>
      <c r="CW66" s="1763"/>
      <c r="CX66" s="1763"/>
      <c r="CY66" s="1763"/>
      <c r="CZ66" s="1763"/>
      <c r="DA66" s="1763"/>
      <c r="DB66" s="1763"/>
      <c r="DC66" s="1763"/>
      <c r="DD66" s="1763"/>
      <c r="DE66" s="1763"/>
      <c r="DF66" s="1763"/>
      <c r="DG66" s="1763"/>
      <c r="DH66" s="1764"/>
      <c r="DI66" s="1753">
        <v>2</v>
      </c>
      <c r="DJ66" s="1754"/>
      <c r="DK66" s="1754"/>
      <c r="DL66" s="1754"/>
      <c r="DM66" s="1754"/>
      <c r="DN66" s="1754"/>
      <c r="DO66" s="1754"/>
      <c r="DP66" s="1754"/>
      <c r="DQ66" s="1754"/>
      <c r="DR66" s="1754"/>
      <c r="DS66" s="1754"/>
      <c r="DT66" s="1754"/>
      <c r="DU66" s="1754"/>
      <c r="DV66" s="1754"/>
      <c r="DW66" s="1754"/>
      <c r="DX66" s="1754"/>
      <c r="DY66" s="1754"/>
      <c r="DZ66" s="1755"/>
      <c r="EA66" s="1762">
        <v>0.02</v>
      </c>
      <c r="EB66" s="1763"/>
      <c r="EC66" s="1763"/>
      <c r="ED66" s="1763"/>
      <c r="EE66" s="1763"/>
      <c r="EF66" s="1763"/>
      <c r="EG66" s="1763"/>
      <c r="EH66" s="1763"/>
      <c r="EI66" s="1763"/>
      <c r="EJ66" s="1763"/>
      <c r="EK66" s="1763"/>
      <c r="EL66" s="1763"/>
      <c r="EM66" s="1763"/>
      <c r="EN66" s="1763"/>
      <c r="EO66" s="1763"/>
      <c r="EP66" s="1763"/>
      <c r="EQ66" s="1763"/>
      <c r="ER66" s="1763"/>
      <c r="ES66" s="1764"/>
      <c r="ET66" s="2288" t="str">
        <f>BG66</f>
        <v>0742599-0742600</v>
      </c>
      <c r="EU66" s="2288" t="str">
        <f>BY66</f>
        <v>ВТ</v>
      </c>
      <c r="EV66" s="524">
        <f>CQ66</f>
        <v>0.01</v>
      </c>
      <c r="EW66" s="494">
        <v>2</v>
      </c>
      <c r="EX66" s="495">
        <v>0.02</v>
      </c>
      <c r="EY66" s="1768"/>
      <c r="EZ66" s="1768"/>
      <c r="FA66" s="1768"/>
      <c r="FB66" s="1768"/>
      <c r="FC66" s="1768"/>
      <c r="FD66" s="1768"/>
      <c r="FE66" s="1768"/>
      <c r="FF66" s="1768"/>
      <c r="FG66" s="1768"/>
      <c r="FH66" s="1768"/>
      <c r="FI66" s="1768"/>
      <c r="FJ66" s="1758"/>
      <c r="FK66" s="1759"/>
      <c r="FL66" s="1759"/>
      <c r="FM66" s="1759"/>
      <c r="FN66" s="1759"/>
      <c r="FO66" s="1759"/>
      <c r="FP66" s="1759"/>
      <c r="FQ66" s="1759"/>
      <c r="FR66" s="1759"/>
      <c r="FS66" s="1759"/>
      <c r="FT66" s="1759"/>
      <c r="FU66" s="1760"/>
      <c r="FV66" s="1753"/>
      <c r="FW66" s="1754"/>
      <c r="FX66" s="1754"/>
      <c r="FY66" s="1754"/>
      <c r="FZ66" s="1754"/>
      <c r="GA66" s="1754"/>
      <c r="GB66" s="1754"/>
      <c r="GC66" s="1754"/>
      <c r="GD66" s="1754"/>
      <c r="GE66" s="1754"/>
      <c r="GF66" s="1754"/>
      <c r="GG66" s="1755"/>
      <c r="GH66" s="1756"/>
      <c r="GI66" s="1756"/>
      <c r="GJ66" s="1756"/>
      <c r="GK66" s="1756"/>
      <c r="GL66" s="1756"/>
      <c r="GM66" s="1756"/>
      <c r="GN66" s="1756"/>
      <c r="GO66" s="1756"/>
      <c r="GP66" s="1756"/>
      <c r="GQ66" s="1756"/>
      <c r="GR66" s="1756"/>
      <c r="GS66" s="1756"/>
      <c r="GT66" s="1757"/>
      <c r="GU66" s="1757"/>
      <c r="GV66" s="1757"/>
      <c r="GW66" s="1757"/>
      <c r="GX66" s="1757"/>
      <c r="GY66" s="1757"/>
      <c r="GZ66" s="1757"/>
      <c r="HA66" s="1757"/>
      <c r="HB66" s="1757"/>
      <c r="HC66" s="1757"/>
      <c r="HD66" s="1757"/>
      <c r="HE66" s="1757"/>
      <c r="HF66" s="1758"/>
      <c r="HG66" s="1759"/>
      <c r="HH66" s="1759"/>
      <c r="HI66" s="1759"/>
      <c r="HJ66" s="1759"/>
      <c r="HK66" s="1759"/>
      <c r="HL66" s="1759"/>
      <c r="HM66" s="1759"/>
      <c r="HN66" s="1759"/>
      <c r="HO66" s="1759"/>
      <c r="HP66" s="1759"/>
      <c r="HQ66" s="1760"/>
      <c r="HR66" s="1761"/>
      <c r="HS66" s="1761"/>
      <c r="HT66" s="1761"/>
      <c r="HU66" s="1761"/>
      <c r="HV66" s="1761"/>
      <c r="HW66" s="1761"/>
      <c r="HX66" s="1761"/>
      <c r="HY66" s="1761"/>
      <c r="HZ66" s="1761"/>
      <c r="IA66" s="1761"/>
      <c r="IB66" s="1761"/>
      <c r="IC66" s="1761"/>
      <c r="ID66" s="1762"/>
      <c r="IE66" s="1763"/>
      <c r="IF66" s="1763"/>
      <c r="IG66" s="1763"/>
      <c r="IH66" s="1763"/>
      <c r="II66" s="1763"/>
      <c r="IJ66" s="1763"/>
      <c r="IK66" s="1763"/>
      <c r="IL66" s="1763"/>
      <c r="IM66" s="1763"/>
      <c r="IN66" s="1764"/>
    </row>
    <row r="67" spans="1:248" ht="48.75" customHeight="1">
      <c r="A67" s="1769">
        <v>20</v>
      </c>
      <c r="B67" s="1769"/>
      <c r="C67" s="1769"/>
      <c r="D67" s="1769"/>
      <c r="E67" s="1769"/>
      <c r="F67" s="1769"/>
      <c r="G67" s="1769"/>
      <c r="H67" s="1769"/>
      <c r="I67" s="1769"/>
      <c r="J67" s="1769"/>
      <c r="K67" s="1770" t="s">
        <v>815</v>
      </c>
      <c r="L67" s="1771"/>
      <c r="M67" s="1771"/>
      <c r="N67" s="1771"/>
      <c r="O67" s="1771"/>
      <c r="P67" s="1771"/>
      <c r="Q67" s="1771"/>
      <c r="R67" s="1771"/>
      <c r="S67" s="1771"/>
      <c r="T67" s="1771"/>
      <c r="U67" s="1771"/>
      <c r="V67" s="1771"/>
      <c r="W67" s="1771"/>
      <c r="X67" s="1771"/>
      <c r="Y67" s="1771"/>
      <c r="Z67" s="1771"/>
      <c r="AA67" s="1771"/>
      <c r="AB67" s="1771"/>
      <c r="AC67" s="1771"/>
      <c r="AD67" s="1771"/>
      <c r="AE67" s="1771"/>
      <c r="AF67" s="1772"/>
      <c r="AG67" s="1773">
        <v>100119021</v>
      </c>
      <c r="AH67" s="1774"/>
      <c r="AI67" s="1774"/>
      <c r="AJ67" s="1774"/>
      <c r="AK67" s="1774"/>
      <c r="AL67" s="1774"/>
      <c r="AM67" s="1774"/>
      <c r="AN67" s="1774"/>
      <c r="AO67" s="1774"/>
      <c r="AP67" s="1774"/>
      <c r="AQ67" s="1774"/>
      <c r="AR67" s="1774"/>
      <c r="AS67" s="1774"/>
      <c r="AT67" s="1775"/>
      <c r="AU67" s="1773" t="s">
        <v>770</v>
      </c>
      <c r="AV67" s="1774"/>
      <c r="AW67" s="1774"/>
      <c r="AX67" s="1774"/>
      <c r="AY67" s="1774"/>
      <c r="AZ67" s="1774"/>
      <c r="BA67" s="1774"/>
      <c r="BB67" s="1774"/>
      <c r="BC67" s="1774"/>
      <c r="BD67" s="1774"/>
      <c r="BE67" s="1774"/>
      <c r="BF67" s="1775"/>
      <c r="BG67" s="1765" t="s">
        <v>755</v>
      </c>
      <c r="BH67" s="1766"/>
      <c r="BI67" s="1766"/>
      <c r="BJ67" s="1766"/>
      <c r="BK67" s="1766"/>
      <c r="BL67" s="1766"/>
      <c r="BM67" s="1766"/>
      <c r="BN67" s="1766"/>
      <c r="BO67" s="1766"/>
      <c r="BP67" s="1766"/>
      <c r="BQ67" s="1766"/>
      <c r="BR67" s="1766"/>
      <c r="BS67" s="1766"/>
      <c r="BT67" s="1766"/>
      <c r="BU67" s="1766"/>
      <c r="BV67" s="1766"/>
      <c r="BW67" s="1766"/>
      <c r="BX67" s="1767"/>
      <c r="BY67" s="1765" t="s">
        <v>755</v>
      </c>
      <c r="BZ67" s="1766"/>
      <c r="CA67" s="1766"/>
      <c r="CB67" s="1766"/>
      <c r="CC67" s="1766"/>
      <c r="CD67" s="1766"/>
      <c r="CE67" s="1766"/>
      <c r="CF67" s="1766"/>
      <c r="CG67" s="1766"/>
      <c r="CH67" s="1766"/>
      <c r="CI67" s="1766"/>
      <c r="CJ67" s="1766"/>
      <c r="CK67" s="1766"/>
      <c r="CL67" s="1766"/>
      <c r="CM67" s="1766"/>
      <c r="CN67" s="1766"/>
      <c r="CO67" s="1766"/>
      <c r="CP67" s="1767"/>
      <c r="CQ67" s="1762">
        <v>0.26</v>
      </c>
      <c r="CR67" s="1763"/>
      <c r="CS67" s="1763"/>
      <c r="CT67" s="1763"/>
      <c r="CU67" s="1763"/>
      <c r="CV67" s="1763"/>
      <c r="CW67" s="1763"/>
      <c r="CX67" s="1763"/>
      <c r="CY67" s="1763"/>
      <c r="CZ67" s="1763"/>
      <c r="DA67" s="1763"/>
      <c r="DB67" s="1763"/>
      <c r="DC67" s="1763"/>
      <c r="DD67" s="1763"/>
      <c r="DE67" s="1763"/>
      <c r="DF67" s="1763"/>
      <c r="DG67" s="1763"/>
      <c r="DH67" s="1764"/>
      <c r="DI67" s="1753">
        <v>1</v>
      </c>
      <c r="DJ67" s="1754"/>
      <c r="DK67" s="1754"/>
      <c r="DL67" s="1754"/>
      <c r="DM67" s="1754"/>
      <c r="DN67" s="1754"/>
      <c r="DO67" s="1754"/>
      <c r="DP67" s="1754"/>
      <c r="DQ67" s="1754"/>
      <c r="DR67" s="1754"/>
      <c r="DS67" s="1754"/>
      <c r="DT67" s="1754"/>
      <c r="DU67" s="1754"/>
      <c r="DV67" s="1754"/>
      <c r="DW67" s="1754"/>
      <c r="DX67" s="1754"/>
      <c r="DY67" s="1754"/>
      <c r="DZ67" s="1755"/>
      <c r="EA67" s="1762">
        <v>0.26</v>
      </c>
      <c r="EB67" s="1763"/>
      <c r="EC67" s="1763"/>
      <c r="ED67" s="1763"/>
      <c r="EE67" s="1763"/>
      <c r="EF67" s="1763"/>
      <c r="EG67" s="1763"/>
      <c r="EH67" s="1763"/>
      <c r="EI67" s="1763"/>
      <c r="EJ67" s="1763"/>
      <c r="EK67" s="1763"/>
      <c r="EL67" s="1763"/>
      <c r="EM67" s="1763"/>
      <c r="EN67" s="1763"/>
      <c r="EO67" s="1763"/>
      <c r="EP67" s="1763"/>
      <c r="EQ67" s="1763"/>
      <c r="ER67" s="1763"/>
      <c r="ES67" s="1764"/>
      <c r="ET67" s="2288" t="str">
        <f>BG67</f>
        <v/>
      </c>
      <c r="EU67" s="2288" t="str">
        <f>BY67</f>
        <v/>
      </c>
      <c r="EV67" s="524">
        <f>CQ67</f>
        <v>0.26</v>
      </c>
      <c r="EW67" s="494">
        <v>1</v>
      </c>
      <c r="EX67" s="495">
        <v>0.26</v>
      </c>
      <c r="EY67" s="1768"/>
      <c r="EZ67" s="1768"/>
      <c r="FA67" s="1768"/>
      <c r="FB67" s="1768"/>
      <c r="FC67" s="1768"/>
      <c r="FD67" s="1768"/>
      <c r="FE67" s="1768"/>
      <c r="FF67" s="1768"/>
      <c r="FG67" s="1768"/>
      <c r="FH67" s="1768"/>
      <c r="FI67" s="1768"/>
      <c r="FJ67" s="1758"/>
      <c r="FK67" s="1759"/>
      <c r="FL67" s="1759"/>
      <c r="FM67" s="1759"/>
      <c r="FN67" s="1759"/>
      <c r="FO67" s="1759"/>
      <c r="FP67" s="1759"/>
      <c r="FQ67" s="1759"/>
      <c r="FR67" s="1759"/>
      <c r="FS67" s="1759"/>
      <c r="FT67" s="1759"/>
      <c r="FU67" s="1760"/>
      <c r="FV67" s="1753"/>
      <c r="FW67" s="1754"/>
      <c r="FX67" s="1754"/>
      <c r="FY67" s="1754"/>
      <c r="FZ67" s="1754"/>
      <c r="GA67" s="1754"/>
      <c r="GB67" s="1754"/>
      <c r="GC67" s="1754"/>
      <c r="GD67" s="1754"/>
      <c r="GE67" s="1754"/>
      <c r="GF67" s="1754"/>
      <c r="GG67" s="1755"/>
      <c r="GH67" s="1756"/>
      <c r="GI67" s="1756"/>
      <c r="GJ67" s="1756"/>
      <c r="GK67" s="1756"/>
      <c r="GL67" s="1756"/>
      <c r="GM67" s="1756"/>
      <c r="GN67" s="1756"/>
      <c r="GO67" s="1756"/>
      <c r="GP67" s="1756"/>
      <c r="GQ67" s="1756"/>
      <c r="GR67" s="1756"/>
      <c r="GS67" s="1756"/>
      <c r="GT67" s="1757"/>
      <c r="GU67" s="1757"/>
      <c r="GV67" s="1757"/>
      <c r="GW67" s="1757"/>
      <c r="GX67" s="1757"/>
      <c r="GY67" s="1757"/>
      <c r="GZ67" s="1757"/>
      <c r="HA67" s="1757"/>
      <c r="HB67" s="1757"/>
      <c r="HC67" s="1757"/>
      <c r="HD67" s="1757"/>
      <c r="HE67" s="1757"/>
      <c r="HF67" s="1758"/>
      <c r="HG67" s="1759"/>
      <c r="HH67" s="1759"/>
      <c r="HI67" s="1759"/>
      <c r="HJ67" s="1759"/>
      <c r="HK67" s="1759"/>
      <c r="HL67" s="1759"/>
      <c r="HM67" s="1759"/>
      <c r="HN67" s="1759"/>
      <c r="HO67" s="1759"/>
      <c r="HP67" s="1759"/>
      <c r="HQ67" s="1760"/>
      <c r="HR67" s="1761"/>
      <c r="HS67" s="1761"/>
      <c r="HT67" s="1761"/>
      <c r="HU67" s="1761"/>
      <c r="HV67" s="1761"/>
      <c r="HW67" s="1761"/>
      <c r="HX67" s="1761"/>
      <c r="HY67" s="1761"/>
      <c r="HZ67" s="1761"/>
      <c r="IA67" s="1761"/>
      <c r="IB67" s="1761"/>
      <c r="IC67" s="1761"/>
      <c r="ID67" s="1762"/>
      <c r="IE67" s="1763"/>
      <c r="IF67" s="1763"/>
      <c r="IG67" s="1763"/>
      <c r="IH67" s="1763"/>
      <c r="II67" s="1763"/>
      <c r="IJ67" s="1763"/>
      <c r="IK67" s="1763"/>
      <c r="IL67" s="1763"/>
      <c r="IM67" s="1763"/>
      <c r="IN67" s="1764"/>
    </row>
    <row r="68" spans="1:248" ht="36.75" customHeight="1">
      <c r="A68" s="1769">
        <v>21</v>
      </c>
      <c r="B68" s="1769"/>
      <c r="C68" s="1769"/>
      <c r="D68" s="1769"/>
      <c r="E68" s="1769"/>
      <c r="F68" s="1769"/>
      <c r="G68" s="1769"/>
      <c r="H68" s="1769"/>
      <c r="I68" s="1769"/>
      <c r="J68" s="1769"/>
      <c r="K68" s="1770" t="s">
        <v>818</v>
      </c>
      <c r="L68" s="1771"/>
      <c r="M68" s="1771"/>
      <c r="N68" s="1771"/>
      <c r="O68" s="1771"/>
      <c r="P68" s="1771"/>
      <c r="Q68" s="1771"/>
      <c r="R68" s="1771"/>
      <c r="S68" s="1771"/>
      <c r="T68" s="1771"/>
      <c r="U68" s="1771"/>
      <c r="V68" s="1771"/>
      <c r="W68" s="1771"/>
      <c r="X68" s="1771"/>
      <c r="Y68" s="1771"/>
      <c r="Z68" s="1771"/>
      <c r="AA68" s="1771"/>
      <c r="AB68" s="1771"/>
      <c r="AC68" s="1771"/>
      <c r="AD68" s="1771"/>
      <c r="AE68" s="1771"/>
      <c r="AF68" s="1772"/>
      <c r="AG68" s="1773">
        <v>10011245</v>
      </c>
      <c r="AH68" s="1774"/>
      <c r="AI68" s="1774"/>
      <c r="AJ68" s="1774"/>
      <c r="AK68" s="1774"/>
      <c r="AL68" s="1774"/>
      <c r="AM68" s="1774"/>
      <c r="AN68" s="1774"/>
      <c r="AO68" s="1774"/>
      <c r="AP68" s="1774"/>
      <c r="AQ68" s="1774"/>
      <c r="AR68" s="1774"/>
      <c r="AS68" s="1774"/>
      <c r="AT68" s="1775"/>
      <c r="AU68" s="1773" t="s">
        <v>770</v>
      </c>
      <c r="AV68" s="1774"/>
      <c r="AW68" s="1774"/>
      <c r="AX68" s="1774"/>
      <c r="AY68" s="1774"/>
      <c r="AZ68" s="1774"/>
      <c r="BA68" s="1774"/>
      <c r="BB68" s="1774"/>
      <c r="BC68" s="1774"/>
      <c r="BD68" s="1774"/>
      <c r="BE68" s="1774"/>
      <c r="BF68" s="1775"/>
      <c r="BG68" s="1765" t="s">
        <v>755</v>
      </c>
      <c r="BH68" s="1766"/>
      <c r="BI68" s="1766"/>
      <c r="BJ68" s="1766"/>
      <c r="BK68" s="1766"/>
      <c r="BL68" s="1766"/>
      <c r="BM68" s="1766"/>
      <c r="BN68" s="1766"/>
      <c r="BO68" s="1766"/>
      <c r="BP68" s="1766"/>
      <c r="BQ68" s="1766"/>
      <c r="BR68" s="1766"/>
      <c r="BS68" s="1766"/>
      <c r="BT68" s="1766"/>
      <c r="BU68" s="1766"/>
      <c r="BV68" s="1766"/>
      <c r="BW68" s="1766"/>
      <c r="BX68" s="1767"/>
      <c r="BY68" s="1765" t="s">
        <v>755</v>
      </c>
      <c r="BZ68" s="1766"/>
      <c r="CA68" s="1766"/>
      <c r="CB68" s="1766"/>
      <c r="CC68" s="1766"/>
      <c r="CD68" s="1766"/>
      <c r="CE68" s="1766"/>
      <c r="CF68" s="1766"/>
      <c r="CG68" s="1766"/>
      <c r="CH68" s="1766"/>
      <c r="CI68" s="1766"/>
      <c r="CJ68" s="1766"/>
      <c r="CK68" s="1766"/>
      <c r="CL68" s="1766"/>
      <c r="CM68" s="1766"/>
      <c r="CN68" s="1766"/>
      <c r="CO68" s="1766"/>
      <c r="CP68" s="1767"/>
      <c r="CQ68" s="1762">
        <v>0.19</v>
      </c>
      <c r="CR68" s="1763"/>
      <c r="CS68" s="1763"/>
      <c r="CT68" s="1763"/>
      <c r="CU68" s="1763"/>
      <c r="CV68" s="1763"/>
      <c r="CW68" s="1763"/>
      <c r="CX68" s="1763"/>
      <c r="CY68" s="1763"/>
      <c r="CZ68" s="1763"/>
      <c r="DA68" s="1763"/>
      <c r="DB68" s="1763"/>
      <c r="DC68" s="1763"/>
      <c r="DD68" s="1763"/>
      <c r="DE68" s="1763"/>
      <c r="DF68" s="1763"/>
      <c r="DG68" s="1763"/>
      <c r="DH68" s="1764"/>
      <c r="DI68" s="1753">
        <v>1</v>
      </c>
      <c r="DJ68" s="1754"/>
      <c r="DK68" s="1754"/>
      <c r="DL68" s="1754"/>
      <c r="DM68" s="1754"/>
      <c r="DN68" s="1754"/>
      <c r="DO68" s="1754"/>
      <c r="DP68" s="1754"/>
      <c r="DQ68" s="1754"/>
      <c r="DR68" s="1754"/>
      <c r="DS68" s="1754"/>
      <c r="DT68" s="1754"/>
      <c r="DU68" s="1754"/>
      <c r="DV68" s="1754"/>
      <c r="DW68" s="1754"/>
      <c r="DX68" s="1754"/>
      <c r="DY68" s="1754"/>
      <c r="DZ68" s="1755"/>
      <c r="EA68" s="1762">
        <v>0.19</v>
      </c>
      <c r="EB68" s="1763"/>
      <c r="EC68" s="1763"/>
      <c r="ED68" s="1763"/>
      <c r="EE68" s="1763"/>
      <c r="EF68" s="1763"/>
      <c r="EG68" s="1763"/>
      <c r="EH68" s="1763"/>
      <c r="EI68" s="1763"/>
      <c r="EJ68" s="1763"/>
      <c r="EK68" s="1763"/>
      <c r="EL68" s="1763"/>
      <c r="EM68" s="1763"/>
      <c r="EN68" s="1763"/>
      <c r="EO68" s="1763"/>
      <c r="EP68" s="1763"/>
      <c r="EQ68" s="1763"/>
      <c r="ER68" s="1763"/>
      <c r="ES68" s="1764"/>
      <c r="ET68" s="2288" t="str">
        <f>BG68</f>
        <v/>
      </c>
      <c r="EU68" s="2288" t="str">
        <f>BY68</f>
        <v/>
      </c>
      <c r="EV68" s="524">
        <f>CQ68</f>
        <v>0.19</v>
      </c>
      <c r="EW68" s="494">
        <v>1</v>
      </c>
      <c r="EX68" s="495">
        <v>0.19</v>
      </c>
      <c r="EY68" s="1768"/>
      <c r="EZ68" s="1768"/>
      <c r="FA68" s="1768"/>
      <c r="FB68" s="1768"/>
      <c r="FC68" s="1768"/>
      <c r="FD68" s="1768"/>
      <c r="FE68" s="1768"/>
      <c r="FF68" s="1768"/>
      <c r="FG68" s="1768"/>
      <c r="FH68" s="1768"/>
      <c r="FI68" s="1768"/>
      <c r="FJ68" s="1758"/>
      <c r="FK68" s="1759"/>
      <c r="FL68" s="1759"/>
      <c r="FM68" s="1759"/>
      <c r="FN68" s="1759"/>
      <c r="FO68" s="1759"/>
      <c r="FP68" s="1759"/>
      <c r="FQ68" s="1759"/>
      <c r="FR68" s="1759"/>
      <c r="FS68" s="1759"/>
      <c r="FT68" s="1759"/>
      <c r="FU68" s="1760"/>
      <c r="FV68" s="1753"/>
      <c r="FW68" s="1754"/>
      <c r="FX68" s="1754"/>
      <c r="FY68" s="1754"/>
      <c r="FZ68" s="1754"/>
      <c r="GA68" s="1754"/>
      <c r="GB68" s="1754"/>
      <c r="GC68" s="1754"/>
      <c r="GD68" s="1754"/>
      <c r="GE68" s="1754"/>
      <c r="GF68" s="1754"/>
      <c r="GG68" s="1755"/>
      <c r="GH68" s="1756"/>
      <c r="GI68" s="1756"/>
      <c r="GJ68" s="1756"/>
      <c r="GK68" s="1756"/>
      <c r="GL68" s="1756"/>
      <c r="GM68" s="1756"/>
      <c r="GN68" s="1756"/>
      <c r="GO68" s="1756"/>
      <c r="GP68" s="1756"/>
      <c r="GQ68" s="1756"/>
      <c r="GR68" s="1756"/>
      <c r="GS68" s="1756"/>
      <c r="GT68" s="1757"/>
      <c r="GU68" s="1757"/>
      <c r="GV68" s="1757"/>
      <c r="GW68" s="1757"/>
      <c r="GX68" s="1757"/>
      <c r="GY68" s="1757"/>
      <c r="GZ68" s="1757"/>
      <c r="HA68" s="1757"/>
      <c r="HB68" s="1757"/>
      <c r="HC68" s="1757"/>
      <c r="HD68" s="1757"/>
      <c r="HE68" s="1757"/>
      <c r="HF68" s="1758"/>
      <c r="HG68" s="1759"/>
      <c r="HH68" s="1759"/>
      <c r="HI68" s="1759"/>
      <c r="HJ68" s="1759"/>
      <c r="HK68" s="1759"/>
      <c r="HL68" s="1759"/>
      <c r="HM68" s="1759"/>
      <c r="HN68" s="1759"/>
      <c r="HO68" s="1759"/>
      <c r="HP68" s="1759"/>
      <c r="HQ68" s="1760"/>
      <c r="HR68" s="1761"/>
      <c r="HS68" s="1761"/>
      <c r="HT68" s="1761"/>
      <c r="HU68" s="1761"/>
      <c r="HV68" s="1761"/>
      <c r="HW68" s="1761"/>
      <c r="HX68" s="1761"/>
      <c r="HY68" s="1761"/>
      <c r="HZ68" s="1761"/>
      <c r="IA68" s="1761"/>
      <c r="IB68" s="1761"/>
      <c r="IC68" s="1761"/>
      <c r="ID68" s="1762"/>
      <c r="IE68" s="1763"/>
      <c r="IF68" s="1763"/>
      <c r="IG68" s="1763"/>
      <c r="IH68" s="1763"/>
      <c r="II68" s="1763"/>
      <c r="IJ68" s="1763"/>
      <c r="IK68" s="1763"/>
      <c r="IL68" s="1763"/>
      <c r="IM68" s="1763"/>
      <c r="IN68" s="1764"/>
    </row>
    <row r="69" spans="1:248" ht="72.75" customHeight="1">
      <c r="A69" s="1769">
        <v>22</v>
      </c>
      <c r="B69" s="1769"/>
      <c r="C69" s="1769"/>
      <c r="D69" s="1769"/>
      <c r="E69" s="1769"/>
      <c r="F69" s="1769"/>
      <c r="G69" s="1769"/>
      <c r="H69" s="1769"/>
      <c r="I69" s="1769"/>
      <c r="J69" s="1769"/>
      <c r="K69" s="1770" t="s">
        <v>822</v>
      </c>
      <c r="L69" s="1771"/>
      <c r="M69" s="1771"/>
      <c r="N69" s="1771"/>
      <c r="O69" s="1771"/>
      <c r="P69" s="1771"/>
      <c r="Q69" s="1771"/>
      <c r="R69" s="1771"/>
      <c r="S69" s="1771"/>
      <c r="T69" s="1771"/>
      <c r="U69" s="1771"/>
      <c r="V69" s="1771"/>
      <c r="W69" s="1771"/>
      <c r="X69" s="1771"/>
      <c r="Y69" s="1771"/>
      <c r="Z69" s="1771"/>
      <c r="AA69" s="1771"/>
      <c r="AB69" s="1771"/>
      <c r="AC69" s="1771"/>
      <c r="AD69" s="1771"/>
      <c r="AE69" s="1771"/>
      <c r="AF69" s="1772"/>
      <c r="AG69" s="1773">
        <v>1001010838</v>
      </c>
      <c r="AH69" s="1774"/>
      <c r="AI69" s="1774"/>
      <c r="AJ69" s="1774"/>
      <c r="AK69" s="1774"/>
      <c r="AL69" s="1774"/>
      <c r="AM69" s="1774"/>
      <c r="AN69" s="1774"/>
      <c r="AO69" s="1774"/>
      <c r="AP69" s="1774"/>
      <c r="AQ69" s="1774"/>
      <c r="AR69" s="1774"/>
      <c r="AS69" s="1774"/>
      <c r="AT69" s="1775"/>
      <c r="AU69" s="1773" t="s">
        <v>770</v>
      </c>
      <c r="AV69" s="1774"/>
      <c r="AW69" s="1774"/>
      <c r="AX69" s="1774"/>
      <c r="AY69" s="1774"/>
      <c r="AZ69" s="1774"/>
      <c r="BA69" s="1774"/>
      <c r="BB69" s="1774"/>
      <c r="BC69" s="1774"/>
      <c r="BD69" s="1774"/>
      <c r="BE69" s="1774"/>
      <c r="BF69" s="1775"/>
      <c r="BG69" s="1765" t="s">
        <v>823</v>
      </c>
      <c r="BH69" s="1766"/>
      <c r="BI69" s="1766"/>
      <c r="BJ69" s="1766"/>
      <c r="BK69" s="1766"/>
      <c r="BL69" s="1766"/>
      <c r="BM69" s="1766"/>
      <c r="BN69" s="1766"/>
      <c r="BO69" s="1766"/>
      <c r="BP69" s="1766"/>
      <c r="BQ69" s="1766"/>
      <c r="BR69" s="1766"/>
      <c r="BS69" s="1766"/>
      <c r="BT69" s="1766"/>
      <c r="BU69" s="1766"/>
      <c r="BV69" s="1766"/>
      <c r="BW69" s="1766"/>
      <c r="BX69" s="1767"/>
      <c r="BY69" s="1765" t="s">
        <v>755</v>
      </c>
      <c r="BZ69" s="1766"/>
      <c r="CA69" s="1766"/>
      <c r="CB69" s="1766"/>
      <c r="CC69" s="1766"/>
      <c r="CD69" s="1766"/>
      <c r="CE69" s="1766"/>
      <c r="CF69" s="1766"/>
      <c r="CG69" s="1766"/>
      <c r="CH69" s="1766"/>
      <c r="CI69" s="1766"/>
      <c r="CJ69" s="1766"/>
      <c r="CK69" s="1766"/>
      <c r="CL69" s="1766"/>
      <c r="CM69" s="1766"/>
      <c r="CN69" s="1766"/>
      <c r="CO69" s="1766"/>
      <c r="CP69" s="1767"/>
      <c r="CQ69" s="1762">
        <v>0.22</v>
      </c>
      <c r="CR69" s="1763"/>
      <c r="CS69" s="1763"/>
      <c r="CT69" s="1763"/>
      <c r="CU69" s="1763"/>
      <c r="CV69" s="1763"/>
      <c r="CW69" s="1763"/>
      <c r="CX69" s="1763"/>
      <c r="CY69" s="1763"/>
      <c r="CZ69" s="1763"/>
      <c r="DA69" s="1763"/>
      <c r="DB69" s="1763"/>
      <c r="DC69" s="1763"/>
      <c r="DD69" s="1763"/>
      <c r="DE69" s="1763"/>
      <c r="DF69" s="1763"/>
      <c r="DG69" s="1763"/>
      <c r="DH69" s="1764"/>
      <c r="DI69" s="1753">
        <v>1</v>
      </c>
      <c r="DJ69" s="1754"/>
      <c r="DK69" s="1754"/>
      <c r="DL69" s="1754"/>
      <c r="DM69" s="1754"/>
      <c r="DN69" s="1754"/>
      <c r="DO69" s="1754"/>
      <c r="DP69" s="1754"/>
      <c r="DQ69" s="1754"/>
      <c r="DR69" s="1754"/>
      <c r="DS69" s="1754"/>
      <c r="DT69" s="1754"/>
      <c r="DU69" s="1754"/>
      <c r="DV69" s="1754"/>
      <c r="DW69" s="1754"/>
      <c r="DX69" s="1754"/>
      <c r="DY69" s="1754"/>
      <c r="DZ69" s="1755"/>
      <c r="EA69" s="1762">
        <v>0.22</v>
      </c>
      <c r="EB69" s="1763"/>
      <c r="EC69" s="1763"/>
      <c r="ED69" s="1763"/>
      <c r="EE69" s="1763"/>
      <c r="EF69" s="1763"/>
      <c r="EG69" s="1763"/>
      <c r="EH69" s="1763"/>
      <c r="EI69" s="1763"/>
      <c r="EJ69" s="1763"/>
      <c r="EK69" s="1763"/>
      <c r="EL69" s="1763"/>
      <c r="EM69" s="1763"/>
      <c r="EN69" s="1763"/>
      <c r="EO69" s="1763"/>
      <c r="EP69" s="1763"/>
      <c r="EQ69" s="1763"/>
      <c r="ER69" s="1763"/>
      <c r="ES69" s="1764"/>
      <c r="ET69" s="2288" t="str">
        <f>BG69</f>
        <v>б/н</v>
      </c>
      <c r="EU69" s="2288" t="str">
        <f>BY69</f>
        <v/>
      </c>
      <c r="EV69" s="524">
        <f>CQ69</f>
        <v>0.22</v>
      </c>
      <c r="EW69" s="494">
        <v>1</v>
      </c>
      <c r="EX69" s="495">
        <v>0.22</v>
      </c>
      <c r="EY69" s="1768"/>
      <c r="EZ69" s="1768"/>
      <c r="FA69" s="1768"/>
      <c r="FB69" s="1768"/>
      <c r="FC69" s="1768"/>
      <c r="FD69" s="1768"/>
      <c r="FE69" s="1768"/>
      <c r="FF69" s="1768"/>
      <c r="FG69" s="1768"/>
      <c r="FH69" s="1768"/>
      <c r="FI69" s="1768"/>
      <c r="FJ69" s="1758"/>
      <c r="FK69" s="1759"/>
      <c r="FL69" s="1759"/>
      <c r="FM69" s="1759"/>
      <c r="FN69" s="1759"/>
      <c r="FO69" s="1759"/>
      <c r="FP69" s="1759"/>
      <c r="FQ69" s="1759"/>
      <c r="FR69" s="1759"/>
      <c r="FS69" s="1759"/>
      <c r="FT69" s="1759"/>
      <c r="FU69" s="1760"/>
      <c r="FV69" s="1753"/>
      <c r="FW69" s="1754"/>
      <c r="FX69" s="1754"/>
      <c r="FY69" s="1754"/>
      <c r="FZ69" s="1754"/>
      <c r="GA69" s="1754"/>
      <c r="GB69" s="1754"/>
      <c r="GC69" s="1754"/>
      <c r="GD69" s="1754"/>
      <c r="GE69" s="1754"/>
      <c r="GF69" s="1754"/>
      <c r="GG69" s="1755"/>
      <c r="GH69" s="1756"/>
      <c r="GI69" s="1756"/>
      <c r="GJ69" s="1756"/>
      <c r="GK69" s="1756"/>
      <c r="GL69" s="1756"/>
      <c r="GM69" s="1756"/>
      <c r="GN69" s="1756"/>
      <c r="GO69" s="1756"/>
      <c r="GP69" s="1756"/>
      <c r="GQ69" s="1756"/>
      <c r="GR69" s="1756"/>
      <c r="GS69" s="1756"/>
      <c r="GT69" s="1757"/>
      <c r="GU69" s="1757"/>
      <c r="GV69" s="1757"/>
      <c r="GW69" s="1757"/>
      <c r="GX69" s="1757"/>
      <c r="GY69" s="1757"/>
      <c r="GZ69" s="1757"/>
      <c r="HA69" s="1757"/>
      <c r="HB69" s="1757"/>
      <c r="HC69" s="1757"/>
      <c r="HD69" s="1757"/>
      <c r="HE69" s="1757"/>
      <c r="HF69" s="1758"/>
      <c r="HG69" s="1759"/>
      <c r="HH69" s="1759"/>
      <c r="HI69" s="1759"/>
      <c r="HJ69" s="1759"/>
      <c r="HK69" s="1759"/>
      <c r="HL69" s="1759"/>
      <c r="HM69" s="1759"/>
      <c r="HN69" s="1759"/>
      <c r="HO69" s="1759"/>
      <c r="HP69" s="1759"/>
      <c r="HQ69" s="1760"/>
      <c r="HR69" s="1761"/>
      <c r="HS69" s="1761"/>
      <c r="HT69" s="1761"/>
      <c r="HU69" s="1761"/>
      <c r="HV69" s="1761"/>
      <c r="HW69" s="1761"/>
      <c r="HX69" s="1761"/>
      <c r="HY69" s="1761"/>
      <c r="HZ69" s="1761"/>
      <c r="IA69" s="1761"/>
      <c r="IB69" s="1761"/>
      <c r="IC69" s="1761"/>
      <c r="ID69" s="1762"/>
      <c r="IE69" s="1763"/>
      <c r="IF69" s="1763"/>
      <c r="IG69" s="1763"/>
      <c r="IH69" s="1763"/>
      <c r="II69" s="1763"/>
      <c r="IJ69" s="1763"/>
      <c r="IK69" s="1763"/>
      <c r="IL69" s="1763"/>
      <c r="IM69" s="1763"/>
      <c r="IN69" s="1764"/>
    </row>
    <row r="70" spans="1:248" ht="72.75" customHeight="1">
      <c r="A70" s="1769">
        <v>23</v>
      </c>
      <c r="B70" s="1769"/>
      <c r="C70" s="1769"/>
      <c r="D70" s="1769"/>
      <c r="E70" s="1769"/>
      <c r="F70" s="1769"/>
      <c r="G70" s="1769"/>
      <c r="H70" s="1769"/>
      <c r="I70" s="1769"/>
      <c r="J70" s="1769"/>
      <c r="K70" s="1770" t="s">
        <v>822</v>
      </c>
      <c r="L70" s="1771"/>
      <c r="M70" s="1771"/>
      <c r="N70" s="1771"/>
      <c r="O70" s="1771"/>
      <c r="P70" s="1771"/>
      <c r="Q70" s="1771"/>
      <c r="R70" s="1771"/>
      <c r="S70" s="1771"/>
      <c r="T70" s="1771"/>
      <c r="U70" s="1771"/>
      <c r="V70" s="1771"/>
      <c r="W70" s="1771"/>
      <c r="X70" s="1771"/>
      <c r="Y70" s="1771"/>
      <c r="Z70" s="1771"/>
      <c r="AA70" s="1771"/>
      <c r="AB70" s="1771"/>
      <c r="AC70" s="1771"/>
      <c r="AD70" s="1771"/>
      <c r="AE70" s="1771"/>
      <c r="AF70" s="1772"/>
      <c r="AG70" s="1773">
        <v>1001010838</v>
      </c>
      <c r="AH70" s="1774"/>
      <c r="AI70" s="1774"/>
      <c r="AJ70" s="1774"/>
      <c r="AK70" s="1774"/>
      <c r="AL70" s="1774"/>
      <c r="AM70" s="1774"/>
      <c r="AN70" s="1774"/>
      <c r="AO70" s="1774"/>
      <c r="AP70" s="1774"/>
      <c r="AQ70" s="1774"/>
      <c r="AR70" s="1774"/>
      <c r="AS70" s="1774"/>
      <c r="AT70" s="1775"/>
      <c r="AU70" s="1773" t="s">
        <v>770</v>
      </c>
      <c r="AV70" s="1774"/>
      <c r="AW70" s="1774"/>
      <c r="AX70" s="1774"/>
      <c r="AY70" s="1774"/>
      <c r="AZ70" s="1774"/>
      <c r="BA70" s="1774"/>
      <c r="BB70" s="1774"/>
      <c r="BC70" s="1774"/>
      <c r="BD70" s="1774"/>
      <c r="BE70" s="1774"/>
      <c r="BF70" s="1775"/>
      <c r="BG70" s="1765" t="s">
        <v>825</v>
      </c>
      <c r="BH70" s="1766"/>
      <c r="BI70" s="1766"/>
      <c r="BJ70" s="1766"/>
      <c r="BK70" s="1766"/>
      <c r="BL70" s="1766"/>
      <c r="BM70" s="1766"/>
      <c r="BN70" s="1766"/>
      <c r="BO70" s="1766"/>
      <c r="BP70" s="1766"/>
      <c r="BQ70" s="1766"/>
      <c r="BR70" s="1766"/>
      <c r="BS70" s="1766"/>
      <c r="BT70" s="1766"/>
      <c r="BU70" s="1766"/>
      <c r="BV70" s="1766"/>
      <c r="BW70" s="1766"/>
      <c r="BX70" s="1767"/>
      <c r="BY70" s="1765" t="s">
        <v>755</v>
      </c>
      <c r="BZ70" s="1766"/>
      <c r="CA70" s="1766"/>
      <c r="CB70" s="1766"/>
      <c r="CC70" s="1766"/>
      <c r="CD70" s="1766"/>
      <c r="CE70" s="1766"/>
      <c r="CF70" s="1766"/>
      <c r="CG70" s="1766"/>
      <c r="CH70" s="1766"/>
      <c r="CI70" s="1766"/>
      <c r="CJ70" s="1766"/>
      <c r="CK70" s="1766"/>
      <c r="CL70" s="1766"/>
      <c r="CM70" s="1766"/>
      <c r="CN70" s="1766"/>
      <c r="CO70" s="1766"/>
      <c r="CP70" s="1767"/>
      <c r="CQ70" s="1762">
        <v>0.22</v>
      </c>
      <c r="CR70" s="1763"/>
      <c r="CS70" s="1763"/>
      <c r="CT70" s="1763"/>
      <c r="CU70" s="1763"/>
      <c r="CV70" s="1763"/>
      <c r="CW70" s="1763"/>
      <c r="CX70" s="1763"/>
      <c r="CY70" s="1763"/>
      <c r="CZ70" s="1763"/>
      <c r="DA70" s="1763"/>
      <c r="DB70" s="1763"/>
      <c r="DC70" s="1763"/>
      <c r="DD70" s="1763"/>
      <c r="DE70" s="1763"/>
      <c r="DF70" s="1763"/>
      <c r="DG70" s="1763"/>
      <c r="DH70" s="1764"/>
      <c r="DI70" s="1753">
        <v>1</v>
      </c>
      <c r="DJ70" s="1754"/>
      <c r="DK70" s="1754"/>
      <c r="DL70" s="1754"/>
      <c r="DM70" s="1754"/>
      <c r="DN70" s="1754"/>
      <c r="DO70" s="1754"/>
      <c r="DP70" s="1754"/>
      <c r="DQ70" s="1754"/>
      <c r="DR70" s="1754"/>
      <c r="DS70" s="1754"/>
      <c r="DT70" s="1754"/>
      <c r="DU70" s="1754"/>
      <c r="DV70" s="1754"/>
      <c r="DW70" s="1754"/>
      <c r="DX70" s="1754"/>
      <c r="DY70" s="1754"/>
      <c r="DZ70" s="1755"/>
      <c r="EA70" s="1762">
        <v>0.22</v>
      </c>
      <c r="EB70" s="1763"/>
      <c r="EC70" s="1763"/>
      <c r="ED70" s="1763"/>
      <c r="EE70" s="1763"/>
      <c r="EF70" s="1763"/>
      <c r="EG70" s="1763"/>
      <c r="EH70" s="1763"/>
      <c r="EI70" s="1763"/>
      <c r="EJ70" s="1763"/>
      <c r="EK70" s="1763"/>
      <c r="EL70" s="1763"/>
      <c r="EM70" s="1763"/>
      <c r="EN70" s="1763"/>
      <c r="EO70" s="1763"/>
      <c r="EP70" s="1763"/>
      <c r="EQ70" s="1763"/>
      <c r="ER70" s="1763"/>
      <c r="ES70" s="1764"/>
      <c r="ET70" s="2288" t="str">
        <f>BG70</f>
        <v>0348249</v>
      </c>
      <c r="EU70" s="2288" t="str">
        <f>BY70</f>
        <v/>
      </c>
      <c r="EV70" s="524">
        <f>CQ70</f>
        <v>0.22</v>
      </c>
      <c r="EW70" s="494">
        <v>1</v>
      </c>
      <c r="EX70" s="495">
        <v>0.22</v>
      </c>
      <c r="EY70" s="1768"/>
      <c r="EZ70" s="1768"/>
      <c r="FA70" s="1768"/>
      <c r="FB70" s="1768"/>
      <c r="FC70" s="1768"/>
      <c r="FD70" s="1768"/>
      <c r="FE70" s="1768"/>
      <c r="FF70" s="1768"/>
      <c r="FG70" s="1768"/>
      <c r="FH70" s="1768"/>
      <c r="FI70" s="1768"/>
      <c r="FJ70" s="1758"/>
      <c r="FK70" s="1759"/>
      <c r="FL70" s="1759"/>
      <c r="FM70" s="1759"/>
      <c r="FN70" s="1759"/>
      <c r="FO70" s="1759"/>
      <c r="FP70" s="1759"/>
      <c r="FQ70" s="1759"/>
      <c r="FR70" s="1759"/>
      <c r="FS70" s="1759"/>
      <c r="FT70" s="1759"/>
      <c r="FU70" s="1760"/>
      <c r="FV70" s="1753"/>
      <c r="FW70" s="1754"/>
      <c r="FX70" s="1754"/>
      <c r="FY70" s="1754"/>
      <c r="FZ70" s="1754"/>
      <c r="GA70" s="1754"/>
      <c r="GB70" s="1754"/>
      <c r="GC70" s="1754"/>
      <c r="GD70" s="1754"/>
      <c r="GE70" s="1754"/>
      <c r="GF70" s="1754"/>
      <c r="GG70" s="1755"/>
      <c r="GH70" s="1756"/>
      <c r="GI70" s="1756"/>
      <c r="GJ70" s="1756"/>
      <c r="GK70" s="1756"/>
      <c r="GL70" s="1756"/>
      <c r="GM70" s="1756"/>
      <c r="GN70" s="1756"/>
      <c r="GO70" s="1756"/>
      <c r="GP70" s="1756"/>
      <c r="GQ70" s="1756"/>
      <c r="GR70" s="1756"/>
      <c r="GS70" s="1756"/>
      <c r="GT70" s="1757"/>
      <c r="GU70" s="1757"/>
      <c r="GV70" s="1757"/>
      <c r="GW70" s="1757"/>
      <c r="GX70" s="1757"/>
      <c r="GY70" s="1757"/>
      <c r="GZ70" s="1757"/>
      <c r="HA70" s="1757"/>
      <c r="HB70" s="1757"/>
      <c r="HC70" s="1757"/>
      <c r="HD70" s="1757"/>
      <c r="HE70" s="1757"/>
      <c r="HF70" s="1758"/>
      <c r="HG70" s="1759"/>
      <c r="HH70" s="1759"/>
      <c r="HI70" s="1759"/>
      <c r="HJ70" s="1759"/>
      <c r="HK70" s="1759"/>
      <c r="HL70" s="1759"/>
      <c r="HM70" s="1759"/>
      <c r="HN70" s="1759"/>
      <c r="HO70" s="1759"/>
      <c r="HP70" s="1759"/>
      <c r="HQ70" s="1760"/>
      <c r="HR70" s="1761"/>
      <c r="HS70" s="1761"/>
      <c r="HT70" s="1761"/>
      <c r="HU70" s="1761"/>
      <c r="HV70" s="1761"/>
      <c r="HW70" s="1761"/>
      <c r="HX70" s="1761"/>
      <c r="HY70" s="1761"/>
      <c r="HZ70" s="1761"/>
      <c r="IA70" s="1761"/>
      <c r="IB70" s="1761"/>
      <c r="IC70" s="1761"/>
      <c r="ID70" s="1762"/>
      <c r="IE70" s="1763"/>
      <c r="IF70" s="1763"/>
      <c r="IG70" s="1763"/>
      <c r="IH70" s="1763"/>
      <c r="II70" s="1763"/>
      <c r="IJ70" s="1763"/>
      <c r="IK70" s="1763"/>
      <c r="IL70" s="1763"/>
      <c r="IM70" s="1763"/>
      <c r="IN70" s="1764"/>
    </row>
    <row r="71" spans="1:248" ht="72.75" customHeight="1">
      <c r="A71" s="1769">
        <v>24</v>
      </c>
      <c r="B71" s="1769"/>
      <c r="C71" s="1769"/>
      <c r="D71" s="1769"/>
      <c r="E71" s="1769"/>
      <c r="F71" s="1769"/>
      <c r="G71" s="1769"/>
      <c r="H71" s="1769"/>
      <c r="I71" s="1769"/>
      <c r="J71" s="1769"/>
      <c r="K71" s="1770" t="s">
        <v>822</v>
      </c>
      <c r="L71" s="1771"/>
      <c r="M71" s="1771"/>
      <c r="N71" s="1771"/>
      <c r="O71" s="1771"/>
      <c r="P71" s="1771"/>
      <c r="Q71" s="1771"/>
      <c r="R71" s="1771"/>
      <c r="S71" s="1771"/>
      <c r="T71" s="1771"/>
      <c r="U71" s="1771"/>
      <c r="V71" s="1771"/>
      <c r="W71" s="1771"/>
      <c r="X71" s="1771"/>
      <c r="Y71" s="1771"/>
      <c r="Z71" s="1771"/>
      <c r="AA71" s="1771"/>
      <c r="AB71" s="1771"/>
      <c r="AC71" s="1771"/>
      <c r="AD71" s="1771"/>
      <c r="AE71" s="1771"/>
      <c r="AF71" s="1772"/>
      <c r="AG71" s="1773">
        <v>1001010838</v>
      </c>
      <c r="AH71" s="1774"/>
      <c r="AI71" s="1774"/>
      <c r="AJ71" s="1774"/>
      <c r="AK71" s="1774"/>
      <c r="AL71" s="1774"/>
      <c r="AM71" s="1774"/>
      <c r="AN71" s="1774"/>
      <c r="AO71" s="1774"/>
      <c r="AP71" s="1774"/>
      <c r="AQ71" s="1774"/>
      <c r="AR71" s="1774"/>
      <c r="AS71" s="1774"/>
      <c r="AT71" s="1775"/>
      <c r="AU71" s="1773" t="s">
        <v>770</v>
      </c>
      <c r="AV71" s="1774"/>
      <c r="AW71" s="1774"/>
      <c r="AX71" s="1774"/>
      <c r="AY71" s="1774"/>
      <c r="AZ71" s="1774"/>
      <c r="BA71" s="1774"/>
      <c r="BB71" s="1774"/>
      <c r="BC71" s="1774"/>
      <c r="BD71" s="1774"/>
      <c r="BE71" s="1774"/>
      <c r="BF71" s="1775"/>
      <c r="BG71" s="1765" t="s">
        <v>826</v>
      </c>
      <c r="BH71" s="1766"/>
      <c r="BI71" s="1766"/>
      <c r="BJ71" s="1766"/>
      <c r="BK71" s="1766"/>
      <c r="BL71" s="1766"/>
      <c r="BM71" s="1766"/>
      <c r="BN71" s="1766"/>
      <c r="BO71" s="1766"/>
      <c r="BP71" s="1766"/>
      <c r="BQ71" s="1766"/>
      <c r="BR71" s="1766"/>
      <c r="BS71" s="1766"/>
      <c r="BT71" s="1766"/>
      <c r="BU71" s="1766"/>
      <c r="BV71" s="1766"/>
      <c r="BW71" s="1766"/>
      <c r="BX71" s="1767"/>
      <c r="BY71" s="1765" t="s">
        <v>755</v>
      </c>
      <c r="BZ71" s="1766"/>
      <c r="CA71" s="1766"/>
      <c r="CB71" s="1766"/>
      <c r="CC71" s="1766"/>
      <c r="CD71" s="1766"/>
      <c r="CE71" s="1766"/>
      <c r="CF71" s="1766"/>
      <c r="CG71" s="1766"/>
      <c r="CH71" s="1766"/>
      <c r="CI71" s="1766"/>
      <c r="CJ71" s="1766"/>
      <c r="CK71" s="1766"/>
      <c r="CL71" s="1766"/>
      <c r="CM71" s="1766"/>
      <c r="CN71" s="1766"/>
      <c r="CO71" s="1766"/>
      <c r="CP71" s="1767"/>
      <c r="CQ71" s="1762">
        <v>0.22</v>
      </c>
      <c r="CR71" s="1763"/>
      <c r="CS71" s="1763"/>
      <c r="CT71" s="1763"/>
      <c r="CU71" s="1763"/>
      <c r="CV71" s="1763"/>
      <c r="CW71" s="1763"/>
      <c r="CX71" s="1763"/>
      <c r="CY71" s="1763"/>
      <c r="CZ71" s="1763"/>
      <c r="DA71" s="1763"/>
      <c r="DB71" s="1763"/>
      <c r="DC71" s="1763"/>
      <c r="DD71" s="1763"/>
      <c r="DE71" s="1763"/>
      <c r="DF71" s="1763"/>
      <c r="DG71" s="1763"/>
      <c r="DH71" s="1764"/>
      <c r="DI71" s="1753">
        <v>1</v>
      </c>
      <c r="DJ71" s="1754"/>
      <c r="DK71" s="1754"/>
      <c r="DL71" s="1754"/>
      <c r="DM71" s="1754"/>
      <c r="DN71" s="1754"/>
      <c r="DO71" s="1754"/>
      <c r="DP71" s="1754"/>
      <c r="DQ71" s="1754"/>
      <c r="DR71" s="1754"/>
      <c r="DS71" s="1754"/>
      <c r="DT71" s="1754"/>
      <c r="DU71" s="1754"/>
      <c r="DV71" s="1754"/>
      <c r="DW71" s="1754"/>
      <c r="DX71" s="1754"/>
      <c r="DY71" s="1754"/>
      <c r="DZ71" s="1755"/>
      <c r="EA71" s="1762">
        <v>0.22</v>
      </c>
      <c r="EB71" s="1763"/>
      <c r="EC71" s="1763"/>
      <c r="ED71" s="1763"/>
      <c r="EE71" s="1763"/>
      <c r="EF71" s="1763"/>
      <c r="EG71" s="1763"/>
      <c r="EH71" s="1763"/>
      <c r="EI71" s="1763"/>
      <c r="EJ71" s="1763"/>
      <c r="EK71" s="1763"/>
      <c r="EL71" s="1763"/>
      <c r="EM71" s="1763"/>
      <c r="EN71" s="1763"/>
      <c r="EO71" s="1763"/>
      <c r="EP71" s="1763"/>
      <c r="EQ71" s="1763"/>
      <c r="ER71" s="1763"/>
      <c r="ES71" s="1764"/>
      <c r="ET71" s="2288" t="str">
        <f>BG71</f>
        <v>0348242</v>
      </c>
      <c r="EU71" s="2288" t="str">
        <f>BY71</f>
        <v/>
      </c>
      <c r="EV71" s="524">
        <f>CQ71</f>
        <v>0.22</v>
      </c>
      <c r="EW71" s="494">
        <v>1</v>
      </c>
      <c r="EX71" s="495">
        <v>0.22</v>
      </c>
      <c r="EY71" s="1768"/>
      <c r="EZ71" s="1768"/>
      <c r="FA71" s="1768"/>
      <c r="FB71" s="1768"/>
      <c r="FC71" s="1768"/>
      <c r="FD71" s="1768"/>
      <c r="FE71" s="1768"/>
      <c r="FF71" s="1768"/>
      <c r="FG71" s="1768"/>
      <c r="FH71" s="1768"/>
      <c r="FI71" s="1768"/>
      <c r="FJ71" s="1758"/>
      <c r="FK71" s="1759"/>
      <c r="FL71" s="1759"/>
      <c r="FM71" s="1759"/>
      <c r="FN71" s="1759"/>
      <c r="FO71" s="1759"/>
      <c r="FP71" s="1759"/>
      <c r="FQ71" s="1759"/>
      <c r="FR71" s="1759"/>
      <c r="FS71" s="1759"/>
      <c r="FT71" s="1759"/>
      <c r="FU71" s="1760"/>
      <c r="FV71" s="1753"/>
      <c r="FW71" s="1754"/>
      <c r="FX71" s="1754"/>
      <c r="FY71" s="1754"/>
      <c r="FZ71" s="1754"/>
      <c r="GA71" s="1754"/>
      <c r="GB71" s="1754"/>
      <c r="GC71" s="1754"/>
      <c r="GD71" s="1754"/>
      <c r="GE71" s="1754"/>
      <c r="GF71" s="1754"/>
      <c r="GG71" s="1755"/>
      <c r="GH71" s="1756"/>
      <c r="GI71" s="1756"/>
      <c r="GJ71" s="1756"/>
      <c r="GK71" s="1756"/>
      <c r="GL71" s="1756"/>
      <c r="GM71" s="1756"/>
      <c r="GN71" s="1756"/>
      <c r="GO71" s="1756"/>
      <c r="GP71" s="1756"/>
      <c r="GQ71" s="1756"/>
      <c r="GR71" s="1756"/>
      <c r="GS71" s="1756"/>
      <c r="GT71" s="1757"/>
      <c r="GU71" s="1757"/>
      <c r="GV71" s="1757"/>
      <c r="GW71" s="1757"/>
      <c r="GX71" s="1757"/>
      <c r="GY71" s="1757"/>
      <c r="GZ71" s="1757"/>
      <c r="HA71" s="1757"/>
      <c r="HB71" s="1757"/>
      <c r="HC71" s="1757"/>
      <c r="HD71" s="1757"/>
      <c r="HE71" s="1757"/>
      <c r="HF71" s="1758"/>
      <c r="HG71" s="1759"/>
      <c r="HH71" s="1759"/>
      <c r="HI71" s="1759"/>
      <c r="HJ71" s="1759"/>
      <c r="HK71" s="1759"/>
      <c r="HL71" s="1759"/>
      <c r="HM71" s="1759"/>
      <c r="HN71" s="1759"/>
      <c r="HO71" s="1759"/>
      <c r="HP71" s="1759"/>
      <c r="HQ71" s="1760"/>
      <c r="HR71" s="1761"/>
      <c r="HS71" s="1761"/>
      <c r="HT71" s="1761"/>
      <c r="HU71" s="1761"/>
      <c r="HV71" s="1761"/>
      <c r="HW71" s="1761"/>
      <c r="HX71" s="1761"/>
      <c r="HY71" s="1761"/>
      <c r="HZ71" s="1761"/>
      <c r="IA71" s="1761"/>
      <c r="IB71" s="1761"/>
      <c r="IC71" s="1761"/>
      <c r="ID71" s="1762"/>
      <c r="IE71" s="1763"/>
      <c r="IF71" s="1763"/>
      <c r="IG71" s="1763"/>
      <c r="IH71" s="1763"/>
      <c r="II71" s="1763"/>
      <c r="IJ71" s="1763"/>
      <c r="IK71" s="1763"/>
      <c r="IL71" s="1763"/>
      <c r="IM71" s="1763"/>
      <c r="IN71" s="1764"/>
    </row>
    <row r="72" spans="1:248" ht="72.75" customHeight="1">
      <c r="A72" s="1769">
        <v>25</v>
      </c>
      <c r="B72" s="1769"/>
      <c r="C72" s="1769"/>
      <c r="D72" s="1769"/>
      <c r="E72" s="1769"/>
      <c r="F72" s="1769"/>
      <c r="G72" s="1769"/>
      <c r="H72" s="1769"/>
      <c r="I72" s="1769"/>
      <c r="J72" s="1769"/>
      <c r="K72" s="1770" t="s">
        <v>822</v>
      </c>
      <c r="L72" s="1771"/>
      <c r="M72" s="1771"/>
      <c r="N72" s="1771"/>
      <c r="O72" s="1771"/>
      <c r="P72" s="1771"/>
      <c r="Q72" s="1771"/>
      <c r="R72" s="1771"/>
      <c r="S72" s="1771"/>
      <c r="T72" s="1771"/>
      <c r="U72" s="1771"/>
      <c r="V72" s="1771"/>
      <c r="W72" s="1771"/>
      <c r="X72" s="1771"/>
      <c r="Y72" s="1771"/>
      <c r="Z72" s="1771"/>
      <c r="AA72" s="1771"/>
      <c r="AB72" s="1771"/>
      <c r="AC72" s="1771"/>
      <c r="AD72" s="1771"/>
      <c r="AE72" s="1771"/>
      <c r="AF72" s="1772"/>
      <c r="AG72" s="1773">
        <v>1001010838</v>
      </c>
      <c r="AH72" s="1774"/>
      <c r="AI72" s="1774"/>
      <c r="AJ72" s="1774"/>
      <c r="AK72" s="1774"/>
      <c r="AL72" s="1774"/>
      <c r="AM72" s="1774"/>
      <c r="AN72" s="1774"/>
      <c r="AO72" s="1774"/>
      <c r="AP72" s="1774"/>
      <c r="AQ72" s="1774"/>
      <c r="AR72" s="1774"/>
      <c r="AS72" s="1774"/>
      <c r="AT72" s="1775"/>
      <c r="AU72" s="1773" t="s">
        <v>770</v>
      </c>
      <c r="AV72" s="1774"/>
      <c r="AW72" s="1774"/>
      <c r="AX72" s="1774"/>
      <c r="AY72" s="1774"/>
      <c r="AZ72" s="1774"/>
      <c r="BA72" s="1774"/>
      <c r="BB72" s="1774"/>
      <c r="BC72" s="1774"/>
      <c r="BD72" s="1774"/>
      <c r="BE72" s="1774"/>
      <c r="BF72" s="1775"/>
      <c r="BG72" s="1765" t="s">
        <v>827</v>
      </c>
      <c r="BH72" s="1766"/>
      <c r="BI72" s="1766"/>
      <c r="BJ72" s="1766"/>
      <c r="BK72" s="1766"/>
      <c r="BL72" s="1766"/>
      <c r="BM72" s="1766"/>
      <c r="BN72" s="1766"/>
      <c r="BO72" s="1766"/>
      <c r="BP72" s="1766"/>
      <c r="BQ72" s="1766"/>
      <c r="BR72" s="1766"/>
      <c r="BS72" s="1766"/>
      <c r="BT72" s="1766"/>
      <c r="BU72" s="1766"/>
      <c r="BV72" s="1766"/>
      <c r="BW72" s="1766"/>
      <c r="BX72" s="1767"/>
      <c r="BY72" s="1765" t="s">
        <v>755</v>
      </c>
      <c r="BZ72" s="1766"/>
      <c r="CA72" s="1766"/>
      <c r="CB72" s="1766"/>
      <c r="CC72" s="1766"/>
      <c r="CD72" s="1766"/>
      <c r="CE72" s="1766"/>
      <c r="CF72" s="1766"/>
      <c r="CG72" s="1766"/>
      <c r="CH72" s="1766"/>
      <c r="CI72" s="1766"/>
      <c r="CJ72" s="1766"/>
      <c r="CK72" s="1766"/>
      <c r="CL72" s="1766"/>
      <c r="CM72" s="1766"/>
      <c r="CN72" s="1766"/>
      <c r="CO72" s="1766"/>
      <c r="CP72" s="1767"/>
      <c r="CQ72" s="1762">
        <v>0.22</v>
      </c>
      <c r="CR72" s="1763"/>
      <c r="CS72" s="1763"/>
      <c r="CT72" s="1763"/>
      <c r="CU72" s="1763"/>
      <c r="CV72" s="1763"/>
      <c r="CW72" s="1763"/>
      <c r="CX72" s="1763"/>
      <c r="CY72" s="1763"/>
      <c r="CZ72" s="1763"/>
      <c r="DA72" s="1763"/>
      <c r="DB72" s="1763"/>
      <c r="DC72" s="1763"/>
      <c r="DD72" s="1763"/>
      <c r="DE72" s="1763"/>
      <c r="DF72" s="1763"/>
      <c r="DG72" s="1763"/>
      <c r="DH72" s="1764"/>
      <c r="DI72" s="1753">
        <v>3</v>
      </c>
      <c r="DJ72" s="1754"/>
      <c r="DK72" s="1754"/>
      <c r="DL72" s="1754"/>
      <c r="DM72" s="1754"/>
      <c r="DN72" s="1754"/>
      <c r="DO72" s="1754"/>
      <c r="DP72" s="1754"/>
      <c r="DQ72" s="1754"/>
      <c r="DR72" s="1754"/>
      <c r="DS72" s="1754"/>
      <c r="DT72" s="1754"/>
      <c r="DU72" s="1754"/>
      <c r="DV72" s="1754"/>
      <c r="DW72" s="1754"/>
      <c r="DX72" s="1754"/>
      <c r="DY72" s="1754"/>
      <c r="DZ72" s="1755"/>
      <c r="EA72" s="1762">
        <v>0.66</v>
      </c>
      <c r="EB72" s="1763"/>
      <c r="EC72" s="1763"/>
      <c r="ED72" s="1763"/>
      <c r="EE72" s="1763"/>
      <c r="EF72" s="1763"/>
      <c r="EG72" s="1763"/>
      <c r="EH72" s="1763"/>
      <c r="EI72" s="1763"/>
      <c r="EJ72" s="1763"/>
      <c r="EK72" s="1763"/>
      <c r="EL72" s="1763"/>
      <c r="EM72" s="1763"/>
      <c r="EN72" s="1763"/>
      <c r="EO72" s="1763"/>
      <c r="EP72" s="1763"/>
      <c r="EQ72" s="1763"/>
      <c r="ER72" s="1763"/>
      <c r="ES72" s="1764"/>
      <c r="ET72" s="2288" t="str">
        <f>BG72</f>
        <v>0348238-0348240</v>
      </c>
      <c r="EU72" s="2288" t="str">
        <f>BY72</f>
        <v/>
      </c>
      <c r="EV72" s="524">
        <f>CQ72</f>
        <v>0.22</v>
      </c>
      <c r="EW72" s="494">
        <v>3</v>
      </c>
      <c r="EX72" s="495">
        <v>0.66</v>
      </c>
      <c r="EY72" s="1768"/>
      <c r="EZ72" s="1768"/>
      <c r="FA72" s="1768"/>
      <c r="FB72" s="1768"/>
      <c r="FC72" s="1768"/>
      <c r="FD72" s="1768"/>
      <c r="FE72" s="1768"/>
      <c r="FF72" s="1768"/>
      <c r="FG72" s="1768"/>
      <c r="FH72" s="1768"/>
      <c r="FI72" s="1768"/>
      <c r="FJ72" s="1758"/>
      <c r="FK72" s="1759"/>
      <c r="FL72" s="1759"/>
      <c r="FM72" s="1759"/>
      <c r="FN72" s="1759"/>
      <c r="FO72" s="1759"/>
      <c r="FP72" s="1759"/>
      <c r="FQ72" s="1759"/>
      <c r="FR72" s="1759"/>
      <c r="FS72" s="1759"/>
      <c r="FT72" s="1759"/>
      <c r="FU72" s="1760"/>
      <c r="FV72" s="1753"/>
      <c r="FW72" s="1754"/>
      <c r="FX72" s="1754"/>
      <c r="FY72" s="1754"/>
      <c r="FZ72" s="1754"/>
      <c r="GA72" s="1754"/>
      <c r="GB72" s="1754"/>
      <c r="GC72" s="1754"/>
      <c r="GD72" s="1754"/>
      <c r="GE72" s="1754"/>
      <c r="GF72" s="1754"/>
      <c r="GG72" s="1755"/>
      <c r="GH72" s="1756"/>
      <c r="GI72" s="1756"/>
      <c r="GJ72" s="1756"/>
      <c r="GK72" s="1756"/>
      <c r="GL72" s="1756"/>
      <c r="GM72" s="1756"/>
      <c r="GN72" s="1756"/>
      <c r="GO72" s="1756"/>
      <c r="GP72" s="1756"/>
      <c r="GQ72" s="1756"/>
      <c r="GR72" s="1756"/>
      <c r="GS72" s="1756"/>
      <c r="GT72" s="1757"/>
      <c r="GU72" s="1757"/>
      <c r="GV72" s="1757"/>
      <c r="GW72" s="1757"/>
      <c r="GX72" s="1757"/>
      <c r="GY72" s="1757"/>
      <c r="GZ72" s="1757"/>
      <c r="HA72" s="1757"/>
      <c r="HB72" s="1757"/>
      <c r="HC72" s="1757"/>
      <c r="HD72" s="1757"/>
      <c r="HE72" s="1757"/>
      <c r="HF72" s="1758"/>
      <c r="HG72" s="1759"/>
      <c r="HH72" s="1759"/>
      <c r="HI72" s="1759"/>
      <c r="HJ72" s="1759"/>
      <c r="HK72" s="1759"/>
      <c r="HL72" s="1759"/>
      <c r="HM72" s="1759"/>
      <c r="HN72" s="1759"/>
      <c r="HO72" s="1759"/>
      <c r="HP72" s="1759"/>
      <c r="HQ72" s="1760"/>
      <c r="HR72" s="1761"/>
      <c r="HS72" s="1761"/>
      <c r="HT72" s="1761"/>
      <c r="HU72" s="1761"/>
      <c r="HV72" s="1761"/>
      <c r="HW72" s="1761"/>
      <c r="HX72" s="1761"/>
      <c r="HY72" s="1761"/>
      <c r="HZ72" s="1761"/>
      <c r="IA72" s="1761"/>
      <c r="IB72" s="1761"/>
      <c r="IC72" s="1761"/>
      <c r="ID72" s="1762"/>
      <c r="IE72" s="1763"/>
      <c r="IF72" s="1763"/>
      <c r="IG72" s="1763"/>
      <c r="IH72" s="1763"/>
      <c r="II72" s="1763"/>
      <c r="IJ72" s="1763"/>
      <c r="IK72" s="1763"/>
      <c r="IL72" s="1763"/>
      <c r="IM72" s="1763"/>
      <c r="IN72" s="1764"/>
    </row>
    <row r="73" spans="1:248" ht="48.75" customHeight="1">
      <c r="A73" s="1769">
        <v>26</v>
      </c>
      <c r="B73" s="1769"/>
      <c r="C73" s="1769"/>
      <c r="D73" s="1769"/>
      <c r="E73" s="1769"/>
      <c r="F73" s="1769"/>
      <c r="G73" s="1769"/>
      <c r="H73" s="1769"/>
      <c r="I73" s="1769"/>
      <c r="J73" s="1769"/>
      <c r="K73" s="1770" t="s">
        <v>828</v>
      </c>
      <c r="L73" s="1771"/>
      <c r="M73" s="1771"/>
      <c r="N73" s="1771"/>
      <c r="O73" s="1771"/>
      <c r="P73" s="1771"/>
      <c r="Q73" s="1771"/>
      <c r="R73" s="1771"/>
      <c r="S73" s="1771"/>
      <c r="T73" s="1771"/>
      <c r="U73" s="1771"/>
      <c r="V73" s="1771"/>
      <c r="W73" s="1771"/>
      <c r="X73" s="1771"/>
      <c r="Y73" s="1771"/>
      <c r="Z73" s="1771"/>
      <c r="AA73" s="1771"/>
      <c r="AB73" s="1771"/>
      <c r="AC73" s="1771"/>
      <c r="AD73" s="1771"/>
      <c r="AE73" s="1771"/>
      <c r="AF73" s="1772"/>
      <c r="AG73" s="1773">
        <v>1001009818</v>
      </c>
      <c r="AH73" s="1774"/>
      <c r="AI73" s="1774"/>
      <c r="AJ73" s="1774"/>
      <c r="AK73" s="1774"/>
      <c r="AL73" s="1774"/>
      <c r="AM73" s="1774"/>
      <c r="AN73" s="1774"/>
      <c r="AO73" s="1774"/>
      <c r="AP73" s="1774"/>
      <c r="AQ73" s="1774"/>
      <c r="AR73" s="1774"/>
      <c r="AS73" s="1774"/>
      <c r="AT73" s="1775"/>
      <c r="AU73" s="1773" t="s">
        <v>770</v>
      </c>
      <c r="AV73" s="1774"/>
      <c r="AW73" s="1774"/>
      <c r="AX73" s="1774"/>
      <c r="AY73" s="1774"/>
      <c r="AZ73" s="1774"/>
      <c r="BA73" s="1774"/>
      <c r="BB73" s="1774"/>
      <c r="BC73" s="1774"/>
      <c r="BD73" s="1774"/>
      <c r="BE73" s="1774"/>
      <c r="BF73" s="1775"/>
      <c r="BG73" s="1765" t="s">
        <v>755</v>
      </c>
      <c r="BH73" s="1766"/>
      <c r="BI73" s="1766"/>
      <c r="BJ73" s="1766"/>
      <c r="BK73" s="1766"/>
      <c r="BL73" s="1766"/>
      <c r="BM73" s="1766"/>
      <c r="BN73" s="1766"/>
      <c r="BO73" s="1766"/>
      <c r="BP73" s="1766"/>
      <c r="BQ73" s="1766"/>
      <c r="BR73" s="1766"/>
      <c r="BS73" s="1766"/>
      <c r="BT73" s="1766"/>
      <c r="BU73" s="1766"/>
      <c r="BV73" s="1766"/>
      <c r="BW73" s="1766"/>
      <c r="BX73" s="1767"/>
      <c r="BY73" s="1765" t="s">
        <v>755</v>
      </c>
      <c r="BZ73" s="1766"/>
      <c r="CA73" s="1766"/>
      <c r="CB73" s="1766"/>
      <c r="CC73" s="1766"/>
      <c r="CD73" s="1766"/>
      <c r="CE73" s="1766"/>
      <c r="CF73" s="1766"/>
      <c r="CG73" s="1766"/>
      <c r="CH73" s="1766"/>
      <c r="CI73" s="1766"/>
      <c r="CJ73" s="1766"/>
      <c r="CK73" s="1766"/>
      <c r="CL73" s="1766"/>
      <c r="CM73" s="1766"/>
      <c r="CN73" s="1766"/>
      <c r="CO73" s="1766"/>
      <c r="CP73" s="1767"/>
      <c r="CQ73" s="1762">
        <v>0.01</v>
      </c>
      <c r="CR73" s="1763"/>
      <c r="CS73" s="1763"/>
      <c r="CT73" s="1763"/>
      <c r="CU73" s="1763"/>
      <c r="CV73" s="1763"/>
      <c r="CW73" s="1763"/>
      <c r="CX73" s="1763"/>
      <c r="CY73" s="1763"/>
      <c r="CZ73" s="1763"/>
      <c r="DA73" s="1763"/>
      <c r="DB73" s="1763"/>
      <c r="DC73" s="1763"/>
      <c r="DD73" s="1763"/>
      <c r="DE73" s="1763"/>
      <c r="DF73" s="1763"/>
      <c r="DG73" s="1763"/>
      <c r="DH73" s="1764"/>
      <c r="DI73" s="1753">
        <v>86</v>
      </c>
      <c r="DJ73" s="1754"/>
      <c r="DK73" s="1754"/>
      <c r="DL73" s="1754"/>
      <c r="DM73" s="1754"/>
      <c r="DN73" s="1754"/>
      <c r="DO73" s="1754"/>
      <c r="DP73" s="1754"/>
      <c r="DQ73" s="1754"/>
      <c r="DR73" s="1754"/>
      <c r="DS73" s="1754"/>
      <c r="DT73" s="1754"/>
      <c r="DU73" s="1754"/>
      <c r="DV73" s="1754"/>
      <c r="DW73" s="1754"/>
      <c r="DX73" s="1754"/>
      <c r="DY73" s="1754"/>
      <c r="DZ73" s="1755"/>
      <c r="EA73" s="1762">
        <v>0.86</v>
      </c>
      <c r="EB73" s="1763"/>
      <c r="EC73" s="1763"/>
      <c r="ED73" s="1763"/>
      <c r="EE73" s="1763"/>
      <c r="EF73" s="1763"/>
      <c r="EG73" s="1763"/>
      <c r="EH73" s="1763"/>
      <c r="EI73" s="1763"/>
      <c r="EJ73" s="1763"/>
      <c r="EK73" s="1763"/>
      <c r="EL73" s="1763"/>
      <c r="EM73" s="1763"/>
      <c r="EN73" s="1763"/>
      <c r="EO73" s="1763"/>
      <c r="EP73" s="1763"/>
      <c r="EQ73" s="1763"/>
      <c r="ER73" s="1763"/>
      <c r="ES73" s="1764"/>
      <c r="ET73" s="2288" t="str">
        <f>BG73</f>
        <v/>
      </c>
      <c r="EU73" s="2288" t="str">
        <f>BY73</f>
        <v/>
      </c>
      <c r="EV73" s="524">
        <f>CQ73</f>
        <v>0.01</v>
      </c>
      <c r="EW73" s="494">
        <v>86</v>
      </c>
      <c r="EX73" s="495">
        <v>0.86</v>
      </c>
      <c r="EY73" s="1768"/>
      <c r="EZ73" s="1768"/>
      <c r="FA73" s="1768"/>
      <c r="FB73" s="1768"/>
      <c r="FC73" s="1768"/>
      <c r="FD73" s="1768"/>
      <c r="FE73" s="1768"/>
      <c r="FF73" s="1768"/>
      <c r="FG73" s="1768"/>
      <c r="FH73" s="1768"/>
      <c r="FI73" s="1768"/>
      <c r="FJ73" s="1758"/>
      <c r="FK73" s="1759"/>
      <c r="FL73" s="1759"/>
      <c r="FM73" s="1759"/>
      <c r="FN73" s="1759"/>
      <c r="FO73" s="1759"/>
      <c r="FP73" s="1759"/>
      <c r="FQ73" s="1759"/>
      <c r="FR73" s="1759"/>
      <c r="FS73" s="1759"/>
      <c r="FT73" s="1759"/>
      <c r="FU73" s="1760"/>
      <c r="FV73" s="1753"/>
      <c r="FW73" s="1754"/>
      <c r="FX73" s="1754"/>
      <c r="FY73" s="1754"/>
      <c r="FZ73" s="1754"/>
      <c r="GA73" s="1754"/>
      <c r="GB73" s="1754"/>
      <c r="GC73" s="1754"/>
      <c r="GD73" s="1754"/>
      <c r="GE73" s="1754"/>
      <c r="GF73" s="1754"/>
      <c r="GG73" s="1755"/>
      <c r="GH73" s="1756"/>
      <c r="GI73" s="1756"/>
      <c r="GJ73" s="1756"/>
      <c r="GK73" s="1756"/>
      <c r="GL73" s="1756"/>
      <c r="GM73" s="1756"/>
      <c r="GN73" s="1756"/>
      <c r="GO73" s="1756"/>
      <c r="GP73" s="1756"/>
      <c r="GQ73" s="1756"/>
      <c r="GR73" s="1756"/>
      <c r="GS73" s="1756"/>
      <c r="GT73" s="1757"/>
      <c r="GU73" s="1757"/>
      <c r="GV73" s="1757"/>
      <c r="GW73" s="1757"/>
      <c r="GX73" s="1757"/>
      <c r="GY73" s="1757"/>
      <c r="GZ73" s="1757"/>
      <c r="HA73" s="1757"/>
      <c r="HB73" s="1757"/>
      <c r="HC73" s="1757"/>
      <c r="HD73" s="1757"/>
      <c r="HE73" s="1757"/>
      <c r="HF73" s="1758"/>
      <c r="HG73" s="1759"/>
      <c r="HH73" s="1759"/>
      <c r="HI73" s="1759"/>
      <c r="HJ73" s="1759"/>
      <c r="HK73" s="1759"/>
      <c r="HL73" s="1759"/>
      <c r="HM73" s="1759"/>
      <c r="HN73" s="1759"/>
      <c r="HO73" s="1759"/>
      <c r="HP73" s="1759"/>
      <c r="HQ73" s="1760"/>
      <c r="HR73" s="1761"/>
      <c r="HS73" s="1761"/>
      <c r="HT73" s="1761"/>
      <c r="HU73" s="1761"/>
      <c r="HV73" s="1761"/>
      <c r="HW73" s="1761"/>
      <c r="HX73" s="1761"/>
      <c r="HY73" s="1761"/>
      <c r="HZ73" s="1761"/>
      <c r="IA73" s="1761"/>
      <c r="IB73" s="1761"/>
      <c r="IC73" s="1761"/>
      <c r="ID73" s="1762"/>
      <c r="IE73" s="1763"/>
      <c r="IF73" s="1763"/>
      <c r="IG73" s="1763"/>
      <c r="IH73" s="1763"/>
      <c r="II73" s="1763"/>
      <c r="IJ73" s="1763"/>
      <c r="IK73" s="1763"/>
      <c r="IL73" s="1763"/>
      <c r="IM73" s="1763"/>
      <c r="IN73" s="1764"/>
    </row>
    <row r="74" spans="1:248" ht="36.75" customHeight="1">
      <c r="A74" s="1769">
        <v>27</v>
      </c>
      <c r="B74" s="1769"/>
      <c r="C74" s="1769"/>
      <c r="D74" s="1769"/>
      <c r="E74" s="1769"/>
      <c r="F74" s="1769"/>
      <c r="G74" s="1769"/>
      <c r="H74" s="1769"/>
      <c r="I74" s="1769"/>
      <c r="J74" s="1769"/>
      <c r="K74" s="1770" t="s">
        <v>830</v>
      </c>
      <c r="L74" s="1771"/>
      <c r="M74" s="1771"/>
      <c r="N74" s="1771"/>
      <c r="O74" s="1771"/>
      <c r="P74" s="1771"/>
      <c r="Q74" s="1771"/>
      <c r="R74" s="1771"/>
      <c r="S74" s="1771"/>
      <c r="T74" s="1771"/>
      <c r="U74" s="1771"/>
      <c r="V74" s="1771"/>
      <c r="W74" s="1771"/>
      <c r="X74" s="1771"/>
      <c r="Y74" s="1771"/>
      <c r="Z74" s="1771"/>
      <c r="AA74" s="1771"/>
      <c r="AB74" s="1771"/>
      <c r="AC74" s="1771"/>
      <c r="AD74" s="1771"/>
      <c r="AE74" s="1771"/>
      <c r="AF74" s="1772"/>
      <c r="AG74" s="1773">
        <v>1001010829</v>
      </c>
      <c r="AH74" s="1774"/>
      <c r="AI74" s="1774"/>
      <c r="AJ74" s="1774"/>
      <c r="AK74" s="1774"/>
      <c r="AL74" s="1774"/>
      <c r="AM74" s="1774"/>
      <c r="AN74" s="1774"/>
      <c r="AO74" s="1774"/>
      <c r="AP74" s="1774"/>
      <c r="AQ74" s="1774"/>
      <c r="AR74" s="1774"/>
      <c r="AS74" s="1774"/>
      <c r="AT74" s="1775"/>
      <c r="AU74" s="1773" t="s">
        <v>770</v>
      </c>
      <c r="AV74" s="1774"/>
      <c r="AW74" s="1774"/>
      <c r="AX74" s="1774"/>
      <c r="AY74" s="1774"/>
      <c r="AZ74" s="1774"/>
      <c r="BA74" s="1774"/>
      <c r="BB74" s="1774"/>
      <c r="BC74" s="1774"/>
      <c r="BD74" s="1774"/>
      <c r="BE74" s="1774"/>
      <c r="BF74" s="1775"/>
      <c r="BG74" s="1765" t="s">
        <v>831</v>
      </c>
      <c r="BH74" s="1766"/>
      <c r="BI74" s="1766"/>
      <c r="BJ74" s="1766"/>
      <c r="BK74" s="1766"/>
      <c r="BL74" s="1766"/>
      <c r="BM74" s="1766"/>
      <c r="BN74" s="1766"/>
      <c r="BO74" s="1766"/>
      <c r="BP74" s="1766"/>
      <c r="BQ74" s="1766"/>
      <c r="BR74" s="1766"/>
      <c r="BS74" s="1766"/>
      <c r="BT74" s="1766"/>
      <c r="BU74" s="1766"/>
      <c r="BV74" s="1766"/>
      <c r="BW74" s="1766"/>
      <c r="BX74" s="1767"/>
      <c r="BY74" s="1765" t="s">
        <v>777</v>
      </c>
      <c r="BZ74" s="1766"/>
      <c r="CA74" s="1766"/>
      <c r="CB74" s="1766"/>
      <c r="CC74" s="1766"/>
      <c r="CD74" s="1766"/>
      <c r="CE74" s="1766"/>
      <c r="CF74" s="1766"/>
      <c r="CG74" s="1766"/>
      <c r="CH74" s="1766"/>
      <c r="CI74" s="1766"/>
      <c r="CJ74" s="1766"/>
      <c r="CK74" s="1766"/>
      <c r="CL74" s="1766"/>
      <c r="CM74" s="1766"/>
      <c r="CN74" s="1766"/>
      <c r="CO74" s="1766"/>
      <c r="CP74" s="1767"/>
      <c r="CQ74" s="1762">
        <v>0.19</v>
      </c>
      <c r="CR74" s="1763"/>
      <c r="CS74" s="1763"/>
      <c r="CT74" s="1763"/>
      <c r="CU74" s="1763"/>
      <c r="CV74" s="1763"/>
      <c r="CW74" s="1763"/>
      <c r="CX74" s="1763"/>
      <c r="CY74" s="1763"/>
      <c r="CZ74" s="1763"/>
      <c r="DA74" s="1763"/>
      <c r="DB74" s="1763"/>
      <c r="DC74" s="1763"/>
      <c r="DD74" s="1763"/>
      <c r="DE74" s="1763"/>
      <c r="DF74" s="1763"/>
      <c r="DG74" s="1763"/>
      <c r="DH74" s="1764"/>
      <c r="DI74" s="1753">
        <v>12</v>
      </c>
      <c r="DJ74" s="1754"/>
      <c r="DK74" s="1754"/>
      <c r="DL74" s="1754"/>
      <c r="DM74" s="1754"/>
      <c r="DN74" s="1754"/>
      <c r="DO74" s="1754"/>
      <c r="DP74" s="1754"/>
      <c r="DQ74" s="1754"/>
      <c r="DR74" s="1754"/>
      <c r="DS74" s="1754"/>
      <c r="DT74" s="1754"/>
      <c r="DU74" s="1754"/>
      <c r="DV74" s="1754"/>
      <c r="DW74" s="1754"/>
      <c r="DX74" s="1754"/>
      <c r="DY74" s="1754"/>
      <c r="DZ74" s="1755"/>
      <c r="EA74" s="1762">
        <v>2.2799999999999998</v>
      </c>
      <c r="EB74" s="1763"/>
      <c r="EC74" s="1763"/>
      <c r="ED74" s="1763"/>
      <c r="EE74" s="1763"/>
      <c r="EF74" s="1763"/>
      <c r="EG74" s="1763"/>
      <c r="EH74" s="1763"/>
      <c r="EI74" s="1763"/>
      <c r="EJ74" s="1763"/>
      <c r="EK74" s="1763"/>
      <c r="EL74" s="1763"/>
      <c r="EM74" s="1763"/>
      <c r="EN74" s="1763"/>
      <c r="EO74" s="1763"/>
      <c r="EP74" s="1763"/>
      <c r="EQ74" s="1763"/>
      <c r="ER74" s="1763"/>
      <c r="ES74" s="1764"/>
      <c r="ET74" s="2288" t="str">
        <f>BG74</f>
        <v>1424264-1424275</v>
      </c>
      <c r="EU74" s="2288" t="str">
        <f>BY74</f>
        <v>ПК</v>
      </c>
      <c r="EV74" s="524">
        <f>CQ74</f>
        <v>0.19</v>
      </c>
      <c r="EW74" s="494">
        <v>12</v>
      </c>
      <c r="EX74" s="495">
        <v>2.2799999999999998</v>
      </c>
      <c r="EY74" s="1768"/>
      <c r="EZ74" s="1768"/>
      <c r="FA74" s="1768"/>
      <c r="FB74" s="1768"/>
      <c r="FC74" s="1768"/>
      <c r="FD74" s="1768"/>
      <c r="FE74" s="1768"/>
      <c r="FF74" s="1768"/>
      <c r="FG74" s="1768"/>
      <c r="FH74" s="1768"/>
      <c r="FI74" s="1768"/>
      <c r="FJ74" s="1758"/>
      <c r="FK74" s="1759"/>
      <c r="FL74" s="1759"/>
      <c r="FM74" s="1759"/>
      <c r="FN74" s="1759"/>
      <c r="FO74" s="1759"/>
      <c r="FP74" s="1759"/>
      <c r="FQ74" s="1759"/>
      <c r="FR74" s="1759"/>
      <c r="FS74" s="1759"/>
      <c r="FT74" s="1759"/>
      <c r="FU74" s="1760"/>
      <c r="FV74" s="1753"/>
      <c r="FW74" s="1754"/>
      <c r="FX74" s="1754"/>
      <c r="FY74" s="1754"/>
      <c r="FZ74" s="1754"/>
      <c r="GA74" s="1754"/>
      <c r="GB74" s="1754"/>
      <c r="GC74" s="1754"/>
      <c r="GD74" s="1754"/>
      <c r="GE74" s="1754"/>
      <c r="GF74" s="1754"/>
      <c r="GG74" s="1755"/>
      <c r="GH74" s="1756"/>
      <c r="GI74" s="1756"/>
      <c r="GJ74" s="1756"/>
      <c r="GK74" s="1756"/>
      <c r="GL74" s="1756"/>
      <c r="GM74" s="1756"/>
      <c r="GN74" s="1756"/>
      <c r="GO74" s="1756"/>
      <c r="GP74" s="1756"/>
      <c r="GQ74" s="1756"/>
      <c r="GR74" s="1756"/>
      <c r="GS74" s="1756"/>
      <c r="GT74" s="1757"/>
      <c r="GU74" s="1757"/>
      <c r="GV74" s="1757"/>
      <c r="GW74" s="1757"/>
      <c r="GX74" s="1757"/>
      <c r="GY74" s="1757"/>
      <c r="GZ74" s="1757"/>
      <c r="HA74" s="1757"/>
      <c r="HB74" s="1757"/>
      <c r="HC74" s="1757"/>
      <c r="HD74" s="1757"/>
      <c r="HE74" s="1757"/>
      <c r="HF74" s="1758"/>
      <c r="HG74" s="1759"/>
      <c r="HH74" s="1759"/>
      <c r="HI74" s="1759"/>
      <c r="HJ74" s="1759"/>
      <c r="HK74" s="1759"/>
      <c r="HL74" s="1759"/>
      <c r="HM74" s="1759"/>
      <c r="HN74" s="1759"/>
      <c r="HO74" s="1759"/>
      <c r="HP74" s="1759"/>
      <c r="HQ74" s="1760"/>
      <c r="HR74" s="1761"/>
      <c r="HS74" s="1761"/>
      <c r="HT74" s="1761"/>
      <c r="HU74" s="1761"/>
      <c r="HV74" s="1761"/>
      <c r="HW74" s="1761"/>
      <c r="HX74" s="1761"/>
      <c r="HY74" s="1761"/>
      <c r="HZ74" s="1761"/>
      <c r="IA74" s="1761"/>
      <c r="IB74" s="1761"/>
      <c r="IC74" s="1761"/>
      <c r="ID74" s="1762"/>
      <c r="IE74" s="1763"/>
      <c r="IF74" s="1763"/>
      <c r="IG74" s="1763"/>
      <c r="IH74" s="1763"/>
      <c r="II74" s="1763"/>
      <c r="IJ74" s="1763"/>
      <c r="IK74" s="1763"/>
      <c r="IL74" s="1763"/>
      <c r="IM74" s="1763"/>
      <c r="IN74" s="1764"/>
    </row>
    <row r="75" spans="1:248" ht="24.75" customHeight="1">
      <c r="A75" s="1769">
        <v>28</v>
      </c>
      <c r="B75" s="1769"/>
      <c r="C75" s="1769"/>
      <c r="D75" s="1769"/>
      <c r="E75" s="1769"/>
      <c r="F75" s="1769"/>
      <c r="G75" s="1769"/>
      <c r="H75" s="1769"/>
      <c r="I75" s="1769"/>
      <c r="J75" s="1769"/>
      <c r="K75" s="1770" t="s">
        <v>833</v>
      </c>
      <c r="L75" s="1771"/>
      <c r="M75" s="1771"/>
      <c r="N75" s="1771"/>
      <c r="O75" s="1771"/>
      <c r="P75" s="1771"/>
      <c r="Q75" s="1771"/>
      <c r="R75" s="1771"/>
      <c r="S75" s="1771"/>
      <c r="T75" s="1771"/>
      <c r="U75" s="1771"/>
      <c r="V75" s="1771"/>
      <c r="W75" s="1771"/>
      <c r="X75" s="1771"/>
      <c r="Y75" s="1771"/>
      <c r="Z75" s="1771"/>
      <c r="AA75" s="1771"/>
      <c r="AB75" s="1771"/>
      <c r="AC75" s="1771"/>
      <c r="AD75" s="1771"/>
      <c r="AE75" s="1771"/>
      <c r="AF75" s="1772"/>
      <c r="AG75" s="1773">
        <v>1001010826</v>
      </c>
      <c r="AH75" s="1774"/>
      <c r="AI75" s="1774"/>
      <c r="AJ75" s="1774"/>
      <c r="AK75" s="1774"/>
      <c r="AL75" s="1774"/>
      <c r="AM75" s="1774"/>
      <c r="AN75" s="1774"/>
      <c r="AO75" s="1774"/>
      <c r="AP75" s="1774"/>
      <c r="AQ75" s="1774"/>
      <c r="AR75" s="1774"/>
      <c r="AS75" s="1774"/>
      <c r="AT75" s="1775"/>
      <c r="AU75" s="1773" t="s">
        <v>770</v>
      </c>
      <c r="AV75" s="1774"/>
      <c r="AW75" s="1774"/>
      <c r="AX75" s="1774"/>
      <c r="AY75" s="1774"/>
      <c r="AZ75" s="1774"/>
      <c r="BA75" s="1774"/>
      <c r="BB75" s="1774"/>
      <c r="BC75" s="1774"/>
      <c r="BD75" s="1774"/>
      <c r="BE75" s="1774"/>
      <c r="BF75" s="1775"/>
      <c r="BG75" s="1765" t="s">
        <v>834</v>
      </c>
      <c r="BH75" s="1766"/>
      <c r="BI75" s="1766"/>
      <c r="BJ75" s="1766"/>
      <c r="BK75" s="1766"/>
      <c r="BL75" s="1766"/>
      <c r="BM75" s="1766"/>
      <c r="BN75" s="1766"/>
      <c r="BO75" s="1766"/>
      <c r="BP75" s="1766"/>
      <c r="BQ75" s="1766"/>
      <c r="BR75" s="1766"/>
      <c r="BS75" s="1766"/>
      <c r="BT75" s="1766"/>
      <c r="BU75" s="1766"/>
      <c r="BV75" s="1766"/>
      <c r="BW75" s="1766"/>
      <c r="BX75" s="1767"/>
      <c r="BY75" s="1765" t="s">
        <v>777</v>
      </c>
      <c r="BZ75" s="1766"/>
      <c r="CA75" s="1766"/>
      <c r="CB75" s="1766"/>
      <c r="CC75" s="1766"/>
      <c r="CD75" s="1766"/>
      <c r="CE75" s="1766"/>
      <c r="CF75" s="1766"/>
      <c r="CG75" s="1766"/>
      <c r="CH75" s="1766"/>
      <c r="CI75" s="1766"/>
      <c r="CJ75" s="1766"/>
      <c r="CK75" s="1766"/>
      <c r="CL75" s="1766"/>
      <c r="CM75" s="1766"/>
      <c r="CN75" s="1766"/>
      <c r="CO75" s="1766"/>
      <c r="CP75" s="1767"/>
      <c r="CQ75" s="1762">
        <v>0.19</v>
      </c>
      <c r="CR75" s="1763"/>
      <c r="CS75" s="1763"/>
      <c r="CT75" s="1763"/>
      <c r="CU75" s="1763"/>
      <c r="CV75" s="1763"/>
      <c r="CW75" s="1763"/>
      <c r="CX75" s="1763"/>
      <c r="CY75" s="1763"/>
      <c r="CZ75" s="1763"/>
      <c r="DA75" s="1763"/>
      <c r="DB75" s="1763"/>
      <c r="DC75" s="1763"/>
      <c r="DD75" s="1763"/>
      <c r="DE75" s="1763"/>
      <c r="DF75" s="1763"/>
      <c r="DG75" s="1763"/>
      <c r="DH75" s="1764"/>
      <c r="DI75" s="1753">
        <v>3</v>
      </c>
      <c r="DJ75" s="1754"/>
      <c r="DK75" s="1754"/>
      <c r="DL75" s="1754"/>
      <c r="DM75" s="1754"/>
      <c r="DN75" s="1754"/>
      <c r="DO75" s="1754"/>
      <c r="DP75" s="1754"/>
      <c r="DQ75" s="1754"/>
      <c r="DR75" s="1754"/>
      <c r="DS75" s="1754"/>
      <c r="DT75" s="1754"/>
      <c r="DU75" s="1754"/>
      <c r="DV75" s="1754"/>
      <c r="DW75" s="1754"/>
      <c r="DX75" s="1754"/>
      <c r="DY75" s="1754"/>
      <c r="DZ75" s="1755"/>
      <c r="EA75" s="1762">
        <v>0.56999999999999995</v>
      </c>
      <c r="EB75" s="1763"/>
      <c r="EC75" s="1763"/>
      <c r="ED75" s="1763"/>
      <c r="EE75" s="1763"/>
      <c r="EF75" s="1763"/>
      <c r="EG75" s="1763"/>
      <c r="EH75" s="1763"/>
      <c r="EI75" s="1763"/>
      <c r="EJ75" s="1763"/>
      <c r="EK75" s="1763"/>
      <c r="EL75" s="1763"/>
      <c r="EM75" s="1763"/>
      <c r="EN75" s="1763"/>
      <c r="EO75" s="1763"/>
      <c r="EP75" s="1763"/>
      <c r="EQ75" s="1763"/>
      <c r="ER75" s="1763"/>
      <c r="ES75" s="1764"/>
      <c r="ET75" s="2288" t="str">
        <f>BG75</f>
        <v>1424253-1424255</v>
      </c>
      <c r="EU75" s="2288" t="str">
        <f>BY75</f>
        <v>ПК</v>
      </c>
      <c r="EV75" s="524">
        <f>CQ75</f>
        <v>0.19</v>
      </c>
      <c r="EW75" s="494">
        <v>3</v>
      </c>
      <c r="EX75" s="495">
        <v>0.56999999999999995</v>
      </c>
      <c r="EY75" s="1768"/>
      <c r="EZ75" s="1768"/>
      <c r="FA75" s="1768"/>
      <c r="FB75" s="1768"/>
      <c r="FC75" s="1768"/>
      <c r="FD75" s="1768"/>
      <c r="FE75" s="1768"/>
      <c r="FF75" s="1768"/>
      <c r="FG75" s="1768"/>
      <c r="FH75" s="1768"/>
      <c r="FI75" s="1768"/>
      <c r="FJ75" s="1758"/>
      <c r="FK75" s="1759"/>
      <c r="FL75" s="1759"/>
      <c r="FM75" s="1759"/>
      <c r="FN75" s="1759"/>
      <c r="FO75" s="1759"/>
      <c r="FP75" s="1759"/>
      <c r="FQ75" s="1759"/>
      <c r="FR75" s="1759"/>
      <c r="FS75" s="1759"/>
      <c r="FT75" s="1759"/>
      <c r="FU75" s="1760"/>
      <c r="FV75" s="1753"/>
      <c r="FW75" s="1754"/>
      <c r="FX75" s="1754"/>
      <c r="FY75" s="1754"/>
      <c r="FZ75" s="1754"/>
      <c r="GA75" s="1754"/>
      <c r="GB75" s="1754"/>
      <c r="GC75" s="1754"/>
      <c r="GD75" s="1754"/>
      <c r="GE75" s="1754"/>
      <c r="GF75" s="1754"/>
      <c r="GG75" s="1755"/>
      <c r="GH75" s="1756"/>
      <c r="GI75" s="1756"/>
      <c r="GJ75" s="1756"/>
      <c r="GK75" s="1756"/>
      <c r="GL75" s="1756"/>
      <c r="GM75" s="1756"/>
      <c r="GN75" s="1756"/>
      <c r="GO75" s="1756"/>
      <c r="GP75" s="1756"/>
      <c r="GQ75" s="1756"/>
      <c r="GR75" s="1756"/>
      <c r="GS75" s="1756"/>
      <c r="GT75" s="1757"/>
      <c r="GU75" s="1757"/>
      <c r="GV75" s="1757"/>
      <c r="GW75" s="1757"/>
      <c r="GX75" s="1757"/>
      <c r="GY75" s="1757"/>
      <c r="GZ75" s="1757"/>
      <c r="HA75" s="1757"/>
      <c r="HB75" s="1757"/>
      <c r="HC75" s="1757"/>
      <c r="HD75" s="1757"/>
      <c r="HE75" s="1757"/>
      <c r="HF75" s="1758"/>
      <c r="HG75" s="1759"/>
      <c r="HH75" s="1759"/>
      <c r="HI75" s="1759"/>
      <c r="HJ75" s="1759"/>
      <c r="HK75" s="1759"/>
      <c r="HL75" s="1759"/>
      <c r="HM75" s="1759"/>
      <c r="HN75" s="1759"/>
      <c r="HO75" s="1759"/>
      <c r="HP75" s="1759"/>
      <c r="HQ75" s="1760"/>
      <c r="HR75" s="1761"/>
      <c r="HS75" s="1761"/>
      <c r="HT75" s="1761"/>
      <c r="HU75" s="1761"/>
      <c r="HV75" s="1761"/>
      <c r="HW75" s="1761"/>
      <c r="HX75" s="1761"/>
      <c r="HY75" s="1761"/>
      <c r="HZ75" s="1761"/>
      <c r="IA75" s="1761"/>
      <c r="IB75" s="1761"/>
      <c r="IC75" s="1761"/>
      <c r="ID75" s="1762"/>
      <c r="IE75" s="1763"/>
      <c r="IF75" s="1763"/>
      <c r="IG75" s="1763"/>
      <c r="IH75" s="1763"/>
      <c r="II75" s="1763"/>
      <c r="IJ75" s="1763"/>
      <c r="IK75" s="1763"/>
      <c r="IL75" s="1763"/>
      <c r="IM75" s="1763"/>
      <c r="IN75" s="1764"/>
    </row>
    <row r="76" spans="1:248" ht="24.75" customHeight="1">
      <c r="A76" s="1769">
        <v>29</v>
      </c>
      <c r="B76" s="1769"/>
      <c r="C76" s="1769"/>
      <c r="D76" s="1769"/>
      <c r="E76" s="1769"/>
      <c r="F76" s="1769"/>
      <c r="G76" s="1769"/>
      <c r="H76" s="1769"/>
      <c r="I76" s="1769"/>
      <c r="J76" s="1769"/>
      <c r="K76" s="1770" t="s">
        <v>833</v>
      </c>
      <c r="L76" s="1771"/>
      <c r="M76" s="1771"/>
      <c r="N76" s="1771"/>
      <c r="O76" s="1771"/>
      <c r="P76" s="1771"/>
      <c r="Q76" s="1771"/>
      <c r="R76" s="1771"/>
      <c r="S76" s="1771"/>
      <c r="T76" s="1771"/>
      <c r="U76" s="1771"/>
      <c r="V76" s="1771"/>
      <c r="W76" s="1771"/>
      <c r="X76" s="1771"/>
      <c r="Y76" s="1771"/>
      <c r="Z76" s="1771"/>
      <c r="AA76" s="1771"/>
      <c r="AB76" s="1771"/>
      <c r="AC76" s="1771"/>
      <c r="AD76" s="1771"/>
      <c r="AE76" s="1771"/>
      <c r="AF76" s="1772"/>
      <c r="AG76" s="1773">
        <v>1001010839</v>
      </c>
      <c r="AH76" s="1774"/>
      <c r="AI76" s="1774"/>
      <c r="AJ76" s="1774"/>
      <c r="AK76" s="1774"/>
      <c r="AL76" s="1774"/>
      <c r="AM76" s="1774"/>
      <c r="AN76" s="1774"/>
      <c r="AO76" s="1774"/>
      <c r="AP76" s="1774"/>
      <c r="AQ76" s="1774"/>
      <c r="AR76" s="1774"/>
      <c r="AS76" s="1774"/>
      <c r="AT76" s="1775"/>
      <c r="AU76" s="1773" t="s">
        <v>770</v>
      </c>
      <c r="AV76" s="1774"/>
      <c r="AW76" s="1774"/>
      <c r="AX76" s="1774"/>
      <c r="AY76" s="1774"/>
      <c r="AZ76" s="1774"/>
      <c r="BA76" s="1774"/>
      <c r="BB76" s="1774"/>
      <c r="BC76" s="1774"/>
      <c r="BD76" s="1774"/>
      <c r="BE76" s="1774"/>
      <c r="BF76" s="1775"/>
      <c r="BG76" s="1765" t="s">
        <v>836</v>
      </c>
      <c r="BH76" s="1766"/>
      <c r="BI76" s="1766"/>
      <c r="BJ76" s="1766"/>
      <c r="BK76" s="1766"/>
      <c r="BL76" s="1766"/>
      <c r="BM76" s="1766"/>
      <c r="BN76" s="1766"/>
      <c r="BO76" s="1766"/>
      <c r="BP76" s="1766"/>
      <c r="BQ76" s="1766"/>
      <c r="BR76" s="1766"/>
      <c r="BS76" s="1766"/>
      <c r="BT76" s="1766"/>
      <c r="BU76" s="1766"/>
      <c r="BV76" s="1766"/>
      <c r="BW76" s="1766"/>
      <c r="BX76" s="1767"/>
      <c r="BY76" s="1765" t="s">
        <v>777</v>
      </c>
      <c r="BZ76" s="1766"/>
      <c r="CA76" s="1766"/>
      <c r="CB76" s="1766"/>
      <c r="CC76" s="1766"/>
      <c r="CD76" s="1766"/>
      <c r="CE76" s="1766"/>
      <c r="CF76" s="1766"/>
      <c r="CG76" s="1766"/>
      <c r="CH76" s="1766"/>
      <c r="CI76" s="1766"/>
      <c r="CJ76" s="1766"/>
      <c r="CK76" s="1766"/>
      <c r="CL76" s="1766"/>
      <c r="CM76" s="1766"/>
      <c r="CN76" s="1766"/>
      <c r="CO76" s="1766"/>
      <c r="CP76" s="1767"/>
      <c r="CQ76" s="1762">
        <v>0.03</v>
      </c>
      <c r="CR76" s="1763"/>
      <c r="CS76" s="1763"/>
      <c r="CT76" s="1763"/>
      <c r="CU76" s="1763"/>
      <c r="CV76" s="1763"/>
      <c r="CW76" s="1763"/>
      <c r="CX76" s="1763"/>
      <c r="CY76" s="1763"/>
      <c r="CZ76" s="1763"/>
      <c r="DA76" s="1763"/>
      <c r="DB76" s="1763"/>
      <c r="DC76" s="1763"/>
      <c r="DD76" s="1763"/>
      <c r="DE76" s="1763"/>
      <c r="DF76" s="1763"/>
      <c r="DG76" s="1763"/>
      <c r="DH76" s="1764"/>
      <c r="DI76" s="1753">
        <v>6</v>
      </c>
      <c r="DJ76" s="1754"/>
      <c r="DK76" s="1754"/>
      <c r="DL76" s="1754"/>
      <c r="DM76" s="1754"/>
      <c r="DN76" s="1754"/>
      <c r="DO76" s="1754"/>
      <c r="DP76" s="1754"/>
      <c r="DQ76" s="1754"/>
      <c r="DR76" s="1754"/>
      <c r="DS76" s="1754"/>
      <c r="DT76" s="1754"/>
      <c r="DU76" s="1754"/>
      <c r="DV76" s="1754"/>
      <c r="DW76" s="1754"/>
      <c r="DX76" s="1754"/>
      <c r="DY76" s="1754"/>
      <c r="DZ76" s="1755"/>
      <c r="EA76" s="1762">
        <v>0.18</v>
      </c>
      <c r="EB76" s="1763"/>
      <c r="EC76" s="1763"/>
      <c r="ED76" s="1763"/>
      <c r="EE76" s="1763"/>
      <c r="EF76" s="1763"/>
      <c r="EG76" s="1763"/>
      <c r="EH76" s="1763"/>
      <c r="EI76" s="1763"/>
      <c r="EJ76" s="1763"/>
      <c r="EK76" s="1763"/>
      <c r="EL76" s="1763"/>
      <c r="EM76" s="1763"/>
      <c r="EN76" s="1763"/>
      <c r="EO76" s="1763"/>
      <c r="EP76" s="1763"/>
      <c r="EQ76" s="1763"/>
      <c r="ER76" s="1763"/>
      <c r="ES76" s="1764"/>
      <c r="ET76" s="2288" t="str">
        <f>BG76</f>
        <v>0000050-0000055</v>
      </c>
      <c r="EU76" s="2288" t="str">
        <f>BY76</f>
        <v>ПК</v>
      </c>
      <c r="EV76" s="524">
        <f>CQ76</f>
        <v>0.03</v>
      </c>
      <c r="EW76" s="494">
        <v>6</v>
      </c>
      <c r="EX76" s="495">
        <v>0.18</v>
      </c>
      <c r="EY76" s="1768"/>
      <c r="EZ76" s="1768"/>
      <c r="FA76" s="1768"/>
      <c r="FB76" s="1768"/>
      <c r="FC76" s="1768"/>
      <c r="FD76" s="1768"/>
      <c r="FE76" s="1768"/>
      <c r="FF76" s="1768"/>
      <c r="FG76" s="1768"/>
      <c r="FH76" s="1768"/>
      <c r="FI76" s="1768"/>
      <c r="FJ76" s="1758"/>
      <c r="FK76" s="1759"/>
      <c r="FL76" s="1759"/>
      <c r="FM76" s="1759"/>
      <c r="FN76" s="1759"/>
      <c r="FO76" s="1759"/>
      <c r="FP76" s="1759"/>
      <c r="FQ76" s="1759"/>
      <c r="FR76" s="1759"/>
      <c r="FS76" s="1759"/>
      <c r="FT76" s="1759"/>
      <c r="FU76" s="1760"/>
      <c r="FV76" s="1753"/>
      <c r="FW76" s="1754"/>
      <c r="FX76" s="1754"/>
      <c r="FY76" s="1754"/>
      <c r="FZ76" s="1754"/>
      <c r="GA76" s="1754"/>
      <c r="GB76" s="1754"/>
      <c r="GC76" s="1754"/>
      <c r="GD76" s="1754"/>
      <c r="GE76" s="1754"/>
      <c r="GF76" s="1754"/>
      <c r="GG76" s="1755"/>
      <c r="GH76" s="1756"/>
      <c r="GI76" s="1756"/>
      <c r="GJ76" s="1756"/>
      <c r="GK76" s="1756"/>
      <c r="GL76" s="1756"/>
      <c r="GM76" s="1756"/>
      <c r="GN76" s="1756"/>
      <c r="GO76" s="1756"/>
      <c r="GP76" s="1756"/>
      <c r="GQ76" s="1756"/>
      <c r="GR76" s="1756"/>
      <c r="GS76" s="1756"/>
      <c r="GT76" s="1757"/>
      <c r="GU76" s="1757"/>
      <c r="GV76" s="1757"/>
      <c r="GW76" s="1757"/>
      <c r="GX76" s="1757"/>
      <c r="GY76" s="1757"/>
      <c r="GZ76" s="1757"/>
      <c r="HA76" s="1757"/>
      <c r="HB76" s="1757"/>
      <c r="HC76" s="1757"/>
      <c r="HD76" s="1757"/>
      <c r="HE76" s="1757"/>
      <c r="HF76" s="1758"/>
      <c r="HG76" s="1759"/>
      <c r="HH76" s="1759"/>
      <c r="HI76" s="1759"/>
      <c r="HJ76" s="1759"/>
      <c r="HK76" s="1759"/>
      <c r="HL76" s="1759"/>
      <c r="HM76" s="1759"/>
      <c r="HN76" s="1759"/>
      <c r="HO76" s="1759"/>
      <c r="HP76" s="1759"/>
      <c r="HQ76" s="1760"/>
      <c r="HR76" s="1761"/>
      <c r="HS76" s="1761"/>
      <c r="HT76" s="1761"/>
      <c r="HU76" s="1761"/>
      <c r="HV76" s="1761"/>
      <c r="HW76" s="1761"/>
      <c r="HX76" s="1761"/>
      <c r="HY76" s="1761"/>
      <c r="HZ76" s="1761"/>
      <c r="IA76" s="1761"/>
      <c r="IB76" s="1761"/>
      <c r="IC76" s="1761"/>
      <c r="ID76" s="1762"/>
      <c r="IE76" s="1763"/>
      <c r="IF76" s="1763"/>
      <c r="IG76" s="1763"/>
      <c r="IH76" s="1763"/>
      <c r="II76" s="1763"/>
      <c r="IJ76" s="1763"/>
      <c r="IK76" s="1763"/>
      <c r="IL76" s="1763"/>
      <c r="IM76" s="1763"/>
      <c r="IN76" s="1764"/>
    </row>
    <row r="77" spans="1:248" ht="36.75" customHeight="1">
      <c r="A77" s="1769">
        <v>30</v>
      </c>
      <c r="B77" s="1769"/>
      <c r="C77" s="1769"/>
      <c r="D77" s="1769"/>
      <c r="E77" s="1769"/>
      <c r="F77" s="1769"/>
      <c r="G77" s="1769"/>
      <c r="H77" s="1769"/>
      <c r="I77" s="1769"/>
      <c r="J77" s="1769"/>
      <c r="K77" s="1770" t="s">
        <v>838</v>
      </c>
      <c r="L77" s="1771"/>
      <c r="M77" s="1771"/>
      <c r="N77" s="1771"/>
      <c r="O77" s="1771"/>
      <c r="P77" s="1771"/>
      <c r="Q77" s="1771"/>
      <c r="R77" s="1771"/>
      <c r="S77" s="1771"/>
      <c r="T77" s="1771"/>
      <c r="U77" s="1771"/>
      <c r="V77" s="1771"/>
      <c r="W77" s="1771"/>
      <c r="X77" s="1771"/>
      <c r="Y77" s="1771"/>
      <c r="Z77" s="1771"/>
      <c r="AA77" s="1771"/>
      <c r="AB77" s="1771"/>
      <c r="AC77" s="1771"/>
      <c r="AD77" s="1771"/>
      <c r="AE77" s="1771"/>
      <c r="AF77" s="1772"/>
      <c r="AG77" s="1773">
        <v>1001010839</v>
      </c>
      <c r="AH77" s="1774"/>
      <c r="AI77" s="1774"/>
      <c r="AJ77" s="1774"/>
      <c r="AK77" s="1774"/>
      <c r="AL77" s="1774"/>
      <c r="AM77" s="1774"/>
      <c r="AN77" s="1774"/>
      <c r="AO77" s="1774"/>
      <c r="AP77" s="1774"/>
      <c r="AQ77" s="1774"/>
      <c r="AR77" s="1774"/>
      <c r="AS77" s="1774"/>
      <c r="AT77" s="1775"/>
      <c r="AU77" s="1773" t="s">
        <v>770</v>
      </c>
      <c r="AV77" s="1774"/>
      <c r="AW77" s="1774"/>
      <c r="AX77" s="1774"/>
      <c r="AY77" s="1774"/>
      <c r="AZ77" s="1774"/>
      <c r="BA77" s="1774"/>
      <c r="BB77" s="1774"/>
      <c r="BC77" s="1774"/>
      <c r="BD77" s="1774"/>
      <c r="BE77" s="1774"/>
      <c r="BF77" s="1775"/>
      <c r="BG77" s="1765" t="s">
        <v>839</v>
      </c>
      <c r="BH77" s="1766"/>
      <c r="BI77" s="1766"/>
      <c r="BJ77" s="1766"/>
      <c r="BK77" s="1766"/>
      <c r="BL77" s="1766"/>
      <c r="BM77" s="1766"/>
      <c r="BN77" s="1766"/>
      <c r="BO77" s="1766"/>
      <c r="BP77" s="1766"/>
      <c r="BQ77" s="1766"/>
      <c r="BR77" s="1766"/>
      <c r="BS77" s="1766"/>
      <c r="BT77" s="1766"/>
      <c r="BU77" s="1766"/>
      <c r="BV77" s="1766"/>
      <c r="BW77" s="1766"/>
      <c r="BX77" s="1767"/>
      <c r="BY77" s="1765" t="s">
        <v>777</v>
      </c>
      <c r="BZ77" s="1766"/>
      <c r="CA77" s="1766"/>
      <c r="CB77" s="1766"/>
      <c r="CC77" s="1766"/>
      <c r="CD77" s="1766"/>
      <c r="CE77" s="1766"/>
      <c r="CF77" s="1766"/>
      <c r="CG77" s="1766"/>
      <c r="CH77" s="1766"/>
      <c r="CI77" s="1766"/>
      <c r="CJ77" s="1766"/>
      <c r="CK77" s="1766"/>
      <c r="CL77" s="1766"/>
      <c r="CM77" s="1766"/>
      <c r="CN77" s="1766"/>
      <c r="CO77" s="1766"/>
      <c r="CP77" s="1767"/>
      <c r="CQ77" s="1762">
        <v>0.03</v>
      </c>
      <c r="CR77" s="1763"/>
      <c r="CS77" s="1763"/>
      <c r="CT77" s="1763"/>
      <c r="CU77" s="1763"/>
      <c r="CV77" s="1763"/>
      <c r="CW77" s="1763"/>
      <c r="CX77" s="1763"/>
      <c r="CY77" s="1763"/>
      <c r="CZ77" s="1763"/>
      <c r="DA77" s="1763"/>
      <c r="DB77" s="1763"/>
      <c r="DC77" s="1763"/>
      <c r="DD77" s="1763"/>
      <c r="DE77" s="1763"/>
      <c r="DF77" s="1763"/>
      <c r="DG77" s="1763"/>
      <c r="DH77" s="1764"/>
      <c r="DI77" s="1753">
        <v>1</v>
      </c>
      <c r="DJ77" s="1754"/>
      <c r="DK77" s="1754"/>
      <c r="DL77" s="1754"/>
      <c r="DM77" s="1754"/>
      <c r="DN77" s="1754"/>
      <c r="DO77" s="1754"/>
      <c r="DP77" s="1754"/>
      <c r="DQ77" s="1754"/>
      <c r="DR77" s="1754"/>
      <c r="DS77" s="1754"/>
      <c r="DT77" s="1754"/>
      <c r="DU77" s="1754"/>
      <c r="DV77" s="1754"/>
      <c r="DW77" s="1754"/>
      <c r="DX77" s="1754"/>
      <c r="DY77" s="1754"/>
      <c r="DZ77" s="1755"/>
      <c r="EA77" s="1762">
        <v>0.03</v>
      </c>
      <c r="EB77" s="1763"/>
      <c r="EC77" s="1763"/>
      <c r="ED77" s="1763"/>
      <c r="EE77" s="1763"/>
      <c r="EF77" s="1763"/>
      <c r="EG77" s="1763"/>
      <c r="EH77" s="1763"/>
      <c r="EI77" s="1763"/>
      <c r="EJ77" s="1763"/>
      <c r="EK77" s="1763"/>
      <c r="EL77" s="1763"/>
      <c r="EM77" s="1763"/>
      <c r="EN77" s="1763"/>
      <c r="EO77" s="1763"/>
      <c r="EP77" s="1763"/>
      <c r="EQ77" s="1763"/>
      <c r="ER77" s="1763"/>
      <c r="ES77" s="1764"/>
      <c r="ET77" s="2288" t="str">
        <f>BG77</f>
        <v>0000033</v>
      </c>
      <c r="EU77" s="2288" t="str">
        <f>BY77</f>
        <v>ПК</v>
      </c>
      <c r="EV77" s="524">
        <f>CQ77</f>
        <v>0.03</v>
      </c>
      <c r="EW77" s="494">
        <v>1</v>
      </c>
      <c r="EX77" s="495">
        <v>0.03</v>
      </c>
      <c r="EY77" s="1768"/>
      <c r="EZ77" s="1768"/>
      <c r="FA77" s="1768"/>
      <c r="FB77" s="1768"/>
      <c r="FC77" s="1768"/>
      <c r="FD77" s="1768"/>
      <c r="FE77" s="1768"/>
      <c r="FF77" s="1768"/>
      <c r="FG77" s="1768"/>
      <c r="FH77" s="1768"/>
      <c r="FI77" s="1768"/>
      <c r="FJ77" s="1758"/>
      <c r="FK77" s="1759"/>
      <c r="FL77" s="1759"/>
      <c r="FM77" s="1759"/>
      <c r="FN77" s="1759"/>
      <c r="FO77" s="1759"/>
      <c r="FP77" s="1759"/>
      <c r="FQ77" s="1759"/>
      <c r="FR77" s="1759"/>
      <c r="FS77" s="1759"/>
      <c r="FT77" s="1759"/>
      <c r="FU77" s="1760"/>
      <c r="FV77" s="1753"/>
      <c r="FW77" s="1754"/>
      <c r="FX77" s="1754"/>
      <c r="FY77" s="1754"/>
      <c r="FZ77" s="1754"/>
      <c r="GA77" s="1754"/>
      <c r="GB77" s="1754"/>
      <c r="GC77" s="1754"/>
      <c r="GD77" s="1754"/>
      <c r="GE77" s="1754"/>
      <c r="GF77" s="1754"/>
      <c r="GG77" s="1755"/>
      <c r="GH77" s="1756"/>
      <c r="GI77" s="1756"/>
      <c r="GJ77" s="1756"/>
      <c r="GK77" s="1756"/>
      <c r="GL77" s="1756"/>
      <c r="GM77" s="1756"/>
      <c r="GN77" s="1756"/>
      <c r="GO77" s="1756"/>
      <c r="GP77" s="1756"/>
      <c r="GQ77" s="1756"/>
      <c r="GR77" s="1756"/>
      <c r="GS77" s="1756"/>
      <c r="GT77" s="1757"/>
      <c r="GU77" s="1757"/>
      <c r="GV77" s="1757"/>
      <c r="GW77" s="1757"/>
      <c r="GX77" s="1757"/>
      <c r="GY77" s="1757"/>
      <c r="GZ77" s="1757"/>
      <c r="HA77" s="1757"/>
      <c r="HB77" s="1757"/>
      <c r="HC77" s="1757"/>
      <c r="HD77" s="1757"/>
      <c r="HE77" s="1757"/>
      <c r="HF77" s="1758"/>
      <c r="HG77" s="1759"/>
      <c r="HH77" s="1759"/>
      <c r="HI77" s="1759"/>
      <c r="HJ77" s="1759"/>
      <c r="HK77" s="1759"/>
      <c r="HL77" s="1759"/>
      <c r="HM77" s="1759"/>
      <c r="HN77" s="1759"/>
      <c r="HO77" s="1759"/>
      <c r="HP77" s="1759"/>
      <c r="HQ77" s="1760"/>
      <c r="HR77" s="1761"/>
      <c r="HS77" s="1761"/>
      <c r="HT77" s="1761"/>
      <c r="HU77" s="1761"/>
      <c r="HV77" s="1761"/>
      <c r="HW77" s="1761"/>
      <c r="HX77" s="1761"/>
      <c r="HY77" s="1761"/>
      <c r="HZ77" s="1761"/>
      <c r="IA77" s="1761"/>
      <c r="IB77" s="1761"/>
      <c r="IC77" s="1761"/>
      <c r="ID77" s="1762"/>
      <c r="IE77" s="1763"/>
      <c r="IF77" s="1763"/>
      <c r="IG77" s="1763"/>
      <c r="IH77" s="1763"/>
      <c r="II77" s="1763"/>
      <c r="IJ77" s="1763"/>
      <c r="IK77" s="1763"/>
      <c r="IL77" s="1763"/>
      <c r="IM77" s="1763"/>
      <c r="IN77" s="1764"/>
    </row>
    <row r="78" spans="1:248" ht="36.75" customHeight="1">
      <c r="A78" s="1769">
        <v>31</v>
      </c>
      <c r="B78" s="1769"/>
      <c r="C78" s="1769"/>
      <c r="D78" s="1769"/>
      <c r="E78" s="1769"/>
      <c r="F78" s="1769"/>
      <c r="G78" s="1769"/>
      <c r="H78" s="1769"/>
      <c r="I78" s="1769"/>
      <c r="J78" s="1769"/>
      <c r="K78" s="1770" t="s">
        <v>840</v>
      </c>
      <c r="L78" s="1771"/>
      <c r="M78" s="1771"/>
      <c r="N78" s="1771"/>
      <c r="O78" s="1771"/>
      <c r="P78" s="1771"/>
      <c r="Q78" s="1771"/>
      <c r="R78" s="1771"/>
      <c r="S78" s="1771"/>
      <c r="T78" s="1771"/>
      <c r="U78" s="1771"/>
      <c r="V78" s="1771"/>
      <c r="W78" s="1771"/>
      <c r="X78" s="1771"/>
      <c r="Y78" s="1771"/>
      <c r="Z78" s="1771"/>
      <c r="AA78" s="1771"/>
      <c r="AB78" s="1771"/>
      <c r="AC78" s="1771"/>
      <c r="AD78" s="1771"/>
      <c r="AE78" s="1771"/>
      <c r="AF78" s="1772"/>
      <c r="AG78" s="1773">
        <v>1001010828</v>
      </c>
      <c r="AH78" s="1774"/>
      <c r="AI78" s="1774"/>
      <c r="AJ78" s="1774"/>
      <c r="AK78" s="1774"/>
      <c r="AL78" s="1774"/>
      <c r="AM78" s="1774"/>
      <c r="AN78" s="1774"/>
      <c r="AO78" s="1774"/>
      <c r="AP78" s="1774"/>
      <c r="AQ78" s="1774"/>
      <c r="AR78" s="1774"/>
      <c r="AS78" s="1774"/>
      <c r="AT78" s="1775"/>
      <c r="AU78" s="1773" t="s">
        <v>770</v>
      </c>
      <c r="AV78" s="1774"/>
      <c r="AW78" s="1774"/>
      <c r="AX78" s="1774"/>
      <c r="AY78" s="1774"/>
      <c r="AZ78" s="1774"/>
      <c r="BA78" s="1774"/>
      <c r="BB78" s="1774"/>
      <c r="BC78" s="1774"/>
      <c r="BD78" s="1774"/>
      <c r="BE78" s="1774"/>
      <c r="BF78" s="1775"/>
      <c r="BG78" s="1765" t="s">
        <v>841</v>
      </c>
      <c r="BH78" s="1766"/>
      <c r="BI78" s="1766"/>
      <c r="BJ78" s="1766"/>
      <c r="BK78" s="1766"/>
      <c r="BL78" s="1766"/>
      <c r="BM78" s="1766"/>
      <c r="BN78" s="1766"/>
      <c r="BO78" s="1766"/>
      <c r="BP78" s="1766"/>
      <c r="BQ78" s="1766"/>
      <c r="BR78" s="1766"/>
      <c r="BS78" s="1766"/>
      <c r="BT78" s="1766"/>
      <c r="BU78" s="1766"/>
      <c r="BV78" s="1766"/>
      <c r="BW78" s="1766"/>
      <c r="BX78" s="1767"/>
      <c r="BY78" s="1765" t="s">
        <v>777</v>
      </c>
      <c r="BZ78" s="1766"/>
      <c r="CA78" s="1766"/>
      <c r="CB78" s="1766"/>
      <c r="CC78" s="1766"/>
      <c r="CD78" s="1766"/>
      <c r="CE78" s="1766"/>
      <c r="CF78" s="1766"/>
      <c r="CG78" s="1766"/>
      <c r="CH78" s="1766"/>
      <c r="CI78" s="1766"/>
      <c r="CJ78" s="1766"/>
      <c r="CK78" s="1766"/>
      <c r="CL78" s="1766"/>
      <c r="CM78" s="1766"/>
      <c r="CN78" s="1766"/>
      <c r="CO78" s="1766"/>
      <c r="CP78" s="1767"/>
      <c r="CQ78" s="1762">
        <v>0.19</v>
      </c>
      <c r="CR78" s="1763"/>
      <c r="CS78" s="1763"/>
      <c r="CT78" s="1763"/>
      <c r="CU78" s="1763"/>
      <c r="CV78" s="1763"/>
      <c r="CW78" s="1763"/>
      <c r="CX78" s="1763"/>
      <c r="CY78" s="1763"/>
      <c r="CZ78" s="1763"/>
      <c r="DA78" s="1763"/>
      <c r="DB78" s="1763"/>
      <c r="DC78" s="1763"/>
      <c r="DD78" s="1763"/>
      <c r="DE78" s="1763"/>
      <c r="DF78" s="1763"/>
      <c r="DG78" s="1763"/>
      <c r="DH78" s="1764"/>
      <c r="DI78" s="1753">
        <v>15</v>
      </c>
      <c r="DJ78" s="1754"/>
      <c r="DK78" s="1754"/>
      <c r="DL78" s="1754"/>
      <c r="DM78" s="1754"/>
      <c r="DN78" s="1754"/>
      <c r="DO78" s="1754"/>
      <c r="DP78" s="1754"/>
      <c r="DQ78" s="1754"/>
      <c r="DR78" s="1754"/>
      <c r="DS78" s="1754"/>
      <c r="DT78" s="1754"/>
      <c r="DU78" s="1754"/>
      <c r="DV78" s="1754"/>
      <c r="DW78" s="1754"/>
      <c r="DX78" s="1754"/>
      <c r="DY78" s="1754"/>
      <c r="DZ78" s="1755"/>
      <c r="EA78" s="1762">
        <v>2.85</v>
      </c>
      <c r="EB78" s="1763"/>
      <c r="EC78" s="1763"/>
      <c r="ED78" s="1763"/>
      <c r="EE78" s="1763"/>
      <c r="EF78" s="1763"/>
      <c r="EG78" s="1763"/>
      <c r="EH78" s="1763"/>
      <c r="EI78" s="1763"/>
      <c r="EJ78" s="1763"/>
      <c r="EK78" s="1763"/>
      <c r="EL78" s="1763"/>
      <c r="EM78" s="1763"/>
      <c r="EN78" s="1763"/>
      <c r="EO78" s="1763"/>
      <c r="EP78" s="1763"/>
      <c r="EQ78" s="1763"/>
      <c r="ER78" s="1763"/>
      <c r="ES78" s="1764"/>
      <c r="ET78" s="2288" t="str">
        <f>BG78</f>
        <v>1424285-1424299</v>
      </c>
      <c r="EU78" s="2288" t="str">
        <f>BY78</f>
        <v>ПК</v>
      </c>
      <c r="EV78" s="524">
        <f>CQ78</f>
        <v>0.19</v>
      </c>
      <c r="EW78" s="494">
        <v>15</v>
      </c>
      <c r="EX78" s="495">
        <v>2.85</v>
      </c>
      <c r="EY78" s="1768"/>
      <c r="EZ78" s="1768"/>
      <c r="FA78" s="1768"/>
      <c r="FB78" s="1768"/>
      <c r="FC78" s="1768"/>
      <c r="FD78" s="1768"/>
      <c r="FE78" s="1768"/>
      <c r="FF78" s="1768"/>
      <c r="FG78" s="1768"/>
      <c r="FH78" s="1768"/>
      <c r="FI78" s="1768"/>
      <c r="FJ78" s="1758"/>
      <c r="FK78" s="1759"/>
      <c r="FL78" s="1759"/>
      <c r="FM78" s="1759"/>
      <c r="FN78" s="1759"/>
      <c r="FO78" s="1759"/>
      <c r="FP78" s="1759"/>
      <c r="FQ78" s="1759"/>
      <c r="FR78" s="1759"/>
      <c r="FS78" s="1759"/>
      <c r="FT78" s="1759"/>
      <c r="FU78" s="1760"/>
      <c r="FV78" s="1753"/>
      <c r="FW78" s="1754"/>
      <c r="FX78" s="1754"/>
      <c r="FY78" s="1754"/>
      <c r="FZ78" s="1754"/>
      <c r="GA78" s="1754"/>
      <c r="GB78" s="1754"/>
      <c r="GC78" s="1754"/>
      <c r="GD78" s="1754"/>
      <c r="GE78" s="1754"/>
      <c r="GF78" s="1754"/>
      <c r="GG78" s="1755"/>
      <c r="GH78" s="1756"/>
      <c r="GI78" s="1756"/>
      <c r="GJ78" s="1756"/>
      <c r="GK78" s="1756"/>
      <c r="GL78" s="1756"/>
      <c r="GM78" s="1756"/>
      <c r="GN78" s="1756"/>
      <c r="GO78" s="1756"/>
      <c r="GP78" s="1756"/>
      <c r="GQ78" s="1756"/>
      <c r="GR78" s="1756"/>
      <c r="GS78" s="1756"/>
      <c r="GT78" s="1757"/>
      <c r="GU78" s="1757"/>
      <c r="GV78" s="1757"/>
      <c r="GW78" s="1757"/>
      <c r="GX78" s="1757"/>
      <c r="GY78" s="1757"/>
      <c r="GZ78" s="1757"/>
      <c r="HA78" s="1757"/>
      <c r="HB78" s="1757"/>
      <c r="HC78" s="1757"/>
      <c r="HD78" s="1757"/>
      <c r="HE78" s="1757"/>
      <c r="HF78" s="1758"/>
      <c r="HG78" s="1759"/>
      <c r="HH78" s="1759"/>
      <c r="HI78" s="1759"/>
      <c r="HJ78" s="1759"/>
      <c r="HK78" s="1759"/>
      <c r="HL78" s="1759"/>
      <c r="HM78" s="1759"/>
      <c r="HN78" s="1759"/>
      <c r="HO78" s="1759"/>
      <c r="HP78" s="1759"/>
      <c r="HQ78" s="1760"/>
      <c r="HR78" s="1761"/>
      <c r="HS78" s="1761"/>
      <c r="HT78" s="1761"/>
      <c r="HU78" s="1761"/>
      <c r="HV78" s="1761"/>
      <c r="HW78" s="1761"/>
      <c r="HX78" s="1761"/>
      <c r="HY78" s="1761"/>
      <c r="HZ78" s="1761"/>
      <c r="IA78" s="1761"/>
      <c r="IB78" s="1761"/>
      <c r="IC78" s="1761"/>
      <c r="ID78" s="1762"/>
      <c r="IE78" s="1763"/>
      <c r="IF78" s="1763"/>
      <c r="IG78" s="1763"/>
      <c r="IH78" s="1763"/>
      <c r="II78" s="1763"/>
      <c r="IJ78" s="1763"/>
      <c r="IK78" s="1763"/>
      <c r="IL78" s="1763"/>
      <c r="IM78" s="1763"/>
      <c r="IN78" s="1764"/>
    </row>
    <row r="79" spans="1:248" ht="36.75" customHeight="1">
      <c r="A79" s="1769">
        <v>32</v>
      </c>
      <c r="B79" s="1769"/>
      <c r="C79" s="1769"/>
      <c r="D79" s="1769"/>
      <c r="E79" s="1769"/>
      <c r="F79" s="1769"/>
      <c r="G79" s="1769"/>
      <c r="H79" s="1769"/>
      <c r="I79" s="1769"/>
      <c r="J79" s="1769"/>
      <c r="K79" s="1770" t="s">
        <v>843</v>
      </c>
      <c r="L79" s="1771"/>
      <c r="M79" s="1771"/>
      <c r="N79" s="1771"/>
      <c r="O79" s="1771"/>
      <c r="P79" s="1771"/>
      <c r="Q79" s="1771"/>
      <c r="R79" s="1771"/>
      <c r="S79" s="1771"/>
      <c r="T79" s="1771"/>
      <c r="U79" s="1771"/>
      <c r="V79" s="1771"/>
      <c r="W79" s="1771"/>
      <c r="X79" s="1771"/>
      <c r="Y79" s="1771"/>
      <c r="Z79" s="1771"/>
      <c r="AA79" s="1771"/>
      <c r="AB79" s="1771"/>
      <c r="AC79" s="1771"/>
      <c r="AD79" s="1771"/>
      <c r="AE79" s="1771"/>
      <c r="AF79" s="1772"/>
      <c r="AG79" s="1773">
        <v>1001010840</v>
      </c>
      <c r="AH79" s="1774"/>
      <c r="AI79" s="1774"/>
      <c r="AJ79" s="1774"/>
      <c r="AK79" s="1774"/>
      <c r="AL79" s="1774"/>
      <c r="AM79" s="1774"/>
      <c r="AN79" s="1774"/>
      <c r="AO79" s="1774"/>
      <c r="AP79" s="1774"/>
      <c r="AQ79" s="1774"/>
      <c r="AR79" s="1774"/>
      <c r="AS79" s="1774"/>
      <c r="AT79" s="1775"/>
      <c r="AU79" s="1773" t="s">
        <v>770</v>
      </c>
      <c r="AV79" s="1774"/>
      <c r="AW79" s="1774"/>
      <c r="AX79" s="1774"/>
      <c r="AY79" s="1774"/>
      <c r="AZ79" s="1774"/>
      <c r="BA79" s="1774"/>
      <c r="BB79" s="1774"/>
      <c r="BC79" s="1774"/>
      <c r="BD79" s="1774"/>
      <c r="BE79" s="1774"/>
      <c r="BF79" s="1775"/>
      <c r="BG79" s="1765" t="s">
        <v>844</v>
      </c>
      <c r="BH79" s="1766"/>
      <c r="BI79" s="1766"/>
      <c r="BJ79" s="1766"/>
      <c r="BK79" s="1766"/>
      <c r="BL79" s="1766"/>
      <c r="BM79" s="1766"/>
      <c r="BN79" s="1766"/>
      <c r="BO79" s="1766"/>
      <c r="BP79" s="1766"/>
      <c r="BQ79" s="1766"/>
      <c r="BR79" s="1766"/>
      <c r="BS79" s="1766"/>
      <c r="BT79" s="1766"/>
      <c r="BU79" s="1766"/>
      <c r="BV79" s="1766"/>
      <c r="BW79" s="1766"/>
      <c r="BX79" s="1767"/>
      <c r="BY79" s="1765" t="s">
        <v>777</v>
      </c>
      <c r="BZ79" s="1766"/>
      <c r="CA79" s="1766"/>
      <c r="CB79" s="1766"/>
      <c r="CC79" s="1766"/>
      <c r="CD79" s="1766"/>
      <c r="CE79" s="1766"/>
      <c r="CF79" s="1766"/>
      <c r="CG79" s="1766"/>
      <c r="CH79" s="1766"/>
      <c r="CI79" s="1766"/>
      <c r="CJ79" s="1766"/>
      <c r="CK79" s="1766"/>
      <c r="CL79" s="1766"/>
      <c r="CM79" s="1766"/>
      <c r="CN79" s="1766"/>
      <c r="CO79" s="1766"/>
      <c r="CP79" s="1767"/>
      <c r="CQ79" s="1762">
        <v>0</v>
      </c>
      <c r="CR79" s="1763"/>
      <c r="CS79" s="1763"/>
      <c r="CT79" s="1763"/>
      <c r="CU79" s="1763"/>
      <c r="CV79" s="1763"/>
      <c r="CW79" s="1763"/>
      <c r="CX79" s="1763"/>
      <c r="CY79" s="1763"/>
      <c r="CZ79" s="1763"/>
      <c r="DA79" s="1763"/>
      <c r="DB79" s="1763"/>
      <c r="DC79" s="1763"/>
      <c r="DD79" s="1763"/>
      <c r="DE79" s="1763"/>
      <c r="DF79" s="1763"/>
      <c r="DG79" s="1763"/>
      <c r="DH79" s="1764"/>
      <c r="DI79" s="1753">
        <v>1</v>
      </c>
      <c r="DJ79" s="1754"/>
      <c r="DK79" s="1754"/>
      <c r="DL79" s="1754"/>
      <c r="DM79" s="1754"/>
      <c r="DN79" s="1754"/>
      <c r="DO79" s="1754"/>
      <c r="DP79" s="1754"/>
      <c r="DQ79" s="1754"/>
      <c r="DR79" s="1754"/>
      <c r="DS79" s="1754"/>
      <c r="DT79" s="1754"/>
      <c r="DU79" s="1754"/>
      <c r="DV79" s="1754"/>
      <c r="DW79" s="1754"/>
      <c r="DX79" s="1754"/>
      <c r="DY79" s="1754"/>
      <c r="DZ79" s="1755"/>
      <c r="EA79" s="1762">
        <v>0</v>
      </c>
      <c r="EB79" s="1763"/>
      <c r="EC79" s="1763"/>
      <c r="ED79" s="1763"/>
      <c r="EE79" s="1763"/>
      <c r="EF79" s="1763"/>
      <c r="EG79" s="1763"/>
      <c r="EH79" s="1763"/>
      <c r="EI79" s="1763"/>
      <c r="EJ79" s="1763"/>
      <c r="EK79" s="1763"/>
      <c r="EL79" s="1763"/>
      <c r="EM79" s="1763"/>
      <c r="EN79" s="1763"/>
      <c r="EO79" s="1763"/>
      <c r="EP79" s="1763"/>
      <c r="EQ79" s="1763"/>
      <c r="ER79" s="1763"/>
      <c r="ES79" s="1764"/>
      <c r="ET79" s="2288" t="str">
        <f>BG79</f>
        <v>2421438</v>
      </c>
      <c r="EU79" s="2288" t="str">
        <f>BY79</f>
        <v>ПК</v>
      </c>
      <c r="EV79" s="524">
        <f>CQ79</f>
        <v>0</v>
      </c>
      <c r="EW79" s="494">
        <v>1</v>
      </c>
      <c r="EX79" s="495">
        <v>0</v>
      </c>
      <c r="EY79" s="1768"/>
      <c r="EZ79" s="1768"/>
      <c r="FA79" s="1768"/>
      <c r="FB79" s="1768"/>
      <c r="FC79" s="1768"/>
      <c r="FD79" s="1768"/>
      <c r="FE79" s="1768"/>
      <c r="FF79" s="1768"/>
      <c r="FG79" s="1768"/>
      <c r="FH79" s="1768"/>
      <c r="FI79" s="1768"/>
      <c r="FJ79" s="1758"/>
      <c r="FK79" s="1759"/>
      <c r="FL79" s="1759"/>
      <c r="FM79" s="1759"/>
      <c r="FN79" s="1759"/>
      <c r="FO79" s="1759"/>
      <c r="FP79" s="1759"/>
      <c r="FQ79" s="1759"/>
      <c r="FR79" s="1759"/>
      <c r="FS79" s="1759"/>
      <c r="FT79" s="1759"/>
      <c r="FU79" s="1760"/>
      <c r="FV79" s="1753"/>
      <c r="FW79" s="1754"/>
      <c r="FX79" s="1754"/>
      <c r="FY79" s="1754"/>
      <c r="FZ79" s="1754"/>
      <c r="GA79" s="1754"/>
      <c r="GB79" s="1754"/>
      <c r="GC79" s="1754"/>
      <c r="GD79" s="1754"/>
      <c r="GE79" s="1754"/>
      <c r="GF79" s="1754"/>
      <c r="GG79" s="1755"/>
      <c r="GH79" s="1756"/>
      <c r="GI79" s="1756"/>
      <c r="GJ79" s="1756"/>
      <c r="GK79" s="1756"/>
      <c r="GL79" s="1756"/>
      <c r="GM79" s="1756"/>
      <c r="GN79" s="1756"/>
      <c r="GO79" s="1756"/>
      <c r="GP79" s="1756"/>
      <c r="GQ79" s="1756"/>
      <c r="GR79" s="1756"/>
      <c r="GS79" s="1756"/>
      <c r="GT79" s="1757"/>
      <c r="GU79" s="1757"/>
      <c r="GV79" s="1757"/>
      <c r="GW79" s="1757"/>
      <c r="GX79" s="1757"/>
      <c r="GY79" s="1757"/>
      <c r="GZ79" s="1757"/>
      <c r="HA79" s="1757"/>
      <c r="HB79" s="1757"/>
      <c r="HC79" s="1757"/>
      <c r="HD79" s="1757"/>
      <c r="HE79" s="1757"/>
      <c r="HF79" s="1758"/>
      <c r="HG79" s="1759"/>
      <c r="HH79" s="1759"/>
      <c r="HI79" s="1759"/>
      <c r="HJ79" s="1759"/>
      <c r="HK79" s="1759"/>
      <c r="HL79" s="1759"/>
      <c r="HM79" s="1759"/>
      <c r="HN79" s="1759"/>
      <c r="HO79" s="1759"/>
      <c r="HP79" s="1759"/>
      <c r="HQ79" s="1760"/>
      <c r="HR79" s="1761"/>
      <c r="HS79" s="1761"/>
      <c r="HT79" s="1761"/>
      <c r="HU79" s="1761"/>
      <c r="HV79" s="1761"/>
      <c r="HW79" s="1761"/>
      <c r="HX79" s="1761"/>
      <c r="HY79" s="1761"/>
      <c r="HZ79" s="1761"/>
      <c r="IA79" s="1761"/>
      <c r="IB79" s="1761"/>
      <c r="IC79" s="1761"/>
      <c r="ID79" s="1762"/>
      <c r="IE79" s="1763"/>
      <c r="IF79" s="1763"/>
      <c r="IG79" s="1763"/>
      <c r="IH79" s="1763"/>
      <c r="II79" s="1763"/>
      <c r="IJ79" s="1763"/>
      <c r="IK79" s="1763"/>
      <c r="IL79" s="1763"/>
      <c r="IM79" s="1763"/>
      <c r="IN79" s="1764"/>
    </row>
    <row r="80" spans="1:248" ht="36.75" customHeight="1">
      <c r="A80" s="1769">
        <v>33</v>
      </c>
      <c r="B80" s="1769"/>
      <c r="C80" s="1769"/>
      <c r="D80" s="1769"/>
      <c r="E80" s="1769"/>
      <c r="F80" s="1769"/>
      <c r="G80" s="1769"/>
      <c r="H80" s="1769"/>
      <c r="I80" s="1769"/>
      <c r="J80" s="1769"/>
      <c r="K80" s="1770" t="s">
        <v>846</v>
      </c>
      <c r="L80" s="1771"/>
      <c r="M80" s="1771"/>
      <c r="N80" s="1771"/>
      <c r="O80" s="1771"/>
      <c r="P80" s="1771"/>
      <c r="Q80" s="1771"/>
      <c r="R80" s="1771"/>
      <c r="S80" s="1771"/>
      <c r="T80" s="1771"/>
      <c r="U80" s="1771"/>
      <c r="V80" s="1771"/>
      <c r="W80" s="1771"/>
      <c r="X80" s="1771"/>
      <c r="Y80" s="1771"/>
      <c r="Z80" s="1771"/>
      <c r="AA80" s="1771"/>
      <c r="AB80" s="1771"/>
      <c r="AC80" s="1771"/>
      <c r="AD80" s="1771"/>
      <c r="AE80" s="1771"/>
      <c r="AF80" s="1772"/>
      <c r="AG80" s="1773">
        <v>1001010841</v>
      </c>
      <c r="AH80" s="1774"/>
      <c r="AI80" s="1774"/>
      <c r="AJ80" s="1774"/>
      <c r="AK80" s="1774"/>
      <c r="AL80" s="1774"/>
      <c r="AM80" s="1774"/>
      <c r="AN80" s="1774"/>
      <c r="AO80" s="1774"/>
      <c r="AP80" s="1774"/>
      <c r="AQ80" s="1774"/>
      <c r="AR80" s="1774"/>
      <c r="AS80" s="1774"/>
      <c r="AT80" s="1775"/>
      <c r="AU80" s="1773" t="s">
        <v>770</v>
      </c>
      <c r="AV80" s="1774"/>
      <c r="AW80" s="1774"/>
      <c r="AX80" s="1774"/>
      <c r="AY80" s="1774"/>
      <c r="AZ80" s="1774"/>
      <c r="BA80" s="1774"/>
      <c r="BB80" s="1774"/>
      <c r="BC80" s="1774"/>
      <c r="BD80" s="1774"/>
      <c r="BE80" s="1774"/>
      <c r="BF80" s="1775"/>
      <c r="BG80" s="1765" t="s">
        <v>847</v>
      </c>
      <c r="BH80" s="1766"/>
      <c r="BI80" s="1766"/>
      <c r="BJ80" s="1766"/>
      <c r="BK80" s="1766"/>
      <c r="BL80" s="1766"/>
      <c r="BM80" s="1766"/>
      <c r="BN80" s="1766"/>
      <c r="BO80" s="1766"/>
      <c r="BP80" s="1766"/>
      <c r="BQ80" s="1766"/>
      <c r="BR80" s="1766"/>
      <c r="BS80" s="1766"/>
      <c r="BT80" s="1766"/>
      <c r="BU80" s="1766"/>
      <c r="BV80" s="1766"/>
      <c r="BW80" s="1766"/>
      <c r="BX80" s="1767"/>
      <c r="BY80" s="1765" t="s">
        <v>777</v>
      </c>
      <c r="BZ80" s="1766"/>
      <c r="CA80" s="1766"/>
      <c r="CB80" s="1766"/>
      <c r="CC80" s="1766"/>
      <c r="CD80" s="1766"/>
      <c r="CE80" s="1766"/>
      <c r="CF80" s="1766"/>
      <c r="CG80" s="1766"/>
      <c r="CH80" s="1766"/>
      <c r="CI80" s="1766"/>
      <c r="CJ80" s="1766"/>
      <c r="CK80" s="1766"/>
      <c r="CL80" s="1766"/>
      <c r="CM80" s="1766"/>
      <c r="CN80" s="1766"/>
      <c r="CO80" s="1766"/>
      <c r="CP80" s="1767"/>
      <c r="CQ80" s="1762">
        <v>0</v>
      </c>
      <c r="CR80" s="1763"/>
      <c r="CS80" s="1763"/>
      <c r="CT80" s="1763"/>
      <c r="CU80" s="1763"/>
      <c r="CV80" s="1763"/>
      <c r="CW80" s="1763"/>
      <c r="CX80" s="1763"/>
      <c r="CY80" s="1763"/>
      <c r="CZ80" s="1763"/>
      <c r="DA80" s="1763"/>
      <c r="DB80" s="1763"/>
      <c r="DC80" s="1763"/>
      <c r="DD80" s="1763"/>
      <c r="DE80" s="1763"/>
      <c r="DF80" s="1763"/>
      <c r="DG80" s="1763"/>
      <c r="DH80" s="1764"/>
      <c r="DI80" s="1753">
        <v>1</v>
      </c>
      <c r="DJ80" s="1754"/>
      <c r="DK80" s="1754"/>
      <c r="DL80" s="1754"/>
      <c r="DM80" s="1754"/>
      <c r="DN80" s="1754"/>
      <c r="DO80" s="1754"/>
      <c r="DP80" s="1754"/>
      <c r="DQ80" s="1754"/>
      <c r="DR80" s="1754"/>
      <c r="DS80" s="1754"/>
      <c r="DT80" s="1754"/>
      <c r="DU80" s="1754"/>
      <c r="DV80" s="1754"/>
      <c r="DW80" s="1754"/>
      <c r="DX80" s="1754"/>
      <c r="DY80" s="1754"/>
      <c r="DZ80" s="1755"/>
      <c r="EA80" s="1762">
        <v>0</v>
      </c>
      <c r="EB80" s="1763"/>
      <c r="EC80" s="1763"/>
      <c r="ED80" s="1763"/>
      <c r="EE80" s="1763"/>
      <c r="EF80" s="1763"/>
      <c r="EG80" s="1763"/>
      <c r="EH80" s="1763"/>
      <c r="EI80" s="1763"/>
      <c r="EJ80" s="1763"/>
      <c r="EK80" s="1763"/>
      <c r="EL80" s="1763"/>
      <c r="EM80" s="1763"/>
      <c r="EN80" s="1763"/>
      <c r="EO80" s="1763"/>
      <c r="EP80" s="1763"/>
      <c r="EQ80" s="1763"/>
      <c r="ER80" s="1763"/>
      <c r="ES80" s="1764"/>
      <c r="ET80" s="2288" t="str">
        <f>BG80</f>
        <v>2421439</v>
      </c>
      <c r="EU80" s="2288" t="str">
        <f>BY80</f>
        <v>ПК</v>
      </c>
      <c r="EV80" s="524">
        <f>CQ80</f>
        <v>0</v>
      </c>
      <c r="EW80" s="494">
        <v>1</v>
      </c>
      <c r="EX80" s="495">
        <v>0</v>
      </c>
      <c r="EY80" s="1768"/>
      <c r="EZ80" s="1768"/>
      <c r="FA80" s="1768"/>
      <c r="FB80" s="1768"/>
      <c r="FC80" s="1768"/>
      <c r="FD80" s="1768"/>
      <c r="FE80" s="1768"/>
      <c r="FF80" s="1768"/>
      <c r="FG80" s="1768"/>
      <c r="FH80" s="1768"/>
      <c r="FI80" s="1768"/>
      <c r="FJ80" s="1758"/>
      <c r="FK80" s="1759"/>
      <c r="FL80" s="1759"/>
      <c r="FM80" s="1759"/>
      <c r="FN80" s="1759"/>
      <c r="FO80" s="1759"/>
      <c r="FP80" s="1759"/>
      <c r="FQ80" s="1759"/>
      <c r="FR80" s="1759"/>
      <c r="FS80" s="1759"/>
      <c r="FT80" s="1759"/>
      <c r="FU80" s="1760"/>
      <c r="FV80" s="1753"/>
      <c r="FW80" s="1754"/>
      <c r="FX80" s="1754"/>
      <c r="FY80" s="1754"/>
      <c r="FZ80" s="1754"/>
      <c r="GA80" s="1754"/>
      <c r="GB80" s="1754"/>
      <c r="GC80" s="1754"/>
      <c r="GD80" s="1754"/>
      <c r="GE80" s="1754"/>
      <c r="GF80" s="1754"/>
      <c r="GG80" s="1755"/>
      <c r="GH80" s="1756"/>
      <c r="GI80" s="1756"/>
      <c r="GJ80" s="1756"/>
      <c r="GK80" s="1756"/>
      <c r="GL80" s="1756"/>
      <c r="GM80" s="1756"/>
      <c r="GN80" s="1756"/>
      <c r="GO80" s="1756"/>
      <c r="GP80" s="1756"/>
      <c r="GQ80" s="1756"/>
      <c r="GR80" s="1756"/>
      <c r="GS80" s="1756"/>
      <c r="GT80" s="1757"/>
      <c r="GU80" s="1757"/>
      <c r="GV80" s="1757"/>
      <c r="GW80" s="1757"/>
      <c r="GX80" s="1757"/>
      <c r="GY80" s="1757"/>
      <c r="GZ80" s="1757"/>
      <c r="HA80" s="1757"/>
      <c r="HB80" s="1757"/>
      <c r="HC80" s="1757"/>
      <c r="HD80" s="1757"/>
      <c r="HE80" s="1757"/>
      <c r="HF80" s="1758"/>
      <c r="HG80" s="1759"/>
      <c r="HH80" s="1759"/>
      <c r="HI80" s="1759"/>
      <c r="HJ80" s="1759"/>
      <c r="HK80" s="1759"/>
      <c r="HL80" s="1759"/>
      <c r="HM80" s="1759"/>
      <c r="HN80" s="1759"/>
      <c r="HO80" s="1759"/>
      <c r="HP80" s="1759"/>
      <c r="HQ80" s="1760"/>
      <c r="HR80" s="1761"/>
      <c r="HS80" s="1761"/>
      <c r="HT80" s="1761"/>
      <c r="HU80" s="1761"/>
      <c r="HV80" s="1761"/>
      <c r="HW80" s="1761"/>
      <c r="HX80" s="1761"/>
      <c r="HY80" s="1761"/>
      <c r="HZ80" s="1761"/>
      <c r="IA80" s="1761"/>
      <c r="IB80" s="1761"/>
      <c r="IC80" s="1761"/>
      <c r="ID80" s="1762"/>
      <c r="IE80" s="1763"/>
      <c r="IF80" s="1763"/>
      <c r="IG80" s="1763"/>
      <c r="IH80" s="1763"/>
      <c r="II80" s="1763"/>
      <c r="IJ80" s="1763"/>
      <c r="IK80" s="1763"/>
      <c r="IL80" s="1763"/>
      <c r="IM80" s="1763"/>
      <c r="IN80" s="1764"/>
    </row>
    <row r="81" spans="1:249" ht="36.75" customHeight="1">
      <c r="A81" s="1769">
        <v>34</v>
      </c>
      <c r="B81" s="1769"/>
      <c r="C81" s="1769"/>
      <c r="D81" s="1769"/>
      <c r="E81" s="1769"/>
      <c r="F81" s="1769"/>
      <c r="G81" s="1769"/>
      <c r="H81" s="1769"/>
      <c r="I81" s="1769"/>
      <c r="J81" s="1769"/>
      <c r="K81" s="1770" t="s">
        <v>849</v>
      </c>
      <c r="L81" s="1771"/>
      <c r="M81" s="1771"/>
      <c r="N81" s="1771"/>
      <c r="O81" s="1771"/>
      <c r="P81" s="1771"/>
      <c r="Q81" s="1771"/>
      <c r="R81" s="1771"/>
      <c r="S81" s="1771"/>
      <c r="T81" s="1771"/>
      <c r="U81" s="1771"/>
      <c r="V81" s="1771"/>
      <c r="W81" s="1771"/>
      <c r="X81" s="1771"/>
      <c r="Y81" s="1771"/>
      <c r="Z81" s="1771"/>
      <c r="AA81" s="1771"/>
      <c r="AB81" s="1771"/>
      <c r="AC81" s="1771"/>
      <c r="AD81" s="1771"/>
      <c r="AE81" s="1771"/>
      <c r="AF81" s="1772"/>
      <c r="AG81" s="1773">
        <v>1001010843</v>
      </c>
      <c r="AH81" s="1774"/>
      <c r="AI81" s="1774"/>
      <c r="AJ81" s="1774"/>
      <c r="AK81" s="1774"/>
      <c r="AL81" s="1774"/>
      <c r="AM81" s="1774"/>
      <c r="AN81" s="1774"/>
      <c r="AO81" s="1774"/>
      <c r="AP81" s="1774"/>
      <c r="AQ81" s="1774"/>
      <c r="AR81" s="1774"/>
      <c r="AS81" s="1774"/>
      <c r="AT81" s="1775"/>
      <c r="AU81" s="1773" t="s">
        <v>770</v>
      </c>
      <c r="AV81" s="1774"/>
      <c r="AW81" s="1774"/>
      <c r="AX81" s="1774"/>
      <c r="AY81" s="1774"/>
      <c r="AZ81" s="1774"/>
      <c r="BA81" s="1774"/>
      <c r="BB81" s="1774"/>
      <c r="BC81" s="1774"/>
      <c r="BD81" s="1774"/>
      <c r="BE81" s="1774"/>
      <c r="BF81" s="1775"/>
      <c r="BG81" s="1765" t="s">
        <v>850</v>
      </c>
      <c r="BH81" s="1766"/>
      <c r="BI81" s="1766"/>
      <c r="BJ81" s="1766"/>
      <c r="BK81" s="1766"/>
      <c r="BL81" s="1766"/>
      <c r="BM81" s="1766"/>
      <c r="BN81" s="1766"/>
      <c r="BO81" s="1766"/>
      <c r="BP81" s="1766"/>
      <c r="BQ81" s="1766"/>
      <c r="BR81" s="1766"/>
      <c r="BS81" s="1766"/>
      <c r="BT81" s="1766"/>
      <c r="BU81" s="1766"/>
      <c r="BV81" s="1766"/>
      <c r="BW81" s="1766"/>
      <c r="BX81" s="1767"/>
      <c r="BY81" s="1765" t="s">
        <v>777</v>
      </c>
      <c r="BZ81" s="1766"/>
      <c r="CA81" s="1766"/>
      <c r="CB81" s="1766"/>
      <c r="CC81" s="1766"/>
      <c r="CD81" s="1766"/>
      <c r="CE81" s="1766"/>
      <c r="CF81" s="1766"/>
      <c r="CG81" s="1766"/>
      <c r="CH81" s="1766"/>
      <c r="CI81" s="1766"/>
      <c r="CJ81" s="1766"/>
      <c r="CK81" s="1766"/>
      <c r="CL81" s="1766"/>
      <c r="CM81" s="1766"/>
      <c r="CN81" s="1766"/>
      <c r="CO81" s="1766"/>
      <c r="CP81" s="1767"/>
      <c r="CQ81" s="1762">
        <v>0</v>
      </c>
      <c r="CR81" s="1763"/>
      <c r="CS81" s="1763"/>
      <c r="CT81" s="1763"/>
      <c r="CU81" s="1763"/>
      <c r="CV81" s="1763"/>
      <c r="CW81" s="1763"/>
      <c r="CX81" s="1763"/>
      <c r="CY81" s="1763"/>
      <c r="CZ81" s="1763"/>
      <c r="DA81" s="1763"/>
      <c r="DB81" s="1763"/>
      <c r="DC81" s="1763"/>
      <c r="DD81" s="1763"/>
      <c r="DE81" s="1763"/>
      <c r="DF81" s="1763"/>
      <c r="DG81" s="1763"/>
      <c r="DH81" s="1764"/>
      <c r="DI81" s="1753">
        <v>1</v>
      </c>
      <c r="DJ81" s="1754"/>
      <c r="DK81" s="1754"/>
      <c r="DL81" s="1754"/>
      <c r="DM81" s="1754"/>
      <c r="DN81" s="1754"/>
      <c r="DO81" s="1754"/>
      <c r="DP81" s="1754"/>
      <c r="DQ81" s="1754"/>
      <c r="DR81" s="1754"/>
      <c r="DS81" s="1754"/>
      <c r="DT81" s="1754"/>
      <c r="DU81" s="1754"/>
      <c r="DV81" s="1754"/>
      <c r="DW81" s="1754"/>
      <c r="DX81" s="1754"/>
      <c r="DY81" s="1754"/>
      <c r="DZ81" s="1755"/>
      <c r="EA81" s="1762">
        <v>0</v>
      </c>
      <c r="EB81" s="1763"/>
      <c r="EC81" s="1763"/>
      <c r="ED81" s="1763"/>
      <c r="EE81" s="1763"/>
      <c r="EF81" s="1763"/>
      <c r="EG81" s="1763"/>
      <c r="EH81" s="1763"/>
      <c r="EI81" s="1763"/>
      <c r="EJ81" s="1763"/>
      <c r="EK81" s="1763"/>
      <c r="EL81" s="1763"/>
      <c r="EM81" s="1763"/>
      <c r="EN81" s="1763"/>
      <c r="EO81" s="1763"/>
      <c r="EP81" s="1763"/>
      <c r="EQ81" s="1763"/>
      <c r="ER81" s="1763"/>
      <c r="ES81" s="1764"/>
      <c r="ET81" s="2288" t="str">
        <f>BG81</f>
        <v>2421440</v>
      </c>
      <c r="EU81" s="2288" t="str">
        <f>BY81</f>
        <v>ПК</v>
      </c>
      <c r="EV81" s="524">
        <f>CQ81</f>
        <v>0</v>
      </c>
      <c r="EW81" s="494">
        <v>1</v>
      </c>
      <c r="EX81" s="495">
        <v>0</v>
      </c>
      <c r="EY81" s="1768"/>
      <c r="EZ81" s="1768"/>
      <c r="FA81" s="1768"/>
      <c r="FB81" s="1768"/>
      <c r="FC81" s="1768"/>
      <c r="FD81" s="1768"/>
      <c r="FE81" s="1768"/>
      <c r="FF81" s="1768"/>
      <c r="FG81" s="1768"/>
      <c r="FH81" s="1768"/>
      <c r="FI81" s="1768"/>
      <c r="FJ81" s="1758"/>
      <c r="FK81" s="1759"/>
      <c r="FL81" s="1759"/>
      <c r="FM81" s="1759"/>
      <c r="FN81" s="1759"/>
      <c r="FO81" s="1759"/>
      <c r="FP81" s="1759"/>
      <c r="FQ81" s="1759"/>
      <c r="FR81" s="1759"/>
      <c r="FS81" s="1759"/>
      <c r="FT81" s="1759"/>
      <c r="FU81" s="1760"/>
      <c r="FV81" s="1753"/>
      <c r="FW81" s="1754"/>
      <c r="FX81" s="1754"/>
      <c r="FY81" s="1754"/>
      <c r="FZ81" s="1754"/>
      <c r="GA81" s="1754"/>
      <c r="GB81" s="1754"/>
      <c r="GC81" s="1754"/>
      <c r="GD81" s="1754"/>
      <c r="GE81" s="1754"/>
      <c r="GF81" s="1754"/>
      <c r="GG81" s="1755"/>
      <c r="GH81" s="1756"/>
      <c r="GI81" s="1756"/>
      <c r="GJ81" s="1756"/>
      <c r="GK81" s="1756"/>
      <c r="GL81" s="1756"/>
      <c r="GM81" s="1756"/>
      <c r="GN81" s="1756"/>
      <c r="GO81" s="1756"/>
      <c r="GP81" s="1756"/>
      <c r="GQ81" s="1756"/>
      <c r="GR81" s="1756"/>
      <c r="GS81" s="1756"/>
      <c r="GT81" s="1757"/>
      <c r="GU81" s="1757"/>
      <c r="GV81" s="1757"/>
      <c r="GW81" s="1757"/>
      <c r="GX81" s="1757"/>
      <c r="GY81" s="1757"/>
      <c r="GZ81" s="1757"/>
      <c r="HA81" s="1757"/>
      <c r="HB81" s="1757"/>
      <c r="HC81" s="1757"/>
      <c r="HD81" s="1757"/>
      <c r="HE81" s="1757"/>
      <c r="HF81" s="1758"/>
      <c r="HG81" s="1759"/>
      <c r="HH81" s="1759"/>
      <c r="HI81" s="1759"/>
      <c r="HJ81" s="1759"/>
      <c r="HK81" s="1759"/>
      <c r="HL81" s="1759"/>
      <c r="HM81" s="1759"/>
      <c r="HN81" s="1759"/>
      <c r="HO81" s="1759"/>
      <c r="HP81" s="1759"/>
      <c r="HQ81" s="1760"/>
      <c r="HR81" s="1761"/>
      <c r="HS81" s="1761"/>
      <c r="HT81" s="1761"/>
      <c r="HU81" s="1761"/>
      <c r="HV81" s="1761"/>
      <c r="HW81" s="1761"/>
      <c r="HX81" s="1761"/>
      <c r="HY81" s="1761"/>
      <c r="HZ81" s="1761"/>
      <c r="IA81" s="1761"/>
      <c r="IB81" s="1761"/>
      <c r="IC81" s="1761"/>
      <c r="ID81" s="1762"/>
      <c r="IE81" s="1763"/>
      <c r="IF81" s="1763"/>
      <c r="IG81" s="1763"/>
      <c r="IH81" s="1763"/>
      <c r="II81" s="1763"/>
      <c r="IJ81" s="1763"/>
      <c r="IK81" s="1763"/>
      <c r="IL81" s="1763"/>
      <c r="IM81" s="1763"/>
      <c r="IN81" s="1764"/>
    </row>
    <row r="82" spans="1:249" ht="36.75" customHeight="1">
      <c r="A82" s="1769">
        <v>35</v>
      </c>
      <c r="B82" s="1769"/>
      <c r="C82" s="1769"/>
      <c r="D82" s="1769"/>
      <c r="E82" s="1769"/>
      <c r="F82" s="1769"/>
      <c r="G82" s="1769"/>
      <c r="H82" s="1769"/>
      <c r="I82" s="1769"/>
      <c r="J82" s="1769"/>
      <c r="K82" s="1770" t="s">
        <v>852</v>
      </c>
      <c r="L82" s="1771"/>
      <c r="M82" s="1771"/>
      <c r="N82" s="1771"/>
      <c r="O82" s="1771"/>
      <c r="P82" s="1771"/>
      <c r="Q82" s="1771"/>
      <c r="R82" s="1771"/>
      <c r="S82" s="1771"/>
      <c r="T82" s="1771"/>
      <c r="U82" s="1771"/>
      <c r="V82" s="1771"/>
      <c r="W82" s="1771"/>
      <c r="X82" s="1771"/>
      <c r="Y82" s="1771"/>
      <c r="Z82" s="1771"/>
      <c r="AA82" s="1771"/>
      <c r="AB82" s="1771"/>
      <c r="AC82" s="1771"/>
      <c r="AD82" s="1771"/>
      <c r="AE82" s="1771"/>
      <c r="AF82" s="1772"/>
      <c r="AG82" s="1773">
        <v>1001010844</v>
      </c>
      <c r="AH82" s="1774"/>
      <c r="AI82" s="1774"/>
      <c r="AJ82" s="1774"/>
      <c r="AK82" s="1774"/>
      <c r="AL82" s="1774"/>
      <c r="AM82" s="1774"/>
      <c r="AN82" s="1774"/>
      <c r="AO82" s="1774"/>
      <c r="AP82" s="1774"/>
      <c r="AQ82" s="1774"/>
      <c r="AR82" s="1774"/>
      <c r="AS82" s="1774"/>
      <c r="AT82" s="1775"/>
      <c r="AU82" s="1773" t="s">
        <v>770</v>
      </c>
      <c r="AV82" s="1774"/>
      <c r="AW82" s="1774"/>
      <c r="AX82" s="1774"/>
      <c r="AY82" s="1774"/>
      <c r="AZ82" s="1774"/>
      <c r="BA82" s="1774"/>
      <c r="BB82" s="1774"/>
      <c r="BC82" s="1774"/>
      <c r="BD82" s="1774"/>
      <c r="BE82" s="1774"/>
      <c r="BF82" s="1775"/>
      <c r="BG82" s="1765" t="s">
        <v>853</v>
      </c>
      <c r="BH82" s="1766"/>
      <c r="BI82" s="1766"/>
      <c r="BJ82" s="1766"/>
      <c r="BK82" s="1766"/>
      <c r="BL82" s="1766"/>
      <c r="BM82" s="1766"/>
      <c r="BN82" s="1766"/>
      <c r="BO82" s="1766"/>
      <c r="BP82" s="1766"/>
      <c r="BQ82" s="1766"/>
      <c r="BR82" s="1766"/>
      <c r="BS82" s="1766"/>
      <c r="BT82" s="1766"/>
      <c r="BU82" s="1766"/>
      <c r="BV82" s="1766"/>
      <c r="BW82" s="1766"/>
      <c r="BX82" s="1767"/>
      <c r="BY82" s="1765" t="s">
        <v>777</v>
      </c>
      <c r="BZ82" s="1766"/>
      <c r="CA82" s="1766"/>
      <c r="CB82" s="1766"/>
      <c r="CC82" s="1766"/>
      <c r="CD82" s="1766"/>
      <c r="CE82" s="1766"/>
      <c r="CF82" s="1766"/>
      <c r="CG82" s="1766"/>
      <c r="CH82" s="1766"/>
      <c r="CI82" s="1766"/>
      <c r="CJ82" s="1766"/>
      <c r="CK82" s="1766"/>
      <c r="CL82" s="1766"/>
      <c r="CM82" s="1766"/>
      <c r="CN82" s="1766"/>
      <c r="CO82" s="1766"/>
      <c r="CP82" s="1767"/>
      <c r="CQ82" s="1762">
        <v>0</v>
      </c>
      <c r="CR82" s="1763"/>
      <c r="CS82" s="1763"/>
      <c r="CT82" s="1763"/>
      <c r="CU82" s="1763"/>
      <c r="CV82" s="1763"/>
      <c r="CW82" s="1763"/>
      <c r="CX82" s="1763"/>
      <c r="CY82" s="1763"/>
      <c r="CZ82" s="1763"/>
      <c r="DA82" s="1763"/>
      <c r="DB82" s="1763"/>
      <c r="DC82" s="1763"/>
      <c r="DD82" s="1763"/>
      <c r="DE82" s="1763"/>
      <c r="DF82" s="1763"/>
      <c r="DG82" s="1763"/>
      <c r="DH82" s="1764"/>
      <c r="DI82" s="1753">
        <v>1</v>
      </c>
      <c r="DJ82" s="1754"/>
      <c r="DK82" s="1754"/>
      <c r="DL82" s="1754"/>
      <c r="DM82" s="1754"/>
      <c r="DN82" s="1754"/>
      <c r="DO82" s="1754"/>
      <c r="DP82" s="1754"/>
      <c r="DQ82" s="1754"/>
      <c r="DR82" s="1754"/>
      <c r="DS82" s="1754"/>
      <c r="DT82" s="1754"/>
      <c r="DU82" s="1754"/>
      <c r="DV82" s="1754"/>
      <c r="DW82" s="1754"/>
      <c r="DX82" s="1754"/>
      <c r="DY82" s="1754"/>
      <c r="DZ82" s="1755"/>
      <c r="EA82" s="1762">
        <v>0</v>
      </c>
      <c r="EB82" s="1763"/>
      <c r="EC82" s="1763"/>
      <c r="ED82" s="1763"/>
      <c r="EE82" s="1763"/>
      <c r="EF82" s="1763"/>
      <c r="EG82" s="1763"/>
      <c r="EH82" s="1763"/>
      <c r="EI82" s="1763"/>
      <c r="EJ82" s="1763"/>
      <c r="EK82" s="1763"/>
      <c r="EL82" s="1763"/>
      <c r="EM82" s="1763"/>
      <c r="EN82" s="1763"/>
      <c r="EO82" s="1763"/>
      <c r="EP82" s="1763"/>
      <c r="EQ82" s="1763"/>
      <c r="ER82" s="1763"/>
      <c r="ES82" s="1764"/>
      <c r="ET82" s="2288" t="str">
        <f>BG82</f>
        <v>2421441</v>
      </c>
      <c r="EU82" s="2288" t="str">
        <f>BY82</f>
        <v>ПК</v>
      </c>
      <c r="EV82" s="524">
        <f>CQ82</f>
        <v>0</v>
      </c>
      <c r="EW82" s="494">
        <v>1</v>
      </c>
      <c r="EX82" s="495">
        <v>0</v>
      </c>
      <c r="EY82" s="1768"/>
      <c r="EZ82" s="1768"/>
      <c r="FA82" s="1768"/>
      <c r="FB82" s="1768"/>
      <c r="FC82" s="1768"/>
      <c r="FD82" s="1768"/>
      <c r="FE82" s="1768"/>
      <c r="FF82" s="1768"/>
      <c r="FG82" s="1768"/>
      <c r="FH82" s="1768"/>
      <c r="FI82" s="1768"/>
      <c r="FJ82" s="1758"/>
      <c r="FK82" s="1759"/>
      <c r="FL82" s="1759"/>
      <c r="FM82" s="1759"/>
      <c r="FN82" s="1759"/>
      <c r="FO82" s="1759"/>
      <c r="FP82" s="1759"/>
      <c r="FQ82" s="1759"/>
      <c r="FR82" s="1759"/>
      <c r="FS82" s="1759"/>
      <c r="FT82" s="1759"/>
      <c r="FU82" s="1760"/>
      <c r="FV82" s="1753"/>
      <c r="FW82" s="1754"/>
      <c r="FX82" s="1754"/>
      <c r="FY82" s="1754"/>
      <c r="FZ82" s="1754"/>
      <c r="GA82" s="1754"/>
      <c r="GB82" s="1754"/>
      <c r="GC82" s="1754"/>
      <c r="GD82" s="1754"/>
      <c r="GE82" s="1754"/>
      <c r="GF82" s="1754"/>
      <c r="GG82" s="1755"/>
      <c r="GH82" s="1756"/>
      <c r="GI82" s="1756"/>
      <c r="GJ82" s="1756"/>
      <c r="GK82" s="1756"/>
      <c r="GL82" s="1756"/>
      <c r="GM82" s="1756"/>
      <c r="GN82" s="1756"/>
      <c r="GO82" s="1756"/>
      <c r="GP82" s="1756"/>
      <c r="GQ82" s="1756"/>
      <c r="GR82" s="1756"/>
      <c r="GS82" s="1756"/>
      <c r="GT82" s="1757"/>
      <c r="GU82" s="1757"/>
      <c r="GV82" s="1757"/>
      <c r="GW82" s="1757"/>
      <c r="GX82" s="1757"/>
      <c r="GY82" s="1757"/>
      <c r="GZ82" s="1757"/>
      <c r="HA82" s="1757"/>
      <c r="HB82" s="1757"/>
      <c r="HC82" s="1757"/>
      <c r="HD82" s="1757"/>
      <c r="HE82" s="1757"/>
      <c r="HF82" s="1758"/>
      <c r="HG82" s="1759"/>
      <c r="HH82" s="1759"/>
      <c r="HI82" s="1759"/>
      <c r="HJ82" s="1759"/>
      <c r="HK82" s="1759"/>
      <c r="HL82" s="1759"/>
      <c r="HM82" s="1759"/>
      <c r="HN82" s="1759"/>
      <c r="HO82" s="1759"/>
      <c r="HP82" s="1759"/>
      <c r="HQ82" s="1760"/>
      <c r="HR82" s="1761"/>
      <c r="HS82" s="1761"/>
      <c r="HT82" s="1761"/>
      <c r="HU82" s="1761"/>
      <c r="HV82" s="1761"/>
      <c r="HW82" s="1761"/>
      <c r="HX82" s="1761"/>
      <c r="HY82" s="1761"/>
      <c r="HZ82" s="1761"/>
      <c r="IA82" s="1761"/>
      <c r="IB82" s="1761"/>
      <c r="IC82" s="1761"/>
      <c r="ID82" s="1762"/>
      <c r="IE82" s="1763"/>
      <c r="IF82" s="1763"/>
      <c r="IG82" s="1763"/>
      <c r="IH82" s="1763"/>
      <c r="II82" s="1763"/>
      <c r="IJ82" s="1763"/>
      <c r="IK82" s="1763"/>
      <c r="IL82" s="1763"/>
      <c r="IM82" s="1763"/>
      <c r="IN82" s="1764"/>
    </row>
    <row r="83" spans="1:249" ht="36.75" customHeight="1">
      <c r="A83" s="1769">
        <v>36</v>
      </c>
      <c r="B83" s="1769"/>
      <c r="C83" s="1769"/>
      <c r="D83" s="1769"/>
      <c r="E83" s="1769"/>
      <c r="F83" s="1769"/>
      <c r="G83" s="1769"/>
      <c r="H83" s="1769"/>
      <c r="I83" s="1769"/>
      <c r="J83" s="1769"/>
      <c r="K83" s="1770" t="s">
        <v>855</v>
      </c>
      <c r="L83" s="1771"/>
      <c r="M83" s="1771"/>
      <c r="N83" s="1771"/>
      <c r="O83" s="1771"/>
      <c r="P83" s="1771"/>
      <c r="Q83" s="1771"/>
      <c r="R83" s="1771"/>
      <c r="S83" s="1771"/>
      <c r="T83" s="1771"/>
      <c r="U83" s="1771"/>
      <c r="V83" s="1771"/>
      <c r="W83" s="1771"/>
      <c r="X83" s="1771"/>
      <c r="Y83" s="1771"/>
      <c r="Z83" s="1771"/>
      <c r="AA83" s="1771"/>
      <c r="AB83" s="1771"/>
      <c r="AC83" s="1771"/>
      <c r="AD83" s="1771"/>
      <c r="AE83" s="1771"/>
      <c r="AF83" s="1772"/>
      <c r="AG83" s="1773">
        <v>1001010845</v>
      </c>
      <c r="AH83" s="1774"/>
      <c r="AI83" s="1774"/>
      <c r="AJ83" s="1774"/>
      <c r="AK83" s="1774"/>
      <c r="AL83" s="1774"/>
      <c r="AM83" s="1774"/>
      <c r="AN83" s="1774"/>
      <c r="AO83" s="1774"/>
      <c r="AP83" s="1774"/>
      <c r="AQ83" s="1774"/>
      <c r="AR83" s="1774"/>
      <c r="AS83" s="1774"/>
      <c r="AT83" s="1775"/>
      <c r="AU83" s="1773" t="s">
        <v>770</v>
      </c>
      <c r="AV83" s="1774"/>
      <c r="AW83" s="1774"/>
      <c r="AX83" s="1774"/>
      <c r="AY83" s="1774"/>
      <c r="AZ83" s="1774"/>
      <c r="BA83" s="1774"/>
      <c r="BB83" s="1774"/>
      <c r="BC83" s="1774"/>
      <c r="BD83" s="1774"/>
      <c r="BE83" s="1774"/>
      <c r="BF83" s="1775"/>
      <c r="BG83" s="1765" t="s">
        <v>856</v>
      </c>
      <c r="BH83" s="1766"/>
      <c r="BI83" s="1766"/>
      <c r="BJ83" s="1766"/>
      <c r="BK83" s="1766"/>
      <c r="BL83" s="1766"/>
      <c r="BM83" s="1766"/>
      <c r="BN83" s="1766"/>
      <c r="BO83" s="1766"/>
      <c r="BP83" s="1766"/>
      <c r="BQ83" s="1766"/>
      <c r="BR83" s="1766"/>
      <c r="BS83" s="1766"/>
      <c r="BT83" s="1766"/>
      <c r="BU83" s="1766"/>
      <c r="BV83" s="1766"/>
      <c r="BW83" s="1766"/>
      <c r="BX83" s="1767"/>
      <c r="BY83" s="1765" t="s">
        <v>777</v>
      </c>
      <c r="BZ83" s="1766"/>
      <c r="CA83" s="1766"/>
      <c r="CB83" s="1766"/>
      <c r="CC83" s="1766"/>
      <c r="CD83" s="1766"/>
      <c r="CE83" s="1766"/>
      <c r="CF83" s="1766"/>
      <c r="CG83" s="1766"/>
      <c r="CH83" s="1766"/>
      <c r="CI83" s="1766"/>
      <c r="CJ83" s="1766"/>
      <c r="CK83" s="1766"/>
      <c r="CL83" s="1766"/>
      <c r="CM83" s="1766"/>
      <c r="CN83" s="1766"/>
      <c r="CO83" s="1766"/>
      <c r="CP83" s="1767"/>
      <c r="CQ83" s="1762">
        <v>0</v>
      </c>
      <c r="CR83" s="1763"/>
      <c r="CS83" s="1763"/>
      <c r="CT83" s="1763"/>
      <c r="CU83" s="1763"/>
      <c r="CV83" s="1763"/>
      <c r="CW83" s="1763"/>
      <c r="CX83" s="1763"/>
      <c r="CY83" s="1763"/>
      <c r="CZ83" s="1763"/>
      <c r="DA83" s="1763"/>
      <c r="DB83" s="1763"/>
      <c r="DC83" s="1763"/>
      <c r="DD83" s="1763"/>
      <c r="DE83" s="1763"/>
      <c r="DF83" s="1763"/>
      <c r="DG83" s="1763"/>
      <c r="DH83" s="1764"/>
      <c r="DI83" s="1753">
        <v>1</v>
      </c>
      <c r="DJ83" s="1754"/>
      <c r="DK83" s="1754"/>
      <c r="DL83" s="1754"/>
      <c r="DM83" s="1754"/>
      <c r="DN83" s="1754"/>
      <c r="DO83" s="1754"/>
      <c r="DP83" s="1754"/>
      <c r="DQ83" s="1754"/>
      <c r="DR83" s="1754"/>
      <c r="DS83" s="1754"/>
      <c r="DT83" s="1754"/>
      <c r="DU83" s="1754"/>
      <c r="DV83" s="1754"/>
      <c r="DW83" s="1754"/>
      <c r="DX83" s="1754"/>
      <c r="DY83" s="1754"/>
      <c r="DZ83" s="1755"/>
      <c r="EA83" s="1762">
        <v>0</v>
      </c>
      <c r="EB83" s="1763"/>
      <c r="EC83" s="1763"/>
      <c r="ED83" s="1763"/>
      <c r="EE83" s="1763"/>
      <c r="EF83" s="1763"/>
      <c r="EG83" s="1763"/>
      <c r="EH83" s="1763"/>
      <c r="EI83" s="1763"/>
      <c r="EJ83" s="1763"/>
      <c r="EK83" s="1763"/>
      <c r="EL83" s="1763"/>
      <c r="EM83" s="1763"/>
      <c r="EN83" s="1763"/>
      <c r="EO83" s="1763"/>
      <c r="EP83" s="1763"/>
      <c r="EQ83" s="1763"/>
      <c r="ER83" s="1763"/>
      <c r="ES83" s="1764"/>
      <c r="ET83" s="2288" t="str">
        <f>BG83</f>
        <v>2421442</v>
      </c>
      <c r="EU83" s="2288" t="str">
        <f>BY83</f>
        <v>ПК</v>
      </c>
      <c r="EV83" s="524">
        <f>CQ83</f>
        <v>0</v>
      </c>
      <c r="EW83" s="494">
        <v>1</v>
      </c>
      <c r="EX83" s="495">
        <v>0</v>
      </c>
      <c r="EY83" s="1768"/>
      <c r="EZ83" s="1768"/>
      <c r="FA83" s="1768"/>
      <c r="FB83" s="1768"/>
      <c r="FC83" s="1768"/>
      <c r="FD83" s="1768"/>
      <c r="FE83" s="1768"/>
      <c r="FF83" s="1768"/>
      <c r="FG83" s="1768"/>
      <c r="FH83" s="1768"/>
      <c r="FI83" s="1768"/>
      <c r="FJ83" s="1758"/>
      <c r="FK83" s="1759"/>
      <c r="FL83" s="1759"/>
      <c r="FM83" s="1759"/>
      <c r="FN83" s="1759"/>
      <c r="FO83" s="1759"/>
      <c r="FP83" s="1759"/>
      <c r="FQ83" s="1759"/>
      <c r="FR83" s="1759"/>
      <c r="FS83" s="1759"/>
      <c r="FT83" s="1759"/>
      <c r="FU83" s="1760"/>
      <c r="FV83" s="1753"/>
      <c r="FW83" s="1754"/>
      <c r="FX83" s="1754"/>
      <c r="FY83" s="1754"/>
      <c r="FZ83" s="1754"/>
      <c r="GA83" s="1754"/>
      <c r="GB83" s="1754"/>
      <c r="GC83" s="1754"/>
      <c r="GD83" s="1754"/>
      <c r="GE83" s="1754"/>
      <c r="GF83" s="1754"/>
      <c r="GG83" s="1755"/>
      <c r="GH83" s="1756"/>
      <c r="GI83" s="1756"/>
      <c r="GJ83" s="1756"/>
      <c r="GK83" s="1756"/>
      <c r="GL83" s="1756"/>
      <c r="GM83" s="1756"/>
      <c r="GN83" s="1756"/>
      <c r="GO83" s="1756"/>
      <c r="GP83" s="1756"/>
      <c r="GQ83" s="1756"/>
      <c r="GR83" s="1756"/>
      <c r="GS83" s="1756"/>
      <c r="GT83" s="1757"/>
      <c r="GU83" s="1757"/>
      <c r="GV83" s="1757"/>
      <c r="GW83" s="1757"/>
      <c r="GX83" s="1757"/>
      <c r="GY83" s="1757"/>
      <c r="GZ83" s="1757"/>
      <c r="HA83" s="1757"/>
      <c r="HB83" s="1757"/>
      <c r="HC83" s="1757"/>
      <c r="HD83" s="1757"/>
      <c r="HE83" s="1757"/>
      <c r="HF83" s="1758"/>
      <c r="HG83" s="1759"/>
      <c r="HH83" s="1759"/>
      <c r="HI83" s="1759"/>
      <c r="HJ83" s="1759"/>
      <c r="HK83" s="1759"/>
      <c r="HL83" s="1759"/>
      <c r="HM83" s="1759"/>
      <c r="HN83" s="1759"/>
      <c r="HO83" s="1759"/>
      <c r="HP83" s="1759"/>
      <c r="HQ83" s="1760"/>
      <c r="HR83" s="1761"/>
      <c r="HS83" s="1761"/>
      <c r="HT83" s="1761"/>
      <c r="HU83" s="1761"/>
      <c r="HV83" s="1761"/>
      <c r="HW83" s="1761"/>
      <c r="HX83" s="1761"/>
      <c r="HY83" s="1761"/>
      <c r="HZ83" s="1761"/>
      <c r="IA83" s="1761"/>
      <c r="IB83" s="1761"/>
      <c r="IC83" s="1761"/>
      <c r="ID83" s="1762"/>
      <c r="IE83" s="1763"/>
      <c r="IF83" s="1763"/>
      <c r="IG83" s="1763"/>
      <c r="IH83" s="1763"/>
      <c r="II83" s="1763"/>
      <c r="IJ83" s="1763"/>
      <c r="IK83" s="1763"/>
      <c r="IL83" s="1763"/>
      <c r="IM83" s="1763"/>
      <c r="IN83" s="1764"/>
    </row>
    <row r="84" spans="1:249" ht="36.75" customHeight="1">
      <c r="A84" s="1769">
        <v>37</v>
      </c>
      <c r="B84" s="1769"/>
      <c r="C84" s="1769"/>
      <c r="D84" s="1769"/>
      <c r="E84" s="1769"/>
      <c r="F84" s="1769"/>
      <c r="G84" s="1769"/>
      <c r="H84" s="1769"/>
      <c r="I84" s="1769"/>
      <c r="J84" s="1769"/>
      <c r="K84" s="1770" t="s">
        <v>858</v>
      </c>
      <c r="L84" s="1771"/>
      <c r="M84" s="1771"/>
      <c r="N84" s="1771"/>
      <c r="O84" s="1771"/>
      <c r="P84" s="1771"/>
      <c r="Q84" s="1771"/>
      <c r="R84" s="1771"/>
      <c r="S84" s="1771"/>
      <c r="T84" s="1771"/>
      <c r="U84" s="1771"/>
      <c r="V84" s="1771"/>
      <c r="W84" s="1771"/>
      <c r="X84" s="1771"/>
      <c r="Y84" s="1771"/>
      <c r="Z84" s="1771"/>
      <c r="AA84" s="1771"/>
      <c r="AB84" s="1771"/>
      <c r="AC84" s="1771"/>
      <c r="AD84" s="1771"/>
      <c r="AE84" s="1771"/>
      <c r="AF84" s="1772"/>
      <c r="AG84" s="1773">
        <v>1001010846</v>
      </c>
      <c r="AH84" s="1774"/>
      <c r="AI84" s="1774"/>
      <c r="AJ84" s="1774"/>
      <c r="AK84" s="1774"/>
      <c r="AL84" s="1774"/>
      <c r="AM84" s="1774"/>
      <c r="AN84" s="1774"/>
      <c r="AO84" s="1774"/>
      <c r="AP84" s="1774"/>
      <c r="AQ84" s="1774"/>
      <c r="AR84" s="1774"/>
      <c r="AS84" s="1774"/>
      <c r="AT84" s="1775"/>
      <c r="AU84" s="1773" t="s">
        <v>770</v>
      </c>
      <c r="AV84" s="1774"/>
      <c r="AW84" s="1774"/>
      <c r="AX84" s="1774"/>
      <c r="AY84" s="1774"/>
      <c r="AZ84" s="1774"/>
      <c r="BA84" s="1774"/>
      <c r="BB84" s="1774"/>
      <c r="BC84" s="1774"/>
      <c r="BD84" s="1774"/>
      <c r="BE84" s="1774"/>
      <c r="BF84" s="1775"/>
      <c r="BG84" s="1765" t="s">
        <v>859</v>
      </c>
      <c r="BH84" s="1766"/>
      <c r="BI84" s="1766"/>
      <c r="BJ84" s="1766"/>
      <c r="BK84" s="1766"/>
      <c r="BL84" s="1766"/>
      <c r="BM84" s="1766"/>
      <c r="BN84" s="1766"/>
      <c r="BO84" s="1766"/>
      <c r="BP84" s="1766"/>
      <c r="BQ84" s="1766"/>
      <c r="BR84" s="1766"/>
      <c r="BS84" s="1766"/>
      <c r="BT84" s="1766"/>
      <c r="BU84" s="1766"/>
      <c r="BV84" s="1766"/>
      <c r="BW84" s="1766"/>
      <c r="BX84" s="1767"/>
      <c r="BY84" s="1765" t="s">
        <v>777</v>
      </c>
      <c r="BZ84" s="1766"/>
      <c r="CA84" s="1766"/>
      <c r="CB84" s="1766"/>
      <c r="CC84" s="1766"/>
      <c r="CD84" s="1766"/>
      <c r="CE84" s="1766"/>
      <c r="CF84" s="1766"/>
      <c r="CG84" s="1766"/>
      <c r="CH84" s="1766"/>
      <c r="CI84" s="1766"/>
      <c r="CJ84" s="1766"/>
      <c r="CK84" s="1766"/>
      <c r="CL84" s="1766"/>
      <c r="CM84" s="1766"/>
      <c r="CN84" s="1766"/>
      <c r="CO84" s="1766"/>
      <c r="CP84" s="1767"/>
      <c r="CQ84" s="1762">
        <v>0</v>
      </c>
      <c r="CR84" s="1763"/>
      <c r="CS84" s="1763"/>
      <c r="CT84" s="1763"/>
      <c r="CU84" s="1763"/>
      <c r="CV84" s="1763"/>
      <c r="CW84" s="1763"/>
      <c r="CX84" s="1763"/>
      <c r="CY84" s="1763"/>
      <c r="CZ84" s="1763"/>
      <c r="DA84" s="1763"/>
      <c r="DB84" s="1763"/>
      <c r="DC84" s="1763"/>
      <c r="DD84" s="1763"/>
      <c r="DE84" s="1763"/>
      <c r="DF84" s="1763"/>
      <c r="DG84" s="1763"/>
      <c r="DH84" s="1764"/>
      <c r="DI84" s="1753">
        <v>1</v>
      </c>
      <c r="DJ84" s="1754"/>
      <c r="DK84" s="1754"/>
      <c r="DL84" s="1754"/>
      <c r="DM84" s="1754"/>
      <c r="DN84" s="1754"/>
      <c r="DO84" s="1754"/>
      <c r="DP84" s="1754"/>
      <c r="DQ84" s="1754"/>
      <c r="DR84" s="1754"/>
      <c r="DS84" s="1754"/>
      <c r="DT84" s="1754"/>
      <c r="DU84" s="1754"/>
      <c r="DV84" s="1754"/>
      <c r="DW84" s="1754"/>
      <c r="DX84" s="1754"/>
      <c r="DY84" s="1754"/>
      <c r="DZ84" s="1755"/>
      <c r="EA84" s="1762">
        <v>0</v>
      </c>
      <c r="EB84" s="1763"/>
      <c r="EC84" s="1763"/>
      <c r="ED84" s="1763"/>
      <c r="EE84" s="1763"/>
      <c r="EF84" s="1763"/>
      <c r="EG84" s="1763"/>
      <c r="EH84" s="1763"/>
      <c r="EI84" s="1763"/>
      <c r="EJ84" s="1763"/>
      <c r="EK84" s="1763"/>
      <c r="EL84" s="1763"/>
      <c r="EM84" s="1763"/>
      <c r="EN84" s="1763"/>
      <c r="EO84" s="1763"/>
      <c r="EP84" s="1763"/>
      <c r="EQ84" s="1763"/>
      <c r="ER84" s="1763"/>
      <c r="ES84" s="1764"/>
      <c r="ET84" s="2288" t="str">
        <f>BG84</f>
        <v>2421443</v>
      </c>
      <c r="EU84" s="2288" t="str">
        <f>BY84</f>
        <v>ПК</v>
      </c>
      <c r="EV84" s="524">
        <f>CQ84</f>
        <v>0</v>
      </c>
      <c r="EW84" s="494">
        <v>1</v>
      </c>
      <c r="EX84" s="495">
        <v>0</v>
      </c>
      <c r="EY84" s="1768"/>
      <c r="EZ84" s="1768"/>
      <c r="FA84" s="1768"/>
      <c r="FB84" s="1768"/>
      <c r="FC84" s="1768"/>
      <c r="FD84" s="1768"/>
      <c r="FE84" s="1768"/>
      <c r="FF84" s="1768"/>
      <c r="FG84" s="1768"/>
      <c r="FH84" s="1768"/>
      <c r="FI84" s="1768"/>
      <c r="FJ84" s="1758"/>
      <c r="FK84" s="1759"/>
      <c r="FL84" s="1759"/>
      <c r="FM84" s="1759"/>
      <c r="FN84" s="1759"/>
      <c r="FO84" s="1759"/>
      <c r="FP84" s="1759"/>
      <c r="FQ84" s="1759"/>
      <c r="FR84" s="1759"/>
      <c r="FS84" s="1759"/>
      <c r="FT84" s="1759"/>
      <c r="FU84" s="1760"/>
      <c r="FV84" s="1753"/>
      <c r="FW84" s="1754"/>
      <c r="FX84" s="1754"/>
      <c r="FY84" s="1754"/>
      <c r="FZ84" s="1754"/>
      <c r="GA84" s="1754"/>
      <c r="GB84" s="1754"/>
      <c r="GC84" s="1754"/>
      <c r="GD84" s="1754"/>
      <c r="GE84" s="1754"/>
      <c r="GF84" s="1754"/>
      <c r="GG84" s="1755"/>
      <c r="GH84" s="1756"/>
      <c r="GI84" s="1756"/>
      <c r="GJ84" s="1756"/>
      <c r="GK84" s="1756"/>
      <c r="GL84" s="1756"/>
      <c r="GM84" s="1756"/>
      <c r="GN84" s="1756"/>
      <c r="GO84" s="1756"/>
      <c r="GP84" s="1756"/>
      <c r="GQ84" s="1756"/>
      <c r="GR84" s="1756"/>
      <c r="GS84" s="1756"/>
      <c r="GT84" s="1757"/>
      <c r="GU84" s="1757"/>
      <c r="GV84" s="1757"/>
      <c r="GW84" s="1757"/>
      <c r="GX84" s="1757"/>
      <c r="GY84" s="1757"/>
      <c r="GZ84" s="1757"/>
      <c r="HA84" s="1757"/>
      <c r="HB84" s="1757"/>
      <c r="HC84" s="1757"/>
      <c r="HD84" s="1757"/>
      <c r="HE84" s="1757"/>
      <c r="HF84" s="1758"/>
      <c r="HG84" s="1759"/>
      <c r="HH84" s="1759"/>
      <c r="HI84" s="1759"/>
      <c r="HJ84" s="1759"/>
      <c r="HK84" s="1759"/>
      <c r="HL84" s="1759"/>
      <c r="HM84" s="1759"/>
      <c r="HN84" s="1759"/>
      <c r="HO84" s="1759"/>
      <c r="HP84" s="1759"/>
      <c r="HQ84" s="1760"/>
      <c r="HR84" s="1761"/>
      <c r="HS84" s="1761"/>
      <c r="HT84" s="1761"/>
      <c r="HU84" s="1761"/>
      <c r="HV84" s="1761"/>
      <c r="HW84" s="1761"/>
      <c r="HX84" s="1761"/>
      <c r="HY84" s="1761"/>
      <c r="HZ84" s="1761"/>
      <c r="IA84" s="1761"/>
      <c r="IB84" s="1761"/>
      <c r="IC84" s="1761"/>
      <c r="ID84" s="1762"/>
      <c r="IE84" s="1763"/>
      <c r="IF84" s="1763"/>
      <c r="IG84" s="1763"/>
      <c r="IH84" s="1763"/>
      <c r="II84" s="1763"/>
      <c r="IJ84" s="1763"/>
      <c r="IK84" s="1763"/>
      <c r="IL84" s="1763"/>
      <c r="IM84" s="1763"/>
      <c r="IN84" s="1764"/>
    </row>
    <row r="85" spans="1:249" ht="36.75" customHeight="1">
      <c r="A85" s="1769">
        <v>38</v>
      </c>
      <c r="B85" s="1769"/>
      <c r="C85" s="1769"/>
      <c r="D85" s="1769"/>
      <c r="E85" s="1769"/>
      <c r="F85" s="1769"/>
      <c r="G85" s="1769"/>
      <c r="H85" s="1769"/>
      <c r="I85" s="1769"/>
      <c r="J85" s="1769"/>
      <c r="K85" s="1770" t="s">
        <v>861</v>
      </c>
      <c r="L85" s="1771"/>
      <c r="M85" s="1771"/>
      <c r="N85" s="1771"/>
      <c r="O85" s="1771"/>
      <c r="P85" s="1771"/>
      <c r="Q85" s="1771"/>
      <c r="R85" s="1771"/>
      <c r="S85" s="1771"/>
      <c r="T85" s="1771"/>
      <c r="U85" s="1771"/>
      <c r="V85" s="1771"/>
      <c r="W85" s="1771"/>
      <c r="X85" s="1771"/>
      <c r="Y85" s="1771"/>
      <c r="Z85" s="1771"/>
      <c r="AA85" s="1771"/>
      <c r="AB85" s="1771"/>
      <c r="AC85" s="1771"/>
      <c r="AD85" s="1771"/>
      <c r="AE85" s="1771"/>
      <c r="AF85" s="1772"/>
      <c r="AG85" s="1773">
        <v>1001010848</v>
      </c>
      <c r="AH85" s="1774"/>
      <c r="AI85" s="1774"/>
      <c r="AJ85" s="1774"/>
      <c r="AK85" s="1774"/>
      <c r="AL85" s="1774"/>
      <c r="AM85" s="1774"/>
      <c r="AN85" s="1774"/>
      <c r="AO85" s="1774"/>
      <c r="AP85" s="1774"/>
      <c r="AQ85" s="1774"/>
      <c r="AR85" s="1774"/>
      <c r="AS85" s="1774"/>
      <c r="AT85" s="1775"/>
      <c r="AU85" s="1773" t="s">
        <v>770</v>
      </c>
      <c r="AV85" s="1774"/>
      <c r="AW85" s="1774"/>
      <c r="AX85" s="1774"/>
      <c r="AY85" s="1774"/>
      <c r="AZ85" s="1774"/>
      <c r="BA85" s="1774"/>
      <c r="BB85" s="1774"/>
      <c r="BC85" s="1774"/>
      <c r="BD85" s="1774"/>
      <c r="BE85" s="1774"/>
      <c r="BF85" s="1775"/>
      <c r="BG85" s="1765" t="s">
        <v>862</v>
      </c>
      <c r="BH85" s="1766"/>
      <c r="BI85" s="1766"/>
      <c r="BJ85" s="1766"/>
      <c r="BK85" s="1766"/>
      <c r="BL85" s="1766"/>
      <c r="BM85" s="1766"/>
      <c r="BN85" s="1766"/>
      <c r="BO85" s="1766"/>
      <c r="BP85" s="1766"/>
      <c r="BQ85" s="1766"/>
      <c r="BR85" s="1766"/>
      <c r="BS85" s="1766"/>
      <c r="BT85" s="1766"/>
      <c r="BU85" s="1766"/>
      <c r="BV85" s="1766"/>
      <c r="BW85" s="1766"/>
      <c r="BX85" s="1767"/>
      <c r="BY85" s="1765" t="s">
        <v>777</v>
      </c>
      <c r="BZ85" s="1766"/>
      <c r="CA85" s="1766"/>
      <c r="CB85" s="1766"/>
      <c r="CC85" s="1766"/>
      <c r="CD85" s="1766"/>
      <c r="CE85" s="1766"/>
      <c r="CF85" s="1766"/>
      <c r="CG85" s="1766"/>
      <c r="CH85" s="1766"/>
      <c r="CI85" s="1766"/>
      <c r="CJ85" s="1766"/>
      <c r="CK85" s="1766"/>
      <c r="CL85" s="1766"/>
      <c r="CM85" s="1766"/>
      <c r="CN85" s="1766"/>
      <c r="CO85" s="1766"/>
      <c r="CP85" s="1767"/>
      <c r="CQ85" s="1762">
        <v>1.23</v>
      </c>
      <c r="CR85" s="1763"/>
      <c r="CS85" s="1763"/>
      <c r="CT85" s="1763"/>
      <c r="CU85" s="1763"/>
      <c r="CV85" s="1763"/>
      <c r="CW85" s="1763"/>
      <c r="CX85" s="1763"/>
      <c r="CY85" s="1763"/>
      <c r="CZ85" s="1763"/>
      <c r="DA85" s="1763"/>
      <c r="DB85" s="1763"/>
      <c r="DC85" s="1763"/>
      <c r="DD85" s="1763"/>
      <c r="DE85" s="1763"/>
      <c r="DF85" s="1763"/>
      <c r="DG85" s="1763"/>
      <c r="DH85" s="1764"/>
      <c r="DI85" s="1753">
        <v>1</v>
      </c>
      <c r="DJ85" s="1754"/>
      <c r="DK85" s="1754"/>
      <c r="DL85" s="1754"/>
      <c r="DM85" s="1754"/>
      <c r="DN85" s="1754"/>
      <c r="DO85" s="1754"/>
      <c r="DP85" s="1754"/>
      <c r="DQ85" s="1754"/>
      <c r="DR85" s="1754"/>
      <c r="DS85" s="1754"/>
      <c r="DT85" s="1754"/>
      <c r="DU85" s="1754"/>
      <c r="DV85" s="1754"/>
      <c r="DW85" s="1754"/>
      <c r="DX85" s="1754"/>
      <c r="DY85" s="1754"/>
      <c r="DZ85" s="1755"/>
      <c r="EA85" s="1762">
        <v>1.23</v>
      </c>
      <c r="EB85" s="1763"/>
      <c r="EC85" s="1763"/>
      <c r="ED85" s="1763"/>
      <c r="EE85" s="1763"/>
      <c r="EF85" s="1763"/>
      <c r="EG85" s="1763"/>
      <c r="EH85" s="1763"/>
      <c r="EI85" s="1763"/>
      <c r="EJ85" s="1763"/>
      <c r="EK85" s="1763"/>
      <c r="EL85" s="1763"/>
      <c r="EM85" s="1763"/>
      <c r="EN85" s="1763"/>
      <c r="EO85" s="1763"/>
      <c r="EP85" s="1763"/>
      <c r="EQ85" s="1763"/>
      <c r="ER85" s="1763"/>
      <c r="ES85" s="1764"/>
      <c r="ET85" s="2288" t="str">
        <f>BG85</f>
        <v>2959797</v>
      </c>
      <c r="EU85" s="2288" t="str">
        <f>BY85</f>
        <v>ПК</v>
      </c>
      <c r="EV85" s="524">
        <f>CQ85</f>
        <v>1.23</v>
      </c>
      <c r="EW85" s="494">
        <v>1</v>
      </c>
      <c r="EX85" s="495">
        <v>1.23</v>
      </c>
      <c r="EY85" s="1768"/>
      <c r="EZ85" s="1768"/>
      <c r="FA85" s="1768"/>
      <c r="FB85" s="1768"/>
      <c r="FC85" s="1768"/>
      <c r="FD85" s="1768"/>
      <c r="FE85" s="1768"/>
      <c r="FF85" s="1768"/>
      <c r="FG85" s="1768"/>
      <c r="FH85" s="1768"/>
      <c r="FI85" s="1768"/>
      <c r="FJ85" s="1758"/>
      <c r="FK85" s="1759"/>
      <c r="FL85" s="1759"/>
      <c r="FM85" s="1759"/>
      <c r="FN85" s="1759"/>
      <c r="FO85" s="1759"/>
      <c r="FP85" s="1759"/>
      <c r="FQ85" s="1759"/>
      <c r="FR85" s="1759"/>
      <c r="FS85" s="1759"/>
      <c r="FT85" s="1759"/>
      <c r="FU85" s="1760"/>
      <c r="FV85" s="1753"/>
      <c r="FW85" s="1754"/>
      <c r="FX85" s="1754"/>
      <c r="FY85" s="1754"/>
      <c r="FZ85" s="1754"/>
      <c r="GA85" s="1754"/>
      <c r="GB85" s="1754"/>
      <c r="GC85" s="1754"/>
      <c r="GD85" s="1754"/>
      <c r="GE85" s="1754"/>
      <c r="GF85" s="1754"/>
      <c r="GG85" s="1755"/>
      <c r="GH85" s="1756"/>
      <c r="GI85" s="1756"/>
      <c r="GJ85" s="1756"/>
      <c r="GK85" s="1756"/>
      <c r="GL85" s="1756"/>
      <c r="GM85" s="1756"/>
      <c r="GN85" s="1756"/>
      <c r="GO85" s="1756"/>
      <c r="GP85" s="1756"/>
      <c r="GQ85" s="1756"/>
      <c r="GR85" s="1756"/>
      <c r="GS85" s="1756"/>
      <c r="GT85" s="1757"/>
      <c r="GU85" s="1757"/>
      <c r="GV85" s="1757"/>
      <c r="GW85" s="1757"/>
      <c r="GX85" s="1757"/>
      <c r="GY85" s="1757"/>
      <c r="GZ85" s="1757"/>
      <c r="HA85" s="1757"/>
      <c r="HB85" s="1757"/>
      <c r="HC85" s="1757"/>
      <c r="HD85" s="1757"/>
      <c r="HE85" s="1757"/>
      <c r="HF85" s="1758"/>
      <c r="HG85" s="1759"/>
      <c r="HH85" s="1759"/>
      <c r="HI85" s="1759"/>
      <c r="HJ85" s="1759"/>
      <c r="HK85" s="1759"/>
      <c r="HL85" s="1759"/>
      <c r="HM85" s="1759"/>
      <c r="HN85" s="1759"/>
      <c r="HO85" s="1759"/>
      <c r="HP85" s="1759"/>
      <c r="HQ85" s="1760"/>
      <c r="HR85" s="1761"/>
      <c r="HS85" s="1761"/>
      <c r="HT85" s="1761"/>
      <c r="HU85" s="1761"/>
      <c r="HV85" s="1761"/>
      <c r="HW85" s="1761"/>
      <c r="HX85" s="1761"/>
      <c r="HY85" s="1761"/>
      <c r="HZ85" s="1761"/>
      <c r="IA85" s="1761"/>
      <c r="IB85" s="1761"/>
      <c r="IC85" s="1761"/>
      <c r="ID85" s="1762"/>
      <c r="IE85" s="1763"/>
      <c r="IF85" s="1763"/>
      <c r="IG85" s="1763"/>
      <c r="IH85" s="1763"/>
      <c r="II85" s="1763"/>
      <c r="IJ85" s="1763"/>
      <c r="IK85" s="1763"/>
      <c r="IL85" s="1763"/>
      <c r="IM85" s="1763"/>
      <c r="IN85" s="1764"/>
    </row>
    <row r="86" spans="1:249" ht="36.75" customHeight="1">
      <c r="A86" s="1769">
        <v>39</v>
      </c>
      <c r="B86" s="1769"/>
      <c r="C86" s="1769"/>
      <c r="D86" s="1769"/>
      <c r="E86" s="1769"/>
      <c r="F86" s="1769"/>
      <c r="G86" s="1769"/>
      <c r="H86" s="1769"/>
      <c r="I86" s="1769"/>
      <c r="J86" s="1769"/>
      <c r="K86" s="1770" t="s">
        <v>864</v>
      </c>
      <c r="L86" s="1771"/>
      <c r="M86" s="1771"/>
      <c r="N86" s="1771"/>
      <c r="O86" s="1771"/>
      <c r="P86" s="1771"/>
      <c r="Q86" s="1771"/>
      <c r="R86" s="1771"/>
      <c r="S86" s="1771"/>
      <c r="T86" s="1771"/>
      <c r="U86" s="1771"/>
      <c r="V86" s="1771"/>
      <c r="W86" s="1771"/>
      <c r="X86" s="1771"/>
      <c r="Y86" s="1771"/>
      <c r="Z86" s="1771"/>
      <c r="AA86" s="1771"/>
      <c r="AB86" s="1771"/>
      <c r="AC86" s="1771"/>
      <c r="AD86" s="1771"/>
      <c r="AE86" s="1771"/>
      <c r="AF86" s="1772"/>
      <c r="AG86" s="1773">
        <v>1001010847</v>
      </c>
      <c r="AH86" s="1774"/>
      <c r="AI86" s="1774"/>
      <c r="AJ86" s="1774"/>
      <c r="AK86" s="1774"/>
      <c r="AL86" s="1774"/>
      <c r="AM86" s="1774"/>
      <c r="AN86" s="1774"/>
      <c r="AO86" s="1774"/>
      <c r="AP86" s="1774"/>
      <c r="AQ86" s="1774"/>
      <c r="AR86" s="1774"/>
      <c r="AS86" s="1774"/>
      <c r="AT86" s="1775"/>
      <c r="AU86" s="1773" t="s">
        <v>770</v>
      </c>
      <c r="AV86" s="1774"/>
      <c r="AW86" s="1774"/>
      <c r="AX86" s="1774"/>
      <c r="AY86" s="1774"/>
      <c r="AZ86" s="1774"/>
      <c r="BA86" s="1774"/>
      <c r="BB86" s="1774"/>
      <c r="BC86" s="1774"/>
      <c r="BD86" s="1774"/>
      <c r="BE86" s="1774"/>
      <c r="BF86" s="1775"/>
      <c r="BG86" s="1765" t="s">
        <v>865</v>
      </c>
      <c r="BH86" s="1766"/>
      <c r="BI86" s="1766"/>
      <c r="BJ86" s="1766"/>
      <c r="BK86" s="1766"/>
      <c r="BL86" s="1766"/>
      <c r="BM86" s="1766"/>
      <c r="BN86" s="1766"/>
      <c r="BO86" s="1766"/>
      <c r="BP86" s="1766"/>
      <c r="BQ86" s="1766"/>
      <c r="BR86" s="1766"/>
      <c r="BS86" s="1766"/>
      <c r="BT86" s="1766"/>
      <c r="BU86" s="1766"/>
      <c r="BV86" s="1766"/>
      <c r="BW86" s="1766"/>
      <c r="BX86" s="1767"/>
      <c r="BY86" s="1765" t="s">
        <v>777</v>
      </c>
      <c r="BZ86" s="1766"/>
      <c r="CA86" s="1766"/>
      <c r="CB86" s="1766"/>
      <c r="CC86" s="1766"/>
      <c r="CD86" s="1766"/>
      <c r="CE86" s="1766"/>
      <c r="CF86" s="1766"/>
      <c r="CG86" s="1766"/>
      <c r="CH86" s="1766"/>
      <c r="CI86" s="1766"/>
      <c r="CJ86" s="1766"/>
      <c r="CK86" s="1766"/>
      <c r="CL86" s="1766"/>
      <c r="CM86" s="1766"/>
      <c r="CN86" s="1766"/>
      <c r="CO86" s="1766"/>
      <c r="CP86" s="1767"/>
      <c r="CQ86" s="1762">
        <v>1.23</v>
      </c>
      <c r="CR86" s="1763"/>
      <c r="CS86" s="1763"/>
      <c r="CT86" s="1763"/>
      <c r="CU86" s="1763"/>
      <c r="CV86" s="1763"/>
      <c r="CW86" s="1763"/>
      <c r="CX86" s="1763"/>
      <c r="CY86" s="1763"/>
      <c r="CZ86" s="1763"/>
      <c r="DA86" s="1763"/>
      <c r="DB86" s="1763"/>
      <c r="DC86" s="1763"/>
      <c r="DD86" s="1763"/>
      <c r="DE86" s="1763"/>
      <c r="DF86" s="1763"/>
      <c r="DG86" s="1763"/>
      <c r="DH86" s="1764"/>
      <c r="DI86" s="1753">
        <v>1</v>
      </c>
      <c r="DJ86" s="1754"/>
      <c r="DK86" s="1754"/>
      <c r="DL86" s="1754"/>
      <c r="DM86" s="1754"/>
      <c r="DN86" s="1754"/>
      <c r="DO86" s="1754"/>
      <c r="DP86" s="1754"/>
      <c r="DQ86" s="1754"/>
      <c r="DR86" s="1754"/>
      <c r="DS86" s="1754"/>
      <c r="DT86" s="1754"/>
      <c r="DU86" s="1754"/>
      <c r="DV86" s="1754"/>
      <c r="DW86" s="1754"/>
      <c r="DX86" s="1754"/>
      <c r="DY86" s="1754"/>
      <c r="DZ86" s="1755"/>
      <c r="EA86" s="1762">
        <v>1.23</v>
      </c>
      <c r="EB86" s="1763"/>
      <c r="EC86" s="1763"/>
      <c r="ED86" s="1763"/>
      <c r="EE86" s="1763"/>
      <c r="EF86" s="1763"/>
      <c r="EG86" s="1763"/>
      <c r="EH86" s="1763"/>
      <c r="EI86" s="1763"/>
      <c r="EJ86" s="1763"/>
      <c r="EK86" s="1763"/>
      <c r="EL86" s="1763"/>
      <c r="EM86" s="1763"/>
      <c r="EN86" s="1763"/>
      <c r="EO86" s="1763"/>
      <c r="EP86" s="1763"/>
      <c r="EQ86" s="1763"/>
      <c r="ER86" s="1763"/>
      <c r="ES86" s="1764"/>
      <c r="ET86" s="2288" t="str">
        <f>BG86</f>
        <v>2959798</v>
      </c>
      <c r="EU86" s="2288" t="str">
        <f>BY86</f>
        <v>ПК</v>
      </c>
      <c r="EV86" s="524">
        <f>CQ86</f>
        <v>1.23</v>
      </c>
      <c r="EW86" s="494">
        <v>1</v>
      </c>
      <c r="EX86" s="495">
        <v>1.23</v>
      </c>
      <c r="EY86" s="1768"/>
      <c r="EZ86" s="1768"/>
      <c r="FA86" s="1768"/>
      <c r="FB86" s="1768"/>
      <c r="FC86" s="1768"/>
      <c r="FD86" s="1768"/>
      <c r="FE86" s="1768"/>
      <c r="FF86" s="1768"/>
      <c r="FG86" s="1768"/>
      <c r="FH86" s="1768"/>
      <c r="FI86" s="1768"/>
      <c r="FJ86" s="1758"/>
      <c r="FK86" s="1759"/>
      <c r="FL86" s="1759"/>
      <c r="FM86" s="1759"/>
      <c r="FN86" s="1759"/>
      <c r="FO86" s="1759"/>
      <c r="FP86" s="1759"/>
      <c r="FQ86" s="1759"/>
      <c r="FR86" s="1759"/>
      <c r="FS86" s="1759"/>
      <c r="FT86" s="1759"/>
      <c r="FU86" s="1760"/>
      <c r="FV86" s="1753"/>
      <c r="FW86" s="1754"/>
      <c r="FX86" s="1754"/>
      <c r="FY86" s="1754"/>
      <c r="FZ86" s="1754"/>
      <c r="GA86" s="1754"/>
      <c r="GB86" s="1754"/>
      <c r="GC86" s="1754"/>
      <c r="GD86" s="1754"/>
      <c r="GE86" s="1754"/>
      <c r="GF86" s="1754"/>
      <c r="GG86" s="1755"/>
      <c r="GH86" s="1756"/>
      <c r="GI86" s="1756"/>
      <c r="GJ86" s="1756"/>
      <c r="GK86" s="1756"/>
      <c r="GL86" s="1756"/>
      <c r="GM86" s="1756"/>
      <c r="GN86" s="1756"/>
      <c r="GO86" s="1756"/>
      <c r="GP86" s="1756"/>
      <c r="GQ86" s="1756"/>
      <c r="GR86" s="1756"/>
      <c r="GS86" s="1756"/>
      <c r="GT86" s="1757"/>
      <c r="GU86" s="1757"/>
      <c r="GV86" s="1757"/>
      <c r="GW86" s="1757"/>
      <c r="GX86" s="1757"/>
      <c r="GY86" s="1757"/>
      <c r="GZ86" s="1757"/>
      <c r="HA86" s="1757"/>
      <c r="HB86" s="1757"/>
      <c r="HC86" s="1757"/>
      <c r="HD86" s="1757"/>
      <c r="HE86" s="1757"/>
      <c r="HF86" s="1758"/>
      <c r="HG86" s="1759"/>
      <c r="HH86" s="1759"/>
      <c r="HI86" s="1759"/>
      <c r="HJ86" s="1759"/>
      <c r="HK86" s="1759"/>
      <c r="HL86" s="1759"/>
      <c r="HM86" s="1759"/>
      <c r="HN86" s="1759"/>
      <c r="HO86" s="1759"/>
      <c r="HP86" s="1759"/>
      <c r="HQ86" s="1760"/>
      <c r="HR86" s="1761"/>
      <c r="HS86" s="1761"/>
      <c r="HT86" s="1761"/>
      <c r="HU86" s="1761"/>
      <c r="HV86" s="1761"/>
      <c r="HW86" s="1761"/>
      <c r="HX86" s="1761"/>
      <c r="HY86" s="1761"/>
      <c r="HZ86" s="1761"/>
      <c r="IA86" s="1761"/>
      <c r="IB86" s="1761"/>
      <c r="IC86" s="1761"/>
      <c r="ID86" s="1762"/>
      <c r="IE86" s="1763"/>
      <c r="IF86" s="1763"/>
      <c r="IG86" s="1763"/>
      <c r="IH86" s="1763"/>
      <c r="II86" s="1763"/>
      <c r="IJ86" s="1763"/>
      <c r="IK86" s="1763"/>
      <c r="IL86" s="1763"/>
      <c r="IM86" s="1763"/>
      <c r="IN86" s="1764"/>
    </row>
    <row r="87" spans="1:249" ht="36.75" customHeight="1">
      <c r="A87" s="1769">
        <v>40</v>
      </c>
      <c r="B87" s="1769"/>
      <c r="C87" s="1769"/>
      <c r="D87" s="1769"/>
      <c r="E87" s="1769"/>
      <c r="F87" s="1769"/>
      <c r="G87" s="1769"/>
      <c r="H87" s="1769"/>
      <c r="I87" s="1769"/>
      <c r="J87" s="1769"/>
      <c r="K87" s="1770" t="s">
        <v>867</v>
      </c>
      <c r="L87" s="1771"/>
      <c r="M87" s="1771"/>
      <c r="N87" s="1771"/>
      <c r="O87" s="1771"/>
      <c r="P87" s="1771"/>
      <c r="Q87" s="1771"/>
      <c r="R87" s="1771"/>
      <c r="S87" s="1771"/>
      <c r="T87" s="1771"/>
      <c r="U87" s="1771"/>
      <c r="V87" s="1771"/>
      <c r="W87" s="1771"/>
      <c r="X87" s="1771"/>
      <c r="Y87" s="1771"/>
      <c r="Z87" s="1771"/>
      <c r="AA87" s="1771"/>
      <c r="AB87" s="1771"/>
      <c r="AC87" s="1771"/>
      <c r="AD87" s="1771"/>
      <c r="AE87" s="1771"/>
      <c r="AF87" s="1772"/>
      <c r="AG87" s="1773">
        <v>1001010842</v>
      </c>
      <c r="AH87" s="1774"/>
      <c r="AI87" s="1774"/>
      <c r="AJ87" s="1774"/>
      <c r="AK87" s="1774"/>
      <c r="AL87" s="1774"/>
      <c r="AM87" s="1774"/>
      <c r="AN87" s="1774"/>
      <c r="AO87" s="1774"/>
      <c r="AP87" s="1774"/>
      <c r="AQ87" s="1774"/>
      <c r="AR87" s="1774"/>
      <c r="AS87" s="1774"/>
      <c r="AT87" s="1775"/>
      <c r="AU87" s="1773" t="s">
        <v>770</v>
      </c>
      <c r="AV87" s="1774"/>
      <c r="AW87" s="1774"/>
      <c r="AX87" s="1774"/>
      <c r="AY87" s="1774"/>
      <c r="AZ87" s="1774"/>
      <c r="BA87" s="1774"/>
      <c r="BB87" s="1774"/>
      <c r="BC87" s="1774"/>
      <c r="BD87" s="1774"/>
      <c r="BE87" s="1774"/>
      <c r="BF87" s="1775"/>
      <c r="BG87" s="1765" t="s">
        <v>868</v>
      </c>
      <c r="BH87" s="1766"/>
      <c r="BI87" s="1766"/>
      <c r="BJ87" s="1766"/>
      <c r="BK87" s="1766"/>
      <c r="BL87" s="1766"/>
      <c r="BM87" s="1766"/>
      <c r="BN87" s="1766"/>
      <c r="BO87" s="1766"/>
      <c r="BP87" s="1766"/>
      <c r="BQ87" s="1766"/>
      <c r="BR87" s="1766"/>
      <c r="BS87" s="1766"/>
      <c r="BT87" s="1766"/>
      <c r="BU87" s="1766"/>
      <c r="BV87" s="1766"/>
      <c r="BW87" s="1766"/>
      <c r="BX87" s="1767"/>
      <c r="BY87" s="1765" t="s">
        <v>777</v>
      </c>
      <c r="BZ87" s="1766"/>
      <c r="CA87" s="1766"/>
      <c r="CB87" s="1766"/>
      <c r="CC87" s="1766"/>
      <c r="CD87" s="1766"/>
      <c r="CE87" s="1766"/>
      <c r="CF87" s="1766"/>
      <c r="CG87" s="1766"/>
      <c r="CH87" s="1766"/>
      <c r="CI87" s="1766"/>
      <c r="CJ87" s="1766"/>
      <c r="CK87" s="1766"/>
      <c r="CL87" s="1766"/>
      <c r="CM87" s="1766"/>
      <c r="CN87" s="1766"/>
      <c r="CO87" s="1766"/>
      <c r="CP87" s="1767"/>
      <c r="CQ87" s="1762">
        <v>1.23</v>
      </c>
      <c r="CR87" s="1763"/>
      <c r="CS87" s="1763"/>
      <c r="CT87" s="1763"/>
      <c r="CU87" s="1763"/>
      <c r="CV87" s="1763"/>
      <c r="CW87" s="1763"/>
      <c r="CX87" s="1763"/>
      <c r="CY87" s="1763"/>
      <c r="CZ87" s="1763"/>
      <c r="DA87" s="1763"/>
      <c r="DB87" s="1763"/>
      <c r="DC87" s="1763"/>
      <c r="DD87" s="1763"/>
      <c r="DE87" s="1763"/>
      <c r="DF87" s="1763"/>
      <c r="DG87" s="1763"/>
      <c r="DH87" s="1764"/>
      <c r="DI87" s="1753">
        <v>1</v>
      </c>
      <c r="DJ87" s="1754"/>
      <c r="DK87" s="1754"/>
      <c r="DL87" s="1754"/>
      <c r="DM87" s="1754"/>
      <c r="DN87" s="1754"/>
      <c r="DO87" s="1754"/>
      <c r="DP87" s="1754"/>
      <c r="DQ87" s="1754"/>
      <c r="DR87" s="1754"/>
      <c r="DS87" s="1754"/>
      <c r="DT87" s="1754"/>
      <c r="DU87" s="1754"/>
      <c r="DV87" s="1754"/>
      <c r="DW87" s="1754"/>
      <c r="DX87" s="1754"/>
      <c r="DY87" s="1754"/>
      <c r="DZ87" s="1755"/>
      <c r="EA87" s="1762">
        <v>1.23</v>
      </c>
      <c r="EB87" s="1763"/>
      <c r="EC87" s="1763"/>
      <c r="ED87" s="1763"/>
      <c r="EE87" s="1763"/>
      <c r="EF87" s="1763"/>
      <c r="EG87" s="1763"/>
      <c r="EH87" s="1763"/>
      <c r="EI87" s="1763"/>
      <c r="EJ87" s="1763"/>
      <c r="EK87" s="1763"/>
      <c r="EL87" s="1763"/>
      <c r="EM87" s="1763"/>
      <c r="EN87" s="1763"/>
      <c r="EO87" s="1763"/>
      <c r="EP87" s="1763"/>
      <c r="EQ87" s="1763"/>
      <c r="ER87" s="1763"/>
      <c r="ES87" s="1764"/>
      <c r="ET87" s="2288" t="str">
        <f>BG87</f>
        <v>2959799</v>
      </c>
      <c r="EU87" s="2288" t="str">
        <f>BY87</f>
        <v>ПК</v>
      </c>
      <c r="EV87" s="524">
        <f>CQ87</f>
        <v>1.23</v>
      </c>
      <c r="EW87" s="494">
        <v>1</v>
      </c>
      <c r="EX87" s="495">
        <v>1.23</v>
      </c>
      <c r="EY87" s="1768"/>
      <c r="EZ87" s="1768"/>
      <c r="FA87" s="1768"/>
      <c r="FB87" s="1768"/>
      <c r="FC87" s="1768"/>
      <c r="FD87" s="1768"/>
      <c r="FE87" s="1768"/>
      <c r="FF87" s="1768"/>
      <c r="FG87" s="1768"/>
      <c r="FH87" s="1768"/>
      <c r="FI87" s="1768"/>
      <c r="FJ87" s="1758"/>
      <c r="FK87" s="1759"/>
      <c r="FL87" s="1759"/>
      <c r="FM87" s="1759"/>
      <c r="FN87" s="1759"/>
      <c r="FO87" s="1759"/>
      <c r="FP87" s="1759"/>
      <c r="FQ87" s="1759"/>
      <c r="FR87" s="1759"/>
      <c r="FS87" s="1759"/>
      <c r="FT87" s="1759"/>
      <c r="FU87" s="1760"/>
      <c r="FV87" s="1753"/>
      <c r="FW87" s="1754"/>
      <c r="FX87" s="1754"/>
      <c r="FY87" s="1754"/>
      <c r="FZ87" s="1754"/>
      <c r="GA87" s="1754"/>
      <c r="GB87" s="1754"/>
      <c r="GC87" s="1754"/>
      <c r="GD87" s="1754"/>
      <c r="GE87" s="1754"/>
      <c r="GF87" s="1754"/>
      <c r="GG87" s="1755"/>
      <c r="GH87" s="1756"/>
      <c r="GI87" s="1756"/>
      <c r="GJ87" s="1756"/>
      <c r="GK87" s="1756"/>
      <c r="GL87" s="1756"/>
      <c r="GM87" s="1756"/>
      <c r="GN87" s="1756"/>
      <c r="GO87" s="1756"/>
      <c r="GP87" s="1756"/>
      <c r="GQ87" s="1756"/>
      <c r="GR87" s="1756"/>
      <c r="GS87" s="1756"/>
      <c r="GT87" s="1757"/>
      <c r="GU87" s="1757"/>
      <c r="GV87" s="1757"/>
      <c r="GW87" s="1757"/>
      <c r="GX87" s="1757"/>
      <c r="GY87" s="1757"/>
      <c r="GZ87" s="1757"/>
      <c r="HA87" s="1757"/>
      <c r="HB87" s="1757"/>
      <c r="HC87" s="1757"/>
      <c r="HD87" s="1757"/>
      <c r="HE87" s="1757"/>
      <c r="HF87" s="1758"/>
      <c r="HG87" s="1759"/>
      <c r="HH87" s="1759"/>
      <c r="HI87" s="1759"/>
      <c r="HJ87" s="1759"/>
      <c r="HK87" s="1759"/>
      <c r="HL87" s="1759"/>
      <c r="HM87" s="1759"/>
      <c r="HN87" s="1759"/>
      <c r="HO87" s="1759"/>
      <c r="HP87" s="1759"/>
      <c r="HQ87" s="1760"/>
      <c r="HR87" s="1761"/>
      <c r="HS87" s="1761"/>
      <c r="HT87" s="1761"/>
      <c r="HU87" s="1761"/>
      <c r="HV87" s="1761"/>
      <c r="HW87" s="1761"/>
      <c r="HX87" s="1761"/>
      <c r="HY87" s="1761"/>
      <c r="HZ87" s="1761"/>
      <c r="IA87" s="1761"/>
      <c r="IB87" s="1761"/>
      <c r="IC87" s="1761"/>
      <c r="ID87" s="1762"/>
      <c r="IE87" s="1763"/>
      <c r="IF87" s="1763"/>
      <c r="IG87" s="1763"/>
      <c r="IH87" s="1763"/>
      <c r="II87" s="1763"/>
      <c r="IJ87" s="1763"/>
      <c r="IK87" s="1763"/>
      <c r="IL87" s="1763"/>
      <c r="IM87" s="1763"/>
      <c r="IN87" s="1764"/>
    </row>
    <row r="88" spans="1:249" ht="48.75" customHeight="1">
      <c r="A88" s="1769">
        <v>41</v>
      </c>
      <c r="B88" s="1769"/>
      <c r="C88" s="1769"/>
      <c r="D88" s="1769"/>
      <c r="E88" s="1769"/>
      <c r="F88" s="1769"/>
      <c r="G88" s="1769"/>
      <c r="H88" s="1769"/>
      <c r="I88" s="1769"/>
      <c r="J88" s="1769"/>
      <c r="K88" s="1770" t="s">
        <v>870</v>
      </c>
      <c r="L88" s="1771"/>
      <c r="M88" s="1771"/>
      <c r="N88" s="1771"/>
      <c r="O88" s="1771"/>
      <c r="P88" s="1771"/>
      <c r="Q88" s="1771"/>
      <c r="R88" s="1771"/>
      <c r="S88" s="1771"/>
      <c r="T88" s="1771"/>
      <c r="U88" s="1771"/>
      <c r="V88" s="1771"/>
      <c r="W88" s="1771"/>
      <c r="X88" s="1771"/>
      <c r="Y88" s="1771"/>
      <c r="Z88" s="1771"/>
      <c r="AA88" s="1771"/>
      <c r="AB88" s="1771"/>
      <c r="AC88" s="1771"/>
      <c r="AD88" s="1771"/>
      <c r="AE88" s="1771"/>
      <c r="AF88" s="1772"/>
      <c r="AG88" s="1773">
        <v>1001010849</v>
      </c>
      <c r="AH88" s="1774"/>
      <c r="AI88" s="1774"/>
      <c r="AJ88" s="1774"/>
      <c r="AK88" s="1774"/>
      <c r="AL88" s="1774"/>
      <c r="AM88" s="1774"/>
      <c r="AN88" s="1774"/>
      <c r="AO88" s="1774"/>
      <c r="AP88" s="1774"/>
      <c r="AQ88" s="1774"/>
      <c r="AR88" s="1774"/>
      <c r="AS88" s="1774"/>
      <c r="AT88" s="1775"/>
      <c r="AU88" s="1773" t="s">
        <v>770</v>
      </c>
      <c r="AV88" s="1774"/>
      <c r="AW88" s="1774"/>
      <c r="AX88" s="1774"/>
      <c r="AY88" s="1774"/>
      <c r="AZ88" s="1774"/>
      <c r="BA88" s="1774"/>
      <c r="BB88" s="1774"/>
      <c r="BC88" s="1774"/>
      <c r="BD88" s="1774"/>
      <c r="BE88" s="1774"/>
      <c r="BF88" s="1775"/>
      <c r="BG88" s="1765" t="s">
        <v>871</v>
      </c>
      <c r="BH88" s="1766"/>
      <c r="BI88" s="1766"/>
      <c r="BJ88" s="1766"/>
      <c r="BK88" s="1766"/>
      <c r="BL88" s="1766"/>
      <c r="BM88" s="1766"/>
      <c r="BN88" s="1766"/>
      <c r="BO88" s="1766"/>
      <c r="BP88" s="1766"/>
      <c r="BQ88" s="1766"/>
      <c r="BR88" s="1766"/>
      <c r="BS88" s="1766"/>
      <c r="BT88" s="1766"/>
      <c r="BU88" s="1766"/>
      <c r="BV88" s="1766"/>
      <c r="BW88" s="1766"/>
      <c r="BX88" s="1767"/>
      <c r="BY88" s="1765" t="s">
        <v>777</v>
      </c>
      <c r="BZ88" s="1766"/>
      <c r="CA88" s="1766"/>
      <c r="CB88" s="1766"/>
      <c r="CC88" s="1766"/>
      <c r="CD88" s="1766"/>
      <c r="CE88" s="1766"/>
      <c r="CF88" s="1766"/>
      <c r="CG88" s="1766"/>
      <c r="CH88" s="1766"/>
      <c r="CI88" s="1766"/>
      <c r="CJ88" s="1766"/>
      <c r="CK88" s="1766"/>
      <c r="CL88" s="1766"/>
      <c r="CM88" s="1766"/>
      <c r="CN88" s="1766"/>
      <c r="CO88" s="1766"/>
      <c r="CP88" s="1767"/>
      <c r="CQ88" s="1762">
        <v>1.23</v>
      </c>
      <c r="CR88" s="1763"/>
      <c r="CS88" s="1763"/>
      <c r="CT88" s="1763"/>
      <c r="CU88" s="1763"/>
      <c r="CV88" s="1763"/>
      <c r="CW88" s="1763"/>
      <c r="CX88" s="1763"/>
      <c r="CY88" s="1763"/>
      <c r="CZ88" s="1763"/>
      <c r="DA88" s="1763"/>
      <c r="DB88" s="1763"/>
      <c r="DC88" s="1763"/>
      <c r="DD88" s="1763"/>
      <c r="DE88" s="1763"/>
      <c r="DF88" s="1763"/>
      <c r="DG88" s="1763"/>
      <c r="DH88" s="1764"/>
      <c r="DI88" s="1753">
        <v>1</v>
      </c>
      <c r="DJ88" s="1754"/>
      <c r="DK88" s="1754"/>
      <c r="DL88" s="1754"/>
      <c r="DM88" s="1754"/>
      <c r="DN88" s="1754"/>
      <c r="DO88" s="1754"/>
      <c r="DP88" s="1754"/>
      <c r="DQ88" s="1754"/>
      <c r="DR88" s="1754"/>
      <c r="DS88" s="1754"/>
      <c r="DT88" s="1754"/>
      <c r="DU88" s="1754"/>
      <c r="DV88" s="1754"/>
      <c r="DW88" s="1754"/>
      <c r="DX88" s="1754"/>
      <c r="DY88" s="1754"/>
      <c r="DZ88" s="1755"/>
      <c r="EA88" s="1762">
        <v>1.23</v>
      </c>
      <c r="EB88" s="1763"/>
      <c r="EC88" s="1763"/>
      <c r="ED88" s="1763"/>
      <c r="EE88" s="1763"/>
      <c r="EF88" s="1763"/>
      <c r="EG88" s="1763"/>
      <c r="EH88" s="1763"/>
      <c r="EI88" s="1763"/>
      <c r="EJ88" s="1763"/>
      <c r="EK88" s="1763"/>
      <c r="EL88" s="1763"/>
      <c r="EM88" s="1763"/>
      <c r="EN88" s="1763"/>
      <c r="EO88" s="1763"/>
      <c r="EP88" s="1763"/>
      <c r="EQ88" s="1763"/>
      <c r="ER88" s="1763"/>
      <c r="ES88" s="1764"/>
      <c r="ET88" s="2288" t="str">
        <f>BG88</f>
        <v>2959800</v>
      </c>
      <c r="EU88" s="2288" t="str">
        <f>BY88</f>
        <v>ПК</v>
      </c>
      <c r="EV88" s="524">
        <f>CQ88</f>
        <v>1.23</v>
      </c>
      <c r="EW88" s="494">
        <v>1</v>
      </c>
      <c r="EX88" s="495">
        <v>1.23</v>
      </c>
      <c r="EY88" s="1768"/>
      <c r="EZ88" s="1768"/>
      <c r="FA88" s="1768"/>
      <c r="FB88" s="1768"/>
      <c r="FC88" s="1768"/>
      <c r="FD88" s="1768"/>
      <c r="FE88" s="1768"/>
      <c r="FF88" s="1768"/>
      <c r="FG88" s="1768"/>
      <c r="FH88" s="1768"/>
      <c r="FI88" s="1768"/>
      <c r="FJ88" s="1758"/>
      <c r="FK88" s="1759"/>
      <c r="FL88" s="1759"/>
      <c r="FM88" s="1759"/>
      <c r="FN88" s="1759"/>
      <c r="FO88" s="1759"/>
      <c r="FP88" s="1759"/>
      <c r="FQ88" s="1759"/>
      <c r="FR88" s="1759"/>
      <c r="FS88" s="1759"/>
      <c r="FT88" s="1759"/>
      <c r="FU88" s="1760"/>
      <c r="FV88" s="1753"/>
      <c r="FW88" s="1754"/>
      <c r="FX88" s="1754"/>
      <c r="FY88" s="1754"/>
      <c r="FZ88" s="1754"/>
      <c r="GA88" s="1754"/>
      <c r="GB88" s="1754"/>
      <c r="GC88" s="1754"/>
      <c r="GD88" s="1754"/>
      <c r="GE88" s="1754"/>
      <c r="GF88" s="1754"/>
      <c r="GG88" s="1755"/>
      <c r="GH88" s="1756"/>
      <c r="GI88" s="1756"/>
      <c r="GJ88" s="1756"/>
      <c r="GK88" s="1756"/>
      <c r="GL88" s="1756"/>
      <c r="GM88" s="1756"/>
      <c r="GN88" s="1756"/>
      <c r="GO88" s="1756"/>
      <c r="GP88" s="1756"/>
      <c r="GQ88" s="1756"/>
      <c r="GR88" s="1756"/>
      <c r="GS88" s="1756"/>
      <c r="GT88" s="1757"/>
      <c r="GU88" s="1757"/>
      <c r="GV88" s="1757"/>
      <c r="GW88" s="1757"/>
      <c r="GX88" s="1757"/>
      <c r="GY88" s="1757"/>
      <c r="GZ88" s="1757"/>
      <c r="HA88" s="1757"/>
      <c r="HB88" s="1757"/>
      <c r="HC88" s="1757"/>
      <c r="HD88" s="1757"/>
      <c r="HE88" s="1757"/>
      <c r="HF88" s="1758"/>
      <c r="HG88" s="1759"/>
      <c r="HH88" s="1759"/>
      <c r="HI88" s="1759"/>
      <c r="HJ88" s="1759"/>
      <c r="HK88" s="1759"/>
      <c r="HL88" s="1759"/>
      <c r="HM88" s="1759"/>
      <c r="HN88" s="1759"/>
      <c r="HO88" s="1759"/>
      <c r="HP88" s="1759"/>
      <c r="HQ88" s="1760"/>
      <c r="HR88" s="1761"/>
      <c r="HS88" s="1761"/>
      <c r="HT88" s="1761"/>
      <c r="HU88" s="1761"/>
      <c r="HV88" s="1761"/>
      <c r="HW88" s="1761"/>
      <c r="HX88" s="1761"/>
      <c r="HY88" s="1761"/>
      <c r="HZ88" s="1761"/>
      <c r="IA88" s="1761"/>
      <c r="IB88" s="1761"/>
      <c r="IC88" s="1761"/>
      <c r="ID88" s="1762"/>
      <c r="IE88" s="1763"/>
      <c r="IF88" s="1763"/>
      <c r="IG88" s="1763"/>
      <c r="IH88" s="1763"/>
      <c r="II88" s="1763"/>
      <c r="IJ88" s="1763"/>
      <c r="IK88" s="1763"/>
      <c r="IL88" s="1763"/>
      <c r="IM88" s="1763"/>
      <c r="IN88" s="1764"/>
    </row>
    <row r="89" spans="1:249" ht="12.75">
      <c r="A89" s="815" t="s">
        <v>361</v>
      </c>
      <c r="B89" s="525"/>
      <c r="C89" s="525"/>
      <c r="D89" s="525"/>
      <c r="E89" s="525"/>
      <c r="F89" s="525"/>
      <c r="G89" s="525"/>
      <c r="H89" s="525"/>
      <c r="I89" s="525"/>
      <c r="J89" s="526"/>
      <c r="K89" s="1752"/>
      <c r="L89" s="1752"/>
      <c r="M89" s="1752"/>
      <c r="N89" s="1752"/>
      <c r="O89" s="1752"/>
      <c r="P89" s="1752"/>
      <c r="Q89" s="1752"/>
      <c r="R89" s="1752"/>
      <c r="S89" s="1752"/>
      <c r="T89" s="1752"/>
      <c r="U89" s="1752"/>
      <c r="V89" s="1752"/>
      <c r="W89" s="1752"/>
      <c r="X89" s="1752"/>
      <c r="Y89" s="1752"/>
      <c r="Z89" s="1752"/>
      <c r="AA89" s="1752"/>
      <c r="AB89" s="1752"/>
      <c r="AC89" s="1752"/>
      <c r="AD89" s="1752"/>
      <c r="AE89" s="1752"/>
      <c r="AF89" s="1752"/>
      <c r="AG89" s="1744"/>
      <c r="AH89" s="1744"/>
      <c r="AI89" s="1744"/>
      <c r="AJ89" s="1744"/>
      <c r="AK89" s="1744"/>
      <c r="AL89" s="1744"/>
      <c r="AM89" s="1744"/>
      <c r="AN89" s="1744"/>
      <c r="AO89" s="1744"/>
      <c r="AP89" s="1744"/>
      <c r="AQ89" s="1744"/>
      <c r="AR89" s="1744"/>
      <c r="AS89" s="1744"/>
      <c r="AT89" s="1744"/>
      <c r="AU89" s="1744"/>
      <c r="AV89" s="1744"/>
      <c r="AW89" s="1744"/>
      <c r="AX89" s="1744"/>
      <c r="AY89" s="1744"/>
      <c r="AZ89" s="1744"/>
      <c r="BA89" s="1744"/>
      <c r="BB89" s="1744"/>
      <c r="BC89" s="1744"/>
      <c r="BD89" s="1744"/>
      <c r="BE89" s="1744"/>
      <c r="BF89" s="1744"/>
      <c r="BG89" s="1744"/>
      <c r="BH89" s="1744"/>
      <c r="BI89" s="1744"/>
      <c r="BJ89" s="1744"/>
      <c r="BK89" s="1744"/>
      <c r="BL89" s="1744"/>
      <c r="BM89" s="1744"/>
      <c r="BN89" s="1744"/>
      <c r="BO89" s="1744"/>
      <c r="BP89" s="1744"/>
      <c r="BQ89" s="1744"/>
      <c r="BR89" s="1744"/>
      <c r="BS89" s="1744"/>
      <c r="BT89" s="1744"/>
      <c r="BU89" s="1744"/>
      <c r="BV89" s="1744"/>
      <c r="BW89" s="1744"/>
      <c r="BX89" s="1744"/>
      <c r="BY89" s="1744"/>
      <c r="BZ89" s="1744"/>
      <c r="CA89" s="1744"/>
      <c r="CB89" s="1744"/>
      <c r="CC89" s="1744"/>
      <c r="CD89" s="1744"/>
      <c r="CE89" s="1744"/>
      <c r="CF89" s="1744"/>
      <c r="CG89" s="1744"/>
      <c r="CH89" s="1744"/>
      <c r="CI89" s="1744"/>
      <c r="CJ89" s="1744"/>
      <c r="CK89" s="1744"/>
      <c r="CL89" s="1744"/>
      <c r="CM89" s="1744"/>
      <c r="CN89" s="1744"/>
      <c r="CO89" s="1744"/>
      <c r="CP89" s="1744"/>
      <c r="CQ89" s="1744"/>
      <c r="CR89" s="1744"/>
      <c r="CS89" s="1744"/>
      <c r="CT89" s="1744"/>
      <c r="CU89" s="1744"/>
      <c r="CV89" s="1744"/>
      <c r="CW89" s="1744"/>
      <c r="CX89" s="1744"/>
      <c r="CY89" s="1744"/>
      <c r="CZ89" s="1744"/>
      <c r="DA89" s="1744"/>
      <c r="DB89" s="1744"/>
      <c r="DC89" s="1744"/>
      <c r="DD89" s="1744"/>
      <c r="DE89" s="1744"/>
      <c r="DF89" s="1744"/>
      <c r="DG89" s="1744"/>
      <c r="DH89" s="1744"/>
      <c r="DI89" s="1746">
        <v>329</v>
      </c>
      <c r="DJ89" s="1747"/>
      <c r="DK89" s="1747"/>
      <c r="DL89" s="1747"/>
      <c r="DM89" s="1747"/>
      <c r="DN89" s="1747"/>
      <c r="DO89" s="1747"/>
      <c r="DP89" s="1747"/>
      <c r="DQ89" s="1747"/>
      <c r="DR89" s="1747"/>
      <c r="DS89" s="1747"/>
      <c r="DT89" s="1747"/>
      <c r="DU89" s="1747"/>
      <c r="DV89" s="1747"/>
      <c r="DW89" s="1747"/>
      <c r="DX89" s="1747"/>
      <c r="DY89" s="1747"/>
      <c r="DZ89" s="1748"/>
      <c r="EA89" s="1749">
        <v>23.4</v>
      </c>
      <c r="EB89" s="1750"/>
      <c r="EC89" s="1750"/>
      <c r="ED89" s="1750"/>
      <c r="EE89" s="1750"/>
      <c r="EF89" s="1750"/>
      <c r="EG89" s="1750"/>
      <c r="EH89" s="1750"/>
      <c r="EI89" s="1750"/>
      <c r="EJ89" s="1750"/>
      <c r="EK89" s="1750"/>
      <c r="EL89" s="1750"/>
      <c r="EM89" s="1750"/>
      <c r="EN89" s="1750"/>
      <c r="EO89" s="1750"/>
      <c r="EP89" s="1750"/>
      <c r="EQ89" s="1750"/>
      <c r="ER89" s="1750"/>
      <c r="ES89" s="1751"/>
      <c r="ET89" s="816" t="s">
        <v>177</v>
      </c>
      <c r="EU89" s="816" t="s">
        <v>177</v>
      </c>
      <c r="EV89" s="816" t="s">
        <v>177</v>
      </c>
      <c r="EW89" s="817">
        <v>329</v>
      </c>
      <c r="EX89" s="818">
        <v>23.4</v>
      </c>
      <c r="EY89" s="1743"/>
      <c r="EZ89" s="1743"/>
      <c r="FA89" s="1743"/>
      <c r="FB89" s="1743"/>
      <c r="FC89" s="1743"/>
      <c r="FD89" s="1743"/>
      <c r="FE89" s="1743"/>
      <c r="FF89" s="1743"/>
      <c r="FG89" s="1743"/>
      <c r="FH89" s="1743"/>
      <c r="FI89" s="1743"/>
      <c r="FJ89" s="1743"/>
      <c r="FK89" s="1743"/>
      <c r="FL89" s="1743"/>
      <c r="FM89" s="1743"/>
      <c r="FN89" s="1743"/>
      <c r="FO89" s="1743"/>
      <c r="FP89" s="1743"/>
      <c r="FQ89" s="1743"/>
      <c r="FR89" s="1743"/>
      <c r="FS89" s="1743"/>
      <c r="FT89" s="1743"/>
      <c r="FU89" s="1743"/>
      <c r="FV89" s="1744" t="s">
        <v>177</v>
      </c>
      <c r="FW89" s="1744"/>
      <c r="FX89" s="1744"/>
      <c r="FY89" s="1744"/>
      <c r="FZ89" s="1744"/>
      <c r="GA89" s="1744"/>
      <c r="GB89" s="1744"/>
      <c r="GC89" s="1744"/>
      <c r="GD89" s="1744"/>
      <c r="GE89" s="1744"/>
      <c r="GF89" s="1744"/>
      <c r="GG89" s="1744"/>
      <c r="GH89" s="1744" t="s">
        <v>177</v>
      </c>
      <c r="GI89" s="1744"/>
      <c r="GJ89" s="1744"/>
      <c r="GK89" s="1744"/>
      <c r="GL89" s="1744"/>
      <c r="GM89" s="1744"/>
      <c r="GN89" s="1744"/>
      <c r="GO89" s="1744"/>
      <c r="GP89" s="1744"/>
      <c r="GQ89" s="1744"/>
      <c r="GR89" s="1744"/>
      <c r="GS89" s="1744"/>
      <c r="GT89" s="1743"/>
      <c r="GU89" s="1743"/>
      <c r="GV89" s="1743"/>
      <c r="GW89" s="1743"/>
      <c r="GX89" s="1743"/>
      <c r="GY89" s="1743"/>
      <c r="GZ89" s="1743"/>
      <c r="HA89" s="1743"/>
      <c r="HB89" s="1743"/>
      <c r="HC89" s="1743"/>
      <c r="HD89" s="1743"/>
      <c r="HE89" s="1743"/>
      <c r="HF89" s="1743"/>
      <c r="HG89" s="1743"/>
      <c r="HH89" s="1743"/>
      <c r="HI89" s="1743"/>
      <c r="HJ89" s="1743"/>
      <c r="HK89" s="1743"/>
      <c r="HL89" s="1743"/>
      <c r="HM89" s="1743"/>
      <c r="HN89" s="1743"/>
      <c r="HO89" s="1743"/>
      <c r="HP89" s="1743"/>
      <c r="HQ89" s="1743"/>
      <c r="HR89" s="1744" t="s">
        <v>177</v>
      </c>
      <c r="HS89" s="1744"/>
      <c r="HT89" s="1744"/>
      <c r="HU89" s="1744"/>
      <c r="HV89" s="1744"/>
      <c r="HW89" s="1744"/>
      <c r="HX89" s="1744"/>
      <c r="HY89" s="1744"/>
      <c r="HZ89" s="1744"/>
      <c r="IA89" s="1744"/>
      <c r="IB89" s="1744"/>
      <c r="IC89" s="1744"/>
      <c r="ID89" s="1744" t="s">
        <v>177</v>
      </c>
      <c r="IE89" s="1744"/>
      <c r="IF89" s="1744"/>
      <c r="IG89" s="1744"/>
      <c r="IH89" s="1744"/>
      <c r="II89" s="1744"/>
      <c r="IJ89" s="1744"/>
      <c r="IK89" s="1744"/>
      <c r="IL89" s="1744"/>
      <c r="IM89" s="1744"/>
      <c r="IN89" s="1744"/>
      <c r="IO89" s="527"/>
    </row>
    <row r="90" spans="1:249" ht="12.75">
      <c r="A90" s="505" t="s">
        <v>93</v>
      </c>
      <c r="B90" s="505"/>
      <c r="C90" s="505"/>
      <c r="D90" s="505"/>
      <c r="E90" s="505"/>
      <c r="F90" s="505"/>
      <c r="G90" s="505"/>
      <c r="H90" s="505"/>
      <c r="I90" s="505"/>
      <c r="J90" s="505"/>
      <c r="K90" s="498"/>
      <c r="L90" s="498"/>
      <c r="M90" s="498"/>
      <c r="N90" s="498"/>
      <c r="O90" s="498"/>
      <c r="P90" s="498"/>
      <c r="Q90" s="498"/>
      <c r="R90" s="498"/>
      <c r="S90" s="498"/>
      <c r="T90" s="498"/>
      <c r="U90" s="498"/>
      <c r="V90" s="498"/>
      <c r="W90" s="498"/>
      <c r="X90" s="498"/>
      <c r="Y90" s="498"/>
      <c r="Z90" s="498"/>
      <c r="AA90" s="498"/>
      <c r="AB90" s="498"/>
      <c r="AC90" s="498"/>
      <c r="AD90" s="498"/>
      <c r="AE90" s="498"/>
      <c r="AF90" s="498"/>
      <c r="AG90" s="499"/>
      <c r="AH90" s="499"/>
      <c r="AI90" s="499"/>
      <c r="AJ90" s="499"/>
      <c r="AK90" s="499"/>
      <c r="AL90" s="499"/>
      <c r="AM90" s="499"/>
      <c r="AN90" s="499"/>
      <c r="AO90" s="499"/>
      <c r="AP90" s="499"/>
      <c r="AQ90" s="499"/>
      <c r="AR90" s="499"/>
      <c r="AS90" s="499"/>
      <c r="AT90" s="499"/>
      <c r="AU90" s="499"/>
      <c r="AV90" s="499"/>
      <c r="AW90" s="499"/>
      <c r="AX90" s="499"/>
      <c r="AY90" s="499"/>
      <c r="AZ90" s="499"/>
      <c r="BA90" s="499"/>
      <c r="BB90" s="499"/>
      <c r="BC90" s="499"/>
      <c r="BD90" s="499"/>
      <c r="BE90" s="499"/>
      <c r="BF90" s="499"/>
      <c r="BG90" s="505"/>
      <c r="BH90" s="505"/>
      <c r="BI90" s="505"/>
      <c r="BJ90" s="505"/>
      <c r="BK90" s="505"/>
      <c r="BL90" s="505"/>
      <c r="BM90" s="505"/>
      <c r="BN90" s="505"/>
      <c r="BO90" s="505"/>
      <c r="BP90" s="505"/>
      <c r="BQ90" s="505"/>
      <c r="BR90" s="505"/>
      <c r="BS90" s="505"/>
      <c r="BT90" s="505"/>
      <c r="BU90" s="505"/>
      <c r="BV90" s="505"/>
      <c r="BW90" s="505"/>
      <c r="BX90" s="505"/>
      <c r="BY90" s="505"/>
      <c r="BZ90" s="505"/>
      <c r="CA90" s="505"/>
      <c r="CB90" s="505"/>
      <c r="CC90" s="505"/>
      <c r="CD90" s="505"/>
      <c r="CE90" s="505"/>
      <c r="CF90" s="505"/>
      <c r="CG90" s="505"/>
      <c r="CH90" s="505"/>
      <c r="CI90" s="505"/>
      <c r="CJ90" s="505"/>
      <c r="CK90" s="505"/>
      <c r="CL90" s="505"/>
      <c r="CM90" s="505"/>
      <c r="CN90" s="505"/>
      <c r="CO90" s="505"/>
      <c r="CP90" s="505"/>
      <c r="CQ90" s="500"/>
      <c r="CR90" s="500"/>
      <c r="CS90" s="500"/>
      <c r="CT90" s="500"/>
      <c r="CU90" s="500"/>
      <c r="CV90" s="500"/>
      <c r="CW90" s="500"/>
      <c r="CX90" s="500"/>
      <c r="CY90" s="500"/>
      <c r="CZ90" s="500"/>
      <c r="DA90" s="500"/>
      <c r="DB90" s="500"/>
      <c r="DC90" s="500"/>
      <c r="DD90" s="500"/>
      <c r="DE90" s="500"/>
      <c r="DF90" s="500"/>
      <c r="DG90" s="500"/>
      <c r="DH90" s="500"/>
      <c r="DI90" s="500"/>
      <c r="DJ90" s="500"/>
      <c r="DK90" s="500"/>
      <c r="DL90" s="500"/>
      <c r="DM90" s="500"/>
      <c r="DN90" s="500"/>
      <c r="DO90" s="500"/>
      <c r="DP90" s="500"/>
      <c r="DQ90" s="500"/>
      <c r="DR90" s="500"/>
      <c r="DS90" s="500"/>
      <c r="DT90" s="500"/>
      <c r="DU90" s="500"/>
      <c r="DV90" s="500"/>
      <c r="DW90" s="500"/>
      <c r="DX90" s="500"/>
      <c r="DY90" s="500"/>
      <c r="DZ90" s="500"/>
      <c r="EA90" s="500"/>
      <c r="EB90" s="500"/>
      <c r="EC90" s="500"/>
      <c r="ED90" s="500"/>
      <c r="EE90" s="500"/>
      <c r="EF90" s="500"/>
      <c r="EG90" s="500"/>
      <c r="EH90" s="500"/>
      <c r="EI90" s="500"/>
      <c r="EJ90" s="500"/>
      <c r="EK90" s="500"/>
      <c r="EL90" s="500"/>
      <c r="EM90" s="500"/>
      <c r="EN90" s="500"/>
      <c r="EO90" s="500"/>
      <c r="EP90" s="500"/>
      <c r="EQ90" s="500"/>
      <c r="ER90" s="500"/>
      <c r="ES90" s="500"/>
      <c r="ET90" s="501"/>
      <c r="EU90" s="501"/>
      <c r="EV90" s="501"/>
      <c r="EW90" s="502"/>
      <c r="EX90" s="503"/>
      <c r="EY90" s="497"/>
      <c r="EZ90" s="497"/>
      <c r="FA90" s="497"/>
      <c r="FB90" s="497"/>
      <c r="FC90" s="497"/>
      <c r="FD90" s="497"/>
      <c r="FE90" s="497"/>
      <c r="FF90" s="497"/>
      <c r="FG90" s="497"/>
      <c r="FH90" s="497"/>
      <c r="FI90" s="497"/>
      <c r="FJ90" s="496"/>
      <c r="FK90" s="496"/>
      <c r="FL90" s="496"/>
      <c r="FM90" s="496"/>
      <c r="FN90" s="496"/>
      <c r="FO90" s="496"/>
      <c r="FP90" s="496"/>
      <c r="FQ90" s="496"/>
      <c r="FR90" s="496"/>
      <c r="FS90" s="496"/>
      <c r="FT90" s="496"/>
      <c r="FU90" s="496"/>
      <c r="FV90" s="504"/>
      <c r="FW90" s="504"/>
      <c r="FX90" s="504"/>
      <c r="FY90" s="504"/>
      <c r="FZ90" s="504"/>
      <c r="GA90" s="504"/>
      <c r="GB90" s="504"/>
      <c r="GC90" s="504"/>
      <c r="GD90" s="504"/>
      <c r="GE90" s="504"/>
      <c r="GF90" s="504"/>
      <c r="GG90" s="504"/>
      <c r="GH90" s="504"/>
      <c r="GI90" s="504"/>
      <c r="GJ90" s="504"/>
      <c r="GK90" s="504"/>
      <c r="GL90" s="504"/>
      <c r="GM90" s="504"/>
      <c r="GN90" s="504"/>
      <c r="GO90" s="504"/>
      <c r="GP90" s="504"/>
      <c r="GQ90" s="504"/>
      <c r="GR90" s="504"/>
      <c r="GS90" s="504"/>
      <c r="GT90" s="496"/>
      <c r="GU90" s="496"/>
      <c r="GV90" s="496"/>
      <c r="GW90" s="496"/>
      <c r="GX90" s="496"/>
      <c r="GY90" s="496"/>
      <c r="GZ90" s="496"/>
      <c r="HA90" s="496"/>
      <c r="HB90" s="496"/>
      <c r="HC90" s="496"/>
      <c r="HD90" s="496"/>
      <c r="HE90" s="496"/>
      <c r="HF90" s="496"/>
      <c r="HG90" s="496"/>
      <c r="HH90" s="496"/>
      <c r="HI90" s="496"/>
      <c r="HJ90" s="496"/>
      <c r="HK90" s="496"/>
      <c r="HL90" s="496"/>
      <c r="HM90" s="496"/>
      <c r="HN90" s="496"/>
      <c r="HO90" s="496"/>
      <c r="HP90" s="496"/>
      <c r="HQ90" s="496"/>
      <c r="HR90" s="504"/>
      <c r="HS90" s="504"/>
      <c r="HT90" s="504"/>
      <c r="HU90" s="504"/>
      <c r="HV90" s="504"/>
      <c r="HW90" s="504"/>
      <c r="HX90" s="504"/>
      <c r="HY90" s="504"/>
      <c r="HZ90" s="504"/>
      <c r="IA90" s="504"/>
      <c r="IB90" s="504"/>
      <c r="IC90" s="504"/>
      <c r="ID90" s="504"/>
      <c r="IE90" s="504"/>
      <c r="IF90" s="504"/>
      <c r="IG90" s="504"/>
      <c r="IH90" s="504"/>
      <c r="II90" s="504"/>
      <c r="IJ90" s="504"/>
      <c r="IK90" s="504"/>
      <c r="IL90" s="504"/>
      <c r="IM90" s="504"/>
      <c r="IN90" s="504"/>
    </row>
    <row r="91" spans="1:249" s="508" customFormat="1" ht="13.5">
      <c r="A91" s="814" t="s">
        <v>122</v>
      </c>
      <c r="B91" s="513"/>
      <c r="C91" s="513"/>
      <c r="D91" s="513"/>
      <c r="E91" s="513"/>
      <c r="F91" s="513"/>
      <c r="G91" s="513"/>
      <c r="H91" s="513"/>
      <c r="I91" s="513"/>
      <c r="J91" s="513"/>
      <c r="K91" s="513"/>
      <c r="L91" s="513"/>
      <c r="M91" s="513"/>
      <c r="N91" s="513"/>
      <c r="O91" s="513"/>
      <c r="P91" s="513"/>
      <c r="Q91" s="513" t="s">
        <v>602</v>
      </c>
      <c r="R91" s="513"/>
      <c r="S91" s="513"/>
      <c r="T91" s="513"/>
      <c r="U91" s="513"/>
      <c r="V91" s="513"/>
      <c r="W91" s="513"/>
      <c r="X91" s="513"/>
      <c r="Y91" s="513"/>
      <c r="Z91" s="513"/>
      <c r="AA91" s="513"/>
      <c r="AB91" s="513"/>
      <c r="AC91" s="513"/>
      <c r="AD91" s="513"/>
      <c r="AE91" s="513"/>
      <c r="AF91" s="513"/>
      <c r="AG91" s="513"/>
      <c r="AH91" s="513"/>
      <c r="AI91" s="513"/>
      <c r="AJ91" s="513"/>
      <c r="AK91" s="513"/>
      <c r="AL91" s="513"/>
      <c r="AM91" s="513"/>
      <c r="AN91" s="513"/>
      <c r="AO91" s="513"/>
      <c r="AP91" s="513"/>
      <c r="AQ91" s="513"/>
      <c r="AR91" s="514"/>
      <c r="AS91" s="515"/>
      <c r="AT91" s="515"/>
      <c r="AU91" s="515"/>
      <c r="AV91" s="1745" t="s">
        <v>892</v>
      </c>
      <c r="AW91" s="1745"/>
      <c r="AX91" s="1745"/>
      <c r="AY91" s="1745"/>
      <c r="AZ91" s="1745"/>
      <c r="BA91" s="1745"/>
      <c r="BB91" s="1745"/>
      <c r="BC91" s="1745"/>
      <c r="BD91" s="1745"/>
      <c r="BE91" s="1745"/>
      <c r="BF91" s="1745"/>
      <c r="BG91" s="1745"/>
      <c r="BH91" s="1745"/>
      <c r="BI91" s="1745"/>
      <c r="BJ91" s="1745"/>
      <c r="BK91" s="1745"/>
      <c r="BL91" s="1745"/>
      <c r="BM91" s="1745"/>
      <c r="BN91" s="1745"/>
      <c r="BO91" s="1745"/>
      <c r="BP91" s="1745"/>
      <c r="BQ91" s="1745"/>
      <c r="BR91" s="1745"/>
      <c r="BS91" s="1745"/>
      <c r="BT91" s="1745"/>
      <c r="BU91" s="1745"/>
      <c r="BV91" s="1745"/>
      <c r="BW91" s="1745"/>
      <c r="BX91" s="1745"/>
      <c r="BY91" s="1745"/>
      <c r="BZ91" s="1745"/>
      <c r="CA91" s="1745"/>
      <c r="CB91" s="1745"/>
      <c r="CC91" s="1745"/>
      <c r="CD91" s="1745"/>
      <c r="CE91" s="1745"/>
      <c r="CF91" s="1745"/>
      <c r="CG91" s="1745"/>
      <c r="CH91" s="1745"/>
      <c r="CI91" s="1745"/>
      <c r="CJ91" s="1745"/>
      <c r="CK91" s="1745"/>
      <c r="CL91" s="1745"/>
      <c r="CM91" s="1745"/>
      <c r="CN91" s="1745"/>
      <c r="CO91" s="1745"/>
      <c r="CP91" s="1745"/>
      <c r="CQ91" s="1745"/>
      <c r="CR91" s="1745"/>
      <c r="CS91" s="1745"/>
      <c r="CT91" s="1745"/>
      <c r="CU91" s="1745"/>
      <c r="CV91" s="1745"/>
      <c r="CW91" s="1745"/>
      <c r="CX91" s="1745"/>
      <c r="CY91" s="1745"/>
      <c r="CZ91" s="1745"/>
      <c r="DA91" s="1745"/>
      <c r="DB91" s="1745"/>
      <c r="DC91" s="1745"/>
      <c r="DD91" s="1745"/>
      <c r="DE91" s="1745"/>
      <c r="DF91" s="1745"/>
      <c r="DG91" s="1745"/>
      <c r="DH91" s="1745"/>
      <c r="DI91" s="1745"/>
      <c r="DJ91" s="1745"/>
      <c r="DK91" s="1745"/>
      <c r="DL91" s="1745"/>
      <c r="DM91" s="1745"/>
      <c r="DN91" s="1745"/>
      <c r="DO91" s="1745"/>
      <c r="DP91" s="1745"/>
      <c r="DQ91" s="1745"/>
      <c r="DR91" s="1745"/>
      <c r="DS91" s="1745"/>
      <c r="DT91" s="1745"/>
      <c r="DU91" s="1745"/>
      <c r="DV91" s="1745"/>
      <c r="DW91" s="1745"/>
      <c r="DX91" s="1745"/>
      <c r="DY91" s="1745"/>
      <c r="DZ91" s="1745"/>
      <c r="EA91" s="1745"/>
      <c r="EB91" s="1745"/>
      <c r="EC91" s="1745"/>
      <c r="ED91" s="1745"/>
      <c r="EE91" s="1745"/>
      <c r="EF91" s="1745"/>
      <c r="EG91" s="1745"/>
      <c r="EH91" s="1745"/>
      <c r="EI91" s="1745"/>
      <c r="EJ91" s="1745"/>
      <c r="EK91" s="1745"/>
      <c r="EL91" s="1745"/>
      <c r="EM91" s="1745"/>
      <c r="EN91" s="1745"/>
      <c r="EO91" s="1745"/>
      <c r="EP91" s="1745"/>
      <c r="EQ91" s="1745"/>
      <c r="ER91" s="1745"/>
      <c r="ES91" s="1745"/>
      <c r="ET91" s="521"/>
      <c r="EU91" s="521"/>
      <c r="EV91" s="521"/>
      <c r="EW91" s="521"/>
      <c r="EX91" s="521"/>
      <c r="EY91" s="521"/>
      <c r="EZ91" s="521"/>
      <c r="FA91" s="521"/>
      <c r="FB91" s="521"/>
      <c r="FC91" s="521"/>
      <c r="FD91" s="521"/>
      <c r="FE91" s="521"/>
      <c r="FF91" s="521"/>
      <c r="FG91" s="521"/>
      <c r="FH91" s="521"/>
      <c r="FI91" s="521"/>
      <c r="FJ91" s="521"/>
      <c r="FK91" s="521"/>
      <c r="FL91" s="521"/>
      <c r="FM91" s="521"/>
      <c r="FN91" s="521"/>
      <c r="FO91" s="521"/>
      <c r="FP91" s="521"/>
      <c r="FQ91" s="521"/>
      <c r="FR91" s="521"/>
      <c r="FS91" s="521"/>
      <c r="FT91" s="521"/>
      <c r="FU91" s="521"/>
      <c r="FV91" s="521"/>
      <c r="FW91" s="521"/>
      <c r="FX91" s="521"/>
      <c r="FY91" s="521"/>
      <c r="FZ91" s="521"/>
      <c r="GA91" s="521"/>
      <c r="GB91" s="521"/>
      <c r="GC91" s="521"/>
      <c r="GD91" s="521"/>
      <c r="GE91" s="521"/>
      <c r="GF91" s="521"/>
      <c r="GG91" s="521"/>
      <c r="GH91" s="521"/>
      <c r="GI91" s="521"/>
      <c r="GJ91" s="521"/>
      <c r="GK91" s="521"/>
      <c r="GL91" s="521"/>
      <c r="GM91" s="521"/>
      <c r="GN91" s="521"/>
      <c r="GO91" s="521"/>
      <c r="GP91" s="521"/>
      <c r="GQ91" s="521"/>
      <c r="GR91" s="521"/>
      <c r="GS91" s="521"/>
      <c r="GT91" s="521"/>
      <c r="GU91" s="521"/>
      <c r="GV91" s="521"/>
      <c r="GW91" s="521"/>
      <c r="GX91" s="521"/>
      <c r="GY91" s="521"/>
      <c r="GZ91" s="521"/>
      <c r="HA91" s="521"/>
      <c r="HB91" s="521"/>
      <c r="HC91" s="521"/>
      <c r="HD91" s="521"/>
      <c r="HE91" s="521"/>
      <c r="HF91" s="521"/>
      <c r="HG91" s="521"/>
      <c r="HH91" s="521"/>
      <c r="HI91" s="521"/>
      <c r="HJ91" s="521"/>
      <c r="HK91" s="521"/>
      <c r="HL91" s="521"/>
      <c r="HM91" s="521"/>
      <c r="HN91" s="521"/>
      <c r="HO91" s="521"/>
      <c r="HP91" s="521"/>
      <c r="HQ91" s="521"/>
      <c r="HR91" s="521"/>
      <c r="HS91" s="521"/>
      <c r="HT91" s="521"/>
      <c r="HU91" s="521"/>
      <c r="HV91" s="521"/>
      <c r="HW91" s="521"/>
      <c r="HX91" s="521"/>
      <c r="HY91" s="521"/>
      <c r="HZ91" s="521"/>
      <c r="IA91" s="521"/>
      <c r="IB91" s="521"/>
      <c r="IC91" s="521"/>
      <c r="ID91" s="521"/>
      <c r="IE91" s="521"/>
      <c r="IF91" s="521"/>
      <c r="IG91" s="521"/>
      <c r="IH91" s="521"/>
      <c r="II91" s="521"/>
      <c r="IJ91" s="521"/>
      <c r="IK91" s="521"/>
      <c r="IL91" s="521"/>
      <c r="IM91" s="521"/>
      <c r="IN91" s="521"/>
    </row>
    <row r="92" spans="1:249" s="508" customFormat="1" ht="12.75">
      <c r="A92" s="510"/>
      <c r="B92" s="510"/>
      <c r="C92" s="510"/>
      <c r="D92" s="510"/>
      <c r="E92" s="510"/>
      <c r="F92" s="510"/>
      <c r="G92" s="510"/>
      <c r="H92" s="510"/>
      <c r="I92" s="510"/>
      <c r="J92" s="510"/>
      <c r="K92" s="510"/>
      <c r="L92" s="510"/>
      <c r="M92" s="510"/>
      <c r="N92" s="510"/>
      <c r="O92" s="510"/>
      <c r="P92" s="510"/>
      <c r="Q92" s="510"/>
      <c r="R92" s="510"/>
      <c r="S92" s="510"/>
      <c r="T92" s="510"/>
      <c r="U92" s="510"/>
      <c r="V92" s="510"/>
      <c r="W92" s="510"/>
      <c r="X92" s="510"/>
      <c r="Y92" s="510"/>
      <c r="Z92" s="510"/>
      <c r="AA92" s="510"/>
      <c r="AB92" s="510"/>
      <c r="AC92" s="510"/>
      <c r="AD92" s="510"/>
      <c r="AE92" s="510"/>
      <c r="AF92" s="510"/>
      <c r="AG92" s="510"/>
      <c r="AH92" s="510"/>
      <c r="AI92" s="510"/>
      <c r="AJ92" s="510"/>
      <c r="AK92" s="510"/>
      <c r="AL92" s="510"/>
      <c r="AM92" s="510"/>
      <c r="AN92" s="510"/>
      <c r="AO92" s="510"/>
      <c r="AP92" s="510"/>
      <c r="AQ92" s="510"/>
      <c r="AR92" s="510"/>
      <c r="AS92" s="1724" t="s">
        <v>118</v>
      </c>
      <c r="AT92" s="1724"/>
      <c r="AU92" s="1724"/>
      <c r="AV92" s="1724"/>
      <c r="AW92" s="1724"/>
      <c r="AX92" s="1724"/>
      <c r="AY92" s="1724"/>
      <c r="AZ92" s="1724"/>
      <c r="BA92" s="1724"/>
      <c r="BB92" s="1724"/>
      <c r="BC92" s="1724"/>
      <c r="BD92" s="1724"/>
      <c r="BE92" s="1724"/>
      <c r="BF92" s="1724"/>
      <c r="BG92" s="1724"/>
      <c r="BH92" s="1724"/>
      <c r="BI92" s="1724"/>
      <c r="BJ92" s="1724"/>
      <c r="BK92" s="1724"/>
      <c r="BL92" s="1724"/>
      <c r="BM92" s="1724"/>
      <c r="BN92" s="1724"/>
      <c r="BO92" s="1724"/>
      <c r="BP92" s="1724"/>
      <c r="BQ92" s="1724"/>
      <c r="BR92" s="1724"/>
      <c r="BS92" s="1724"/>
      <c r="BT92" s="1724"/>
      <c r="BU92" s="1724"/>
      <c r="BV92" s="1724"/>
      <c r="BW92" s="1724"/>
      <c r="BX92" s="1724"/>
      <c r="BY92" s="1724"/>
      <c r="BZ92" s="1724"/>
      <c r="CA92" s="1724"/>
      <c r="CB92" s="1724"/>
      <c r="CC92" s="1724"/>
      <c r="CD92" s="1724"/>
      <c r="CE92" s="1724"/>
      <c r="CF92" s="1724"/>
      <c r="CG92" s="1724"/>
      <c r="CH92" s="1724"/>
      <c r="CI92" s="1724"/>
      <c r="CJ92" s="1724"/>
      <c r="CK92" s="1724"/>
      <c r="CL92" s="1724"/>
      <c r="CM92" s="1724"/>
      <c r="CN92" s="1724"/>
      <c r="CO92" s="1724"/>
      <c r="CP92" s="1724"/>
      <c r="CQ92" s="1724"/>
      <c r="CR92" s="1724"/>
      <c r="CS92" s="1724"/>
      <c r="CT92" s="1724"/>
      <c r="CU92" s="1724"/>
      <c r="CV92" s="1724"/>
      <c r="CW92" s="1724"/>
      <c r="CX92" s="1724"/>
      <c r="CY92" s="1724"/>
      <c r="CZ92" s="1724"/>
      <c r="DA92" s="1724"/>
      <c r="DB92" s="1724"/>
      <c r="DC92" s="1724"/>
      <c r="DD92" s="1724"/>
      <c r="DE92" s="1724"/>
      <c r="DF92" s="1724"/>
      <c r="DG92" s="1724"/>
      <c r="DH92" s="1724"/>
      <c r="DI92" s="1724"/>
      <c r="DJ92" s="1724"/>
      <c r="DK92" s="1724"/>
      <c r="DL92" s="1724"/>
      <c r="DM92" s="1724"/>
      <c r="DN92" s="1724"/>
      <c r="DO92" s="1724"/>
      <c r="DP92" s="1724"/>
      <c r="DQ92" s="1724"/>
      <c r="DR92" s="1724"/>
      <c r="DS92" s="1724"/>
      <c r="DT92" s="1724"/>
      <c r="DU92" s="1724"/>
      <c r="DV92" s="1724"/>
      <c r="DW92" s="1724"/>
      <c r="DX92" s="1724"/>
      <c r="DY92" s="1724"/>
      <c r="DZ92" s="1724"/>
      <c r="EA92" s="1724"/>
      <c r="EB92" s="1724"/>
      <c r="EC92" s="1724"/>
      <c r="ED92" s="1724"/>
      <c r="EE92" s="1724"/>
      <c r="EF92" s="1724"/>
      <c r="EG92" s="1724"/>
      <c r="EH92" s="1724"/>
      <c r="EI92" s="1724"/>
      <c r="EJ92" s="1724"/>
      <c r="EK92" s="1724"/>
      <c r="EL92" s="1724"/>
      <c r="EM92" s="1724"/>
      <c r="EN92" s="1724"/>
      <c r="EO92" s="1724"/>
      <c r="EP92" s="1724"/>
      <c r="EQ92" s="1724"/>
      <c r="ER92" s="1724"/>
      <c r="ES92" s="1724"/>
      <c r="ET92" s="521"/>
      <c r="EU92" s="521"/>
      <c r="EV92" s="521"/>
      <c r="EW92" s="521"/>
      <c r="EX92" s="521"/>
      <c r="EY92" s="521"/>
      <c r="EZ92" s="521"/>
      <c r="FA92" s="521"/>
      <c r="FB92" s="521"/>
      <c r="FC92" s="521"/>
      <c r="FD92" s="521"/>
      <c r="FE92" s="521"/>
      <c r="FF92" s="521"/>
      <c r="FG92" s="521"/>
      <c r="FH92" s="521"/>
      <c r="FI92" s="521"/>
      <c r="FJ92" s="521"/>
      <c r="FK92" s="521"/>
      <c r="FL92" s="521"/>
      <c r="FM92" s="521"/>
      <c r="FN92" s="521"/>
      <c r="FO92" s="521"/>
      <c r="FP92" s="521"/>
      <c r="FQ92" s="521"/>
      <c r="FR92" s="521"/>
      <c r="FS92" s="521"/>
      <c r="FT92" s="521"/>
      <c r="FU92" s="521"/>
      <c r="FV92" s="521"/>
      <c r="FW92" s="521"/>
      <c r="FX92" s="521"/>
      <c r="FY92" s="521"/>
      <c r="FZ92" s="521"/>
      <c r="GA92" s="521"/>
      <c r="GB92" s="521"/>
      <c r="GC92" s="521"/>
      <c r="GD92" s="521"/>
      <c r="GE92" s="521"/>
      <c r="GF92" s="521"/>
      <c r="GG92" s="521"/>
      <c r="GH92" s="521"/>
      <c r="GI92" s="521"/>
      <c r="GJ92" s="521"/>
      <c r="GK92" s="521"/>
      <c r="GL92" s="521"/>
      <c r="GM92" s="521"/>
      <c r="GN92" s="521"/>
      <c r="GO92" s="521"/>
      <c r="GP92" s="521"/>
      <c r="GQ92" s="521"/>
      <c r="GR92" s="521"/>
      <c r="GS92" s="521"/>
      <c r="GT92" s="521"/>
      <c r="GU92" s="521"/>
      <c r="GV92" s="521"/>
      <c r="GW92" s="521"/>
      <c r="GX92" s="521"/>
      <c r="GY92" s="521"/>
      <c r="GZ92" s="521"/>
      <c r="HA92" s="521"/>
      <c r="HB92" s="521"/>
      <c r="HC92" s="521"/>
      <c r="HD92" s="521"/>
      <c r="HE92" s="521"/>
      <c r="HF92" s="521"/>
      <c r="HG92" s="521"/>
      <c r="HH92" s="521"/>
      <c r="HI92" s="521"/>
      <c r="HJ92" s="521"/>
      <c r="HK92" s="521"/>
      <c r="HL92" s="521"/>
      <c r="HM92" s="521"/>
      <c r="HN92" s="521"/>
      <c r="HO92" s="521"/>
      <c r="HP92" s="521"/>
      <c r="HQ92" s="521"/>
      <c r="HR92" s="521"/>
      <c r="HS92" s="521"/>
      <c r="HT92" s="521"/>
      <c r="HU92" s="521"/>
      <c r="HV92" s="521"/>
      <c r="HW92" s="521"/>
      <c r="HX92" s="521"/>
      <c r="HY92" s="521"/>
      <c r="HZ92" s="521"/>
      <c r="IA92" s="521"/>
      <c r="IB92" s="521"/>
      <c r="IC92" s="521"/>
      <c r="ID92" s="521"/>
      <c r="IE92" s="521"/>
      <c r="IF92" s="521"/>
      <c r="IG92" s="521"/>
      <c r="IH92" s="521"/>
      <c r="II92" s="521"/>
      <c r="IJ92" s="521"/>
      <c r="IK92" s="521"/>
      <c r="IL92" s="521"/>
      <c r="IM92" s="521"/>
      <c r="IN92" s="521"/>
    </row>
    <row r="93" spans="1:249" s="508" customFormat="1" ht="12.75">
      <c r="A93" s="513" t="s">
        <v>390</v>
      </c>
      <c r="B93" s="509"/>
      <c r="C93" s="509"/>
      <c r="D93" s="509"/>
      <c r="E93" s="509"/>
      <c r="F93" s="509"/>
      <c r="G93" s="509"/>
      <c r="H93" s="509"/>
      <c r="I93" s="509"/>
      <c r="J93" s="509"/>
      <c r="K93" s="509"/>
      <c r="L93" s="509"/>
      <c r="M93" s="509"/>
      <c r="N93" s="509"/>
      <c r="O93" s="509"/>
      <c r="P93" s="509"/>
      <c r="Q93" s="509"/>
      <c r="R93" s="509"/>
      <c r="S93" s="509"/>
      <c r="T93" s="509"/>
      <c r="U93" s="509"/>
      <c r="V93" s="509"/>
      <c r="W93" s="509"/>
      <c r="X93" s="509"/>
      <c r="Y93" s="509"/>
      <c r="Z93" s="509"/>
      <c r="AA93" s="509"/>
      <c r="AB93" s="509"/>
      <c r="AC93" s="509"/>
      <c r="AD93" s="509"/>
      <c r="AE93" s="509"/>
      <c r="AF93" s="509"/>
      <c r="AG93" s="509"/>
      <c r="AH93" s="512"/>
      <c r="AI93" s="489"/>
      <c r="AJ93" s="489"/>
      <c r="AK93" s="489"/>
      <c r="AL93" s="1723" t="s">
        <v>893</v>
      </c>
      <c r="AM93" s="1723"/>
      <c r="AN93" s="1723"/>
      <c r="AO93" s="1723"/>
      <c r="AP93" s="1723"/>
      <c r="AQ93" s="1723"/>
      <c r="AR93" s="1723"/>
      <c r="AS93" s="1723"/>
      <c r="AT93" s="1723"/>
      <c r="AU93" s="1723"/>
      <c r="AV93" s="1723"/>
      <c r="AW93" s="1723"/>
      <c r="AX93" s="1723"/>
      <c r="AY93" s="1723"/>
      <c r="AZ93" s="1723"/>
      <c r="BA93" s="1723"/>
      <c r="BB93" s="1723"/>
      <c r="BC93" s="1723"/>
      <c r="BD93" s="1723"/>
      <c r="BE93" s="1723"/>
      <c r="BF93" s="1723"/>
      <c r="BG93" s="1723"/>
      <c r="BH93" s="1723"/>
      <c r="BI93" s="1723"/>
      <c r="BJ93" s="1723"/>
      <c r="BK93" s="1723"/>
      <c r="BL93" s="1723"/>
      <c r="BM93" s="1723"/>
      <c r="BN93" s="1723"/>
      <c r="BO93" s="1723"/>
      <c r="BP93" s="1723"/>
      <c r="BQ93" s="1723"/>
      <c r="BR93" s="1723"/>
      <c r="BS93" s="1723"/>
      <c r="BT93" s="1723"/>
      <c r="BU93" s="1723"/>
      <c r="BV93" s="1723"/>
      <c r="BW93" s="1723"/>
      <c r="BX93" s="1723"/>
      <c r="BY93" s="1723"/>
      <c r="BZ93" s="1723"/>
      <c r="CA93" s="1723"/>
      <c r="CB93" s="1723"/>
      <c r="CC93" s="1723"/>
      <c r="CD93" s="1723"/>
      <c r="CE93" s="1723"/>
      <c r="CF93" s="1723"/>
      <c r="CG93" s="1723"/>
      <c r="CH93" s="1723"/>
      <c r="CI93" s="1723"/>
      <c r="CJ93" s="1723"/>
      <c r="CK93" s="1723"/>
      <c r="CL93" s="1723"/>
      <c r="CM93" s="1723"/>
      <c r="CN93" s="1723"/>
      <c r="CO93" s="1723"/>
      <c r="CP93" s="1723"/>
      <c r="CQ93" s="1723"/>
      <c r="CR93" s="1723"/>
      <c r="CS93" s="1723"/>
      <c r="CT93" s="1723"/>
      <c r="CU93" s="1723"/>
      <c r="CV93" s="1723"/>
      <c r="CW93" s="1723"/>
      <c r="CX93" s="1723"/>
      <c r="CY93" s="1723"/>
      <c r="CZ93" s="1723"/>
      <c r="DA93" s="1723"/>
      <c r="DB93" s="1723"/>
      <c r="DC93" s="1723"/>
      <c r="DD93" s="1723"/>
      <c r="DE93" s="1723"/>
      <c r="DF93" s="1723"/>
      <c r="DG93" s="1723"/>
      <c r="DH93" s="1723"/>
      <c r="DI93" s="1723"/>
      <c r="DJ93" s="1723"/>
      <c r="DK93" s="1723"/>
      <c r="DL93" s="1723"/>
      <c r="DM93" s="1723"/>
      <c r="DN93" s="1723"/>
      <c r="DO93" s="1723"/>
      <c r="DP93" s="1723"/>
      <c r="DQ93" s="1723"/>
      <c r="DR93" s="1723"/>
      <c r="DS93" s="1723"/>
      <c r="DT93" s="1723"/>
      <c r="DU93" s="1723"/>
      <c r="DV93" s="1723"/>
      <c r="DW93" s="1723"/>
      <c r="DX93" s="1723"/>
      <c r="DY93" s="1723"/>
      <c r="DZ93" s="1723"/>
      <c r="EA93" s="1723"/>
      <c r="EB93" s="1723"/>
      <c r="EC93" s="1723"/>
      <c r="ED93" s="1723"/>
      <c r="EE93" s="1723"/>
      <c r="EF93" s="1723"/>
      <c r="EG93" s="1723"/>
      <c r="EH93" s="1723"/>
      <c r="EI93" s="1723"/>
      <c r="EJ93" s="1723"/>
      <c r="EK93" s="1723"/>
      <c r="EL93" s="1723"/>
      <c r="EM93" s="1723"/>
      <c r="EN93" s="1723"/>
      <c r="EO93" s="1723"/>
      <c r="EP93" s="1723"/>
      <c r="EQ93" s="1723"/>
      <c r="ER93" s="1723"/>
      <c r="ES93" s="1723"/>
      <c r="ET93" s="521"/>
      <c r="EU93" s="521"/>
      <c r="EV93" s="521"/>
      <c r="EW93" s="521"/>
      <c r="EX93" s="521"/>
      <c r="EY93" s="521"/>
      <c r="EZ93" s="521"/>
      <c r="FA93" s="521"/>
      <c r="FB93" s="521"/>
      <c r="FC93" s="521"/>
      <c r="FD93" s="521"/>
      <c r="FE93" s="521"/>
      <c r="FF93" s="521"/>
      <c r="FG93" s="521"/>
      <c r="FH93" s="521"/>
      <c r="FI93" s="521"/>
      <c r="FJ93" s="521"/>
      <c r="FK93" s="521"/>
      <c r="FL93" s="521"/>
      <c r="FM93" s="521"/>
      <c r="FN93" s="521"/>
      <c r="FO93" s="521"/>
      <c r="FP93" s="521"/>
      <c r="FQ93" s="521"/>
      <c r="FR93" s="521"/>
      <c r="FS93" s="521"/>
      <c r="FT93" s="521"/>
      <c r="FU93" s="521"/>
      <c r="FV93" s="521"/>
      <c r="FW93" s="521"/>
      <c r="FX93" s="521"/>
      <c r="FY93" s="521"/>
      <c r="FZ93" s="521"/>
      <c r="GA93" s="521"/>
      <c r="GB93" s="521"/>
      <c r="GC93" s="521"/>
      <c r="GD93" s="521"/>
      <c r="GE93" s="521"/>
      <c r="GF93" s="521"/>
      <c r="GG93" s="521"/>
      <c r="GH93" s="521"/>
      <c r="GI93" s="521"/>
      <c r="GJ93" s="521"/>
      <c r="GK93" s="521"/>
      <c r="GL93" s="521"/>
      <c r="GM93" s="521"/>
      <c r="GN93" s="521"/>
      <c r="GO93" s="521"/>
      <c r="GP93" s="521"/>
      <c r="GQ93" s="521"/>
      <c r="GR93" s="521"/>
      <c r="GS93" s="521"/>
      <c r="GT93" s="521"/>
      <c r="GU93" s="521"/>
      <c r="GV93" s="521"/>
      <c r="GW93" s="521"/>
      <c r="GX93" s="521"/>
      <c r="GY93" s="521"/>
      <c r="GZ93" s="521"/>
      <c r="HA93" s="521"/>
      <c r="HB93" s="521"/>
      <c r="HC93" s="521"/>
      <c r="HD93" s="521"/>
      <c r="HE93" s="521"/>
      <c r="HF93" s="521"/>
      <c r="HG93" s="521"/>
      <c r="HH93" s="521"/>
      <c r="HI93" s="521"/>
      <c r="HJ93" s="521"/>
      <c r="HK93" s="521"/>
      <c r="HL93" s="521"/>
      <c r="HM93" s="521"/>
      <c r="HN93" s="521"/>
      <c r="HO93" s="521"/>
      <c r="HP93" s="521"/>
      <c r="HQ93" s="521"/>
      <c r="HR93" s="521"/>
      <c r="HS93" s="521"/>
      <c r="HT93" s="521"/>
      <c r="HU93" s="521"/>
      <c r="HV93" s="521"/>
      <c r="HW93" s="521"/>
      <c r="HX93" s="521"/>
      <c r="HY93" s="521"/>
      <c r="HZ93" s="521"/>
      <c r="IA93" s="521"/>
      <c r="IB93" s="521"/>
      <c r="IC93" s="521"/>
      <c r="ID93" s="521"/>
      <c r="IE93" s="521"/>
      <c r="IF93" s="521"/>
      <c r="IG93" s="521"/>
      <c r="IH93" s="521"/>
      <c r="II93" s="521"/>
      <c r="IJ93" s="521"/>
      <c r="IK93" s="521"/>
      <c r="IL93" s="521"/>
      <c r="IM93" s="521"/>
      <c r="IN93" s="521"/>
    </row>
    <row r="94" spans="1:249" s="508" customFormat="1" ht="12.75">
      <c r="A94" s="510"/>
      <c r="B94" s="510"/>
      <c r="C94" s="510"/>
      <c r="D94" s="510"/>
      <c r="E94" s="510"/>
      <c r="F94" s="510"/>
      <c r="G94" s="510"/>
      <c r="H94" s="510"/>
      <c r="I94" s="510"/>
      <c r="J94" s="510"/>
      <c r="K94" s="510"/>
      <c r="L94" s="510"/>
      <c r="M94" s="510"/>
      <c r="N94" s="510"/>
      <c r="O94" s="510"/>
      <c r="P94" s="510"/>
      <c r="Q94" s="510"/>
      <c r="R94" s="510"/>
      <c r="S94" s="510"/>
      <c r="T94" s="510"/>
      <c r="U94" s="510"/>
      <c r="V94" s="510"/>
      <c r="W94" s="510"/>
      <c r="X94" s="510"/>
      <c r="Y94" s="510"/>
      <c r="Z94" s="510"/>
      <c r="AA94" s="510"/>
      <c r="AB94" s="510"/>
      <c r="AC94" s="510"/>
      <c r="AD94" s="510"/>
      <c r="AE94" s="510"/>
      <c r="AF94" s="510"/>
      <c r="AG94" s="510"/>
      <c r="AH94" s="510"/>
      <c r="AI94" s="1724" t="s">
        <v>118</v>
      </c>
      <c r="AJ94" s="1724"/>
      <c r="AK94" s="1724"/>
      <c r="AL94" s="1724"/>
      <c r="AM94" s="1724"/>
      <c r="AN94" s="1724"/>
      <c r="AO94" s="1724"/>
      <c r="AP94" s="1724"/>
      <c r="AQ94" s="1724"/>
      <c r="AR94" s="1724"/>
      <c r="AS94" s="1724"/>
      <c r="AT94" s="1724"/>
      <c r="AU94" s="1724"/>
      <c r="AV94" s="1724"/>
      <c r="AW94" s="1724"/>
      <c r="AX94" s="1724"/>
      <c r="AY94" s="1724"/>
      <c r="AZ94" s="1724"/>
      <c r="BA94" s="1724"/>
      <c r="BB94" s="1724"/>
      <c r="BC94" s="1724"/>
      <c r="BD94" s="1724"/>
      <c r="BE94" s="1724"/>
      <c r="BF94" s="1724"/>
      <c r="BG94" s="1724"/>
      <c r="BH94" s="1724"/>
      <c r="BI94" s="1724"/>
      <c r="BJ94" s="1724"/>
      <c r="BK94" s="1724"/>
      <c r="BL94" s="1724"/>
      <c r="BM94" s="1724"/>
      <c r="BN94" s="1724"/>
      <c r="BO94" s="1724"/>
      <c r="BP94" s="1724"/>
      <c r="BQ94" s="1724"/>
      <c r="BR94" s="1724"/>
      <c r="BS94" s="1724"/>
      <c r="BT94" s="1724"/>
      <c r="BU94" s="1724"/>
      <c r="BV94" s="1724"/>
      <c r="BW94" s="1724"/>
      <c r="BX94" s="1724"/>
      <c r="BY94" s="1724"/>
      <c r="BZ94" s="1724"/>
      <c r="CA94" s="1724"/>
      <c r="CB94" s="1724"/>
      <c r="CC94" s="1724"/>
      <c r="CD94" s="1724"/>
      <c r="CE94" s="1724"/>
      <c r="CF94" s="1724"/>
      <c r="CG94" s="1724"/>
      <c r="CH94" s="1724"/>
      <c r="CI94" s="1724"/>
      <c r="CJ94" s="1724"/>
      <c r="CK94" s="1724"/>
      <c r="CL94" s="1724"/>
      <c r="CM94" s="1724"/>
      <c r="CN94" s="1724"/>
      <c r="CO94" s="1724"/>
      <c r="CP94" s="1724"/>
      <c r="CQ94" s="1724"/>
      <c r="CR94" s="1724"/>
      <c r="CS94" s="1724"/>
      <c r="CT94" s="1724"/>
      <c r="CU94" s="1724"/>
      <c r="CV94" s="1724"/>
      <c r="CW94" s="1724"/>
      <c r="CX94" s="1724"/>
      <c r="CY94" s="1724"/>
      <c r="CZ94" s="1724"/>
      <c r="DA94" s="1724"/>
      <c r="DB94" s="1724"/>
      <c r="DC94" s="1724"/>
      <c r="DD94" s="1724"/>
      <c r="DE94" s="1724"/>
      <c r="DF94" s="1724"/>
      <c r="DG94" s="1724"/>
      <c r="DH94" s="1724"/>
      <c r="DI94" s="1724"/>
      <c r="DJ94" s="1724"/>
      <c r="DK94" s="1724"/>
      <c r="DL94" s="1724"/>
      <c r="DM94" s="1724"/>
      <c r="DN94" s="1724"/>
      <c r="DO94" s="1724"/>
      <c r="DP94" s="1724"/>
      <c r="DQ94" s="1724"/>
      <c r="DR94" s="1724"/>
      <c r="DS94" s="1724"/>
      <c r="DT94" s="1724"/>
      <c r="DU94" s="1724"/>
      <c r="DV94" s="1724"/>
      <c r="DW94" s="1724"/>
      <c r="DX94" s="1724"/>
      <c r="DY94" s="1724"/>
      <c r="DZ94" s="1724"/>
      <c r="EA94" s="1724"/>
      <c r="EB94" s="1724"/>
      <c r="EC94" s="1724"/>
      <c r="ED94" s="1724"/>
      <c r="EE94" s="1724"/>
      <c r="EF94" s="1724"/>
      <c r="EG94" s="1724"/>
      <c r="EH94" s="1724"/>
      <c r="EI94" s="1724"/>
      <c r="EJ94" s="1724"/>
      <c r="EK94" s="1724"/>
      <c r="EL94" s="1724"/>
      <c r="EM94" s="1724"/>
      <c r="EN94" s="1724"/>
      <c r="EO94" s="1724"/>
      <c r="EP94" s="1724"/>
      <c r="EQ94" s="1724"/>
      <c r="ER94" s="1724"/>
      <c r="ES94" s="1724"/>
      <c r="ET94" s="521"/>
      <c r="EU94" s="521"/>
      <c r="EV94" s="521"/>
      <c r="EW94" s="521"/>
      <c r="EX94" s="521"/>
      <c r="EY94" s="521"/>
      <c r="EZ94" s="521"/>
      <c r="FA94" s="521"/>
      <c r="FB94" s="521"/>
      <c r="FC94" s="521"/>
      <c r="FD94" s="521"/>
      <c r="FE94" s="521"/>
      <c r="FF94" s="521"/>
      <c r="FG94" s="521"/>
      <c r="FH94" s="521"/>
      <c r="FI94" s="521"/>
      <c r="FJ94" s="521"/>
      <c r="FK94" s="521"/>
      <c r="FL94" s="521"/>
      <c r="FM94" s="521"/>
      <c r="FN94" s="521"/>
      <c r="FO94" s="521"/>
      <c r="FP94" s="521"/>
      <c r="FQ94" s="521"/>
      <c r="FR94" s="521"/>
      <c r="FS94" s="521"/>
      <c r="FT94" s="521"/>
      <c r="FU94" s="521"/>
      <c r="FV94" s="521"/>
      <c r="FW94" s="521"/>
      <c r="FX94" s="521"/>
      <c r="FY94" s="521"/>
      <c r="FZ94" s="521"/>
      <c r="GA94" s="521"/>
      <c r="GB94" s="521"/>
      <c r="GC94" s="521"/>
      <c r="GD94" s="521"/>
      <c r="GE94" s="521"/>
      <c r="GF94" s="521"/>
      <c r="GG94" s="521"/>
      <c r="GH94" s="521"/>
      <c r="GI94" s="521"/>
      <c r="GJ94" s="521"/>
      <c r="GK94" s="521"/>
      <c r="GL94" s="521"/>
      <c r="GM94" s="521"/>
      <c r="GN94" s="521"/>
      <c r="GO94" s="521"/>
      <c r="GP94" s="521"/>
      <c r="GQ94" s="521"/>
      <c r="GR94" s="521"/>
      <c r="GS94" s="521"/>
      <c r="GT94" s="521"/>
      <c r="GU94" s="521"/>
      <c r="GV94" s="521"/>
      <c r="GW94" s="521"/>
      <c r="GX94" s="521"/>
      <c r="GY94" s="521"/>
      <c r="GZ94" s="521"/>
      <c r="HA94" s="521"/>
      <c r="HB94" s="521"/>
      <c r="HC94" s="521"/>
      <c r="HD94" s="521"/>
      <c r="HE94" s="521"/>
      <c r="HF94" s="521"/>
      <c r="HG94" s="521"/>
      <c r="HH94" s="521"/>
      <c r="HI94" s="521"/>
      <c r="HJ94" s="521"/>
      <c r="HK94" s="521"/>
      <c r="HL94" s="521"/>
      <c r="HM94" s="521"/>
      <c r="HN94" s="521"/>
      <c r="HO94" s="521"/>
      <c r="HP94" s="521"/>
      <c r="HQ94" s="521"/>
      <c r="HR94" s="521"/>
      <c r="HS94" s="521"/>
      <c r="HT94" s="521"/>
      <c r="HU94" s="521"/>
      <c r="HV94" s="521"/>
      <c r="HW94" s="521"/>
      <c r="HX94" s="521"/>
      <c r="HY94" s="521"/>
      <c r="HZ94" s="521"/>
      <c r="IA94" s="521"/>
      <c r="IB94" s="521"/>
      <c r="IC94" s="521"/>
      <c r="ID94" s="521"/>
      <c r="IE94" s="521"/>
      <c r="IF94" s="521"/>
      <c r="IG94" s="521"/>
      <c r="IH94" s="521"/>
      <c r="II94" s="521"/>
      <c r="IJ94" s="521"/>
      <c r="IK94" s="521"/>
      <c r="IL94" s="521"/>
      <c r="IM94" s="521"/>
      <c r="IN94" s="521"/>
    </row>
    <row r="95" spans="1:249" s="508" customFormat="1" ht="12.75">
      <c r="A95" s="513" t="s">
        <v>391</v>
      </c>
      <c r="B95" s="509"/>
      <c r="C95" s="509"/>
      <c r="D95" s="509"/>
      <c r="E95" s="509"/>
      <c r="F95" s="509"/>
      <c r="G95" s="509"/>
      <c r="H95" s="509"/>
      <c r="I95" s="509"/>
      <c r="J95" s="509"/>
      <c r="K95" s="509"/>
      <c r="L95" s="509"/>
      <c r="M95" s="509"/>
      <c r="N95" s="509"/>
      <c r="O95" s="509"/>
      <c r="P95" s="509"/>
      <c r="Q95" s="509"/>
      <c r="R95" s="509"/>
      <c r="S95" s="509"/>
      <c r="T95" s="509"/>
      <c r="U95" s="509"/>
      <c r="V95" s="509"/>
      <c r="W95" s="509"/>
      <c r="X95" s="509"/>
      <c r="Y95" s="512"/>
      <c r="Z95" s="489"/>
      <c r="AA95" s="489"/>
      <c r="AB95" s="1723" t="s">
        <v>894</v>
      </c>
      <c r="AC95" s="1723"/>
      <c r="AD95" s="1723"/>
      <c r="AE95" s="1723"/>
      <c r="AF95" s="1723"/>
      <c r="AG95" s="1723"/>
      <c r="AH95" s="1723"/>
      <c r="AI95" s="1723"/>
      <c r="AJ95" s="1723"/>
      <c r="AK95" s="1723"/>
      <c r="AL95" s="1723"/>
      <c r="AM95" s="1723"/>
      <c r="AN95" s="1723"/>
      <c r="AO95" s="1723"/>
      <c r="AP95" s="1723"/>
      <c r="AQ95" s="1723"/>
      <c r="AR95" s="1723"/>
      <c r="AS95" s="1723"/>
      <c r="AT95" s="1723"/>
      <c r="AU95" s="1723"/>
      <c r="AV95" s="1723"/>
      <c r="AW95" s="1723"/>
      <c r="AX95" s="1723"/>
      <c r="AY95" s="1723"/>
      <c r="AZ95" s="1723"/>
      <c r="BA95" s="1723"/>
      <c r="BB95" s="1723"/>
      <c r="BC95" s="1723"/>
      <c r="BD95" s="1723"/>
      <c r="BE95" s="1723"/>
      <c r="BF95" s="1723"/>
      <c r="BG95" s="1723"/>
      <c r="BH95" s="1723"/>
      <c r="BI95" s="1723"/>
      <c r="BJ95" s="1723"/>
      <c r="BK95" s="1723"/>
      <c r="BL95" s="1723"/>
      <c r="BM95" s="1723"/>
      <c r="BN95" s="1723"/>
      <c r="BO95" s="1723"/>
      <c r="BP95" s="1723"/>
      <c r="BQ95" s="1723"/>
      <c r="BR95" s="1723"/>
      <c r="BS95" s="1723"/>
      <c r="BT95" s="1723"/>
      <c r="BU95" s="1723"/>
      <c r="BV95" s="1723"/>
      <c r="BW95" s="1723"/>
      <c r="BX95" s="1723"/>
      <c r="BY95" s="1723"/>
      <c r="BZ95" s="1723"/>
      <c r="CA95" s="1723"/>
      <c r="CB95" s="1723"/>
      <c r="CC95" s="1723"/>
      <c r="CD95" s="1723"/>
      <c r="CE95" s="1723"/>
      <c r="CF95" s="1723"/>
      <c r="CG95" s="1723"/>
      <c r="CH95" s="1723"/>
      <c r="CI95" s="1723"/>
      <c r="CJ95" s="1723"/>
      <c r="CK95" s="1723"/>
      <c r="CL95" s="1723"/>
      <c r="CM95" s="1723"/>
      <c r="CN95" s="1723"/>
      <c r="CO95" s="1723"/>
      <c r="CP95" s="1723"/>
      <c r="CQ95" s="1723"/>
      <c r="CR95" s="1723"/>
      <c r="CS95" s="1723"/>
      <c r="CT95" s="1723"/>
      <c r="CU95" s="1723"/>
      <c r="CV95" s="1723"/>
      <c r="CW95" s="1723"/>
      <c r="CX95" s="1723"/>
      <c r="CY95" s="1723"/>
      <c r="CZ95" s="1723"/>
      <c r="DA95" s="1723"/>
      <c r="DB95" s="1723"/>
      <c r="DC95" s="1723"/>
      <c r="DD95" s="1723"/>
      <c r="DE95" s="1723"/>
      <c r="DF95" s="1723"/>
      <c r="DG95" s="1723"/>
      <c r="DH95" s="1723"/>
      <c r="DI95" s="1723"/>
      <c r="DJ95" s="1723"/>
      <c r="DK95" s="1723"/>
      <c r="DL95" s="1723"/>
      <c r="DM95" s="1723"/>
      <c r="DN95" s="1723"/>
      <c r="DO95" s="1723"/>
      <c r="DP95" s="1723"/>
      <c r="DQ95" s="1723"/>
      <c r="DR95" s="1723"/>
      <c r="DS95" s="1723"/>
      <c r="DT95" s="1723"/>
      <c r="DU95" s="1723"/>
      <c r="DV95" s="1723"/>
      <c r="DW95" s="1723"/>
      <c r="DX95" s="1723"/>
      <c r="DY95" s="1723"/>
      <c r="DZ95" s="1723"/>
      <c r="EA95" s="1723"/>
      <c r="EB95" s="1723"/>
      <c r="EC95" s="1723"/>
      <c r="ED95" s="1723"/>
      <c r="EE95" s="1723"/>
      <c r="EF95" s="1723"/>
      <c r="EG95" s="1723"/>
      <c r="EH95" s="1723"/>
      <c r="EI95" s="1723"/>
      <c r="EJ95" s="1723"/>
      <c r="EK95" s="1723"/>
      <c r="EL95" s="1723"/>
      <c r="EM95" s="1723"/>
      <c r="EN95" s="1723"/>
      <c r="EO95" s="1723"/>
      <c r="EP95" s="1723"/>
      <c r="EQ95" s="1723"/>
      <c r="ER95" s="1723"/>
      <c r="ES95" s="1723"/>
      <c r="ET95" s="521"/>
      <c r="EU95" s="521"/>
      <c r="EV95" s="521"/>
      <c r="EW95" s="521"/>
      <c r="EX95" s="521"/>
      <c r="EY95" s="521"/>
      <c r="EZ95" s="521"/>
      <c r="FA95" s="521"/>
      <c r="FB95" s="521"/>
      <c r="FC95" s="521"/>
      <c r="FD95" s="521"/>
      <c r="FE95" s="521"/>
      <c r="FF95" s="521"/>
      <c r="FG95" s="521"/>
      <c r="FH95" s="521"/>
      <c r="FI95" s="521"/>
      <c r="FJ95" s="521"/>
      <c r="FK95" s="521"/>
      <c r="FL95" s="521"/>
      <c r="FM95" s="521"/>
      <c r="FN95" s="521"/>
      <c r="FO95" s="521"/>
      <c r="FP95" s="521"/>
      <c r="FQ95" s="521"/>
      <c r="FR95" s="521"/>
      <c r="FS95" s="521"/>
      <c r="FT95" s="521"/>
      <c r="FU95" s="521"/>
      <c r="FV95" s="521"/>
      <c r="FW95" s="521"/>
      <c r="FX95" s="521"/>
      <c r="FY95" s="521"/>
      <c r="FZ95" s="521"/>
      <c r="GA95" s="521"/>
      <c r="GB95" s="521"/>
      <c r="GC95" s="521"/>
      <c r="GD95" s="521"/>
      <c r="GE95" s="521"/>
      <c r="GF95" s="521"/>
      <c r="GG95" s="521"/>
      <c r="GH95" s="521"/>
      <c r="GI95" s="521"/>
      <c r="GJ95" s="521"/>
      <c r="GK95" s="521"/>
      <c r="GL95" s="521"/>
      <c r="GM95" s="521"/>
      <c r="GN95" s="521"/>
      <c r="GO95" s="521"/>
      <c r="GP95" s="521"/>
      <c r="GQ95" s="521"/>
      <c r="GR95" s="521"/>
      <c r="GS95" s="521"/>
      <c r="GT95" s="521"/>
      <c r="GU95" s="521"/>
      <c r="GV95" s="521"/>
      <c r="GW95" s="521"/>
      <c r="GX95" s="521"/>
      <c r="GY95" s="521"/>
      <c r="GZ95" s="521"/>
      <c r="HA95" s="521"/>
      <c r="HB95" s="521"/>
      <c r="HC95" s="521"/>
      <c r="HD95" s="521"/>
      <c r="HE95" s="521"/>
      <c r="HF95" s="521"/>
      <c r="HG95" s="521"/>
      <c r="HH95" s="521"/>
      <c r="HI95" s="521"/>
      <c r="HJ95" s="521"/>
      <c r="HK95" s="521"/>
      <c r="HL95" s="521"/>
      <c r="HM95" s="521"/>
      <c r="HN95" s="521"/>
      <c r="HO95" s="521"/>
      <c r="HP95" s="521"/>
      <c r="HQ95" s="521"/>
      <c r="HR95" s="521"/>
      <c r="HS95" s="521"/>
      <c r="HT95" s="521"/>
      <c r="HU95" s="521"/>
      <c r="HV95" s="521"/>
      <c r="HW95" s="521"/>
      <c r="HX95" s="521"/>
      <c r="HY95" s="521"/>
      <c r="HZ95" s="521"/>
      <c r="IA95" s="521"/>
      <c r="IB95" s="521"/>
      <c r="IC95" s="521"/>
      <c r="ID95" s="521"/>
      <c r="IE95" s="521"/>
      <c r="IF95" s="521"/>
      <c r="IG95" s="521"/>
      <c r="IH95" s="521"/>
      <c r="II95" s="521"/>
      <c r="IJ95" s="521"/>
      <c r="IK95" s="521"/>
      <c r="IL95" s="521"/>
      <c r="IM95" s="521"/>
      <c r="IN95" s="521"/>
    </row>
    <row r="96" spans="1:249" s="508" customFormat="1" ht="12.75">
      <c r="A96" s="510"/>
      <c r="B96" s="510"/>
      <c r="C96" s="510"/>
      <c r="D96" s="510"/>
      <c r="E96" s="510"/>
      <c r="F96" s="510"/>
      <c r="G96" s="510"/>
      <c r="H96" s="510"/>
      <c r="I96" s="510"/>
      <c r="J96" s="510"/>
      <c r="K96" s="510"/>
      <c r="L96" s="510"/>
      <c r="M96" s="510"/>
      <c r="N96" s="510"/>
      <c r="O96" s="510"/>
      <c r="P96" s="510"/>
      <c r="Q96" s="510"/>
      <c r="R96" s="510"/>
      <c r="S96" s="510"/>
      <c r="T96" s="510"/>
      <c r="U96" s="510"/>
      <c r="V96" s="510"/>
      <c r="W96" s="510"/>
      <c r="X96" s="510"/>
      <c r="Y96" s="510"/>
      <c r="Z96" s="1724" t="s">
        <v>118</v>
      </c>
      <c r="AA96" s="1724"/>
      <c r="AB96" s="1724"/>
      <c r="AC96" s="1724"/>
      <c r="AD96" s="1724"/>
      <c r="AE96" s="1724"/>
      <c r="AF96" s="1724"/>
      <c r="AG96" s="1724"/>
      <c r="AH96" s="1724"/>
      <c r="AI96" s="1724"/>
      <c r="AJ96" s="1724"/>
      <c r="AK96" s="1724"/>
      <c r="AL96" s="1724"/>
      <c r="AM96" s="1724"/>
      <c r="AN96" s="1724"/>
      <c r="AO96" s="1724"/>
      <c r="AP96" s="1724"/>
      <c r="AQ96" s="1724"/>
      <c r="AR96" s="1724"/>
      <c r="AS96" s="1724"/>
      <c r="AT96" s="1724"/>
      <c r="AU96" s="1724"/>
      <c r="AV96" s="1724"/>
      <c r="AW96" s="1724"/>
      <c r="AX96" s="1724"/>
      <c r="AY96" s="1724"/>
      <c r="AZ96" s="1724"/>
      <c r="BA96" s="1724"/>
      <c r="BB96" s="1724"/>
      <c r="BC96" s="1724"/>
      <c r="BD96" s="1724"/>
      <c r="BE96" s="1724"/>
      <c r="BF96" s="1724"/>
      <c r="BG96" s="1724"/>
      <c r="BH96" s="1724"/>
      <c r="BI96" s="1724"/>
      <c r="BJ96" s="1724"/>
      <c r="BK96" s="1724"/>
      <c r="BL96" s="1724"/>
      <c r="BM96" s="1724"/>
      <c r="BN96" s="1724"/>
      <c r="BO96" s="1724"/>
      <c r="BP96" s="1724"/>
      <c r="BQ96" s="1724"/>
      <c r="BR96" s="1724"/>
      <c r="BS96" s="1724"/>
      <c r="BT96" s="1724"/>
      <c r="BU96" s="1724"/>
      <c r="BV96" s="1724"/>
      <c r="BW96" s="1724"/>
      <c r="BX96" s="1724"/>
      <c r="BY96" s="1724"/>
      <c r="BZ96" s="1724"/>
      <c r="CA96" s="1724"/>
      <c r="CB96" s="1724"/>
      <c r="CC96" s="1724"/>
      <c r="CD96" s="1724"/>
      <c r="CE96" s="1724"/>
      <c r="CF96" s="1724"/>
      <c r="CG96" s="1724"/>
      <c r="CH96" s="1724"/>
      <c r="CI96" s="1724"/>
      <c r="CJ96" s="1724"/>
      <c r="CK96" s="1724"/>
      <c r="CL96" s="1724"/>
      <c r="CM96" s="1724"/>
      <c r="CN96" s="1724"/>
      <c r="CO96" s="1724"/>
      <c r="CP96" s="1724"/>
      <c r="CQ96" s="1724"/>
      <c r="CR96" s="1724"/>
      <c r="CS96" s="1724"/>
      <c r="CT96" s="1724"/>
      <c r="CU96" s="1724"/>
      <c r="CV96" s="1724"/>
      <c r="CW96" s="1724"/>
      <c r="CX96" s="1724"/>
      <c r="CY96" s="1724"/>
      <c r="CZ96" s="1724"/>
      <c r="DA96" s="1724"/>
      <c r="DB96" s="1724"/>
      <c r="DC96" s="1724"/>
      <c r="DD96" s="1724"/>
      <c r="DE96" s="1724"/>
      <c r="DF96" s="1724"/>
      <c r="DG96" s="1724"/>
      <c r="DH96" s="1724"/>
      <c r="DI96" s="1724"/>
      <c r="DJ96" s="1724"/>
      <c r="DK96" s="1724"/>
      <c r="DL96" s="1724"/>
      <c r="DM96" s="1724"/>
      <c r="DN96" s="1724"/>
      <c r="DO96" s="1724"/>
      <c r="DP96" s="1724"/>
      <c r="DQ96" s="1724"/>
      <c r="DR96" s="1724"/>
      <c r="DS96" s="1724"/>
      <c r="DT96" s="1724"/>
      <c r="DU96" s="1724"/>
      <c r="DV96" s="1724"/>
      <c r="DW96" s="1724"/>
      <c r="DX96" s="1724"/>
      <c r="DY96" s="1724"/>
      <c r="DZ96" s="1724"/>
      <c r="EA96" s="1724"/>
      <c r="EB96" s="1724"/>
      <c r="EC96" s="1724"/>
      <c r="ED96" s="1724"/>
      <c r="EE96" s="1724"/>
      <c r="EF96" s="1724"/>
      <c r="EG96" s="1724"/>
      <c r="EH96" s="1724"/>
      <c r="EI96" s="1724"/>
      <c r="EJ96" s="1724"/>
      <c r="EK96" s="1724"/>
      <c r="EL96" s="1724"/>
      <c r="EM96" s="1724"/>
      <c r="EN96" s="1724"/>
      <c r="EO96" s="1724"/>
      <c r="EP96" s="1724"/>
      <c r="EQ96" s="1724"/>
      <c r="ER96" s="1724"/>
      <c r="ES96" s="1724"/>
      <c r="ET96" s="521"/>
      <c r="EU96" s="521"/>
      <c r="EV96" s="521"/>
      <c r="EW96" s="521"/>
      <c r="EX96" s="521"/>
      <c r="EY96" s="521"/>
      <c r="EZ96" s="521"/>
      <c r="FA96" s="521"/>
      <c r="FB96" s="521"/>
      <c r="FC96" s="521"/>
      <c r="FD96" s="521"/>
      <c r="FE96" s="521"/>
      <c r="FF96" s="521"/>
      <c r="FG96" s="521"/>
      <c r="FH96" s="521"/>
      <c r="FI96" s="521"/>
      <c r="FJ96" s="521"/>
      <c r="FK96" s="521"/>
      <c r="FL96" s="521"/>
      <c r="FM96" s="521"/>
      <c r="FN96" s="521"/>
      <c r="FO96" s="521"/>
      <c r="FP96" s="521"/>
      <c r="FQ96" s="521"/>
      <c r="FR96" s="521"/>
      <c r="FS96" s="521"/>
      <c r="FT96" s="521"/>
      <c r="FU96" s="521"/>
      <c r="FV96" s="521"/>
      <c r="FW96" s="521"/>
      <c r="FX96" s="521"/>
      <c r="FY96" s="521"/>
      <c r="FZ96" s="521"/>
      <c r="GA96" s="521"/>
      <c r="GB96" s="521"/>
      <c r="GC96" s="521"/>
      <c r="GD96" s="521"/>
      <c r="GE96" s="521"/>
      <c r="GF96" s="521"/>
      <c r="GG96" s="521"/>
      <c r="GH96" s="521"/>
      <c r="GI96" s="521"/>
      <c r="GJ96" s="521"/>
      <c r="GK96" s="521"/>
      <c r="GL96" s="521"/>
      <c r="GM96" s="521"/>
      <c r="GN96" s="521"/>
      <c r="GO96" s="521"/>
      <c r="GP96" s="521"/>
      <c r="GQ96" s="521"/>
      <c r="GR96" s="521"/>
      <c r="GS96" s="521"/>
      <c r="GT96" s="521"/>
      <c r="GU96" s="521"/>
      <c r="GV96" s="521"/>
      <c r="GW96" s="521"/>
      <c r="GX96" s="521"/>
      <c r="GY96" s="521"/>
      <c r="GZ96" s="521"/>
      <c r="HA96" s="521"/>
      <c r="HB96" s="521"/>
      <c r="HC96" s="521"/>
      <c r="HD96" s="521"/>
      <c r="HE96" s="521"/>
      <c r="HF96" s="521"/>
      <c r="HG96" s="521"/>
      <c r="HH96" s="521"/>
      <c r="HI96" s="521"/>
      <c r="HJ96" s="521"/>
      <c r="HK96" s="521"/>
      <c r="HL96" s="521"/>
      <c r="HM96" s="521"/>
      <c r="HN96" s="521"/>
      <c r="HO96" s="521"/>
      <c r="HP96" s="521"/>
      <c r="HQ96" s="521"/>
      <c r="HR96" s="521"/>
      <c r="HS96" s="521"/>
      <c r="HT96" s="521"/>
      <c r="HU96" s="521"/>
      <c r="HV96" s="521"/>
      <c r="HW96" s="521"/>
      <c r="HX96" s="521"/>
      <c r="HY96" s="521"/>
      <c r="HZ96" s="521"/>
      <c r="IA96" s="521"/>
      <c r="IB96" s="521"/>
      <c r="IC96" s="521"/>
      <c r="ID96" s="521"/>
      <c r="IE96" s="521"/>
      <c r="IF96" s="521"/>
      <c r="IG96" s="521"/>
      <c r="IH96" s="521"/>
      <c r="II96" s="521"/>
      <c r="IJ96" s="521"/>
      <c r="IK96" s="521"/>
      <c r="IL96" s="521"/>
      <c r="IM96" s="521"/>
      <c r="IN96" s="521"/>
    </row>
    <row r="97" spans="1:248" s="508" customFormat="1" ht="12.75">
      <c r="A97" s="1742" t="s">
        <v>180</v>
      </c>
      <c r="B97" s="1742"/>
      <c r="C97" s="1742"/>
      <c r="D97" s="1742"/>
      <c r="E97" s="1742"/>
      <c r="F97" s="1742"/>
      <c r="G97" s="1742"/>
      <c r="H97" s="1742"/>
      <c r="I97" s="1742"/>
      <c r="J97" s="1742"/>
      <c r="K97" s="1742"/>
      <c r="L97" s="1742"/>
      <c r="M97" s="1742"/>
      <c r="N97" s="1742"/>
      <c r="O97" s="510"/>
      <c r="P97" s="510"/>
      <c r="Q97" s="1726"/>
      <c r="R97" s="1726"/>
      <c r="S97" s="1726"/>
      <c r="T97" s="1726"/>
      <c r="U97" s="1726"/>
      <c r="V97" s="1726"/>
      <c r="W97" s="1726"/>
      <c r="X97" s="1726"/>
      <c r="Y97" s="1726"/>
      <c r="Z97" s="1726"/>
      <c r="AA97" s="1726"/>
      <c r="AB97" s="1726"/>
      <c r="AC97" s="1726"/>
      <c r="AD97" s="1726"/>
      <c r="AE97" s="1726"/>
      <c r="AF97" s="1726"/>
      <c r="AG97" s="1726"/>
      <c r="AH97" s="1726"/>
      <c r="AI97" s="1726"/>
      <c r="AJ97" s="1726"/>
      <c r="AK97" s="1726"/>
      <c r="AL97" s="510"/>
      <c r="AM97" s="510"/>
      <c r="AN97" s="510"/>
      <c r="AO97" s="510"/>
      <c r="AP97" s="1726"/>
      <c r="AQ97" s="1726"/>
      <c r="AR97" s="1726"/>
      <c r="AS97" s="1726"/>
      <c r="AT97" s="1726"/>
      <c r="AU97" s="1726"/>
      <c r="AV97" s="1726"/>
      <c r="AW97" s="1726"/>
      <c r="AX97" s="1726"/>
      <c r="AY97" s="1726"/>
      <c r="AZ97" s="1726"/>
      <c r="BA97" s="1726"/>
      <c r="BB97" s="1726"/>
      <c r="BC97" s="1726"/>
      <c r="BD97" s="1726"/>
      <c r="BE97" s="1726"/>
      <c r="BF97" s="1726"/>
      <c r="BG97" s="1726"/>
      <c r="BH97" s="1726"/>
      <c r="BI97" s="1726"/>
      <c r="BJ97" s="1726"/>
      <c r="BK97" s="1726"/>
      <c r="BL97" s="1726"/>
      <c r="BM97" s="1726"/>
      <c r="BN97" s="1726"/>
      <c r="BO97" s="1726"/>
      <c r="BP97" s="1726"/>
      <c r="BQ97" s="1726"/>
      <c r="BR97" s="1726"/>
      <c r="BS97" s="1726"/>
      <c r="BT97" s="1726"/>
      <c r="BU97" s="1726"/>
      <c r="BV97" s="510"/>
      <c r="BW97" s="510"/>
      <c r="BX97" s="510"/>
      <c r="BY97" s="510"/>
      <c r="BZ97" s="510"/>
      <c r="CA97" s="510"/>
      <c r="CB97" s="510"/>
      <c r="CC97" s="510"/>
      <c r="CD97" s="510"/>
      <c r="CE97" s="510"/>
      <c r="CF97" s="510"/>
      <c r="CG97" s="510"/>
      <c r="CH97" s="510"/>
      <c r="CI97" s="510"/>
      <c r="CJ97" s="510"/>
      <c r="CK97" s="510"/>
      <c r="CL97" s="510"/>
      <c r="CM97" s="510"/>
      <c r="CN97" s="510"/>
      <c r="CO97" s="510"/>
      <c r="CP97" s="510"/>
      <c r="CQ97" s="510"/>
      <c r="CR97" s="510"/>
      <c r="CS97" s="510"/>
      <c r="CT97" s="510"/>
      <c r="CU97" s="510"/>
      <c r="CV97" s="510"/>
      <c r="CW97" s="510"/>
      <c r="CX97" s="510"/>
      <c r="CY97" s="510"/>
      <c r="CZ97" s="510"/>
      <c r="DA97" s="510"/>
      <c r="DB97" s="510"/>
      <c r="DC97" s="510"/>
      <c r="DD97" s="510"/>
      <c r="DE97" s="510"/>
      <c r="DF97" s="510"/>
      <c r="DG97" s="510"/>
      <c r="DH97" s="510"/>
      <c r="DI97" s="510"/>
      <c r="DJ97" s="510"/>
      <c r="DK97" s="510"/>
      <c r="DL97" s="510"/>
      <c r="DM97" s="510"/>
      <c r="DN97" s="510"/>
      <c r="DO97" s="510"/>
      <c r="DP97" s="510"/>
      <c r="DQ97" s="510"/>
      <c r="DR97" s="510"/>
      <c r="DS97" s="510"/>
      <c r="DT97" s="510"/>
      <c r="DU97" s="510"/>
      <c r="DV97" s="510"/>
      <c r="DW97" s="510"/>
      <c r="DX97" s="510"/>
      <c r="DY97" s="510"/>
      <c r="DZ97" s="510"/>
      <c r="EA97" s="510"/>
      <c r="EB97" s="510"/>
      <c r="EC97" s="510"/>
      <c r="ED97" s="510"/>
      <c r="EE97" s="510"/>
      <c r="EF97" s="510"/>
      <c r="EG97" s="510"/>
      <c r="EH97" s="510"/>
      <c r="EI97" s="510"/>
      <c r="EJ97" s="510"/>
      <c r="EK97" s="510"/>
      <c r="EL97" s="510"/>
      <c r="EM97" s="510"/>
      <c r="EN97" s="510"/>
      <c r="EO97" s="510"/>
      <c r="EP97" s="510"/>
      <c r="EQ97" s="510"/>
      <c r="ER97" s="510"/>
      <c r="ES97" s="510"/>
      <c r="ET97" s="521"/>
      <c r="EU97" s="521"/>
      <c r="EV97" s="521"/>
      <c r="EW97" s="521"/>
      <c r="EX97" s="521"/>
      <c r="EY97" s="521"/>
      <c r="EZ97" s="521"/>
      <c r="FA97" s="521"/>
      <c r="FB97" s="521"/>
      <c r="FC97" s="521"/>
      <c r="FD97" s="521"/>
      <c r="FE97" s="521"/>
      <c r="FF97" s="521"/>
      <c r="FG97" s="521"/>
      <c r="FH97" s="521"/>
      <c r="FI97" s="521"/>
      <c r="FJ97" s="521"/>
      <c r="FK97" s="521"/>
      <c r="FL97" s="521"/>
      <c r="FM97" s="521"/>
      <c r="FN97" s="521"/>
      <c r="FO97" s="521"/>
      <c r="FP97" s="521"/>
      <c r="FQ97" s="521"/>
      <c r="FR97" s="521"/>
      <c r="FS97" s="521"/>
      <c r="FT97" s="521"/>
      <c r="FU97" s="521"/>
      <c r="FV97" s="521"/>
      <c r="FW97" s="521"/>
      <c r="FX97" s="521"/>
      <c r="FY97" s="521"/>
      <c r="FZ97" s="521"/>
      <c r="GA97" s="521"/>
      <c r="GB97" s="521"/>
      <c r="GC97" s="521"/>
      <c r="GD97" s="521"/>
      <c r="GE97" s="521"/>
      <c r="GF97" s="521"/>
      <c r="GG97" s="521"/>
      <c r="GH97" s="521"/>
      <c r="GI97" s="521"/>
      <c r="GJ97" s="521"/>
      <c r="GK97" s="521"/>
      <c r="GL97" s="521"/>
      <c r="GM97" s="521"/>
      <c r="GN97" s="521"/>
      <c r="GO97" s="521"/>
      <c r="GP97" s="521"/>
      <c r="GQ97" s="521"/>
      <c r="GR97" s="521"/>
      <c r="GS97" s="521"/>
      <c r="GT97" s="521"/>
      <c r="GU97" s="521"/>
      <c r="GV97" s="521"/>
      <c r="GW97" s="521"/>
      <c r="GX97" s="521"/>
      <c r="GY97" s="521"/>
      <c r="GZ97" s="521"/>
      <c r="HA97" s="521"/>
      <c r="HB97" s="521"/>
      <c r="HC97" s="521"/>
      <c r="HD97" s="521"/>
      <c r="HE97" s="521"/>
      <c r="HF97" s="521"/>
      <c r="HG97" s="521"/>
      <c r="HH97" s="521"/>
      <c r="HI97" s="521"/>
      <c r="HJ97" s="521"/>
      <c r="HK97" s="521"/>
      <c r="HL97" s="521"/>
      <c r="HM97" s="521"/>
      <c r="HN97" s="521"/>
      <c r="HO97" s="521"/>
      <c r="HP97" s="521"/>
      <c r="HQ97" s="521"/>
      <c r="HR97" s="521"/>
      <c r="HS97" s="521"/>
      <c r="HT97" s="521"/>
      <c r="HU97" s="521"/>
      <c r="HV97" s="521"/>
      <c r="HW97" s="521"/>
      <c r="HX97" s="521"/>
      <c r="HY97" s="521"/>
      <c r="HZ97" s="521"/>
      <c r="IA97" s="521"/>
      <c r="IB97" s="521"/>
      <c r="IC97" s="521"/>
      <c r="ID97" s="521"/>
      <c r="IE97" s="521"/>
      <c r="IF97" s="521"/>
      <c r="IG97" s="521"/>
      <c r="IH97" s="521"/>
      <c r="II97" s="521"/>
      <c r="IJ97" s="521"/>
      <c r="IK97" s="521"/>
      <c r="IL97" s="521"/>
      <c r="IM97" s="521"/>
      <c r="IN97" s="521"/>
    </row>
    <row r="98" spans="1:248" s="508" customFormat="1" ht="12.75">
      <c r="A98" s="510"/>
      <c r="B98" s="510"/>
      <c r="C98" s="510"/>
      <c r="D98" s="510"/>
      <c r="E98" s="510"/>
      <c r="F98" s="510"/>
      <c r="G98" s="510"/>
      <c r="H98" s="510"/>
      <c r="I98" s="510"/>
      <c r="J98" s="510"/>
      <c r="K98" s="510"/>
      <c r="L98" s="510"/>
      <c r="M98" s="510"/>
      <c r="N98" s="510"/>
      <c r="O98" s="510"/>
      <c r="P98" s="510"/>
      <c r="Q98" s="1724" t="s">
        <v>80</v>
      </c>
      <c r="R98" s="1724"/>
      <c r="S98" s="1724"/>
      <c r="T98" s="1724"/>
      <c r="U98" s="1724"/>
      <c r="V98" s="1724"/>
      <c r="W98" s="1724"/>
      <c r="X98" s="1724"/>
      <c r="Y98" s="1724"/>
      <c r="Z98" s="1724"/>
      <c r="AA98" s="1724"/>
      <c r="AB98" s="1724"/>
      <c r="AC98" s="1724"/>
      <c r="AD98" s="1724"/>
      <c r="AE98" s="1724"/>
      <c r="AF98" s="1724"/>
      <c r="AG98" s="1724"/>
      <c r="AH98" s="1724"/>
      <c r="AI98" s="1724"/>
      <c r="AJ98" s="1724"/>
      <c r="AK98" s="1724"/>
      <c r="AL98" s="510"/>
      <c r="AM98" s="510"/>
      <c r="AN98" s="510"/>
      <c r="AO98" s="510"/>
      <c r="AP98" s="1724" t="s">
        <v>182</v>
      </c>
      <c r="AQ98" s="1724"/>
      <c r="AR98" s="1724"/>
      <c r="AS98" s="1724"/>
      <c r="AT98" s="1724"/>
      <c r="AU98" s="1724"/>
      <c r="AV98" s="1724"/>
      <c r="AW98" s="1724"/>
      <c r="AX98" s="1724"/>
      <c r="AY98" s="1724"/>
      <c r="AZ98" s="1724"/>
      <c r="BA98" s="1724"/>
      <c r="BB98" s="1724"/>
      <c r="BC98" s="1724"/>
      <c r="BD98" s="1724"/>
      <c r="BE98" s="1724"/>
      <c r="BF98" s="1724"/>
      <c r="BG98" s="1724"/>
      <c r="BH98" s="1724"/>
      <c r="BI98" s="1724"/>
      <c r="BJ98" s="1724"/>
      <c r="BK98" s="1724"/>
      <c r="BL98" s="1724"/>
      <c r="BM98" s="1724"/>
      <c r="BN98" s="1724"/>
      <c r="BO98" s="1724"/>
      <c r="BP98" s="1724"/>
      <c r="BQ98" s="1724"/>
      <c r="BR98" s="1724"/>
      <c r="BS98" s="1724"/>
      <c r="BT98" s="1724"/>
      <c r="BU98" s="1724"/>
      <c r="BV98" s="510"/>
      <c r="BW98" s="510"/>
      <c r="BX98" s="510"/>
      <c r="BY98" s="510"/>
      <c r="BZ98" s="510"/>
      <c r="CA98" s="510"/>
      <c r="CB98" s="510"/>
      <c r="CC98" s="510"/>
      <c r="CD98" s="510"/>
      <c r="CE98" s="510"/>
      <c r="CF98" s="510"/>
      <c r="CG98" s="510"/>
      <c r="CH98" s="510"/>
      <c r="CI98" s="510"/>
      <c r="CJ98" s="510"/>
      <c r="CK98" s="510"/>
      <c r="CL98" s="510"/>
      <c r="CM98" s="510"/>
      <c r="CN98" s="510"/>
      <c r="CO98" s="510"/>
      <c r="CP98" s="510"/>
      <c r="CQ98" s="510"/>
      <c r="CR98" s="510"/>
      <c r="CS98" s="510"/>
      <c r="CT98" s="510"/>
      <c r="CU98" s="510"/>
      <c r="CV98" s="510"/>
      <c r="CW98" s="510"/>
      <c r="CX98" s="510"/>
      <c r="CY98" s="510"/>
      <c r="CZ98" s="510"/>
      <c r="DA98" s="510"/>
      <c r="DB98" s="510"/>
      <c r="DC98" s="510"/>
      <c r="DD98" s="510"/>
      <c r="DE98" s="510"/>
      <c r="DF98" s="510"/>
      <c r="DG98" s="510"/>
      <c r="DH98" s="510"/>
      <c r="DI98" s="510"/>
      <c r="DJ98" s="510"/>
      <c r="DK98" s="510"/>
      <c r="DL98" s="510"/>
      <c r="DM98" s="510"/>
      <c r="DN98" s="510"/>
      <c r="DO98" s="510"/>
      <c r="DP98" s="510"/>
      <c r="DQ98" s="510"/>
      <c r="DR98" s="510"/>
      <c r="DS98" s="510"/>
      <c r="DT98" s="510"/>
      <c r="DU98" s="510"/>
      <c r="DV98" s="510"/>
      <c r="DW98" s="510"/>
      <c r="DX98" s="510"/>
      <c r="DY98" s="510"/>
      <c r="DZ98" s="510"/>
      <c r="EA98" s="510"/>
      <c r="EB98" s="510"/>
      <c r="EC98" s="510"/>
      <c r="ED98" s="510"/>
      <c r="EE98" s="510"/>
      <c r="EF98" s="510"/>
      <c r="EG98" s="510"/>
      <c r="EH98" s="510"/>
      <c r="EI98" s="510"/>
      <c r="EJ98" s="510"/>
      <c r="EK98" s="510"/>
      <c r="EL98" s="510"/>
      <c r="EM98" s="510"/>
      <c r="EN98" s="510"/>
      <c r="EO98" s="510"/>
      <c r="EP98" s="510"/>
      <c r="EQ98" s="510"/>
      <c r="ER98" s="510"/>
      <c r="ES98" s="510"/>
      <c r="ET98" s="521"/>
      <c r="EU98" s="521"/>
      <c r="EV98" s="521"/>
      <c r="EW98" s="521"/>
      <c r="EX98" s="521"/>
      <c r="EY98" s="521"/>
      <c r="EZ98" s="521"/>
      <c r="FA98" s="521"/>
      <c r="FB98" s="521"/>
      <c r="FC98" s="521"/>
      <c r="FD98" s="521"/>
      <c r="FE98" s="521"/>
      <c r="FF98" s="521"/>
      <c r="FG98" s="521"/>
      <c r="FH98" s="521"/>
      <c r="FI98" s="521"/>
      <c r="FJ98" s="521"/>
      <c r="FK98" s="521"/>
      <c r="FL98" s="521"/>
      <c r="FM98" s="521"/>
      <c r="FN98" s="521"/>
      <c r="FO98" s="521"/>
      <c r="FP98" s="521"/>
      <c r="FQ98" s="521"/>
      <c r="FR98" s="521"/>
      <c r="FS98" s="521"/>
      <c r="FT98" s="521"/>
      <c r="FU98" s="521"/>
      <c r="FV98" s="521"/>
      <c r="FW98" s="521"/>
      <c r="FX98" s="521"/>
      <c r="FY98" s="521"/>
      <c r="FZ98" s="521"/>
      <c r="GA98" s="521"/>
      <c r="GB98" s="521"/>
      <c r="GC98" s="521"/>
      <c r="GD98" s="521"/>
      <c r="GE98" s="521"/>
      <c r="GF98" s="521"/>
      <c r="GG98" s="521"/>
      <c r="GH98" s="521"/>
      <c r="GI98" s="521"/>
      <c r="GJ98" s="521"/>
      <c r="GK98" s="521"/>
      <c r="GL98" s="521"/>
      <c r="GM98" s="521"/>
      <c r="GN98" s="521"/>
      <c r="GO98" s="521"/>
      <c r="GP98" s="521"/>
      <c r="GQ98" s="521"/>
      <c r="GR98" s="521"/>
      <c r="GS98" s="521"/>
      <c r="GT98" s="521"/>
      <c r="GU98" s="521"/>
      <c r="GV98" s="521"/>
      <c r="GW98" s="521"/>
      <c r="GX98" s="521"/>
      <c r="GY98" s="521"/>
      <c r="GZ98" s="521"/>
      <c r="HA98" s="521"/>
      <c r="HB98" s="521"/>
      <c r="HC98" s="521"/>
      <c r="HD98" s="521"/>
      <c r="HE98" s="521"/>
      <c r="HF98" s="521"/>
      <c r="HG98" s="521"/>
      <c r="HH98" s="521"/>
      <c r="HI98" s="521"/>
      <c r="HJ98" s="521"/>
      <c r="HK98" s="521"/>
      <c r="HL98" s="521"/>
      <c r="HM98" s="521"/>
      <c r="HN98" s="521"/>
      <c r="HO98" s="521"/>
      <c r="HP98" s="521"/>
      <c r="HQ98" s="521"/>
      <c r="HR98" s="521"/>
      <c r="HS98" s="521"/>
      <c r="HT98" s="521"/>
      <c r="HU98" s="521"/>
      <c r="HV98" s="521"/>
      <c r="HW98" s="521"/>
      <c r="HX98" s="521"/>
      <c r="HY98" s="521"/>
      <c r="HZ98" s="521"/>
      <c r="IA98" s="521"/>
      <c r="IB98" s="521"/>
      <c r="IC98" s="521"/>
      <c r="ID98" s="521"/>
      <c r="IE98" s="521"/>
      <c r="IF98" s="521"/>
      <c r="IG98" s="521"/>
      <c r="IH98" s="521"/>
      <c r="II98" s="521"/>
      <c r="IJ98" s="521"/>
      <c r="IK98" s="521"/>
      <c r="IL98" s="521"/>
      <c r="IM98" s="521"/>
      <c r="IN98" s="521"/>
    </row>
    <row r="99" spans="1:248" s="508" customFormat="1" ht="12.75">
      <c r="A99" s="1742" t="s">
        <v>124</v>
      </c>
      <c r="B99" s="1742"/>
      <c r="C99" s="1742"/>
      <c r="D99" s="1742"/>
      <c r="E99" s="1742"/>
      <c r="F99" s="1742"/>
      <c r="G99" s="1742"/>
      <c r="H99" s="1742"/>
      <c r="I99" s="1742"/>
      <c r="J99" s="1742"/>
      <c r="K99" s="1742"/>
      <c r="L99" s="1742"/>
      <c r="M99" s="1742"/>
      <c r="N99" s="1742"/>
      <c r="O99" s="1742"/>
      <c r="P99" s="1742"/>
      <c r="Q99" s="1742"/>
      <c r="R99" s="1742"/>
      <c r="S99" s="1742"/>
      <c r="T99" s="1742"/>
      <c r="U99" s="1742"/>
      <c r="V99" s="1742"/>
      <c r="W99" s="510"/>
      <c r="X99" s="510"/>
      <c r="Y99" s="1740"/>
      <c r="Z99" s="1740"/>
      <c r="AA99" s="1740"/>
      <c r="AB99" s="1740"/>
      <c r="AC99" s="1740"/>
      <c r="AD99" s="1740"/>
      <c r="AE99" s="1740"/>
      <c r="AF99" s="1740"/>
      <c r="AG99" s="1740"/>
      <c r="AH99" s="1740"/>
      <c r="AI99" s="1740"/>
      <c r="AJ99" s="1740"/>
      <c r="AK99" s="1740"/>
      <c r="AL99" s="1740"/>
      <c r="AM99" s="1740"/>
      <c r="AN99" s="1740"/>
      <c r="AO99" s="1740"/>
      <c r="AP99" s="1740"/>
      <c r="AQ99" s="1740"/>
      <c r="AR99" s="1740"/>
      <c r="AS99" s="1740"/>
      <c r="AT99" s="1740"/>
      <c r="AU99" s="1740"/>
      <c r="AV99" s="1740"/>
      <c r="AW99" s="1740"/>
      <c r="AX99" s="1740"/>
      <c r="AY99" s="1740"/>
      <c r="AZ99" s="1740"/>
      <c r="BA99" s="1740"/>
      <c r="BB99" s="1740"/>
      <c r="BC99" s="1740"/>
      <c r="BD99" s="1740"/>
      <c r="BE99" s="1740"/>
      <c r="BF99" s="1740"/>
      <c r="BG99" s="1740"/>
      <c r="BH99" s="1740"/>
      <c r="BI99" s="1740"/>
      <c r="BJ99" s="1740"/>
      <c r="BK99" s="1740"/>
      <c r="BL99" s="1740"/>
      <c r="BM99" s="1740"/>
      <c r="BN99" s="1740"/>
      <c r="BO99" s="1740"/>
      <c r="BP99" s="1740"/>
      <c r="BQ99" s="1740"/>
      <c r="BR99" s="1740"/>
      <c r="BS99" s="1740"/>
      <c r="BT99" s="1740"/>
      <c r="BU99" s="1740"/>
      <c r="BV99" s="1740"/>
      <c r="BW99" s="1740"/>
      <c r="BX99" s="1740"/>
      <c r="BY99" s="1740"/>
      <c r="BZ99" s="1740"/>
      <c r="CA99" s="521"/>
      <c r="CB99" s="521"/>
      <c r="CC99" s="521"/>
      <c r="CD99" s="521"/>
      <c r="CE99" s="521"/>
      <c r="CF99" s="521"/>
      <c r="CG99" s="521"/>
      <c r="CH99" s="521"/>
      <c r="CI99" s="521"/>
      <c r="CJ99" s="521"/>
      <c r="CK99" s="521"/>
      <c r="CL99" s="521"/>
      <c r="CM99" s="521"/>
      <c r="CN99" s="521"/>
      <c r="CO99" s="521"/>
      <c r="CP99" s="521"/>
      <c r="CQ99" s="521"/>
      <c r="CR99" s="521"/>
      <c r="CS99" s="521"/>
      <c r="CT99" s="521"/>
      <c r="CU99" s="1741"/>
      <c r="CV99" s="1741"/>
      <c r="CW99" s="1741"/>
      <c r="CX99" s="1741"/>
      <c r="CY99" s="1741"/>
      <c r="CZ99" s="1741"/>
      <c r="DA99" s="1741"/>
      <c r="DB99" s="1741"/>
      <c r="DC99" s="1741"/>
      <c r="DD99" s="1741"/>
      <c r="DE99" s="1741"/>
      <c r="DF99" s="1741"/>
      <c r="DG99" s="1741"/>
      <c r="DH99" s="1741"/>
      <c r="DI99" s="1741"/>
      <c r="DJ99" s="1741"/>
      <c r="DK99" s="1741"/>
      <c r="DL99" s="1741"/>
      <c r="DM99" s="1741"/>
      <c r="DN99" s="1741"/>
      <c r="DO99" s="1741"/>
      <c r="DP99" s="1741"/>
      <c r="DQ99" s="1741"/>
      <c r="DR99" s="1741"/>
      <c r="DS99" s="1741"/>
      <c r="DT99" s="1741"/>
      <c r="DU99" s="1741"/>
      <c r="DV99" s="1741"/>
      <c r="DW99" s="1741"/>
      <c r="DX99" s="1741"/>
      <c r="DY99" s="1741"/>
      <c r="DZ99" s="1741"/>
      <c r="EA99" s="1741"/>
      <c r="EB99" s="1741"/>
      <c r="EC99" s="1741"/>
      <c r="ED99" s="1741"/>
      <c r="EE99" s="1741"/>
      <c r="EF99" s="1741"/>
      <c r="EG99" s="1741"/>
      <c r="EH99" s="1741"/>
      <c r="EI99" s="1741"/>
      <c r="EJ99" s="1741"/>
      <c r="EK99" s="1741"/>
      <c r="EL99" s="1741"/>
      <c r="EM99" s="1741"/>
      <c r="EN99" s="1741"/>
      <c r="EO99" s="1741"/>
      <c r="EP99" s="1741"/>
      <c r="EQ99" s="1741"/>
      <c r="ER99" s="1741"/>
      <c r="ES99" s="1741"/>
      <c r="ET99" s="521"/>
      <c r="EU99" s="521"/>
      <c r="EV99" s="521"/>
      <c r="EW99" s="521"/>
      <c r="EX99" s="521"/>
      <c r="EY99" s="521"/>
      <c r="EZ99" s="521"/>
      <c r="FA99" s="521"/>
      <c r="FB99" s="521"/>
      <c r="FC99" s="521"/>
      <c r="FD99" s="521"/>
      <c r="FE99" s="521"/>
      <c r="FF99" s="521"/>
      <c r="FG99" s="521"/>
      <c r="FH99" s="521"/>
      <c r="FI99" s="521"/>
      <c r="FJ99" s="521"/>
      <c r="FK99" s="521"/>
      <c r="FL99" s="521"/>
      <c r="FM99" s="521"/>
      <c r="FN99" s="521"/>
      <c r="FO99" s="521"/>
      <c r="FP99" s="521"/>
      <c r="FQ99" s="521"/>
      <c r="FR99" s="521"/>
      <c r="FS99" s="521"/>
      <c r="FT99" s="521"/>
      <c r="FU99" s="521"/>
      <c r="FV99" s="521"/>
      <c r="FW99" s="521"/>
      <c r="FX99" s="521"/>
      <c r="FY99" s="521"/>
      <c r="FZ99" s="521"/>
      <c r="GA99" s="521"/>
      <c r="GB99" s="521"/>
      <c r="GC99" s="521"/>
      <c r="GD99" s="521"/>
      <c r="GE99" s="521"/>
      <c r="GF99" s="521"/>
      <c r="GG99" s="521"/>
      <c r="GH99" s="521"/>
      <c r="GI99" s="521"/>
      <c r="GJ99" s="521"/>
      <c r="GK99" s="521"/>
      <c r="GL99" s="521"/>
      <c r="GM99" s="521"/>
      <c r="GN99" s="521"/>
      <c r="GO99" s="521"/>
      <c r="GP99" s="521"/>
      <c r="GQ99" s="521"/>
      <c r="GR99" s="521"/>
      <c r="GS99" s="521"/>
      <c r="GT99" s="521"/>
      <c r="GU99" s="521"/>
      <c r="GV99" s="521"/>
      <c r="GW99" s="521"/>
      <c r="GX99" s="521"/>
      <c r="GY99" s="521"/>
      <c r="GZ99" s="521"/>
      <c r="HA99" s="521"/>
      <c r="HB99" s="521"/>
      <c r="HC99" s="521"/>
      <c r="HD99" s="521"/>
      <c r="HE99" s="521"/>
      <c r="HF99" s="521"/>
      <c r="HG99" s="521"/>
      <c r="HH99" s="521"/>
      <c r="HI99" s="521"/>
      <c r="HJ99" s="521"/>
      <c r="HK99" s="521"/>
      <c r="HL99" s="521"/>
      <c r="HM99" s="521"/>
      <c r="HN99" s="521"/>
      <c r="HO99" s="521"/>
      <c r="HP99" s="521"/>
      <c r="HQ99" s="521"/>
      <c r="HR99" s="521"/>
      <c r="HS99" s="521"/>
      <c r="HT99" s="521"/>
      <c r="HU99" s="521"/>
      <c r="HV99" s="521"/>
      <c r="HW99" s="521"/>
      <c r="HX99" s="521"/>
      <c r="HY99" s="521"/>
      <c r="HZ99" s="521"/>
      <c r="IA99" s="521"/>
      <c r="IB99" s="521"/>
      <c r="IC99" s="521"/>
      <c r="ID99" s="521"/>
      <c r="IE99" s="521"/>
      <c r="IF99" s="521"/>
      <c r="IG99" s="521"/>
      <c r="IH99" s="521"/>
      <c r="II99" s="521"/>
      <c r="IJ99" s="521"/>
      <c r="IK99" s="521"/>
      <c r="IL99" s="521"/>
      <c r="IM99" s="521"/>
      <c r="IN99" s="521"/>
    </row>
    <row r="100" spans="1:248" s="508" customFormat="1" ht="12.75">
      <c r="A100" s="510"/>
      <c r="B100" s="510"/>
      <c r="C100" s="510"/>
      <c r="D100" s="510"/>
      <c r="E100" s="510"/>
      <c r="F100" s="510"/>
      <c r="G100" s="510"/>
      <c r="H100" s="510"/>
      <c r="I100" s="510"/>
      <c r="J100" s="510"/>
      <c r="K100" s="510"/>
      <c r="L100" s="510"/>
      <c r="M100" s="510"/>
      <c r="N100" s="510"/>
      <c r="O100" s="510"/>
      <c r="P100" s="510"/>
      <c r="Q100" s="510"/>
      <c r="R100" s="510"/>
      <c r="S100" s="510"/>
      <c r="T100" s="510"/>
      <c r="U100" s="510"/>
      <c r="V100" s="510"/>
      <c r="W100" s="510"/>
      <c r="X100" s="1732" t="s">
        <v>183</v>
      </c>
      <c r="Y100" s="1732"/>
      <c r="Z100" s="1732"/>
      <c r="AA100" s="1732"/>
      <c r="AB100" s="1732"/>
      <c r="AC100" s="1732"/>
      <c r="AD100" s="1732"/>
      <c r="AE100" s="1732"/>
      <c r="AF100" s="1732"/>
      <c r="AG100" s="1732"/>
      <c r="AH100" s="1732"/>
      <c r="AI100" s="1732"/>
      <c r="AJ100" s="1732"/>
      <c r="AK100" s="1732"/>
      <c r="AL100" s="1732"/>
      <c r="AM100" s="1732"/>
      <c r="AN100" s="1732"/>
      <c r="AO100" s="1732"/>
      <c r="AP100" s="1732"/>
      <c r="AQ100" s="1732"/>
      <c r="AR100" s="1732"/>
      <c r="AS100" s="1732"/>
      <c r="AT100" s="1732"/>
      <c r="AU100" s="1732"/>
      <c r="AV100" s="1732"/>
      <c r="AW100" s="1732"/>
      <c r="AX100" s="1732"/>
      <c r="AY100" s="1732"/>
      <c r="AZ100" s="1732"/>
      <c r="BA100" s="1732"/>
      <c r="BB100" s="1732"/>
      <c r="BC100" s="1732"/>
      <c r="BD100" s="1732"/>
      <c r="BE100" s="1732"/>
      <c r="BF100" s="1732"/>
      <c r="BG100" s="1732"/>
      <c r="BH100" s="1732"/>
      <c r="BI100" s="1732"/>
      <c r="BJ100" s="1732"/>
      <c r="BK100" s="1732"/>
      <c r="BL100" s="1732"/>
      <c r="BM100" s="1732"/>
      <c r="BN100" s="1732"/>
      <c r="BO100" s="1732"/>
      <c r="BP100" s="1732"/>
      <c r="BQ100" s="1732"/>
      <c r="BR100" s="1732"/>
      <c r="BS100" s="1732"/>
      <c r="BT100" s="1732"/>
      <c r="BU100" s="1732"/>
      <c r="BV100" s="1732"/>
      <c r="BW100" s="1732"/>
      <c r="BX100" s="1732"/>
      <c r="BY100" s="1732"/>
      <c r="BZ100" s="1732"/>
      <c r="CA100" s="821"/>
      <c r="CB100" s="821"/>
      <c r="CC100" s="1727" t="s">
        <v>80</v>
      </c>
      <c r="CD100" s="1727"/>
      <c r="CE100" s="1727"/>
      <c r="CF100" s="1727"/>
      <c r="CG100" s="1727"/>
      <c r="CH100" s="1727"/>
      <c r="CI100" s="1727"/>
      <c r="CJ100" s="1727"/>
      <c r="CK100" s="1727"/>
      <c r="CL100" s="1727"/>
      <c r="CM100" s="1727"/>
      <c r="CN100" s="1727"/>
      <c r="CO100" s="1727"/>
      <c r="CP100" s="1727"/>
      <c r="CQ100" s="1727"/>
      <c r="CR100" s="1727"/>
      <c r="CS100" s="821"/>
      <c r="CT100" s="821"/>
      <c r="CU100" s="1727" t="s">
        <v>182</v>
      </c>
      <c r="CV100" s="1727"/>
      <c r="CW100" s="1727"/>
      <c r="CX100" s="1727"/>
      <c r="CY100" s="1727"/>
      <c r="CZ100" s="1727"/>
      <c r="DA100" s="1727"/>
      <c r="DB100" s="1727"/>
      <c r="DC100" s="1727"/>
      <c r="DD100" s="1727"/>
      <c r="DE100" s="1727"/>
      <c r="DF100" s="1727"/>
      <c r="DG100" s="1727"/>
      <c r="DH100" s="1727"/>
      <c r="DI100" s="1727"/>
      <c r="DJ100" s="1727"/>
      <c r="DK100" s="1727"/>
      <c r="DL100" s="1727"/>
      <c r="DM100" s="1727"/>
      <c r="DN100" s="1727"/>
      <c r="DO100" s="1727"/>
      <c r="DP100" s="1727"/>
      <c r="DQ100" s="1727"/>
      <c r="DR100" s="1727"/>
      <c r="DS100" s="1727"/>
      <c r="DT100" s="1727"/>
      <c r="DU100" s="1727"/>
      <c r="DV100" s="1727"/>
      <c r="DW100" s="1727"/>
      <c r="DX100" s="1727"/>
      <c r="DY100" s="1727"/>
      <c r="DZ100" s="1727"/>
      <c r="EA100" s="1727"/>
      <c r="EB100" s="1727"/>
      <c r="EC100" s="1727"/>
      <c r="ED100" s="1727"/>
      <c r="EE100" s="1727"/>
      <c r="EF100" s="1727"/>
      <c r="EG100" s="1727"/>
      <c r="EH100" s="1727"/>
      <c r="EI100" s="1727"/>
      <c r="EJ100" s="1727"/>
      <c r="EK100" s="1727"/>
      <c r="EL100" s="1727"/>
      <c r="EM100" s="1727"/>
      <c r="EN100" s="1727"/>
      <c r="EO100" s="1727"/>
      <c r="EP100" s="1727"/>
      <c r="EQ100" s="1727"/>
      <c r="ER100" s="1727"/>
      <c r="ES100" s="1727"/>
      <c r="ET100" s="521"/>
      <c r="EU100" s="521"/>
      <c r="EV100" s="521"/>
      <c r="EW100" s="521"/>
      <c r="EX100" s="521"/>
      <c r="EY100" s="521"/>
      <c r="EZ100" s="521"/>
      <c r="FA100" s="521"/>
      <c r="FB100" s="521"/>
      <c r="FC100" s="521"/>
      <c r="FD100" s="521"/>
      <c r="FE100" s="521"/>
      <c r="FF100" s="521"/>
      <c r="FG100" s="521"/>
      <c r="FH100" s="521"/>
      <c r="FI100" s="521"/>
      <c r="FJ100" s="521"/>
      <c r="FK100" s="521"/>
      <c r="FL100" s="521"/>
      <c r="FM100" s="521"/>
      <c r="FN100" s="521"/>
      <c r="FO100" s="521"/>
      <c r="FP100" s="521"/>
      <c r="FQ100" s="521"/>
      <c r="FR100" s="521"/>
      <c r="FS100" s="521"/>
      <c r="FT100" s="521"/>
      <c r="FU100" s="521"/>
      <c r="FV100" s="521"/>
      <c r="FW100" s="521"/>
      <c r="FX100" s="521"/>
      <c r="FY100" s="521"/>
      <c r="FZ100" s="521"/>
      <c r="GA100" s="521"/>
      <c r="GB100" s="521"/>
      <c r="GC100" s="521"/>
      <c r="GD100" s="521"/>
      <c r="GE100" s="521"/>
      <c r="GF100" s="521"/>
      <c r="GG100" s="521"/>
      <c r="GH100" s="521"/>
      <c r="GI100" s="521"/>
      <c r="GJ100" s="521"/>
      <c r="GK100" s="521"/>
      <c r="GL100" s="521"/>
      <c r="GM100" s="521"/>
      <c r="GN100" s="521"/>
      <c r="GO100" s="521"/>
      <c r="GP100" s="521"/>
      <c r="GQ100" s="521"/>
      <c r="GR100" s="521"/>
      <c r="GS100" s="521"/>
      <c r="GT100" s="521"/>
      <c r="GU100" s="521"/>
      <c r="GV100" s="521"/>
      <c r="GW100" s="521"/>
      <c r="GX100" s="521"/>
      <c r="GY100" s="521"/>
      <c r="GZ100" s="521"/>
      <c r="HA100" s="521"/>
      <c r="HB100" s="521"/>
      <c r="HC100" s="521"/>
      <c r="HD100" s="521"/>
      <c r="HE100" s="521"/>
      <c r="HF100" s="521"/>
      <c r="HG100" s="521"/>
      <c r="HH100" s="521"/>
      <c r="HI100" s="521"/>
      <c r="HJ100" s="521"/>
      <c r="HK100" s="521"/>
      <c r="HL100" s="521"/>
      <c r="HM100" s="521"/>
      <c r="HN100" s="521"/>
      <c r="HO100" s="521"/>
      <c r="HP100" s="521"/>
      <c r="HQ100" s="521"/>
      <c r="HR100" s="521"/>
      <c r="HS100" s="521"/>
      <c r="HT100" s="521"/>
      <c r="HU100" s="521"/>
      <c r="HV100" s="521"/>
      <c r="HW100" s="521"/>
      <c r="HX100" s="521"/>
      <c r="HY100" s="521"/>
      <c r="HZ100" s="521"/>
      <c r="IA100" s="521"/>
      <c r="IB100" s="521"/>
      <c r="IC100" s="521"/>
      <c r="ID100" s="521"/>
      <c r="IE100" s="521"/>
      <c r="IF100" s="521"/>
      <c r="IG100" s="521"/>
      <c r="IH100" s="521"/>
      <c r="II100" s="521"/>
      <c r="IJ100" s="521"/>
      <c r="IK100" s="521"/>
      <c r="IL100" s="521"/>
      <c r="IM100" s="521"/>
      <c r="IN100" s="521"/>
    </row>
    <row r="101" spans="1:248" s="508" customFormat="1" ht="12.75">
      <c r="A101" s="1739" t="s">
        <v>127</v>
      </c>
      <c r="B101" s="1739"/>
      <c r="C101" s="1739"/>
      <c r="D101" s="1739"/>
      <c r="E101" s="1739"/>
      <c r="F101" s="1739"/>
      <c r="G101" s="1739"/>
      <c r="H101" s="1739"/>
      <c r="I101" s="1739"/>
      <c r="J101" s="1739"/>
      <c r="K101" s="1739"/>
      <c r="L101" s="1739"/>
      <c r="M101" s="1739"/>
      <c r="N101" s="1739"/>
      <c r="O101" s="1739"/>
      <c r="P101" s="1739"/>
      <c r="Q101" s="510"/>
      <c r="R101" s="510"/>
      <c r="S101" s="510"/>
      <c r="T101" s="510"/>
      <c r="U101" s="510"/>
      <c r="V101" s="510"/>
      <c r="W101" s="510"/>
      <c r="X101" s="510"/>
      <c r="Y101" s="521"/>
      <c r="Z101" s="521"/>
      <c r="AA101" s="521"/>
      <c r="AB101" s="521"/>
      <c r="AC101" s="521"/>
      <c r="AD101" s="521"/>
      <c r="AE101" s="521"/>
      <c r="AF101" s="521"/>
      <c r="AG101" s="521"/>
      <c r="AH101" s="521"/>
      <c r="AI101" s="521"/>
      <c r="AJ101" s="521"/>
      <c r="AK101" s="521"/>
      <c r="AL101" s="521"/>
      <c r="AM101" s="521"/>
      <c r="AN101" s="521"/>
      <c r="AO101" s="521"/>
      <c r="AP101" s="521"/>
      <c r="AQ101" s="521"/>
      <c r="AR101" s="521"/>
      <c r="AS101" s="521"/>
      <c r="AT101" s="521"/>
      <c r="AU101" s="521"/>
      <c r="AV101" s="521"/>
      <c r="AW101" s="521"/>
      <c r="AX101" s="521"/>
      <c r="AY101" s="521"/>
      <c r="AZ101" s="521"/>
      <c r="BA101" s="521"/>
      <c r="BB101" s="521"/>
      <c r="BC101" s="521"/>
      <c r="BD101" s="521"/>
      <c r="BE101" s="521"/>
      <c r="BF101" s="521"/>
      <c r="BG101" s="521"/>
      <c r="BH101" s="521"/>
      <c r="BI101" s="521"/>
      <c r="BJ101" s="521"/>
      <c r="BK101" s="521"/>
      <c r="BL101" s="521"/>
      <c r="BM101" s="521"/>
      <c r="BN101" s="521"/>
      <c r="BO101" s="521"/>
      <c r="BP101" s="521"/>
      <c r="BQ101" s="521"/>
      <c r="BR101" s="521"/>
      <c r="BS101" s="521"/>
      <c r="BT101" s="521"/>
      <c r="BU101" s="521"/>
      <c r="BV101" s="521"/>
      <c r="BW101" s="521"/>
      <c r="BX101" s="521"/>
      <c r="BY101" s="521"/>
      <c r="BZ101" s="510"/>
      <c r="CA101" s="510"/>
      <c r="CB101" s="521"/>
      <c r="CC101" s="521"/>
      <c r="CD101" s="521"/>
      <c r="CE101" s="521"/>
      <c r="CF101" s="521"/>
      <c r="CG101" s="521"/>
      <c r="CH101" s="521"/>
      <c r="CI101" s="521"/>
      <c r="CJ101" s="521"/>
      <c r="CK101" s="521"/>
      <c r="CL101" s="521"/>
      <c r="CM101" s="521"/>
      <c r="CN101" s="521"/>
      <c r="CO101" s="521"/>
      <c r="CP101" s="521"/>
      <c r="CQ101" s="521"/>
      <c r="CR101" s="521"/>
      <c r="CS101" s="521"/>
      <c r="CT101" s="521"/>
      <c r="CU101" s="521"/>
      <c r="CV101" s="521"/>
      <c r="CW101" s="521"/>
      <c r="CX101" s="521"/>
      <c r="CY101" s="521"/>
      <c r="CZ101" s="521"/>
      <c r="DA101" s="521"/>
      <c r="DB101" s="521"/>
      <c r="DC101" s="521"/>
      <c r="DD101" s="521"/>
      <c r="DE101" s="521"/>
      <c r="DF101" s="521"/>
      <c r="DG101" s="521"/>
      <c r="DH101" s="521"/>
      <c r="DI101" s="521"/>
      <c r="DJ101" s="521"/>
      <c r="DK101" s="521"/>
      <c r="DL101" s="521"/>
      <c r="DM101" s="521"/>
      <c r="DN101" s="521"/>
      <c r="DO101" s="521"/>
      <c r="DP101" s="521"/>
      <c r="DQ101" s="521"/>
      <c r="DR101" s="521"/>
      <c r="DS101" s="521"/>
      <c r="DT101" s="521"/>
      <c r="DU101" s="521"/>
      <c r="DV101" s="521"/>
      <c r="DW101" s="521"/>
      <c r="DX101" s="521"/>
      <c r="DY101" s="521"/>
      <c r="DZ101" s="521"/>
      <c r="EA101" s="521"/>
      <c r="EB101" s="521"/>
      <c r="EC101" s="521"/>
      <c r="ED101" s="521"/>
      <c r="EE101" s="521"/>
      <c r="EF101" s="521"/>
      <c r="EG101" s="521"/>
      <c r="EH101" s="521"/>
      <c r="EI101" s="521"/>
      <c r="EJ101" s="521"/>
      <c r="EK101" s="521"/>
      <c r="EL101" s="521"/>
      <c r="EM101" s="521"/>
      <c r="EN101" s="521"/>
      <c r="EO101" s="521"/>
      <c r="EP101" s="521"/>
      <c r="EQ101" s="521"/>
      <c r="ER101" s="521"/>
      <c r="ES101" s="521"/>
      <c r="ET101" s="521"/>
      <c r="EU101" s="521"/>
      <c r="EV101" s="521"/>
      <c r="EW101" s="521"/>
      <c r="EX101" s="521"/>
      <c r="EY101" s="521"/>
      <c r="EZ101" s="521"/>
      <c r="FA101" s="521"/>
      <c r="FB101" s="521"/>
      <c r="FC101" s="521"/>
      <c r="FD101" s="521"/>
      <c r="FE101" s="521"/>
      <c r="FF101" s="521"/>
      <c r="FG101" s="521"/>
      <c r="FH101" s="521"/>
      <c r="FI101" s="521"/>
      <c r="FJ101" s="521"/>
      <c r="FK101" s="521"/>
      <c r="FL101" s="521"/>
      <c r="FM101" s="521"/>
      <c r="FN101" s="521"/>
      <c r="FO101" s="521"/>
      <c r="FP101" s="521"/>
      <c r="FQ101" s="521"/>
      <c r="FR101" s="521"/>
      <c r="FS101" s="521"/>
      <c r="FT101" s="521"/>
      <c r="FU101" s="521"/>
      <c r="FV101" s="521"/>
      <c r="FW101" s="521"/>
      <c r="FX101" s="521"/>
      <c r="FY101" s="521"/>
      <c r="FZ101" s="521"/>
      <c r="GA101" s="521"/>
      <c r="GB101" s="521"/>
      <c r="GC101" s="521"/>
      <c r="GD101" s="521"/>
      <c r="GE101" s="521"/>
      <c r="GF101" s="521"/>
      <c r="GG101" s="521"/>
      <c r="GH101" s="521"/>
      <c r="GI101" s="521"/>
      <c r="GJ101" s="521"/>
      <c r="GK101" s="521"/>
      <c r="GL101" s="521"/>
      <c r="GM101" s="521"/>
      <c r="GN101" s="521"/>
      <c r="GO101" s="521"/>
      <c r="GP101" s="521"/>
      <c r="GQ101" s="521"/>
      <c r="GR101" s="521"/>
      <c r="GS101" s="521"/>
      <c r="GT101" s="521"/>
      <c r="GU101" s="521"/>
      <c r="GV101" s="521"/>
      <c r="GW101" s="521"/>
      <c r="GX101" s="521"/>
      <c r="GY101" s="521"/>
      <c r="GZ101" s="521"/>
      <c r="HA101" s="521"/>
      <c r="HB101" s="521"/>
      <c r="HC101" s="521"/>
      <c r="HD101" s="521"/>
      <c r="HE101" s="521"/>
      <c r="HF101" s="521"/>
      <c r="HG101" s="521"/>
      <c r="HH101" s="521"/>
      <c r="HI101" s="521"/>
      <c r="HJ101" s="521"/>
      <c r="HK101" s="521"/>
      <c r="HL101" s="521"/>
      <c r="HM101" s="521"/>
      <c r="HN101" s="521"/>
      <c r="HO101" s="521"/>
      <c r="HP101" s="521"/>
      <c r="HQ101" s="521"/>
      <c r="HR101" s="521"/>
      <c r="HS101" s="521"/>
      <c r="HT101" s="521"/>
      <c r="HU101" s="521"/>
      <c r="HV101" s="521"/>
      <c r="HW101" s="521"/>
      <c r="HX101" s="521"/>
      <c r="HY101" s="521"/>
      <c r="HZ101" s="521"/>
      <c r="IA101" s="521"/>
      <c r="IB101" s="521"/>
      <c r="IC101" s="521"/>
      <c r="ID101" s="521"/>
      <c r="IE101" s="521"/>
      <c r="IF101" s="521"/>
      <c r="IG101" s="521"/>
      <c r="IH101" s="521"/>
      <c r="II101" s="521"/>
      <c r="IJ101" s="521"/>
      <c r="IK101" s="521"/>
      <c r="IL101" s="521"/>
      <c r="IM101" s="521"/>
      <c r="IN101" s="521"/>
    </row>
    <row r="102" spans="1:248" s="508" customFormat="1" ht="12.75">
      <c r="A102" s="520"/>
      <c r="B102" s="520"/>
      <c r="C102" s="520"/>
      <c r="D102" s="520"/>
      <c r="E102" s="520"/>
      <c r="F102" s="520"/>
      <c r="G102" s="520"/>
      <c r="H102" s="520"/>
      <c r="I102" s="520"/>
      <c r="J102" s="520"/>
      <c r="K102" s="520"/>
      <c r="L102" s="520"/>
      <c r="M102" s="520"/>
      <c r="N102" s="520"/>
      <c r="O102" s="520"/>
      <c r="P102" s="520"/>
      <c r="Q102" s="520"/>
      <c r="R102" s="520"/>
      <c r="S102" s="510"/>
      <c r="T102" s="510"/>
      <c r="U102" s="510"/>
      <c r="V102" s="510"/>
      <c r="W102" s="510"/>
      <c r="X102" s="510"/>
      <c r="Y102" s="1740"/>
      <c r="Z102" s="1740"/>
      <c r="AA102" s="1740"/>
      <c r="AB102" s="1740"/>
      <c r="AC102" s="1740"/>
      <c r="AD102" s="1740"/>
      <c r="AE102" s="1740"/>
      <c r="AF102" s="1740"/>
      <c r="AG102" s="1740"/>
      <c r="AH102" s="1740"/>
      <c r="AI102" s="1740"/>
      <c r="AJ102" s="1740"/>
      <c r="AK102" s="1740"/>
      <c r="AL102" s="1740"/>
      <c r="AM102" s="1740"/>
      <c r="AN102" s="1740"/>
      <c r="AO102" s="1740"/>
      <c r="AP102" s="1740"/>
      <c r="AQ102" s="1740"/>
      <c r="AR102" s="1740"/>
      <c r="AS102" s="1740"/>
      <c r="AT102" s="1740"/>
      <c r="AU102" s="1740"/>
      <c r="AV102" s="1740"/>
      <c r="AW102" s="1740"/>
      <c r="AX102" s="1740"/>
      <c r="AY102" s="1740"/>
      <c r="AZ102" s="1740"/>
      <c r="BA102" s="1740"/>
      <c r="BB102" s="1740"/>
      <c r="BC102" s="1740"/>
      <c r="BD102" s="1740"/>
      <c r="BE102" s="1740"/>
      <c r="BF102" s="1740"/>
      <c r="BG102" s="1740"/>
      <c r="BH102" s="1740"/>
      <c r="BI102" s="1740"/>
      <c r="BJ102" s="1740"/>
      <c r="BK102" s="1740"/>
      <c r="BL102" s="1740"/>
      <c r="BM102" s="1740"/>
      <c r="BN102" s="1740"/>
      <c r="BO102" s="1740"/>
      <c r="BP102" s="1740"/>
      <c r="BQ102" s="1740"/>
      <c r="BR102" s="1740"/>
      <c r="BS102" s="1740"/>
      <c r="BT102" s="1740"/>
      <c r="BU102" s="1740"/>
      <c r="BV102" s="1740"/>
      <c r="BW102" s="1740"/>
      <c r="BX102" s="1740"/>
      <c r="BY102" s="1740"/>
      <c r="BZ102" s="1740"/>
      <c r="CA102" s="510"/>
      <c r="CB102" s="521"/>
      <c r="CC102" s="521"/>
      <c r="CD102" s="521"/>
      <c r="CE102" s="521"/>
      <c r="CF102" s="521"/>
      <c r="CG102" s="521"/>
      <c r="CH102" s="521"/>
      <c r="CI102" s="521"/>
      <c r="CJ102" s="521"/>
      <c r="CK102" s="521"/>
      <c r="CL102" s="521"/>
      <c r="CM102" s="521"/>
      <c r="CN102" s="521"/>
      <c r="CO102" s="521"/>
      <c r="CP102" s="521"/>
      <c r="CQ102" s="521"/>
      <c r="CR102" s="521"/>
      <c r="CS102" s="521"/>
      <c r="CT102" s="521"/>
      <c r="CU102" s="1741"/>
      <c r="CV102" s="1741"/>
      <c r="CW102" s="1741"/>
      <c r="CX102" s="1741"/>
      <c r="CY102" s="1741"/>
      <c r="CZ102" s="1741"/>
      <c r="DA102" s="1741"/>
      <c r="DB102" s="1741"/>
      <c r="DC102" s="1741"/>
      <c r="DD102" s="1741"/>
      <c r="DE102" s="1741"/>
      <c r="DF102" s="1741"/>
      <c r="DG102" s="1741"/>
      <c r="DH102" s="1741"/>
      <c r="DI102" s="1741"/>
      <c r="DJ102" s="1741"/>
      <c r="DK102" s="1741"/>
      <c r="DL102" s="1741"/>
      <c r="DM102" s="1741"/>
      <c r="DN102" s="1741"/>
      <c r="DO102" s="1741"/>
      <c r="DP102" s="1741"/>
      <c r="DQ102" s="1741"/>
      <c r="DR102" s="1741"/>
      <c r="DS102" s="1741"/>
      <c r="DT102" s="1741"/>
      <c r="DU102" s="1741"/>
      <c r="DV102" s="1741"/>
      <c r="DW102" s="1741"/>
      <c r="DX102" s="1741"/>
      <c r="DY102" s="1741"/>
      <c r="DZ102" s="1741"/>
      <c r="EA102" s="1741"/>
      <c r="EB102" s="1741"/>
      <c r="EC102" s="1741"/>
      <c r="ED102" s="1741"/>
      <c r="EE102" s="1741"/>
      <c r="EF102" s="1741"/>
      <c r="EG102" s="1741"/>
      <c r="EH102" s="1741"/>
      <c r="EI102" s="1741"/>
      <c r="EJ102" s="1741"/>
      <c r="EK102" s="1741"/>
      <c r="EL102" s="1741"/>
      <c r="EM102" s="1741"/>
      <c r="EN102" s="1741"/>
      <c r="EO102" s="1741"/>
      <c r="EP102" s="1741"/>
      <c r="EQ102" s="1741"/>
      <c r="ER102" s="1741"/>
      <c r="ES102" s="521"/>
      <c r="ET102" s="521"/>
      <c r="EU102" s="521"/>
      <c r="EV102" s="521"/>
      <c r="EW102" s="521"/>
      <c r="EX102" s="521"/>
      <c r="EY102" s="521"/>
      <c r="EZ102" s="521"/>
      <c r="FA102" s="521"/>
      <c r="FB102" s="521"/>
      <c r="FC102" s="521"/>
      <c r="FD102" s="521"/>
      <c r="FE102" s="521"/>
      <c r="FF102" s="521"/>
      <c r="FG102" s="521"/>
      <c r="FH102" s="521"/>
      <c r="FI102" s="521"/>
      <c r="FJ102" s="521"/>
      <c r="FK102" s="521"/>
      <c r="FL102" s="521"/>
      <c r="FM102" s="521"/>
      <c r="FN102" s="521"/>
      <c r="FO102" s="521"/>
      <c r="FP102" s="521"/>
      <c r="FQ102" s="521"/>
      <c r="FR102" s="521"/>
      <c r="FS102" s="521"/>
      <c r="FT102" s="521"/>
      <c r="FU102" s="521"/>
      <c r="FV102" s="521"/>
      <c r="FW102" s="521"/>
      <c r="FX102" s="521"/>
      <c r="FY102" s="521"/>
      <c r="FZ102" s="521"/>
      <c r="GA102" s="521"/>
      <c r="GB102" s="521"/>
      <c r="GC102" s="521"/>
      <c r="GD102" s="521"/>
      <c r="GE102" s="521"/>
      <c r="GF102" s="521"/>
      <c r="GG102" s="521"/>
      <c r="GH102" s="521"/>
      <c r="GI102" s="521"/>
      <c r="GJ102" s="521"/>
      <c r="GK102" s="521"/>
      <c r="GL102" s="521"/>
      <c r="GM102" s="521"/>
      <c r="GN102" s="521"/>
      <c r="GO102" s="521"/>
      <c r="GP102" s="521"/>
      <c r="GQ102" s="521"/>
      <c r="GR102" s="521"/>
      <c r="GS102" s="521"/>
      <c r="GT102" s="521"/>
      <c r="GU102" s="521"/>
      <c r="GV102" s="521"/>
      <c r="GW102" s="521"/>
      <c r="GX102" s="521"/>
      <c r="GY102" s="521"/>
      <c r="GZ102" s="521"/>
      <c r="HA102" s="521"/>
      <c r="HB102" s="521"/>
      <c r="HC102" s="521"/>
      <c r="HD102" s="521"/>
      <c r="HE102" s="521"/>
      <c r="HF102" s="521"/>
      <c r="HG102" s="521"/>
      <c r="HH102" s="521"/>
      <c r="HI102" s="521"/>
      <c r="HJ102" s="521"/>
      <c r="HK102" s="521"/>
      <c r="HL102" s="521"/>
      <c r="HM102" s="521"/>
      <c r="HN102" s="521"/>
      <c r="HO102" s="521"/>
      <c r="HP102" s="521"/>
      <c r="HQ102" s="521"/>
      <c r="HR102" s="521"/>
      <c r="HS102" s="521"/>
      <c r="HT102" s="521"/>
      <c r="HU102" s="521"/>
      <c r="HV102" s="521"/>
      <c r="HW102" s="521"/>
      <c r="HX102" s="521"/>
      <c r="HY102" s="521"/>
      <c r="HZ102" s="521"/>
      <c r="IA102" s="521"/>
      <c r="IB102" s="521"/>
      <c r="IC102" s="521"/>
      <c r="ID102" s="521"/>
      <c r="IE102" s="521"/>
      <c r="IF102" s="521"/>
      <c r="IG102" s="521"/>
      <c r="IH102" s="521"/>
      <c r="II102" s="521"/>
      <c r="IJ102" s="521"/>
      <c r="IK102" s="521"/>
      <c r="IL102" s="521"/>
      <c r="IM102" s="521"/>
      <c r="IN102" s="521"/>
    </row>
    <row r="103" spans="1:248" s="508" customFormat="1" ht="12.75">
      <c r="A103" s="510"/>
      <c r="B103" s="510"/>
      <c r="C103" s="510"/>
      <c r="D103" s="510"/>
      <c r="E103" s="510"/>
      <c r="F103" s="510"/>
      <c r="G103" s="510"/>
      <c r="H103" s="510"/>
      <c r="I103" s="510"/>
      <c r="J103" s="510"/>
      <c r="K103" s="510"/>
      <c r="L103" s="520"/>
      <c r="M103" s="510"/>
      <c r="N103" s="510"/>
      <c r="O103" s="510"/>
      <c r="P103" s="510"/>
      <c r="Q103" s="510"/>
      <c r="R103" s="510"/>
      <c r="S103" s="510"/>
      <c r="T103" s="510"/>
      <c r="U103" s="510"/>
      <c r="V103" s="510"/>
      <c r="W103" s="510"/>
      <c r="X103" s="510"/>
      <c r="Y103" s="1727" t="s">
        <v>183</v>
      </c>
      <c r="Z103" s="1727"/>
      <c r="AA103" s="1727"/>
      <c r="AB103" s="1727"/>
      <c r="AC103" s="1727"/>
      <c r="AD103" s="1727"/>
      <c r="AE103" s="1727"/>
      <c r="AF103" s="1727"/>
      <c r="AG103" s="1727"/>
      <c r="AH103" s="1727"/>
      <c r="AI103" s="1727"/>
      <c r="AJ103" s="1727"/>
      <c r="AK103" s="1727"/>
      <c r="AL103" s="1727"/>
      <c r="AM103" s="1727"/>
      <c r="AN103" s="1727"/>
      <c r="AO103" s="1727"/>
      <c r="AP103" s="1727"/>
      <c r="AQ103" s="1727"/>
      <c r="AR103" s="1727"/>
      <c r="AS103" s="1727"/>
      <c r="AT103" s="1727"/>
      <c r="AU103" s="1727"/>
      <c r="AV103" s="1727"/>
      <c r="AW103" s="1727"/>
      <c r="AX103" s="1727"/>
      <c r="AY103" s="1727"/>
      <c r="AZ103" s="1727"/>
      <c r="BA103" s="1727"/>
      <c r="BB103" s="1727"/>
      <c r="BC103" s="1727"/>
      <c r="BD103" s="1727"/>
      <c r="BE103" s="1727"/>
      <c r="BF103" s="1727"/>
      <c r="BG103" s="1727"/>
      <c r="BH103" s="1727"/>
      <c r="BI103" s="1727"/>
      <c r="BJ103" s="1727"/>
      <c r="BK103" s="1727"/>
      <c r="BL103" s="1727"/>
      <c r="BM103" s="1727"/>
      <c r="BN103" s="1727"/>
      <c r="BO103" s="1727"/>
      <c r="BP103" s="1727"/>
      <c r="BQ103" s="1727"/>
      <c r="BR103" s="1727"/>
      <c r="BS103" s="1727"/>
      <c r="BT103" s="1727"/>
      <c r="BU103" s="1727"/>
      <c r="BV103" s="1727"/>
      <c r="BW103" s="1727"/>
      <c r="BX103" s="1727"/>
      <c r="BY103" s="1727"/>
      <c r="BZ103" s="1727"/>
      <c r="CA103" s="821"/>
      <c r="CB103" s="821"/>
      <c r="CC103" s="1727" t="s">
        <v>80</v>
      </c>
      <c r="CD103" s="1727"/>
      <c r="CE103" s="1727"/>
      <c r="CF103" s="1727"/>
      <c r="CG103" s="1727"/>
      <c r="CH103" s="1727"/>
      <c r="CI103" s="1727"/>
      <c r="CJ103" s="1727"/>
      <c r="CK103" s="1727"/>
      <c r="CL103" s="1727"/>
      <c r="CM103" s="1727"/>
      <c r="CN103" s="1727"/>
      <c r="CO103" s="1727"/>
      <c r="CP103" s="1727"/>
      <c r="CQ103" s="1727"/>
      <c r="CR103" s="1727"/>
      <c r="CS103" s="821"/>
      <c r="CT103" s="821"/>
      <c r="CU103" s="1727" t="s">
        <v>182</v>
      </c>
      <c r="CV103" s="1727"/>
      <c r="CW103" s="1727"/>
      <c r="CX103" s="1727"/>
      <c r="CY103" s="1727"/>
      <c r="CZ103" s="1727"/>
      <c r="DA103" s="1727"/>
      <c r="DB103" s="1727"/>
      <c r="DC103" s="1727"/>
      <c r="DD103" s="1727"/>
      <c r="DE103" s="1727"/>
      <c r="DF103" s="1727"/>
      <c r="DG103" s="1727"/>
      <c r="DH103" s="1727"/>
      <c r="DI103" s="1727"/>
      <c r="DJ103" s="1727"/>
      <c r="DK103" s="1727"/>
      <c r="DL103" s="1727"/>
      <c r="DM103" s="1727"/>
      <c r="DN103" s="1727"/>
      <c r="DO103" s="1727"/>
      <c r="DP103" s="1727"/>
      <c r="DQ103" s="1727"/>
      <c r="DR103" s="1727"/>
      <c r="DS103" s="1727"/>
      <c r="DT103" s="1727"/>
      <c r="DU103" s="1727"/>
      <c r="DV103" s="1727"/>
      <c r="DW103" s="1727"/>
      <c r="DX103" s="1727"/>
      <c r="DY103" s="1727"/>
      <c r="DZ103" s="1727"/>
      <c r="EA103" s="1727"/>
      <c r="EB103" s="1727"/>
      <c r="EC103" s="1727"/>
      <c r="ED103" s="1727"/>
      <c r="EE103" s="1727"/>
      <c r="EF103" s="1727"/>
      <c r="EG103" s="1727"/>
      <c r="EH103" s="1727"/>
      <c r="EI103" s="1727"/>
      <c r="EJ103" s="1727"/>
      <c r="EK103" s="1727"/>
      <c r="EL103" s="1727"/>
      <c r="EM103" s="1727"/>
      <c r="EN103" s="1727"/>
      <c r="EO103" s="1727"/>
      <c r="EP103" s="1727"/>
      <c r="EQ103" s="1727"/>
      <c r="ER103" s="1727"/>
      <c r="ES103" s="1727"/>
      <c r="ET103" s="521"/>
      <c r="EU103" s="521"/>
      <c r="EV103" s="521"/>
      <c r="EW103" s="521"/>
      <c r="EX103" s="521"/>
      <c r="EY103" s="521"/>
      <c r="EZ103" s="521"/>
      <c r="FA103" s="521"/>
      <c r="FB103" s="521"/>
      <c r="FC103" s="521"/>
      <c r="FD103" s="521"/>
      <c r="FE103" s="521"/>
      <c r="FF103" s="521"/>
      <c r="FG103" s="521"/>
      <c r="FH103" s="521"/>
      <c r="FI103" s="521"/>
      <c r="FJ103" s="521"/>
      <c r="FK103" s="521"/>
      <c r="FL103" s="521"/>
      <c r="FM103" s="521"/>
      <c r="FN103" s="521"/>
      <c r="FO103" s="521"/>
      <c r="FP103" s="521"/>
      <c r="FQ103" s="521"/>
      <c r="FR103" s="521"/>
      <c r="FS103" s="521"/>
      <c r="FT103" s="521"/>
      <c r="FU103" s="521"/>
      <c r="FV103" s="521"/>
      <c r="FW103" s="521"/>
      <c r="FX103" s="521"/>
      <c r="FY103" s="521"/>
      <c r="FZ103" s="521"/>
      <c r="GA103" s="521"/>
      <c r="GB103" s="521"/>
      <c r="GC103" s="521"/>
      <c r="GD103" s="521"/>
      <c r="GE103" s="521"/>
      <c r="GF103" s="521"/>
      <c r="GG103" s="521"/>
      <c r="GH103" s="521"/>
      <c r="GI103" s="521"/>
      <c r="GJ103" s="521"/>
      <c r="GK103" s="521"/>
      <c r="GL103" s="521"/>
      <c r="GM103" s="521"/>
      <c r="GN103" s="521"/>
      <c r="GO103" s="521"/>
      <c r="GP103" s="521"/>
      <c r="GQ103" s="521"/>
      <c r="GR103" s="521"/>
      <c r="GS103" s="521"/>
      <c r="GT103" s="521"/>
      <c r="GU103" s="521"/>
      <c r="GV103" s="521"/>
      <c r="GW103" s="521"/>
      <c r="GX103" s="521"/>
      <c r="GY103" s="521"/>
      <c r="GZ103" s="521"/>
      <c r="HA103" s="521"/>
      <c r="HB103" s="521"/>
      <c r="HC103" s="521"/>
      <c r="HD103" s="521"/>
      <c r="HE103" s="521"/>
      <c r="HF103" s="521"/>
      <c r="HG103" s="521"/>
      <c r="HH103" s="521"/>
      <c r="HI103" s="521"/>
      <c r="HJ103" s="521"/>
      <c r="HK103" s="521"/>
      <c r="HL103" s="521"/>
      <c r="HM103" s="521"/>
      <c r="HN103" s="521"/>
      <c r="HO103" s="521"/>
      <c r="HP103" s="521"/>
      <c r="HQ103" s="521"/>
      <c r="HR103" s="521"/>
      <c r="HS103" s="521"/>
      <c r="HT103" s="521"/>
      <c r="HU103" s="521"/>
      <c r="HV103" s="521"/>
      <c r="HW103" s="521"/>
      <c r="HX103" s="521"/>
      <c r="HY103" s="521"/>
      <c r="HZ103" s="521"/>
      <c r="IA103" s="521"/>
      <c r="IB103" s="521"/>
      <c r="IC103" s="521"/>
      <c r="ID103" s="521"/>
      <c r="IE103" s="521"/>
      <c r="IF103" s="521"/>
      <c r="IG103" s="521"/>
      <c r="IH103" s="521"/>
      <c r="II103" s="521"/>
      <c r="IJ103" s="521"/>
      <c r="IK103" s="521"/>
      <c r="IL103" s="521"/>
      <c r="IM103" s="521"/>
      <c r="IN103" s="521"/>
    </row>
    <row r="104" spans="1:248" s="508" customFormat="1" ht="12.75">
      <c r="A104" s="510"/>
      <c r="B104" s="510"/>
      <c r="C104" s="510"/>
      <c r="D104" s="510"/>
      <c r="E104" s="510"/>
      <c r="F104" s="510"/>
      <c r="G104" s="510"/>
      <c r="H104" s="510"/>
      <c r="I104" s="510"/>
      <c r="J104" s="510"/>
      <c r="K104" s="510"/>
      <c r="L104" s="510"/>
      <c r="M104" s="510"/>
      <c r="N104" s="510"/>
      <c r="O104" s="510"/>
      <c r="P104" s="510"/>
      <c r="Q104" s="510"/>
      <c r="R104" s="510"/>
      <c r="S104" s="510"/>
      <c r="T104" s="510"/>
      <c r="U104" s="510"/>
      <c r="V104" s="510"/>
      <c r="W104" s="510"/>
      <c r="X104" s="510"/>
      <c r="Y104" s="521"/>
      <c r="Z104" s="521"/>
      <c r="AA104" s="521"/>
      <c r="AB104" s="521"/>
      <c r="AC104" s="521"/>
      <c r="AD104" s="521"/>
      <c r="AE104" s="521"/>
      <c r="AF104" s="521"/>
      <c r="AG104" s="521"/>
      <c r="AH104" s="521"/>
      <c r="AI104" s="521"/>
      <c r="AJ104" s="521"/>
      <c r="AK104" s="521"/>
      <c r="AL104" s="521"/>
      <c r="AM104" s="521"/>
      <c r="AN104" s="521"/>
      <c r="AO104" s="521"/>
      <c r="AP104" s="521"/>
      <c r="AQ104" s="521"/>
      <c r="AR104" s="521"/>
      <c r="AS104" s="521"/>
      <c r="AT104" s="521"/>
      <c r="AU104" s="521"/>
      <c r="AV104" s="521"/>
      <c r="AW104" s="521"/>
      <c r="AX104" s="521"/>
      <c r="AY104" s="521"/>
      <c r="AZ104" s="521"/>
      <c r="BA104" s="521"/>
      <c r="BB104" s="521"/>
      <c r="BC104" s="521"/>
      <c r="BD104" s="510"/>
      <c r="BE104" s="510"/>
      <c r="BF104" s="510"/>
      <c r="BG104" s="510"/>
      <c r="BH104" s="510"/>
      <c r="BI104" s="510"/>
      <c r="BJ104" s="510"/>
      <c r="BK104" s="510"/>
      <c r="BL104" s="510"/>
      <c r="BM104" s="510"/>
      <c r="BN104" s="510"/>
      <c r="BO104" s="510"/>
      <c r="BP104" s="510"/>
      <c r="BQ104" s="510"/>
      <c r="BR104" s="510"/>
      <c r="BS104" s="510"/>
      <c r="BT104" s="510"/>
      <c r="BU104" s="510"/>
      <c r="BV104" s="510"/>
      <c r="BW104" s="510"/>
      <c r="BX104" s="510"/>
      <c r="BY104" s="510"/>
      <c r="BZ104" s="510"/>
      <c r="CA104" s="510"/>
      <c r="CB104" s="521"/>
      <c r="CC104" s="521"/>
      <c r="CD104" s="521"/>
      <c r="CE104" s="521"/>
      <c r="CF104" s="521"/>
      <c r="CG104" s="521"/>
      <c r="CH104" s="521"/>
      <c r="CI104" s="521"/>
      <c r="CJ104" s="521"/>
      <c r="CK104" s="521"/>
      <c r="CL104" s="521"/>
      <c r="CM104" s="521"/>
      <c r="CN104" s="521"/>
      <c r="CO104" s="521"/>
      <c r="CP104" s="521"/>
      <c r="CQ104" s="521"/>
      <c r="CR104" s="521"/>
      <c r="CS104" s="521"/>
      <c r="CT104" s="521"/>
      <c r="CU104" s="521"/>
      <c r="CV104" s="521"/>
      <c r="CW104" s="521"/>
      <c r="CX104" s="521"/>
      <c r="CY104" s="521"/>
      <c r="CZ104" s="521"/>
      <c r="DA104" s="521"/>
      <c r="DB104" s="521"/>
      <c r="DC104" s="521"/>
      <c r="DD104" s="521"/>
      <c r="DE104" s="521"/>
      <c r="DF104" s="521"/>
      <c r="DG104" s="521"/>
      <c r="DH104" s="521"/>
      <c r="DI104" s="521"/>
      <c r="DJ104" s="521"/>
      <c r="DK104" s="521"/>
      <c r="DL104" s="521"/>
      <c r="DM104" s="521"/>
      <c r="DN104" s="521"/>
      <c r="DO104" s="521"/>
      <c r="DP104" s="521"/>
      <c r="DQ104" s="521"/>
      <c r="DR104" s="521"/>
      <c r="DS104" s="521"/>
      <c r="DT104" s="521"/>
      <c r="DU104" s="521"/>
      <c r="DV104" s="521"/>
      <c r="DW104" s="521"/>
      <c r="DX104" s="521"/>
      <c r="DY104" s="521"/>
      <c r="DZ104" s="521"/>
      <c r="EA104" s="521"/>
      <c r="EB104" s="521"/>
      <c r="EC104" s="521"/>
      <c r="ED104" s="521"/>
      <c r="EE104" s="521"/>
      <c r="EF104" s="521"/>
      <c r="EG104" s="521"/>
      <c r="EH104" s="521"/>
      <c r="EI104" s="521"/>
      <c r="EJ104" s="521"/>
      <c r="EK104" s="521"/>
      <c r="EL104" s="521"/>
      <c r="EM104" s="521"/>
      <c r="EN104" s="521"/>
      <c r="EO104" s="521"/>
      <c r="EP104" s="521"/>
      <c r="EQ104" s="521"/>
      <c r="ER104" s="521"/>
      <c r="ES104" s="521"/>
      <c r="ET104" s="521"/>
      <c r="EU104" s="521"/>
      <c r="EV104" s="521"/>
      <c r="EW104" s="521"/>
      <c r="EX104" s="521"/>
      <c r="EY104" s="521"/>
      <c r="EZ104" s="521"/>
      <c r="FA104" s="521"/>
      <c r="FB104" s="521"/>
      <c r="FC104" s="521"/>
      <c r="FD104" s="521"/>
      <c r="FE104" s="521"/>
      <c r="FF104" s="521"/>
      <c r="FG104" s="521"/>
      <c r="FH104" s="521"/>
      <c r="FI104" s="521"/>
      <c r="FJ104" s="521"/>
      <c r="FK104" s="521"/>
      <c r="FL104" s="521"/>
      <c r="FM104" s="521"/>
      <c r="FN104" s="521"/>
      <c r="FO104" s="521"/>
      <c r="FP104" s="521"/>
      <c r="FQ104" s="521"/>
      <c r="FR104" s="521"/>
      <c r="FS104" s="521"/>
      <c r="FT104" s="521"/>
      <c r="FU104" s="521"/>
      <c r="FV104" s="521"/>
      <c r="FW104" s="521"/>
      <c r="FX104" s="521"/>
      <c r="FY104" s="521"/>
      <c r="FZ104" s="521"/>
      <c r="GA104" s="521"/>
      <c r="GB104" s="521"/>
      <c r="GC104" s="521"/>
      <c r="GD104" s="521"/>
      <c r="GE104" s="521"/>
      <c r="GF104" s="521"/>
      <c r="GG104" s="521"/>
      <c r="GH104" s="521"/>
      <c r="GI104" s="521"/>
      <c r="GJ104" s="521"/>
      <c r="GK104" s="521"/>
      <c r="GL104" s="521"/>
      <c r="GM104" s="521"/>
      <c r="GN104" s="521"/>
      <c r="GO104" s="521"/>
      <c r="GP104" s="521"/>
      <c r="GQ104" s="521"/>
      <c r="GR104" s="521"/>
      <c r="GS104" s="521"/>
      <c r="GT104" s="521"/>
      <c r="GU104" s="521"/>
      <c r="GV104" s="521"/>
      <c r="GW104" s="521"/>
      <c r="GX104" s="521"/>
      <c r="GY104" s="521"/>
      <c r="GZ104" s="521"/>
      <c r="HA104" s="521"/>
      <c r="HB104" s="521"/>
      <c r="HC104" s="521"/>
      <c r="HD104" s="521"/>
      <c r="HE104" s="521"/>
      <c r="HF104" s="521"/>
      <c r="HG104" s="521"/>
      <c r="HH104" s="521"/>
      <c r="HI104" s="521"/>
      <c r="HJ104" s="521"/>
      <c r="HK104" s="521"/>
      <c r="HL104" s="521"/>
      <c r="HM104" s="521"/>
      <c r="HN104" s="521"/>
      <c r="HO104" s="521"/>
      <c r="HP104" s="521"/>
      <c r="HQ104" s="521"/>
      <c r="HR104" s="521"/>
      <c r="HS104" s="521"/>
      <c r="HT104" s="521"/>
      <c r="HU104" s="521"/>
      <c r="HV104" s="521"/>
      <c r="HW104" s="521"/>
      <c r="HX104" s="521"/>
      <c r="HY104" s="521"/>
      <c r="HZ104" s="521"/>
      <c r="IA104" s="521"/>
      <c r="IB104" s="521"/>
      <c r="IC104" s="521"/>
      <c r="ID104" s="521"/>
      <c r="IE104" s="521"/>
      <c r="IF104" s="521"/>
      <c r="IG104" s="521"/>
      <c r="IH104" s="521"/>
      <c r="II104" s="521"/>
      <c r="IJ104" s="521"/>
      <c r="IK104" s="521"/>
      <c r="IL104" s="521"/>
      <c r="IM104" s="521"/>
      <c r="IN104" s="521"/>
    </row>
    <row r="105" spans="1:248" s="508" customFormat="1" ht="12.75">
      <c r="A105" s="1736"/>
      <c r="B105" s="1736"/>
      <c r="C105" s="1736"/>
      <c r="D105" s="1736"/>
      <c r="E105" s="1736"/>
      <c r="F105" s="513" t="s">
        <v>396</v>
      </c>
      <c r="G105" s="513"/>
      <c r="H105" s="513"/>
      <c r="I105" s="513"/>
      <c r="J105" s="513"/>
      <c r="K105" s="513"/>
      <c r="L105" s="513"/>
      <c r="M105" s="513"/>
      <c r="N105" s="513"/>
      <c r="O105" s="513"/>
      <c r="P105" s="513"/>
      <c r="Q105" s="513"/>
      <c r="R105" s="513"/>
      <c r="S105" s="513"/>
      <c r="T105" s="513"/>
      <c r="U105" s="513"/>
      <c r="V105" s="513"/>
      <c r="W105" s="513"/>
      <c r="X105" s="513"/>
      <c r="Y105" s="513"/>
      <c r="Z105" s="513"/>
      <c r="AA105" s="513"/>
      <c r="AB105" s="513"/>
      <c r="AC105" s="513"/>
      <c r="AD105" s="513"/>
      <c r="AE105" s="513"/>
      <c r="AF105" s="513"/>
      <c r="AG105" s="513"/>
      <c r="AH105" s="513"/>
      <c r="AI105" s="513"/>
      <c r="AJ105" s="513"/>
      <c r="AK105" s="513"/>
      <c r="AL105" s="513"/>
      <c r="AM105" s="513"/>
      <c r="AN105" s="513"/>
      <c r="AO105" s="513"/>
      <c r="AP105" s="513"/>
      <c r="AQ105" s="513"/>
      <c r="AR105" s="513"/>
      <c r="AS105" s="513"/>
      <c r="AT105" s="513"/>
      <c r="AU105" s="513"/>
      <c r="AV105" s="513"/>
      <c r="AW105" s="513"/>
      <c r="AX105" s="513"/>
      <c r="AY105" s="513"/>
      <c r="AZ105" s="513"/>
      <c r="BA105" s="513"/>
      <c r="BB105" s="513"/>
      <c r="BC105" s="513"/>
      <c r="BD105" s="513"/>
      <c r="BE105" s="513"/>
      <c r="BF105" s="513"/>
      <c r="BG105" s="513"/>
      <c r="BH105" s="513"/>
      <c r="BI105" s="513"/>
      <c r="BJ105" s="513"/>
      <c r="BK105" s="513"/>
      <c r="BL105" s="513"/>
      <c r="BM105" s="513"/>
      <c r="BN105" s="513"/>
      <c r="BO105" s="513"/>
      <c r="BP105" s="513"/>
      <c r="BQ105" s="513"/>
      <c r="BR105" s="513"/>
      <c r="BS105" s="513"/>
      <c r="BT105" s="513"/>
      <c r="BU105" s="513"/>
      <c r="BV105" s="513"/>
      <c r="BW105" s="513"/>
      <c r="BX105" s="513"/>
      <c r="BY105" s="513"/>
      <c r="BZ105" s="513"/>
      <c r="CA105" s="513"/>
      <c r="CB105" s="513"/>
      <c r="CC105" s="513"/>
      <c r="CD105" s="513"/>
      <c r="CE105" s="513"/>
      <c r="CF105" s="513"/>
      <c r="CG105" s="513"/>
      <c r="CH105" s="513"/>
      <c r="CI105" s="513"/>
      <c r="CJ105" s="513"/>
      <c r="CK105" s="513"/>
      <c r="CL105" s="513"/>
      <c r="CM105" s="513"/>
      <c r="CN105" s="513"/>
      <c r="CO105" s="513"/>
      <c r="CP105" s="513"/>
      <c r="CQ105" s="513"/>
      <c r="CR105" s="513"/>
      <c r="CS105" s="513"/>
      <c r="CT105" s="513"/>
      <c r="CU105" s="513"/>
      <c r="CV105" s="513"/>
      <c r="CW105" s="513"/>
      <c r="CX105" s="513"/>
      <c r="CY105" s="513"/>
      <c r="CZ105" s="513"/>
      <c r="DA105" s="513"/>
      <c r="DB105" s="513"/>
      <c r="DC105" s="513"/>
      <c r="DD105" s="513"/>
      <c r="DE105" s="510"/>
      <c r="DF105" s="509"/>
      <c r="DG105" s="509"/>
      <c r="DH105" s="509"/>
      <c r="DI105" s="489"/>
      <c r="DJ105" s="489"/>
      <c r="DK105" s="489"/>
      <c r="DL105" s="489"/>
      <c r="DM105" s="1737">
        <v>1</v>
      </c>
      <c r="DN105" s="1737"/>
      <c r="DO105" s="1737"/>
      <c r="DP105" s="1737"/>
      <c r="DQ105" s="1737"/>
      <c r="DR105" s="1737"/>
      <c r="DS105" s="1737"/>
      <c r="DT105" s="1737"/>
      <c r="DU105" s="1737"/>
      <c r="DV105" s="1737"/>
      <c r="DW105" s="510"/>
      <c r="DX105" s="509" t="s">
        <v>280</v>
      </c>
      <c r="DY105" s="509"/>
      <c r="DZ105" s="509"/>
      <c r="EA105" s="509"/>
      <c r="EB105" s="509"/>
      <c r="EC105" s="489"/>
      <c r="ED105" s="1737">
        <v>41</v>
      </c>
      <c r="EE105" s="1737"/>
      <c r="EF105" s="1737"/>
      <c r="EG105" s="1737"/>
      <c r="EH105" s="1737"/>
      <c r="EI105" s="1737"/>
      <c r="EJ105" s="1737"/>
      <c r="EK105" s="1737"/>
      <c r="EL105" s="1737"/>
      <c r="EM105" s="1737"/>
      <c r="EN105" s="1737"/>
      <c r="EO105" s="1737"/>
      <c r="EP105" s="1737"/>
      <c r="EQ105" s="1737"/>
      <c r="ER105" s="1737"/>
      <c r="ES105" s="1737"/>
      <c r="ET105" s="521"/>
      <c r="EU105" s="521"/>
      <c r="EV105" s="521"/>
      <c r="EW105" s="521"/>
      <c r="EX105" s="521"/>
      <c r="EY105" s="521"/>
      <c r="EZ105" s="521"/>
      <c r="FA105" s="521"/>
      <c r="FB105" s="521"/>
      <c r="FC105" s="521"/>
      <c r="FD105" s="521"/>
      <c r="FE105" s="521"/>
      <c r="FF105" s="521"/>
      <c r="FG105" s="521"/>
      <c r="FH105" s="521"/>
      <c r="FI105" s="521"/>
      <c r="FJ105" s="521"/>
      <c r="FK105" s="521"/>
      <c r="FL105" s="521"/>
      <c r="FM105" s="521"/>
      <c r="FN105" s="521"/>
      <c r="FO105" s="521"/>
      <c r="FP105" s="521"/>
      <c r="FQ105" s="521"/>
      <c r="FR105" s="521"/>
      <c r="FS105" s="521"/>
      <c r="FT105" s="521"/>
      <c r="FU105" s="521"/>
      <c r="FV105" s="521"/>
      <c r="FW105" s="521"/>
      <c r="FX105" s="521"/>
      <c r="FY105" s="521"/>
      <c r="FZ105" s="521"/>
      <c r="GA105" s="521"/>
      <c r="GB105" s="521"/>
      <c r="GC105" s="521"/>
      <c r="GD105" s="521"/>
      <c r="GE105" s="521"/>
      <c r="GF105" s="521"/>
      <c r="GG105" s="521"/>
      <c r="GH105" s="521"/>
      <c r="GI105" s="521"/>
      <c r="GJ105" s="521"/>
      <c r="GK105" s="521"/>
      <c r="GL105" s="521"/>
      <c r="GM105" s="521"/>
      <c r="GN105" s="521"/>
      <c r="GO105" s="521"/>
      <c r="GP105" s="521"/>
      <c r="GQ105" s="521"/>
      <c r="GR105" s="521"/>
      <c r="GS105" s="521"/>
      <c r="GT105" s="521"/>
      <c r="GU105" s="521"/>
      <c r="GV105" s="521"/>
      <c r="GW105" s="521"/>
      <c r="GX105" s="521"/>
      <c r="GY105" s="521"/>
      <c r="GZ105" s="521"/>
      <c r="HA105" s="521"/>
      <c r="HB105" s="521"/>
      <c r="HC105" s="521"/>
      <c r="HD105" s="521"/>
      <c r="HE105" s="521"/>
      <c r="HF105" s="521"/>
      <c r="HG105" s="521"/>
      <c r="HH105" s="521"/>
      <c r="HI105" s="521"/>
      <c r="HJ105" s="521"/>
      <c r="HK105" s="521"/>
      <c r="HL105" s="521"/>
      <c r="HM105" s="521"/>
      <c r="HN105" s="521"/>
      <c r="HO105" s="521"/>
      <c r="HP105" s="521"/>
      <c r="HQ105" s="521"/>
      <c r="HR105" s="521"/>
      <c r="HS105" s="521"/>
      <c r="HT105" s="521"/>
      <c r="HU105" s="521"/>
      <c r="HV105" s="521"/>
      <c r="HW105" s="521"/>
      <c r="HX105" s="521"/>
      <c r="HY105" s="521"/>
      <c r="HZ105" s="521"/>
      <c r="IA105" s="521"/>
      <c r="IB105" s="521"/>
      <c r="IC105" s="521"/>
      <c r="ID105" s="521"/>
      <c r="IE105" s="521"/>
      <c r="IF105" s="521"/>
      <c r="IG105" s="521"/>
      <c r="IH105" s="521"/>
      <c r="II105" s="521"/>
      <c r="IJ105" s="521"/>
      <c r="IK105" s="521"/>
      <c r="IL105" s="521"/>
      <c r="IM105" s="521"/>
      <c r="IN105" s="521"/>
    </row>
    <row r="106" spans="1:248" s="508" customFormat="1" ht="12.75">
      <c r="A106" s="811" t="s">
        <v>600</v>
      </c>
      <c r="B106" s="811"/>
      <c r="C106" s="811"/>
      <c r="D106" s="811"/>
      <c r="E106" s="811"/>
      <c r="F106" s="513"/>
      <c r="G106" s="513"/>
      <c r="H106" s="513"/>
      <c r="I106" s="513"/>
      <c r="J106" s="513"/>
      <c r="K106" s="513"/>
      <c r="L106" s="513"/>
      <c r="M106" s="513"/>
      <c r="N106" s="513"/>
      <c r="O106" s="513"/>
      <c r="P106" s="513"/>
      <c r="Q106" s="513"/>
      <c r="R106" s="513"/>
      <c r="S106" s="513"/>
      <c r="T106" s="513"/>
      <c r="U106" s="513"/>
      <c r="V106" s="513"/>
      <c r="W106" s="513"/>
      <c r="X106" s="513"/>
      <c r="Y106" s="513"/>
      <c r="Z106" s="513"/>
      <c r="AA106" s="513"/>
      <c r="AB106" s="513"/>
      <c r="AC106" s="513"/>
      <c r="AD106" s="513"/>
      <c r="AE106" s="513"/>
      <c r="AF106" s="513"/>
      <c r="AG106" s="513"/>
      <c r="AH106" s="513"/>
      <c r="AI106" s="513"/>
      <c r="AJ106" s="513"/>
      <c r="AK106" s="513"/>
      <c r="AL106" s="513"/>
      <c r="AM106" s="513"/>
      <c r="AN106" s="513"/>
      <c r="AO106" s="513"/>
      <c r="AP106" s="513"/>
      <c r="AQ106" s="513"/>
      <c r="AR106" s="513"/>
      <c r="AS106" s="513"/>
      <c r="AT106" s="513"/>
      <c r="AU106" s="513"/>
      <c r="AV106" s="513"/>
      <c r="AW106" s="513"/>
      <c r="AX106" s="513"/>
      <c r="AY106" s="513"/>
      <c r="AZ106" s="513"/>
      <c r="BA106" s="513"/>
      <c r="BB106" s="513"/>
      <c r="BC106" s="513"/>
      <c r="BD106" s="513"/>
      <c r="BE106" s="513"/>
      <c r="BF106" s="513"/>
      <c r="BG106" s="513"/>
      <c r="BH106" s="513"/>
      <c r="BI106" s="513"/>
      <c r="BJ106" s="513"/>
      <c r="BK106" s="513"/>
      <c r="BL106" s="513"/>
      <c r="BM106" s="513"/>
      <c r="BN106" s="513"/>
      <c r="BO106" s="513"/>
      <c r="BP106" s="513"/>
      <c r="BQ106" s="513"/>
      <c r="BR106" s="513"/>
      <c r="BS106" s="513"/>
      <c r="BT106" s="513"/>
      <c r="BU106" s="513"/>
      <c r="BV106" s="513"/>
      <c r="BW106" s="513"/>
      <c r="BX106" s="513"/>
      <c r="BY106" s="513"/>
      <c r="BZ106" s="513"/>
      <c r="CA106" s="513"/>
      <c r="CB106" s="513"/>
      <c r="CC106" s="513"/>
      <c r="CD106" s="513"/>
      <c r="CE106" s="513"/>
      <c r="CF106" s="513"/>
      <c r="CG106" s="513"/>
      <c r="CH106" s="513"/>
      <c r="CI106" s="513"/>
      <c r="CJ106" s="513"/>
      <c r="CK106" s="513"/>
      <c r="CL106" s="513"/>
      <c r="CM106" s="513"/>
      <c r="CN106" s="513"/>
      <c r="CO106" s="513"/>
      <c r="CP106" s="513"/>
      <c r="CQ106" s="513"/>
      <c r="CR106" s="513"/>
      <c r="CS106" s="513"/>
      <c r="CT106" s="513"/>
      <c r="CU106" s="513"/>
      <c r="CV106" s="513"/>
      <c r="CW106" s="513"/>
      <c r="CX106" s="513"/>
      <c r="CY106" s="513"/>
      <c r="CZ106" s="513"/>
      <c r="DA106" s="513"/>
      <c r="DB106" s="513"/>
      <c r="DC106" s="513"/>
      <c r="DD106" s="513"/>
      <c r="DE106" s="521"/>
      <c r="DF106" s="509"/>
      <c r="DG106" s="509"/>
      <c r="DH106" s="509"/>
      <c r="DI106" s="489"/>
      <c r="DJ106" s="489"/>
      <c r="DK106" s="489"/>
      <c r="DL106" s="489"/>
      <c r="DM106" s="930"/>
      <c r="DN106" s="930"/>
      <c r="DO106" s="930"/>
      <c r="DP106" s="930"/>
      <c r="DQ106" s="930"/>
      <c r="DR106" s="930"/>
      <c r="DS106" s="930"/>
      <c r="DT106" s="930"/>
      <c r="DU106" s="930"/>
      <c r="DV106" s="930"/>
      <c r="DW106" s="521"/>
      <c r="DX106" s="509"/>
      <c r="DY106" s="509"/>
      <c r="DZ106" s="509"/>
      <c r="EA106" s="509"/>
      <c r="EB106" s="509"/>
      <c r="EC106" s="489"/>
      <c r="ED106" s="930"/>
      <c r="EE106" s="930"/>
      <c r="EF106" s="930"/>
      <c r="EG106" s="930"/>
      <c r="EH106" s="930"/>
      <c r="EI106" s="930"/>
      <c r="EJ106" s="930"/>
      <c r="EK106" s="930"/>
      <c r="EL106" s="930"/>
      <c r="EM106" s="930"/>
      <c r="EN106" s="930"/>
      <c r="EO106" s="930"/>
      <c r="EP106" s="930"/>
      <c r="EQ106" s="930"/>
      <c r="ER106" s="930"/>
      <c r="ES106" s="930"/>
      <c r="ET106" s="521"/>
      <c r="EU106" s="521"/>
      <c r="EV106" s="521"/>
      <c r="EW106" s="521"/>
      <c r="EX106" s="521"/>
      <c r="EY106" s="521"/>
      <c r="EZ106" s="521"/>
      <c r="FA106" s="521"/>
      <c r="FB106" s="521"/>
      <c r="FC106" s="521"/>
      <c r="FD106" s="521"/>
      <c r="FE106" s="521"/>
      <c r="FF106" s="521"/>
      <c r="FG106" s="521"/>
      <c r="FH106" s="521"/>
      <c r="FI106" s="521"/>
      <c r="FJ106" s="521"/>
      <c r="FK106" s="521"/>
      <c r="FL106" s="521"/>
      <c r="FM106" s="521"/>
      <c r="FN106" s="521"/>
      <c r="FO106" s="521"/>
      <c r="FP106" s="521"/>
      <c r="FQ106" s="521"/>
      <c r="FR106" s="521"/>
      <c r="FS106" s="521"/>
      <c r="FT106" s="521"/>
      <c r="FU106" s="521"/>
      <c r="FV106" s="521"/>
      <c r="FW106" s="521"/>
      <c r="FX106" s="521"/>
      <c r="FY106" s="521"/>
      <c r="FZ106" s="521"/>
      <c r="GA106" s="521"/>
      <c r="GB106" s="521"/>
      <c r="GC106" s="521"/>
      <c r="GD106" s="521"/>
      <c r="GE106" s="521"/>
      <c r="GF106" s="521"/>
      <c r="GG106" s="521"/>
      <c r="GH106" s="521"/>
      <c r="GI106" s="521"/>
      <c r="GJ106" s="521"/>
      <c r="GK106" s="521"/>
      <c r="GL106" s="521"/>
      <c r="GM106" s="521"/>
      <c r="GN106" s="521"/>
      <c r="GO106" s="521"/>
      <c r="GP106" s="521"/>
      <c r="GQ106" s="521"/>
      <c r="GR106" s="521"/>
      <c r="GS106" s="521"/>
      <c r="GT106" s="521"/>
      <c r="GU106" s="521"/>
      <c r="GV106" s="521"/>
      <c r="GW106" s="521"/>
      <c r="GX106" s="521"/>
      <c r="GY106" s="521"/>
      <c r="GZ106" s="521"/>
      <c r="HA106" s="521"/>
      <c r="HB106" s="521"/>
      <c r="HC106" s="521"/>
      <c r="HD106" s="521"/>
      <c r="HE106" s="521"/>
      <c r="HF106" s="521"/>
      <c r="HG106" s="521"/>
      <c r="HH106" s="521"/>
      <c r="HI106" s="521"/>
      <c r="HJ106" s="521"/>
      <c r="HK106" s="521"/>
      <c r="HL106" s="521"/>
      <c r="HM106" s="521"/>
      <c r="HN106" s="521"/>
      <c r="HO106" s="521"/>
      <c r="HP106" s="521"/>
      <c r="HQ106" s="521"/>
      <c r="HR106" s="521"/>
      <c r="HS106" s="521"/>
      <c r="HT106" s="521"/>
      <c r="HU106" s="521"/>
      <c r="HV106" s="521"/>
      <c r="HW106" s="521"/>
      <c r="HX106" s="521"/>
      <c r="HY106" s="521"/>
      <c r="HZ106" s="521"/>
      <c r="IA106" s="521"/>
      <c r="IB106" s="521"/>
      <c r="IC106" s="521"/>
      <c r="ID106" s="521"/>
      <c r="IE106" s="521"/>
      <c r="IF106" s="521"/>
      <c r="IG106" s="521"/>
      <c r="IH106" s="521"/>
      <c r="II106" s="521"/>
      <c r="IJ106" s="521"/>
      <c r="IK106" s="521"/>
      <c r="IL106" s="521"/>
      <c r="IM106" s="521"/>
      <c r="IN106" s="521"/>
    </row>
    <row r="107" spans="1:248" s="508" customFormat="1" ht="12.75">
      <c r="A107" s="1738" t="s">
        <v>601</v>
      </c>
      <c r="B107" s="1738"/>
      <c r="C107" s="1738"/>
      <c r="D107" s="1738"/>
      <c r="E107" s="1738"/>
      <c r="F107" s="1738"/>
      <c r="G107" s="1738"/>
      <c r="H107" s="1738"/>
      <c r="I107" s="1738"/>
      <c r="J107" s="1738"/>
      <c r="K107" s="1738"/>
      <c r="L107" s="1738"/>
      <c r="M107" s="1738"/>
      <c r="N107" s="1738"/>
      <c r="O107" s="1738"/>
      <c r="P107" s="1738"/>
      <c r="Q107" s="1738"/>
      <c r="R107" s="1738"/>
      <c r="S107" s="1738"/>
      <c r="T107" s="1738"/>
      <c r="U107" s="1738"/>
      <c r="V107" s="1738"/>
      <c r="W107" s="1738"/>
      <c r="X107" s="1738"/>
      <c r="Y107" s="1738"/>
      <c r="Z107" s="1738"/>
      <c r="AA107" s="1738"/>
      <c r="AB107" s="1738"/>
      <c r="AC107" s="1738"/>
      <c r="AD107" s="1738"/>
      <c r="AE107" s="1738"/>
      <c r="AF107" s="1738"/>
      <c r="AG107" s="1738"/>
      <c r="AH107" s="1738"/>
      <c r="AI107" s="1738"/>
      <c r="AJ107" s="1738"/>
      <c r="AK107" s="1738"/>
      <c r="AL107" s="1738"/>
      <c r="AM107" s="1738"/>
      <c r="AN107" s="1738"/>
      <c r="AO107" s="1738"/>
      <c r="AP107" s="1738"/>
      <c r="AQ107" s="1738"/>
      <c r="AR107" s="1738"/>
      <c r="AS107" s="1738"/>
      <c r="AT107" s="1738"/>
      <c r="AU107" s="1738"/>
      <c r="AV107" s="1738"/>
      <c r="AW107" s="1738"/>
      <c r="AX107" s="1738"/>
      <c r="AY107" s="1738"/>
      <c r="AZ107" s="1738"/>
      <c r="BA107" s="1738"/>
      <c r="BB107" s="1738"/>
      <c r="BC107" s="1738"/>
      <c r="BD107" s="1738"/>
      <c r="BE107" s="1738"/>
      <c r="BF107" s="1738"/>
      <c r="BG107" s="1738"/>
      <c r="BH107" s="1738"/>
      <c r="BI107" s="1738"/>
      <c r="BJ107" s="1738"/>
      <c r="BK107" s="1738"/>
      <c r="BL107" s="1738"/>
      <c r="BM107" s="1738"/>
      <c r="BN107" s="1738"/>
      <c r="BO107" s="1738"/>
      <c r="BP107" s="1738"/>
      <c r="BQ107" s="1738"/>
      <c r="BR107" s="1738"/>
      <c r="BS107" s="1738"/>
      <c r="BT107" s="1738"/>
      <c r="BU107" s="1738"/>
      <c r="BV107" s="1738"/>
      <c r="BW107" s="1738"/>
      <c r="BX107" s="1738"/>
      <c r="BY107" s="1738"/>
      <c r="BZ107" s="1738"/>
      <c r="CA107" s="1738"/>
      <c r="CB107" s="1738"/>
      <c r="CC107" s="1738"/>
      <c r="CD107" s="1738"/>
      <c r="CE107" s="1738"/>
      <c r="CF107" s="1738"/>
      <c r="CG107" s="1738"/>
      <c r="CH107" s="1738"/>
      <c r="CI107" s="1738"/>
      <c r="CJ107" s="1738"/>
      <c r="CK107" s="1738"/>
      <c r="CL107" s="1738"/>
      <c r="CM107" s="1738"/>
      <c r="CN107" s="1738"/>
      <c r="CO107" s="1738"/>
      <c r="CP107" s="1738"/>
      <c r="CQ107" s="1738"/>
      <c r="CR107" s="1738"/>
      <c r="CS107" s="1738"/>
      <c r="CT107" s="1738"/>
      <c r="CU107" s="1738"/>
      <c r="CV107" s="1738"/>
      <c r="CW107" s="1738"/>
      <c r="CX107" s="1738"/>
      <c r="CY107" s="1738"/>
      <c r="CZ107" s="1738"/>
      <c r="DA107" s="1738"/>
      <c r="DB107" s="1738"/>
      <c r="DC107" s="1738"/>
      <c r="DD107" s="1738"/>
      <c r="DE107" s="1738"/>
      <c r="DF107" s="1738"/>
      <c r="DG107" s="1738"/>
      <c r="DH107" s="1738"/>
      <c r="DI107" s="1738"/>
      <c r="DJ107" s="1738"/>
      <c r="DK107" s="1738"/>
      <c r="DL107" s="1738"/>
      <c r="DM107" s="1738"/>
      <c r="DN107" s="1738"/>
      <c r="DO107" s="1738"/>
      <c r="DP107" s="1738"/>
      <c r="DQ107" s="1738"/>
      <c r="DR107" s="1738"/>
      <c r="DS107" s="1738"/>
      <c r="DT107" s="1738"/>
      <c r="DU107" s="1738"/>
      <c r="DV107" s="1738"/>
      <c r="DW107" s="1738"/>
      <c r="DX107" s="1738"/>
      <c r="DY107" s="1738"/>
      <c r="DZ107" s="1738"/>
      <c r="EA107" s="1738"/>
      <c r="EB107" s="1738"/>
      <c r="EC107" s="1738"/>
      <c r="ED107" s="1738"/>
      <c r="EE107" s="1738"/>
      <c r="EF107" s="1738"/>
      <c r="EG107" s="1738"/>
      <c r="EH107" s="1738"/>
      <c r="EI107" s="1738"/>
      <c r="EJ107" s="1738"/>
      <c r="EK107" s="1738"/>
      <c r="EL107" s="1738"/>
      <c r="EM107" s="1738"/>
      <c r="EN107" s="1738"/>
      <c r="EO107" s="1738"/>
      <c r="EP107" s="1738"/>
      <c r="EQ107" s="1738"/>
      <c r="ER107" s="1738"/>
      <c r="ES107" s="1738"/>
      <c r="ET107" s="521"/>
      <c r="EU107" s="521"/>
      <c r="EV107" s="521"/>
      <c r="EW107" s="521"/>
      <c r="EX107" s="521"/>
      <c r="EY107" s="521"/>
      <c r="EZ107" s="521"/>
      <c r="FA107" s="521"/>
      <c r="FB107" s="521"/>
      <c r="FC107" s="521"/>
      <c r="FD107" s="521"/>
      <c r="FE107" s="521"/>
      <c r="FF107" s="521"/>
      <c r="FG107" s="521"/>
      <c r="FH107" s="521"/>
      <c r="FI107" s="521"/>
      <c r="FJ107" s="521"/>
      <c r="FK107" s="521"/>
      <c r="FL107" s="521"/>
      <c r="FM107" s="521"/>
      <c r="FN107" s="521"/>
      <c r="FO107" s="521"/>
      <c r="FP107" s="521"/>
      <c r="FQ107" s="521"/>
      <c r="FR107" s="521"/>
      <c r="FS107" s="521"/>
      <c r="FT107" s="521"/>
      <c r="FU107" s="521"/>
      <c r="FV107" s="521"/>
      <c r="FW107" s="521"/>
      <c r="FX107" s="521"/>
      <c r="FY107" s="521"/>
      <c r="FZ107" s="521"/>
      <c r="GA107" s="521"/>
      <c r="GB107" s="521"/>
      <c r="GC107" s="521"/>
      <c r="GD107" s="521"/>
      <c r="GE107" s="521"/>
      <c r="GF107" s="521"/>
      <c r="GG107" s="521"/>
      <c r="GH107" s="521"/>
      <c r="GI107" s="521"/>
      <c r="GJ107" s="521"/>
      <c r="GK107" s="521"/>
      <c r="GL107" s="521"/>
      <c r="GM107" s="521"/>
      <c r="GN107" s="521"/>
      <c r="GO107" s="521"/>
      <c r="GP107" s="521"/>
      <c r="GQ107" s="521"/>
      <c r="GR107" s="521"/>
      <c r="GS107" s="521"/>
      <c r="GT107" s="521"/>
      <c r="GU107" s="521"/>
      <c r="GV107" s="521"/>
      <c r="GW107" s="521"/>
      <c r="GX107" s="521"/>
      <c r="GY107" s="521"/>
      <c r="GZ107" s="521"/>
      <c r="HA107" s="521"/>
      <c r="HB107" s="521"/>
      <c r="HC107" s="521"/>
      <c r="HD107" s="521"/>
      <c r="HE107" s="521"/>
      <c r="HF107" s="521"/>
      <c r="HG107" s="521"/>
      <c r="HH107" s="521"/>
      <c r="HI107" s="521"/>
      <c r="HJ107" s="521"/>
      <c r="HK107" s="521"/>
      <c r="HL107" s="521"/>
      <c r="HM107" s="521"/>
      <c r="HN107" s="521"/>
      <c r="HO107" s="521"/>
      <c r="HP107" s="521"/>
      <c r="HQ107" s="521"/>
      <c r="HR107" s="521"/>
      <c r="HS107" s="521"/>
      <c r="HT107" s="521"/>
      <c r="HU107" s="521"/>
      <c r="HV107" s="521"/>
      <c r="HW107" s="521"/>
      <c r="HX107" s="521"/>
      <c r="HY107" s="521"/>
      <c r="HZ107" s="521"/>
      <c r="IA107" s="521"/>
      <c r="IB107" s="521"/>
      <c r="IC107" s="521"/>
      <c r="ID107" s="521"/>
      <c r="IE107" s="521"/>
      <c r="IF107" s="521"/>
      <c r="IG107" s="521"/>
      <c r="IH107" s="521"/>
      <c r="II107" s="521"/>
      <c r="IJ107" s="521"/>
      <c r="IK107" s="521"/>
      <c r="IL107" s="521"/>
      <c r="IM107" s="521"/>
      <c r="IN107" s="521"/>
    </row>
    <row r="108" spans="1:248" s="508" customFormat="1" ht="11.25" customHeight="1">
      <c r="A108" s="510"/>
      <c r="B108" s="510"/>
      <c r="C108" s="510"/>
      <c r="D108" s="510"/>
      <c r="E108" s="510"/>
      <c r="F108" s="510"/>
      <c r="G108" s="510"/>
      <c r="H108" s="510"/>
      <c r="I108" s="510"/>
      <c r="J108" s="510"/>
      <c r="K108" s="510"/>
      <c r="L108" s="510"/>
      <c r="M108" s="510"/>
      <c r="N108" s="510"/>
      <c r="O108" s="510"/>
      <c r="P108" s="510"/>
      <c r="Q108" s="510"/>
      <c r="R108" s="510"/>
      <c r="S108" s="510"/>
      <c r="T108" s="510"/>
      <c r="U108" s="510"/>
      <c r="V108" s="510"/>
      <c r="W108" s="510"/>
      <c r="X108" s="510"/>
      <c r="Y108" s="510"/>
      <c r="Z108" s="510"/>
      <c r="AA108" s="510"/>
      <c r="AB108" s="510"/>
      <c r="AC108" s="510"/>
      <c r="AD108" s="510"/>
      <c r="AE108" s="510"/>
      <c r="AF108" s="510"/>
      <c r="AG108" s="510"/>
      <c r="AH108" s="510"/>
      <c r="AI108" s="510"/>
      <c r="AJ108" s="510"/>
      <c r="AK108" s="510"/>
      <c r="AL108" s="510"/>
      <c r="AM108" s="510"/>
      <c r="AN108" s="510"/>
      <c r="AO108" s="510"/>
      <c r="AP108" s="510"/>
      <c r="AQ108" s="510"/>
      <c r="AR108" s="510"/>
      <c r="AS108" s="510"/>
      <c r="AT108" s="510"/>
      <c r="AU108" s="510"/>
      <c r="AV108" s="510"/>
      <c r="AW108" s="510"/>
      <c r="AX108" s="510"/>
      <c r="AY108" s="510"/>
      <c r="AZ108" s="510"/>
      <c r="BA108" s="510"/>
      <c r="BB108" s="510"/>
      <c r="BC108" s="510"/>
      <c r="BD108" s="510"/>
      <c r="BE108" s="510"/>
      <c r="BF108" s="510"/>
      <c r="BG108" s="510"/>
      <c r="BH108" s="510"/>
      <c r="BI108" s="510"/>
      <c r="BJ108" s="510"/>
      <c r="BK108" s="510"/>
      <c r="BL108" s="510"/>
      <c r="BM108" s="510"/>
      <c r="BN108" s="510"/>
      <c r="BO108" s="510"/>
      <c r="BP108" s="510"/>
      <c r="BQ108" s="510"/>
      <c r="BR108" s="510"/>
      <c r="BS108" s="510"/>
      <c r="BT108" s="510"/>
      <c r="BU108" s="510"/>
      <c r="BV108" s="510"/>
      <c r="BW108" s="510"/>
      <c r="BX108" s="510"/>
      <c r="BY108" s="510"/>
      <c r="BZ108" s="510"/>
      <c r="CA108" s="510"/>
      <c r="CB108" s="510"/>
      <c r="CC108" s="510"/>
      <c r="CD108" s="510"/>
      <c r="CE108" s="510"/>
      <c r="CF108" s="510"/>
      <c r="CG108" s="510"/>
      <c r="CH108" s="510"/>
      <c r="CI108" s="510"/>
      <c r="CJ108" s="510"/>
      <c r="CK108" s="510"/>
      <c r="CL108" s="510"/>
      <c r="CM108" s="510"/>
      <c r="CN108" s="510"/>
      <c r="CO108" s="510"/>
      <c r="CP108" s="510"/>
      <c r="CQ108" s="510"/>
      <c r="CR108" s="510"/>
      <c r="CS108" s="510"/>
      <c r="CT108" s="510"/>
      <c r="CU108" s="510"/>
      <c r="CV108" s="510"/>
      <c r="CW108" s="510"/>
      <c r="CX108" s="510"/>
      <c r="CY108" s="510"/>
      <c r="CZ108" s="510"/>
      <c r="DA108" s="510"/>
      <c r="DB108" s="510"/>
      <c r="DC108" s="510"/>
      <c r="DD108" s="510"/>
      <c r="DE108" s="510"/>
      <c r="DF108" s="510"/>
      <c r="DG108" s="510"/>
      <c r="DH108" s="510"/>
      <c r="DI108" s="510"/>
      <c r="DJ108" s="510"/>
      <c r="DK108" s="510"/>
      <c r="DL108" s="510"/>
      <c r="DM108" s="510"/>
      <c r="DN108" s="510"/>
      <c r="DO108" s="510"/>
      <c r="DP108" s="510"/>
      <c r="DQ108" s="510"/>
      <c r="DR108" s="510"/>
      <c r="DS108" s="510"/>
      <c r="DT108" s="510"/>
      <c r="DU108" s="510"/>
      <c r="DV108" s="510"/>
      <c r="DW108" s="510"/>
      <c r="DX108" s="510"/>
      <c r="DY108" s="510"/>
      <c r="DZ108" s="510"/>
      <c r="EA108" s="510"/>
      <c r="EB108" s="510"/>
      <c r="EC108" s="510"/>
      <c r="ED108" s="510"/>
      <c r="EE108" s="510"/>
      <c r="EF108" s="510"/>
      <c r="EG108" s="510"/>
      <c r="EH108" s="510"/>
      <c r="EI108" s="510"/>
      <c r="EJ108" s="510"/>
      <c r="EK108" s="510"/>
      <c r="EL108" s="510"/>
      <c r="EM108" s="510"/>
      <c r="EN108" s="510"/>
      <c r="EO108" s="510"/>
      <c r="EP108" s="510"/>
      <c r="EQ108" s="510"/>
      <c r="ER108" s="510"/>
      <c r="ES108" s="510"/>
      <c r="ET108" s="521"/>
      <c r="EU108" s="521"/>
      <c r="EV108" s="521"/>
      <c r="EW108" s="521"/>
      <c r="EX108" s="521"/>
      <c r="EY108" s="521"/>
      <c r="EZ108" s="521"/>
      <c r="FA108" s="521"/>
      <c r="FB108" s="521"/>
      <c r="FC108" s="521"/>
      <c r="FD108" s="521"/>
      <c r="FE108" s="521"/>
      <c r="FF108" s="521"/>
      <c r="FG108" s="521"/>
      <c r="FH108" s="521"/>
      <c r="FI108" s="521"/>
      <c r="FJ108" s="521"/>
      <c r="FK108" s="521"/>
      <c r="FL108" s="521"/>
      <c r="FM108" s="521"/>
      <c r="FN108" s="521"/>
      <c r="FO108" s="521"/>
      <c r="FP108" s="521"/>
      <c r="FQ108" s="521"/>
      <c r="FR108" s="521"/>
      <c r="FS108" s="521"/>
      <c r="FT108" s="521"/>
      <c r="FU108" s="521"/>
      <c r="FV108" s="521"/>
      <c r="FW108" s="521"/>
      <c r="FX108" s="521"/>
      <c r="FY108" s="521"/>
      <c r="FZ108" s="521"/>
      <c r="GA108" s="521"/>
      <c r="GB108" s="521"/>
      <c r="GC108" s="521"/>
      <c r="GD108" s="521"/>
      <c r="GE108" s="521"/>
      <c r="GF108" s="521"/>
      <c r="GG108" s="521"/>
      <c r="GH108" s="521"/>
      <c r="GI108" s="521"/>
      <c r="GJ108" s="521"/>
      <c r="GK108" s="521"/>
      <c r="GL108" s="521"/>
      <c r="GM108" s="521"/>
      <c r="GN108" s="521"/>
      <c r="GO108" s="521"/>
      <c r="GP108" s="521"/>
      <c r="GQ108" s="521"/>
      <c r="GR108" s="521"/>
      <c r="GS108" s="521"/>
      <c r="GT108" s="521"/>
      <c r="GU108" s="521"/>
      <c r="GV108" s="521"/>
      <c r="GW108" s="521"/>
      <c r="GX108" s="521"/>
      <c r="GY108" s="521"/>
      <c r="GZ108" s="521"/>
      <c r="HA108" s="521"/>
      <c r="HB108" s="521"/>
      <c r="HC108" s="521"/>
      <c r="HD108" s="521"/>
      <c r="HE108" s="521"/>
      <c r="HF108" s="521"/>
      <c r="HG108" s="521"/>
      <c r="HH108" s="521"/>
      <c r="HI108" s="521"/>
      <c r="HJ108" s="521"/>
      <c r="HK108" s="521"/>
      <c r="HL108" s="521"/>
      <c r="HM108" s="521"/>
      <c r="HN108" s="521"/>
      <c r="HO108" s="521"/>
      <c r="HP108" s="521"/>
      <c r="HQ108" s="521"/>
      <c r="HR108" s="521"/>
      <c r="HS108" s="521"/>
      <c r="HT108" s="521"/>
      <c r="HU108" s="521"/>
      <c r="HV108" s="521"/>
      <c r="HW108" s="521"/>
      <c r="HX108" s="521"/>
      <c r="HY108" s="521"/>
      <c r="HZ108" s="521"/>
      <c r="IA108" s="521"/>
      <c r="IB108" s="521"/>
      <c r="IC108" s="521"/>
      <c r="ID108" s="521"/>
      <c r="IE108" s="521"/>
      <c r="IF108" s="521"/>
      <c r="IG108" s="521"/>
      <c r="IH108" s="521"/>
      <c r="II108" s="521"/>
      <c r="IJ108" s="521"/>
      <c r="IK108" s="521"/>
      <c r="IL108" s="521"/>
      <c r="IM108" s="521"/>
      <c r="IN108" s="521"/>
    </row>
    <row r="109" spans="1:248" s="508" customFormat="1" ht="11.25" customHeight="1">
      <c r="A109" s="1736" t="s">
        <v>78</v>
      </c>
      <c r="B109" s="1736"/>
      <c r="C109" s="1736"/>
      <c r="D109" s="1736"/>
      <c r="E109" s="1736"/>
      <c r="F109" s="1736"/>
      <c r="G109" s="1736"/>
      <c r="H109" s="1736"/>
      <c r="I109" s="1736"/>
      <c r="J109" s="1736"/>
      <c r="K109" s="1736"/>
      <c r="L109" s="1736"/>
      <c r="M109" s="1736"/>
      <c r="N109" s="1736"/>
      <c r="O109" s="1736"/>
      <c r="P109" s="1736"/>
      <c r="Q109" s="1736"/>
      <c r="R109" s="1736"/>
      <c r="S109" s="1736"/>
      <c r="T109" s="1736"/>
      <c r="U109" s="1736"/>
      <c r="V109" s="1736"/>
      <c r="W109" s="1736"/>
      <c r="X109" s="1736"/>
      <c r="Y109" s="1736"/>
      <c r="Z109" s="1736"/>
      <c r="AA109" s="1736"/>
      <c r="AB109" s="1736"/>
      <c r="AC109" s="1736"/>
      <c r="AD109" s="1736"/>
      <c r="AE109" s="1736"/>
      <c r="AF109" s="1736"/>
      <c r="AG109" s="1736"/>
      <c r="AH109" s="1736"/>
      <c r="AI109" s="1736"/>
      <c r="AJ109" s="1736"/>
      <c r="AK109" s="1736"/>
      <c r="AL109" s="1736"/>
      <c r="AM109" s="1736"/>
      <c r="AN109" s="521"/>
      <c r="AO109" s="1734" t="str">
        <f>A33</f>
        <v>Бухгалтер</v>
      </c>
      <c r="AP109" s="1734"/>
      <c r="AQ109" s="1734"/>
      <c r="AR109" s="1734"/>
      <c r="AS109" s="1734"/>
      <c r="AT109" s="1734"/>
      <c r="AU109" s="1734"/>
      <c r="AV109" s="1734"/>
      <c r="AW109" s="1734"/>
      <c r="AX109" s="1734"/>
      <c r="AY109" s="1734"/>
      <c r="AZ109" s="1734"/>
      <c r="BA109" s="1734"/>
      <c r="BB109" s="1734"/>
      <c r="BC109" s="1734"/>
      <c r="BD109" s="1734"/>
      <c r="BE109" s="1734"/>
      <c r="BF109" s="1734"/>
      <c r="BG109" s="1734"/>
      <c r="BH109" s="1734"/>
      <c r="BI109" s="1734"/>
      <c r="BJ109" s="1734"/>
      <c r="BK109" s="1734"/>
      <c r="BL109" s="1734"/>
      <c r="BM109" s="1734"/>
      <c r="BN109" s="1734"/>
      <c r="BO109" s="1734"/>
      <c r="BP109" s="1734"/>
      <c r="BQ109" s="1734"/>
      <c r="BR109" s="489"/>
      <c r="BS109" s="489"/>
      <c r="BT109" s="1735"/>
      <c r="BU109" s="1735"/>
      <c r="BV109" s="1735"/>
      <c r="BW109" s="1735"/>
      <c r="BX109" s="1735"/>
      <c r="BY109" s="1735"/>
      <c r="BZ109" s="1735"/>
      <c r="CA109" s="1735"/>
      <c r="CB109" s="1735"/>
      <c r="CC109" s="1735"/>
      <c r="CD109" s="1735"/>
      <c r="CE109" s="1735"/>
      <c r="CF109" s="1735"/>
      <c r="CG109" s="1735"/>
      <c r="CH109" s="1735"/>
      <c r="CI109" s="1735"/>
      <c r="CJ109" s="1735"/>
      <c r="CK109" s="1735"/>
      <c r="CL109" s="1735"/>
      <c r="CM109" s="1735"/>
      <c r="CN109" s="1735"/>
      <c r="CO109" s="1735"/>
      <c r="CP109" s="1735"/>
      <c r="CQ109" s="521"/>
      <c r="CR109" s="521"/>
      <c r="CS109" s="1734" t="str">
        <f>BH33</f>
        <v>Горнак Ирина Андреевна</v>
      </c>
      <c r="CT109" s="1734"/>
      <c r="CU109" s="1734"/>
      <c r="CV109" s="1734"/>
      <c r="CW109" s="1734"/>
      <c r="CX109" s="1734"/>
      <c r="CY109" s="1734"/>
      <c r="CZ109" s="1734"/>
      <c r="DA109" s="1734"/>
      <c r="DB109" s="1734"/>
      <c r="DC109" s="1734"/>
      <c r="DD109" s="1734"/>
      <c r="DE109" s="1734"/>
      <c r="DF109" s="1734"/>
      <c r="DG109" s="1734"/>
      <c r="DH109" s="1734"/>
      <c r="DI109" s="1734"/>
      <c r="DJ109" s="1734"/>
      <c r="DK109" s="1734"/>
      <c r="DL109" s="1734"/>
      <c r="DM109" s="1734"/>
      <c r="DN109" s="1734"/>
      <c r="DO109" s="1734"/>
      <c r="DP109" s="1734"/>
      <c r="DQ109" s="1734"/>
      <c r="DR109" s="1734"/>
      <c r="DS109" s="1734"/>
      <c r="DT109" s="1734"/>
      <c r="DU109" s="1734"/>
      <c r="DV109" s="1734"/>
      <c r="DW109" s="1734"/>
      <c r="DX109" s="1734"/>
      <c r="DY109" s="1734"/>
      <c r="DZ109" s="1734"/>
      <c r="EA109" s="510"/>
      <c r="EB109" s="510"/>
      <c r="EC109" s="510"/>
      <c r="ED109" s="510"/>
      <c r="EE109" s="510"/>
      <c r="EF109" s="510"/>
      <c r="EG109" s="510"/>
      <c r="EH109" s="510"/>
      <c r="EI109" s="510"/>
      <c r="EJ109" s="510"/>
      <c r="EK109" s="510"/>
      <c r="EL109" s="510"/>
      <c r="EM109" s="510"/>
      <c r="EN109" s="510"/>
      <c r="EO109" s="510"/>
      <c r="EP109" s="510"/>
      <c r="EQ109" s="510"/>
      <c r="ER109" s="510"/>
      <c r="ES109" s="510"/>
      <c r="ET109" s="521"/>
      <c r="EU109" s="521"/>
      <c r="EV109" s="521"/>
      <c r="EW109" s="521"/>
      <c r="EX109" s="521"/>
      <c r="EY109" s="521"/>
      <c r="EZ109" s="521"/>
      <c r="FA109" s="521"/>
      <c r="FB109" s="521"/>
      <c r="FC109" s="521"/>
      <c r="FD109" s="521"/>
      <c r="FE109" s="521"/>
      <c r="FF109" s="521"/>
      <c r="FG109" s="521"/>
      <c r="FH109" s="521"/>
      <c r="FI109" s="521"/>
      <c r="FJ109" s="521"/>
      <c r="FK109" s="521"/>
      <c r="FL109" s="521"/>
      <c r="FM109" s="521"/>
      <c r="FN109" s="521"/>
      <c r="FO109" s="521"/>
      <c r="FP109" s="521"/>
      <c r="FQ109" s="521"/>
      <c r="FR109" s="521"/>
      <c r="FS109" s="521"/>
      <c r="FT109" s="521"/>
      <c r="FU109" s="521"/>
      <c r="FV109" s="521"/>
      <c r="FW109" s="521"/>
      <c r="FX109" s="521"/>
      <c r="FY109" s="521"/>
      <c r="FZ109" s="521"/>
      <c r="GA109" s="521"/>
      <c r="GB109" s="521"/>
      <c r="GC109" s="521"/>
      <c r="GD109" s="521"/>
      <c r="GE109" s="521"/>
      <c r="GF109" s="521"/>
      <c r="GG109" s="521"/>
      <c r="GH109" s="521"/>
      <c r="GI109" s="521"/>
      <c r="GJ109" s="521"/>
      <c r="GK109" s="521"/>
      <c r="GL109" s="521"/>
      <c r="GM109" s="521"/>
      <c r="GN109" s="521"/>
      <c r="GO109" s="521"/>
      <c r="GP109" s="521"/>
      <c r="GQ109" s="521"/>
      <c r="GR109" s="521"/>
      <c r="GS109" s="521"/>
      <c r="GT109" s="521"/>
      <c r="GU109" s="521"/>
      <c r="GV109" s="521"/>
      <c r="GW109" s="521"/>
      <c r="GX109" s="521"/>
      <c r="GY109" s="521"/>
      <c r="GZ109" s="521"/>
      <c r="HA109" s="521"/>
      <c r="HB109" s="521"/>
      <c r="HC109" s="521"/>
      <c r="HD109" s="521"/>
      <c r="HE109" s="521"/>
      <c r="HF109" s="521"/>
      <c r="HG109" s="521"/>
      <c r="HH109" s="521"/>
      <c r="HI109" s="521"/>
      <c r="HJ109" s="521"/>
      <c r="HK109" s="521"/>
      <c r="HL109" s="521"/>
      <c r="HM109" s="521"/>
      <c r="HN109" s="521"/>
      <c r="HO109" s="521"/>
      <c r="HP109" s="521"/>
      <c r="HQ109" s="521"/>
      <c r="HR109" s="521"/>
      <c r="HS109" s="521"/>
      <c r="HT109" s="521"/>
      <c r="HU109" s="521"/>
      <c r="HV109" s="521"/>
      <c r="HW109" s="521"/>
      <c r="HX109" s="521"/>
      <c r="HY109" s="521"/>
      <c r="HZ109" s="521"/>
      <c r="IA109" s="521"/>
      <c r="IB109" s="521"/>
      <c r="IC109" s="521"/>
      <c r="ID109" s="521"/>
      <c r="IE109" s="521"/>
      <c r="IF109" s="521"/>
      <c r="IG109" s="521"/>
      <c r="IH109" s="521"/>
      <c r="II109" s="521"/>
      <c r="IJ109" s="521"/>
      <c r="IK109" s="521"/>
      <c r="IL109" s="521"/>
      <c r="IM109" s="521"/>
      <c r="IN109" s="521"/>
    </row>
    <row r="110" spans="1:248" s="508" customFormat="1" ht="12.75">
      <c r="A110" s="510"/>
      <c r="B110" s="510"/>
      <c r="C110" s="510"/>
      <c r="D110" s="510"/>
      <c r="E110" s="510"/>
      <c r="F110" s="510"/>
      <c r="G110" s="510"/>
      <c r="H110" s="510"/>
      <c r="I110" s="510"/>
      <c r="J110" s="510"/>
      <c r="K110" s="510"/>
      <c r="L110" s="510"/>
      <c r="M110" s="510"/>
      <c r="N110" s="510"/>
      <c r="O110" s="510"/>
      <c r="P110" s="510"/>
      <c r="Q110" s="510"/>
      <c r="R110" s="510"/>
      <c r="S110" s="510"/>
      <c r="T110" s="510"/>
      <c r="U110" s="510"/>
      <c r="V110" s="510"/>
      <c r="W110" s="510"/>
      <c r="X110" s="510"/>
      <c r="Y110" s="510"/>
      <c r="Z110" s="510"/>
      <c r="AA110" s="510"/>
      <c r="AB110" s="510"/>
      <c r="AC110" s="510"/>
      <c r="AD110" s="510"/>
      <c r="AE110" s="510"/>
      <c r="AF110" s="510"/>
      <c r="AG110" s="510"/>
      <c r="AH110" s="510"/>
      <c r="AI110" s="510"/>
      <c r="AJ110" s="510"/>
      <c r="AK110" s="510"/>
      <c r="AL110" s="510"/>
      <c r="AM110" s="510"/>
      <c r="AN110" s="1732" t="s">
        <v>183</v>
      </c>
      <c r="AO110" s="1732"/>
      <c r="AP110" s="1732"/>
      <c r="AQ110" s="1732"/>
      <c r="AR110" s="1732"/>
      <c r="AS110" s="1732"/>
      <c r="AT110" s="1732"/>
      <c r="AU110" s="1732"/>
      <c r="AV110" s="1732"/>
      <c r="AW110" s="1732"/>
      <c r="AX110" s="1732"/>
      <c r="AY110" s="1732"/>
      <c r="AZ110" s="1732"/>
      <c r="BA110" s="1732"/>
      <c r="BB110" s="1732"/>
      <c r="BC110" s="1732"/>
      <c r="BD110" s="1732"/>
      <c r="BE110" s="1732"/>
      <c r="BF110" s="1732"/>
      <c r="BG110" s="1732"/>
      <c r="BH110" s="1732"/>
      <c r="BI110" s="1732"/>
      <c r="BJ110" s="1732"/>
      <c r="BK110" s="1732"/>
      <c r="BL110" s="1732"/>
      <c r="BM110" s="1732"/>
      <c r="BN110" s="1732"/>
      <c r="BO110" s="1732"/>
      <c r="BP110" s="1732"/>
      <c r="BQ110" s="1732"/>
      <c r="BR110" s="1732"/>
      <c r="BS110" s="1733" t="s">
        <v>80</v>
      </c>
      <c r="BT110" s="1733"/>
      <c r="BU110" s="1733"/>
      <c r="BV110" s="1733"/>
      <c r="BW110" s="1733"/>
      <c r="BX110" s="1733"/>
      <c r="BY110" s="1733"/>
      <c r="BZ110" s="1733"/>
      <c r="CA110" s="1733"/>
      <c r="CB110" s="1733"/>
      <c r="CC110" s="1733"/>
      <c r="CD110" s="1733"/>
      <c r="CE110" s="1733"/>
      <c r="CF110" s="1733"/>
      <c r="CG110" s="1733"/>
      <c r="CH110" s="1733"/>
      <c r="CI110" s="1733"/>
      <c r="CJ110" s="1733"/>
      <c r="CK110" s="1733"/>
      <c r="CL110" s="1733"/>
      <c r="CM110" s="1733"/>
      <c r="CN110" s="1733"/>
      <c r="CO110" s="1733"/>
      <c r="CP110" s="1733"/>
      <c r="CQ110" s="522"/>
      <c r="CR110" s="522"/>
      <c r="CS110" s="1727" t="s">
        <v>182</v>
      </c>
      <c r="CT110" s="1727"/>
      <c r="CU110" s="1727"/>
      <c r="CV110" s="1727"/>
      <c r="CW110" s="1727"/>
      <c r="CX110" s="1727"/>
      <c r="CY110" s="1727"/>
      <c r="CZ110" s="1727"/>
      <c r="DA110" s="1727"/>
      <c r="DB110" s="1727"/>
      <c r="DC110" s="1727"/>
      <c r="DD110" s="1727"/>
      <c r="DE110" s="1727"/>
      <c r="DF110" s="1727"/>
      <c r="DG110" s="1727"/>
      <c r="DH110" s="1727"/>
      <c r="DI110" s="1727"/>
      <c r="DJ110" s="1727"/>
      <c r="DK110" s="1727"/>
      <c r="DL110" s="1727"/>
      <c r="DM110" s="1727"/>
      <c r="DN110" s="1727"/>
      <c r="DO110" s="1727"/>
      <c r="DP110" s="1727"/>
      <c r="DQ110" s="1727"/>
      <c r="DR110" s="1727"/>
      <c r="DS110" s="1727"/>
      <c r="DT110" s="1727"/>
      <c r="DU110" s="1727"/>
      <c r="DV110" s="1727"/>
      <c r="DW110" s="1727"/>
      <c r="DX110" s="1727"/>
      <c r="DY110" s="1727"/>
      <c r="DZ110" s="1727"/>
      <c r="EA110" s="510"/>
      <c r="EB110" s="510"/>
      <c r="EC110" s="510"/>
      <c r="ED110" s="510"/>
      <c r="EE110" s="510"/>
      <c r="EF110" s="510"/>
      <c r="EG110" s="510"/>
      <c r="EH110" s="510"/>
      <c r="EI110" s="510"/>
      <c r="EJ110" s="510"/>
      <c r="EK110" s="510"/>
      <c r="EL110" s="510"/>
      <c r="EM110" s="510"/>
      <c r="EN110" s="510"/>
      <c r="EO110" s="510"/>
      <c r="EP110" s="510"/>
      <c r="EQ110" s="510"/>
      <c r="ER110" s="510"/>
      <c r="ES110" s="510"/>
      <c r="ET110" s="521"/>
      <c r="EU110" s="521"/>
      <c r="EV110" s="521"/>
      <c r="EW110" s="521"/>
      <c r="EX110" s="521"/>
      <c r="EY110" s="521"/>
      <c r="EZ110" s="521"/>
      <c r="FA110" s="521"/>
      <c r="FB110" s="521"/>
      <c r="FC110" s="521"/>
      <c r="FD110" s="521"/>
      <c r="FE110" s="521"/>
      <c r="FF110" s="521"/>
      <c r="FG110" s="521"/>
      <c r="FH110" s="521"/>
      <c r="FI110" s="521"/>
      <c r="FJ110" s="521"/>
      <c r="FK110" s="521"/>
      <c r="FL110" s="521"/>
      <c r="FM110" s="521"/>
      <c r="FN110" s="521"/>
      <c r="FO110" s="521"/>
      <c r="FP110" s="521"/>
      <c r="FQ110" s="521"/>
      <c r="FR110" s="521"/>
      <c r="FS110" s="521"/>
      <c r="FT110" s="521"/>
      <c r="FU110" s="521"/>
      <c r="FV110" s="521"/>
      <c r="FW110" s="521"/>
      <c r="FX110" s="521"/>
      <c r="FY110" s="521"/>
      <c r="FZ110" s="521"/>
      <c r="GA110" s="521"/>
      <c r="GB110" s="521"/>
      <c r="GC110" s="521"/>
      <c r="GD110" s="521"/>
      <c r="GE110" s="521"/>
      <c r="GF110" s="521"/>
      <c r="GG110" s="521"/>
      <c r="GH110" s="521"/>
      <c r="GI110" s="521"/>
      <c r="GJ110" s="521"/>
      <c r="GK110" s="521"/>
      <c r="GL110" s="521"/>
      <c r="GM110" s="521"/>
      <c r="GN110" s="521"/>
      <c r="GO110" s="521"/>
      <c r="GP110" s="521"/>
      <c r="GQ110" s="521"/>
      <c r="GR110" s="521"/>
      <c r="GS110" s="521"/>
      <c r="GT110" s="521"/>
      <c r="GU110" s="521"/>
      <c r="GV110" s="521"/>
      <c r="GW110" s="521"/>
      <c r="GX110" s="521"/>
      <c r="GY110" s="521"/>
      <c r="GZ110" s="521"/>
      <c r="HA110" s="521"/>
      <c r="HB110" s="521"/>
      <c r="HC110" s="521"/>
      <c r="HD110" s="521"/>
      <c r="HE110" s="521"/>
      <c r="HF110" s="521"/>
      <c r="HG110" s="521"/>
      <c r="HH110" s="521"/>
      <c r="HI110" s="521"/>
      <c r="HJ110" s="521"/>
      <c r="HK110" s="521"/>
      <c r="HL110" s="521"/>
      <c r="HM110" s="521"/>
      <c r="HN110" s="521"/>
      <c r="HO110" s="521"/>
      <c r="HP110" s="521"/>
      <c r="HQ110" s="521"/>
      <c r="HR110" s="521"/>
      <c r="HS110" s="521"/>
      <c r="HT110" s="521"/>
      <c r="HU110" s="521"/>
      <c r="HV110" s="521"/>
      <c r="HW110" s="521"/>
      <c r="HX110" s="521"/>
      <c r="HY110" s="521"/>
      <c r="HZ110" s="521"/>
      <c r="IA110" s="521"/>
      <c r="IB110" s="521"/>
      <c r="IC110" s="521"/>
      <c r="ID110" s="521"/>
      <c r="IE110" s="521"/>
      <c r="IF110" s="521"/>
      <c r="IG110" s="521"/>
      <c r="IH110" s="521"/>
      <c r="II110" s="521"/>
      <c r="IJ110" s="521"/>
      <c r="IK110" s="521"/>
      <c r="IL110" s="521"/>
      <c r="IM110" s="521"/>
      <c r="IN110" s="521"/>
    </row>
    <row r="111" spans="1:248" s="508" customFormat="1" ht="12.75">
      <c r="A111" s="510"/>
      <c r="B111" s="510"/>
      <c r="C111" s="510"/>
      <c r="D111" s="510"/>
      <c r="E111" s="510"/>
      <c r="F111" s="510"/>
      <c r="G111" s="510"/>
      <c r="H111" s="510"/>
      <c r="I111" s="510"/>
      <c r="J111" s="510"/>
      <c r="K111" s="510"/>
      <c r="L111" s="510"/>
      <c r="M111" s="510"/>
      <c r="N111" s="510"/>
      <c r="O111" s="510"/>
      <c r="P111" s="510"/>
      <c r="Q111" s="510"/>
      <c r="R111" s="510"/>
      <c r="S111" s="510"/>
      <c r="T111" s="510"/>
      <c r="U111" s="510"/>
      <c r="V111" s="510"/>
      <c r="W111" s="510"/>
      <c r="X111" s="510"/>
      <c r="Y111" s="510"/>
      <c r="Z111" s="510"/>
      <c r="AA111" s="510"/>
      <c r="AB111" s="510"/>
      <c r="AC111" s="510"/>
      <c r="AD111" s="510"/>
      <c r="AE111" s="510"/>
      <c r="AF111" s="510"/>
      <c r="AG111" s="510"/>
      <c r="AH111" s="510"/>
      <c r="AI111" s="510"/>
      <c r="AJ111" s="510"/>
      <c r="AK111" s="510"/>
      <c r="AL111" s="510"/>
      <c r="AM111" s="510"/>
      <c r="AN111" s="510"/>
      <c r="AO111" s="1726"/>
      <c r="AP111" s="1726"/>
      <c r="AQ111" s="1726"/>
      <c r="AR111" s="1726"/>
      <c r="AS111" s="1726"/>
      <c r="AT111" s="1726"/>
      <c r="AU111" s="1726"/>
      <c r="AV111" s="1726"/>
      <c r="AW111" s="1726"/>
      <c r="AX111" s="1726"/>
      <c r="AY111" s="1726"/>
      <c r="AZ111" s="1726"/>
      <c r="BA111" s="1726"/>
      <c r="BB111" s="1726"/>
      <c r="BC111" s="1726"/>
      <c r="BD111" s="1726"/>
      <c r="BE111" s="1726"/>
      <c r="BF111" s="1726"/>
      <c r="BG111" s="1726"/>
      <c r="BH111" s="1726"/>
      <c r="BI111" s="1726"/>
      <c r="BJ111" s="1726"/>
      <c r="BK111" s="1726"/>
      <c r="BL111" s="510"/>
      <c r="BM111" s="510"/>
      <c r="BN111" s="1726"/>
      <c r="BO111" s="1726"/>
      <c r="BP111" s="1726"/>
      <c r="BQ111" s="1726"/>
      <c r="BR111" s="1726"/>
      <c r="BS111" s="1726"/>
      <c r="BT111" s="1726"/>
      <c r="BU111" s="1726"/>
      <c r="BV111" s="1726"/>
      <c r="BW111" s="1726"/>
      <c r="BX111" s="1726"/>
      <c r="BY111" s="1726"/>
      <c r="BZ111" s="1726"/>
      <c r="CA111" s="1726"/>
      <c r="CB111" s="1726"/>
      <c r="CC111" s="1726"/>
      <c r="CD111" s="1726"/>
      <c r="CE111" s="1726"/>
      <c r="CF111" s="1726"/>
      <c r="CG111" s="1726"/>
      <c r="CH111" s="1726"/>
      <c r="CI111" s="510"/>
      <c r="CJ111" s="510"/>
      <c r="CK111" s="1726"/>
      <c r="CL111" s="1726"/>
      <c r="CM111" s="1726"/>
      <c r="CN111" s="1726"/>
      <c r="CO111" s="1726"/>
      <c r="CP111" s="1726"/>
      <c r="CQ111" s="1726"/>
      <c r="CR111" s="1726"/>
      <c r="CS111" s="1726"/>
      <c r="CT111" s="1726"/>
      <c r="CU111" s="1726"/>
      <c r="CV111" s="1726"/>
      <c r="CW111" s="1726"/>
      <c r="CX111" s="1726"/>
      <c r="CY111" s="1726"/>
      <c r="CZ111" s="1726"/>
      <c r="DA111" s="1726"/>
      <c r="DB111" s="1726"/>
      <c r="DC111" s="1726"/>
      <c r="DD111" s="1726"/>
      <c r="DE111" s="1726"/>
      <c r="DF111" s="1726"/>
      <c r="DG111" s="1726"/>
      <c r="DH111" s="1726"/>
      <c r="DI111" s="1726"/>
      <c r="DJ111" s="1726"/>
      <c r="DK111" s="1726"/>
      <c r="DL111" s="1726"/>
      <c r="DM111" s="1726"/>
      <c r="DN111" s="1726"/>
      <c r="DO111" s="1726"/>
      <c r="DP111" s="1726"/>
      <c r="DQ111" s="510"/>
      <c r="DR111" s="510"/>
      <c r="DS111" s="510"/>
      <c r="DT111" s="510"/>
      <c r="DU111" s="510"/>
      <c r="DV111" s="510"/>
      <c r="DW111" s="510"/>
      <c r="DX111" s="510"/>
      <c r="DY111" s="510"/>
      <c r="DZ111" s="510"/>
      <c r="EA111" s="510"/>
      <c r="EB111" s="510"/>
      <c r="EC111" s="510"/>
      <c r="ED111" s="510"/>
      <c r="EE111" s="510"/>
      <c r="EF111" s="510"/>
      <c r="EG111" s="510"/>
      <c r="EH111" s="510"/>
      <c r="EI111" s="510"/>
      <c r="EJ111" s="510"/>
      <c r="EK111" s="510"/>
      <c r="EL111" s="510"/>
      <c r="EM111" s="510"/>
      <c r="EN111" s="510"/>
      <c r="EO111" s="510"/>
      <c r="EP111" s="510"/>
      <c r="EQ111" s="510"/>
      <c r="ER111" s="510"/>
      <c r="ES111" s="510"/>
      <c r="ET111" s="521"/>
      <c r="EU111" s="521"/>
      <c r="EV111" s="521"/>
      <c r="EW111" s="521"/>
      <c r="EX111" s="521"/>
      <c r="EY111" s="521"/>
      <c r="EZ111" s="521"/>
      <c r="FA111" s="521"/>
      <c r="FB111" s="521"/>
      <c r="FC111" s="521"/>
      <c r="FD111" s="521"/>
      <c r="FE111" s="521"/>
      <c r="FF111" s="521"/>
      <c r="FG111" s="521"/>
      <c r="FH111" s="521"/>
      <c r="FI111" s="521"/>
      <c r="FJ111" s="521"/>
      <c r="FK111" s="521"/>
      <c r="FL111" s="521"/>
      <c r="FM111" s="521"/>
      <c r="FN111" s="521"/>
      <c r="FO111" s="521"/>
      <c r="FP111" s="521"/>
      <c r="FQ111" s="521"/>
      <c r="FR111" s="521"/>
      <c r="FS111" s="521"/>
      <c r="FT111" s="521"/>
      <c r="FU111" s="521"/>
      <c r="FV111" s="521"/>
      <c r="FW111" s="521"/>
      <c r="FX111" s="521"/>
      <c r="FY111" s="521"/>
      <c r="FZ111" s="521"/>
      <c r="GA111" s="521"/>
      <c r="GB111" s="521"/>
      <c r="GC111" s="521"/>
      <c r="GD111" s="521"/>
      <c r="GE111" s="521"/>
      <c r="GF111" s="521"/>
      <c r="GG111" s="521"/>
      <c r="GH111" s="521"/>
      <c r="GI111" s="521"/>
      <c r="GJ111" s="521"/>
      <c r="GK111" s="521"/>
      <c r="GL111" s="521"/>
      <c r="GM111" s="521"/>
      <c r="GN111" s="521"/>
      <c r="GO111" s="521"/>
      <c r="GP111" s="521"/>
      <c r="GQ111" s="521"/>
      <c r="GR111" s="521"/>
      <c r="GS111" s="521"/>
      <c r="GT111" s="521"/>
      <c r="GU111" s="521"/>
      <c r="GV111" s="521"/>
      <c r="GW111" s="521"/>
      <c r="GX111" s="521"/>
      <c r="GY111" s="521"/>
      <c r="GZ111" s="521"/>
      <c r="HA111" s="521"/>
      <c r="HB111" s="521"/>
      <c r="HC111" s="521"/>
      <c r="HD111" s="521"/>
      <c r="HE111" s="521"/>
      <c r="HF111" s="521"/>
      <c r="HG111" s="521"/>
      <c r="HH111" s="521"/>
      <c r="HI111" s="521"/>
      <c r="HJ111" s="521"/>
      <c r="HK111" s="521"/>
      <c r="HL111" s="521"/>
      <c r="HM111" s="521"/>
      <c r="HN111" s="521"/>
      <c r="HO111" s="521"/>
      <c r="HP111" s="521"/>
      <c r="HQ111" s="521"/>
      <c r="HR111" s="521"/>
      <c r="HS111" s="521"/>
      <c r="HT111" s="521"/>
      <c r="HU111" s="521"/>
      <c r="HV111" s="521"/>
      <c r="HW111" s="521"/>
      <c r="HX111" s="521"/>
      <c r="HY111" s="521"/>
      <c r="HZ111" s="521"/>
      <c r="IA111" s="521"/>
      <c r="IB111" s="521"/>
      <c r="IC111" s="521"/>
      <c r="ID111" s="521"/>
      <c r="IE111" s="521"/>
      <c r="IF111" s="521"/>
      <c r="IG111" s="521"/>
      <c r="IH111" s="521"/>
      <c r="II111" s="521"/>
      <c r="IJ111" s="521"/>
      <c r="IK111" s="521"/>
      <c r="IL111" s="521"/>
      <c r="IM111" s="521"/>
      <c r="IN111" s="521"/>
    </row>
    <row r="112" spans="1:248" s="508" customFormat="1" ht="12.75">
      <c r="A112" s="510"/>
      <c r="B112" s="510"/>
      <c r="C112" s="510"/>
      <c r="D112" s="510"/>
      <c r="E112" s="510"/>
      <c r="F112" s="510"/>
      <c r="G112" s="510"/>
      <c r="H112" s="510"/>
      <c r="I112" s="510"/>
      <c r="J112" s="510"/>
      <c r="K112" s="510"/>
      <c r="L112" s="510"/>
      <c r="M112" s="510"/>
      <c r="N112" s="510"/>
      <c r="O112" s="510"/>
      <c r="P112" s="510"/>
      <c r="Q112" s="510"/>
      <c r="R112" s="510"/>
      <c r="S112" s="510"/>
      <c r="T112" s="510"/>
      <c r="U112" s="510"/>
      <c r="V112" s="510"/>
      <c r="W112" s="510"/>
      <c r="X112" s="510"/>
      <c r="Y112" s="510"/>
      <c r="Z112" s="510"/>
      <c r="AA112" s="510"/>
      <c r="AB112" s="510"/>
      <c r="AC112" s="510"/>
      <c r="AD112" s="510"/>
      <c r="AE112" s="510"/>
      <c r="AF112" s="510"/>
      <c r="AG112" s="510"/>
      <c r="AH112" s="510"/>
      <c r="AI112" s="510"/>
      <c r="AJ112" s="510"/>
      <c r="AK112" s="510"/>
      <c r="AL112" s="510"/>
      <c r="AM112" s="510"/>
      <c r="AN112" s="510"/>
      <c r="AO112" s="1726"/>
      <c r="AP112" s="1726"/>
      <c r="AQ112" s="1726"/>
      <c r="AR112" s="1726"/>
      <c r="AS112" s="1726"/>
      <c r="AT112" s="1726"/>
      <c r="AU112" s="1726"/>
      <c r="AV112" s="1726"/>
      <c r="AW112" s="1726"/>
      <c r="AX112" s="1726"/>
      <c r="AY112" s="1726"/>
      <c r="AZ112" s="1726"/>
      <c r="BA112" s="1726"/>
      <c r="BB112" s="1726"/>
      <c r="BC112" s="1726"/>
      <c r="BD112" s="1726"/>
      <c r="BE112" s="1726"/>
      <c r="BF112" s="1726"/>
      <c r="BG112" s="1726"/>
      <c r="BH112" s="1726"/>
      <c r="BI112" s="1726"/>
      <c r="BJ112" s="1726"/>
      <c r="BK112" s="1726"/>
      <c r="BL112" s="510"/>
      <c r="BM112" s="510"/>
      <c r="BN112" s="1726"/>
      <c r="BO112" s="1726"/>
      <c r="BP112" s="1726"/>
      <c r="BQ112" s="1726"/>
      <c r="BR112" s="1726"/>
      <c r="BS112" s="1726"/>
      <c r="BT112" s="1726"/>
      <c r="BU112" s="1726"/>
      <c r="BV112" s="1726"/>
      <c r="BW112" s="1726"/>
      <c r="BX112" s="1726"/>
      <c r="BY112" s="1726"/>
      <c r="BZ112" s="1726"/>
      <c r="CA112" s="1726"/>
      <c r="CB112" s="1726"/>
      <c r="CC112" s="1726"/>
      <c r="CD112" s="1726"/>
      <c r="CE112" s="1726"/>
      <c r="CF112" s="1726"/>
      <c r="CG112" s="1726"/>
      <c r="CH112" s="1726"/>
      <c r="CI112" s="510"/>
      <c r="CJ112" s="510"/>
      <c r="CK112" s="1726"/>
      <c r="CL112" s="1726"/>
      <c r="CM112" s="1726"/>
      <c r="CN112" s="1726"/>
      <c r="CO112" s="1726"/>
      <c r="CP112" s="1726"/>
      <c r="CQ112" s="1726"/>
      <c r="CR112" s="1726"/>
      <c r="CS112" s="1726"/>
      <c r="CT112" s="1726"/>
      <c r="CU112" s="1726"/>
      <c r="CV112" s="1726"/>
      <c r="CW112" s="1726"/>
      <c r="CX112" s="1726"/>
      <c r="CY112" s="1726"/>
      <c r="CZ112" s="1726"/>
      <c r="DA112" s="1726"/>
      <c r="DB112" s="1726"/>
      <c r="DC112" s="1726"/>
      <c r="DD112" s="1726"/>
      <c r="DE112" s="1726"/>
      <c r="DF112" s="1726"/>
      <c r="DG112" s="1726"/>
      <c r="DH112" s="1726"/>
      <c r="DI112" s="1726"/>
      <c r="DJ112" s="1726"/>
      <c r="DK112" s="1726"/>
      <c r="DL112" s="1726"/>
      <c r="DM112" s="1726"/>
      <c r="DN112" s="1726"/>
      <c r="DO112" s="1726"/>
      <c r="DP112" s="1726"/>
      <c r="DQ112" s="510"/>
      <c r="DR112" s="510"/>
      <c r="DS112" s="510"/>
      <c r="DT112" s="510"/>
      <c r="DU112" s="510"/>
      <c r="DV112" s="510"/>
      <c r="DW112" s="510"/>
      <c r="DX112" s="510"/>
      <c r="DY112" s="510"/>
      <c r="DZ112" s="510"/>
      <c r="EA112" s="510"/>
      <c r="EB112" s="510"/>
      <c r="EC112" s="510"/>
      <c r="ED112" s="510"/>
      <c r="EE112" s="510"/>
      <c r="EF112" s="510"/>
      <c r="EG112" s="510"/>
      <c r="EH112" s="510"/>
      <c r="EI112" s="510"/>
      <c r="EJ112" s="510"/>
      <c r="EK112" s="510"/>
      <c r="EL112" s="510"/>
      <c r="EM112" s="510"/>
      <c r="EN112" s="510"/>
      <c r="EO112" s="510"/>
      <c r="EP112" s="510"/>
      <c r="EQ112" s="510"/>
      <c r="ER112" s="510"/>
      <c r="ES112" s="510"/>
      <c r="ET112" s="521"/>
      <c r="EU112" s="521"/>
      <c r="EV112" s="521"/>
      <c r="EW112" s="521"/>
      <c r="EX112" s="521"/>
      <c r="EY112" s="521"/>
      <c r="EZ112" s="521"/>
      <c r="FA112" s="521"/>
      <c r="FB112" s="521"/>
      <c r="FC112" s="521"/>
      <c r="FD112" s="521"/>
      <c r="FE112" s="521"/>
      <c r="FF112" s="521"/>
      <c r="FG112" s="521"/>
      <c r="FH112" s="521"/>
      <c r="FI112" s="521"/>
      <c r="FJ112" s="521"/>
      <c r="FK112" s="521"/>
      <c r="FL112" s="521"/>
      <c r="FM112" s="521"/>
      <c r="FN112" s="521"/>
      <c r="FO112" s="521"/>
      <c r="FP112" s="521"/>
      <c r="FQ112" s="521"/>
      <c r="FR112" s="521"/>
      <c r="FS112" s="521"/>
      <c r="FT112" s="521"/>
      <c r="FU112" s="521"/>
      <c r="FV112" s="521"/>
      <c r="FW112" s="521"/>
      <c r="FX112" s="521"/>
      <c r="FY112" s="521"/>
      <c r="FZ112" s="521"/>
      <c r="GA112" s="521"/>
      <c r="GB112" s="521"/>
      <c r="GC112" s="521"/>
      <c r="GD112" s="521"/>
      <c r="GE112" s="521"/>
      <c r="GF112" s="521"/>
      <c r="GG112" s="521"/>
      <c r="GH112" s="521"/>
      <c r="GI112" s="521"/>
      <c r="GJ112" s="521"/>
      <c r="GK112" s="521"/>
      <c r="GL112" s="521"/>
      <c r="GM112" s="521"/>
      <c r="GN112" s="521"/>
      <c r="GO112" s="521"/>
      <c r="GP112" s="521"/>
      <c r="GQ112" s="521"/>
      <c r="GR112" s="521"/>
      <c r="GS112" s="521"/>
      <c r="GT112" s="521"/>
      <c r="GU112" s="521"/>
      <c r="GV112" s="521"/>
      <c r="GW112" s="521"/>
      <c r="GX112" s="521"/>
      <c r="GY112" s="521"/>
      <c r="GZ112" s="521"/>
      <c r="HA112" s="521"/>
      <c r="HB112" s="521"/>
      <c r="HC112" s="521"/>
      <c r="HD112" s="521"/>
      <c r="HE112" s="521"/>
      <c r="HF112" s="521"/>
      <c r="HG112" s="521"/>
      <c r="HH112" s="521"/>
      <c r="HI112" s="521"/>
      <c r="HJ112" s="521"/>
      <c r="HK112" s="521"/>
      <c r="HL112" s="521"/>
      <c r="HM112" s="521"/>
      <c r="HN112" s="521"/>
      <c r="HO112" s="521"/>
      <c r="HP112" s="521"/>
      <c r="HQ112" s="521"/>
      <c r="HR112" s="521"/>
      <c r="HS112" s="521"/>
      <c r="HT112" s="521"/>
      <c r="HU112" s="521"/>
      <c r="HV112" s="521"/>
      <c r="HW112" s="521"/>
      <c r="HX112" s="521"/>
      <c r="HY112" s="521"/>
      <c r="HZ112" s="521"/>
      <c r="IA112" s="521"/>
      <c r="IB112" s="521"/>
      <c r="IC112" s="521"/>
      <c r="ID112" s="521"/>
      <c r="IE112" s="521"/>
      <c r="IF112" s="521"/>
      <c r="IG112" s="521"/>
      <c r="IH112" s="521"/>
      <c r="II112" s="521"/>
      <c r="IJ112" s="521"/>
      <c r="IK112" s="521"/>
      <c r="IL112" s="521"/>
      <c r="IM112" s="521"/>
      <c r="IN112" s="521"/>
    </row>
    <row r="113" spans="1:248" s="508" customFormat="1" ht="12.75">
      <c r="A113" s="510"/>
      <c r="B113" s="510"/>
      <c r="C113" s="510"/>
      <c r="D113" s="510"/>
      <c r="E113" s="510"/>
      <c r="F113" s="510"/>
      <c r="G113" s="510"/>
      <c r="H113" s="510"/>
      <c r="I113" s="510"/>
      <c r="J113" s="510"/>
      <c r="K113" s="510"/>
      <c r="L113" s="510"/>
      <c r="M113" s="510"/>
      <c r="N113" s="510"/>
      <c r="O113" s="510"/>
      <c r="P113" s="510"/>
      <c r="Q113" s="510"/>
      <c r="R113" s="510"/>
      <c r="S113" s="510"/>
      <c r="T113" s="510"/>
      <c r="U113" s="510"/>
      <c r="V113" s="510"/>
      <c r="W113" s="510"/>
      <c r="X113" s="510"/>
      <c r="Y113" s="510"/>
      <c r="Z113" s="510"/>
      <c r="AA113" s="510"/>
      <c r="AB113" s="510"/>
      <c r="AC113" s="510"/>
      <c r="AD113" s="510"/>
      <c r="AE113" s="510"/>
      <c r="AF113" s="510"/>
      <c r="AG113" s="510"/>
      <c r="AH113" s="513"/>
      <c r="AI113" s="510"/>
      <c r="AJ113" s="510"/>
      <c r="AK113" s="510"/>
      <c r="AL113" s="510"/>
      <c r="AM113" s="510"/>
      <c r="AN113" s="510"/>
      <c r="AO113" s="510"/>
      <c r="AP113" s="510"/>
      <c r="AQ113" s="510"/>
      <c r="AR113" s="510"/>
      <c r="AS113" s="510"/>
      <c r="AT113" s="510"/>
      <c r="AU113" s="510"/>
      <c r="AV113" s="510"/>
      <c r="AW113" s="510"/>
      <c r="AX113" s="510"/>
      <c r="AY113" s="510"/>
      <c r="AZ113" s="510"/>
      <c r="BA113" s="510"/>
      <c r="BB113" s="510"/>
      <c r="BC113" s="510"/>
      <c r="BD113" s="510"/>
      <c r="BE113" s="510"/>
      <c r="BF113" s="510"/>
      <c r="BG113" s="510"/>
      <c r="BH113" s="510"/>
      <c r="BI113" s="510"/>
      <c r="BJ113" s="510"/>
      <c r="BK113" s="510"/>
      <c r="BL113" s="510"/>
      <c r="BM113" s="510"/>
      <c r="BN113" s="510"/>
      <c r="BO113" s="510"/>
      <c r="BP113" s="510"/>
      <c r="BQ113" s="510"/>
      <c r="BR113" s="510"/>
      <c r="BS113" s="510"/>
      <c r="BT113" s="510"/>
      <c r="BU113" s="510"/>
      <c r="BV113" s="510"/>
      <c r="BW113" s="510"/>
      <c r="BX113" s="510"/>
      <c r="BY113" s="510"/>
      <c r="BZ113" s="510"/>
      <c r="CA113" s="510"/>
      <c r="CB113" s="510"/>
      <c r="CC113" s="510"/>
      <c r="CD113" s="510"/>
      <c r="CE113" s="510"/>
      <c r="CF113" s="510"/>
      <c r="CG113" s="510"/>
      <c r="CH113" s="510"/>
      <c r="CI113" s="510"/>
      <c r="CJ113" s="510"/>
      <c r="CK113" s="510"/>
      <c r="CL113" s="510"/>
      <c r="CM113" s="510"/>
      <c r="CN113" s="510"/>
      <c r="CO113" s="510"/>
      <c r="CP113" s="510"/>
      <c r="CQ113" s="510"/>
      <c r="CR113" s="510"/>
      <c r="CS113" s="510"/>
      <c r="CT113" s="510"/>
      <c r="CU113" s="510"/>
      <c r="CV113" s="510"/>
      <c r="CW113" s="510"/>
      <c r="CX113" s="510"/>
      <c r="CY113" s="510"/>
      <c r="CZ113" s="510"/>
      <c r="DA113" s="510"/>
      <c r="DB113" s="510"/>
      <c r="DC113" s="510"/>
      <c r="DD113" s="510"/>
      <c r="DE113" s="510"/>
      <c r="DF113" s="510"/>
      <c r="DG113" s="510"/>
      <c r="DH113" s="510"/>
      <c r="DI113" s="510"/>
      <c r="DJ113" s="510"/>
      <c r="DK113" s="510"/>
      <c r="DL113" s="510"/>
      <c r="DM113" s="510"/>
      <c r="DN113" s="510"/>
      <c r="DO113" s="510"/>
      <c r="DP113" s="510"/>
      <c r="DQ113" s="510"/>
      <c r="DR113" s="510"/>
      <c r="DS113" s="510"/>
      <c r="DT113" s="510"/>
      <c r="DU113" s="510"/>
      <c r="DV113" s="510"/>
      <c r="DW113" s="510"/>
      <c r="DX113" s="510"/>
      <c r="DY113" s="510"/>
      <c r="DZ113" s="510"/>
      <c r="EA113" s="510"/>
      <c r="EB113" s="510"/>
      <c r="EC113" s="510"/>
      <c r="ED113" s="510"/>
      <c r="EE113" s="510"/>
      <c r="EF113" s="510"/>
      <c r="EG113" s="510"/>
      <c r="EH113" s="510"/>
      <c r="EI113" s="510"/>
      <c r="EJ113" s="510"/>
      <c r="EK113" s="510"/>
      <c r="EL113" s="510"/>
      <c r="EM113" s="510"/>
      <c r="EN113" s="510"/>
      <c r="EO113" s="510"/>
      <c r="EP113" s="510"/>
      <c r="EQ113" s="510"/>
      <c r="ER113" s="510"/>
      <c r="ES113" s="510"/>
      <c r="ET113" s="521"/>
      <c r="EU113" s="521"/>
      <c r="EV113" s="521"/>
      <c r="EW113" s="521"/>
      <c r="EX113" s="521"/>
      <c r="EY113" s="521"/>
      <c r="EZ113" s="521"/>
      <c r="FA113" s="521"/>
      <c r="FB113" s="521"/>
      <c r="FC113" s="521"/>
      <c r="FD113" s="521"/>
      <c r="FE113" s="521"/>
      <c r="FF113" s="521"/>
      <c r="FG113" s="521"/>
      <c r="FH113" s="521"/>
      <c r="FI113" s="521"/>
      <c r="FJ113" s="521"/>
      <c r="FK113" s="521"/>
      <c r="FL113" s="521"/>
      <c r="FM113" s="521"/>
      <c r="FN113" s="521"/>
      <c r="FO113" s="521"/>
      <c r="FP113" s="521"/>
      <c r="FQ113" s="521"/>
      <c r="FR113" s="521"/>
      <c r="FS113" s="521"/>
      <c r="FT113" s="521"/>
      <c r="FU113" s="521"/>
      <c r="FV113" s="521"/>
      <c r="FW113" s="521"/>
      <c r="FX113" s="521"/>
      <c r="FY113" s="521"/>
      <c r="FZ113" s="521"/>
      <c r="GA113" s="521"/>
      <c r="GB113" s="521"/>
      <c r="GC113" s="521"/>
      <c r="GD113" s="521"/>
      <c r="GE113" s="521"/>
      <c r="GF113" s="521"/>
      <c r="GG113" s="521"/>
      <c r="GH113" s="521"/>
      <c r="GI113" s="521"/>
      <c r="GJ113" s="521"/>
      <c r="GK113" s="521"/>
      <c r="GL113" s="521"/>
      <c r="GM113" s="521"/>
      <c r="GN113" s="521"/>
      <c r="GO113" s="521"/>
      <c r="GP113" s="521"/>
      <c r="GQ113" s="521"/>
      <c r="GR113" s="521"/>
      <c r="GS113" s="521"/>
      <c r="GT113" s="521"/>
      <c r="GU113" s="521"/>
      <c r="GV113" s="521"/>
      <c r="GW113" s="521"/>
      <c r="GX113" s="521"/>
      <c r="GY113" s="521"/>
      <c r="GZ113" s="521"/>
      <c r="HA113" s="521"/>
      <c r="HB113" s="521"/>
      <c r="HC113" s="521"/>
      <c r="HD113" s="521"/>
      <c r="HE113" s="521"/>
      <c r="HF113" s="521"/>
      <c r="HG113" s="521"/>
      <c r="HH113" s="521"/>
      <c r="HI113" s="521"/>
      <c r="HJ113" s="521"/>
      <c r="HK113" s="521"/>
      <c r="HL113" s="521"/>
      <c r="HM113" s="521"/>
      <c r="HN113" s="521"/>
      <c r="HO113" s="521"/>
      <c r="HP113" s="521"/>
      <c r="HQ113" s="521"/>
      <c r="HR113" s="521"/>
      <c r="HS113" s="521"/>
      <c r="HT113" s="521"/>
      <c r="HU113" s="521"/>
      <c r="HV113" s="521"/>
      <c r="HW113" s="521"/>
      <c r="HX113" s="521"/>
      <c r="HY113" s="521"/>
      <c r="HZ113" s="521"/>
      <c r="IA113" s="521"/>
      <c r="IB113" s="521"/>
      <c r="IC113" s="521"/>
      <c r="ID113" s="521"/>
      <c r="IE113" s="521"/>
      <c r="IF113" s="521"/>
      <c r="IG113" s="521"/>
      <c r="IH113" s="521"/>
      <c r="II113" s="521"/>
      <c r="IJ113" s="521"/>
      <c r="IK113" s="521"/>
      <c r="IL113" s="521"/>
      <c r="IM113" s="521"/>
      <c r="IN113" s="521"/>
    </row>
    <row r="114" spans="1:248" s="508" customFormat="1" ht="11.25" customHeight="1">
      <c r="A114" s="513" t="s">
        <v>368</v>
      </c>
      <c r="B114" s="513"/>
      <c r="C114" s="513"/>
      <c r="D114" s="513"/>
      <c r="E114" s="513"/>
      <c r="F114" s="513"/>
      <c r="G114" s="513"/>
      <c r="H114" s="513"/>
      <c r="I114" s="513"/>
      <c r="J114" s="513"/>
      <c r="K114" s="513"/>
      <c r="L114" s="513"/>
      <c r="M114" s="513"/>
      <c r="N114" s="513"/>
      <c r="O114" s="513"/>
      <c r="P114" s="513"/>
      <c r="Q114" s="513"/>
      <c r="R114" s="513"/>
      <c r="S114" s="513"/>
      <c r="T114" s="513"/>
      <c r="U114" s="513"/>
      <c r="V114" s="513"/>
      <c r="W114" s="513"/>
      <c r="X114" s="513"/>
      <c r="Y114" s="513"/>
      <c r="Z114" s="513"/>
      <c r="AA114" s="513"/>
      <c r="AB114" s="513"/>
      <c r="AC114" s="513"/>
      <c r="AD114" s="513"/>
      <c r="AE114" s="513"/>
      <c r="AF114" s="513"/>
      <c r="AG114" s="513"/>
      <c r="AH114" s="510"/>
      <c r="AI114" s="513"/>
      <c r="AJ114" s="513"/>
      <c r="AK114" s="513"/>
      <c r="AL114" s="513"/>
      <c r="AM114" s="514"/>
      <c r="AN114" s="515"/>
      <c r="AO114" s="515"/>
      <c r="AP114" s="515"/>
      <c r="AQ114" s="516"/>
      <c r="AR114" s="516"/>
      <c r="AS114" s="516"/>
      <c r="AT114" s="511"/>
      <c r="AU114" s="511"/>
      <c r="AV114" s="511"/>
      <c r="AW114" s="511"/>
      <c r="AX114" s="511"/>
      <c r="AY114" s="511"/>
      <c r="AZ114" s="511"/>
      <c r="BA114" s="511"/>
      <c r="BB114" s="511"/>
      <c r="BC114" s="511"/>
      <c r="BD114" s="511"/>
      <c r="BE114" s="511"/>
      <c r="BF114" s="511"/>
      <c r="BG114" s="511"/>
      <c r="BH114" s="511"/>
      <c r="BI114" s="511"/>
      <c r="BJ114" s="511"/>
      <c r="BK114" s="511"/>
      <c r="BL114" s="511"/>
      <c r="BM114" s="511"/>
      <c r="BN114" s="511"/>
      <c r="BO114" s="511"/>
      <c r="BP114" s="511"/>
      <c r="BQ114" s="511"/>
      <c r="BR114" s="511"/>
      <c r="BS114" s="511"/>
      <c r="BT114" s="511"/>
      <c r="BU114" s="511"/>
      <c r="BV114" s="511"/>
      <c r="BW114" s="511"/>
      <c r="BX114" s="511"/>
      <c r="BY114" s="511"/>
      <c r="BZ114" s="511"/>
      <c r="CA114" s="511"/>
      <c r="CB114" s="511"/>
      <c r="CC114" s="511"/>
      <c r="CD114" s="511"/>
      <c r="CE114" s="511"/>
      <c r="CF114" s="511"/>
      <c r="CG114" s="511"/>
      <c r="CH114" s="511"/>
      <c r="CI114" s="511"/>
      <c r="CJ114" s="511"/>
      <c r="CK114" s="511"/>
      <c r="CL114" s="511"/>
      <c r="CM114" s="511"/>
      <c r="CN114" s="511"/>
      <c r="CO114" s="511"/>
      <c r="CP114" s="511"/>
      <c r="CQ114" s="511"/>
      <c r="CR114" s="511"/>
      <c r="CS114" s="511"/>
      <c r="CT114" s="511"/>
      <c r="CU114" s="511"/>
      <c r="CV114" s="511"/>
      <c r="CW114" s="511"/>
      <c r="CX114" s="511"/>
      <c r="CY114" s="511"/>
      <c r="CZ114" s="511"/>
      <c r="DA114" s="511"/>
      <c r="DB114" s="511"/>
      <c r="DC114" s="511"/>
      <c r="DD114" s="511"/>
      <c r="DE114" s="511"/>
      <c r="DF114" s="511"/>
      <c r="DG114" s="511"/>
      <c r="DH114" s="511"/>
      <c r="DI114" s="511"/>
      <c r="DJ114" s="511"/>
      <c r="DK114" s="511"/>
      <c r="DL114" s="511"/>
      <c r="DM114" s="511"/>
      <c r="DN114" s="511"/>
      <c r="DO114" s="511"/>
      <c r="DP114" s="511"/>
      <c r="DQ114" s="511"/>
      <c r="DR114" s="511"/>
      <c r="DS114" s="511"/>
      <c r="DT114" s="511"/>
      <c r="DU114" s="511"/>
      <c r="DV114" s="511"/>
      <c r="DW114" s="511"/>
      <c r="DX114" s="511"/>
      <c r="DY114" s="511"/>
      <c r="DZ114" s="511"/>
      <c r="EA114" s="511"/>
      <c r="EB114" s="511"/>
      <c r="EC114" s="511"/>
      <c r="ED114" s="511"/>
      <c r="EE114" s="511"/>
      <c r="EF114" s="511"/>
      <c r="EG114" s="511"/>
      <c r="EH114" s="511"/>
      <c r="EI114" s="511"/>
      <c r="EJ114" s="511"/>
      <c r="EK114" s="511"/>
      <c r="EL114" s="511"/>
      <c r="EM114" s="511"/>
      <c r="EN114" s="511"/>
      <c r="EO114" s="511"/>
      <c r="EP114" s="511"/>
      <c r="EQ114" s="511"/>
      <c r="ER114" s="511"/>
      <c r="ES114" s="511"/>
      <c r="ET114" s="521"/>
      <c r="EU114" s="521"/>
      <c r="EV114" s="521"/>
      <c r="EW114" s="521"/>
      <c r="EX114" s="521"/>
      <c r="EY114" s="521"/>
      <c r="EZ114" s="521"/>
      <c r="FA114" s="521"/>
      <c r="FB114" s="521"/>
      <c r="FC114" s="521"/>
      <c r="FD114" s="521"/>
      <c r="FE114" s="521"/>
      <c r="FF114" s="521"/>
      <c r="FG114" s="521"/>
      <c r="FH114" s="521"/>
      <c r="FI114" s="521"/>
      <c r="FJ114" s="521"/>
      <c r="FK114" s="521"/>
      <c r="FL114" s="521"/>
      <c r="FM114" s="521"/>
      <c r="FN114" s="521"/>
      <c r="FO114" s="521"/>
      <c r="FP114" s="521"/>
      <c r="FQ114" s="521"/>
      <c r="FR114" s="521"/>
      <c r="FS114" s="521"/>
      <c r="FT114" s="521"/>
      <c r="FU114" s="521"/>
      <c r="FV114" s="521"/>
      <c r="FW114" s="521"/>
      <c r="FX114" s="521"/>
      <c r="FY114" s="521"/>
      <c r="FZ114" s="521"/>
      <c r="GA114" s="521"/>
      <c r="GB114" s="521"/>
      <c r="GC114" s="521"/>
      <c r="GD114" s="521"/>
      <c r="GE114" s="521"/>
      <c r="GF114" s="521"/>
      <c r="GG114" s="521"/>
      <c r="GH114" s="521"/>
      <c r="GI114" s="521"/>
      <c r="GJ114" s="521"/>
      <c r="GK114" s="521"/>
      <c r="GL114" s="521"/>
      <c r="GM114" s="521"/>
      <c r="GN114" s="521"/>
      <c r="GO114" s="521"/>
      <c r="GP114" s="521"/>
      <c r="GQ114" s="521"/>
      <c r="GR114" s="521"/>
      <c r="GS114" s="521"/>
      <c r="GT114" s="521"/>
      <c r="GU114" s="521"/>
      <c r="GV114" s="521"/>
      <c r="GW114" s="521"/>
      <c r="GX114" s="521"/>
      <c r="GY114" s="521"/>
      <c r="GZ114" s="521"/>
      <c r="HA114" s="521"/>
      <c r="HB114" s="521"/>
      <c r="HC114" s="521"/>
      <c r="HD114" s="521"/>
      <c r="HE114" s="521"/>
      <c r="HF114" s="521"/>
      <c r="HG114" s="521"/>
      <c r="HH114" s="521"/>
      <c r="HI114" s="521"/>
      <c r="HJ114" s="521"/>
      <c r="HK114" s="521"/>
      <c r="HL114" s="521"/>
      <c r="HM114" s="521"/>
      <c r="HN114" s="521"/>
      <c r="HO114" s="521"/>
      <c r="HP114" s="521"/>
      <c r="HQ114" s="521"/>
      <c r="HR114" s="521"/>
      <c r="HS114" s="521"/>
      <c r="HT114" s="521"/>
      <c r="HU114" s="521"/>
      <c r="HV114" s="521"/>
      <c r="HW114" s="521"/>
      <c r="HX114" s="521"/>
      <c r="HY114" s="521"/>
      <c r="HZ114" s="521"/>
      <c r="IA114" s="521"/>
      <c r="IB114" s="521"/>
      <c r="IC114" s="521"/>
      <c r="ID114" s="521"/>
      <c r="IE114" s="521"/>
      <c r="IF114" s="521"/>
      <c r="IG114" s="521"/>
      <c r="IH114" s="521"/>
      <c r="II114" s="521"/>
      <c r="IJ114" s="521"/>
      <c r="IK114" s="521"/>
      <c r="IL114" s="521"/>
      <c r="IM114" s="521"/>
      <c r="IN114" s="521"/>
    </row>
    <row r="115" spans="1:248" s="508" customFormat="1" ht="12.75">
      <c r="A115" s="517"/>
      <c r="B115" s="517"/>
      <c r="C115" s="517"/>
      <c r="D115" s="517"/>
      <c r="E115" s="517"/>
      <c r="F115" s="517"/>
      <c r="G115" s="517"/>
      <c r="H115" s="517"/>
      <c r="I115" s="517"/>
      <c r="J115" s="517"/>
      <c r="K115" s="517"/>
      <c r="L115" s="517"/>
      <c r="M115" s="517"/>
      <c r="N115" s="517"/>
      <c r="O115" s="517"/>
      <c r="P115" s="517"/>
      <c r="Q115" s="517"/>
      <c r="R115" s="517"/>
      <c r="S115" s="517"/>
      <c r="T115" s="517"/>
      <c r="U115" s="517"/>
      <c r="V115" s="517"/>
      <c r="W115" s="517"/>
      <c r="X115" s="517"/>
      <c r="Y115" s="517"/>
      <c r="Z115" s="517"/>
      <c r="AA115" s="517"/>
      <c r="AB115" s="517"/>
      <c r="AC115" s="517"/>
      <c r="AD115" s="517"/>
      <c r="AE115" s="517"/>
      <c r="AF115" s="517"/>
      <c r="AG115" s="517"/>
      <c r="AH115" s="519"/>
      <c r="AI115" s="517"/>
      <c r="AJ115" s="517"/>
      <c r="AK115" s="517"/>
      <c r="AL115" s="517"/>
      <c r="AM115" s="517"/>
      <c r="AN115" s="517"/>
      <c r="AO115" s="517"/>
      <c r="AP115" s="517"/>
      <c r="AQ115" s="517"/>
      <c r="AR115" s="517"/>
      <c r="AS115" s="517"/>
      <c r="AT115" s="517"/>
      <c r="AU115" s="517"/>
      <c r="AV115" s="517"/>
      <c r="AW115" s="517"/>
      <c r="AX115" s="517"/>
      <c r="AY115" s="517"/>
      <c r="AZ115" s="517"/>
      <c r="BA115" s="517"/>
      <c r="BB115" s="517"/>
      <c r="BC115" s="517"/>
      <c r="BD115" s="517"/>
      <c r="BE115" s="517"/>
      <c r="BF115" s="517"/>
      <c r="BG115" s="517"/>
      <c r="BH115" s="517"/>
      <c r="BI115" s="517"/>
      <c r="BJ115" s="517"/>
      <c r="BK115" s="517"/>
      <c r="BL115" s="517"/>
      <c r="BM115" s="517"/>
      <c r="BN115" s="517"/>
      <c r="BO115" s="517"/>
      <c r="BP115" s="517"/>
      <c r="BQ115" s="517"/>
      <c r="BR115" s="517"/>
      <c r="BS115" s="517"/>
      <c r="BT115" s="517"/>
      <c r="BU115" s="517"/>
      <c r="BV115" s="517"/>
      <c r="BW115" s="517"/>
      <c r="BX115" s="517"/>
      <c r="BY115" s="517"/>
      <c r="BZ115" s="517"/>
      <c r="CA115" s="517"/>
      <c r="CB115" s="517"/>
      <c r="CC115" s="517"/>
      <c r="CD115" s="517"/>
      <c r="CE115" s="517"/>
      <c r="CF115" s="517"/>
      <c r="CG115" s="517"/>
      <c r="CH115" s="517"/>
      <c r="CI115" s="517"/>
      <c r="CJ115" s="517"/>
      <c r="CK115" s="517"/>
      <c r="CL115" s="517"/>
      <c r="CM115" s="517"/>
      <c r="CN115" s="517"/>
      <c r="CO115" s="517"/>
      <c r="CP115" s="517"/>
      <c r="CQ115" s="517"/>
      <c r="CR115" s="517"/>
      <c r="CS115" s="517"/>
      <c r="CT115" s="517"/>
      <c r="CU115" s="517"/>
      <c r="CV115" s="517"/>
      <c r="CW115" s="517"/>
      <c r="CX115" s="517"/>
      <c r="CY115" s="517"/>
      <c r="CZ115" s="517"/>
      <c r="DA115" s="517"/>
      <c r="DB115" s="517"/>
      <c r="DC115" s="517"/>
      <c r="DD115" s="517"/>
      <c r="DE115" s="517"/>
      <c r="DF115" s="517"/>
      <c r="DG115" s="517"/>
      <c r="DH115" s="517"/>
      <c r="DI115" s="517"/>
      <c r="DJ115" s="517"/>
      <c r="DK115" s="517"/>
      <c r="DL115" s="517"/>
      <c r="DM115" s="517"/>
      <c r="DN115" s="517"/>
      <c r="DO115" s="517"/>
      <c r="DP115" s="517"/>
      <c r="DQ115" s="517"/>
      <c r="DR115" s="517"/>
      <c r="DS115" s="517"/>
      <c r="DT115" s="517"/>
      <c r="DU115" s="517"/>
      <c r="DV115" s="517"/>
      <c r="DW115" s="517"/>
      <c r="DX115" s="517"/>
      <c r="DY115" s="517"/>
      <c r="DZ115" s="517"/>
      <c r="EA115" s="517"/>
      <c r="EB115" s="517"/>
      <c r="EC115" s="517"/>
      <c r="ED115" s="517"/>
      <c r="EE115" s="517"/>
      <c r="EF115" s="517"/>
      <c r="EG115" s="517"/>
      <c r="EH115" s="517"/>
      <c r="EI115" s="517"/>
      <c r="EJ115" s="517"/>
      <c r="EK115" s="517"/>
      <c r="EL115" s="517"/>
      <c r="EM115" s="517"/>
      <c r="EN115" s="517"/>
      <c r="EO115" s="517"/>
      <c r="EP115" s="517"/>
      <c r="EQ115" s="517"/>
      <c r="ER115" s="517"/>
      <c r="ES115" s="517"/>
      <c r="ET115" s="521"/>
      <c r="EU115" s="521"/>
      <c r="EV115" s="521"/>
      <c r="EW115" s="521"/>
      <c r="EX115" s="521"/>
      <c r="EY115" s="521"/>
      <c r="EZ115" s="521"/>
      <c r="FA115" s="521"/>
      <c r="FB115" s="521"/>
      <c r="FC115" s="521"/>
      <c r="FD115" s="521"/>
      <c r="FE115" s="521"/>
      <c r="FF115" s="521"/>
      <c r="FG115" s="521"/>
      <c r="FH115" s="521"/>
      <c r="FI115" s="521"/>
      <c r="FJ115" s="521"/>
      <c r="FK115" s="521"/>
      <c r="FL115" s="521"/>
      <c r="FM115" s="521"/>
      <c r="FN115" s="521"/>
      <c r="FO115" s="521"/>
      <c r="FP115" s="521"/>
      <c r="FQ115" s="521"/>
      <c r="FR115" s="521"/>
      <c r="FS115" s="521"/>
      <c r="FT115" s="521"/>
      <c r="FU115" s="521"/>
      <c r="FV115" s="521"/>
      <c r="FW115" s="521"/>
      <c r="FX115" s="521"/>
      <c r="FY115" s="521"/>
      <c r="FZ115" s="521"/>
      <c r="GA115" s="521"/>
      <c r="GB115" s="521"/>
      <c r="GC115" s="521"/>
      <c r="GD115" s="521"/>
      <c r="GE115" s="521"/>
      <c r="GF115" s="521"/>
      <c r="GG115" s="521"/>
      <c r="GH115" s="521"/>
      <c r="GI115" s="521"/>
      <c r="GJ115" s="521"/>
      <c r="GK115" s="521"/>
      <c r="GL115" s="521"/>
      <c r="GM115" s="521"/>
      <c r="GN115" s="521"/>
      <c r="GO115" s="521"/>
      <c r="GP115" s="521"/>
      <c r="GQ115" s="521"/>
      <c r="GR115" s="521"/>
      <c r="GS115" s="521"/>
      <c r="GT115" s="521"/>
      <c r="GU115" s="521"/>
      <c r="GV115" s="521"/>
      <c r="GW115" s="521"/>
      <c r="GX115" s="521"/>
      <c r="GY115" s="521"/>
      <c r="GZ115" s="521"/>
      <c r="HA115" s="521"/>
      <c r="HB115" s="521"/>
      <c r="HC115" s="521"/>
      <c r="HD115" s="521"/>
      <c r="HE115" s="521"/>
      <c r="HF115" s="521"/>
      <c r="HG115" s="521"/>
      <c r="HH115" s="521"/>
      <c r="HI115" s="521"/>
      <c r="HJ115" s="521"/>
      <c r="HK115" s="521"/>
      <c r="HL115" s="521"/>
      <c r="HM115" s="521"/>
      <c r="HN115" s="521"/>
      <c r="HO115" s="521"/>
      <c r="HP115" s="521"/>
      <c r="HQ115" s="521"/>
      <c r="HR115" s="521"/>
      <c r="HS115" s="521"/>
      <c r="HT115" s="521"/>
      <c r="HU115" s="521"/>
      <c r="HV115" s="521"/>
      <c r="HW115" s="521"/>
      <c r="HX115" s="521"/>
      <c r="HY115" s="521"/>
      <c r="HZ115" s="521"/>
      <c r="IA115" s="521"/>
      <c r="IB115" s="521"/>
      <c r="IC115" s="521"/>
      <c r="ID115" s="521"/>
      <c r="IE115" s="521"/>
      <c r="IF115" s="521"/>
      <c r="IG115" s="521"/>
      <c r="IH115" s="521"/>
      <c r="II115" s="521"/>
      <c r="IJ115" s="521"/>
      <c r="IK115" s="521"/>
      <c r="IL115" s="521"/>
      <c r="IM115" s="521"/>
      <c r="IN115" s="521"/>
    </row>
    <row r="116" spans="1:248" s="508" customFormat="1" ht="12.75">
      <c r="A116" s="517"/>
      <c r="B116" s="517"/>
      <c r="C116" s="517"/>
      <c r="D116" s="517"/>
      <c r="E116" s="517"/>
      <c r="F116" s="517"/>
      <c r="G116" s="517"/>
      <c r="H116" s="517"/>
      <c r="I116" s="517"/>
      <c r="J116" s="517"/>
      <c r="K116" s="517"/>
      <c r="L116" s="517"/>
      <c r="M116" s="517"/>
      <c r="N116" s="517"/>
      <c r="O116" s="517"/>
      <c r="P116" s="517"/>
      <c r="Q116" s="517"/>
      <c r="R116" s="517"/>
      <c r="S116" s="517"/>
      <c r="T116" s="517"/>
      <c r="U116" s="517"/>
      <c r="V116" s="517"/>
      <c r="W116" s="517"/>
      <c r="X116" s="517"/>
      <c r="Y116" s="517"/>
      <c r="Z116" s="517"/>
      <c r="AA116" s="517"/>
      <c r="AB116" s="517"/>
      <c r="AC116" s="517"/>
      <c r="AD116" s="517"/>
      <c r="AE116" s="517"/>
      <c r="AF116" s="517"/>
      <c r="AG116" s="517"/>
      <c r="AH116" s="519"/>
      <c r="AI116" s="517"/>
      <c r="AJ116" s="517"/>
      <c r="AK116" s="517"/>
      <c r="AL116" s="517"/>
      <c r="AM116" s="517"/>
      <c r="AN116" s="517"/>
      <c r="AO116" s="517"/>
      <c r="AP116" s="517"/>
      <c r="AQ116" s="517"/>
      <c r="AR116" s="517"/>
      <c r="AS116" s="517"/>
      <c r="AT116" s="517"/>
      <c r="AU116" s="517"/>
      <c r="AV116" s="517"/>
      <c r="AW116" s="517"/>
      <c r="AX116" s="517"/>
      <c r="AY116" s="517"/>
      <c r="AZ116" s="517"/>
      <c r="BA116" s="517"/>
      <c r="BB116" s="517"/>
      <c r="BC116" s="517"/>
      <c r="BD116" s="517"/>
      <c r="BE116" s="517"/>
      <c r="BF116" s="517"/>
      <c r="BG116" s="517"/>
      <c r="BH116" s="517"/>
      <c r="BI116" s="517"/>
      <c r="BJ116" s="517"/>
      <c r="BK116" s="517"/>
      <c r="BL116" s="517"/>
      <c r="BM116" s="517"/>
      <c r="BN116" s="517"/>
      <c r="BO116" s="517"/>
      <c r="BP116" s="517"/>
      <c r="BQ116" s="517"/>
      <c r="BR116" s="517"/>
      <c r="BS116" s="517"/>
      <c r="BT116" s="517"/>
      <c r="BU116" s="517"/>
      <c r="BV116" s="517"/>
      <c r="BW116" s="517"/>
      <c r="BX116" s="517"/>
      <c r="BY116" s="517"/>
      <c r="BZ116" s="517"/>
      <c r="CA116" s="517"/>
      <c r="CB116" s="517"/>
      <c r="CC116" s="517"/>
      <c r="CD116" s="517"/>
      <c r="CE116" s="517"/>
      <c r="CF116" s="517"/>
      <c r="CG116" s="517"/>
      <c r="CH116" s="517"/>
      <c r="CI116" s="517"/>
      <c r="CJ116" s="517"/>
      <c r="CK116" s="517"/>
      <c r="CL116" s="517"/>
      <c r="CM116" s="517"/>
      <c r="CN116" s="517"/>
      <c r="CO116" s="517"/>
      <c r="CP116" s="517"/>
      <c r="CQ116" s="517"/>
      <c r="CR116" s="517"/>
      <c r="CS116" s="517"/>
      <c r="CT116" s="517"/>
      <c r="CU116" s="517"/>
      <c r="CV116" s="517"/>
      <c r="CW116" s="517"/>
      <c r="CX116" s="517"/>
      <c r="CY116" s="517"/>
      <c r="CZ116" s="517"/>
      <c r="DA116" s="517"/>
      <c r="DB116" s="517"/>
      <c r="DC116" s="517"/>
      <c r="DD116" s="517"/>
      <c r="DE116" s="517"/>
      <c r="DF116" s="517"/>
      <c r="DG116" s="517"/>
      <c r="DH116" s="517"/>
      <c r="DI116" s="517"/>
      <c r="DJ116" s="517"/>
      <c r="DK116" s="517"/>
      <c r="DL116" s="517"/>
      <c r="DM116" s="517"/>
      <c r="DN116" s="517"/>
      <c r="DO116" s="517"/>
      <c r="DP116" s="517"/>
      <c r="DQ116" s="517"/>
      <c r="DR116" s="517"/>
      <c r="DS116" s="517"/>
      <c r="DT116" s="517"/>
      <c r="DU116" s="517"/>
      <c r="DV116" s="517"/>
      <c r="DW116" s="517"/>
      <c r="DX116" s="517"/>
      <c r="DY116" s="517"/>
      <c r="DZ116" s="517"/>
      <c r="EA116" s="517"/>
      <c r="EB116" s="517"/>
      <c r="EC116" s="517"/>
      <c r="ED116" s="517"/>
      <c r="EE116" s="517"/>
      <c r="EF116" s="517"/>
      <c r="EG116" s="517"/>
      <c r="EH116" s="517"/>
      <c r="EI116" s="517"/>
      <c r="EJ116" s="517"/>
      <c r="EK116" s="517"/>
      <c r="EL116" s="517"/>
      <c r="EM116" s="517"/>
      <c r="EN116" s="517"/>
      <c r="EO116" s="517"/>
      <c r="EP116" s="517"/>
      <c r="EQ116" s="517"/>
      <c r="ER116" s="517"/>
      <c r="ES116" s="517"/>
      <c r="ET116" s="521"/>
      <c r="EU116" s="521"/>
      <c r="EV116" s="521"/>
      <c r="EW116" s="521"/>
      <c r="EX116" s="521"/>
      <c r="EY116" s="521"/>
      <c r="EZ116" s="521"/>
      <c r="FA116" s="521"/>
      <c r="FB116" s="521"/>
      <c r="FC116" s="521"/>
      <c r="FD116" s="521"/>
      <c r="FE116" s="521"/>
      <c r="FF116" s="521"/>
      <c r="FG116" s="521"/>
      <c r="FH116" s="521"/>
      <c r="FI116" s="521"/>
      <c r="FJ116" s="521"/>
      <c r="FK116" s="521"/>
      <c r="FL116" s="521"/>
      <c r="FM116" s="521"/>
      <c r="FN116" s="521"/>
      <c r="FO116" s="521"/>
      <c r="FP116" s="521"/>
      <c r="FQ116" s="521"/>
      <c r="FR116" s="521"/>
      <c r="FS116" s="521"/>
      <c r="FT116" s="521"/>
      <c r="FU116" s="521"/>
      <c r="FV116" s="521"/>
      <c r="FW116" s="521"/>
      <c r="FX116" s="521"/>
      <c r="FY116" s="521"/>
      <c r="FZ116" s="521"/>
      <c r="GA116" s="521"/>
      <c r="GB116" s="521"/>
      <c r="GC116" s="521"/>
      <c r="GD116" s="521"/>
      <c r="GE116" s="521"/>
      <c r="GF116" s="521"/>
      <c r="GG116" s="521"/>
      <c r="GH116" s="521"/>
      <c r="GI116" s="521"/>
      <c r="GJ116" s="521"/>
      <c r="GK116" s="521"/>
      <c r="GL116" s="521"/>
      <c r="GM116" s="521"/>
      <c r="GN116" s="521"/>
      <c r="GO116" s="521"/>
      <c r="GP116" s="521"/>
      <c r="GQ116" s="521"/>
      <c r="GR116" s="521"/>
      <c r="GS116" s="521"/>
      <c r="GT116" s="521"/>
      <c r="GU116" s="521"/>
      <c r="GV116" s="521"/>
      <c r="GW116" s="521"/>
      <c r="GX116" s="521"/>
      <c r="GY116" s="521"/>
      <c r="GZ116" s="521"/>
      <c r="HA116" s="521"/>
      <c r="HB116" s="521"/>
      <c r="HC116" s="521"/>
      <c r="HD116" s="521"/>
      <c r="HE116" s="521"/>
      <c r="HF116" s="521"/>
      <c r="HG116" s="521"/>
      <c r="HH116" s="521"/>
      <c r="HI116" s="521"/>
      <c r="HJ116" s="521"/>
      <c r="HK116" s="521"/>
      <c r="HL116" s="521"/>
      <c r="HM116" s="521"/>
      <c r="HN116" s="521"/>
      <c r="HO116" s="521"/>
      <c r="HP116" s="521"/>
      <c r="HQ116" s="521"/>
      <c r="HR116" s="521"/>
      <c r="HS116" s="521"/>
      <c r="HT116" s="521"/>
      <c r="HU116" s="521"/>
      <c r="HV116" s="521"/>
      <c r="HW116" s="521"/>
      <c r="HX116" s="521"/>
      <c r="HY116" s="521"/>
      <c r="HZ116" s="521"/>
      <c r="IA116" s="521"/>
      <c r="IB116" s="521"/>
      <c r="IC116" s="521"/>
      <c r="ID116" s="521"/>
      <c r="IE116" s="521"/>
      <c r="IF116" s="521"/>
      <c r="IG116" s="521"/>
      <c r="IH116" s="521"/>
      <c r="II116" s="521"/>
      <c r="IJ116" s="521"/>
      <c r="IK116" s="521"/>
      <c r="IL116" s="521"/>
      <c r="IM116" s="521"/>
      <c r="IN116" s="521"/>
    </row>
    <row r="117" spans="1:248" s="508" customFormat="1" ht="12.75">
      <c r="A117" s="514" t="s">
        <v>78</v>
      </c>
      <c r="B117" s="514"/>
      <c r="C117" s="514"/>
      <c r="D117" s="514"/>
      <c r="E117" s="514"/>
      <c r="F117" s="514"/>
      <c r="G117" s="514"/>
      <c r="H117" s="514"/>
      <c r="I117" s="514"/>
      <c r="J117" s="514"/>
      <c r="K117" s="514"/>
      <c r="L117" s="514"/>
      <c r="M117" s="514"/>
      <c r="N117" s="514"/>
      <c r="O117" s="514"/>
      <c r="P117" s="514"/>
      <c r="Q117" s="514"/>
      <c r="R117" s="514"/>
      <c r="S117" s="514"/>
      <c r="T117" s="514"/>
      <c r="U117" s="514"/>
      <c r="V117" s="514"/>
      <c r="W117" s="514"/>
      <c r="X117" s="514"/>
      <c r="Y117" s="514"/>
      <c r="Z117" s="514"/>
      <c r="AA117" s="514"/>
      <c r="AB117" s="514"/>
      <c r="AC117" s="514"/>
      <c r="AD117" s="514"/>
      <c r="AE117" s="514"/>
      <c r="AF117" s="514"/>
      <c r="AG117" s="514"/>
      <c r="AH117" s="510"/>
      <c r="AI117" s="514"/>
      <c r="AJ117" s="514"/>
      <c r="AK117" s="514"/>
      <c r="AL117" s="514"/>
      <c r="AM117" s="514"/>
      <c r="AN117" s="510"/>
      <c r="AO117" s="1734" t="str">
        <f>A33</f>
        <v>Бухгалтер</v>
      </c>
      <c r="AP117" s="1734"/>
      <c r="AQ117" s="1734"/>
      <c r="AR117" s="1734"/>
      <c r="AS117" s="1734"/>
      <c r="AT117" s="1734"/>
      <c r="AU117" s="1734"/>
      <c r="AV117" s="1734"/>
      <c r="AW117" s="1734"/>
      <c r="AX117" s="1734"/>
      <c r="AY117" s="1734"/>
      <c r="AZ117" s="1734"/>
      <c r="BA117" s="1734"/>
      <c r="BB117" s="1734"/>
      <c r="BC117" s="1734"/>
      <c r="BD117" s="1734"/>
      <c r="BE117" s="1734"/>
      <c r="BF117" s="1734"/>
      <c r="BG117" s="1734"/>
      <c r="BH117" s="1734"/>
      <c r="BI117" s="1734"/>
      <c r="BJ117" s="1734"/>
      <c r="BK117" s="1734"/>
      <c r="BL117" s="1734"/>
      <c r="BM117" s="1734"/>
      <c r="BN117" s="1734"/>
      <c r="BO117" s="1734"/>
      <c r="BP117" s="1734"/>
      <c r="BQ117" s="1734"/>
      <c r="BR117" s="489"/>
      <c r="BS117" s="489"/>
      <c r="BT117" s="1735"/>
      <c r="BU117" s="1735"/>
      <c r="BV117" s="1735"/>
      <c r="BW117" s="1735"/>
      <c r="BX117" s="1735"/>
      <c r="BY117" s="1735"/>
      <c r="BZ117" s="1735"/>
      <c r="CA117" s="1735"/>
      <c r="CB117" s="1735"/>
      <c r="CC117" s="1735"/>
      <c r="CD117" s="1735"/>
      <c r="CE117" s="1735"/>
      <c r="CF117" s="1735"/>
      <c r="CG117" s="1735"/>
      <c r="CH117" s="1735"/>
      <c r="CI117" s="1735"/>
      <c r="CJ117" s="1735"/>
      <c r="CK117" s="1735"/>
      <c r="CL117" s="1735"/>
      <c r="CM117" s="1735"/>
      <c r="CN117" s="1735"/>
      <c r="CO117" s="1735"/>
      <c r="CP117" s="1735"/>
      <c r="CQ117" s="521"/>
      <c r="CR117" s="521"/>
      <c r="CS117" s="1734" t="str">
        <f>BH33</f>
        <v>Горнак Ирина Андреевна</v>
      </c>
      <c r="CT117" s="1734"/>
      <c r="CU117" s="1734"/>
      <c r="CV117" s="1734"/>
      <c r="CW117" s="1734"/>
      <c r="CX117" s="1734"/>
      <c r="CY117" s="1734"/>
      <c r="CZ117" s="1734"/>
      <c r="DA117" s="1734"/>
      <c r="DB117" s="1734"/>
      <c r="DC117" s="1734"/>
      <c r="DD117" s="1734"/>
      <c r="DE117" s="1734"/>
      <c r="DF117" s="1734"/>
      <c r="DG117" s="1734"/>
      <c r="DH117" s="1734"/>
      <c r="DI117" s="1734"/>
      <c r="DJ117" s="1734"/>
      <c r="DK117" s="1734"/>
      <c r="DL117" s="1734"/>
      <c r="DM117" s="1734"/>
      <c r="DN117" s="1734"/>
      <c r="DO117" s="1734"/>
      <c r="DP117" s="1734"/>
      <c r="DQ117" s="1734"/>
      <c r="DR117" s="1734"/>
      <c r="DS117" s="1734"/>
      <c r="DT117" s="1734"/>
      <c r="DU117" s="1734"/>
      <c r="DV117" s="1734"/>
      <c r="DW117" s="1734"/>
      <c r="DX117" s="1734"/>
      <c r="DY117" s="1734"/>
      <c r="DZ117" s="1734"/>
      <c r="EA117" s="523"/>
      <c r="EB117" s="523"/>
      <c r="EC117" s="523"/>
      <c r="ED117" s="523"/>
      <c r="EE117" s="523"/>
      <c r="EF117" s="523"/>
      <c r="EG117" s="523"/>
      <c r="EH117" s="523"/>
      <c r="EI117" s="523"/>
      <c r="EJ117" s="523"/>
      <c r="EK117" s="523"/>
      <c r="EL117" s="523"/>
      <c r="EM117" s="523"/>
      <c r="EN117" s="523"/>
      <c r="EO117" s="523"/>
      <c r="EP117" s="523"/>
      <c r="EQ117" s="523"/>
      <c r="ER117" s="523"/>
      <c r="ES117" s="523"/>
      <c r="ET117" s="523"/>
      <c r="EU117" s="523"/>
      <c r="EV117" s="523"/>
      <c r="EW117" s="523"/>
      <c r="EX117" s="521"/>
      <c r="EY117" s="521"/>
      <c r="EZ117" s="521"/>
      <c r="FA117" s="521"/>
      <c r="FB117" s="521"/>
      <c r="FC117" s="521"/>
      <c r="FD117" s="521"/>
      <c r="FE117" s="521"/>
      <c r="FF117" s="521"/>
      <c r="FG117" s="521"/>
      <c r="FH117" s="521"/>
      <c r="FI117" s="521"/>
      <c r="FJ117" s="521"/>
      <c r="FK117" s="521"/>
      <c r="FL117" s="521"/>
      <c r="FM117" s="521"/>
      <c r="FN117" s="521"/>
      <c r="FO117" s="521"/>
      <c r="FP117" s="521"/>
      <c r="FQ117" s="521"/>
      <c r="FR117" s="521"/>
      <c r="FS117" s="521"/>
      <c r="FT117" s="521"/>
      <c r="FU117" s="521"/>
      <c r="FV117" s="521"/>
      <c r="FW117" s="521"/>
      <c r="FX117" s="521"/>
      <c r="FY117" s="521"/>
      <c r="FZ117" s="521"/>
      <c r="GA117" s="521"/>
      <c r="GB117" s="521"/>
      <c r="GC117" s="521"/>
      <c r="GD117" s="521"/>
      <c r="GE117" s="521"/>
      <c r="GF117" s="521"/>
      <c r="GG117" s="521"/>
      <c r="GH117" s="521"/>
      <c r="GI117" s="521"/>
      <c r="GJ117" s="521"/>
      <c r="GK117" s="521"/>
      <c r="GL117" s="521"/>
      <c r="GM117" s="521"/>
      <c r="GN117" s="521"/>
      <c r="GO117" s="521"/>
      <c r="GP117" s="521"/>
      <c r="GQ117" s="521"/>
      <c r="GR117" s="521"/>
      <c r="GS117" s="521"/>
      <c r="GT117" s="521"/>
      <c r="GU117" s="521"/>
      <c r="GV117" s="521"/>
      <c r="GW117" s="521"/>
      <c r="GX117" s="521"/>
      <c r="GY117" s="521"/>
      <c r="GZ117" s="521"/>
      <c r="HA117" s="521"/>
      <c r="HB117" s="521"/>
      <c r="HC117" s="521"/>
      <c r="HD117" s="521"/>
      <c r="HE117" s="521"/>
      <c r="HF117" s="521"/>
      <c r="HG117" s="521"/>
      <c r="HH117" s="521"/>
      <c r="HI117" s="521"/>
      <c r="HJ117" s="521"/>
      <c r="HK117" s="521"/>
      <c r="HL117" s="521"/>
      <c r="HM117" s="521"/>
      <c r="HN117" s="521"/>
      <c r="HO117" s="521"/>
      <c r="HP117" s="521"/>
      <c r="HQ117" s="521"/>
      <c r="HR117" s="521"/>
      <c r="HS117" s="521"/>
      <c r="HT117" s="521"/>
      <c r="HU117" s="521"/>
      <c r="HV117" s="521"/>
      <c r="HW117" s="521"/>
      <c r="HX117" s="521"/>
      <c r="HY117" s="521"/>
      <c r="HZ117" s="521"/>
      <c r="IA117" s="521"/>
      <c r="IB117" s="521"/>
      <c r="IC117" s="521"/>
      <c r="ID117" s="521"/>
      <c r="IE117" s="521"/>
      <c r="IF117" s="521"/>
      <c r="IG117" s="521"/>
      <c r="IH117" s="521"/>
      <c r="II117" s="521"/>
      <c r="IJ117" s="521"/>
      <c r="IK117" s="521"/>
      <c r="IL117" s="521"/>
      <c r="IM117" s="521"/>
      <c r="IN117" s="521"/>
    </row>
    <row r="118" spans="1:248" s="508" customFormat="1" ht="11.25" customHeight="1">
      <c r="A118" s="510"/>
      <c r="B118" s="510"/>
      <c r="C118" s="510"/>
      <c r="D118" s="510"/>
      <c r="E118" s="510"/>
      <c r="F118" s="510"/>
      <c r="G118" s="510"/>
      <c r="H118" s="510"/>
      <c r="I118" s="510"/>
      <c r="J118" s="510"/>
      <c r="K118" s="510"/>
      <c r="L118" s="510"/>
      <c r="M118" s="510"/>
      <c r="N118" s="510"/>
      <c r="O118" s="510"/>
      <c r="P118" s="510"/>
      <c r="Q118" s="510"/>
      <c r="R118" s="510"/>
      <c r="S118" s="510"/>
      <c r="T118" s="510"/>
      <c r="U118" s="510"/>
      <c r="V118" s="510"/>
      <c r="W118" s="510"/>
      <c r="X118" s="510"/>
      <c r="Y118" s="510"/>
      <c r="Z118" s="510"/>
      <c r="AA118" s="510"/>
      <c r="AB118" s="510"/>
      <c r="AC118" s="510"/>
      <c r="AD118" s="510"/>
      <c r="AE118" s="510"/>
      <c r="AF118" s="510"/>
      <c r="AG118" s="510"/>
      <c r="AH118" s="510"/>
      <c r="AI118" s="510"/>
      <c r="AJ118" s="510"/>
      <c r="AK118" s="510"/>
      <c r="AL118" s="510"/>
      <c r="AM118" s="510"/>
      <c r="AN118" s="1732" t="s">
        <v>183</v>
      </c>
      <c r="AO118" s="1732"/>
      <c r="AP118" s="1732"/>
      <c r="AQ118" s="1732"/>
      <c r="AR118" s="1732"/>
      <c r="AS118" s="1732"/>
      <c r="AT118" s="1732"/>
      <c r="AU118" s="1732"/>
      <c r="AV118" s="1732"/>
      <c r="AW118" s="1732"/>
      <c r="AX118" s="1732"/>
      <c r="AY118" s="1732"/>
      <c r="AZ118" s="1732"/>
      <c r="BA118" s="1732"/>
      <c r="BB118" s="1732"/>
      <c r="BC118" s="1732"/>
      <c r="BD118" s="1732"/>
      <c r="BE118" s="1732"/>
      <c r="BF118" s="1732"/>
      <c r="BG118" s="1732"/>
      <c r="BH118" s="1732"/>
      <c r="BI118" s="1732"/>
      <c r="BJ118" s="1732"/>
      <c r="BK118" s="1732"/>
      <c r="BL118" s="1732"/>
      <c r="BM118" s="1732"/>
      <c r="BN118" s="1732"/>
      <c r="BO118" s="1732"/>
      <c r="BP118" s="1732"/>
      <c r="BQ118" s="1732"/>
      <c r="BR118" s="1732"/>
      <c r="BS118" s="1733" t="s">
        <v>80</v>
      </c>
      <c r="BT118" s="1733"/>
      <c r="BU118" s="1733"/>
      <c r="BV118" s="1733"/>
      <c r="BW118" s="1733"/>
      <c r="BX118" s="1733"/>
      <c r="BY118" s="1733"/>
      <c r="BZ118" s="1733"/>
      <c r="CA118" s="1733"/>
      <c r="CB118" s="1733"/>
      <c r="CC118" s="1733"/>
      <c r="CD118" s="1733"/>
      <c r="CE118" s="1733"/>
      <c r="CF118" s="1733"/>
      <c r="CG118" s="1733"/>
      <c r="CH118" s="1733"/>
      <c r="CI118" s="1733"/>
      <c r="CJ118" s="1733"/>
      <c r="CK118" s="1733"/>
      <c r="CL118" s="1733"/>
      <c r="CM118" s="1733"/>
      <c r="CN118" s="1733"/>
      <c r="CO118" s="1733"/>
      <c r="CP118" s="1733"/>
      <c r="CQ118" s="522"/>
      <c r="CR118" s="522"/>
      <c r="CS118" s="1727" t="s">
        <v>182</v>
      </c>
      <c r="CT118" s="1727"/>
      <c r="CU118" s="1727"/>
      <c r="CV118" s="1727"/>
      <c r="CW118" s="1727"/>
      <c r="CX118" s="1727"/>
      <c r="CY118" s="1727"/>
      <c r="CZ118" s="1727"/>
      <c r="DA118" s="1727"/>
      <c r="DB118" s="1727"/>
      <c r="DC118" s="1727"/>
      <c r="DD118" s="1727"/>
      <c r="DE118" s="1727"/>
      <c r="DF118" s="1727"/>
      <c r="DG118" s="1727"/>
      <c r="DH118" s="1727"/>
      <c r="DI118" s="1727"/>
      <c r="DJ118" s="1727"/>
      <c r="DK118" s="1727"/>
      <c r="DL118" s="1727"/>
      <c r="DM118" s="1727"/>
      <c r="DN118" s="1727"/>
      <c r="DO118" s="1727"/>
      <c r="DP118" s="1727"/>
      <c r="DQ118" s="1727"/>
      <c r="DR118" s="1727"/>
      <c r="DS118" s="1727"/>
      <c r="DT118" s="1727"/>
      <c r="DU118" s="1727"/>
      <c r="DV118" s="1727"/>
      <c r="DW118" s="1727"/>
      <c r="DX118" s="1727"/>
      <c r="DY118" s="1727"/>
      <c r="DZ118" s="1727"/>
      <c r="EA118" s="510"/>
      <c r="EB118" s="510"/>
      <c r="EC118" s="510"/>
      <c r="ED118" s="510"/>
      <c r="EE118" s="510"/>
      <c r="EF118" s="510"/>
      <c r="EG118" s="510"/>
      <c r="EH118" s="510"/>
      <c r="EI118" s="510"/>
      <c r="EJ118" s="510"/>
      <c r="EK118" s="510"/>
      <c r="EL118" s="510"/>
      <c r="EM118" s="510"/>
      <c r="EN118" s="510"/>
      <c r="EO118" s="510"/>
      <c r="EP118" s="510"/>
      <c r="EQ118" s="510"/>
      <c r="ER118" s="510"/>
      <c r="ES118" s="510"/>
      <c r="ET118" s="521"/>
      <c r="EU118" s="521"/>
      <c r="EV118" s="521"/>
      <c r="EW118" s="521"/>
      <c r="EX118" s="521"/>
      <c r="EY118" s="521"/>
      <c r="EZ118" s="521"/>
      <c r="FA118" s="521"/>
      <c r="FB118" s="521"/>
      <c r="FC118" s="521"/>
      <c r="FD118" s="521"/>
      <c r="FE118" s="521"/>
      <c r="FF118" s="521"/>
      <c r="FG118" s="521"/>
      <c r="FH118" s="521"/>
      <c r="FI118" s="521"/>
      <c r="FJ118" s="521"/>
      <c r="FK118" s="521"/>
      <c r="FL118" s="521"/>
      <c r="FM118" s="521"/>
      <c r="FN118" s="521"/>
      <c r="FO118" s="521"/>
      <c r="FP118" s="521"/>
      <c r="FQ118" s="521"/>
      <c r="FR118" s="521"/>
      <c r="FS118" s="521"/>
      <c r="FT118" s="521"/>
      <c r="FU118" s="521"/>
      <c r="FV118" s="521"/>
      <c r="FW118" s="521"/>
      <c r="FX118" s="521"/>
      <c r="FY118" s="521"/>
      <c r="FZ118" s="521"/>
      <c r="GA118" s="521"/>
      <c r="GB118" s="521"/>
      <c r="GC118" s="521"/>
      <c r="GD118" s="521"/>
      <c r="GE118" s="521"/>
      <c r="GF118" s="521"/>
      <c r="GG118" s="521"/>
      <c r="GH118" s="521"/>
      <c r="GI118" s="521"/>
      <c r="GJ118" s="521"/>
      <c r="GK118" s="521"/>
      <c r="GL118" s="521"/>
      <c r="GM118" s="521"/>
      <c r="GN118" s="521"/>
      <c r="GO118" s="521"/>
      <c r="GP118" s="521"/>
      <c r="GQ118" s="521"/>
      <c r="GR118" s="521"/>
      <c r="GS118" s="521"/>
      <c r="GT118" s="521"/>
      <c r="GU118" s="521"/>
      <c r="GV118" s="521"/>
      <c r="GW118" s="521"/>
      <c r="GX118" s="521"/>
      <c r="GY118" s="521"/>
      <c r="GZ118" s="521"/>
      <c r="HA118" s="521"/>
      <c r="HB118" s="521"/>
      <c r="HC118" s="521"/>
      <c r="HD118" s="521"/>
      <c r="HE118" s="521"/>
      <c r="HF118" s="521"/>
      <c r="HG118" s="521"/>
      <c r="HH118" s="521"/>
      <c r="HI118" s="521"/>
      <c r="HJ118" s="521"/>
      <c r="HK118" s="521"/>
      <c r="HL118" s="521"/>
      <c r="HM118" s="521"/>
      <c r="HN118" s="521"/>
      <c r="HO118" s="521"/>
      <c r="HP118" s="521"/>
      <c r="HQ118" s="521"/>
      <c r="HR118" s="521"/>
      <c r="HS118" s="521"/>
      <c r="HT118" s="521"/>
      <c r="HU118" s="521"/>
      <c r="HV118" s="521"/>
      <c r="HW118" s="521"/>
      <c r="HX118" s="521"/>
      <c r="HY118" s="521"/>
      <c r="HZ118" s="521"/>
      <c r="IA118" s="521"/>
      <c r="IB118" s="521"/>
      <c r="IC118" s="521"/>
      <c r="ID118" s="521"/>
      <c r="IE118" s="521"/>
      <c r="IF118" s="521"/>
      <c r="IG118" s="521"/>
      <c r="IH118" s="521"/>
      <c r="II118" s="521"/>
      <c r="IJ118" s="521"/>
      <c r="IK118" s="521"/>
      <c r="IL118" s="521"/>
      <c r="IM118" s="521"/>
      <c r="IN118" s="521"/>
    </row>
    <row r="119" spans="1:248" s="508" customFormat="1" ht="12.75">
      <c r="A119" s="510"/>
      <c r="B119" s="510"/>
      <c r="C119" s="510"/>
      <c r="D119" s="510"/>
      <c r="E119" s="510"/>
      <c r="F119" s="510"/>
      <c r="G119" s="510"/>
      <c r="H119" s="510"/>
      <c r="I119" s="510"/>
      <c r="J119" s="510"/>
      <c r="K119" s="510"/>
      <c r="L119" s="510"/>
      <c r="M119" s="510"/>
      <c r="N119" s="510"/>
      <c r="O119" s="510"/>
      <c r="P119" s="510"/>
      <c r="Q119" s="510"/>
      <c r="R119" s="510"/>
      <c r="S119" s="510"/>
      <c r="T119" s="510"/>
      <c r="U119" s="510"/>
      <c r="V119" s="510"/>
      <c r="W119" s="510"/>
      <c r="X119" s="510"/>
      <c r="Y119" s="510"/>
      <c r="Z119" s="510"/>
      <c r="AA119" s="510"/>
      <c r="AB119" s="510"/>
      <c r="AC119" s="510"/>
      <c r="AD119" s="510"/>
      <c r="AE119" s="510"/>
      <c r="AF119" s="510"/>
      <c r="AG119" s="510"/>
      <c r="AH119" s="510"/>
      <c r="AI119" s="510"/>
      <c r="AJ119" s="510"/>
      <c r="AK119" s="510"/>
      <c r="AL119" s="510"/>
      <c r="AM119" s="510"/>
      <c r="AN119" s="510"/>
      <c r="AO119" s="1726"/>
      <c r="AP119" s="1726"/>
      <c r="AQ119" s="1726"/>
      <c r="AR119" s="1726"/>
      <c r="AS119" s="1726"/>
      <c r="AT119" s="1726"/>
      <c r="AU119" s="1726"/>
      <c r="AV119" s="1726"/>
      <c r="AW119" s="1726"/>
      <c r="AX119" s="1726"/>
      <c r="AY119" s="1726"/>
      <c r="AZ119" s="1726"/>
      <c r="BA119" s="1726"/>
      <c r="BB119" s="1726"/>
      <c r="BC119" s="1726"/>
      <c r="BD119" s="1726"/>
      <c r="BE119" s="1726"/>
      <c r="BF119" s="1726"/>
      <c r="BG119" s="1726"/>
      <c r="BH119" s="1726"/>
      <c r="BI119" s="1726"/>
      <c r="BJ119" s="1726"/>
      <c r="BK119" s="1726"/>
      <c r="BL119" s="510"/>
      <c r="BM119" s="510"/>
      <c r="BN119" s="1726"/>
      <c r="BO119" s="1726"/>
      <c r="BP119" s="1726"/>
      <c r="BQ119" s="1726"/>
      <c r="BR119" s="1726"/>
      <c r="BS119" s="1726"/>
      <c r="BT119" s="1726"/>
      <c r="BU119" s="1726"/>
      <c r="BV119" s="1726"/>
      <c r="BW119" s="1726"/>
      <c r="BX119" s="1726"/>
      <c r="BY119" s="1726"/>
      <c r="BZ119" s="1726"/>
      <c r="CA119" s="1726"/>
      <c r="CB119" s="1726"/>
      <c r="CC119" s="1726"/>
      <c r="CD119" s="1726"/>
      <c r="CE119" s="1726"/>
      <c r="CF119" s="1726"/>
      <c r="CG119" s="1726"/>
      <c r="CH119" s="1726"/>
      <c r="CI119" s="510"/>
      <c r="CJ119" s="510"/>
      <c r="CK119" s="1726"/>
      <c r="CL119" s="1726"/>
      <c r="CM119" s="1726"/>
      <c r="CN119" s="1726"/>
      <c r="CO119" s="1726"/>
      <c r="CP119" s="1726"/>
      <c r="CQ119" s="1726"/>
      <c r="CR119" s="1726"/>
      <c r="CS119" s="1726"/>
      <c r="CT119" s="1726"/>
      <c r="CU119" s="1726"/>
      <c r="CV119" s="1726"/>
      <c r="CW119" s="1726"/>
      <c r="CX119" s="1726"/>
      <c r="CY119" s="1726"/>
      <c r="CZ119" s="1726"/>
      <c r="DA119" s="1726"/>
      <c r="DB119" s="1726"/>
      <c r="DC119" s="1726"/>
      <c r="DD119" s="1726"/>
      <c r="DE119" s="1726"/>
      <c r="DF119" s="1726"/>
      <c r="DG119" s="1726"/>
      <c r="DH119" s="1726"/>
      <c r="DI119" s="1726"/>
      <c r="DJ119" s="1726"/>
      <c r="DK119" s="1726"/>
      <c r="DL119" s="1726"/>
      <c r="DM119" s="1726"/>
      <c r="DN119" s="1726"/>
      <c r="DO119" s="1726"/>
      <c r="DP119" s="1726"/>
      <c r="DQ119" s="510"/>
      <c r="DR119" s="510"/>
      <c r="DS119" s="510"/>
      <c r="DT119" s="510"/>
      <c r="DU119" s="510"/>
      <c r="DV119" s="510"/>
      <c r="DW119" s="510"/>
      <c r="DX119" s="510"/>
      <c r="DY119" s="510"/>
      <c r="DZ119" s="510"/>
      <c r="EA119" s="510"/>
      <c r="EB119" s="510"/>
      <c r="EC119" s="510"/>
      <c r="ED119" s="510"/>
      <c r="EE119" s="510"/>
      <c r="EF119" s="510"/>
      <c r="EG119" s="510"/>
      <c r="EH119" s="510"/>
      <c r="EI119" s="510"/>
      <c r="EJ119" s="510"/>
      <c r="EK119" s="510"/>
      <c r="EL119" s="510"/>
      <c r="EM119" s="510"/>
      <c r="EN119" s="510"/>
      <c r="EO119" s="510"/>
      <c r="EP119" s="510"/>
      <c r="EQ119" s="510"/>
      <c r="ER119" s="510"/>
      <c r="ES119" s="510"/>
      <c r="ET119" s="521"/>
      <c r="EU119" s="521"/>
      <c r="EV119" s="521"/>
      <c r="EW119" s="521"/>
      <c r="EX119" s="521"/>
      <c r="EY119" s="521"/>
      <c r="EZ119" s="521"/>
      <c r="FA119" s="521"/>
      <c r="FB119" s="521"/>
      <c r="FC119" s="521"/>
      <c r="FD119" s="521"/>
      <c r="FE119" s="521"/>
      <c r="FF119" s="521"/>
      <c r="FG119" s="521"/>
      <c r="FH119" s="521"/>
      <c r="FI119" s="521"/>
      <c r="FJ119" s="521"/>
      <c r="FK119" s="521"/>
      <c r="FL119" s="521"/>
      <c r="FM119" s="521"/>
      <c r="FN119" s="521"/>
      <c r="FO119" s="521"/>
      <c r="FP119" s="521"/>
      <c r="FQ119" s="521"/>
      <c r="FR119" s="521"/>
      <c r="FS119" s="521"/>
      <c r="FT119" s="521"/>
      <c r="FU119" s="521"/>
      <c r="FV119" s="521"/>
      <c r="FW119" s="521"/>
      <c r="FX119" s="521"/>
      <c r="FY119" s="521"/>
      <c r="FZ119" s="521"/>
      <c r="GA119" s="521"/>
      <c r="GB119" s="521"/>
      <c r="GC119" s="521"/>
      <c r="GD119" s="521"/>
      <c r="GE119" s="521"/>
      <c r="GF119" s="521"/>
      <c r="GG119" s="521"/>
      <c r="GH119" s="521"/>
      <c r="GI119" s="521"/>
      <c r="GJ119" s="521"/>
      <c r="GK119" s="521"/>
      <c r="GL119" s="521"/>
      <c r="GM119" s="521"/>
      <c r="GN119" s="521"/>
      <c r="GO119" s="521"/>
      <c r="GP119" s="521"/>
      <c r="GQ119" s="521"/>
      <c r="GR119" s="521"/>
      <c r="GS119" s="521"/>
      <c r="GT119" s="521"/>
      <c r="GU119" s="521"/>
      <c r="GV119" s="521"/>
      <c r="GW119" s="521"/>
      <c r="GX119" s="521"/>
      <c r="GY119" s="521"/>
      <c r="GZ119" s="521"/>
      <c r="HA119" s="521"/>
      <c r="HB119" s="521"/>
      <c r="HC119" s="521"/>
      <c r="HD119" s="521"/>
      <c r="HE119" s="521"/>
      <c r="HF119" s="521"/>
      <c r="HG119" s="521"/>
      <c r="HH119" s="521"/>
      <c r="HI119" s="521"/>
      <c r="HJ119" s="521"/>
      <c r="HK119" s="521"/>
      <c r="HL119" s="521"/>
      <c r="HM119" s="521"/>
      <c r="HN119" s="521"/>
      <c r="HO119" s="521"/>
      <c r="HP119" s="521"/>
      <c r="HQ119" s="521"/>
      <c r="HR119" s="521"/>
      <c r="HS119" s="521"/>
      <c r="HT119" s="521"/>
      <c r="HU119" s="521"/>
      <c r="HV119" s="521"/>
      <c r="HW119" s="521"/>
      <c r="HX119" s="521"/>
      <c r="HY119" s="521"/>
      <c r="HZ119" s="521"/>
      <c r="IA119" s="521"/>
      <c r="IB119" s="521"/>
      <c r="IC119" s="521"/>
      <c r="ID119" s="521"/>
      <c r="IE119" s="521"/>
      <c r="IF119" s="521"/>
      <c r="IG119" s="521"/>
      <c r="IH119" s="521"/>
      <c r="II119" s="521"/>
      <c r="IJ119" s="521"/>
      <c r="IK119" s="521"/>
      <c r="IL119" s="521"/>
      <c r="IM119" s="521"/>
      <c r="IN119" s="521"/>
    </row>
    <row r="120" spans="1:248" s="508" customFormat="1" ht="12.75">
      <c r="A120" s="510"/>
      <c r="B120" s="510"/>
      <c r="C120" s="510"/>
      <c r="D120" s="510"/>
      <c r="E120" s="510"/>
      <c r="F120" s="510"/>
      <c r="G120" s="510"/>
      <c r="H120" s="510"/>
      <c r="I120" s="510"/>
      <c r="J120" s="510"/>
      <c r="K120" s="510"/>
      <c r="L120" s="510"/>
      <c r="M120" s="510"/>
      <c r="N120" s="510"/>
      <c r="O120" s="510"/>
      <c r="P120" s="510"/>
      <c r="Q120" s="510"/>
      <c r="R120" s="510"/>
      <c r="S120" s="510"/>
      <c r="T120" s="510"/>
      <c r="U120" s="510"/>
      <c r="V120" s="510"/>
      <c r="W120" s="510"/>
      <c r="X120" s="510"/>
      <c r="Y120" s="510"/>
      <c r="Z120" s="510"/>
      <c r="AA120" s="510"/>
      <c r="AB120" s="510"/>
      <c r="AC120" s="510"/>
      <c r="AD120" s="510"/>
      <c r="AE120" s="510"/>
      <c r="AF120" s="510"/>
      <c r="AG120" s="510"/>
      <c r="AH120" s="510"/>
      <c r="AI120" s="510"/>
      <c r="AJ120" s="510"/>
      <c r="AK120" s="510"/>
      <c r="AL120" s="510"/>
      <c r="AM120" s="510"/>
      <c r="AN120" s="510"/>
      <c r="AO120" s="1726"/>
      <c r="AP120" s="1726"/>
      <c r="AQ120" s="1726"/>
      <c r="AR120" s="1726"/>
      <c r="AS120" s="1726"/>
      <c r="AT120" s="1726"/>
      <c r="AU120" s="1726"/>
      <c r="AV120" s="1726"/>
      <c r="AW120" s="1726"/>
      <c r="AX120" s="1726"/>
      <c r="AY120" s="1726"/>
      <c r="AZ120" s="1726"/>
      <c r="BA120" s="1726"/>
      <c r="BB120" s="1726"/>
      <c r="BC120" s="1726"/>
      <c r="BD120" s="1726"/>
      <c r="BE120" s="1726"/>
      <c r="BF120" s="1726"/>
      <c r="BG120" s="1726"/>
      <c r="BH120" s="1726"/>
      <c r="BI120" s="1726"/>
      <c r="BJ120" s="1726"/>
      <c r="BK120" s="1726"/>
      <c r="BL120" s="510"/>
      <c r="BM120" s="510"/>
      <c r="BN120" s="1726"/>
      <c r="BO120" s="1726"/>
      <c r="BP120" s="1726"/>
      <c r="BQ120" s="1726"/>
      <c r="BR120" s="1726"/>
      <c r="BS120" s="1726"/>
      <c r="BT120" s="1726"/>
      <c r="BU120" s="1726"/>
      <c r="BV120" s="1726"/>
      <c r="BW120" s="1726"/>
      <c r="BX120" s="1726"/>
      <c r="BY120" s="1726"/>
      <c r="BZ120" s="1726"/>
      <c r="CA120" s="1726"/>
      <c r="CB120" s="1726"/>
      <c r="CC120" s="1726"/>
      <c r="CD120" s="1726"/>
      <c r="CE120" s="1726"/>
      <c r="CF120" s="1726"/>
      <c r="CG120" s="1726"/>
      <c r="CH120" s="1726"/>
      <c r="CI120" s="510"/>
      <c r="CJ120" s="510"/>
      <c r="CK120" s="1726"/>
      <c r="CL120" s="1726"/>
      <c r="CM120" s="1726"/>
      <c r="CN120" s="1726"/>
      <c r="CO120" s="1726"/>
      <c r="CP120" s="1726"/>
      <c r="CQ120" s="1726"/>
      <c r="CR120" s="1726"/>
      <c r="CS120" s="1726"/>
      <c r="CT120" s="1726"/>
      <c r="CU120" s="1726"/>
      <c r="CV120" s="1726"/>
      <c r="CW120" s="1726"/>
      <c r="CX120" s="1726"/>
      <c r="CY120" s="1726"/>
      <c r="CZ120" s="1726"/>
      <c r="DA120" s="1726"/>
      <c r="DB120" s="1726"/>
      <c r="DC120" s="1726"/>
      <c r="DD120" s="1726"/>
      <c r="DE120" s="1726"/>
      <c r="DF120" s="1726"/>
      <c r="DG120" s="1726"/>
      <c r="DH120" s="1726"/>
      <c r="DI120" s="1726"/>
      <c r="DJ120" s="1726"/>
      <c r="DK120" s="1726"/>
      <c r="DL120" s="1726"/>
      <c r="DM120" s="1726"/>
      <c r="DN120" s="1726"/>
      <c r="DO120" s="1726"/>
      <c r="DP120" s="1726"/>
      <c r="DQ120" s="510"/>
      <c r="DR120" s="510"/>
      <c r="DS120" s="510"/>
      <c r="DT120" s="510"/>
      <c r="DU120" s="510"/>
      <c r="DV120" s="510"/>
      <c r="DW120" s="510"/>
      <c r="DX120" s="510"/>
      <c r="DY120" s="510"/>
      <c r="DZ120" s="510"/>
      <c r="EA120" s="510"/>
      <c r="EB120" s="510"/>
      <c r="EC120" s="510"/>
      <c r="ED120" s="510"/>
      <c r="EE120" s="510"/>
      <c r="EF120" s="510"/>
      <c r="EG120" s="510"/>
      <c r="EH120" s="510"/>
      <c r="EI120" s="510"/>
      <c r="EJ120" s="510"/>
      <c r="EK120" s="510"/>
      <c r="EL120" s="510"/>
      <c r="EM120" s="510"/>
      <c r="EN120" s="510"/>
      <c r="EO120" s="510"/>
      <c r="EP120" s="510"/>
      <c r="EQ120" s="510"/>
      <c r="ER120" s="510"/>
      <c r="ES120" s="510"/>
      <c r="ET120" s="521"/>
      <c r="EU120" s="521"/>
      <c r="EV120" s="521"/>
      <c r="EW120" s="521"/>
      <c r="EX120" s="521"/>
      <c r="EY120" s="521"/>
      <c r="EZ120" s="521"/>
      <c r="FA120" s="521"/>
      <c r="FB120" s="521"/>
      <c r="FC120" s="521"/>
      <c r="FD120" s="521"/>
      <c r="FE120" s="521"/>
      <c r="FF120" s="521"/>
      <c r="FG120" s="521"/>
      <c r="FH120" s="521"/>
      <c r="FI120" s="521"/>
      <c r="FJ120" s="521"/>
      <c r="FK120" s="521"/>
      <c r="FL120" s="521"/>
      <c r="FM120" s="521"/>
      <c r="FN120" s="521"/>
      <c r="FO120" s="521"/>
      <c r="FP120" s="521"/>
      <c r="FQ120" s="521"/>
      <c r="FR120" s="521"/>
      <c r="FS120" s="521"/>
      <c r="FT120" s="521"/>
      <c r="FU120" s="521"/>
      <c r="FV120" s="521"/>
      <c r="FW120" s="521"/>
      <c r="FX120" s="521"/>
      <c r="FY120" s="521"/>
      <c r="FZ120" s="521"/>
      <c r="GA120" s="521"/>
      <c r="GB120" s="521"/>
      <c r="GC120" s="521"/>
      <c r="GD120" s="521"/>
      <c r="GE120" s="521"/>
      <c r="GF120" s="521"/>
      <c r="GG120" s="521"/>
      <c r="GH120" s="521"/>
      <c r="GI120" s="521"/>
      <c r="GJ120" s="521"/>
      <c r="GK120" s="521"/>
      <c r="GL120" s="521"/>
      <c r="GM120" s="521"/>
      <c r="GN120" s="521"/>
      <c r="GO120" s="521"/>
      <c r="GP120" s="521"/>
      <c r="GQ120" s="521"/>
      <c r="GR120" s="521"/>
      <c r="GS120" s="521"/>
      <c r="GT120" s="521"/>
      <c r="GU120" s="521"/>
      <c r="GV120" s="521"/>
      <c r="GW120" s="521"/>
      <c r="GX120" s="521"/>
      <c r="GY120" s="521"/>
      <c r="GZ120" s="521"/>
      <c r="HA120" s="521"/>
      <c r="HB120" s="521"/>
      <c r="HC120" s="521"/>
      <c r="HD120" s="521"/>
      <c r="HE120" s="521"/>
      <c r="HF120" s="521"/>
      <c r="HG120" s="521"/>
      <c r="HH120" s="521"/>
      <c r="HI120" s="521"/>
      <c r="HJ120" s="521"/>
      <c r="HK120" s="521"/>
      <c r="HL120" s="521"/>
      <c r="HM120" s="521"/>
      <c r="HN120" s="521"/>
      <c r="HO120" s="521"/>
      <c r="HP120" s="521"/>
      <c r="HQ120" s="521"/>
      <c r="HR120" s="521"/>
      <c r="HS120" s="521"/>
      <c r="HT120" s="521"/>
      <c r="HU120" s="521"/>
      <c r="HV120" s="521"/>
      <c r="HW120" s="521"/>
      <c r="HX120" s="521"/>
      <c r="HY120" s="521"/>
      <c r="HZ120" s="521"/>
      <c r="IA120" s="521"/>
      <c r="IB120" s="521"/>
      <c r="IC120" s="521"/>
      <c r="ID120" s="521"/>
      <c r="IE120" s="521"/>
      <c r="IF120" s="521"/>
      <c r="IG120" s="521"/>
      <c r="IH120" s="521"/>
      <c r="II120" s="521"/>
      <c r="IJ120" s="521"/>
      <c r="IK120" s="521"/>
      <c r="IL120" s="521"/>
      <c r="IM120" s="521"/>
      <c r="IN120" s="521"/>
    </row>
    <row r="121" spans="1:248" s="508" customFormat="1" ht="12.75">
      <c r="A121" s="510"/>
      <c r="B121" s="510"/>
      <c r="C121" s="510"/>
      <c r="D121" s="510"/>
      <c r="E121" s="510"/>
      <c r="F121" s="510"/>
      <c r="G121" s="510"/>
      <c r="H121" s="510"/>
      <c r="I121" s="510"/>
      <c r="J121" s="510"/>
      <c r="K121" s="510"/>
      <c r="L121" s="510"/>
      <c r="M121" s="510"/>
      <c r="N121" s="510"/>
      <c r="O121" s="510"/>
      <c r="P121" s="510"/>
      <c r="Q121" s="510"/>
      <c r="R121" s="510"/>
      <c r="S121" s="510"/>
      <c r="T121" s="510"/>
      <c r="U121" s="510"/>
      <c r="V121" s="510"/>
      <c r="W121" s="510"/>
      <c r="X121" s="510"/>
      <c r="Y121" s="510"/>
      <c r="Z121" s="510"/>
      <c r="AA121" s="510"/>
      <c r="AB121" s="510"/>
      <c r="AC121" s="510"/>
      <c r="AD121" s="510"/>
      <c r="AE121" s="510"/>
      <c r="AF121" s="510"/>
      <c r="AG121" s="510"/>
      <c r="AH121" s="489"/>
      <c r="AI121" s="510"/>
      <c r="AJ121" s="510"/>
      <c r="AK121" s="510"/>
      <c r="AL121" s="510"/>
      <c r="AM121" s="510"/>
      <c r="AN121" s="510"/>
      <c r="AO121" s="510"/>
      <c r="AP121" s="510"/>
      <c r="AQ121" s="510"/>
      <c r="AR121" s="510"/>
      <c r="AS121" s="510"/>
      <c r="AT121" s="510"/>
      <c r="AU121" s="510"/>
      <c r="AV121" s="510"/>
      <c r="AW121" s="510"/>
      <c r="AX121" s="510"/>
      <c r="AY121" s="510"/>
      <c r="AZ121" s="510"/>
      <c r="BA121" s="510"/>
      <c r="BB121" s="510"/>
      <c r="BC121" s="510"/>
      <c r="BD121" s="510"/>
      <c r="BE121" s="510"/>
      <c r="BF121" s="510"/>
      <c r="BG121" s="510"/>
      <c r="BH121" s="510"/>
      <c r="BI121" s="510"/>
      <c r="BJ121" s="510"/>
      <c r="BK121" s="510"/>
      <c r="BL121" s="510"/>
      <c r="BM121" s="510"/>
      <c r="BN121" s="510"/>
      <c r="BO121" s="510"/>
      <c r="BP121" s="510"/>
      <c r="BQ121" s="510"/>
      <c r="BR121" s="510"/>
      <c r="BS121" s="510"/>
      <c r="BT121" s="510"/>
      <c r="BU121" s="510"/>
      <c r="BV121" s="510"/>
      <c r="BW121" s="510"/>
      <c r="BX121" s="510"/>
      <c r="BY121" s="510"/>
      <c r="BZ121" s="510"/>
      <c r="CA121" s="510"/>
      <c r="CB121" s="510"/>
      <c r="CC121" s="510"/>
      <c r="CD121" s="510"/>
      <c r="CE121" s="510"/>
      <c r="CF121" s="510"/>
      <c r="CG121" s="510"/>
      <c r="CH121" s="510"/>
      <c r="CI121" s="510"/>
      <c r="CJ121" s="510"/>
      <c r="CK121" s="510"/>
      <c r="CL121" s="510"/>
      <c r="CM121" s="510"/>
      <c r="CN121" s="510"/>
      <c r="CO121" s="510"/>
      <c r="CP121" s="510"/>
      <c r="CQ121" s="510"/>
      <c r="CR121" s="510"/>
      <c r="CS121" s="510"/>
      <c r="CT121" s="510"/>
      <c r="CU121" s="510"/>
      <c r="CV121" s="510"/>
      <c r="CW121" s="510"/>
      <c r="CX121" s="510"/>
      <c r="CY121" s="510"/>
      <c r="CZ121" s="510"/>
      <c r="DA121" s="510"/>
      <c r="DB121" s="510"/>
      <c r="DC121" s="510"/>
      <c r="DD121" s="510"/>
      <c r="DE121" s="510"/>
      <c r="DF121" s="510"/>
      <c r="DG121" s="510"/>
      <c r="DH121" s="510"/>
      <c r="DI121" s="510"/>
      <c r="DJ121" s="510"/>
      <c r="DK121" s="510"/>
      <c r="DL121" s="510"/>
      <c r="DM121" s="510"/>
      <c r="DN121" s="510"/>
      <c r="DO121" s="510"/>
      <c r="DP121" s="510"/>
      <c r="DQ121" s="510"/>
      <c r="DR121" s="510"/>
      <c r="DS121" s="510"/>
      <c r="DT121" s="510"/>
      <c r="DU121" s="510"/>
      <c r="DV121" s="510"/>
      <c r="DW121" s="510"/>
      <c r="DX121" s="510"/>
      <c r="DY121" s="510"/>
      <c r="DZ121" s="510"/>
      <c r="EA121" s="510"/>
      <c r="EB121" s="510"/>
      <c r="EC121" s="510"/>
      <c r="ED121" s="510"/>
      <c r="EE121" s="510"/>
      <c r="EF121" s="510"/>
      <c r="EG121" s="510"/>
      <c r="EH121" s="510"/>
      <c r="EI121" s="510"/>
      <c r="EJ121" s="510"/>
      <c r="EK121" s="510"/>
      <c r="EL121" s="510"/>
      <c r="EM121" s="510"/>
      <c r="EN121" s="510"/>
      <c r="EO121" s="510"/>
      <c r="EP121" s="510"/>
      <c r="EQ121" s="510"/>
      <c r="ER121" s="510"/>
      <c r="ES121" s="510"/>
      <c r="ET121" s="521"/>
      <c r="EU121" s="521"/>
      <c r="EV121" s="521"/>
      <c r="EW121" s="521"/>
      <c r="EX121" s="521"/>
      <c r="EY121" s="521"/>
      <c r="EZ121" s="521"/>
      <c r="FA121" s="521"/>
      <c r="FB121" s="521"/>
      <c r="FC121" s="521"/>
      <c r="FD121" s="521"/>
      <c r="FE121" s="521"/>
      <c r="FF121" s="521"/>
      <c r="FG121" s="521"/>
      <c r="FH121" s="521"/>
      <c r="FI121" s="521"/>
      <c r="FJ121" s="521"/>
      <c r="FK121" s="521"/>
      <c r="FL121" s="521"/>
      <c r="FM121" s="521"/>
      <c r="FN121" s="521"/>
      <c r="FO121" s="521"/>
      <c r="FP121" s="521"/>
      <c r="FQ121" s="521"/>
      <c r="FR121" s="521"/>
      <c r="FS121" s="521"/>
      <c r="FT121" s="521"/>
      <c r="FU121" s="521"/>
      <c r="FV121" s="521"/>
      <c r="FW121" s="521"/>
      <c r="FX121" s="521"/>
      <c r="FY121" s="521"/>
      <c r="FZ121" s="521"/>
      <c r="GA121" s="521"/>
      <c r="GB121" s="521"/>
      <c r="GC121" s="521"/>
      <c r="GD121" s="521"/>
      <c r="GE121" s="521"/>
      <c r="GF121" s="521"/>
      <c r="GG121" s="521"/>
      <c r="GH121" s="521"/>
      <c r="GI121" s="521"/>
      <c r="GJ121" s="521"/>
      <c r="GK121" s="521"/>
      <c r="GL121" s="521"/>
      <c r="GM121" s="521"/>
      <c r="GN121" s="521"/>
      <c r="GO121" s="521"/>
      <c r="GP121" s="521"/>
      <c r="GQ121" s="521"/>
      <c r="GR121" s="521"/>
      <c r="GS121" s="521"/>
      <c r="GT121" s="521"/>
      <c r="GU121" s="521"/>
      <c r="GV121" s="521"/>
      <c r="GW121" s="521"/>
      <c r="GX121" s="521"/>
      <c r="GY121" s="521"/>
      <c r="GZ121" s="521"/>
      <c r="HA121" s="521"/>
      <c r="HB121" s="521"/>
      <c r="HC121" s="521"/>
      <c r="HD121" s="521"/>
      <c r="HE121" s="521"/>
      <c r="HF121" s="521"/>
      <c r="HG121" s="521"/>
      <c r="HH121" s="521"/>
      <c r="HI121" s="521"/>
      <c r="HJ121" s="521"/>
      <c r="HK121" s="521"/>
      <c r="HL121" s="521"/>
      <c r="HM121" s="521"/>
      <c r="HN121" s="521"/>
      <c r="HO121" s="521"/>
      <c r="HP121" s="521"/>
      <c r="HQ121" s="521"/>
      <c r="HR121" s="521"/>
      <c r="HS121" s="521"/>
      <c r="HT121" s="521"/>
      <c r="HU121" s="521"/>
      <c r="HV121" s="521"/>
      <c r="HW121" s="521"/>
      <c r="HX121" s="521"/>
      <c r="HY121" s="521"/>
      <c r="HZ121" s="521"/>
      <c r="IA121" s="521"/>
      <c r="IB121" s="521"/>
      <c r="IC121" s="521"/>
      <c r="ID121" s="521"/>
      <c r="IE121" s="521"/>
      <c r="IF121" s="521"/>
      <c r="IG121" s="521"/>
      <c r="IH121" s="521"/>
      <c r="II121" s="521"/>
      <c r="IJ121" s="521"/>
      <c r="IK121" s="521"/>
      <c r="IL121" s="521"/>
      <c r="IM121" s="521"/>
      <c r="IN121" s="521"/>
    </row>
    <row r="122" spans="1:248" s="508" customFormat="1" ht="12.75">
      <c r="A122" s="513" t="s">
        <v>369</v>
      </c>
      <c r="B122" s="509"/>
      <c r="C122" s="509"/>
      <c r="D122" s="509"/>
      <c r="E122" s="509"/>
      <c r="F122" s="509"/>
      <c r="G122" s="509"/>
      <c r="H122" s="509"/>
      <c r="I122" s="509"/>
      <c r="J122" s="509"/>
      <c r="K122" s="509"/>
      <c r="L122" s="509"/>
      <c r="M122" s="509"/>
      <c r="N122" s="509"/>
      <c r="O122" s="509"/>
      <c r="P122" s="509"/>
      <c r="Q122" s="509"/>
      <c r="R122" s="509"/>
      <c r="S122" s="509"/>
      <c r="T122" s="509"/>
      <c r="U122" s="509"/>
      <c r="V122" s="509"/>
      <c r="W122" s="509"/>
      <c r="X122" s="509"/>
      <c r="Y122" s="509"/>
      <c r="Z122" s="509"/>
      <c r="AA122" s="509"/>
      <c r="AB122" s="509"/>
      <c r="AC122" s="509"/>
      <c r="AD122" s="509"/>
      <c r="AE122" s="509"/>
      <c r="AF122" s="510"/>
      <c r="AG122" s="489"/>
      <c r="AH122" s="510"/>
      <c r="AI122" s="489"/>
      <c r="AJ122" s="511"/>
      <c r="AK122" s="511"/>
      <c r="AL122" s="511"/>
      <c r="AM122" s="511"/>
      <c r="AN122" s="511"/>
      <c r="AO122" s="511"/>
      <c r="AP122" s="511"/>
      <c r="AQ122" s="511"/>
      <c r="AR122" s="511"/>
      <c r="AS122" s="511"/>
      <c r="AT122" s="511"/>
      <c r="AU122" s="511"/>
      <c r="AV122" s="511"/>
      <c r="AW122" s="511"/>
      <c r="AX122" s="511"/>
      <c r="AY122" s="511"/>
      <c r="AZ122" s="511"/>
      <c r="BA122" s="511"/>
      <c r="BB122" s="511"/>
      <c r="BC122" s="511"/>
      <c r="BD122" s="511"/>
      <c r="BE122" s="511"/>
      <c r="BF122" s="511"/>
      <c r="BG122" s="511"/>
      <c r="BH122" s="511"/>
      <c r="BI122" s="511"/>
      <c r="BJ122" s="511"/>
      <c r="BK122" s="511"/>
      <c r="BL122" s="511"/>
      <c r="BM122" s="511"/>
      <c r="BN122" s="511"/>
      <c r="BO122" s="511"/>
      <c r="BP122" s="511"/>
      <c r="BQ122" s="511"/>
      <c r="BR122" s="511"/>
      <c r="BS122" s="511"/>
      <c r="BT122" s="511"/>
      <c r="BU122" s="511"/>
      <c r="BV122" s="511"/>
      <c r="BW122" s="511"/>
      <c r="BX122" s="511"/>
      <c r="BY122" s="511"/>
      <c r="BZ122" s="511"/>
      <c r="CA122" s="511"/>
      <c r="CB122" s="511"/>
      <c r="CC122" s="511"/>
      <c r="CD122" s="511"/>
      <c r="CE122" s="511"/>
      <c r="CF122" s="511"/>
      <c r="CG122" s="511"/>
      <c r="CH122" s="511"/>
      <c r="CI122" s="511"/>
      <c r="CJ122" s="511"/>
      <c r="CK122" s="511"/>
      <c r="CL122" s="511"/>
      <c r="CM122" s="511"/>
      <c r="CN122" s="511"/>
      <c r="CO122" s="511"/>
      <c r="CP122" s="511"/>
      <c r="CQ122" s="511"/>
      <c r="CR122" s="511"/>
      <c r="CS122" s="511"/>
      <c r="CT122" s="511"/>
      <c r="CU122" s="511"/>
      <c r="CV122" s="511"/>
      <c r="CW122" s="511"/>
      <c r="CX122" s="511"/>
      <c r="CY122" s="511"/>
      <c r="CZ122" s="511"/>
      <c r="DA122" s="511"/>
      <c r="DB122" s="511"/>
      <c r="DC122" s="511"/>
      <c r="DD122" s="511"/>
      <c r="DE122" s="511"/>
      <c r="DF122" s="511"/>
      <c r="DG122" s="511"/>
      <c r="DH122" s="511"/>
      <c r="DI122" s="511"/>
      <c r="DJ122" s="511"/>
      <c r="DK122" s="511"/>
      <c r="DL122" s="511"/>
      <c r="DM122" s="511"/>
      <c r="DN122" s="511"/>
      <c r="DO122" s="511"/>
      <c r="DP122" s="511"/>
      <c r="DQ122" s="511"/>
      <c r="DR122" s="511"/>
      <c r="DS122" s="511"/>
      <c r="DT122" s="511"/>
      <c r="DU122" s="511"/>
      <c r="DV122" s="511"/>
      <c r="DW122" s="511"/>
      <c r="DX122" s="511"/>
      <c r="DY122" s="511"/>
      <c r="DZ122" s="511"/>
      <c r="EA122" s="511"/>
      <c r="EB122" s="511"/>
      <c r="EC122" s="511"/>
      <c r="ED122" s="511"/>
      <c r="EE122" s="511"/>
      <c r="EF122" s="511"/>
      <c r="EG122" s="511"/>
      <c r="EH122" s="511"/>
      <c r="EI122" s="511"/>
      <c r="EJ122" s="511"/>
      <c r="EK122" s="511"/>
      <c r="EL122" s="511"/>
      <c r="EM122" s="511"/>
      <c r="EN122" s="511"/>
      <c r="EO122" s="511"/>
      <c r="EP122" s="511"/>
      <c r="EQ122" s="511"/>
      <c r="ER122" s="511"/>
      <c r="ES122" s="511"/>
      <c r="ET122" s="521"/>
      <c r="EU122" s="521"/>
      <c r="EV122" s="521"/>
      <c r="EW122" s="521"/>
      <c r="EX122" s="521"/>
      <c r="EY122" s="521"/>
      <c r="EZ122" s="521"/>
      <c r="FA122" s="521"/>
      <c r="FB122" s="521"/>
      <c r="FC122" s="521"/>
      <c r="FD122" s="521"/>
      <c r="FE122" s="521"/>
      <c r="FF122" s="521"/>
      <c r="FG122" s="521"/>
      <c r="FH122" s="521"/>
      <c r="FI122" s="521"/>
      <c r="FJ122" s="521"/>
      <c r="FK122" s="521"/>
      <c r="FL122" s="521"/>
      <c r="FM122" s="521"/>
      <c r="FN122" s="521"/>
      <c r="FO122" s="521"/>
      <c r="FP122" s="521"/>
      <c r="FQ122" s="521"/>
      <c r="FR122" s="521"/>
      <c r="FS122" s="521"/>
      <c r="FT122" s="521"/>
      <c r="FU122" s="521"/>
      <c r="FV122" s="521"/>
      <c r="FW122" s="521"/>
      <c r="FX122" s="521"/>
      <c r="FY122" s="521"/>
      <c r="FZ122" s="521"/>
      <c r="GA122" s="521"/>
      <c r="GB122" s="521"/>
      <c r="GC122" s="521"/>
      <c r="GD122" s="521"/>
      <c r="GE122" s="521"/>
      <c r="GF122" s="521"/>
      <c r="GG122" s="521"/>
      <c r="GH122" s="521"/>
      <c r="GI122" s="521"/>
      <c r="GJ122" s="521"/>
      <c r="GK122" s="521"/>
      <c r="GL122" s="521"/>
      <c r="GM122" s="521"/>
      <c r="GN122" s="521"/>
      <c r="GO122" s="521"/>
      <c r="GP122" s="521"/>
      <c r="GQ122" s="521"/>
      <c r="GR122" s="521"/>
      <c r="GS122" s="521"/>
      <c r="GT122" s="521"/>
      <c r="GU122" s="521"/>
      <c r="GV122" s="521"/>
      <c r="GW122" s="521"/>
      <c r="GX122" s="521"/>
      <c r="GY122" s="521"/>
      <c r="GZ122" s="521"/>
      <c r="HA122" s="521"/>
      <c r="HB122" s="521"/>
      <c r="HC122" s="521"/>
      <c r="HD122" s="521"/>
      <c r="HE122" s="521"/>
      <c r="HF122" s="521"/>
      <c r="HG122" s="521"/>
      <c r="HH122" s="521"/>
      <c r="HI122" s="521"/>
      <c r="HJ122" s="521"/>
      <c r="HK122" s="521"/>
      <c r="HL122" s="521"/>
      <c r="HM122" s="521"/>
      <c r="HN122" s="521"/>
      <c r="HO122" s="521"/>
      <c r="HP122" s="521"/>
      <c r="HQ122" s="521"/>
      <c r="HR122" s="521"/>
      <c r="HS122" s="521"/>
      <c r="HT122" s="521"/>
      <c r="HU122" s="521"/>
      <c r="HV122" s="521"/>
      <c r="HW122" s="521"/>
      <c r="HX122" s="521"/>
      <c r="HY122" s="521"/>
      <c r="HZ122" s="521"/>
      <c r="IA122" s="521"/>
      <c r="IB122" s="521"/>
      <c r="IC122" s="521"/>
      <c r="ID122" s="521"/>
      <c r="IE122" s="521"/>
      <c r="IF122" s="521"/>
      <c r="IG122" s="521"/>
      <c r="IH122" s="521"/>
      <c r="II122" s="521"/>
      <c r="IJ122" s="521"/>
      <c r="IK122" s="521"/>
      <c r="IL122" s="521"/>
      <c r="IM122" s="521"/>
      <c r="IN122" s="521"/>
    </row>
    <row r="123" spans="1:248" s="508" customFormat="1" ht="12.75">
      <c r="A123" s="517"/>
      <c r="B123" s="517"/>
      <c r="C123" s="517"/>
      <c r="D123" s="517"/>
      <c r="E123" s="517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 s="517"/>
      <c r="AE123" s="517"/>
      <c r="AF123" s="517"/>
      <c r="AG123" s="517"/>
      <c r="AH123" s="519"/>
      <c r="AI123" s="517"/>
      <c r="AJ123" s="517"/>
      <c r="AK123" s="517"/>
      <c r="AL123" s="517"/>
      <c r="AM123" s="517"/>
      <c r="AN123" s="517"/>
      <c r="AO123" s="517"/>
      <c r="AP123" s="517"/>
      <c r="AQ123" s="517"/>
      <c r="AR123" s="517"/>
      <c r="AS123" s="517"/>
      <c r="AT123" s="517"/>
      <c r="AU123" s="517"/>
      <c r="AV123" s="517"/>
      <c r="AW123" s="517"/>
      <c r="AX123" s="517"/>
      <c r="AY123" s="517"/>
      <c r="AZ123" s="517"/>
      <c r="BA123" s="517"/>
      <c r="BB123" s="517"/>
      <c r="BC123" s="517"/>
      <c r="BD123" s="517"/>
      <c r="BE123" s="517"/>
      <c r="BF123" s="517"/>
      <c r="BG123" s="517"/>
      <c r="BH123" s="517"/>
      <c r="BI123" s="517"/>
      <c r="BJ123" s="517"/>
      <c r="BK123" s="517"/>
      <c r="BL123" s="517"/>
      <c r="BM123" s="517"/>
      <c r="BN123" s="517"/>
      <c r="BO123" s="517"/>
      <c r="BP123" s="517"/>
      <c r="BQ123" s="517"/>
      <c r="BR123" s="517"/>
      <c r="BS123" s="517"/>
      <c r="BT123" s="517"/>
      <c r="BU123" s="517"/>
      <c r="BV123" s="517"/>
      <c r="BW123" s="517"/>
      <c r="BX123" s="517"/>
      <c r="BY123" s="517"/>
      <c r="BZ123" s="517"/>
      <c r="CA123" s="517"/>
      <c r="CB123" s="517"/>
      <c r="CC123" s="517"/>
      <c r="CD123" s="517"/>
      <c r="CE123" s="517"/>
      <c r="CF123" s="517"/>
      <c r="CG123" s="517"/>
      <c r="CH123" s="517"/>
      <c r="CI123" s="517"/>
      <c r="CJ123" s="517"/>
      <c r="CK123" s="517"/>
      <c r="CL123" s="517"/>
      <c r="CM123" s="517"/>
      <c r="CN123" s="517"/>
      <c r="CO123" s="517"/>
      <c r="CP123" s="517"/>
      <c r="CQ123" s="517"/>
      <c r="CR123" s="517"/>
      <c r="CS123" s="517"/>
      <c r="CT123" s="517"/>
      <c r="CU123" s="517"/>
      <c r="CV123" s="517"/>
      <c r="CW123" s="517"/>
      <c r="CX123" s="517"/>
      <c r="CY123" s="517"/>
      <c r="CZ123" s="517"/>
      <c r="DA123" s="517"/>
      <c r="DB123" s="517"/>
      <c r="DC123" s="517"/>
      <c r="DD123" s="517"/>
      <c r="DE123" s="517"/>
      <c r="DF123" s="517"/>
      <c r="DG123" s="517"/>
      <c r="DH123" s="517"/>
      <c r="DI123" s="517"/>
      <c r="DJ123" s="517"/>
      <c r="DK123" s="517"/>
      <c r="DL123" s="517"/>
      <c r="DM123" s="517"/>
      <c r="DN123" s="517"/>
      <c r="DO123" s="517"/>
      <c r="DP123" s="517"/>
      <c r="DQ123" s="517"/>
      <c r="DR123" s="517"/>
      <c r="DS123" s="517"/>
      <c r="DT123" s="517"/>
      <c r="DU123" s="517"/>
      <c r="DV123" s="517"/>
      <c r="DW123" s="517"/>
      <c r="DX123" s="517"/>
      <c r="DY123" s="517"/>
      <c r="DZ123" s="517"/>
      <c r="EA123" s="517"/>
      <c r="EB123" s="517"/>
      <c r="EC123" s="517"/>
      <c r="ED123" s="517"/>
      <c r="EE123" s="517"/>
      <c r="EF123" s="517"/>
      <c r="EG123" s="517"/>
      <c r="EH123" s="517"/>
      <c r="EI123" s="517"/>
      <c r="EJ123" s="517"/>
      <c r="EK123" s="517"/>
      <c r="EL123" s="517"/>
      <c r="EM123" s="517"/>
      <c r="EN123" s="517"/>
      <c r="EO123" s="517"/>
      <c r="EP123" s="517"/>
      <c r="EQ123" s="517"/>
      <c r="ER123" s="517"/>
      <c r="ES123" s="517"/>
      <c r="ET123" s="521"/>
      <c r="EU123" s="521"/>
      <c r="EV123" s="521"/>
      <c r="EW123" s="521"/>
      <c r="EX123" s="521"/>
      <c r="EY123" s="521"/>
      <c r="EZ123" s="521"/>
      <c r="FA123" s="521"/>
      <c r="FB123" s="521"/>
      <c r="FC123" s="521"/>
      <c r="FD123" s="521"/>
      <c r="FE123" s="521"/>
      <c r="FF123" s="521"/>
      <c r="FG123" s="521"/>
      <c r="FH123" s="521"/>
      <c r="FI123" s="521"/>
      <c r="FJ123" s="521"/>
      <c r="FK123" s="521"/>
      <c r="FL123" s="521"/>
      <c r="FM123" s="521"/>
      <c r="FN123" s="521"/>
      <c r="FO123" s="521"/>
      <c r="FP123" s="521"/>
      <c r="FQ123" s="521"/>
      <c r="FR123" s="521"/>
      <c r="FS123" s="521"/>
      <c r="FT123" s="521"/>
      <c r="FU123" s="521"/>
      <c r="FV123" s="521"/>
      <c r="FW123" s="521"/>
      <c r="FX123" s="521"/>
      <c r="FY123" s="521"/>
      <c r="FZ123" s="521"/>
      <c r="GA123" s="521"/>
      <c r="GB123" s="521"/>
      <c r="GC123" s="521"/>
      <c r="GD123" s="521"/>
      <c r="GE123" s="521"/>
      <c r="GF123" s="521"/>
      <c r="GG123" s="521"/>
      <c r="GH123" s="521"/>
      <c r="GI123" s="521"/>
      <c r="GJ123" s="521"/>
      <c r="GK123" s="521"/>
      <c r="GL123" s="521"/>
      <c r="GM123" s="521"/>
      <c r="GN123" s="521"/>
      <c r="GO123" s="521"/>
      <c r="GP123" s="521"/>
      <c r="GQ123" s="521"/>
      <c r="GR123" s="521"/>
      <c r="GS123" s="521"/>
      <c r="GT123" s="521"/>
      <c r="GU123" s="521"/>
      <c r="GV123" s="521"/>
      <c r="GW123" s="521"/>
      <c r="GX123" s="521"/>
      <c r="GY123" s="521"/>
      <c r="GZ123" s="521"/>
      <c r="HA123" s="521"/>
      <c r="HB123" s="521"/>
      <c r="HC123" s="521"/>
      <c r="HD123" s="521"/>
      <c r="HE123" s="521"/>
      <c r="HF123" s="521"/>
      <c r="HG123" s="521"/>
      <c r="HH123" s="521"/>
      <c r="HI123" s="521"/>
      <c r="HJ123" s="521"/>
      <c r="HK123" s="521"/>
      <c r="HL123" s="521"/>
      <c r="HM123" s="521"/>
      <c r="HN123" s="521"/>
      <c r="HO123" s="521"/>
      <c r="HP123" s="521"/>
      <c r="HQ123" s="521"/>
      <c r="HR123" s="521"/>
      <c r="HS123" s="521"/>
      <c r="HT123" s="521"/>
      <c r="HU123" s="521"/>
      <c r="HV123" s="521"/>
      <c r="HW123" s="521"/>
      <c r="HX123" s="521"/>
      <c r="HY123" s="521"/>
      <c r="HZ123" s="521"/>
      <c r="IA123" s="521"/>
      <c r="IB123" s="521"/>
      <c r="IC123" s="521"/>
      <c r="ID123" s="521"/>
      <c r="IE123" s="521"/>
      <c r="IF123" s="521"/>
      <c r="IG123" s="521"/>
      <c r="IH123" s="521"/>
      <c r="II123" s="521"/>
      <c r="IJ123" s="521"/>
      <c r="IK123" s="521"/>
      <c r="IL123" s="521"/>
      <c r="IM123" s="521"/>
      <c r="IN123" s="521"/>
    </row>
    <row r="124" spans="1:248" s="508" customFormat="1" ht="12.75">
      <c r="A124" s="517"/>
      <c r="B124" s="517"/>
      <c r="C124" s="517"/>
      <c r="D124" s="517"/>
      <c r="E124" s="517"/>
      <c r="F124" s="517"/>
      <c r="G124" s="517"/>
      <c r="H124" s="517"/>
      <c r="I124" s="517"/>
      <c r="J124" s="517"/>
      <c r="K124" s="517"/>
      <c r="L124" s="517"/>
      <c r="M124" s="517"/>
      <c r="N124" s="517"/>
      <c r="O124" s="517"/>
      <c r="P124" s="517"/>
      <c r="Q124" s="517"/>
      <c r="R124" s="517"/>
      <c r="S124" s="517"/>
      <c r="T124" s="517"/>
      <c r="U124" s="517"/>
      <c r="V124" s="517"/>
      <c r="W124" s="517"/>
      <c r="X124" s="517"/>
      <c r="Y124" s="517"/>
      <c r="Z124" s="517"/>
      <c r="AA124" s="517"/>
      <c r="AB124" s="517"/>
      <c r="AC124" s="517"/>
      <c r="AD124" s="517"/>
      <c r="AE124" s="517"/>
      <c r="AF124" s="517"/>
      <c r="AG124" s="517"/>
      <c r="AH124" s="519"/>
      <c r="AI124" s="517"/>
      <c r="AJ124" s="517"/>
      <c r="AK124" s="517"/>
      <c r="AL124" s="517"/>
      <c r="AM124" s="517"/>
      <c r="AN124" s="517"/>
      <c r="AO124" s="517"/>
      <c r="AP124" s="517"/>
      <c r="AQ124" s="517"/>
      <c r="AR124" s="517"/>
      <c r="AS124" s="517"/>
      <c r="AT124" s="517"/>
      <c r="AU124" s="517"/>
      <c r="AV124" s="517"/>
      <c r="AW124" s="517"/>
      <c r="AX124" s="517"/>
      <c r="AY124" s="517"/>
      <c r="AZ124" s="517"/>
      <c r="BA124" s="517"/>
      <c r="BB124" s="517"/>
      <c r="BC124" s="517"/>
      <c r="BD124" s="517"/>
      <c r="BE124" s="517"/>
      <c r="BF124" s="517"/>
      <c r="BG124" s="517"/>
      <c r="BH124" s="517"/>
      <c r="BI124" s="517"/>
      <c r="BJ124" s="517"/>
      <c r="BK124" s="517"/>
      <c r="BL124" s="517"/>
      <c r="BM124" s="517"/>
      <c r="BN124" s="517"/>
      <c r="BO124" s="517"/>
      <c r="BP124" s="517"/>
      <c r="BQ124" s="517"/>
      <c r="BR124" s="517"/>
      <c r="BS124" s="517"/>
      <c r="BT124" s="517"/>
      <c r="BU124" s="517"/>
      <c r="BV124" s="517"/>
      <c r="BW124" s="517"/>
      <c r="BX124" s="517"/>
      <c r="BY124" s="517"/>
      <c r="BZ124" s="517"/>
      <c r="CA124" s="517"/>
      <c r="CB124" s="517"/>
      <c r="CC124" s="517"/>
      <c r="CD124" s="517"/>
      <c r="CE124" s="517"/>
      <c r="CF124" s="517"/>
      <c r="CG124" s="517"/>
      <c r="CH124" s="517"/>
      <c r="CI124" s="517"/>
      <c r="CJ124" s="517"/>
      <c r="CK124" s="517"/>
      <c r="CL124" s="517"/>
      <c r="CM124" s="517"/>
      <c r="CN124" s="517"/>
      <c r="CO124" s="517"/>
      <c r="CP124" s="517"/>
      <c r="CQ124" s="517"/>
      <c r="CR124" s="517"/>
      <c r="CS124" s="517"/>
      <c r="CT124" s="517"/>
      <c r="CU124" s="517"/>
      <c r="CV124" s="517"/>
      <c r="CW124" s="517"/>
      <c r="CX124" s="517"/>
      <c r="CY124" s="517"/>
      <c r="CZ124" s="517"/>
      <c r="DA124" s="517"/>
      <c r="DB124" s="517"/>
      <c r="DC124" s="517"/>
      <c r="DD124" s="517"/>
      <c r="DE124" s="517"/>
      <c r="DF124" s="517"/>
      <c r="DG124" s="517"/>
      <c r="DH124" s="517"/>
      <c r="DI124" s="517"/>
      <c r="DJ124" s="517"/>
      <c r="DK124" s="517"/>
      <c r="DL124" s="517"/>
      <c r="DM124" s="517"/>
      <c r="DN124" s="517"/>
      <c r="DO124" s="517"/>
      <c r="DP124" s="517"/>
      <c r="DQ124" s="517"/>
      <c r="DR124" s="517"/>
      <c r="DS124" s="517"/>
      <c r="DT124" s="517"/>
      <c r="DU124" s="517"/>
      <c r="DV124" s="517"/>
      <c r="DW124" s="517"/>
      <c r="DX124" s="517"/>
      <c r="DY124" s="517"/>
      <c r="DZ124" s="517"/>
      <c r="EA124" s="517"/>
      <c r="EB124" s="517"/>
      <c r="EC124" s="517"/>
      <c r="ED124" s="517"/>
      <c r="EE124" s="517"/>
      <c r="EF124" s="517"/>
      <c r="EG124" s="517"/>
      <c r="EH124" s="517"/>
      <c r="EI124" s="517"/>
      <c r="EJ124" s="517"/>
      <c r="EK124" s="517"/>
      <c r="EL124" s="517"/>
      <c r="EM124" s="517"/>
      <c r="EN124" s="517"/>
      <c r="EO124" s="517"/>
      <c r="EP124" s="517"/>
      <c r="EQ124" s="517"/>
      <c r="ER124" s="517"/>
      <c r="ES124" s="517"/>
      <c r="ET124" s="521"/>
      <c r="EU124" s="521"/>
      <c r="EV124" s="521"/>
      <c r="EW124" s="521"/>
      <c r="EX124" s="521"/>
      <c r="EY124" s="521"/>
      <c r="EZ124" s="521"/>
      <c r="FA124" s="521"/>
      <c r="FB124" s="521"/>
      <c r="FC124" s="521"/>
      <c r="FD124" s="521"/>
      <c r="FE124" s="521"/>
      <c r="FF124" s="521"/>
      <c r="FG124" s="521"/>
      <c r="FH124" s="521"/>
      <c r="FI124" s="521"/>
      <c r="FJ124" s="521"/>
      <c r="FK124" s="521"/>
      <c r="FL124" s="521"/>
      <c r="FM124" s="521"/>
      <c r="FN124" s="521"/>
      <c r="FO124" s="521"/>
      <c r="FP124" s="521"/>
      <c r="FQ124" s="521"/>
      <c r="FR124" s="521"/>
      <c r="FS124" s="521"/>
      <c r="FT124" s="521"/>
      <c r="FU124" s="521"/>
      <c r="FV124" s="521"/>
      <c r="FW124" s="521"/>
      <c r="FX124" s="521"/>
      <c r="FY124" s="521"/>
      <c r="FZ124" s="521"/>
      <c r="GA124" s="521"/>
      <c r="GB124" s="521"/>
      <c r="GC124" s="521"/>
      <c r="GD124" s="521"/>
      <c r="GE124" s="521"/>
      <c r="GF124" s="521"/>
      <c r="GG124" s="521"/>
      <c r="GH124" s="521"/>
      <c r="GI124" s="521"/>
      <c r="GJ124" s="521"/>
      <c r="GK124" s="521"/>
      <c r="GL124" s="521"/>
      <c r="GM124" s="521"/>
      <c r="GN124" s="521"/>
      <c r="GO124" s="521"/>
      <c r="GP124" s="521"/>
      <c r="GQ124" s="521"/>
      <c r="GR124" s="521"/>
      <c r="GS124" s="521"/>
      <c r="GT124" s="521"/>
      <c r="GU124" s="521"/>
      <c r="GV124" s="521"/>
      <c r="GW124" s="521"/>
      <c r="GX124" s="521"/>
      <c r="GY124" s="521"/>
      <c r="GZ124" s="521"/>
      <c r="HA124" s="521"/>
      <c r="HB124" s="521"/>
      <c r="HC124" s="521"/>
      <c r="HD124" s="521"/>
      <c r="HE124" s="521"/>
      <c r="HF124" s="521"/>
      <c r="HG124" s="521"/>
      <c r="HH124" s="521"/>
      <c r="HI124" s="521"/>
      <c r="HJ124" s="521"/>
      <c r="HK124" s="521"/>
      <c r="HL124" s="521"/>
      <c r="HM124" s="521"/>
      <c r="HN124" s="521"/>
      <c r="HO124" s="521"/>
      <c r="HP124" s="521"/>
      <c r="HQ124" s="521"/>
      <c r="HR124" s="521"/>
      <c r="HS124" s="521"/>
      <c r="HT124" s="521"/>
      <c r="HU124" s="521"/>
      <c r="HV124" s="521"/>
      <c r="HW124" s="521"/>
      <c r="HX124" s="521"/>
      <c r="HY124" s="521"/>
      <c r="HZ124" s="521"/>
      <c r="IA124" s="521"/>
      <c r="IB124" s="521"/>
      <c r="IC124" s="521"/>
      <c r="ID124" s="521"/>
      <c r="IE124" s="521"/>
      <c r="IF124" s="521"/>
      <c r="IG124" s="521"/>
      <c r="IH124" s="521"/>
      <c r="II124" s="521"/>
      <c r="IJ124" s="521"/>
      <c r="IK124" s="521"/>
      <c r="IL124" s="521"/>
      <c r="IM124" s="521"/>
      <c r="IN124" s="521"/>
    </row>
    <row r="125" spans="1:248" s="508" customFormat="1" ht="12.75">
      <c r="A125" s="510"/>
      <c r="B125" s="510"/>
      <c r="C125" s="510"/>
      <c r="D125" s="510"/>
      <c r="E125" s="510"/>
      <c r="F125" s="510"/>
      <c r="G125" s="510"/>
      <c r="H125" s="510"/>
      <c r="I125" s="510"/>
      <c r="J125" s="510"/>
      <c r="K125" s="510"/>
      <c r="L125" s="510"/>
      <c r="M125" s="510"/>
      <c r="N125" s="510"/>
      <c r="O125" s="510"/>
      <c r="P125" s="510"/>
      <c r="Q125" s="510"/>
      <c r="R125" s="510"/>
      <c r="S125" s="510"/>
      <c r="T125" s="510"/>
      <c r="U125" s="510"/>
      <c r="V125" s="510"/>
      <c r="W125" s="510"/>
      <c r="X125" s="510"/>
      <c r="Y125" s="510"/>
      <c r="Z125" s="510"/>
      <c r="AA125" s="510"/>
      <c r="AB125" s="510"/>
      <c r="AC125" s="510"/>
      <c r="AD125" s="510"/>
      <c r="AE125" s="510"/>
      <c r="AF125" s="510"/>
      <c r="AG125" s="510"/>
      <c r="AH125" s="518"/>
      <c r="AI125" s="510"/>
      <c r="AJ125" s="510"/>
      <c r="AK125" s="510"/>
      <c r="AL125" s="510"/>
      <c r="AM125" s="510"/>
      <c r="AN125" s="510"/>
      <c r="AO125" s="510"/>
      <c r="AP125" s="510"/>
      <c r="AQ125" s="510"/>
      <c r="AR125" s="510"/>
      <c r="AS125" s="510"/>
      <c r="AT125" s="510"/>
      <c r="AU125" s="510"/>
      <c r="AV125" s="510"/>
      <c r="AW125" s="510"/>
      <c r="AX125" s="510"/>
      <c r="AY125" s="510"/>
      <c r="AZ125" s="510"/>
      <c r="BA125" s="510"/>
      <c r="BB125" s="510"/>
      <c r="BC125" s="510"/>
      <c r="BD125" s="510"/>
      <c r="BE125" s="510"/>
      <c r="BF125" s="510"/>
      <c r="BG125" s="510"/>
      <c r="BH125" s="510"/>
      <c r="BI125" s="510"/>
      <c r="BJ125" s="510"/>
      <c r="BK125" s="510"/>
      <c r="BL125" s="510"/>
      <c r="BM125" s="510"/>
      <c r="BN125" s="510"/>
      <c r="BO125" s="510"/>
      <c r="BP125" s="510"/>
      <c r="BQ125" s="510"/>
      <c r="BR125" s="510"/>
      <c r="BS125" s="510"/>
      <c r="BT125" s="510"/>
      <c r="BU125" s="510"/>
      <c r="BV125" s="510"/>
      <c r="BW125" s="510"/>
      <c r="BX125" s="510"/>
      <c r="BY125" s="510"/>
      <c r="BZ125" s="510"/>
      <c r="CA125" s="510"/>
      <c r="CB125" s="510"/>
      <c r="CC125" s="510"/>
      <c r="CD125" s="510"/>
      <c r="CE125" s="510"/>
      <c r="CF125" s="510"/>
      <c r="CG125" s="510"/>
      <c r="CH125" s="510"/>
      <c r="CI125" s="510"/>
      <c r="CJ125" s="510"/>
      <c r="CK125" s="510"/>
      <c r="CL125" s="510"/>
      <c r="CM125" s="510"/>
      <c r="CN125" s="510"/>
      <c r="CO125" s="510"/>
      <c r="CP125" s="510"/>
      <c r="CQ125" s="510"/>
      <c r="CR125" s="510"/>
      <c r="CS125" s="510"/>
      <c r="CT125" s="510"/>
      <c r="CU125" s="510"/>
      <c r="CV125" s="510"/>
      <c r="CW125" s="510"/>
      <c r="CX125" s="510"/>
      <c r="CY125" s="510"/>
      <c r="CZ125" s="510"/>
      <c r="DA125" s="510"/>
      <c r="DB125" s="510"/>
      <c r="DC125" s="510"/>
      <c r="DD125" s="510"/>
      <c r="DE125" s="510"/>
      <c r="DF125" s="510"/>
      <c r="DG125" s="510"/>
      <c r="DH125" s="510"/>
      <c r="DI125" s="510"/>
      <c r="DJ125" s="510"/>
      <c r="DK125" s="510"/>
      <c r="DL125" s="510"/>
      <c r="DM125" s="510"/>
      <c r="DN125" s="510"/>
      <c r="DO125" s="510"/>
      <c r="DP125" s="510"/>
      <c r="DQ125" s="510"/>
      <c r="DR125" s="510"/>
      <c r="DS125" s="510"/>
      <c r="DT125" s="510"/>
      <c r="DU125" s="510"/>
      <c r="DV125" s="510"/>
      <c r="DW125" s="510"/>
      <c r="DX125" s="510"/>
      <c r="DY125" s="510"/>
      <c r="DZ125" s="510"/>
      <c r="EA125" s="510"/>
      <c r="EB125" s="510"/>
      <c r="EC125" s="510"/>
      <c r="ED125" s="510"/>
      <c r="EE125" s="510"/>
      <c r="EF125" s="510"/>
      <c r="EG125" s="510"/>
      <c r="EH125" s="510"/>
      <c r="EI125" s="510"/>
      <c r="EJ125" s="510"/>
      <c r="EK125" s="510"/>
      <c r="EL125" s="510"/>
      <c r="EM125" s="510"/>
      <c r="EN125" s="510"/>
      <c r="EO125" s="510"/>
      <c r="EP125" s="510"/>
      <c r="EQ125" s="510"/>
      <c r="ER125" s="510"/>
      <c r="ES125" s="510"/>
      <c r="ET125" s="521"/>
      <c r="EU125" s="521"/>
      <c r="EV125" s="521"/>
      <c r="EW125" s="521"/>
      <c r="EX125" s="521"/>
      <c r="EY125" s="521"/>
      <c r="EZ125" s="521"/>
      <c r="FA125" s="521"/>
      <c r="FB125" s="521"/>
      <c r="FC125" s="521"/>
      <c r="FD125" s="521"/>
      <c r="FE125" s="521"/>
      <c r="FF125" s="521"/>
      <c r="FG125" s="521"/>
      <c r="FH125" s="521"/>
      <c r="FI125" s="521"/>
      <c r="FJ125" s="521"/>
      <c r="FK125" s="521"/>
      <c r="FL125" s="521"/>
      <c r="FM125" s="521"/>
      <c r="FN125" s="521"/>
      <c r="FO125" s="521"/>
      <c r="FP125" s="521"/>
      <c r="FQ125" s="521"/>
      <c r="FR125" s="521"/>
      <c r="FS125" s="521"/>
      <c r="FT125" s="521"/>
      <c r="FU125" s="521"/>
      <c r="FV125" s="521"/>
      <c r="FW125" s="521"/>
      <c r="FX125" s="521"/>
      <c r="FY125" s="521"/>
      <c r="FZ125" s="521"/>
      <c r="GA125" s="521"/>
      <c r="GB125" s="521"/>
      <c r="GC125" s="521"/>
      <c r="GD125" s="521"/>
      <c r="GE125" s="521"/>
      <c r="GF125" s="521"/>
      <c r="GG125" s="521"/>
      <c r="GH125" s="521"/>
      <c r="GI125" s="521"/>
      <c r="GJ125" s="521"/>
      <c r="GK125" s="521"/>
      <c r="GL125" s="521"/>
      <c r="GM125" s="521"/>
      <c r="GN125" s="521"/>
      <c r="GO125" s="521"/>
      <c r="GP125" s="521"/>
      <c r="GQ125" s="521"/>
      <c r="GR125" s="521"/>
      <c r="GS125" s="521"/>
      <c r="GT125" s="521"/>
      <c r="GU125" s="521"/>
      <c r="GV125" s="521"/>
      <c r="GW125" s="521"/>
      <c r="GX125" s="521"/>
      <c r="GY125" s="521"/>
      <c r="GZ125" s="521"/>
      <c r="HA125" s="521"/>
      <c r="HB125" s="521"/>
      <c r="HC125" s="521"/>
      <c r="HD125" s="521"/>
      <c r="HE125" s="521"/>
      <c r="HF125" s="521"/>
      <c r="HG125" s="521"/>
      <c r="HH125" s="521"/>
      <c r="HI125" s="521"/>
      <c r="HJ125" s="521"/>
      <c r="HK125" s="521"/>
      <c r="HL125" s="521"/>
      <c r="HM125" s="521"/>
      <c r="HN125" s="521"/>
      <c r="HO125" s="521"/>
      <c r="HP125" s="521"/>
      <c r="HQ125" s="521"/>
      <c r="HR125" s="521"/>
      <c r="HS125" s="521"/>
      <c r="HT125" s="521"/>
      <c r="HU125" s="521"/>
      <c r="HV125" s="521"/>
      <c r="HW125" s="521"/>
      <c r="HX125" s="521"/>
      <c r="HY125" s="521"/>
      <c r="HZ125" s="521"/>
      <c r="IA125" s="521"/>
      <c r="IB125" s="521"/>
      <c r="IC125" s="521"/>
      <c r="ID125" s="521"/>
      <c r="IE125" s="521"/>
      <c r="IF125" s="521"/>
      <c r="IG125" s="521"/>
      <c r="IH125" s="521"/>
      <c r="II125" s="521"/>
      <c r="IJ125" s="521"/>
      <c r="IK125" s="521"/>
      <c r="IL125" s="521"/>
      <c r="IM125" s="521"/>
      <c r="IN125" s="521"/>
    </row>
    <row r="126" spans="1:248" s="508" customFormat="1" ht="12.75">
      <c r="A126" s="1727" t="s">
        <v>392</v>
      </c>
      <c r="B126" s="1727"/>
      <c r="C126" s="1727"/>
      <c r="D126" s="1727"/>
      <c r="E126" s="1727"/>
      <c r="F126" s="1727"/>
      <c r="G126" s="1727"/>
      <c r="H126" s="1727"/>
      <c r="I126" s="1727"/>
      <c r="J126" s="1727"/>
      <c r="K126" s="1727"/>
      <c r="L126" s="1727"/>
      <c r="M126" s="1727"/>
      <c r="N126" s="1727"/>
      <c r="O126" s="1727"/>
      <c r="P126" s="1727"/>
      <c r="Q126" s="1727"/>
      <c r="R126" s="1727"/>
      <c r="S126" s="1727"/>
      <c r="T126" s="1727"/>
      <c r="U126" s="1727"/>
      <c r="V126" s="1727"/>
      <c r="W126" s="1727"/>
      <c r="X126" s="1727"/>
      <c r="Y126" s="1727"/>
      <c r="Z126" s="1727"/>
      <c r="AA126" s="1727"/>
      <c r="AB126" s="1727"/>
      <c r="AC126" s="1727"/>
      <c r="AD126" s="1727"/>
      <c r="AE126" s="1727"/>
      <c r="AF126" s="1727"/>
      <c r="AG126" s="1727"/>
      <c r="AH126" s="507"/>
      <c r="AI126" s="506"/>
      <c r="AJ126" s="510"/>
      <c r="AK126" s="510"/>
      <c r="AL126" s="510"/>
      <c r="AM126" s="510"/>
      <c r="AN126" s="510"/>
      <c r="AO126" s="510"/>
      <c r="AP126" s="510"/>
      <c r="AQ126" s="510"/>
      <c r="AR126" s="510"/>
      <c r="AS126" s="510"/>
      <c r="AT126" s="510"/>
      <c r="AU126" s="510"/>
      <c r="AV126" s="510"/>
      <c r="AW126" s="510"/>
      <c r="AX126" s="510"/>
      <c r="AY126" s="510"/>
      <c r="AZ126" s="510"/>
      <c r="BA126" s="510"/>
      <c r="BB126" s="510"/>
      <c r="BC126" s="510"/>
      <c r="BD126" s="510"/>
      <c r="BE126" s="510"/>
      <c r="BF126" s="510"/>
      <c r="BG126" s="510"/>
      <c r="BH126" s="510"/>
      <c r="BI126" s="510"/>
      <c r="BJ126" s="510"/>
      <c r="BK126" s="510"/>
      <c r="BL126" s="510"/>
      <c r="BM126" s="510"/>
      <c r="BN126" s="510"/>
      <c r="BO126" s="510"/>
      <c r="BP126" s="510"/>
      <c r="BQ126" s="510"/>
      <c r="BR126" s="510"/>
      <c r="BS126" s="510"/>
      <c r="BT126" s="510"/>
      <c r="BU126" s="510"/>
      <c r="BV126" s="510"/>
      <c r="BW126" s="510"/>
      <c r="BX126" s="510"/>
      <c r="BY126" s="510"/>
      <c r="BZ126" s="510"/>
      <c r="CA126" s="510"/>
      <c r="CB126" s="510"/>
      <c r="CC126" s="510"/>
      <c r="CD126" s="510"/>
      <c r="CE126" s="510"/>
      <c r="CF126" s="510"/>
      <c r="CG126" s="510"/>
      <c r="CH126" s="510"/>
      <c r="CI126" s="510"/>
      <c r="CJ126" s="510"/>
      <c r="CK126" s="510"/>
      <c r="CL126" s="510"/>
      <c r="CM126" s="510"/>
      <c r="CN126" s="510"/>
      <c r="CO126" s="510"/>
      <c r="CP126" s="510"/>
      <c r="CQ126" s="510"/>
      <c r="CR126" s="510"/>
      <c r="CS126" s="510"/>
      <c r="CT126" s="510"/>
      <c r="CU126" s="510"/>
      <c r="CV126" s="510"/>
      <c r="CW126" s="510"/>
      <c r="CX126" s="510"/>
      <c r="CY126" s="510"/>
      <c r="CZ126" s="510"/>
      <c r="DA126" s="510"/>
      <c r="DB126" s="1728" t="s">
        <v>80</v>
      </c>
      <c r="DC126" s="1728"/>
      <c r="DD126" s="1728"/>
      <c r="DE126" s="1728"/>
      <c r="DF126" s="1728"/>
      <c r="DG126" s="1728"/>
      <c r="DH126" s="1728"/>
      <c r="DI126" s="1728"/>
      <c r="DJ126" s="1728"/>
      <c r="DK126" s="1728"/>
      <c r="DL126" s="1728"/>
      <c r="DM126" s="1728"/>
      <c r="DN126" s="1728"/>
      <c r="DO126" s="1728"/>
      <c r="DP126" s="1728"/>
      <c r="DQ126" s="1728"/>
      <c r="DR126" s="1728"/>
      <c r="DS126" s="1728"/>
      <c r="DT126" s="1728"/>
      <c r="DU126" s="1728"/>
      <c r="DV126" s="1728"/>
      <c r="DW126" s="1728"/>
      <c r="DX126" s="1728"/>
      <c r="DY126" s="1728"/>
      <c r="DZ126" s="1728"/>
      <c r="EA126" s="1728"/>
      <c r="EB126" s="1728"/>
      <c r="EC126" s="1728"/>
      <c r="ED126" s="1728"/>
      <c r="EE126" s="1728"/>
      <c r="EF126" s="1728"/>
      <c r="EG126" s="510"/>
      <c r="EH126" s="510"/>
      <c r="EI126" s="510"/>
      <c r="EJ126" s="510"/>
      <c r="EK126" s="510"/>
      <c r="EL126" s="510"/>
      <c r="EM126" s="510"/>
      <c r="EN126" s="510"/>
      <c r="EO126" s="510"/>
      <c r="EP126" s="510"/>
      <c r="EQ126" s="510"/>
      <c r="ER126" s="510"/>
      <c r="ES126" s="510"/>
      <c r="ET126" s="521"/>
      <c r="EU126" s="521"/>
      <c r="EV126" s="521"/>
      <c r="EW126" s="521"/>
      <c r="EX126" s="521"/>
      <c r="EY126" s="521"/>
      <c r="EZ126" s="521"/>
      <c r="FA126" s="521"/>
      <c r="FB126" s="521"/>
      <c r="FC126" s="521"/>
      <c r="FD126" s="521"/>
      <c r="FE126" s="521"/>
      <c r="FF126" s="521"/>
      <c r="FG126" s="521"/>
      <c r="FH126" s="521"/>
      <c r="FI126" s="521"/>
      <c r="FJ126" s="521"/>
      <c r="FK126" s="521"/>
      <c r="FL126" s="521"/>
      <c r="FM126" s="521"/>
      <c r="FN126" s="521"/>
      <c r="FO126" s="521"/>
      <c r="FP126" s="521"/>
      <c r="FQ126" s="521"/>
      <c r="FR126" s="521"/>
      <c r="FS126" s="521"/>
      <c r="FT126" s="521"/>
      <c r="FU126" s="521"/>
      <c r="FV126" s="521"/>
      <c r="FW126" s="521"/>
      <c r="FX126" s="521"/>
      <c r="FY126" s="521"/>
      <c r="FZ126" s="521"/>
      <c r="GA126" s="521"/>
      <c r="GB126" s="521"/>
      <c r="GC126" s="521"/>
      <c r="GD126" s="521"/>
      <c r="GE126" s="521"/>
      <c r="GF126" s="521"/>
      <c r="GG126" s="521"/>
      <c r="GH126" s="521"/>
      <c r="GI126" s="521"/>
      <c r="GJ126" s="521"/>
      <c r="GK126" s="521"/>
      <c r="GL126" s="521"/>
      <c r="GM126" s="521"/>
      <c r="GN126" s="521"/>
      <c r="GO126" s="521"/>
      <c r="GP126" s="521"/>
      <c r="GQ126" s="521"/>
      <c r="GR126" s="521"/>
      <c r="GS126" s="521"/>
      <c r="GT126" s="521"/>
      <c r="GU126" s="521"/>
      <c r="GV126" s="521"/>
      <c r="GW126" s="521"/>
      <c r="GX126" s="521"/>
      <c r="GY126" s="521"/>
      <c r="GZ126" s="521"/>
      <c r="HA126" s="521"/>
      <c r="HB126" s="521"/>
      <c r="HC126" s="521"/>
      <c r="HD126" s="521"/>
      <c r="HE126" s="521"/>
      <c r="HF126" s="521"/>
      <c r="HG126" s="521"/>
      <c r="HH126" s="521"/>
      <c r="HI126" s="521"/>
      <c r="HJ126" s="521"/>
      <c r="HK126" s="521"/>
      <c r="HL126" s="521"/>
      <c r="HM126" s="521"/>
      <c r="HN126" s="521"/>
      <c r="HO126" s="521"/>
      <c r="HP126" s="521"/>
      <c r="HQ126" s="521"/>
      <c r="HR126" s="521"/>
      <c r="HS126" s="521"/>
      <c r="HT126" s="521"/>
      <c r="HU126" s="521"/>
      <c r="HV126" s="521"/>
      <c r="HW126" s="521"/>
      <c r="HX126" s="521"/>
      <c r="HY126" s="521"/>
      <c r="HZ126" s="521"/>
      <c r="IA126" s="521"/>
      <c r="IB126" s="521"/>
      <c r="IC126" s="521"/>
      <c r="ID126" s="521"/>
      <c r="IE126" s="521"/>
      <c r="IF126" s="521"/>
      <c r="IG126" s="521"/>
      <c r="IH126" s="521"/>
      <c r="II126" s="521"/>
      <c r="IJ126" s="521"/>
      <c r="IK126" s="521"/>
      <c r="IL126" s="521"/>
      <c r="IM126" s="521"/>
      <c r="IN126" s="521"/>
    </row>
    <row r="127" spans="1:248" s="508" customFormat="1" ht="12.75">
      <c r="A127" s="507"/>
      <c r="B127" s="507"/>
      <c r="C127" s="507"/>
      <c r="D127" s="507"/>
      <c r="E127" s="507"/>
      <c r="F127" s="507"/>
      <c r="G127" s="507"/>
      <c r="H127" s="507"/>
      <c r="I127" s="507"/>
      <c r="J127" s="507"/>
      <c r="K127" s="507"/>
      <c r="L127" s="507"/>
      <c r="M127" s="507"/>
      <c r="N127" s="507"/>
      <c r="O127" s="507"/>
      <c r="P127" s="507"/>
      <c r="Q127" s="507"/>
      <c r="R127" s="507"/>
      <c r="S127" s="507"/>
      <c r="T127" s="507"/>
      <c r="U127" s="507"/>
      <c r="V127" s="507"/>
      <c r="W127" s="507"/>
      <c r="X127" s="507"/>
      <c r="Y127" s="507"/>
      <c r="Z127" s="507"/>
      <c r="AA127" s="507"/>
      <c r="AB127" s="507"/>
      <c r="AC127" s="507"/>
      <c r="AD127" s="507"/>
      <c r="AE127" s="507"/>
      <c r="AF127" s="507"/>
      <c r="AG127" s="507"/>
      <c r="AH127" s="481"/>
      <c r="AI127" s="507"/>
      <c r="AJ127" s="507"/>
      <c r="AK127" s="507"/>
      <c r="AL127" s="507"/>
      <c r="AM127" s="507"/>
      <c r="AN127" s="507"/>
      <c r="AO127" s="507"/>
      <c r="AP127" s="507"/>
      <c r="AQ127" s="507"/>
      <c r="AR127" s="507"/>
      <c r="AS127" s="507"/>
      <c r="AT127" s="507"/>
      <c r="AU127" s="507"/>
      <c r="AV127" s="507"/>
      <c r="AW127" s="507"/>
      <c r="AX127" s="507"/>
      <c r="AY127" s="507"/>
      <c r="AZ127" s="507"/>
      <c r="BA127" s="507"/>
      <c r="BB127" s="507"/>
      <c r="BC127" s="507"/>
      <c r="BD127" s="507"/>
      <c r="BE127" s="507"/>
      <c r="BF127" s="507"/>
      <c r="BG127" s="507"/>
      <c r="BH127" s="507"/>
      <c r="BI127" s="507"/>
      <c r="BJ127" s="507"/>
      <c r="BK127" s="507"/>
      <c r="BL127" s="507"/>
      <c r="BM127" s="507"/>
      <c r="BN127" s="507"/>
      <c r="BO127" s="507"/>
      <c r="BP127" s="507"/>
      <c r="BQ127" s="507"/>
      <c r="BR127" s="507"/>
      <c r="BS127" s="507"/>
      <c r="BT127" s="507"/>
      <c r="BU127" s="507"/>
      <c r="BV127" s="507"/>
      <c r="BW127" s="507"/>
      <c r="BX127" s="507"/>
      <c r="BY127" s="507"/>
      <c r="BZ127" s="507"/>
      <c r="CA127" s="507"/>
      <c r="CB127" s="507"/>
      <c r="CC127" s="507"/>
      <c r="CD127" s="507"/>
      <c r="CE127" s="507"/>
      <c r="CF127" s="507"/>
      <c r="CG127" s="507"/>
      <c r="CH127" s="507"/>
      <c r="CI127" s="507"/>
      <c r="CJ127" s="507"/>
      <c r="CK127" s="507"/>
      <c r="CL127" s="507"/>
      <c r="CM127" s="507"/>
      <c r="CN127" s="507"/>
      <c r="CO127" s="507"/>
      <c r="CP127" s="507"/>
      <c r="CQ127" s="507"/>
      <c r="CR127" s="507"/>
      <c r="CS127" s="507"/>
      <c r="CT127" s="507"/>
      <c r="CU127" s="507"/>
      <c r="CV127" s="507"/>
      <c r="CW127" s="507"/>
      <c r="CX127" s="507"/>
      <c r="CY127" s="507"/>
      <c r="CZ127" s="507"/>
      <c r="DA127" s="507"/>
      <c r="DB127" s="507"/>
      <c r="DC127" s="507"/>
      <c r="DD127" s="507"/>
      <c r="DE127" s="507"/>
      <c r="DF127" s="507"/>
      <c r="DG127" s="507"/>
      <c r="DH127" s="507"/>
      <c r="DI127" s="507"/>
      <c r="DJ127" s="507"/>
      <c r="DK127" s="507"/>
      <c r="DL127" s="507"/>
      <c r="DM127" s="507"/>
      <c r="DN127" s="507"/>
      <c r="DO127" s="507"/>
      <c r="DP127" s="507"/>
      <c r="DQ127" s="507"/>
      <c r="DR127" s="507"/>
      <c r="DS127" s="507"/>
      <c r="DT127" s="507"/>
      <c r="DU127" s="507"/>
      <c r="DV127" s="507"/>
      <c r="DW127" s="507"/>
      <c r="DX127" s="507"/>
      <c r="DY127" s="507"/>
      <c r="DZ127" s="507"/>
      <c r="EA127" s="507"/>
      <c r="EB127" s="507"/>
      <c r="EC127" s="507"/>
      <c r="ED127" s="507"/>
      <c r="EE127" s="507"/>
      <c r="EF127" s="507"/>
      <c r="EG127" s="507"/>
      <c r="EH127" s="507"/>
      <c r="EI127" s="507"/>
      <c r="EJ127" s="507"/>
      <c r="EK127" s="507"/>
      <c r="EL127" s="507"/>
      <c r="EM127" s="507"/>
      <c r="EN127" s="507"/>
      <c r="EO127" s="507"/>
      <c r="EP127" s="507"/>
      <c r="EQ127" s="507"/>
      <c r="ER127" s="507"/>
      <c r="ES127" s="507"/>
    </row>
    <row r="128" spans="1:248" ht="12.75"/>
    <row r="129" ht="12.75"/>
    <row r="130" ht="12.75"/>
  </sheetData>
  <mergeCells count="859">
    <mergeCell ref="EY88:FI88"/>
    <mergeCell ref="FJ88:FU88"/>
    <mergeCell ref="FV88:GG88"/>
    <mergeCell ref="GH88:GS88"/>
    <mergeCell ref="GT88:HE88"/>
    <mergeCell ref="HF88:HQ88"/>
    <mergeCell ref="HR88:IC88"/>
    <mergeCell ref="ID88:IN88"/>
    <mergeCell ref="A88:J88"/>
    <mergeCell ref="K88:AF88"/>
    <mergeCell ref="AG88:AT88"/>
    <mergeCell ref="AU88:BF88"/>
    <mergeCell ref="BG88:BX88"/>
    <mergeCell ref="BY88:CP88"/>
    <mergeCell ref="CQ88:DH88"/>
    <mergeCell ref="DI88:DZ88"/>
    <mergeCell ref="EA88:ES88"/>
    <mergeCell ref="ID86:IN86"/>
    <mergeCell ref="A87:J87"/>
    <mergeCell ref="K87:AF87"/>
    <mergeCell ref="AG87:AT87"/>
    <mergeCell ref="AU87:BF87"/>
    <mergeCell ref="BG87:BX87"/>
    <mergeCell ref="BY87:CP87"/>
    <mergeCell ref="CQ87:DH87"/>
    <mergeCell ref="DI87:DZ87"/>
    <mergeCell ref="EA87:ES87"/>
    <mergeCell ref="EY87:FI87"/>
    <mergeCell ref="FJ87:FU87"/>
    <mergeCell ref="FV87:GG87"/>
    <mergeCell ref="GH87:GS87"/>
    <mergeCell ref="GT87:HE87"/>
    <mergeCell ref="HF87:HQ87"/>
    <mergeCell ref="HR87:IC87"/>
    <mergeCell ref="ID87:IN87"/>
    <mergeCell ref="EY85:FI85"/>
    <mergeCell ref="FJ85:FU85"/>
    <mergeCell ref="FV85:GG85"/>
    <mergeCell ref="GH85:GS85"/>
    <mergeCell ref="GT85:HE85"/>
    <mergeCell ref="HF85:HQ85"/>
    <mergeCell ref="HR85:IC85"/>
    <mergeCell ref="ID85:IN85"/>
    <mergeCell ref="A86:J86"/>
    <mergeCell ref="K86:AF86"/>
    <mergeCell ref="AG86:AT86"/>
    <mergeCell ref="AU86:BF86"/>
    <mergeCell ref="BG86:BX86"/>
    <mergeCell ref="BY86:CP86"/>
    <mergeCell ref="CQ86:DH86"/>
    <mergeCell ref="DI86:DZ86"/>
    <mergeCell ref="EA86:ES86"/>
    <mergeCell ref="EY86:FI86"/>
    <mergeCell ref="FJ86:FU86"/>
    <mergeCell ref="FV86:GG86"/>
    <mergeCell ref="GH86:GS86"/>
    <mergeCell ref="GT86:HE86"/>
    <mergeCell ref="HF86:HQ86"/>
    <mergeCell ref="HR86:IC86"/>
    <mergeCell ref="A85:J85"/>
    <mergeCell ref="K85:AF85"/>
    <mergeCell ref="AG85:AT85"/>
    <mergeCell ref="AU85:BF85"/>
    <mergeCell ref="BG85:BX85"/>
    <mergeCell ref="BY85:CP85"/>
    <mergeCell ref="CQ85:DH85"/>
    <mergeCell ref="DI85:DZ85"/>
    <mergeCell ref="EA85:ES85"/>
    <mergeCell ref="ID83:IN83"/>
    <mergeCell ref="A84:J84"/>
    <mergeCell ref="K84:AF84"/>
    <mergeCell ref="AG84:AT84"/>
    <mergeCell ref="AU84:BF84"/>
    <mergeCell ref="BG84:BX84"/>
    <mergeCell ref="BY84:CP84"/>
    <mergeCell ref="CQ84:DH84"/>
    <mergeCell ref="DI84:DZ84"/>
    <mergeCell ref="EA84:ES84"/>
    <mergeCell ref="EY84:FI84"/>
    <mergeCell ref="FJ84:FU84"/>
    <mergeCell ref="FV84:GG84"/>
    <mergeCell ref="GH84:GS84"/>
    <mergeCell ref="GT84:HE84"/>
    <mergeCell ref="HF84:HQ84"/>
    <mergeCell ref="HR84:IC84"/>
    <mergeCell ref="ID84:IN84"/>
    <mergeCell ref="EY82:FI82"/>
    <mergeCell ref="FJ82:FU82"/>
    <mergeCell ref="FV82:GG82"/>
    <mergeCell ref="GH82:GS82"/>
    <mergeCell ref="GT82:HE82"/>
    <mergeCell ref="HF82:HQ82"/>
    <mergeCell ref="HR82:IC82"/>
    <mergeCell ref="ID82:IN82"/>
    <mergeCell ref="A83:J83"/>
    <mergeCell ref="K83:AF83"/>
    <mergeCell ref="AG83:AT83"/>
    <mergeCell ref="AU83:BF83"/>
    <mergeCell ref="BG83:BX83"/>
    <mergeCell ref="BY83:CP83"/>
    <mergeCell ref="CQ83:DH83"/>
    <mergeCell ref="DI83:DZ83"/>
    <mergeCell ref="EA83:ES83"/>
    <mergeCell ref="EY83:FI83"/>
    <mergeCell ref="FJ83:FU83"/>
    <mergeCell ref="FV83:GG83"/>
    <mergeCell ref="GH83:GS83"/>
    <mergeCell ref="GT83:HE83"/>
    <mergeCell ref="HF83:HQ83"/>
    <mergeCell ref="HR83:IC83"/>
    <mergeCell ref="A82:J82"/>
    <mergeCell ref="K82:AF82"/>
    <mergeCell ref="AG82:AT82"/>
    <mergeCell ref="AU82:BF82"/>
    <mergeCell ref="BG82:BX82"/>
    <mergeCell ref="BY82:CP82"/>
    <mergeCell ref="CQ82:DH82"/>
    <mergeCell ref="DI82:DZ82"/>
    <mergeCell ref="EA82:ES82"/>
    <mergeCell ref="ID80:IN80"/>
    <mergeCell ref="A81:J81"/>
    <mergeCell ref="K81:AF81"/>
    <mergeCell ref="AG81:AT81"/>
    <mergeCell ref="AU81:BF81"/>
    <mergeCell ref="BG81:BX81"/>
    <mergeCell ref="BY81:CP81"/>
    <mergeCell ref="CQ81:DH81"/>
    <mergeCell ref="DI81:DZ81"/>
    <mergeCell ref="EA81:ES81"/>
    <mergeCell ref="EY81:FI81"/>
    <mergeCell ref="FJ81:FU81"/>
    <mergeCell ref="FV81:GG81"/>
    <mergeCell ref="GH81:GS81"/>
    <mergeCell ref="GT81:HE81"/>
    <mergeCell ref="HF81:HQ81"/>
    <mergeCell ref="HR81:IC81"/>
    <mergeCell ref="ID81:IN81"/>
    <mergeCell ref="EY79:FI79"/>
    <mergeCell ref="FJ79:FU79"/>
    <mergeCell ref="FV79:GG79"/>
    <mergeCell ref="GH79:GS79"/>
    <mergeCell ref="GT79:HE79"/>
    <mergeCell ref="HF79:HQ79"/>
    <mergeCell ref="HR79:IC79"/>
    <mergeCell ref="ID79:IN79"/>
    <mergeCell ref="A80:J80"/>
    <mergeCell ref="K80:AF80"/>
    <mergeCell ref="AG80:AT80"/>
    <mergeCell ref="AU80:BF80"/>
    <mergeCell ref="BG80:BX80"/>
    <mergeCell ref="BY80:CP80"/>
    <mergeCell ref="CQ80:DH80"/>
    <mergeCell ref="DI80:DZ80"/>
    <mergeCell ref="EA80:ES80"/>
    <mergeCell ref="EY80:FI80"/>
    <mergeCell ref="FJ80:FU80"/>
    <mergeCell ref="FV80:GG80"/>
    <mergeCell ref="GH80:GS80"/>
    <mergeCell ref="GT80:HE80"/>
    <mergeCell ref="HF80:HQ80"/>
    <mergeCell ref="HR80:IC80"/>
    <mergeCell ref="A79:J79"/>
    <mergeCell ref="K79:AF79"/>
    <mergeCell ref="AG79:AT79"/>
    <mergeCell ref="AU79:BF79"/>
    <mergeCell ref="BG79:BX79"/>
    <mergeCell ref="BY79:CP79"/>
    <mergeCell ref="CQ79:DH79"/>
    <mergeCell ref="DI79:DZ79"/>
    <mergeCell ref="EA79:ES79"/>
    <mergeCell ref="ID77:IN77"/>
    <mergeCell ref="A78:J78"/>
    <mergeCell ref="K78:AF78"/>
    <mergeCell ref="AG78:AT78"/>
    <mergeCell ref="AU78:BF78"/>
    <mergeCell ref="BG78:BX78"/>
    <mergeCell ref="BY78:CP78"/>
    <mergeCell ref="CQ78:DH78"/>
    <mergeCell ref="DI78:DZ78"/>
    <mergeCell ref="EA78:ES78"/>
    <mergeCell ref="EY78:FI78"/>
    <mergeCell ref="FJ78:FU78"/>
    <mergeCell ref="FV78:GG78"/>
    <mergeCell ref="GH78:GS78"/>
    <mergeCell ref="GT78:HE78"/>
    <mergeCell ref="HF78:HQ78"/>
    <mergeCell ref="HR78:IC78"/>
    <mergeCell ref="ID78:IN78"/>
    <mergeCell ref="EY76:FI76"/>
    <mergeCell ref="FJ76:FU76"/>
    <mergeCell ref="FV76:GG76"/>
    <mergeCell ref="GH76:GS76"/>
    <mergeCell ref="GT76:HE76"/>
    <mergeCell ref="HF76:HQ76"/>
    <mergeCell ref="HR76:IC76"/>
    <mergeCell ref="ID76:IN76"/>
    <mergeCell ref="A77:J77"/>
    <mergeCell ref="K77:AF77"/>
    <mergeCell ref="AG77:AT77"/>
    <mergeCell ref="AU77:BF77"/>
    <mergeCell ref="BG77:BX77"/>
    <mergeCell ref="BY77:CP77"/>
    <mergeCell ref="CQ77:DH77"/>
    <mergeCell ref="DI77:DZ77"/>
    <mergeCell ref="EA77:ES77"/>
    <mergeCell ref="EY77:FI77"/>
    <mergeCell ref="FJ77:FU77"/>
    <mergeCell ref="FV77:GG77"/>
    <mergeCell ref="GH77:GS77"/>
    <mergeCell ref="GT77:HE77"/>
    <mergeCell ref="HF77:HQ77"/>
    <mergeCell ref="HR77:IC77"/>
    <mergeCell ref="A76:J76"/>
    <mergeCell ref="K76:AF76"/>
    <mergeCell ref="AG76:AT76"/>
    <mergeCell ref="AU76:BF76"/>
    <mergeCell ref="BG76:BX76"/>
    <mergeCell ref="BY76:CP76"/>
    <mergeCell ref="CQ76:DH76"/>
    <mergeCell ref="DI76:DZ76"/>
    <mergeCell ref="EA76:ES76"/>
    <mergeCell ref="ID74:IN74"/>
    <mergeCell ref="A75:J75"/>
    <mergeCell ref="K75:AF75"/>
    <mergeCell ref="AG75:AT75"/>
    <mergeCell ref="AU75:BF75"/>
    <mergeCell ref="BG75:BX75"/>
    <mergeCell ref="BY75:CP75"/>
    <mergeCell ref="CQ75:DH75"/>
    <mergeCell ref="DI75:DZ75"/>
    <mergeCell ref="EA75:ES75"/>
    <mergeCell ref="EY75:FI75"/>
    <mergeCell ref="FJ75:FU75"/>
    <mergeCell ref="FV75:GG75"/>
    <mergeCell ref="GH75:GS75"/>
    <mergeCell ref="GT75:HE75"/>
    <mergeCell ref="HF75:HQ75"/>
    <mergeCell ref="HR75:IC75"/>
    <mergeCell ref="ID75:IN75"/>
    <mergeCell ref="EY73:FI73"/>
    <mergeCell ref="FJ73:FU73"/>
    <mergeCell ref="FV73:GG73"/>
    <mergeCell ref="GH73:GS73"/>
    <mergeCell ref="GT73:HE73"/>
    <mergeCell ref="HF73:HQ73"/>
    <mergeCell ref="HR73:IC73"/>
    <mergeCell ref="ID73:IN73"/>
    <mergeCell ref="A74:J74"/>
    <mergeCell ref="K74:AF74"/>
    <mergeCell ref="AG74:AT74"/>
    <mergeCell ref="AU74:BF74"/>
    <mergeCell ref="BG74:BX74"/>
    <mergeCell ref="BY74:CP74"/>
    <mergeCell ref="CQ74:DH74"/>
    <mergeCell ref="DI74:DZ74"/>
    <mergeCell ref="EA74:ES74"/>
    <mergeCell ref="EY74:FI74"/>
    <mergeCell ref="FJ74:FU74"/>
    <mergeCell ref="FV74:GG74"/>
    <mergeCell ref="GH74:GS74"/>
    <mergeCell ref="GT74:HE74"/>
    <mergeCell ref="HF74:HQ74"/>
    <mergeCell ref="HR74:IC74"/>
    <mergeCell ref="A73:J73"/>
    <mergeCell ref="K73:AF73"/>
    <mergeCell ref="AG73:AT73"/>
    <mergeCell ref="AU73:BF73"/>
    <mergeCell ref="BG73:BX73"/>
    <mergeCell ref="BY73:CP73"/>
    <mergeCell ref="CQ73:DH73"/>
    <mergeCell ref="DI73:DZ73"/>
    <mergeCell ref="EA73:ES73"/>
    <mergeCell ref="ID71:IN71"/>
    <mergeCell ref="A72:J72"/>
    <mergeCell ref="K72:AF72"/>
    <mergeCell ref="AG72:AT72"/>
    <mergeCell ref="AU72:BF72"/>
    <mergeCell ref="BG72:BX72"/>
    <mergeCell ref="BY72:CP72"/>
    <mergeCell ref="CQ72:DH72"/>
    <mergeCell ref="DI72:DZ72"/>
    <mergeCell ref="EA72:ES72"/>
    <mergeCell ref="EY72:FI72"/>
    <mergeCell ref="FJ72:FU72"/>
    <mergeCell ref="FV72:GG72"/>
    <mergeCell ref="GH72:GS72"/>
    <mergeCell ref="GT72:HE72"/>
    <mergeCell ref="HF72:HQ72"/>
    <mergeCell ref="HR72:IC72"/>
    <mergeCell ref="ID72:IN72"/>
    <mergeCell ref="EY70:FI70"/>
    <mergeCell ref="FJ70:FU70"/>
    <mergeCell ref="FV70:GG70"/>
    <mergeCell ref="GH70:GS70"/>
    <mergeCell ref="GT70:HE70"/>
    <mergeCell ref="HF70:HQ70"/>
    <mergeCell ref="HR70:IC70"/>
    <mergeCell ref="ID70:IN70"/>
    <mergeCell ref="A71:J71"/>
    <mergeCell ref="K71:AF71"/>
    <mergeCell ref="AG71:AT71"/>
    <mergeCell ref="AU71:BF71"/>
    <mergeCell ref="BG71:BX71"/>
    <mergeCell ref="BY71:CP71"/>
    <mergeCell ref="CQ71:DH71"/>
    <mergeCell ref="DI71:DZ71"/>
    <mergeCell ref="EA71:ES71"/>
    <mergeCell ref="EY71:FI71"/>
    <mergeCell ref="FJ71:FU71"/>
    <mergeCell ref="FV71:GG71"/>
    <mergeCell ref="GH71:GS71"/>
    <mergeCell ref="GT71:HE71"/>
    <mergeCell ref="HF71:HQ71"/>
    <mergeCell ref="HR71:IC71"/>
    <mergeCell ref="A70:J70"/>
    <mergeCell ref="K70:AF70"/>
    <mergeCell ref="AG70:AT70"/>
    <mergeCell ref="AU70:BF70"/>
    <mergeCell ref="BG70:BX70"/>
    <mergeCell ref="BY70:CP70"/>
    <mergeCell ref="CQ70:DH70"/>
    <mergeCell ref="DI70:DZ70"/>
    <mergeCell ref="EA70:ES70"/>
    <mergeCell ref="ID68:IN68"/>
    <mergeCell ref="A69:J69"/>
    <mergeCell ref="K69:AF69"/>
    <mergeCell ref="AG69:AT69"/>
    <mergeCell ref="AU69:BF69"/>
    <mergeCell ref="BG69:BX69"/>
    <mergeCell ref="BY69:CP69"/>
    <mergeCell ref="CQ69:DH69"/>
    <mergeCell ref="DI69:DZ69"/>
    <mergeCell ref="EA69:ES69"/>
    <mergeCell ref="EY69:FI69"/>
    <mergeCell ref="FJ69:FU69"/>
    <mergeCell ref="FV69:GG69"/>
    <mergeCell ref="GH69:GS69"/>
    <mergeCell ref="GT69:HE69"/>
    <mergeCell ref="HF69:HQ69"/>
    <mergeCell ref="HR69:IC69"/>
    <mergeCell ref="ID69:IN69"/>
    <mergeCell ref="EY67:FI67"/>
    <mergeCell ref="FJ67:FU67"/>
    <mergeCell ref="FV67:GG67"/>
    <mergeCell ref="GH67:GS67"/>
    <mergeCell ref="GT67:HE67"/>
    <mergeCell ref="HF67:HQ67"/>
    <mergeCell ref="HR67:IC67"/>
    <mergeCell ref="ID67:IN67"/>
    <mergeCell ref="A68:J68"/>
    <mergeCell ref="K68:AF68"/>
    <mergeCell ref="AG68:AT68"/>
    <mergeCell ref="AU68:BF68"/>
    <mergeCell ref="BG68:BX68"/>
    <mergeCell ref="BY68:CP68"/>
    <mergeCell ref="CQ68:DH68"/>
    <mergeCell ref="DI68:DZ68"/>
    <mergeCell ref="EA68:ES68"/>
    <mergeCell ref="EY68:FI68"/>
    <mergeCell ref="FJ68:FU68"/>
    <mergeCell ref="FV68:GG68"/>
    <mergeCell ref="GH68:GS68"/>
    <mergeCell ref="GT68:HE68"/>
    <mergeCell ref="HF68:HQ68"/>
    <mergeCell ref="HR68:IC68"/>
    <mergeCell ref="A67:J67"/>
    <mergeCell ref="K67:AF67"/>
    <mergeCell ref="AG67:AT67"/>
    <mergeCell ref="AU67:BF67"/>
    <mergeCell ref="BG67:BX67"/>
    <mergeCell ref="BY67:CP67"/>
    <mergeCell ref="CQ67:DH67"/>
    <mergeCell ref="DI67:DZ67"/>
    <mergeCell ref="EA67:ES67"/>
    <mergeCell ref="ID65:IN65"/>
    <mergeCell ref="A66:J66"/>
    <mergeCell ref="K66:AF66"/>
    <mergeCell ref="AG66:AT66"/>
    <mergeCell ref="AU66:BF66"/>
    <mergeCell ref="BG66:BX66"/>
    <mergeCell ref="BY66:CP66"/>
    <mergeCell ref="CQ66:DH66"/>
    <mergeCell ref="DI66:DZ66"/>
    <mergeCell ref="EA66:ES66"/>
    <mergeCell ref="EY66:FI66"/>
    <mergeCell ref="FJ66:FU66"/>
    <mergeCell ref="FV66:GG66"/>
    <mergeCell ref="GH66:GS66"/>
    <mergeCell ref="GT66:HE66"/>
    <mergeCell ref="HF66:HQ66"/>
    <mergeCell ref="HR66:IC66"/>
    <mergeCell ref="ID66:IN66"/>
    <mergeCell ref="EY64:FI64"/>
    <mergeCell ref="FJ64:FU64"/>
    <mergeCell ref="FV64:GG64"/>
    <mergeCell ref="GH64:GS64"/>
    <mergeCell ref="GT64:HE64"/>
    <mergeCell ref="HF64:HQ64"/>
    <mergeCell ref="HR64:IC64"/>
    <mergeCell ref="ID64:IN64"/>
    <mergeCell ref="A65:J65"/>
    <mergeCell ref="K65:AF65"/>
    <mergeCell ref="AG65:AT65"/>
    <mergeCell ref="AU65:BF65"/>
    <mergeCell ref="BG65:BX65"/>
    <mergeCell ref="BY65:CP65"/>
    <mergeCell ref="CQ65:DH65"/>
    <mergeCell ref="DI65:DZ65"/>
    <mergeCell ref="EA65:ES65"/>
    <mergeCell ref="EY65:FI65"/>
    <mergeCell ref="FJ65:FU65"/>
    <mergeCell ref="FV65:GG65"/>
    <mergeCell ref="GH65:GS65"/>
    <mergeCell ref="GT65:HE65"/>
    <mergeCell ref="HF65:HQ65"/>
    <mergeCell ref="HR65:IC65"/>
    <mergeCell ref="A64:J64"/>
    <mergeCell ref="K64:AF64"/>
    <mergeCell ref="AG64:AT64"/>
    <mergeCell ref="AU64:BF64"/>
    <mergeCell ref="BG64:BX64"/>
    <mergeCell ref="BY64:CP64"/>
    <mergeCell ref="CQ64:DH64"/>
    <mergeCell ref="DI64:DZ64"/>
    <mergeCell ref="EA64:ES64"/>
    <mergeCell ref="ID62:IN62"/>
    <mergeCell ref="A63:J63"/>
    <mergeCell ref="K63:AF63"/>
    <mergeCell ref="AG63:AT63"/>
    <mergeCell ref="AU63:BF63"/>
    <mergeCell ref="BG63:BX63"/>
    <mergeCell ref="BY63:CP63"/>
    <mergeCell ref="CQ63:DH63"/>
    <mergeCell ref="DI63:DZ63"/>
    <mergeCell ref="EA63:ES63"/>
    <mergeCell ref="EY63:FI63"/>
    <mergeCell ref="FJ63:FU63"/>
    <mergeCell ref="FV63:GG63"/>
    <mergeCell ref="GH63:GS63"/>
    <mergeCell ref="GT63:HE63"/>
    <mergeCell ref="HF63:HQ63"/>
    <mergeCell ref="HR63:IC63"/>
    <mergeCell ref="ID63:IN63"/>
    <mergeCell ref="EY61:FI61"/>
    <mergeCell ref="FJ61:FU61"/>
    <mergeCell ref="FV61:GG61"/>
    <mergeCell ref="GH61:GS61"/>
    <mergeCell ref="GT61:HE61"/>
    <mergeCell ref="HF61:HQ61"/>
    <mergeCell ref="HR61:IC61"/>
    <mergeCell ref="ID61:IN61"/>
    <mergeCell ref="A62:J62"/>
    <mergeCell ref="K62:AF62"/>
    <mergeCell ref="AG62:AT62"/>
    <mergeCell ref="AU62:BF62"/>
    <mergeCell ref="BG62:BX62"/>
    <mergeCell ref="BY62:CP62"/>
    <mergeCell ref="CQ62:DH62"/>
    <mergeCell ref="DI62:DZ62"/>
    <mergeCell ref="EA62:ES62"/>
    <mergeCell ref="EY62:FI62"/>
    <mergeCell ref="FJ62:FU62"/>
    <mergeCell ref="FV62:GG62"/>
    <mergeCell ref="GH62:GS62"/>
    <mergeCell ref="GT62:HE62"/>
    <mergeCell ref="HF62:HQ62"/>
    <mergeCell ref="HR62:IC62"/>
    <mergeCell ref="A61:J61"/>
    <mergeCell ref="K61:AF61"/>
    <mergeCell ref="AG61:AT61"/>
    <mergeCell ref="AU61:BF61"/>
    <mergeCell ref="BG61:BX61"/>
    <mergeCell ref="BY61:CP61"/>
    <mergeCell ref="CQ61:DH61"/>
    <mergeCell ref="DI61:DZ61"/>
    <mergeCell ref="EA61:ES61"/>
    <mergeCell ref="ID59:IN59"/>
    <mergeCell ref="A60:J60"/>
    <mergeCell ref="K60:AF60"/>
    <mergeCell ref="AG60:AT60"/>
    <mergeCell ref="AU60:BF60"/>
    <mergeCell ref="BG60:BX60"/>
    <mergeCell ref="BY60:CP60"/>
    <mergeCell ref="CQ60:DH60"/>
    <mergeCell ref="DI60:DZ60"/>
    <mergeCell ref="EA60:ES60"/>
    <mergeCell ref="EY60:FI60"/>
    <mergeCell ref="FJ60:FU60"/>
    <mergeCell ref="FV60:GG60"/>
    <mergeCell ref="GH60:GS60"/>
    <mergeCell ref="GT60:HE60"/>
    <mergeCell ref="HF60:HQ60"/>
    <mergeCell ref="HR60:IC60"/>
    <mergeCell ref="ID60:IN60"/>
    <mergeCell ref="EY58:FI58"/>
    <mergeCell ref="FJ58:FU58"/>
    <mergeCell ref="FV58:GG58"/>
    <mergeCell ref="GH58:GS58"/>
    <mergeCell ref="GT58:HE58"/>
    <mergeCell ref="HF58:HQ58"/>
    <mergeCell ref="HR58:IC58"/>
    <mergeCell ref="ID58:IN58"/>
    <mergeCell ref="A59:J59"/>
    <mergeCell ref="K59:AF59"/>
    <mergeCell ref="AG59:AT59"/>
    <mergeCell ref="AU59:BF59"/>
    <mergeCell ref="BG59:BX59"/>
    <mergeCell ref="BY59:CP59"/>
    <mergeCell ref="CQ59:DH59"/>
    <mergeCell ref="DI59:DZ59"/>
    <mergeCell ref="EA59:ES59"/>
    <mergeCell ref="EY59:FI59"/>
    <mergeCell ref="FJ59:FU59"/>
    <mergeCell ref="FV59:GG59"/>
    <mergeCell ref="GH59:GS59"/>
    <mergeCell ref="GT59:HE59"/>
    <mergeCell ref="HF59:HQ59"/>
    <mergeCell ref="HR59:IC59"/>
    <mergeCell ref="A58:J58"/>
    <mergeCell ref="K58:AF58"/>
    <mergeCell ref="AG58:AT58"/>
    <mergeCell ref="AU58:BF58"/>
    <mergeCell ref="BG58:BX58"/>
    <mergeCell ref="BY58:CP58"/>
    <mergeCell ref="CQ58:DH58"/>
    <mergeCell ref="DI58:DZ58"/>
    <mergeCell ref="EA58:ES58"/>
    <mergeCell ref="ID56:IN56"/>
    <mergeCell ref="A57:J57"/>
    <mergeCell ref="K57:AF57"/>
    <mergeCell ref="AG57:AT57"/>
    <mergeCell ref="AU57:BF57"/>
    <mergeCell ref="BG57:BX57"/>
    <mergeCell ref="BY57:CP57"/>
    <mergeCell ref="CQ57:DH57"/>
    <mergeCell ref="DI57:DZ57"/>
    <mergeCell ref="EA57:ES57"/>
    <mergeCell ref="EY57:FI57"/>
    <mergeCell ref="FJ57:FU57"/>
    <mergeCell ref="FV57:GG57"/>
    <mergeCell ref="GH57:GS57"/>
    <mergeCell ref="GT57:HE57"/>
    <mergeCell ref="HF57:HQ57"/>
    <mergeCell ref="HR57:IC57"/>
    <mergeCell ref="ID57:IN57"/>
    <mergeCell ref="EY55:FI55"/>
    <mergeCell ref="FJ55:FU55"/>
    <mergeCell ref="FV55:GG55"/>
    <mergeCell ref="GH55:GS55"/>
    <mergeCell ref="GT55:HE55"/>
    <mergeCell ref="HF55:HQ55"/>
    <mergeCell ref="HR55:IC55"/>
    <mergeCell ref="ID55:IN55"/>
    <mergeCell ref="A56:J56"/>
    <mergeCell ref="K56:AF56"/>
    <mergeCell ref="AG56:AT56"/>
    <mergeCell ref="AU56:BF56"/>
    <mergeCell ref="BG56:BX56"/>
    <mergeCell ref="BY56:CP56"/>
    <mergeCell ref="CQ56:DH56"/>
    <mergeCell ref="DI56:DZ56"/>
    <mergeCell ref="EA56:ES56"/>
    <mergeCell ref="EY56:FI56"/>
    <mergeCell ref="FJ56:FU56"/>
    <mergeCell ref="FV56:GG56"/>
    <mergeCell ref="GH56:GS56"/>
    <mergeCell ref="GT56:HE56"/>
    <mergeCell ref="HF56:HQ56"/>
    <mergeCell ref="HR56:IC56"/>
    <mergeCell ref="A55:J55"/>
    <mergeCell ref="K55:AF55"/>
    <mergeCell ref="AG55:AT55"/>
    <mergeCell ref="AU55:BF55"/>
    <mergeCell ref="BG55:BX55"/>
    <mergeCell ref="BY55:CP55"/>
    <mergeCell ref="CQ55:DH55"/>
    <mergeCell ref="DI55:DZ55"/>
    <mergeCell ref="EA55:ES55"/>
    <mergeCell ref="FV53:GG53"/>
    <mergeCell ref="GH53:GS53"/>
    <mergeCell ref="GT53:HE53"/>
    <mergeCell ref="HF53:HQ53"/>
    <mergeCell ref="HR53:IC53"/>
    <mergeCell ref="ID53:IN53"/>
    <mergeCell ref="A54:J54"/>
    <mergeCell ref="K54:AF54"/>
    <mergeCell ref="AG54:AT54"/>
    <mergeCell ref="AU54:BF54"/>
    <mergeCell ref="BG54:BX54"/>
    <mergeCell ref="BY54:CP54"/>
    <mergeCell ref="CQ54:DH54"/>
    <mergeCell ref="DI54:DZ54"/>
    <mergeCell ref="EA54:ES54"/>
    <mergeCell ref="EY54:FI54"/>
    <mergeCell ref="FJ54:FU54"/>
    <mergeCell ref="FV54:GG54"/>
    <mergeCell ref="GH54:GS54"/>
    <mergeCell ref="GT54:HE54"/>
    <mergeCell ref="HF54:HQ54"/>
    <mergeCell ref="HR54:IC54"/>
    <mergeCell ref="ID54:IN54"/>
    <mergeCell ref="AG53:AT53"/>
    <mergeCell ref="AU53:BF53"/>
    <mergeCell ref="BG53:BX53"/>
    <mergeCell ref="BY53:CP53"/>
    <mergeCell ref="CQ53:DH53"/>
    <mergeCell ref="DI53:DZ53"/>
    <mergeCell ref="EA53:ES53"/>
    <mergeCell ref="EY53:FI53"/>
    <mergeCell ref="FJ53:FU53"/>
    <mergeCell ref="FV51:GG51"/>
    <mergeCell ref="GH51:GS51"/>
    <mergeCell ref="GT51:HE51"/>
    <mergeCell ref="HF51:HQ51"/>
    <mergeCell ref="HR51:IC51"/>
    <mergeCell ref="ID51:IN51"/>
    <mergeCell ref="A52:J52"/>
    <mergeCell ref="K52:AF52"/>
    <mergeCell ref="AG52:AT52"/>
    <mergeCell ref="AU52:BF52"/>
    <mergeCell ref="BG52:BX52"/>
    <mergeCell ref="BY52:CP52"/>
    <mergeCell ref="CQ52:DH52"/>
    <mergeCell ref="DI52:DZ52"/>
    <mergeCell ref="EA52:ES52"/>
    <mergeCell ref="EY52:FI52"/>
    <mergeCell ref="FJ52:FU52"/>
    <mergeCell ref="FV52:GG52"/>
    <mergeCell ref="GH52:GS52"/>
    <mergeCell ref="GT52:HE52"/>
    <mergeCell ref="HF52:HQ52"/>
    <mergeCell ref="HR52:IC52"/>
    <mergeCell ref="ID52:IN52"/>
    <mergeCell ref="GT49:HE49"/>
    <mergeCell ref="HF49:HQ49"/>
    <mergeCell ref="HR49:IC49"/>
    <mergeCell ref="ID49:IN49"/>
    <mergeCell ref="A50:J50"/>
    <mergeCell ref="K50:AF50"/>
    <mergeCell ref="AG50:AT50"/>
    <mergeCell ref="AU50:BF50"/>
    <mergeCell ref="BG50:BX50"/>
    <mergeCell ref="BY50:CP50"/>
    <mergeCell ref="CQ50:DH50"/>
    <mergeCell ref="DI50:DZ50"/>
    <mergeCell ref="EA50:ES50"/>
    <mergeCell ref="EY50:FI50"/>
    <mergeCell ref="FJ50:FU50"/>
    <mergeCell ref="FV50:GG50"/>
    <mergeCell ref="GH50:GS50"/>
    <mergeCell ref="GT50:HE50"/>
    <mergeCell ref="HF50:HQ50"/>
    <mergeCell ref="HR50:IC50"/>
    <mergeCell ref="ID50:IN50"/>
    <mergeCell ref="DB126:EF126"/>
    <mergeCell ref="A126:AG126"/>
    <mergeCell ref="AO120:BK120"/>
    <mergeCell ref="BN120:CH120"/>
    <mergeCell ref="CK120:DP120"/>
    <mergeCell ref="AO119:BK119"/>
    <mergeCell ref="BN119:CH119"/>
    <mergeCell ref="CK119:DP119"/>
    <mergeCell ref="AN118:BR118"/>
    <mergeCell ref="BS118:CP118"/>
    <mergeCell ref="CS118:DZ118"/>
    <mergeCell ref="A101:P101"/>
    <mergeCell ref="Q98:AK98"/>
    <mergeCell ref="AP98:BU98"/>
    <mergeCell ref="A99:V99"/>
    <mergeCell ref="CU100:ES100"/>
    <mergeCell ref="Y99:BZ99"/>
    <mergeCell ref="X100:BZ100"/>
    <mergeCell ref="CU103:ES103"/>
    <mergeCell ref="Y102:BZ102"/>
    <mergeCell ref="Y103:BZ103"/>
    <mergeCell ref="CC100:CR100"/>
    <mergeCell ref="CC103:CR103"/>
    <mergeCell ref="AB95:ES95"/>
    <mergeCell ref="AS92:ES92"/>
    <mergeCell ref="CQ89:DH89"/>
    <mergeCell ref="CU102:ER102"/>
    <mergeCell ref="CU99:ES99"/>
    <mergeCell ref="AO112:BK112"/>
    <mergeCell ref="BN112:CH112"/>
    <mergeCell ref="CK112:DP112"/>
    <mergeCell ref="AO117:BQ117"/>
    <mergeCell ref="BT117:CP117"/>
    <mergeCell ref="CS117:DZ117"/>
    <mergeCell ref="A107:ES107"/>
    <mergeCell ref="A109:AM109"/>
    <mergeCell ref="A105:E105"/>
    <mergeCell ref="AO111:BK111"/>
    <mergeCell ref="BN111:CH111"/>
    <mergeCell ref="CK111:DP111"/>
    <mergeCell ref="AO109:BQ109"/>
    <mergeCell ref="BT109:CP109"/>
    <mergeCell ref="CS109:DZ109"/>
    <mergeCell ref="AN110:BR110"/>
    <mergeCell ref="BS110:CP110"/>
    <mergeCell ref="CS110:DZ110"/>
    <mergeCell ref="DM105:DV105"/>
    <mergeCell ref="ED105:ES105"/>
    <mergeCell ref="A97:N97"/>
    <mergeCell ref="Q97:AK97"/>
    <mergeCell ref="AP97:BU97"/>
    <mergeCell ref="A44:J46"/>
    <mergeCell ref="K45:AF46"/>
    <mergeCell ref="GO46:GS46"/>
    <mergeCell ref="CQ46:DH46"/>
    <mergeCell ref="A47:J47"/>
    <mergeCell ref="K47:AF47"/>
    <mergeCell ref="AG47:AT47"/>
    <mergeCell ref="ET44:EX44"/>
    <mergeCell ref="EY44:IN44"/>
    <mergeCell ref="ET45:ET46"/>
    <mergeCell ref="EU45:EU46"/>
    <mergeCell ref="EW45:EW46"/>
    <mergeCell ref="EY45:GS45"/>
    <mergeCell ref="GT45:IN45"/>
    <mergeCell ref="HF46:HQ46"/>
    <mergeCell ref="EY46:FI46"/>
    <mergeCell ref="K89:AF89"/>
    <mergeCell ref="AV91:ES91"/>
    <mergeCell ref="AL93:ES93"/>
    <mergeCell ref="AI94:ES94"/>
    <mergeCell ref="Z96:ES96"/>
    <mergeCell ref="ID46:IJ46"/>
    <mergeCell ref="EA46:ES46"/>
    <mergeCell ref="DI45:DZ46"/>
    <mergeCell ref="GH46:GN46"/>
    <mergeCell ref="HF47:HQ47"/>
    <mergeCell ref="EA47:ES47"/>
    <mergeCell ref="HR47:IC47"/>
    <mergeCell ref="ID47:IN47"/>
    <mergeCell ref="HR46:IC46"/>
    <mergeCell ref="IK46:IN46"/>
    <mergeCell ref="GT47:HE47"/>
    <mergeCell ref="FJ46:FU46"/>
    <mergeCell ref="FV46:GG46"/>
    <mergeCell ref="GT46:HE46"/>
    <mergeCell ref="EA45:ES45"/>
    <mergeCell ref="ID89:IN89"/>
    <mergeCell ref="BY48:CP48"/>
    <mergeCell ref="GT89:HE89"/>
    <mergeCell ref="HF89:HQ89"/>
    <mergeCell ref="HR89:IC89"/>
    <mergeCell ref="HR48:IC48"/>
    <mergeCell ref="BG89:BX89"/>
    <mergeCell ref="BY89:CP89"/>
    <mergeCell ref="ID48:IN48"/>
    <mergeCell ref="GT48:HE48"/>
    <mergeCell ref="HF48:HQ48"/>
    <mergeCell ref="FV48:GG48"/>
    <mergeCell ref="GH48:GS48"/>
    <mergeCell ref="CQ48:DH48"/>
    <mergeCell ref="DI48:DZ48"/>
    <mergeCell ref="EA48:ES48"/>
    <mergeCell ref="EY48:FI48"/>
    <mergeCell ref="FJ48:FU48"/>
    <mergeCell ref="AG89:AT89"/>
    <mergeCell ref="AU89:BF89"/>
    <mergeCell ref="AU47:BF47"/>
    <mergeCell ref="BG47:BX47"/>
    <mergeCell ref="BY47:CP47"/>
    <mergeCell ref="A48:J48"/>
    <mergeCell ref="K48:AF48"/>
    <mergeCell ref="AG48:AT48"/>
    <mergeCell ref="AU48:BF48"/>
    <mergeCell ref="BG48:BX48"/>
    <mergeCell ref="A49:J49"/>
    <mergeCell ref="K49:AF49"/>
    <mergeCell ref="AG49:AT49"/>
    <mergeCell ref="AU49:BF49"/>
    <mergeCell ref="BG49:BX49"/>
    <mergeCell ref="BY49:CP49"/>
    <mergeCell ref="A51:J51"/>
    <mergeCell ref="K51:AF51"/>
    <mergeCell ref="AG51:AT51"/>
    <mergeCell ref="AU51:BF51"/>
    <mergeCell ref="BG51:BX51"/>
    <mergeCell ref="BY51:CP51"/>
    <mergeCell ref="A53:J53"/>
    <mergeCell ref="K53:AF53"/>
    <mergeCell ref="K44:AT44"/>
    <mergeCell ref="BG44:ES44"/>
    <mergeCell ref="AG45:AT46"/>
    <mergeCell ref="AU44:BF46"/>
    <mergeCell ref="BG45:BX46"/>
    <mergeCell ref="A36:AF36"/>
    <mergeCell ref="AJ36:BD36"/>
    <mergeCell ref="BH36:CH36"/>
    <mergeCell ref="A38:AF38"/>
    <mergeCell ref="AJ38:BD38"/>
    <mergeCell ref="BY45:CP46"/>
    <mergeCell ref="CQ45:DH45"/>
    <mergeCell ref="CT23:DZ24"/>
    <mergeCell ref="EB23:ES24"/>
    <mergeCell ref="A26:ES26"/>
    <mergeCell ref="A28:E28"/>
    <mergeCell ref="F28:ES28"/>
    <mergeCell ref="BH38:CH38"/>
    <mergeCell ref="A29:ES29"/>
    <mergeCell ref="A31:CT31"/>
    <mergeCell ref="A33:AF33"/>
    <mergeCell ref="AJ33:BD33"/>
    <mergeCell ref="BH33:CH33"/>
    <mergeCell ref="A34:AF34"/>
    <mergeCell ref="AJ34:BD34"/>
    <mergeCell ref="BH34:CH34"/>
    <mergeCell ref="AP19:CA19"/>
    <mergeCell ref="DI15:DZ16"/>
    <mergeCell ref="EB15:ES16"/>
    <mergeCell ref="AP18:CA18"/>
    <mergeCell ref="DI17:DZ18"/>
    <mergeCell ref="EB17:ES18"/>
    <mergeCell ref="DI19:DZ20"/>
    <mergeCell ref="EB19:ES20"/>
    <mergeCell ref="CT21:DZ22"/>
    <mergeCell ref="EB21:ES22"/>
    <mergeCell ref="EE1:ES1"/>
    <mergeCell ref="DV2:ES2"/>
    <mergeCell ref="A4:ES4"/>
    <mergeCell ref="A5:ES5"/>
    <mergeCell ref="BK7:BM7"/>
    <mergeCell ref="BO7:CM7"/>
    <mergeCell ref="AB11:DH11"/>
    <mergeCell ref="AB14:DG14"/>
    <mergeCell ref="EB9:ES9"/>
    <mergeCell ref="A11:AA11"/>
    <mergeCell ref="DI11:DZ11"/>
    <mergeCell ref="EB11:ES12"/>
    <mergeCell ref="DI12:DZ12"/>
    <mergeCell ref="A14:AA14"/>
    <mergeCell ref="DI13:DZ14"/>
    <mergeCell ref="EB13:ES14"/>
    <mergeCell ref="FV47:GG47"/>
    <mergeCell ref="GH47:GS47"/>
    <mergeCell ref="EY47:FI47"/>
    <mergeCell ref="FJ47:FU47"/>
    <mergeCell ref="CQ47:DH47"/>
    <mergeCell ref="DI47:DZ47"/>
    <mergeCell ref="FV89:GG89"/>
    <mergeCell ref="GH89:GS89"/>
    <mergeCell ref="EY89:FI89"/>
    <mergeCell ref="FJ89:FU89"/>
    <mergeCell ref="DI89:DZ89"/>
    <mergeCell ref="EA89:ES89"/>
    <mergeCell ref="CQ49:DH49"/>
    <mergeCell ref="DI49:DZ49"/>
    <mergeCell ref="EA49:ES49"/>
    <mergeCell ref="EY49:FI49"/>
    <mergeCell ref="FJ49:FU49"/>
    <mergeCell ref="FV49:GG49"/>
    <mergeCell ref="GH49:GS49"/>
    <mergeCell ref="CQ51:DH51"/>
    <mergeCell ref="DI51:DZ51"/>
    <mergeCell ref="EA51:ES51"/>
    <mergeCell ref="EY51:FI51"/>
    <mergeCell ref="FJ51:FU51"/>
  </mergeCells>
  <pageMargins left="0.78740157480314965" right="0.39370078740157483" top="0.39370078740157483" bottom="0.31496062992125984" header="0" footer="0"/>
  <pageSetup paperSize="9" scale="49" orientation="landscape" r:id="rId1"/>
  <headerFooter alignWithMargins="0"/>
  <rowBreaks count="1" manualBreakCount="1">
    <brk id="43" max="247" man="1"/>
  </rowBreaks>
  <colBreaks count="1" manualBreakCount="1">
    <brk id="249" max="99" man="1"/>
  </colBreaks>
</worksheet>
</file>

<file path=xl/worksheets/sheet39.xml><?xml version="1.0" encoding="utf-8"?>
<worksheet xmlns="http://schemas.openxmlformats.org/spreadsheetml/2006/main" xmlns:r="http://schemas.openxmlformats.org/officeDocument/2006/relationships">
  <sheetPr codeName="Лист24"/>
  <dimension ref="A1:T31"/>
  <sheetViews>
    <sheetView view="pageBreakPreview" topLeftCell="A13" zoomScaleNormal="100" zoomScaleSheetLayoutView="100" workbookViewId="0">
      <selection activeCell="J20" sqref="J20:K20"/>
    </sheetView>
  </sheetViews>
  <sheetFormatPr defaultRowHeight="12.75"/>
  <cols>
    <col min="1" max="1" width="2.7109375" customWidth="1"/>
    <col min="2" max="2" width="1.7109375" customWidth="1"/>
    <col min="3" max="3" width="1.5703125" customWidth="1"/>
    <col min="4" max="4" width="19.42578125" customWidth="1"/>
    <col min="5" max="5" width="3" customWidth="1"/>
    <col min="6" max="6" width="3.28515625" customWidth="1"/>
    <col min="7" max="7" width="12.85546875" customWidth="1"/>
    <col min="8" max="8" width="3" customWidth="1"/>
    <col min="9" max="9" width="6.42578125" customWidth="1"/>
    <col min="10" max="10" width="15.140625" customWidth="1"/>
    <col min="11" max="11" width="2.28515625" customWidth="1"/>
    <col min="12" max="12" width="14.7109375" customWidth="1"/>
    <col min="13" max="13" width="4" customWidth="1"/>
    <col min="14" max="14" width="7.5703125" customWidth="1"/>
    <col min="15" max="15" width="7" customWidth="1"/>
    <col min="16" max="16" width="3.5703125" customWidth="1"/>
    <col min="17" max="17" width="6" customWidth="1"/>
    <col min="18" max="18" width="0.5703125" customWidth="1"/>
    <col min="19" max="19" width="13.5703125" customWidth="1"/>
    <col min="20" max="20" width="6.7109375" customWidth="1"/>
  </cols>
  <sheetData>
    <row r="1" spans="1:20">
      <c r="A1" s="439" t="s">
        <v>397</v>
      </c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  <c r="N1" s="437"/>
      <c r="O1" s="437" t="s">
        <v>398</v>
      </c>
      <c r="P1" s="437"/>
      <c r="Q1" s="437"/>
      <c r="R1" s="437"/>
      <c r="S1" s="437"/>
      <c r="T1" s="437"/>
    </row>
    <row r="2" spans="1:20" ht="31.5">
      <c r="A2" s="994" t="s">
        <v>599</v>
      </c>
      <c r="B2" s="437"/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775" t="s">
        <v>399</v>
      </c>
      <c r="P2" s="437"/>
      <c r="Q2" s="437"/>
      <c r="R2" s="437"/>
      <c r="S2" s="437"/>
      <c r="T2" s="437"/>
    </row>
    <row r="3" spans="1:20">
      <c r="A3" s="437"/>
      <c r="B3" s="437"/>
      <c r="C3" s="437"/>
      <c r="D3" s="437"/>
      <c r="E3" s="437"/>
      <c r="F3" s="437"/>
      <c r="G3" s="437"/>
      <c r="H3" s="437"/>
      <c r="I3" s="437"/>
      <c r="J3" s="437"/>
      <c r="K3" s="437"/>
      <c r="L3" s="437"/>
      <c r="M3" s="437"/>
      <c r="N3" s="437"/>
      <c r="O3" s="437" t="s">
        <v>400</v>
      </c>
      <c r="P3" s="437"/>
      <c r="Q3" s="437"/>
      <c r="R3" s="437"/>
      <c r="S3" s="437"/>
      <c r="T3" s="437"/>
    </row>
    <row r="4" spans="1:20" ht="15.75" thickBot="1">
      <c r="A4" s="437"/>
      <c r="B4" s="437"/>
      <c r="C4" s="437"/>
      <c r="D4" s="437"/>
      <c r="E4" s="437"/>
      <c r="F4" s="437"/>
      <c r="G4" s="437"/>
      <c r="H4" s="437"/>
      <c r="I4" s="437"/>
      <c r="J4" s="437"/>
      <c r="K4" s="437"/>
      <c r="L4" s="437"/>
      <c r="M4" s="437"/>
      <c r="N4" s="437"/>
      <c r="O4" s="437"/>
      <c r="P4" s="437"/>
      <c r="Q4" s="437"/>
      <c r="R4" s="437"/>
      <c r="S4" s="1836" t="s">
        <v>55</v>
      </c>
      <c r="T4" s="1837"/>
    </row>
    <row r="5" spans="1:20" ht="15">
      <c r="A5" s="437"/>
      <c r="B5" s="437"/>
      <c r="C5" s="437"/>
      <c r="D5" s="437"/>
      <c r="E5" s="437"/>
      <c r="F5" s="437"/>
      <c r="G5" s="437"/>
      <c r="H5" s="437"/>
      <c r="I5" s="437"/>
      <c r="J5" s="437"/>
      <c r="K5" s="437"/>
      <c r="L5" s="437"/>
      <c r="M5" s="437"/>
      <c r="N5" s="437"/>
      <c r="O5" s="437"/>
      <c r="P5" s="437"/>
      <c r="Q5" s="531" t="s">
        <v>56</v>
      </c>
      <c r="S5" s="1838" t="s">
        <v>401</v>
      </c>
      <c r="T5" s="1839"/>
    </row>
    <row r="6" spans="1:20" ht="15.75">
      <c r="A6" s="565" t="s">
        <v>35</v>
      </c>
      <c r="B6" s="562"/>
      <c r="C6" s="562"/>
      <c r="D6" s="562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32"/>
      <c r="Q6" s="533" t="s">
        <v>57</v>
      </c>
      <c r="R6" s="534"/>
      <c r="S6" s="1826" t="s">
        <v>34</v>
      </c>
      <c r="T6" s="1827"/>
    </row>
    <row r="7" spans="1:20" ht="8.4499999999999993" customHeight="1">
      <c r="A7" s="1849" t="s">
        <v>58</v>
      </c>
      <c r="B7" s="1849"/>
      <c r="C7" s="1849"/>
      <c r="D7" s="1849"/>
      <c r="E7" s="1849"/>
      <c r="F7" s="1849"/>
      <c r="G7" s="1849"/>
      <c r="H7" s="1849"/>
      <c r="I7" s="1849"/>
      <c r="J7" s="1849"/>
      <c r="K7" s="1849"/>
      <c r="L7" s="1849"/>
      <c r="M7" s="1849"/>
      <c r="N7" s="1849"/>
      <c r="O7" s="535"/>
      <c r="P7" s="532"/>
      <c r="Q7" s="533"/>
      <c r="R7" s="534"/>
      <c r="S7" s="1828"/>
      <c r="T7" s="1829"/>
    </row>
    <row r="8" spans="1:20" ht="11.25" customHeight="1">
      <c r="A8" s="566" t="s">
        <v>32</v>
      </c>
      <c r="B8" s="563"/>
      <c r="C8" s="563"/>
      <c r="D8" s="563"/>
      <c r="E8" s="563"/>
      <c r="F8" s="563"/>
      <c r="G8" s="563"/>
      <c r="H8" s="563"/>
      <c r="I8" s="563"/>
      <c r="J8" s="563"/>
      <c r="K8" s="563"/>
      <c r="L8" s="563"/>
      <c r="M8" s="563"/>
      <c r="N8" s="563"/>
      <c r="O8" s="563"/>
      <c r="P8" s="563"/>
      <c r="Q8" s="563"/>
      <c r="R8" s="564"/>
      <c r="S8" s="1826"/>
      <c r="T8" s="1827"/>
    </row>
    <row r="9" spans="1:20" ht="18.75" customHeight="1">
      <c r="A9" s="1848" t="s">
        <v>59</v>
      </c>
      <c r="B9" s="1832"/>
      <c r="C9" s="1832"/>
      <c r="D9" s="1832"/>
      <c r="E9" s="1832"/>
      <c r="F9" s="1832"/>
      <c r="G9" s="1832"/>
      <c r="H9" s="1832"/>
      <c r="I9" s="1832"/>
      <c r="J9" s="1832"/>
      <c r="K9" s="1832"/>
      <c r="L9" s="1832"/>
      <c r="M9" s="1832"/>
      <c r="N9" s="1832"/>
      <c r="O9" s="43"/>
      <c r="P9" s="437"/>
      <c r="Q9" s="531" t="s">
        <v>60</v>
      </c>
      <c r="R9" s="437"/>
      <c r="S9" s="1828"/>
      <c r="T9" s="1829"/>
    </row>
    <row r="10" spans="1:20" ht="15.75">
      <c r="A10" s="437"/>
      <c r="B10" s="437"/>
      <c r="C10" s="536" t="s">
        <v>61</v>
      </c>
      <c r="D10" s="437"/>
      <c r="E10" s="437"/>
      <c r="F10" s="437"/>
      <c r="G10" s="437"/>
      <c r="H10" s="437"/>
      <c r="I10" s="1853" t="s">
        <v>139</v>
      </c>
      <c r="J10" s="1853"/>
      <c r="K10" s="1853"/>
      <c r="L10" s="1853"/>
      <c r="M10" s="1853"/>
      <c r="N10" s="1853"/>
      <c r="O10" s="1854"/>
      <c r="P10" s="1834" t="s">
        <v>4</v>
      </c>
      <c r="Q10" s="1835"/>
      <c r="R10" s="537"/>
      <c r="S10" s="1830" t="s">
        <v>331</v>
      </c>
      <c r="T10" s="1831"/>
    </row>
    <row r="11" spans="1:20" ht="15.75">
      <c r="A11" s="437"/>
      <c r="B11" s="437"/>
      <c r="C11" s="536"/>
      <c r="D11" s="437"/>
      <c r="E11" s="437"/>
      <c r="F11" s="437"/>
      <c r="G11" s="437"/>
      <c r="H11" s="437"/>
      <c r="I11" s="1832" t="s">
        <v>63</v>
      </c>
      <c r="J11" s="1832"/>
      <c r="K11" s="1832"/>
      <c r="L11" s="1832"/>
      <c r="M11" s="1832"/>
      <c r="N11" s="1832"/>
      <c r="O11" s="1833"/>
      <c r="P11" s="1834" t="s">
        <v>64</v>
      </c>
      <c r="Q11" s="1835"/>
      <c r="R11" s="537"/>
      <c r="S11" s="1830" t="s">
        <v>332</v>
      </c>
      <c r="T11" s="1831"/>
    </row>
    <row r="12" spans="1:20" ht="15.75">
      <c r="A12" s="437"/>
      <c r="B12" s="437"/>
      <c r="C12" s="536"/>
      <c r="D12" s="437"/>
      <c r="E12" s="437"/>
      <c r="F12" s="437"/>
      <c r="G12" s="437"/>
      <c r="H12" s="437"/>
      <c r="I12" s="538"/>
      <c r="J12" s="538"/>
      <c r="K12" s="538"/>
      <c r="L12" s="538"/>
      <c r="M12" s="538"/>
      <c r="N12" s="538"/>
      <c r="O12" s="538"/>
      <c r="P12" s="539"/>
      <c r="Q12" s="539" t="s">
        <v>65</v>
      </c>
      <c r="R12" s="440"/>
      <c r="S12" s="1830" t="s">
        <v>31</v>
      </c>
      <c r="T12" s="1831"/>
    </row>
    <row r="13" spans="1:20" ht="15.75">
      <c r="A13" s="437"/>
      <c r="B13" s="437"/>
      <c r="C13" s="536"/>
      <c r="D13" s="437"/>
      <c r="E13" s="437"/>
      <c r="F13" s="437"/>
      <c r="G13" s="437"/>
      <c r="H13" s="437"/>
      <c r="I13" s="538"/>
      <c r="J13" s="538"/>
      <c r="K13" s="538"/>
      <c r="L13" s="538"/>
      <c r="M13" s="538"/>
      <c r="N13" s="538"/>
      <c r="O13" s="538"/>
      <c r="P13" s="539"/>
      <c r="Q13" s="539" t="s">
        <v>66</v>
      </c>
      <c r="R13" s="440"/>
      <c r="S13" s="1830" t="s">
        <v>330</v>
      </c>
      <c r="T13" s="1831"/>
    </row>
    <row r="14" spans="1:20" ht="15.75">
      <c r="A14" s="437"/>
      <c r="B14" s="437"/>
      <c r="C14" s="536"/>
      <c r="D14" s="437"/>
      <c r="E14" s="437"/>
      <c r="F14" s="437"/>
      <c r="G14" s="437"/>
      <c r="H14" s="538"/>
      <c r="I14" s="538"/>
      <c r="J14" s="538"/>
      <c r="K14" s="538"/>
      <c r="L14" s="538"/>
      <c r="M14" s="538"/>
      <c r="N14" s="538"/>
      <c r="O14" s="539"/>
      <c r="P14" s="539" t="s">
        <v>67</v>
      </c>
      <c r="Q14" s="440"/>
      <c r="R14" s="1855"/>
      <c r="S14" s="1856"/>
    </row>
    <row r="15" spans="1:20" ht="16.5" thickBot="1">
      <c r="A15" s="437"/>
      <c r="B15" s="437"/>
      <c r="C15" s="536"/>
      <c r="D15" s="437"/>
      <c r="E15" s="437"/>
      <c r="F15" s="437"/>
      <c r="G15" s="437"/>
      <c r="H15" s="538"/>
      <c r="I15" s="538"/>
      <c r="J15" s="538"/>
      <c r="K15" s="538"/>
      <c r="L15" s="538"/>
      <c r="M15" s="538"/>
      <c r="N15" s="538"/>
      <c r="O15" s="539"/>
      <c r="P15" s="539" t="s">
        <v>349</v>
      </c>
      <c r="Q15" s="440"/>
      <c r="R15" s="1850"/>
      <c r="S15" s="1851"/>
    </row>
    <row r="16" spans="1:20" ht="15.75">
      <c r="A16" s="437"/>
      <c r="B16" s="437"/>
      <c r="C16" s="536"/>
      <c r="D16" s="437"/>
      <c r="E16" s="437"/>
      <c r="F16" s="437"/>
      <c r="G16" s="437"/>
      <c r="H16" s="437"/>
      <c r="I16" s="440"/>
      <c r="J16" s="440"/>
      <c r="K16" s="440"/>
      <c r="L16" s="440"/>
      <c r="M16" s="440"/>
      <c r="N16" s="440"/>
      <c r="O16" s="440"/>
      <c r="P16" s="440"/>
      <c r="Q16" s="440"/>
      <c r="R16" s="440"/>
      <c r="S16" s="561"/>
      <c r="T16" s="118"/>
    </row>
    <row r="17" spans="1:20" ht="15.75" thickBot="1">
      <c r="A17" s="437"/>
      <c r="B17" s="437"/>
      <c r="C17" s="437"/>
      <c r="D17" s="437"/>
      <c r="E17" s="437"/>
      <c r="F17" s="437"/>
      <c r="G17" s="437"/>
      <c r="H17" s="437"/>
      <c r="I17" s="437"/>
      <c r="J17" s="437"/>
      <c r="K17" s="437"/>
      <c r="L17" s="437"/>
      <c r="M17" s="1836" t="s">
        <v>140</v>
      </c>
      <c r="N17" s="1852"/>
      <c r="O17" s="1852"/>
      <c r="P17" s="1837"/>
      <c r="Q17" s="1836" t="s">
        <v>69</v>
      </c>
      <c r="R17" s="1852"/>
      <c r="S17" s="1837"/>
      <c r="T17" s="437"/>
    </row>
    <row r="18" spans="1:20" ht="15.75" thickBot="1">
      <c r="A18" s="437"/>
      <c r="B18" s="437"/>
      <c r="C18" s="437"/>
      <c r="D18" s="437"/>
      <c r="E18" s="437"/>
      <c r="F18" s="437"/>
      <c r="G18" s="437"/>
      <c r="H18" s="1841" t="s">
        <v>342</v>
      </c>
      <c r="I18" s="1841"/>
      <c r="J18" s="1841"/>
      <c r="K18" s="1841"/>
      <c r="L18" s="1842"/>
      <c r="M18" s="1843" t="s">
        <v>293</v>
      </c>
      <c r="N18" s="1844"/>
      <c r="O18" s="1844"/>
      <c r="P18" s="1844"/>
      <c r="Q18" s="1843" t="str">
        <f>S12</f>
        <v>Дата_Инвентар</v>
      </c>
      <c r="R18" s="1844"/>
      <c r="S18" s="1847"/>
      <c r="T18" s="437"/>
    </row>
    <row r="19" spans="1:20" ht="12.75" customHeight="1">
      <c r="A19" s="437"/>
      <c r="B19" s="437"/>
      <c r="C19" s="437"/>
      <c r="D19" s="437"/>
      <c r="F19" s="540" t="s">
        <v>402</v>
      </c>
      <c r="G19" s="540"/>
      <c r="H19" s="540"/>
      <c r="I19" s="540"/>
      <c r="J19" s="540"/>
      <c r="K19" s="540"/>
      <c r="L19" s="540"/>
      <c r="M19" s="540"/>
      <c r="N19" s="540"/>
      <c r="O19" s="540"/>
      <c r="P19" s="540"/>
      <c r="Q19" s="437"/>
      <c r="R19" s="437"/>
      <c r="S19" s="437"/>
      <c r="T19" s="437"/>
    </row>
    <row r="20" spans="1:20" ht="21.2" customHeight="1">
      <c r="A20" s="437"/>
      <c r="B20" s="437"/>
      <c r="C20" s="437"/>
      <c r="D20" s="437"/>
      <c r="E20" s="437"/>
      <c r="F20" s="437"/>
      <c r="G20" s="437"/>
      <c r="H20" s="437"/>
      <c r="I20" s="437"/>
      <c r="J20" s="1845" t="s">
        <v>277</v>
      </c>
      <c r="K20" s="1845"/>
      <c r="L20" s="437"/>
      <c r="M20" s="437"/>
      <c r="N20" s="437"/>
      <c r="O20" s="437"/>
      <c r="P20" s="437"/>
      <c r="Q20" s="437"/>
      <c r="R20" s="437"/>
      <c r="S20" s="437"/>
      <c r="T20" s="437"/>
    </row>
    <row r="21" spans="1:20" ht="15">
      <c r="A21" s="437"/>
      <c r="B21" s="437"/>
      <c r="C21" s="659" t="s">
        <v>403</v>
      </c>
      <c r="D21" s="437"/>
      <c r="E21" s="437"/>
      <c r="F21" s="437"/>
      <c r="G21" s="437"/>
      <c r="H21" s="437"/>
      <c r="I21" s="437"/>
      <c r="J21" s="437"/>
      <c r="K21" s="437"/>
      <c r="L21" s="437"/>
      <c r="M21" s="437"/>
      <c r="N21" s="437"/>
      <c r="O21" s="437"/>
      <c r="P21" s="437"/>
      <c r="Q21" s="437"/>
      <c r="R21" s="437"/>
      <c r="S21" s="437"/>
      <c r="T21" s="437"/>
    </row>
    <row r="22" spans="1:20" ht="15.75">
      <c r="A22" s="536" t="s">
        <v>404</v>
      </c>
      <c r="B22" s="437"/>
      <c r="C22" s="659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</row>
    <row r="23" spans="1:20" ht="27.75" customHeight="1">
      <c r="A23" s="437"/>
      <c r="B23" s="437"/>
      <c r="C23" s="536"/>
      <c r="D23" s="536" t="s">
        <v>78</v>
      </c>
      <c r="E23" s="437"/>
      <c r="F23" s="437"/>
      <c r="G23" s="437"/>
      <c r="H23" s="437"/>
      <c r="I23" s="1644" t="s">
        <v>291</v>
      </c>
      <c r="J23" s="1644"/>
      <c r="K23" s="437"/>
      <c r="L23" s="1846"/>
      <c r="M23" s="1846"/>
      <c r="N23" s="437"/>
      <c r="O23" s="1644" t="s">
        <v>33</v>
      </c>
      <c r="P23" s="1644"/>
      <c r="Q23" s="1644"/>
      <c r="R23" s="1644"/>
      <c r="S23" s="1644"/>
      <c r="T23" s="1644"/>
    </row>
    <row r="24" spans="1:20">
      <c r="A24" s="437"/>
      <c r="B24" s="437"/>
      <c r="C24" s="437"/>
      <c r="D24" s="437"/>
      <c r="E24" s="437"/>
      <c r="F24" s="437"/>
      <c r="G24" s="437"/>
      <c r="H24" s="437"/>
      <c r="I24" s="1832" t="s">
        <v>405</v>
      </c>
      <c r="J24" s="1832"/>
      <c r="K24" s="542"/>
      <c r="L24" s="1832" t="s">
        <v>80</v>
      </c>
      <c r="M24" s="1832"/>
      <c r="N24" s="542"/>
      <c r="O24" s="1832" t="s">
        <v>182</v>
      </c>
      <c r="P24" s="1832"/>
      <c r="Q24" s="1832"/>
      <c r="R24" s="1832"/>
      <c r="S24" s="1832"/>
      <c r="T24" s="1832"/>
    </row>
    <row r="25" spans="1:20" ht="15.75">
      <c r="A25" s="437"/>
      <c r="B25" s="437"/>
      <c r="C25" s="437"/>
      <c r="D25" s="437"/>
      <c r="E25" s="437"/>
      <c r="F25" s="437"/>
      <c r="G25" s="437"/>
      <c r="H25" s="437"/>
      <c r="I25" s="1846"/>
      <c r="J25" s="1846"/>
      <c r="K25" s="543"/>
      <c r="L25" s="1846"/>
      <c r="M25" s="1846"/>
      <c r="N25" s="543"/>
      <c r="O25" s="541"/>
      <c r="P25" s="541"/>
      <c r="Q25" s="541"/>
      <c r="R25" s="541"/>
      <c r="S25" s="541"/>
      <c r="T25" s="541"/>
    </row>
    <row r="26" spans="1:20">
      <c r="A26" s="437"/>
      <c r="B26" s="437"/>
      <c r="C26" s="437"/>
      <c r="D26" s="437"/>
      <c r="E26" s="437"/>
      <c r="F26" s="437"/>
      <c r="G26" s="437"/>
      <c r="H26" s="437"/>
      <c r="I26" s="1832" t="s">
        <v>405</v>
      </c>
      <c r="J26" s="1832"/>
      <c r="K26" s="542"/>
      <c r="L26" s="1832" t="s">
        <v>80</v>
      </c>
      <c r="M26" s="1832"/>
      <c r="N26" s="542"/>
      <c r="O26" s="1832" t="s">
        <v>182</v>
      </c>
      <c r="P26" s="1832"/>
      <c r="Q26" s="1832"/>
      <c r="R26" s="1832"/>
      <c r="S26" s="1832"/>
      <c r="T26" s="1832"/>
    </row>
    <row r="27" spans="1:20">
      <c r="A27" s="437"/>
      <c r="B27" s="437"/>
      <c r="C27" s="437"/>
      <c r="D27" s="437"/>
      <c r="E27" s="437"/>
      <c r="F27" s="437"/>
      <c r="G27" s="437"/>
      <c r="H27" s="437"/>
      <c r="I27" s="437"/>
      <c r="J27" s="437"/>
      <c r="K27" s="437"/>
      <c r="L27" s="437"/>
      <c r="M27" s="437"/>
      <c r="N27" s="437"/>
      <c r="O27" s="437"/>
      <c r="P27" s="437"/>
      <c r="Q27" s="437"/>
      <c r="R27" s="437"/>
      <c r="S27" s="437"/>
      <c r="T27" s="437"/>
    </row>
    <row r="28" spans="1:20" ht="15.75">
      <c r="A28" s="437"/>
      <c r="B28" s="437"/>
      <c r="C28" s="1840" t="s">
        <v>406</v>
      </c>
      <c r="D28" s="1840"/>
      <c r="E28" s="573" t="s">
        <v>438</v>
      </c>
      <c r="F28" s="544" t="s">
        <v>279</v>
      </c>
      <c r="G28" s="573" t="s">
        <v>439</v>
      </c>
      <c r="H28" s="532"/>
      <c r="I28" s="573" t="s">
        <v>440</v>
      </c>
      <c r="J28" s="536" t="s">
        <v>407</v>
      </c>
      <c r="K28" s="437"/>
      <c r="L28" s="437"/>
      <c r="M28" s="437"/>
      <c r="N28" s="437"/>
      <c r="O28" s="437"/>
      <c r="P28" s="437"/>
      <c r="Q28" s="437"/>
      <c r="R28" s="437"/>
      <c r="S28" s="437"/>
      <c r="T28" s="437"/>
    </row>
    <row r="29" spans="1:20" ht="12.75" customHeight="1">
      <c r="A29" s="536" t="s">
        <v>408</v>
      </c>
      <c r="B29" s="536"/>
      <c r="C29" s="536"/>
      <c r="D29" s="536"/>
      <c r="E29" s="437"/>
      <c r="F29" s="437"/>
      <c r="G29" s="437"/>
      <c r="H29" s="437"/>
      <c r="I29" s="437"/>
      <c r="J29" s="437"/>
      <c r="K29" s="437"/>
      <c r="L29" s="437"/>
      <c r="M29" s="437"/>
      <c r="N29" s="437"/>
      <c r="O29" s="437"/>
      <c r="P29" s="437"/>
      <c r="Q29" s="437"/>
      <c r="R29" s="437"/>
      <c r="S29" s="437"/>
      <c r="T29" s="437"/>
    </row>
    <row r="30" spans="1:20">
      <c r="A30" s="437"/>
      <c r="B30" s="437"/>
      <c r="C30" s="437"/>
      <c r="D30" s="437"/>
      <c r="E30" s="437"/>
      <c r="F30" s="437"/>
      <c r="G30" s="437"/>
      <c r="H30" s="437"/>
      <c r="I30" s="437"/>
      <c r="J30" s="437"/>
      <c r="K30" s="437"/>
      <c r="L30" s="437"/>
      <c r="M30" s="437"/>
      <c r="N30" s="437"/>
      <c r="O30" s="437"/>
      <c r="P30" s="437"/>
      <c r="Q30" s="437"/>
      <c r="R30" s="437"/>
      <c r="S30" s="437"/>
      <c r="T30" s="437"/>
    </row>
    <row r="31" spans="1:20" ht="15.75">
      <c r="A31" s="437"/>
      <c r="B31" s="536" t="s">
        <v>148</v>
      </c>
      <c r="C31" s="437"/>
      <c r="D31" s="437"/>
      <c r="E31" s="437"/>
      <c r="F31" s="437"/>
      <c r="G31" s="437"/>
      <c r="H31" s="437"/>
      <c r="I31" s="560"/>
      <c r="J31" s="560"/>
      <c r="K31" s="560"/>
      <c r="L31" s="560"/>
      <c r="M31" s="560"/>
      <c r="N31" s="560"/>
      <c r="O31" s="560"/>
      <c r="P31" s="560"/>
      <c r="Q31" s="560"/>
      <c r="R31" s="560"/>
      <c r="S31" s="560"/>
      <c r="T31" s="560"/>
    </row>
  </sheetData>
  <mergeCells count="34">
    <mergeCell ref="R15:S15"/>
    <mergeCell ref="M17:P17"/>
    <mergeCell ref="Q17:S17"/>
    <mergeCell ref="S10:T10"/>
    <mergeCell ref="I10:O10"/>
    <mergeCell ref="P10:Q10"/>
    <mergeCell ref="S13:T13"/>
    <mergeCell ref="R14:S14"/>
    <mergeCell ref="O23:T23"/>
    <mergeCell ref="I24:J24"/>
    <mergeCell ref="L24:M24"/>
    <mergeCell ref="I25:J25"/>
    <mergeCell ref="L25:M25"/>
    <mergeCell ref="S4:T4"/>
    <mergeCell ref="S5:T5"/>
    <mergeCell ref="S8:T9"/>
    <mergeCell ref="C28:D28"/>
    <mergeCell ref="H18:L18"/>
    <mergeCell ref="M18:P18"/>
    <mergeCell ref="J20:K20"/>
    <mergeCell ref="I23:J23"/>
    <mergeCell ref="L23:M23"/>
    <mergeCell ref="I26:J26"/>
    <mergeCell ref="L26:M26"/>
    <mergeCell ref="Q18:S18"/>
    <mergeCell ref="A9:N9"/>
    <mergeCell ref="A7:N7"/>
    <mergeCell ref="O24:T24"/>
    <mergeCell ref="O26:T26"/>
    <mergeCell ref="S6:T7"/>
    <mergeCell ref="S11:T11"/>
    <mergeCell ref="I11:O11"/>
    <mergeCell ref="P11:Q11"/>
    <mergeCell ref="S12:T12"/>
  </mergeCells>
  <pageMargins left="0.70866141732283472" right="0.39370078740157483" top="0.78740157480314965" bottom="0.39370078740157483" header="0.19685039370078741" footer="0.19685039370078741"/>
  <pageSetup paperSize="9" orientation="landscape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>
  <sheetPr codeName="Лист27"/>
  <dimension ref="A1:AI26"/>
  <sheetViews>
    <sheetView view="pageBreakPreview" topLeftCell="INB1" zoomScaleNormal="100" workbookViewId="0">
      <selection activeCell="G20" sqref="G20"/>
    </sheetView>
  </sheetViews>
  <sheetFormatPr defaultRowHeight="12.75"/>
  <cols>
    <col min="1" max="1" width="3.28515625" customWidth="1"/>
    <col min="2" max="2" width="2.7109375" customWidth="1"/>
    <col min="3" max="3" width="10.7109375" customWidth="1"/>
    <col min="4" max="4" width="5.140625" customWidth="1"/>
    <col min="5" max="5" width="1.5703125" customWidth="1"/>
    <col min="6" max="6" width="1.85546875" customWidth="1"/>
    <col min="7" max="7" width="15.85546875" customWidth="1"/>
    <col min="8" max="8" width="9.28515625" customWidth="1"/>
    <col min="9" max="9" width="1.5703125" customWidth="1"/>
    <col min="10" max="10" width="4.28515625" customWidth="1"/>
    <col min="11" max="11" width="1.85546875" customWidth="1"/>
    <col min="12" max="12" width="2" customWidth="1"/>
    <col min="13" max="13" width="3.5703125" customWidth="1"/>
    <col min="14" max="14" width="2.140625" customWidth="1"/>
    <col min="15" max="15" width="2.42578125" customWidth="1"/>
    <col min="16" max="16" width="6.28515625" customWidth="1"/>
    <col min="17" max="17" width="3.140625" customWidth="1"/>
    <col min="18" max="18" width="2.7109375" customWidth="1"/>
    <col min="19" max="20" width="1.7109375" customWidth="1"/>
    <col min="21" max="21" width="6.7109375" customWidth="1"/>
    <col min="22" max="22" width="1.85546875" customWidth="1"/>
    <col min="23" max="23" width="4.140625" customWidth="1"/>
    <col min="24" max="24" width="4" customWidth="1"/>
    <col min="25" max="25" width="2.28515625" customWidth="1"/>
    <col min="26" max="26" width="4.85546875" customWidth="1"/>
    <col min="27" max="27" width="1.28515625" customWidth="1"/>
    <col min="28" max="28" width="3.28515625" customWidth="1"/>
    <col min="29" max="29" width="6" customWidth="1"/>
    <col min="30" max="30" width="1" customWidth="1"/>
    <col min="31" max="31" width="6.42578125" customWidth="1"/>
    <col min="32" max="32" width="1.42578125" customWidth="1"/>
    <col min="33" max="33" width="2.5703125" customWidth="1"/>
    <col min="34" max="34" width="1.42578125" customWidth="1"/>
    <col min="35" max="35" width="6.28515625" customWidth="1"/>
  </cols>
  <sheetData>
    <row r="1" spans="1:35" ht="14.25" customHeight="1">
      <c r="A1" s="437"/>
      <c r="B1" s="437"/>
      <c r="C1" s="437"/>
      <c r="D1" s="437"/>
      <c r="E1" s="437"/>
      <c r="F1" s="437"/>
      <c r="G1" s="437"/>
      <c r="H1" s="437"/>
      <c r="I1" s="437"/>
      <c r="J1" s="437"/>
      <c r="K1" s="437"/>
      <c r="L1" s="437"/>
      <c r="M1" s="437"/>
      <c r="N1" s="437"/>
      <c r="O1" s="437"/>
      <c r="P1" s="545"/>
      <c r="Q1" s="545"/>
      <c r="R1" s="545"/>
      <c r="S1" s="545"/>
      <c r="T1" s="545"/>
      <c r="U1" s="545"/>
      <c r="V1" s="545"/>
      <c r="W1" s="545"/>
      <c r="X1" s="545"/>
      <c r="Y1" s="545"/>
      <c r="Z1" s="545"/>
      <c r="AA1" s="545"/>
      <c r="AB1" s="437"/>
      <c r="AC1" s="252"/>
      <c r="AD1" s="252"/>
      <c r="AE1" s="252"/>
      <c r="AF1" s="252"/>
      <c r="AG1" s="252"/>
      <c r="AH1" s="252"/>
      <c r="AI1" s="546" t="s">
        <v>409</v>
      </c>
    </row>
    <row r="2" spans="1:35" ht="58.7" customHeight="1">
      <c r="A2" s="1862" t="s">
        <v>410</v>
      </c>
      <c r="B2" s="1863"/>
      <c r="C2" s="1859" t="s">
        <v>411</v>
      </c>
      <c r="D2" s="1860"/>
      <c r="E2" s="1861"/>
      <c r="F2" s="1859" t="s">
        <v>412</v>
      </c>
      <c r="G2" s="1860"/>
      <c r="H2" s="1860"/>
      <c r="I2" s="1861"/>
      <c r="J2" s="1862" t="s">
        <v>413</v>
      </c>
      <c r="K2" s="1866"/>
      <c r="L2" s="1863"/>
      <c r="M2" s="1862" t="s">
        <v>414</v>
      </c>
      <c r="N2" s="1866"/>
      <c r="O2" s="1863"/>
      <c r="P2" s="1868" t="s">
        <v>415</v>
      </c>
      <c r="Q2" s="1869"/>
      <c r="R2" s="1869"/>
      <c r="S2" s="1869"/>
      <c r="T2" s="1869"/>
      <c r="U2" s="1870"/>
      <c r="V2" s="1859" t="s">
        <v>284</v>
      </c>
      <c r="W2" s="1860"/>
      <c r="X2" s="1860"/>
      <c r="Y2" s="1861"/>
      <c r="Z2" s="1859" t="s">
        <v>285</v>
      </c>
      <c r="AA2" s="1860"/>
      <c r="AB2" s="1860"/>
      <c r="AC2" s="1860"/>
      <c r="AD2" s="1861"/>
      <c r="AE2" s="1859" t="s">
        <v>416</v>
      </c>
      <c r="AF2" s="1860"/>
      <c r="AG2" s="1860"/>
      <c r="AH2" s="1860"/>
      <c r="AI2" s="1861"/>
    </row>
    <row r="3" spans="1:35" ht="70.5" customHeight="1">
      <c r="A3" s="1864"/>
      <c r="B3" s="1865"/>
      <c r="C3" s="548" t="s">
        <v>8</v>
      </c>
      <c r="D3" s="1859" t="s">
        <v>417</v>
      </c>
      <c r="E3" s="1861"/>
      <c r="F3" s="1859" t="s">
        <v>418</v>
      </c>
      <c r="G3" s="1861"/>
      <c r="H3" s="1859" t="s">
        <v>419</v>
      </c>
      <c r="I3" s="1861"/>
      <c r="J3" s="1864"/>
      <c r="K3" s="1867"/>
      <c r="L3" s="1865"/>
      <c r="M3" s="1864"/>
      <c r="N3" s="1867"/>
      <c r="O3" s="1865"/>
      <c r="P3" s="547" t="s">
        <v>420</v>
      </c>
      <c r="Q3" s="1859" t="s">
        <v>4</v>
      </c>
      <c r="R3" s="1860"/>
      <c r="S3" s="1861"/>
      <c r="T3" s="1859" t="s">
        <v>64</v>
      </c>
      <c r="U3" s="1861"/>
      <c r="V3" s="1859" t="s">
        <v>421</v>
      </c>
      <c r="W3" s="1861"/>
      <c r="X3" s="1859" t="s">
        <v>422</v>
      </c>
      <c r="Y3" s="1861"/>
      <c r="Z3" s="1859" t="s">
        <v>423</v>
      </c>
      <c r="AA3" s="1861"/>
      <c r="AB3" s="1859" t="s">
        <v>424</v>
      </c>
      <c r="AC3" s="1860"/>
      <c r="AD3" s="1861"/>
      <c r="AE3" s="1859" t="s">
        <v>286</v>
      </c>
      <c r="AF3" s="1861"/>
      <c r="AG3" s="1859" t="s">
        <v>425</v>
      </c>
      <c r="AH3" s="1860"/>
      <c r="AI3" s="1861"/>
    </row>
    <row r="4" spans="1:35" s="437" customFormat="1">
      <c r="A4" s="1871">
        <v>1</v>
      </c>
      <c r="B4" s="1872"/>
      <c r="C4" s="549">
        <v>2</v>
      </c>
      <c r="D4" s="1871">
        <v>3</v>
      </c>
      <c r="E4" s="1872"/>
      <c r="F4" s="1871">
        <v>4</v>
      </c>
      <c r="G4" s="1872"/>
      <c r="H4" s="1871">
        <v>5</v>
      </c>
      <c r="I4" s="1872"/>
      <c r="J4" s="1871">
        <v>6</v>
      </c>
      <c r="K4" s="1873"/>
      <c r="L4" s="1872"/>
      <c r="M4" s="1871">
        <v>7</v>
      </c>
      <c r="N4" s="1873"/>
      <c r="O4" s="1872"/>
      <c r="P4" s="549">
        <v>8</v>
      </c>
      <c r="Q4" s="1871">
        <v>9</v>
      </c>
      <c r="R4" s="1873"/>
      <c r="S4" s="1872"/>
      <c r="T4" s="1871">
        <v>10</v>
      </c>
      <c r="U4" s="1872"/>
      <c r="V4" s="1871">
        <v>11</v>
      </c>
      <c r="W4" s="1872"/>
      <c r="X4" s="1871">
        <v>12</v>
      </c>
      <c r="Y4" s="1872"/>
      <c r="Z4" s="1871">
        <v>13</v>
      </c>
      <c r="AA4" s="1872"/>
      <c r="AB4" s="1871">
        <v>14</v>
      </c>
      <c r="AC4" s="1873"/>
      <c r="AD4" s="1872"/>
      <c r="AE4" s="1871">
        <v>15</v>
      </c>
      <c r="AF4" s="1872"/>
      <c r="AG4" s="1871">
        <v>16</v>
      </c>
      <c r="AH4" s="1873"/>
      <c r="AI4" s="1872"/>
    </row>
    <row r="5" spans="1:35" s="437" customFormat="1">
      <c r="A5" s="1874" t="s">
        <v>4</v>
      </c>
      <c r="B5" s="1875"/>
      <c r="C5" s="999" t="s">
        <v>592</v>
      </c>
      <c r="D5" s="1880" t="s">
        <v>593</v>
      </c>
      <c r="E5" s="1880"/>
      <c r="F5" s="1876" t="s">
        <v>6</v>
      </c>
      <c r="G5" s="1877"/>
      <c r="H5" s="1878" t="s">
        <v>7</v>
      </c>
      <c r="I5" s="1879"/>
      <c r="J5" s="1874" t="s">
        <v>691</v>
      </c>
      <c r="K5" s="1881"/>
      <c r="L5" s="1875"/>
      <c r="M5" s="1885" t="s">
        <v>690</v>
      </c>
      <c r="N5" s="1885"/>
      <c r="O5" s="1885"/>
      <c r="P5" s="478" t="s">
        <v>692</v>
      </c>
      <c r="Q5" s="1874" t="s">
        <v>693</v>
      </c>
      <c r="R5" s="1881"/>
      <c r="S5" s="1875"/>
      <c r="T5" s="1874" t="s">
        <v>694</v>
      </c>
      <c r="U5" s="1875"/>
      <c r="V5" s="1874" t="s">
        <v>8</v>
      </c>
      <c r="W5" s="1875"/>
      <c r="X5" s="1874" t="s">
        <v>336</v>
      </c>
      <c r="Y5" s="1875"/>
      <c r="Z5" s="1615" t="s">
        <v>16</v>
      </c>
      <c r="AA5" s="1617"/>
      <c r="AB5" s="1612" t="s">
        <v>17</v>
      </c>
      <c r="AC5" s="1613"/>
      <c r="AD5" s="1614"/>
      <c r="AE5" s="1615" t="s">
        <v>18</v>
      </c>
      <c r="AF5" s="1617"/>
      <c r="AG5" s="1612" t="s">
        <v>19</v>
      </c>
      <c r="AH5" s="1613"/>
      <c r="AI5" s="1614"/>
    </row>
    <row r="6" spans="1:35" s="550" customFormat="1" ht="12.2" customHeight="1">
      <c r="A6" s="567" t="s">
        <v>115</v>
      </c>
      <c r="B6" s="567"/>
      <c r="C6" s="568"/>
      <c r="D6" s="569"/>
      <c r="E6" s="569"/>
      <c r="F6" s="570"/>
      <c r="G6" s="570"/>
      <c r="H6" s="571"/>
      <c r="I6" s="571"/>
      <c r="J6" s="570"/>
      <c r="K6" s="570"/>
      <c r="L6" s="570"/>
      <c r="M6" s="350"/>
      <c r="N6" s="350"/>
      <c r="O6" s="350"/>
      <c r="P6" s="568"/>
      <c r="Q6" s="572"/>
      <c r="R6" s="572"/>
      <c r="S6" s="572"/>
      <c r="T6" s="572"/>
      <c r="U6" s="572"/>
      <c r="V6" s="572"/>
      <c r="W6" s="572"/>
      <c r="X6" s="572"/>
      <c r="Y6" s="551" t="s">
        <v>426</v>
      </c>
      <c r="Z6" s="1886"/>
      <c r="AA6" s="1887"/>
      <c r="AB6" s="1888"/>
      <c r="AC6" s="1889"/>
      <c r="AD6" s="1890"/>
      <c r="AE6" s="1886"/>
      <c r="AF6" s="1887"/>
      <c r="AG6" s="1888"/>
      <c r="AH6" s="1889"/>
      <c r="AI6" s="1890"/>
    </row>
    <row r="7" spans="1:35" ht="12.2" customHeight="1">
      <c r="A7" s="437"/>
      <c r="B7" s="437"/>
      <c r="C7" s="552" t="s">
        <v>427</v>
      </c>
      <c r="D7" s="437"/>
      <c r="E7" s="437"/>
      <c r="F7" s="437"/>
      <c r="G7" s="437"/>
      <c r="H7" s="437"/>
      <c r="I7" s="437"/>
      <c r="J7" s="437"/>
      <c r="K7" s="437"/>
      <c r="L7" s="437"/>
      <c r="M7" s="437"/>
      <c r="N7" s="437"/>
      <c r="O7" s="437"/>
      <c r="P7" s="437"/>
      <c r="Q7" s="437"/>
      <c r="R7" s="437"/>
      <c r="AE7" s="545"/>
      <c r="AF7" s="545"/>
      <c r="AG7" s="545"/>
      <c r="AH7" s="545"/>
      <c r="AI7" s="545"/>
    </row>
    <row r="8" spans="1:35" ht="12.2" customHeight="1">
      <c r="A8" s="552" t="s">
        <v>428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</row>
    <row r="9" spans="1:35" ht="12.2" customHeight="1">
      <c r="A9" s="437"/>
      <c r="B9" s="552" t="s">
        <v>429</v>
      </c>
      <c r="C9" s="437"/>
      <c r="D9" s="437"/>
      <c r="E9" s="1017"/>
      <c r="F9" s="1013"/>
      <c r="G9" s="1013"/>
      <c r="H9" s="1013"/>
      <c r="I9" s="1013"/>
      <c r="J9" s="1013"/>
      <c r="K9" s="1013"/>
      <c r="L9" s="1013"/>
      <c r="M9" s="1013"/>
      <c r="N9" s="1013"/>
      <c r="O9" s="1013"/>
      <c r="P9" s="1013"/>
      <c r="Q9" s="1013"/>
      <c r="R9" s="1013"/>
      <c r="S9" s="1013"/>
      <c r="T9" s="1013"/>
      <c r="U9" s="1013"/>
      <c r="V9" s="1013"/>
      <c r="W9" s="1013"/>
      <c r="X9" s="1013"/>
      <c r="Y9" s="1013"/>
      <c r="Z9" s="1013"/>
      <c r="AA9" s="1013"/>
      <c r="AB9" s="1013"/>
      <c r="AC9" s="1013"/>
      <c r="AD9" s="1013"/>
      <c r="AE9" s="1013"/>
      <c r="AF9" s="1013"/>
      <c r="AG9" s="1013"/>
      <c r="AH9" s="1018"/>
      <c r="AI9" s="1016"/>
    </row>
    <row r="10" spans="1:35" ht="12.2" customHeight="1">
      <c r="A10" s="437"/>
      <c r="B10" s="552"/>
      <c r="C10" s="437"/>
      <c r="D10" s="437"/>
      <c r="F10" s="1858" t="s">
        <v>118</v>
      </c>
      <c r="G10" s="1858"/>
      <c r="H10" s="1858"/>
      <c r="I10" s="1858"/>
      <c r="J10" s="1858"/>
      <c r="K10" s="1858"/>
      <c r="L10" s="1858"/>
      <c r="M10" s="1858"/>
      <c r="N10" s="1858"/>
      <c r="O10" s="1858"/>
      <c r="P10" s="1858"/>
      <c r="Q10" s="1858"/>
      <c r="R10" s="1858"/>
      <c r="S10" s="1858"/>
      <c r="T10" s="1858"/>
      <c r="U10" s="1858"/>
      <c r="V10" s="1858"/>
      <c r="W10" s="1858"/>
      <c r="X10" s="1858"/>
      <c r="Y10" s="1858"/>
      <c r="Z10" s="1858"/>
      <c r="AA10" s="1858"/>
      <c r="AB10" s="1858"/>
      <c r="AC10" s="1858"/>
      <c r="AD10" s="1858"/>
      <c r="AE10" s="1858"/>
      <c r="AF10" s="1858"/>
      <c r="AG10" s="1858"/>
      <c r="AH10" s="1858"/>
      <c r="AI10" s="1858"/>
    </row>
    <row r="11" spans="1:35" ht="12.2" customHeight="1">
      <c r="A11" s="437"/>
      <c r="B11" s="552" t="s">
        <v>124</v>
      </c>
      <c r="C11" s="437"/>
      <c r="D11" s="437"/>
      <c r="E11" s="437"/>
      <c r="F11" s="437"/>
      <c r="G11" s="1884" t="s">
        <v>125</v>
      </c>
      <c r="H11" s="1884"/>
      <c r="I11" s="1884"/>
      <c r="J11" s="1884"/>
      <c r="K11" s="1884"/>
      <c r="L11" s="1884"/>
      <c r="M11" s="1884"/>
      <c r="N11" s="1884"/>
      <c r="O11" s="1884"/>
      <c r="P11" s="1884"/>
      <c r="Q11" s="1014"/>
      <c r="R11" s="1011"/>
      <c r="S11" s="1018"/>
      <c r="T11" s="1018"/>
      <c r="U11" s="9"/>
      <c r="V11" s="1019"/>
      <c r="W11" s="1019"/>
      <c r="X11" s="1019"/>
      <c r="Y11" s="1020"/>
      <c r="Z11" s="1884" t="s">
        <v>126</v>
      </c>
      <c r="AA11" s="1884"/>
      <c r="AB11" s="1884"/>
      <c r="AC11" s="1884"/>
      <c r="AD11" s="1884"/>
      <c r="AE11" s="1884"/>
      <c r="AF11" s="1884"/>
      <c r="AG11" s="1884"/>
      <c r="AH11" s="1884"/>
      <c r="AI11" s="1884"/>
    </row>
    <row r="12" spans="1:35" ht="12.2" customHeight="1">
      <c r="A12" s="437"/>
      <c r="B12" s="437"/>
      <c r="C12" s="437"/>
      <c r="D12" s="437"/>
      <c r="E12" s="437"/>
      <c r="F12" s="437"/>
      <c r="G12" s="1848" t="s">
        <v>183</v>
      </c>
      <c r="H12" s="1848"/>
      <c r="I12" s="1848"/>
      <c r="J12" s="1848"/>
      <c r="K12" s="1848"/>
      <c r="L12" s="1848"/>
      <c r="M12" s="1848"/>
      <c r="N12" s="1848"/>
      <c r="O12" s="1848"/>
      <c r="P12" s="1848"/>
      <c r="Q12" s="1012"/>
      <c r="R12" s="1832" t="s">
        <v>80</v>
      </c>
      <c r="S12" s="1832"/>
      <c r="T12" s="1832"/>
      <c r="U12" s="1832"/>
      <c r="V12" s="1832"/>
      <c r="W12" s="1832"/>
      <c r="X12" s="1832"/>
      <c r="Y12" s="865"/>
      <c r="Z12" s="1848" t="s">
        <v>182</v>
      </c>
      <c r="AA12" s="1848"/>
      <c r="AB12" s="1848"/>
      <c r="AC12" s="1848"/>
      <c r="AD12" s="1848"/>
      <c r="AE12" s="1848"/>
      <c r="AF12" s="1848"/>
      <c r="AG12" s="1848"/>
      <c r="AH12" s="1848"/>
      <c r="AI12" s="1848"/>
    </row>
    <row r="13" spans="1:35" ht="12.2" customHeight="1">
      <c r="A13" s="437"/>
      <c r="B13" s="552" t="s">
        <v>127</v>
      </c>
      <c r="C13" s="437"/>
      <c r="D13" s="437"/>
      <c r="E13" s="437"/>
      <c r="F13" s="437"/>
      <c r="G13" s="538"/>
      <c r="H13" s="538"/>
      <c r="I13" s="538"/>
      <c r="J13" s="542"/>
      <c r="K13" s="538"/>
      <c r="L13" s="538"/>
      <c r="M13" s="538"/>
      <c r="N13" s="538"/>
      <c r="O13" s="538"/>
      <c r="P13" s="538"/>
      <c r="Q13" s="538"/>
      <c r="R13" s="1012"/>
      <c r="S13" s="1012"/>
      <c r="T13" s="1012"/>
      <c r="U13" s="1012"/>
      <c r="V13" s="1012"/>
      <c r="W13" s="1012"/>
      <c r="X13" s="1012"/>
      <c r="Y13" s="1012"/>
      <c r="Z13" s="538"/>
      <c r="AA13" s="538"/>
      <c r="AB13" s="538"/>
      <c r="AC13" s="538"/>
      <c r="AD13" s="538"/>
      <c r="AE13" s="538"/>
      <c r="AF13" s="437"/>
      <c r="AG13" s="437"/>
      <c r="AH13" s="437"/>
      <c r="AI13" s="437"/>
    </row>
    <row r="14" spans="1:35" ht="11.25" customHeight="1">
      <c r="A14" s="437"/>
      <c r="C14" s="437"/>
      <c r="D14" s="437"/>
      <c r="E14" s="437"/>
      <c r="F14" s="437"/>
      <c r="G14" s="1019" t="s">
        <v>3</v>
      </c>
      <c r="H14" s="1019"/>
      <c r="I14" s="1019"/>
      <c r="J14" s="437"/>
      <c r="K14" s="1008"/>
      <c r="L14" s="1008"/>
      <c r="M14" s="1008"/>
      <c r="N14" s="1008"/>
      <c r="O14" s="1008"/>
      <c r="P14" s="1008"/>
      <c r="Q14" s="1014"/>
      <c r="R14" s="1011"/>
      <c r="S14" s="1018"/>
      <c r="T14" s="1018"/>
      <c r="U14" s="9"/>
      <c r="V14" s="1019"/>
      <c r="W14" s="1019"/>
      <c r="X14" s="1019"/>
      <c r="Y14" s="1020"/>
      <c r="Z14" s="1884" t="s">
        <v>1</v>
      </c>
      <c r="AA14" s="1884"/>
      <c r="AB14" s="1884"/>
      <c r="AC14" s="1884"/>
      <c r="AD14" s="1884"/>
      <c r="AE14" s="1884"/>
      <c r="AF14" s="1884"/>
      <c r="AG14" s="1884"/>
      <c r="AH14" s="1884"/>
      <c r="AI14" s="1884"/>
    </row>
    <row r="15" spans="1:35" ht="12.2" customHeight="1">
      <c r="A15" s="437"/>
      <c r="B15" s="437"/>
      <c r="C15" s="437"/>
      <c r="D15" s="437"/>
      <c r="E15" s="437"/>
      <c r="F15" s="437"/>
      <c r="G15" s="1832" t="s">
        <v>183</v>
      </c>
      <c r="H15" s="1832"/>
      <c r="I15" s="1832"/>
      <c r="J15" s="1832"/>
      <c r="K15" s="1832"/>
      <c r="L15" s="1832"/>
      <c r="M15" s="1832"/>
      <c r="N15" s="1832"/>
      <c r="O15" s="1832"/>
      <c r="P15" s="1832"/>
      <c r="Q15" s="1012"/>
      <c r="R15" s="1832" t="s">
        <v>80</v>
      </c>
      <c r="S15" s="1832"/>
      <c r="T15" s="1832"/>
      <c r="U15" s="1832"/>
      <c r="V15" s="1832"/>
      <c r="W15" s="1832"/>
      <c r="X15" s="1832"/>
      <c r="Y15" s="865"/>
      <c r="Z15" s="1848" t="s">
        <v>182</v>
      </c>
      <c r="AA15" s="1848"/>
      <c r="AB15" s="1848"/>
      <c r="AC15" s="1848"/>
      <c r="AD15" s="1848"/>
      <c r="AE15" s="1848"/>
      <c r="AF15" s="1848"/>
      <c r="AG15" s="1848"/>
      <c r="AH15" s="1848"/>
      <c r="AI15" s="1848"/>
    </row>
    <row r="16" spans="1:35" ht="12.2" customHeight="1">
      <c r="A16" s="437"/>
      <c r="B16" s="437" t="s">
        <v>430</v>
      </c>
      <c r="C16" s="437"/>
      <c r="D16" s="437"/>
      <c r="E16" s="437"/>
      <c r="F16" s="437"/>
      <c r="G16" s="440"/>
      <c r="H16" s="440"/>
      <c r="I16" s="440"/>
      <c r="J16" s="437"/>
      <c r="K16" s="440"/>
      <c r="L16" s="437"/>
      <c r="M16" s="437"/>
      <c r="O16" s="1009"/>
      <c r="P16" s="1009" t="s">
        <v>292</v>
      </c>
      <c r="Q16" s="1009"/>
      <c r="R16" s="1009"/>
      <c r="S16" s="1009"/>
      <c r="T16" s="1891" t="s">
        <v>280</v>
      </c>
      <c r="U16" s="1891"/>
      <c r="V16" s="1882" t="s">
        <v>39</v>
      </c>
      <c r="W16" s="1882"/>
      <c r="X16" s="1882"/>
      <c r="Y16" s="1882"/>
      <c r="Z16" s="1882"/>
      <c r="AA16" s="1883" t="s">
        <v>431</v>
      </c>
      <c r="AB16" s="1883"/>
      <c r="AC16" s="1883"/>
      <c r="AD16" s="1883"/>
      <c r="AE16" s="1883"/>
      <c r="AF16" s="1883"/>
      <c r="AG16" s="1883"/>
      <c r="AH16" s="1883"/>
      <c r="AI16" s="1883"/>
    </row>
    <row r="17" spans="1:35" ht="12.2" customHeight="1">
      <c r="A17" s="437" t="s">
        <v>432</v>
      </c>
      <c r="B17" s="437"/>
      <c r="C17" s="437"/>
      <c r="D17" s="437"/>
      <c r="E17" s="437"/>
      <c r="F17" s="437"/>
      <c r="G17" s="440"/>
      <c r="H17" s="440"/>
      <c r="I17" s="440"/>
      <c r="J17" s="437"/>
      <c r="K17" s="440"/>
      <c r="L17" s="437"/>
      <c r="M17" s="437"/>
      <c r="N17" s="437"/>
      <c r="O17" s="440"/>
      <c r="P17" s="437"/>
      <c r="Q17" s="437"/>
      <c r="R17" s="437"/>
    </row>
    <row r="18" spans="1:35" ht="12.2" customHeight="1">
      <c r="A18" s="437" t="s">
        <v>433</v>
      </c>
      <c r="B18" s="437"/>
      <c r="C18" s="437"/>
      <c r="D18" s="552"/>
      <c r="E18" s="437"/>
      <c r="F18" s="437"/>
      <c r="G18" s="437"/>
      <c r="H18" s="437"/>
      <c r="I18" s="437"/>
      <c r="J18" s="437"/>
      <c r="K18" s="437"/>
      <c r="L18" s="437"/>
      <c r="M18" s="437"/>
      <c r="N18" s="437"/>
      <c r="O18" s="437"/>
      <c r="P18" s="437"/>
      <c r="Q18" s="437"/>
      <c r="R18" s="437"/>
    </row>
    <row r="19" spans="1:35" s="552" customFormat="1" ht="12.2" customHeight="1">
      <c r="C19" s="552" t="s">
        <v>78</v>
      </c>
      <c r="D19" s="437"/>
      <c r="H19" s="1884" t="s">
        <v>291</v>
      </c>
      <c r="I19" s="1884"/>
      <c r="J19" s="1884"/>
      <c r="K19" s="1884"/>
      <c r="L19" s="1884"/>
      <c r="M19" s="1884"/>
      <c r="N19" s="1884"/>
      <c r="O19" s="1884"/>
      <c r="P19" s="1884"/>
      <c r="Q19" s="1884"/>
      <c r="R19" s="1884"/>
      <c r="S19" s="1884"/>
      <c r="T19" s="798"/>
      <c r="U19" s="796"/>
      <c r="V19" s="796"/>
      <c r="W19" s="796"/>
      <c r="X19" s="796"/>
      <c r="Z19" s="1584" t="s">
        <v>33</v>
      </c>
      <c r="AA19" s="1584"/>
      <c r="AB19" s="1584"/>
      <c r="AC19" s="1584"/>
      <c r="AD19" s="1584"/>
      <c r="AE19" s="1584"/>
      <c r="AF19" s="1584"/>
      <c r="AG19" s="1584"/>
      <c r="AH19" s="1584"/>
      <c r="AI19" s="1584"/>
    </row>
    <row r="20" spans="1:35" ht="12.2" customHeight="1">
      <c r="A20" s="437"/>
      <c r="B20" s="437"/>
      <c r="C20" s="437"/>
      <c r="D20" s="552"/>
      <c r="E20" s="437"/>
      <c r="F20" s="437"/>
      <c r="G20" s="437"/>
      <c r="H20" s="1711" t="s">
        <v>183</v>
      </c>
      <c r="I20" s="1711"/>
      <c r="J20" s="1711"/>
      <c r="K20" s="1711"/>
      <c r="L20" s="1711"/>
      <c r="M20" s="1711"/>
      <c r="N20" s="1711"/>
      <c r="O20" s="1711"/>
      <c r="P20" s="1711"/>
      <c r="Q20" s="1711"/>
      <c r="R20" s="1711"/>
      <c r="S20" s="1711"/>
      <c r="T20" s="1015"/>
      <c r="U20" s="1857" t="s">
        <v>80</v>
      </c>
      <c r="V20" s="1857"/>
      <c r="W20" s="1857"/>
      <c r="X20" s="1857"/>
      <c r="Y20" s="554"/>
      <c r="Z20" s="1858" t="s">
        <v>182</v>
      </c>
      <c r="AA20" s="1858"/>
      <c r="AB20" s="1858"/>
      <c r="AC20" s="1858"/>
      <c r="AD20" s="1858"/>
      <c r="AE20" s="1858"/>
      <c r="AF20" s="1858"/>
      <c r="AG20" s="1858"/>
      <c r="AH20" s="1858"/>
      <c r="AI20" s="1858"/>
    </row>
    <row r="21" spans="1:35" s="552" customFormat="1" ht="12.2" customHeight="1">
      <c r="D21" s="437"/>
      <c r="H21" s="1016"/>
      <c r="I21" s="1016"/>
      <c r="J21" s="1016"/>
      <c r="K21" s="1010"/>
      <c r="L21" s="1010"/>
      <c r="M21" s="1010"/>
      <c r="N21" s="1010"/>
      <c r="O21" s="1010"/>
      <c r="P21" s="1010"/>
      <c r="Q21" s="1010"/>
      <c r="R21" s="1016"/>
      <c r="S21" s="796"/>
      <c r="T21" s="798"/>
      <c r="U21" s="796"/>
      <c r="V21" s="796"/>
      <c r="W21" s="796"/>
      <c r="X21" s="796"/>
      <c r="Z21" s="1010"/>
      <c r="AA21" s="1010"/>
      <c r="AB21" s="1010"/>
      <c r="AC21" s="1010"/>
      <c r="AD21" s="1010"/>
      <c r="AE21" s="1010"/>
      <c r="AF21" s="1010"/>
      <c r="AG21" s="1010"/>
      <c r="AH21" s="1016"/>
      <c r="AI21" s="1016"/>
    </row>
    <row r="22" spans="1:35" ht="12.2" customHeight="1">
      <c r="A22" s="437"/>
      <c r="B22" s="437"/>
      <c r="C22" s="437"/>
      <c r="D22" s="552"/>
      <c r="E22" s="437"/>
      <c r="F22" s="437"/>
      <c r="G22" s="437"/>
      <c r="H22" s="1858" t="s">
        <v>183</v>
      </c>
      <c r="I22" s="1858"/>
      <c r="J22" s="1858"/>
      <c r="K22" s="1858"/>
      <c r="L22" s="1858"/>
      <c r="M22" s="1858"/>
      <c r="N22" s="1858"/>
      <c r="O22" s="1858"/>
      <c r="P22" s="1858"/>
      <c r="Q22" s="1858"/>
      <c r="R22" s="1858"/>
      <c r="S22" s="1858"/>
      <c r="T22" s="1015"/>
      <c r="U22" s="1857" t="s">
        <v>80</v>
      </c>
      <c r="V22" s="1857"/>
      <c r="W22" s="1857"/>
      <c r="X22" s="1857"/>
      <c r="Y22" s="554"/>
      <c r="Z22" s="1858" t="s">
        <v>182</v>
      </c>
      <c r="AA22" s="1858"/>
      <c r="AB22" s="1858"/>
      <c r="AC22" s="1858"/>
      <c r="AD22" s="1858"/>
      <c r="AE22" s="1858"/>
      <c r="AF22" s="1858"/>
      <c r="AG22" s="1858"/>
      <c r="AH22" s="1858"/>
      <c r="AI22" s="1858"/>
    </row>
    <row r="23" spans="1:35" s="552" customFormat="1" ht="12.2" customHeight="1">
      <c r="C23" s="552" t="s">
        <v>136</v>
      </c>
      <c r="D23" s="437"/>
      <c r="K23" s="1008"/>
      <c r="L23" s="1010"/>
      <c r="M23" s="1010"/>
      <c r="N23" s="1010"/>
      <c r="O23" s="1010"/>
      <c r="P23" s="1010"/>
      <c r="Q23" s="1010"/>
      <c r="R23" s="1016"/>
      <c r="S23" s="796"/>
      <c r="T23" s="798"/>
      <c r="U23" s="796"/>
      <c r="V23" s="796"/>
      <c r="W23" s="796"/>
      <c r="X23" s="796"/>
      <c r="Z23" s="1010"/>
      <c r="AA23" s="1010"/>
      <c r="AB23" s="1010"/>
      <c r="AC23" s="1010"/>
      <c r="AD23" s="1010"/>
      <c r="AE23" s="1010"/>
      <c r="AF23" s="1010"/>
      <c r="AG23" s="1010"/>
      <c r="AH23" s="1016"/>
      <c r="AI23" s="1016"/>
    </row>
    <row r="24" spans="1:35" ht="12.2" customHeight="1">
      <c r="A24" s="437"/>
      <c r="B24" s="437"/>
      <c r="C24" s="437"/>
      <c r="D24" s="552"/>
      <c r="E24" s="437"/>
      <c r="F24" s="437"/>
      <c r="G24" s="437"/>
      <c r="H24" s="437"/>
      <c r="I24" s="437"/>
      <c r="J24" s="437"/>
      <c r="K24" s="1858" t="s">
        <v>183</v>
      </c>
      <c r="L24" s="1858"/>
      <c r="M24" s="1858"/>
      <c r="N24" s="1858"/>
      <c r="O24" s="1858"/>
      <c r="P24" s="1858"/>
      <c r="Q24" s="1858"/>
      <c r="R24" s="1858"/>
      <c r="S24" s="1858"/>
      <c r="T24" s="1015"/>
      <c r="U24" s="1857" t="s">
        <v>80</v>
      </c>
      <c r="V24" s="1857"/>
      <c r="W24" s="1857"/>
      <c r="X24" s="1857"/>
      <c r="Y24" s="554"/>
      <c r="Z24" s="1858" t="s">
        <v>182</v>
      </c>
      <c r="AA24" s="1858"/>
      <c r="AB24" s="1858"/>
      <c r="AC24" s="1858"/>
      <c r="AD24" s="1858"/>
      <c r="AE24" s="1858"/>
      <c r="AF24" s="1858"/>
      <c r="AG24" s="1858"/>
      <c r="AH24" s="1858"/>
      <c r="AI24" s="1858"/>
    </row>
    <row r="25" spans="1:35" s="552" customFormat="1" ht="12.2" customHeight="1">
      <c r="D25"/>
      <c r="L25" s="552" t="s">
        <v>83</v>
      </c>
      <c r="M25" s="553"/>
      <c r="N25" s="555" t="s">
        <v>84</v>
      </c>
      <c r="O25" s="1008"/>
      <c r="P25" s="1008"/>
      <c r="Q25" s="1008"/>
      <c r="R25" s="1008"/>
      <c r="S25" s="1008"/>
      <c r="T25" s="555"/>
      <c r="U25" s="1714"/>
      <c r="V25" s="1714"/>
      <c r="W25" s="555" t="s">
        <v>147</v>
      </c>
    </row>
    <row r="26" spans="1:35" ht="12.2" customHeight="1"/>
  </sheetData>
  <mergeCells count="77">
    <mergeCell ref="Z20:AI20"/>
    <mergeCell ref="U25:V25"/>
    <mergeCell ref="Z22:AI22"/>
    <mergeCell ref="Z24:AI24"/>
    <mergeCell ref="AG6:AI6"/>
    <mergeCell ref="F10:AI10"/>
    <mergeCell ref="G11:P11"/>
    <mergeCell ref="Z11:AI11"/>
    <mergeCell ref="Z12:AI12"/>
    <mergeCell ref="Z14:AI14"/>
    <mergeCell ref="Z15:AI15"/>
    <mergeCell ref="R12:X12"/>
    <mergeCell ref="R15:X15"/>
    <mergeCell ref="G15:P15"/>
    <mergeCell ref="G12:P12"/>
    <mergeCell ref="T16:U16"/>
    <mergeCell ref="V16:Z16"/>
    <mergeCell ref="AA16:AI16"/>
    <mergeCell ref="H19:S19"/>
    <mergeCell ref="Z19:AI19"/>
    <mergeCell ref="M5:O5"/>
    <mergeCell ref="AE6:AF6"/>
    <mergeCell ref="Z6:AA6"/>
    <mergeCell ref="AB6:AD6"/>
    <mergeCell ref="Q5:S5"/>
    <mergeCell ref="T5:U5"/>
    <mergeCell ref="AG5:AI5"/>
    <mergeCell ref="V5:W5"/>
    <mergeCell ref="X5:Y5"/>
    <mergeCell ref="Z5:AA5"/>
    <mergeCell ref="AB5:AD5"/>
    <mergeCell ref="AE5:AF5"/>
    <mergeCell ref="M4:O4"/>
    <mergeCell ref="A4:B4"/>
    <mergeCell ref="D4:E4"/>
    <mergeCell ref="F4:G4"/>
    <mergeCell ref="H4:I4"/>
    <mergeCell ref="J4:L4"/>
    <mergeCell ref="A5:B5"/>
    <mergeCell ref="F5:G5"/>
    <mergeCell ref="H5:I5"/>
    <mergeCell ref="D5:E5"/>
    <mergeCell ref="J5:L5"/>
    <mergeCell ref="Q4:S4"/>
    <mergeCell ref="T4:U4"/>
    <mergeCell ref="V4:W4"/>
    <mergeCell ref="X4:Y4"/>
    <mergeCell ref="Z4:AA4"/>
    <mergeCell ref="Z3:AA3"/>
    <mergeCell ref="AB3:AD3"/>
    <mergeCell ref="AE3:AF3"/>
    <mergeCell ref="AG3:AI3"/>
    <mergeCell ref="AE4:AF4"/>
    <mergeCell ref="AG4:AI4"/>
    <mergeCell ref="AB4:AD4"/>
    <mergeCell ref="V2:Y2"/>
    <mergeCell ref="Z2:AD2"/>
    <mergeCell ref="AE2:AI2"/>
    <mergeCell ref="A2:B3"/>
    <mergeCell ref="C2:E2"/>
    <mergeCell ref="F2:I2"/>
    <mergeCell ref="J2:L3"/>
    <mergeCell ref="M2:O3"/>
    <mergeCell ref="P2:U2"/>
    <mergeCell ref="D3:E3"/>
    <mergeCell ref="F3:G3"/>
    <mergeCell ref="H3:I3"/>
    <mergeCell ref="Q3:S3"/>
    <mergeCell ref="T3:U3"/>
    <mergeCell ref="V3:W3"/>
    <mergeCell ref="X3:Y3"/>
    <mergeCell ref="U20:X20"/>
    <mergeCell ref="U22:X22"/>
    <mergeCell ref="U24:X24"/>
    <mergeCell ref="H22:S22"/>
    <mergeCell ref="K24:S24"/>
    <mergeCell ref="H20:S20"/>
  </mergeCells>
  <pageMargins left="0.6692913385826772" right="0.43307086614173229" top="0.59055118110236227" bottom="0.39370078740157483" header="0.19685039370078741" footer="0.19685039370078741"/>
  <pageSetup paperSize="9" orientation="landscape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>
  <sheetPr codeName="Лист29"/>
  <dimension ref="A1:AI3"/>
  <sheetViews>
    <sheetView view="pageBreakPreview" zoomScaleNormal="100" workbookViewId="0">
      <selection activeCell="R10" sqref="R10"/>
    </sheetView>
  </sheetViews>
  <sheetFormatPr defaultRowHeight="12.75"/>
  <cols>
    <col min="1" max="1" width="3.5703125" customWidth="1"/>
    <col min="2" max="2" width="2.7109375" customWidth="1"/>
    <col min="3" max="3" width="12.140625" customWidth="1"/>
    <col min="4" max="4" width="5.140625" customWidth="1"/>
    <col min="5" max="5" width="1.5703125" customWidth="1"/>
    <col min="6" max="6" width="1.85546875" customWidth="1"/>
    <col min="7" max="7" width="10.5703125" customWidth="1"/>
    <col min="8" max="8" width="11.5703125" customWidth="1"/>
    <col min="9" max="9" width="2.42578125" customWidth="1"/>
    <col min="10" max="10" width="4.28515625" customWidth="1"/>
    <col min="11" max="11" width="1.85546875" customWidth="1"/>
    <col min="12" max="12" width="1.42578125" customWidth="1"/>
    <col min="13" max="13" width="3.5703125" customWidth="1"/>
    <col min="14" max="14" width="2.140625" customWidth="1"/>
    <col min="15" max="15" width="2.42578125" customWidth="1"/>
    <col min="16" max="16" width="6.28515625" customWidth="1"/>
    <col min="17" max="17" width="3.140625" customWidth="1"/>
    <col min="18" max="18" width="2.7109375" customWidth="1"/>
    <col min="19" max="20" width="1.7109375" customWidth="1"/>
    <col min="21" max="21" width="4.28515625" customWidth="1"/>
    <col min="22" max="22" width="1.85546875" customWidth="1"/>
    <col min="23" max="23" width="3.42578125" customWidth="1"/>
    <col min="24" max="24" width="4" customWidth="1"/>
    <col min="25" max="25" width="2.28515625" customWidth="1"/>
    <col min="26" max="26" width="4.85546875" customWidth="1"/>
    <col min="27" max="27" width="1.28515625" customWidth="1"/>
    <col min="28" max="28" width="3.28515625" customWidth="1"/>
    <col min="29" max="29" width="6" customWidth="1"/>
    <col min="30" max="30" width="1" customWidth="1"/>
    <col min="31" max="31" width="4.85546875" customWidth="1"/>
    <col min="32" max="32" width="1.42578125" customWidth="1"/>
    <col min="33" max="33" width="2.5703125" customWidth="1"/>
    <col min="34" max="34" width="1.42578125" customWidth="1"/>
    <col min="35" max="35" width="4.7109375" customWidth="1"/>
  </cols>
  <sheetData>
    <row r="1" spans="1:35" s="558" customFormat="1" ht="14.25">
      <c r="A1" s="556"/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556"/>
      <c r="T1" s="557"/>
      <c r="U1" s="557"/>
      <c r="V1" s="556"/>
      <c r="Y1" s="559" t="s">
        <v>434</v>
      </c>
      <c r="Z1" s="1892"/>
      <c r="AA1" s="1893"/>
      <c r="AB1" s="1892"/>
      <c r="AC1" s="1894"/>
      <c r="AD1" s="1893"/>
      <c r="AE1" s="1895"/>
      <c r="AF1" s="1896"/>
      <c r="AG1" s="1892"/>
      <c r="AH1" s="1894"/>
      <c r="AI1" s="1893"/>
    </row>
    <row r="2" spans="1:35">
      <c r="AC2" s="119"/>
      <c r="AD2" s="119"/>
      <c r="AE2" s="119"/>
      <c r="AF2" s="119"/>
      <c r="AG2" s="119"/>
      <c r="AH2" s="119"/>
      <c r="AI2" s="125"/>
    </row>
    <row r="3" spans="1:35">
      <c r="A3" s="1871">
        <v>1</v>
      </c>
      <c r="B3" s="1872"/>
      <c r="C3" s="549">
        <v>2</v>
      </c>
      <c r="D3" s="1871">
        <v>3</v>
      </c>
      <c r="E3" s="1872"/>
      <c r="F3" s="1871">
        <v>4</v>
      </c>
      <c r="G3" s="1872"/>
      <c r="H3" s="1871">
        <v>5</v>
      </c>
      <c r="I3" s="1872"/>
      <c r="J3" s="1871">
        <v>6</v>
      </c>
      <c r="K3" s="1873"/>
      <c r="L3" s="1872"/>
      <c r="M3" s="1871">
        <v>7</v>
      </c>
      <c r="N3" s="1873"/>
      <c r="O3" s="1872"/>
      <c r="P3" s="549">
        <v>8</v>
      </c>
      <c r="Q3" s="1871">
        <v>9</v>
      </c>
      <c r="R3" s="1873"/>
      <c r="S3" s="1872"/>
      <c r="T3" s="1871">
        <v>10</v>
      </c>
      <c r="U3" s="1872"/>
      <c r="V3" s="1871">
        <v>11</v>
      </c>
      <c r="W3" s="1872"/>
      <c r="X3" s="1871">
        <v>12</v>
      </c>
      <c r="Y3" s="1872"/>
      <c r="Z3" s="1871">
        <v>13</v>
      </c>
      <c r="AA3" s="1872"/>
      <c r="AB3" s="1871">
        <v>14</v>
      </c>
      <c r="AC3" s="1873"/>
      <c r="AD3" s="1872"/>
      <c r="AE3" s="1871">
        <v>15</v>
      </c>
      <c r="AF3" s="1872"/>
      <c r="AG3" s="1871">
        <v>16</v>
      </c>
      <c r="AH3" s="1873"/>
      <c r="AI3" s="1872"/>
    </row>
  </sheetData>
  <mergeCells count="18">
    <mergeCell ref="Z3:AA3"/>
    <mergeCell ref="AB3:AD3"/>
    <mergeCell ref="Z1:AA1"/>
    <mergeCell ref="AB1:AD1"/>
    <mergeCell ref="AE1:AF1"/>
    <mergeCell ref="AG1:AI1"/>
    <mergeCell ref="A3:B3"/>
    <mergeCell ref="D3:E3"/>
    <mergeCell ref="F3:G3"/>
    <mergeCell ref="H3:I3"/>
    <mergeCell ref="J3:L3"/>
    <mergeCell ref="M3:O3"/>
    <mergeCell ref="AE3:AF3"/>
    <mergeCell ref="AG3:AI3"/>
    <mergeCell ref="Q3:S3"/>
    <mergeCell ref="T3:U3"/>
    <mergeCell ref="V3:W3"/>
    <mergeCell ref="X3:Y3"/>
  </mergeCells>
  <pageMargins left="0.9055118110236221" right="0.59055118110236227" top="0.59055118110236227" bottom="0.39370078740157483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>
  <sheetPr codeName="Лист30">
    <pageSetUpPr fitToPage="1"/>
  </sheetPr>
  <dimension ref="A1:ET70"/>
  <sheetViews>
    <sheetView topLeftCell="A19" zoomScaleNormal="100" zoomScaleSheetLayoutView="100" workbookViewId="0">
      <selection activeCell="A38" sqref="A38:ES38"/>
    </sheetView>
  </sheetViews>
  <sheetFormatPr defaultColWidth="0.85546875" defaultRowHeight="11.25" customHeight="1"/>
  <cols>
    <col min="1" max="32" width="0.85546875" style="481" customWidth="1"/>
    <col min="33" max="33" width="4" style="481" customWidth="1"/>
    <col min="34" max="56" width="0.85546875" style="481" customWidth="1"/>
    <col min="57" max="57" width="1.5703125" style="481" customWidth="1"/>
    <col min="58" max="66" width="0.85546875" style="481" customWidth="1"/>
    <col min="67" max="67" width="1.28515625" style="481" customWidth="1"/>
    <col min="68" max="86" width="0.85546875" style="481" customWidth="1"/>
    <col min="87" max="87" width="1.28515625" style="481" customWidth="1"/>
    <col min="88" max="108" width="0.85546875" style="481" customWidth="1"/>
    <col min="109" max="109" width="1.28515625" style="481" customWidth="1"/>
    <col min="110" max="126" width="0.85546875" style="481" customWidth="1"/>
    <col min="127" max="127" width="1.85546875" style="481" customWidth="1"/>
    <col min="128" max="159" width="0.85546875" style="481" customWidth="1"/>
    <col min="160" max="160" width="2.28515625" style="481" customWidth="1"/>
    <col min="161" max="16384" width="0.85546875" style="481"/>
  </cols>
  <sheetData>
    <row r="1" spans="1:150" ht="11.25" customHeight="1">
      <c r="A1" s="574"/>
      <c r="B1" s="575"/>
      <c r="C1" s="575"/>
      <c r="D1" s="575"/>
      <c r="E1" s="575"/>
      <c r="F1" s="575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  <c r="U1" s="575"/>
      <c r="V1" s="575"/>
      <c r="W1" s="575"/>
      <c r="X1" s="575"/>
      <c r="Y1" s="575"/>
      <c r="Z1" s="575"/>
      <c r="AA1" s="575"/>
      <c r="AB1" s="575"/>
      <c r="AC1" s="575"/>
      <c r="AD1" s="575"/>
      <c r="AE1" s="575"/>
      <c r="AF1" s="575"/>
      <c r="AG1" s="575"/>
      <c r="AH1" s="575"/>
      <c r="AI1" s="575"/>
      <c r="AJ1" s="575"/>
      <c r="AK1" s="575"/>
      <c r="AL1" s="575"/>
      <c r="AM1" s="575"/>
      <c r="AN1" s="575"/>
      <c r="AO1" s="575"/>
      <c r="AP1" s="575"/>
      <c r="AQ1" s="575"/>
      <c r="AR1" s="575"/>
      <c r="AS1" s="575"/>
      <c r="AT1" s="575"/>
      <c r="AU1" s="575"/>
      <c r="AV1" s="575"/>
      <c r="AW1" s="575"/>
      <c r="AX1" s="575"/>
      <c r="AY1" s="575"/>
      <c r="AZ1" s="575"/>
      <c r="BA1" s="575"/>
      <c r="BB1" s="575"/>
      <c r="BC1" s="575"/>
      <c r="BD1" s="575"/>
      <c r="BE1" s="575"/>
      <c r="BF1" s="575"/>
      <c r="BG1" s="575"/>
      <c r="BH1" s="575"/>
      <c r="BI1" s="575"/>
      <c r="BJ1" s="575"/>
      <c r="BK1" s="575"/>
      <c r="BL1" s="575"/>
      <c r="BM1" s="575"/>
      <c r="BN1" s="575"/>
      <c r="BO1" s="575"/>
      <c r="BP1" s="575"/>
      <c r="BQ1" s="575"/>
      <c r="BR1" s="575"/>
      <c r="BS1" s="575"/>
      <c r="BT1" s="575"/>
      <c r="BU1" s="575"/>
      <c r="BV1" s="575"/>
      <c r="BW1" s="575"/>
      <c r="BX1" s="575"/>
      <c r="BY1" s="575"/>
      <c r="BZ1" s="575"/>
      <c r="CA1" s="575"/>
      <c r="CB1" s="575"/>
      <c r="CC1" s="575"/>
      <c r="CD1" s="575"/>
      <c r="CE1" s="575"/>
      <c r="CF1" s="575"/>
      <c r="CG1" s="575"/>
      <c r="CH1" s="575"/>
      <c r="CI1" s="575"/>
      <c r="CJ1" s="575"/>
      <c r="CK1" s="575"/>
      <c r="CL1" s="575"/>
      <c r="CM1" s="575"/>
      <c r="CN1" s="575"/>
      <c r="CO1" s="575"/>
      <c r="CP1" s="575"/>
      <c r="CQ1" s="575"/>
      <c r="CR1" s="575"/>
      <c r="CS1" s="575"/>
      <c r="CT1" s="575"/>
      <c r="CU1" s="575"/>
      <c r="CV1" s="575"/>
      <c r="CW1" s="575"/>
      <c r="CX1" s="575"/>
      <c r="CY1" s="575"/>
      <c r="CZ1" s="575"/>
      <c r="DA1" s="575"/>
      <c r="DB1" s="575"/>
      <c r="DC1" s="575"/>
      <c r="DD1" s="575"/>
      <c r="DE1" s="575"/>
      <c r="DF1" s="575"/>
      <c r="DG1" s="575"/>
      <c r="DH1" s="575"/>
      <c r="DI1" s="575"/>
      <c r="DJ1" s="575"/>
      <c r="DK1" s="575"/>
      <c r="DL1" s="575"/>
      <c r="DM1" s="575"/>
      <c r="DN1" s="575"/>
      <c r="DO1" s="575"/>
      <c r="DP1" s="575"/>
      <c r="DQ1" s="575"/>
      <c r="DR1" s="575"/>
      <c r="DS1" s="575"/>
      <c r="DT1" s="575"/>
      <c r="DU1" s="575"/>
      <c r="DV1" s="575"/>
      <c r="DW1" s="575"/>
      <c r="DX1" s="575"/>
      <c r="DY1" s="575"/>
      <c r="DZ1" s="575"/>
      <c r="EA1" s="575"/>
      <c r="EB1" s="575"/>
      <c r="EC1" s="575"/>
      <c r="ED1" s="1957" t="s">
        <v>441</v>
      </c>
      <c r="EE1" s="1957"/>
      <c r="EF1" s="1957"/>
      <c r="EG1" s="1957"/>
      <c r="EH1" s="1957"/>
      <c r="EI1" s="1957"/>
      <c r="EJ1" s="1957"/>
      <c r="EK1" s="1957"/>
      <c r="EL1" s="1957"/>
      <c r="EM1" s="1957"/>
      <c r="EN1" s="1957"/>
      <c r="EO1" s="1957"/>
      <c r="EP1" s="1957"/>
      <c r="EQ1" s="1957"/>
      <c r="ER1" s="1957"/>
      <c r="ES1" s="1957"/>
      <c r="ET1" s="480"/>
    </row>
    <row r="2" spans="1:150" ht="22.7" customHeight="1">
      <c r="A2" s="575"/>
      <c r="B2" s="575"/>
      <c r="C2" s="575"/>
      <c r="D2" s="575"/>
      <c r="E2" s="575"/>
      <c r="F2" s="575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  <c r="U2" s="575"/>
      <c r="V2" s="575"/>
      <c r="W2" s="575"/>
      <c r="X2" s="575"/>
      <c r="Y2" s="575"/>
      <c r="Z2" s="575"/>
      <c r="AA2" s="575"/>
      <c r="AB2" s="575"/>
      <c r="AC2" s="575"/>
      <c r="AD2" s="575"/>
      <c r="AE2" s="575"/>
      <c r="AF2" s="575"/>
      <c r="AG2" s="575"/>
      <c r="AH2" s="575"/>
      <c r="AI2" s="575"/>
      <c r="AJ2" s="575"/>
      <c r="AK2" s="575"/>
      <c r="AL2" s="575"/>
      <c r="AM2" s="575"/>
      <c r="AN2" s="575"/>
      <c r="AO2" s="575"/>
      <c r="AP2" s="575"/>
      <c r="AQ2" s="575"/>
      <c r="AR2" s="575"/>
      <c r="AS2" s="575"/>
      <c r="AT2" s="575"/>
      <c r="AU2" s="575"/>
      <c r="AV2" s="575"/>
      <c r="AW2" s="575"/>
      <c r="AX2" s="575"/>
      <c r="AY2" s="575"/>
      <c r="AZ2" s="575"/>
      <c r="BA2" s="575"/>
      <c r="BB2" s="575"/>
      <c r="BC2" s="575"/>
      <c r="BD2" s="575"/>
      <c r="BE2" s="575"/>
      <c r="BF2" s="575"/>
      <c r="BG2" s="575"/>
      <c r="BH2" s="575"/>
      <c r="BI2" s="575"/>
      <c r="BJ2" s="575"/>
      <c r="BK2" s="575"/>
      <c r="BL2" s="575"/>
      <c r="BM2" s="575"/>
      <c r="BN2" s="575"/>
      <c r="BO2" s="575"/>
      <c r="BP2" s="575"/>
      <c r="BQ2" s="575"/>
      <c r="BR2" s="575"/>
      <c r="BS2" s="575"/>
      <c r="BT2" s="575"/>
      <c r="BU2" s="575"/>
      <c r="BV2" s="575"/>
      <c r="BW2" s="575"/>
      <c r="BX2" s="575"/>
      <c r="BY2" s="575"/>
      <c r="BZ2" s="575"/>
      <c r="CA2" s="575"/>
      <c r="CB2" s="575"/>
      <c r="CC2" s="575"/>
      <c r="CD2" s="575"/>
      <c r="CE2" s="575"/>
      <c r="CF2" s="575"/>
      <c r="CG2" s="575"/>
      <c r="CH2" s="575"/>
      <c r="CI2" s="575"/>
      <c r="CJ2" s="575"/>
      <c r="CK2" s="575"/>
      <c r="CL2" s="575"/>
      <c r="CM2" s="575"/>
      <c r="CN2" s="575"/>
      <c r="CO2" s="575"/>
      <c r="CP2" s="575"/>
      <c r="CQ2" s="575"/>
      <c r="CR2" s="575"/>
      <c r="CS2" s="575"/>
      <c r="CT2" s="575"/>
      <c r="CU2" s="575"/>
      <c r="CV2" s="575"/>
      <c r="CW2" s="575"/>
      <c r="CX2" s="575"/>
      <c r="CY2" s="575"/>
      <c r="CZ2" s="575"/>
      <c r="DA2" s="575"/>
      <c r="DB2" s="575"/>
      <c r="DC2" s="575"/>
      <c r="DD2" s="575"/>
      <c r="DE2" s="575"/>
      <c r="DF2" s="575"/>
      <c r="DG2" s="575"/>
      <c r="DH2" s="575"/>
      <c r="DI2" s="575"/>
      <c r="DJ2" s="575"/>
      <c r="DK2" s="575"/>
      <c r="DL2" s="575"/>
      <c r="DM2" s="575"/>
      <c r="DN2" s="575"/>
      <c r="DO2" s="575"/>
      <c r="DP2" s="575"/>
      <c r="DQ2" s="575"/>
      <c r="DR2" s="575"/>
      <c r="DS2" s="575"/>
      <c r="DT2" s="575"/>
      <c r="DU2" s="1957" t="s">
        <v>442</v>
      </c>
      <c r="DV2" s="1957"/>
      <c r="DW2" s="1957"/>
      <c r="DX2" s="1957"/>
      <c r="DY2" s="1957"/>
      <c r="DZ2" s="1957"/>
      <c r="EA2" s="1957"/>
      <c r="EB2" s="1957"/>
      <c r="EC2" s="1957"/>
      <c r="ED2" s="1957"/>
      <c r="EE2" s="1957"/>
      <c r="EF2" s="1957"/>
      <c r="EG2" s="1957"/>
      <c r="EH2" s="1957"/>
      <c r="EI2" s="1957"/>
      <c r="EJ2" s="1957"/>
      <c r="EK2" s="1957"/>
      <c r="EL2" s="1957"/>
      <c r="EM2" s="1957"/>
      <c r="EN2" s="1957"/>
      <c r="EO2" s="1957"/>
      <c r="EP2" s="1957"/>
      <c r="EQ2" s="1957"/>
      <c r="ER2" s="1957"/>
      <c r="ES2" s="1957"/>
      <c r="ET2" s="480"/>
    </row>
    <row r="3" spans="1:150" ht="15" customHeight="1">
      <c r="A3" s="1958" t="s">
        <v>342</v>
      </c>
      <c r="B3" s="1958"/>
      <c r="C3" s="1958"/>
      <c r="D3" s="1958"/>
      <c r="E3" s="1958"/>
      <c r="F3" s="1958"/>
      <c r="G3" s="1958"/>
      <c r="H3" s="1958"/>
      <c r="I3" s="1958"/>
      <c r="J3" s="1958"/>
      <c r="K3" s="1958"/>
      <c r="L3" s="1958"/>
      <c r="M3" s="1958"/>
      <c r="N3" s="1958"/>
      <c r="O3" s="1958"/>
      <c r="P3" s="1958"/>
      <c r="Q3" s="1958"/>
      <c r="R3" s="1958"/>
      <c r="S3" s="1958"/>
      <c r="T3" s="1958"/>
      <c r="U3" s="1958"/>
      <c r="V3" s="1958"/>
      <c r="W3" s="1958"/>
      <c r="X3" s="1958"/>
      <c r="Y3" s="1958"/>
      <c r="Z3" s="1958"/>
      <c r="AA3" s="1958"/>
      <c r="AB3" s="1958"/>
      <c r="AC3" s="1958"/>
      <c r="AD3" s="1958"/>
      <c r="AE3" s="1958"/>
      <c r="AF3" s="1958"/>
      <c r="AG3" s="1958"/>
      <c r="AH3" s="1958"/>
      <c r="AI3" s="1958"/>
      <c r="AJ3" s="1958"/>
      <c r="AK3" s="1958"/>
      <c r="AL3" s="1958"/>
      <c r="AM3" s="1958"/>
      <c r="AN3" s="1958"/>
      <c r="AO3" s="1958"/>
      <c r="AP3" s="1958"/>
      <c r="AQ3" s="1958"/>
      <c r="AR3" s="1958"/>
      <c r="AS3" s="1958"/>
      <c r="AT3" s="1958"/>
      <c r="AU3" s="1958"/>
      <c r="AV3" s="1958"/>
      <c r="AW3" s="1958"/>
      <c r="AX3" s="1958"/>
      <c r="AY3" s="1958"/>
      <c r="AZ3" s="1958"/>
      <c r="BA3" s="1958"/>
      <c r="BB3" s="1958"/>
      <c r="BC3" s="1958"/>
      <c r="BD3" s="1958"/>
      <c r="BE3" s="1958"/>
      <c r="BF3" s="1958"/>
      <c r="BG3" s="1958"/>
      <c r="BH3" s="1958"/>
      <c r="BI3" s="1958"/>
      <c r="BJ3" s="1958"/>
      <c r="BK3" s="1958"/>
      <c r="BL3" s="1958"/>
      <c r="BM3" s="1958"/>
      <c r="BN3" s="1958"/>
      <c r="BO3" s="1958"/>
      <c r="BP3" s="1958"/>
      <c r="BQ3" s="1958"/>
      <c r="BR3" s="1958"/>
      <c r="BS3" s="1958"/>
      <c r="BT3" s="1958"/>
      <c r="BU3" s="1958"/>
      <c r="BV3" s="1958"/>
      <c r="BW3" s="1958"/>
      <c r="BX3" s="1958"/>
      <c r="BY3" s="1958"/>
      <c r="BZ3" s="1958"/>
      <c r="CA3" s="1958"/>
      <c r="CB3" s="1958"/>
      <c r="CC3" s="1958"/>
      <c r="CD3" s="1958"/>
      <c r="CE3" s="1958"/>
      <c r="CF3" s="1958"/>
      <c r="CG3" s="1958"/>
      <c r="CH3" s="1958"/>
      <c r="CI3" s="1958"/>
      <c r="CJ3" s="1958"/>
      <c r="CK3" s="1958"/>
      <c r="CL3" s="1958"/>
      <c r="CM3" s="1958"/>
      <c r="CN3" s="1958"/>
      <c r="CO3" s="1958"/>
      <c r="CP3" s="1958"/>
      <c r="CQ3" s="1958"/>
      <c r="CR3" s="1958"/>
      <c r="CS3" s="1958"/>
      <c r="CT3" s="1958"/>
      <c r="CU3" s="1958"/>
      <c r="CV3" s="1958"/>
      <c r="CW3" s="1958"/>
      <c r="CX3" s="1958"/>
      <c r="CY3" s="1958"/>
      <c r="CZ3" s="1958"/>
      <c r="DA3" s="1958"/>
      <c r="DB3" s="1958"/>
      <c r="DC3" s="1958"/>
      <c r="DD3" s="1958"/>
      <c r="DE3" s="1958"/>
      <c r="DF3" s="1958"/>
      <c r="DG3" s="1958"/>
      <c r="DH3" s="1958"/>
      <c r="DI3" s="1958"/>
      <c r="DJ3" s="1958"/>
      <c r="DK3" s="1958"/>
      <c r="DL3" s="1958"/>
      <c r="DM3" s="1958"/>
      <c r="DN3" s="1958"/>
      <c r="DO3" s="1958"/>
      <c r="DP3" s="1958"/>
      <c r="DQ3" s="1958"/>
      <c r="DR3" s="1958"/>
      <c r="DS3" s="1958"/>
      <c r="DT3" s="1958"/>
      <c r="DU3" s="1958"/>
      <c r="DV3" s="1958"/>
      <c r="DW3" s="1958"/>
      <c r="DX3" s="1958"/>
      <c r="DY3" s="1958"/>
      <c r="DZ3" s="1958"/>
      <c r="EA3" s="1958"/>
      <c r="EB3" s="1958"/>
      <c r="EC3" s="1958"/>
      <c r="ED3" s="1958"/>
      <c r="EE3" s="1958"/>
      <c r="EF3" s="1958"/>
      <c r="EG3" s="1958"/>
      <c r="EH3" s="1958"/>
      <c r="EI3" s="1958"/>
      <c r="EJ3" s="1958"/>
      <c r="EK3" s="1958"/>
      <c r="EL3" s="1958"/>
      <c r="EM3" s="1958"/>
      <c r="EN3" s="1958"/>
      <c r="EO3" s="1958"/>
      <c r="EP3" s="1958"/>
      <c r="EQ3" s="1958"/>
      <c r="ER3" s="1958"/>
      <c r="ES3" s="1958"/>
      <c r="ET3" s="480"/>
    </row>
    <row r="4" spans="1:150" ht="15" customHeight="1">
      <c r="A4" s="1958" t="s">
        <v>443</v>
      </c>
      <c r="B4" s="1958"/>
      <c r="C4" s="1958"/>
      <c r="D4" s="1958"/>
      <c r="E4" s="1958"/>
      <c r="F4" s="1958"/>
      <c r="G4" s="1958"/>
      <c r="H4" s="1958"/>
      <c r="I4" s="1958"/>
      <c r="J4" s="1958"/>
      <c r="K4" s="1958"/>
      <c r="L4" s="1958"/>
      <c r="M4" s="1958"/>
      <c r="N4" s="1958"/>
      <c r="O4" s="1958"/>
      <c r="P4" s="1958"/>
      <c r="Q4" s="1958"/>
      <c r="R4" s="1958"/>
      <c r="S4" s="1958"/>
      <c r="T4" s="1958"/>
      <c r="U4" s="1958"/>
      <c r="V4" s="1958"/>
      <c r="W4" s="1958"/>
      <c r="X4" s="1958"/>
      <c r="Y4" s="1958"/>
      <c r="Z4" s="1958"/>
      <c r="AA4" s="1958"/>
      <c r="AB4" s="1958"/>
      <c r="AC4" s="1958"/>
      <c r="AD4" s="1958"/>
      <c r="AE4" s="1958"/>
      <c r="AF4" s="1958"/>
      <c r="AG4" s="1958"/>
      <c r="AH4" s="1958"/>
      <c r="AI4" s="1958"/>
      <c r="AJ4" s="1958"/>
      <c r="AK4" s="1958"/>
      <c r="AL4" s="1958"/>
      <c r="AM4" s="1958"/>
      <c r="AN4" s="1958"/>
      <c r="AO4" s="1958"/>
      <c r="AP4" s="1958"/>
      <c r="AQ4" s="1958"/>
      <c r="AR4" s="1958"/>
      <c r="AS4" s="1958"/>
      <c r="AT4" s="1958"/>
      <c r="AU4" s="1958"/>
      <c r="AV4" s="1958"/>
      <c r="AW4" s="1958"/>
      <c r="AX4" s="1958"/>
      <c r="AY4" s="1958"/>
      <c r="AZ4" s="1958"/>
      <c r="BA4" s="1958"/>
      <c r="BB4" s="1958"/>
      <c r="BC4" s="1958"/>
      <c r="BD4" s="1958"/>
      <c r="BE4" s="1958"/>
      <c r="BF4" s="1958"/>
      <c r="BG4" s="1958"/>
      <c r="BH4" s="1958"/>
      <c r="BI4" s="1958"/>
      <c r="BJ4" s="1958"/>
      <c r="BK4" s="1958"/>
      <c r="BL4" s="1958"/>
      <c r="BM4" s="1958"/>
      <c r="BN4" s="1958"/>
      <c r="BO4" s="1958"/>
      <c r="BP4" s="1958"/>
      <c r="BQ4" s="1958"/>
      <c r="BR4" s="1958"/>
      <c r="BS4" s="1958"/>
      <c r="BT4" s="1958"/>
      <c r="BU4" s="1958"/>
      <c r="BV4" s="1958"/>
      <c r="BW4" s="1958"/>
      <c r="BX4" s="1958"/>
      <c r="BY4" s="1958"/>
      <c r="BZ4" s="1958"/>
      <c r="CA4" s="1958"/>
      <c r="CB4" s="1958"/>
      <c r="CC4" s="1958"/>
      <c r="CD4" s="1958"/>
      <c r="CE4" s="1958"/>
      <c r="CF4" s="1958"/>
      <c r="CG4" s="1958"/>
      <c r="CH4" s="1958"/>
      <c r="CI4" s="1958"/>
      <c r="CJ4" s="1958"/>
      <c r="CK4" s="1958"/>
      <c r="CL4" s="1958"/>
      <c r="CM4" s="1958"/>
      <c r="CN4" s="1958"/>
      <c r="CO4" s="1958"/>
      <c r="CP4" s="1958"/>
      <c r="CQ4" s="1958"/>
      <c r="CR4" s="1958"/>
      <c r="CS4" s="1958"/>
      <c r="CT4" s="1958"/>
      <c r="CU4" s="1958"/>
      <c r="CV4" s="1958"/>
      <c r="CW4" s="1958"/>
      <c r="CX4" s="1958"/>
      <c r="CY4" s="1958"/>
      <c r="CZ4" s="1958"/>
      <c r="DA4" s="1958"/>
      <c r="DB4" s="1958"/>
      <c r="DC4" s="1958"/>
      <c r="DD4" s="1958"/>
      <c r="DE4" s="1958"/>
      <c r="DF4" s="1958"/>
      <c r="DG4" s="1958"/>
      <c r="DH4" s="1958"/>
      <c r="DI4" s="1958"/>
      <c r="DJ4" s="1958"/>
      <c r="DK4" s="1958"/>
      <c r="DL4" s="1958"/>
      <c r="DM4" s="1958"/>
      <c r="DN4" s="1958"/>
      <c r="DO4" s="1958"/>
      <c r="DP4" s="1958"/>
      <c r="DQ4" s="1958"/>
      <c r="DR4" s="1958"/>
      <c r="DS4" s="1958"/>
      <c r="DT4" s="1958"/>
      <c r="DU4" s="1958"/>
      <c r="DV4" s="1958"/>
      <c r="DW4" s="1958"/>
      <c r="DX4" s="1958"/>
      <c r="DY4" s="1958"/>
      <c r="DZ4" s="1958"/>
      <c r="EA4" s="1958"/>
      <c r="EB4" s="1958"/>
      <c r="EC4" s="1958"/>
      <c r="ED4" s="1958"/>
      <c r="EE4" s="1958"/>
      <c r="EF4" s="1958"/>
      <c r="EG4" s="1958"/>
      <c r="EH4" s="1958"/>
      <c r="EI4" s="1958"/>
      <c r="EJ4" s="1958"/>
      <c r="EK4" s="1958"/>
      <c r="EL4" s="1958"/>
      <c r="EM4" s="1958"/>
      <c r="EN4" s="1958"/>
      <c r="EO4" s="1958"/>
      <c r="EP4" s="1958"/>
      <c r="EQ4" s="1958"/>
      <c r="ER4" s="1958"/>
      <c r="ES4" s="1958"/>
      <c r="ET4" s="480"/>
    </row>
    <row r="5" spans="1:150" ht="3.2" customHeight="1">
      <c r="A5" s="575"/>
      <c r="B5" s="575"/>
      <c r="C5" s="575"/>
      <c r="D5" s="575"/>
      <c r="E5" s="575"/>
      <c r="F5" s="575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  <c r="U5" s="575"/>
      <c r="V5" s="575"/>
      <c r="W5" s="575"/>
      <c r="X5" s="575"/>
      <c r="Y5" s="575"/>
      <c r="Z5" s="575"/>
      <c r="AA5" s="575"/>
      <c r="AB5" s="575"/>
      <c r="AC5" s="575"/>
      <c r="AD5" s="575"/>
      <c r="AE5" s="575"/>
      <c r="AF5" s="575"/>
      <c r="AG5" s="575"/>
      <c r="AH5" s="575"/>
      <c r="AI5" s="575"/>
      <c r="AJ5" s="575"/>
      <c r="AK5" s="575"/>
      <c r="AL5" s="575"/>
      <c r="AM5" s="575"/>
      <c r="AN5" s="575"/>
      <c r="AO5" s="575"/>
      <c r="AP5" s="575"/>
      <c r="AQ5" s="575"/>
      <c r="AR5" s="575"/>
      <c r="AS5" s="575"/>
      <c r="AT5" s="575"/>
      <c r="AU5" s="575"/>
      <c r="AV5" s="575"/>
      <c r="AW5" s="575"/>
      <c r="AX5" s="575"/>
      <c r="AY5" s="575"/>
      <c r="AZ5" s="575"/>
      <c r="BA5" s="575"/>
      <c r="BB5" s="575"/>
      <c r="BC5" s="575"/>
      <c r="BD5" s="575"/>
      <c r="BE5" s="575"/>
      <c r="BF5" s="575"/>
      <c r="BG5" s="575"/>
      <c r="BH5" s="575"/>
      <c r="BI5" s="575"/>
      <c r="BJ5" s="575"/>
      <c r="BK5" s="575"/>
      <c r="BL5" s="575"/>
      <c r="BM5" s="575"/>
      <c r="BN5" s="575"/>
      <c r="BO5" s="575"/>
      <c r="BP5" s="575"/>
      <c r="BQ5" s="575"/>
      <c r="BR5" s="575"/>
      <c r="BS5" s="575"/>
      <c r="BT5" s="575"/>
      <c r="BU5" s="575"/>
      <c r="BV5" s="575"/>
      <c r="BW5" s="575"/>
      <c r="BX5" s="575"/>
      <c r="BY5" s="575"/>
      <c r="BZ5" s="575"/>
      <c r="CA5" s="575"/>
      <c r="CB5" s="575"/>
      <c r="CC5" s="575"/>
      <c r="CD5" s="575"/>
      <c r="CE5" s="575"/>
      <c r="CF5" s="575"/>
      <c r="CG5" s="575"/>
      <c r="CH5" s="575"/>
      <c r="CI5" s="575"/>
      <c r="CJ5" s="575"/>
      <c r="CK5" s="575"/>
      <c r="CL5" s="575"/>
      <c r="CM5" s="575"/>
      <c r="CN5" s="575"/>
      <c r="CO5" s="575"/>
      <c r="CP5" s="575"/>
      <c r="CQ5" s="575"/>
      <c r="CR5" s="575"/>
      <c r="CS5" s="575"/>
      <c r="CT5" s="575"/>
      <c r="CU5" s="575"/>
      <c r="CV5" s="575"/>
      <c r="CW5" s="575"/>
      <c r="CX5" s="575"/>
      <c r="CY5" s="575"/>
      <c r="CZ5" s="575"/>
      <c r="DA5" s="575"/>
      <c r="DB5" s="575"/>
      <c r="DC5" s="575"/>
      <c r="DD5" s="575"/>
      <c r="DE5" s="575"/>
      <c r="DF5" s="575"/>
      <c r="DG5" s="575"/>
      <c r="DH5" s="575"/>
      <c r="DI5" s="575"/>
      <c r="DJ5" s="575"/>
      <c r="DK5" s="575"/>
      <c r="DL5" s="575"/>
      <c r="DM5" s="575"/>
      <c r="DN5" s="575"/>
      <c r="DO5" s="575"/>
      <c r="DP5" s="575"/>
      <c r="DQ5" s="575"/>
      <c r="DR5" s="575"/>
      <c r="DS5" s="575"/>
      <c r="DT5" s="575"/>
      <c r="DU5" s="575"/>
      <c r="DV5" s="575"/>
      <c r="DW5" s="575"/>
      <c r="DX5" s="575"/>
      <c r="DY5" s="575"/>
      <c r="DZ5" s="575"/>
      <c r="EA5" s="575"/>
      <c r="EB5" s="575"/>
      <c r="EC5" s="575"/>
      <c r="ED5" s="575"/>
      <c r="EE5" s="575"/>
      <c r="EF5" s="575"/>
      <c r="EG5" s="575"/>
      <c r="EH5" s="575"/>
      <c r="EI5" s="575"/>
      <c r="EJ5" s="575"/>
      <c r="EK5" s="575"/>
      <c r="EL5" s="575"/>
      <c r="EM5" s="575"/>
      <c r="EN5" s="575"/>
      <c r="EO5" s="575"/>
      <c r="EP5" s="575"/>
      <c r="EQ5" s="575"/>
      <c r="ER5" s="575"/>
      <c r="ES5" s="575"/>
      <c r="ET5" s="480"/>
    </row>
    <row r="6" spans="1:150" ht="11.25" customHeight="1">
      <c r="A6" s="575"/>
      <c r="B6" s="575"/>
      <c r="C6" s="575"/>
      <c r="D6" s="575"/>
      <c r="E6" s="575"/>
      <c r="F6" s="575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  <c r="U6" s="575"/>
      <c r="V6" s="575"/>
      <c r="W6" s="575"/>
      <c r="X6" s="575"/>
      <c r="Y6" s="575"/>
      <c r="Z6" s="575"/>
      <c r="AA6" s="575"/>
      <c r="AB6" s="575"/>
      <c r="AC6" s="575"/>
      <c r="AD6" s="575"/>
      <c r="AE6" s="575"/>
      <c r="AF6" s="575"/>
      <c r="AG6" s="575"/>
      <c r="AH6" s="575"/>
      <c r="AI6" s="575"/>
      <c r="AJ6" s="575"/>
      <c r="AK6" s="575"/>
      <c r="AL6" s="575"/>
      <c r="AM6" s="575"/>
      <c r="AN6" s="575"/>
      <c r="AO6" s="575"/>
      <c r="AP6" s="575"/>
      <c r="AQ6" s="575"/>
      <c r="AR6" s="575"/>
      <c r="AS6" s="575"/>
      <c r="AT6" s="575"/>
      <c r="AU6" s="575"/>
      <c r="AV6" s="575"/>
      <c r="AW6" s="575"/>
      <c r="AX6" s="575"/>
      <c r="AY6" s="575"/>
      <c r="AZ6" s="575"/>
      <c r="BA6" s="575"/>
      <c r="BB6" s="575"/>
      <c r="BC6" s="575"/>
      <c r="BD6" s="575"/>
      <c r="BE6" s="575"/>
      <c r="BF6" s="1898" t="s">
        <v>379</v>
      </c>
      <c r="BG6" s="1898"/>
      <c r="BH6" s="1898"/>
      <c r="BI6" s="575"/>
      <c r="BJ6" s="1897" t="s">
        <v>293</v>
      </c>
      <c r="BK6" s="1897"/>
      <c r="BL6" s="1897"/>
      <c r="BM6" s="1897"/>
      <c r="BN6" s="1897"/>
      <c r="BO6" s="1897"/>
      <c r="BP6" s="1897"/>
      <c r="BQ6" s="1897"/>
      <c r="BR6" s="1897"/>
      <c r="BS6" s="1897"/>
      <c r="BT6" s="1897"/>
      <c r="BU6" s="1897"/>
      <c r="BV6" s="1897"/>
      <c r="BW6" s="1897"/>
      <c r="BX6" s="1897"/>
      <c r="BY6" s="1897"/>
      <c r="BZ6" s="1897"/>
      <c r="CA6" s="1897"/>
      <c r="CB6" s="1897"/>
      <c r="CC6" s="1897"/>
      <c r="CD6" s="1897"/>
      <c r="CE6" s="1897"/>
      <c r="CF6" s="1897"/>
      <c r="CG6" s="1897"/>
      <c r="CH6" s="1897"/>
      <c r="CI6" s="1897"/>
      <c r="CJ6" s="1897"/>
      <c r="CK6" s="1897"/>
      <c r="CL6" s="1897"/>
      <c r="CM6" s="1897"/>
      <c r="CN6" s="575"/>
      <c r="CO6" s="575"/>
      <c r="CP6" s="575"/>
      <c r="CQ6" s="575"/>
      <c r="CR6" s="575"/>
      <c r="CS6" s="575"/>
      <c r="CT6" s="575"/>
      <c r="CU6" s="575"/>
      <c r="CV6" s="575"/>
      <c r="CW6" s="575"/>
      <c r="CX6" s="575"/>
      <c r="CY6" s="575"/>
      <c r="CZ6" s="575"/>
      <c r="DA6" s="575"/>
      <c r="DB6" s="575"/>
      <c r="DC6" s="575"/>
      <c r="DD6" s="575"/>
      <c r="DE6" s="575"/>
      <c r="DF6" s="575"/>
      <c r="DG6" s="575"/>
      <c r="DH6" s="575"/>
      <c r="DI6" s="575"/>
      <c r="DJ6" s="575"/>
      <c r="DK6" s="575"/>
      <c r="DL6" s="575"/>
      <c r="DM6" s="575"/>
      <c r="DN6" s="575"/>
      <c r="DO6" s="575"/>
      <c r="DP6" s="575"/>
      <c r="DQ6" s="575"/>
      <c r="DR6" s="575"/>
      <c r="DS6" s="575"/>
      <c r="DT6" s="575"/>
      <c r="DU6" s="575"/>
      <c r="DV6" s="575"/>
      <c r="DW6" s="575"/>
      <c r="DX6" s="575"/>
      <c r="DY6" s="575"/>
      <c r="DZ6" s="575"/>
      <c r="EA6" s="575"/>
      <c r="EB6" s="575"/>
      <c r="EC6" s="575"/>
      <c r="ED6" s="575"/>
      <c r="EE6" s="575"/>
      <c r="EF6" s="575"/>
      <c r="EG6" s="575"/>
      <c r="EH6" s="575"/>
      <c r="EI6" s="575"/>
      <c r="EJ6" s="575"/>
      <c r="EK6" s="575"/>
      <c r="EL6" s="575"/>
      <c r="EM6" s="575"/>
      <c r="EN6" s="575"/>
      <c r="EO6" s="575"/>
      <c r="EP6" s="575"/>
      <c r="EQ6" s="575"/>
      <c r="ER6" s="575"/>
      <c r="ES6" s="575"/>
      <c r="ET6" s="480"/>
    </row>
    <row r="7" spans="1:150" ht="11.25" customHeight="1">
      <c r="A7" s="575"/>
      <c r="B7" s="575"/>
      <c r="C7" s="575"/>
      <c r="D7" s="575"/>
      <c r="E7" s="575"/>
      <c r="F7" s="575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  <c r="U7" s="575"/>
      <c r="V7" s="575"/>
      <c r="W7" s="575"/>
      <c r="X7" s="575"/>
      <c r="Y7" s="575"/>
      <c r="Z7" s="575"/>
      <c r="AA7" s="575"/>
      <c r="AB7" s="575"/>
      <c r="AC7" s="575"/>
      <c r="AD7" s="575"/>
      <c r="AE7" s="575"/>
      <c r="AF7" s="575"/>
      <c r="AG7" s="575"/>
      <c r="AH7" s="575"/>
      <c r="AI7" s="575"/>
      <c r="AJ7" s="575"/>
      <c r="AK7" s="575"/>
      <c r="AL7" s="575"/>
      <c r="AM7" s="575"/>
      <c r="AN7" s="575"/>
      <c r="AO7" s="575"/>
      <c r="AP7" s="575"/>
      <c r="AQ7" s="575"/>
      <c r="AR7" s="575"/>
      <c r="AS7" s="575"/>
      <c r="AT7" s="575"/>
      <c r="AU7" s="575"/>
      <c r="AV7" s="575"/>
      <c r="AW7" s="575"/>
      <c r="AX7" s="575"/>
      <c r="AY7" s="575"/>
      <c r="AZ7" s="575"/>
      <c r="BA7" s="575"/>
      <c r="BB7" s="575"/>
      <c r="BC7" s="575"/>
      <c r="BD7" s="575"/>
      <c r="BE7" s="575"/>
      <c r="BF7" s="575"/>
      <c r="BG7" s="575"/>
      <c r="BH7" s="575"/>
      <c r="BI7" s="575"/>
      <c r="BJ7" s="575"/>
      <c r="BK7" s="575"/>
      <c r="BL7" s="575"/>
      <c r="BM7" s="575"/>
      <c r="BN7" s="575"/>
      <c r="BO7" s="575"/>
      <c r="BP7" s="575"/>
      <c r="BQ7" s="575"/>
      <c r="BR7" s="575"/>
      <c r="BS7" s="575"/>
      <c r="BT7" s="575"/>
      <c r="BU7" s="575"/>
      <c r="BV7" s="575"/>
      <c r="BW7" s="575"/>
      <c r="BX7" s="575"/>
      <c r="BY7" s="575"/>
      <c r="BZ7" s="575"/>
      <c r="CA7" s="575"/>
      <c r="CB7" s="575"/>
      <c r="CC7" s="575"/>
      <c r="CD7" s="575"/>
      <c r="CE7" s="575"/>
      <c r="CF7" s="575"/>
      <c r="CG7" s="575"/>
      <c r="CH7" s="575"/>
      <c r="CI7" s="575"/>
      <c r="CJ7" s="575"/>
      <c r="CK7" s="575"/>
      <c r="CL7" s="575"/>
      <c r="CM7" s="575"/>
      <c r="CN7" s="575"/>
      <c r="CO7" s="575"/>
      <c r="CP7" s="575"/>
      <c r="CQ7" s="575"/>
      <c r="CR7" s="575"/>
      <c r="CS7" s="575"/>
      <c r="CT7" s="575"/>
      <c r="CU7" s="575"/>
      <c r="CV7" s="575"/>
      <c r="CW7" s="575"/>
      <c r="CX7" s="575"/>
      <c r="CY7" s="575"/>
      <c r="CZ7" s="575"/>
      <c r="DA7" s="575"/>
      <c r="DB7" s="575"/>
      <c r="DC7" s="575"/>
      <c r="DD7" s="575"/>
      <c r="DE7" s="575"/>
      <c r="DF7" s="575"/>
      <c r="DG7" s="575"/>
      <c r="DH7" s="575"/>
      <c r="DI7" s="575"/>
      <c r="DJ7" s="575"/>
      <c r="DK7" s="575"/>
      <c r="DL7" s="575"/>
      <c r="DM7" s="575"/>
      <c r="DN7" s="1959" t="s">
        <v>444</v>
      </c>
      <c r="DO7" s="1959"/>
      <c r="DP7" s="1959"/>
      <c r="DQ7" s="1959"/>
      <c r="DR7" s="1959"/>
      <c r="DS7" s="1959"/>
      <c r="DT7" s="1959"/>
      <c r="DU7" s="1959"/>
      <c r="DV7" s="1959"/>
      <c r="DW7" s="1959"/>
      <c r="DX7" s="1959"/>
      <c r="DY7" s="1959"/>
      <c r="DZ7" s="575"/>
      <c r="EA7" s="1960" t="s">
        <v>218</v>
      </c>
      <c r="EB7" s="1960"/>
      <c r="EC7" s="1960"/>
      <c r="ED7" s="1960"/>
      <c r="EE7" s="1960"/>
      <c r="EF7" s="1960"/>
      <c r="EG7" s="1960"/>
      <c r="EH7" s="1960"/>
      <c r="EI7" s="1960"/>
      <c r="EJ7" s="1960"/>
      <c r="EK7" s="1960"/>
      <c r="EL7" s="1960"/>
      <c r="EM7" s="1960"/>
      <c r="EN7" s="1960"/>
      <c r="EO7" s="1960"/>
      <c r="EP7" s="1960"/>
      <c r="EQ7" s="1960"/>
      <c r="ER7" s="1960"/>
      <c r="ES7" s="1960"/>
      <c r="ET7" s="480"/>
    </row>
    <row r="8" spans="1:150" ht="11.25" customHeight="1">
      <c r="A8" s="575"/>
      <c r="B8" s="575"/>
      <c r="C8" s="575"/>
      <c r="D8" s="575"/>
      <c r="E8" s="575"/>
      <c r="F8" s="575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  <c r="U8" s="575"/>
      <c r="V8" s="575"/>
      <c r="W8" s="575"/>
      <c r="X8" s="575"/>
      <c r="Y8" s="575"/>
      <c r="Z8" s="575"/>
      <c r="AA8" s="575"/>
      <c r="AB8" s="575"/>
      <c r="AC8" s="575"/>
      <c r="AD8" s="575"/>
      <c r="AE8" s="575"/>
      <c r="AF8" s="575"/>
      <c r="AG8" s="575"/>
      <c r="AH8" s="575"/>
      <c r="AI8" s="575"/>
      <c r="AJ8" s="575"/>
      <c r="AK8" s="575"/>
      <c r="AL8" s="575"/>
      <c r="AM8" s="575"/>
      <c r="AN8" s="575"/>
      <c r="AO8" s="575"/>
      <c r="AP8" s="575"/>
      <c r="AQ8" s="575"/>
      <c r="AR8" s="575"/>
      <c r="AS8" s="575"/>
      <c r="AT8" s="575"/>
      <c r="AU8" s="575"/>
      <c r="AV8" s="575"/>
      <c r="AW8" s="575"/>
      <c r="AX8" s="575"/>
      <c r="AY8" s="575"/>
      <c r="AZ8" s="575"/>
      <c r="BA8" s="575"/>
      <c r="BB8" s="575"/>
      <c r="BC8" s="575"/>
      <c r="BD8" s="575"/>
      <c r="BE8" s="575"/>
      <c r="BF8" s="575"/>
      <c r="BG8" s="575"/>
      <c r="BH8" s="575"/>
      <c r="BI8" s="575"/>
      <c r="BJ8" s="575"/>
      <c r="BK8" s="575"/>
      <c r="BL8" s="575"/>
      <c r="BM8" s="575"/>
      <c r="BN8" s="575"/>
      <c r="BO8" s="575"/>
      <c r="BP8" s="575"/>
      <c r="BQ8" s="575"/>
      <c r="BR8" s="575"/>
      <c r="BS8" s="575"/>
      <c r="BT8" s="575"/>
      <c r="BU8" s="575"/>
      <c r="BV8" s="575"/>
      <c r="BW8" s="575"/>
      <c r="BX8" s="575"/>
      <c r="BY8" s="575"/>
      <c r="BZ8" s="575"/>
      <c r="CA8" s="575"/>
      <c r="CB8" s="575"/>
      <c r="CC8" s="575"/>
      <c r="CD8" s="575"/>
      <c r="CE8" s="575"/>
      <c r="CF8" s="575"/>
      <c r="CG8" s="575"/>
      <c r="CH8" s="575"/>
      <c r="CI8" s="575"/>
      <c r="CJ8" s="575"/>
      <c r="CK8" s="575"/>
      <c r="CL8" s="575"/>
      <c r="CM8" s="575"/>
      <c r="CN8" s="575"/>
      <c r="CO8" s="575"/>
      <c r="CP8" s="575"/>
      <c r="CQ8" s="575"/>
      <c r="CR8" s="575"/>
      <c r="CS8" s="575"/>
      <c r="CT8" s="575"/>
      <c r="CU8" s="575"/>
      <c r="CV8" s="575"/>
      <c r="CW8" s="575"/>
      <c r="CX8" s="575"/>
      <c r="CY8" s="575"/>
      <c r="CZ8" s="575"/>
      <c r="DA8" s="575"/>
      <c r="DB8" s="575"/>
      <c r="DC8" s="575"/>
      <c r="DD8" s="575"/>
      <c r="DE8" s="575"/>
      <c r="DF8" s="575"/>
      <c r="DG8" s="575"/>
      <c r="DH8" s="575"/>
      <c r="DI8" s="575"/>
      <c r="DJ8" s="575"/>
      <c r="DK8" s="575"/>
      <c r="DL8" s="575"/>
      <c r="DM8" s="575"/>
      <c r="DN8" s="1959"/>
      <c r="DO8" s="1959"/>
      <c r="DP8" s="1959"/>
      <c r="DQ8" s="1959"/>
      <c r="DR8" s="1959"/>
      <c r="DS8" s="1959"/>
      <c r="DT8" s="1959"/>
      <c r="DU8" s="1959"/>
      <c r="DV8" s="1959"/>
      <c r="DW8" s="1959"/>
      <c r="DX8" s="1959"/>
      <c r="DY8" s="1959"/>
      <c r="DZ8" s="575"/>
      <c r="EA8" s="1960"/>
      <c r="EB8" s="1960"/>
      <c r="EC8" s="1960"/>
      <c r="ED8" s="1960"/>
      <c r="EE8" s="1960"/>
      <c r="EF8" s="1960"/>
      <c r="EG8" s="1960"/>
      <c r="EH8" s="1960"/>
      <c r="EI8" s="1960"/>
      <c r="EJ8" s="1960"/>
      <c r="EK8" s="1960"/>
      <c r="EL8" s="1960"/>
      <c r="EM8" s="1960"/>
      <c r="EN8" s="1960"/>
      <c r="EO8" s="1960"/>
      <c r="EP8" s="1960"/>
      <c r="EQ8" s="1960"/>
      <c r="ER8" s="1960"/>
      <c r="ES8" s="1960"/>
      <c r="ET8" s="480"/>
    </row>
    <row r="9" spans="1:150" ht="11.25" customHeight="1">
      <c r="A9" s="579" t="s">
        <v>445</v>
      </c>
      <c r="B9" s="579"/>
      <c r="C9" s="579"/>
      <c r="D9" s="579"/>
      <c r="E9" s="579"/>
      <c r="F9" s="579"/>
      <c r="G9" s="579"/>
      <c r="H9" s="579"/>
      <c r="I9" s="579"/>
      <c r="J9" s="579"/>
      <c r="K9" s="579"/>
      <c r="L9" s="579"/>
      <c r="M9" s="579"/>
      <c r="N9" s="579"/>
      <c r="O9" s="579"/>
      <c r="P9" s="579"/>
      <c r="Q9" s="579"/>
      <c r="R9" s="579"/>
      <c r="S9" s="579"/>
      <c r="T9" s="579"/>
      <c r="U9" s="579"/>
      <c r="V9" s="579"/>
      <c r="W9" s="579"/>
      <c r="X9" s="579"/>
      <c r="Y9" s="579"/>
      <c r="Z9" s="579"/>
      <c r="AA9" s="579"/>
      <c r="AB9" s="575"/>
      <c r="AC9" s="581"/>
      <c r="AD9" s="581"/>
      <c r="AE9" s="580"/>
      <c r="AF9" s="580"/>
      <c r="AG9" s="580"/>
      <c r="AH9" s="580"/>
      <c r="AI9" s="580"/>
      <c r="AJ9" s="580"/>
      <c r="AK9" s="580"/>
      <c r="AL9" s="580"/>
      <c r="AM9" s="580"/>
      <c r="AN9" s="580"/>
      <c r="AO9" s="580"/>
      <c r="AP9" s="580"/>
      <c r="AQ9" s="580"/>
      <c r="AR9" s="580"/>
      <c r="AS9" s="580"/>
      <c r="AT9" s="580"/>
      <c r="AU9" s="580"/>
      <c r="AV9" s="580"/>
      <c r="AW9" s="580"/>
      <c r="AX9" s="580"/>
      <c r="AY9" s="580"/>
      <c r="AZ9" s="580"/>
      <c r="BA9" s="580"/>
      <c r="BB9" s="580"/>
      <c r="BC9" s="580"/>
      <c r="BD9" s="580"/>
      <c r="BE9" s="580"/>
      <c r="BF9" s="580"/>
      <c r="BG9" s="580"/>
      <c r="BH9" s="580"/>
      <c r="BI9" s="580"/>
      <c r="BJ9" s="580"/>
      <c r="BK9" s="580"/>
      <c r="BL9" s="580"/>
      <c r="BM9" s="580"/>
      <c r="BN9" s="580"/>
      <c r="BO9" s="575"/>
      <c r="BP9" s="575"/>
      <c r="BQ9" s="575"/>
      <c r="BR9" s="575"/>
      <c r="BS9" s="575"/>
      <c r="BT9" s="575"/>
      <c r="BU9" s="575"/>
      <c r="BV9" s="575"/>
      <c r="BW9" s="575"/>
      <c r="BX9" s="575"/>
      <c r="BY9" s="575"/>
      <c r="BZ9" s="575"/>
      <c r="CA9" s="575"/>
      <c r="CB9" s="575"/>
      <c r="CC9" s="575"/>
      <c r="CD9" s="575"/>
      <c r="CE9" s="575"/>
      <c r="CF9" s="575"/>
      <c r="CG9" s="575"/>
      <c r="CH9" s="575"/>
      <c r="CI9" s="575"/>
      <c r="CJ9" s="575"/>
      <c r="CK9" s="575"/>
      <c r="CL9" s="575"/>
      <c r="CM9" s="575"/>
      <c r="CN9" s="575"/>
      <c r="CO9" s="575"/>
      <c r="CP9" s="575"/>
      <c r="CQ9" s="575"/>
      <c r="CR9" s="575"/>
      <c r="CS9" s="575"/>
      <c r="CT9" s="575"/>
      <c r="CU9" s="575"/>
      <c r="CV9" s="575"/>
      <c r="CW9" s="575"/>
      <c r="CX9" s="575"/>
      <c r="CY9" s="575"/>
      <c r="CZ9" s="575"/>
      <c r="DA9" s="575"/>
      <c r="DB9" s="575"/>
      <c r="DC9" s="575"/>
      <c r="DD9" s="575"/>
      <c r="DE9" s="575"/>
      <c r="DF9" s="575"/>
      <c r="DG9" s="575"/>
      <c r="DH9" s="575"/>
      <c r="DI9" s="575"/>
      <c r="DJ9" s="575"/>
      <c r="DK9" s="575"/>
      <c r="DL9" s="575"/>
      <c r="DM9" s="575"/>
      <c r="DN9" s="1959" t="s">
        <v>249</v>
      </c>
      <c r="DO9" s="1959"/>
      <c r="DP9" s="1959"/>
      <c r="DQ9" s="1959"/>
      <c r="DR9" s="1959"/>
      <c r="DS9" s="1959"/>
      <c r="DT9" s="1959"/>
      <c r="DU9" s="1959"/>
      <c r="DV9" s="1959"/>
      <c r="DW9" s="1959"/>
      <c r="DX9" s="1959"/>
      <c r="DY9" s="1959"/>
      <c r="DZ9" s="575"/>
      <c r="EA9" s="1961" t="s">
        <v>446</v>
      </c>
      <c r="EB9" s="1962"/>
      <c r="EC9" s="1962"/>
      <c r="ED9" s="1962"/>
      <c r="EE9" s="1962"/>
      <c r="EF9" s="1962"/>
      <c r="EG9" s="1962"/>
      <c r="EH9" s="1962"/>
      <c r="EI9" s="1962"/>
      <c r="EJ9" s="1962"/>
      <c r="EK9" s="1962"/>
      <c r="EL9" s="1962"/>
      <c r="EM9" s="1962"/>
      <c r="EN9" s="1962"/>
      <c r="EO9" s="1962"/>
      <c r="EP9" s="1962"/>
      <c r="EQ9" s="1962"/>
      <c r="ER9" s="1962"/>
      <c r="ES9" s="1962"/>
      <c r="ET9" s="480"/>
    </row>
    <row r="10" spans="1:150" ht="11.25" customHeight="1">
      <c r="A10" s="579" t="s">
        <v>346</v>
      </c>
      <c r="B10" s="579"/>
      <c r="C10" s="579"/>
      <c r="D10" s="579"/>
      <c r="E10" s="579"/>
      <c r="F10" s="579"/>
      <c r="G10" s="579"/>
      <c r="H10" s="579"/>
      <c r="I10" s="579"/>
      <c r="J10" s="579"/>
      <c r="K10" s="579"/>
      <c r="L10" s="579"/>
      <c r="M10" s="575"/>
      <c r="N10" s="1952" t="s">
        <v>35</v>
      </c>
      <c r="O10" s="1952"/>
      <c r="P10" s="1952"/>
      <c r="Q10" s="1952"/>
      <c r="R10" s="1952"/>
      <c r="S10" s="1952"/>
      <c r="T10" s="1952"/>
      <c r="U10" s="1952"/>
      <c r="V10" s="1952"/>
      <c r="W10" s="1952"/>
      <c r="X10" s="1952"/>
      <c r="Y10" s="1952"/>
      <c r="Z10" s="1952"/>
      <c r="AA10" s="1952"/>
      <c r="AB10" s="1952"/>
      <c r="AC10" s="1952"/>
      <c r="AD10" s="1952"/>
      <c r="AE10" s="1952"/>
      <c r="AF10" s="1952"/>
      <c r="AG10" s="1952"/>
      <c r="AH10" s="1952"/>
      <c r="AI10" s="1952"/>
      <c r="AJ10" s="1952"/>
      <c r="AK10" s="1952"/>
      <c r="AL10" s="1952"/>
      <c r="AM10" s="1952"/>
      <c r="AN10" s="1952"/>
      <c r="AO10" s="1952"/>
      <c r="AP10" s="1952"/>
      <c r="AQ10" s="1952"/>
      <c r="AR10" s="1952"/>
      <c r="AS10" s="1952"/>
      <c r="AT10" s="1952"/>
      <c r="AU10" s="1952"/>
      <c r="AV10" s="1952"/>
      <c r="AW10" s="1952"/>
      <c r="AX10" s="1952"/>
      <c r="AY10" s="1952"/>
      <c r="AZ10" s="1952"/>
      <c r="BA10" s="1952"/>
      <c r="BB10" s="1952"/>
      <c r="BC10" s="1952"/>
      <c r="BD10" s="1952"/>
      <c r="BE10" s="1952"/>
      <c r="BF10" s="1952"/>
      <c r="BG10" s="1952"/>
      <c r="BH10" s="1952"/>
      <c r="BI10" s="1952"/>
      <c r="BJ10" s="1952"/>
      <c r="BK10" s="1952"/>
      <c r="BL10" s="1952"/>
      <c r="BM10" s="1952"/>
      <c r="BN10" s="1952"/>
      <c r="BO10" s="575"/>
      <c r="BP10" s="575"/>
      <c r="BQ10" s="575"/>
      <c r="BR10" s="575"/>
      <c r="BS10" s="575"/>
      <c r="BT10" s="575"/>
      <c r="BU10" s="575"/>
      <c r="BV10" s="575"/>
      <c r="BW10" s="575"/>
      <c r="BX10" s="575"/>
      <c r="BY10" s="575"/>
      <c r="BZ10" s="575"/>
      <c r="CA10" s="575"/>
      <c r="CB10" s="575"/>
      <c r="CC10" s="575"/>
      <c r="CD10" s="575"/>
      <c r="CE10" s="575"/>
      <c r="CF10" s="575"/>
      <c r="CG10" s="575"/>
      <c r="CH10" s="575"/>
      <c r="CI10" s="575"/>
      <c r="CJ10" s="575"/>
      <c r="CK10" s="575"/>
      <c r="CL10" s="575"/>
      <c r="CM10" s="575"/>
      <c r="CN10" s="575"/>
      <c r="CO10" s="575"/>
      <c r="CP10" s="575"/>
      <c r="CQ10" s="575"/>
      <c r="CR10" s="575"/>
      <c r="CS10" s="575"/>
      <c r="CT10" s="575"/>
      <c r="CU10" s="575"/>
      <c r="CV10" s="575"/>
      <c r="CW10" s="575"/>
      <c r="CX10" s="575"/>
      <c r="CY10" s="575"/>
      <c r="CZ10" s="575"/>
      <c r="DA10" s="575"/>
      <c r="DB10" s="575"/>
      <c r="DC10" s="575"/>
      <c r="DD10" s="575"/>
      <c r="DE10" s="575"/>
      <c r="DF10" s="575"/>
      <c r="DG10" s="575"/>
      <c r="DH10" s="575"/>
      <c r="DI10" s="575"/>
      <c r="DJ10" s="575"/>
      <c r="DK10" s="575"/>
      <c r="DL10" s="575"/>
      <c r="DM10" s="575"/>
      <c r="DN10" s="1959"/>
      <c r="DO10" s="1959"/>
      <c r="DP10" s="1959"/>
      <c r="DQ10" s="1959"/>
      <c r="DR10" s="1959"/>
      <c r="DS10" s="1959"/>
      <c r="DT10" s="1959"/>
      <c r="DU10" s="1959"/>
      <c r="DV10" s="1959"/>
      <c r="DW10" s="1959"/>
      <c r="DX10" s="1959"/>
      <c r="DY10" s="1959"/>
      <c r="DZ10" s="575"/>
      <c r="EA10" s="1962"/>
      <c r="EB10" s="1962"/>
      <c r="EC10" s="1962"/>
      <c r="ED10" s="1962"/>
      <c r="EE10" s="1962"/>
      <c r="EF10" s="1962"/>
      <c r="EG10" s="1962"/>
      <c r="EH10" s="1962"/>
      <c r="EI10" s="1962"/>
      <c r="EJ10" s="1962"/>
      <c r="EK10" s="1962"/>
      <c r="EL10" s="1962"/>
      <c r="EM10" s="1962"/>
      <c r="EN10" s="1962"/>
      <c r="EO10" s="1962"/>
      <c r="EP10" s="1962"/>
      <c r="EQ10" s="1962"/>
      <c r="ER10" s="1962"/>
      <c r="ES10" s="1962"/>
      <c r="ET10" s="480"/>
    </row>
    <row r="11" spans="1:150" ht="11.25" customHeight="1">
      <c r="A11" s="579" t="s">
        <v>447</v>
      </c>
      <c r="B11" s="579"/>
      <c r="C11" s="579"/>
      <c r="D11" s="579"/>
      <c r="E11" s="579"/>
      <c r="F11" s="579"/>
      <c r="G11" s="579"/>
      <c r="H11" s="579"/>
      <c r="I11" s="579"/>
      <c r="J11" s="579"/>
      <c r="K11" s="575"/>
      <c r="L11" s="1963" t="s">
        <v>32</v>
      </c>
      <c r="M11" s="1963"/>
      <c r="N11" s="1963"/>
      <c r="O11" s="1963"/>
      <c r="P11" s="1963"/>
      <c r="Q11" s="1963"/>
      <c r="R11" s="1963"/>
      <c r="S11" s="1963"/>
      <c r="T11" s="1963"/>
      <c r="U11" s="1963"/>
      <c r="V11" s="1963"/>
      <c r="W11" s="1963"/>
      <c r="X11" s="1963"/>
      <c r="Y11" s="1963"/>
      <c r="Z11" s="1963"/>
      <c r="AA11" s="1963"/>
      <c r="AB11" s="1963"/>
      <c r="AC11" s="1963"/>
      <c r="AD11" s="1963"/>
      <c r="AE11" s="1963"/>
      <c r="AF11" s="1963"/>
      <c r="AG11" s="1963"/>
      <c r="AH11" s="1963"/>
      <c r="AI11" s="1963"/>
      <c r="AJ11" s="1963"/>
      <c r="AK11" s="1963"/>
      <c r="AL11" s="1963"/>
      <c r="AM11" s="1963"/>
      <c r="AN11" s="1963"/>
      <c r="AO11" s="1963"/>
      <c r="AP11" s="1963"/>
      <c r="AQ11" s="1963"/>
      <c r="AR11" s="1963"/>
      <c r="AS11" s="1963"/>
      <c r="AT11" s="1963"/>
      <c r="AU11" s="1963"/>
      <c r="AV11" s="1963"/>
      <c r="AW11" s="1963"/>
      <c r="AX11" s="1963"/>
      <c r="AY11" s="1963"/>
      <c r="AZ11" s="1963"/>
      <c r="BA11" s="1963"/>
      <c r="BB11" s="1963"/>
      <c r="BC11" s="1963"/>
      <c r="BD11" s="1963"/>
      <c r="BE11" s="1963"/>
      <c r="BF11" s="1963"/>
      <c r="BG11" s="1963"/>
      <c r="BH11" s="1963"/>
      <c r="BI11" s="1963"/>
      <c r="BJ11" s="1963"/>
      <c r="BK11" s="1963"/>
      <c r="BL11" s="1963"/>
      <c r="BM11" s="1963"/>
      <c r="BN11" s="1963"/>
      <c r="BO11" s="575"/>
      <c r="BP11" s="575"/>
      <c r="BQ11" s="575"/>
      <c r="BR11" s="575"/>
      <c r="BS11" s="575"/>
      <c r="BT11" s="575"/>
      <c r="BU11" s="575"/>
      <c r="BV11" s="575"/>
      <c r="BW11" s="575"/>
      <c r="BX11" s="575"/>
      <c r="BY11" s="575"/>
      <c r="BZ11" s="575"/>
      <c r="CA11" s="575"/>
      <c r="CB11" s="575"/>
      <c r="CC11" s="575"/>
      <c r="CD11" s="575"/>
      <c r="CE11" s="575"/>
      <c r="CF11" s="575"/>
      <c r="CG11" s="575"/>
      <c r="CH11" s="575"/>
      <c r="CI11" s="575"/>
      <c r="CJ11" s="575"/>
      <c r="CK11" s="575"/>
      <c r="CL11" s="575"/>
      <c r="CM11" s="575"/>
      <c r="CN11" s="575"/>
      <c r="CO11" s="575"/>
      <c r="CP11" s="575"/>
      <c r="CQ11" s="575"/>
      <c r="CR11" s="575"/>
      <c r="CS11" s="575"/>
      <c r="CT11" s="575"/>
      <c r="CU11" s="575"/>
      <c r="CV11" s="575"/>
      <c r="CW11" s="575"/>
      <c r="CX11" s="575"/>
      <c r="CY11" s="575"/>
      <c r="CZ11" s="575"/>
      <c r="DA11" s="575"/>
      <c r="DB11" s="575"/>
      <c r="DC11" s="575"/>
      <c r="DD11" s="575"/>
      <c r="DE11" s="575"/>
      <c r="DF11" s="575"/>
      <c r="DG11" s="575"/>
      <c r="DH11" s="575"/>
      <c r="DI11" s="575"/>
      <c r="DJ11" s="575"/>
      <c r="DK11" s="575"/>
      <c r="DL11" s="575"/>
      <c r="DM11" s="575"/>
      <c r="DN11" s="1959" t="s">
        <v>226</v>
      </c>
      <c r="DO11" s="1959"/>
      <c r="DP11" s="1959"/>
      <c r="DQ11" s="1959"/>
      <c r="DR11" s="1959"/>
      <c r="DS11" s="1959"/>
      <c r="DT11" s="1959"/>
      <c r="DU11" s="1959"/>
      <c r="DV11" s="1959"/>
      <c r="DW11" s="1959"/>
      <c r="DX11" s="1959"/>
      <c r="DY11" s="1959"/>
      <c r="DZ11" s="575"/>
      <c r="EA11" s="1964" t="s">
        <v>34</v>
      </c>
      <c r="EB11" s="1965"/>
      <c r="EC11" s="1965"/>
      <c r="ED11" s="1965"/>
      <c r="EE11" s="1965"/>
      <c r="EF11" s="1965"/>
      <c r="EG11" s="1965"/>
      <c r="EH11" s="1965"/>
      <c r="EI11" s="1965"/>
      <c r="EJ11" s="1965"/>
      <c r="EK11" s="1965"/>
      <c r="EL11" s="1965"/>
      <c r="EM11" s="1965"/>
      <c r="EN11" s="1965"/>
      <c r="EO11" s="1965"/>
      <c r="EP11" s="1965"/>
      <c r="EQ11" s="1965"/>
      <c r="ER11" s="1965"/>
      <c r="ES11" s="1966"/>
      <c r="ET11" s="480"/>
    </row>
    <row r="12" spans="1:150" ht="11.25" customHeight="1">
      <c r="A12" s="579" t="s">
        <v>272</v>
      </c>
      <c r="B12" s="579"/>
      <c r="C12" s="579"/>
      <c r="D12" s="579"/>
      <c r="E12" s="579"/>
      <c r="F12" s="579"/>
      <c r="G12" s="579"/>
      <c r="H12" s="579"/>
      <c r="I12" s="579"/>
      <c r="J12" s="579"/>
      <c r="K12" s="579"/>
      <c r="L12" s="579"/>
      <c r="M12" s="579"/>
      <c r="N12" s="579"/>
      <c r="O12" s="579"/>
      <c r="P12" s="579"/>
      <c r="Q12" s="579"/>
      <c r="R12" s="579"/>
      <c r="S12" s="579"/>
      <c r="T12" s="579"/>
      <c r="U12" s="579"/>
      <c r="V12" s="579"/>
      <c r="W12" s="579"/>
      <c r="X12" s="579"/>
      <c r="Y12" s="579"/>
      <c r="Z12" s="579"/>
      <c r="AA12" s="579"/>
      <c r="AB12" s="579"/>
      <c r="AC12" s="579"/>
      <c r="AD12" s="575"/>
      <c r="AE12" s="582"/>
      <c r="AF12" s="581"/>
      <c r="AG12" s="587" t="s">
        <v>476</v>
      </c>
      <c r="AH12" s="585"/>
      <c r="AI12" s="585"/>
      <c r="AJ12" s="585"/>
      <c r="AK12" s="585"/>
      <c r="AL12" s="585"/>
      <c r="AM12" s="585"/>
      <c r="AN12" s="585"/>
      <c r="AO12" s="585"/>
      <c r="AP12" s="585"/>
      <c r="AQ12" s="585"/>
      <c r="AR12" s="585"/>
      <c r="AS12" s="585"/>
      <c r="AT12" s="585"/>
      <c r="AU12" s="585"/>
      <c r="AV12" s="585"/>
      <c r="AW12" s="585"/>
      <c r="AX12" s="585"/>
      <c r="AY12" s="585"/>
      <c r="AZ12" s="585"/>
      <c r="BA12" s="585"/>
      <c r="BB12" s="585"/>
      <c r="BC12" s="585"/>
      <c r="BD12" s="585"/>
      <c r="BE12" s="585"/>
      <c r="BF12" s="585"/>
      <c r="BG12" s="585"/>
      <c r="BH12" s="585"/>
      <c r="BI12" s="585"/>
      <c r="BJ12" s="585"/>
      <c r="BK12" s="585"/>
      <c r="BL12" s="585"/>
      <c r="BM12" s="585"/>
      <c r="BN12" s="585"/>
      <c r="BO12" s="575"/>
      <c r="BP12" s="575"/>
      <c r="BQ12" s="575"/>
      <c r="BR12" s="575"/>
      <c r="BS12" s="575"/>
      <c r="BT12" s="575"/>
      <c r="BU12" s="575"/>
      <c r="BV12" s="575"/>
      <c r="BW12" s="575"/>
      <c r="BX12" s="575"/>
      <c r="BY12" s="575"/>
      <c r="BZ12" s="575"/>
      <c r="CA12" s="575"/>
      <c r="CB12" s="575"/>
      <c r="CC12" s="575"/>
      <c r="CD12" s="575"/>
      <c r="CE12" s="575"/>
      <c r="CF12" s="575"/>
      <c r="CG12" s="575"/>
      <c r="CH12" s="575"/>
      <c r="CI12" s="575"/>
      <c r="CJ12" s="575"/>
      <c r="CK12" s="575"/>
      <c r="CL12" s="575"/>
      <c r="CM12" s="575"/>
      <c r="CN12" s="575"/>
      <c r="CO12" s="575"/>
      <c r="CP12" s="575"/>
      <c r="CQ12" s="575"/>
      <c r="CR12" s="575"/>
      <c r="CS12" s="575"/>
      <c r="CT12" s="575"/>
      <c r="CU12" s="575"/>
      <c r="CV12" s="575"/>
      <c r="CW12" s="575"/>
      <c r="CX12" s="575"/>
      <c r="CY12" s="575"/>
      <c r="CZ12" s="575"/>
      <c r="DA12" s="575"/>
      <c r="DB12" s="575"/>
      <c r="DC12" s="575"/>
      <c r="DD12" s="575"/>
      <c r="DE12" s="575"/>
      <c r="DF12" s="575"/>
      <c r="DG12" s="575"/>
      <c r="DH12" s="575"/>
      <c r="DI12" s="575"/>
      <c r="DJ12" s="575"/>
      <c r="DK12" s="575"/>
      <c r="DL12" s="575"/>
      <c r="DM12" s="575"/>
      <c r="DN12" s="1959"/>
      <c r="DO12" s="1959"/>
      <c r="DP12" s="1959"/>
      <c r="DQ12" s="1959"/>
      <c r="DR12" s="1959"/>
      <c r="DS12" s="1959"/>
      <c r="DT12" s="1959"/>
      <c r="DU12" s="1959"/>
      <c r="DV12" s="1959"/>
      <c r="DW12" s="1959"/>
      <c r="DX12" s="1959"/>
      <c r="DY12" s="1959"/>
      <c r="DZ12" s="575"/>
      <c r="EA12" s="1967"/>
      <c r="EB12" s="1968"/>
      <c r="EC12" s="1968"/>
      <c r="ED12" s="1968"/>
      <c r="EE12" s="1968"/>
      <c r="EF12" s="1968"/>
      <c r="EG12" s="1968"/>
      <c r="EH12" s="1968"/>
      <c r="EI12" s="1968"/>
      <c r="EJ12" s="1968"/>
      <c r="EK12" s="1968"/>
      <c r="EL12" s="1968"/>
      <c r="EM12" s="1968"/>
      <c r="EN12" s="1968"/>
      <c r="EO12" s="1968"/>
      <c r="EP12" s="1968"/>
      <c r="EQ12" s="1968"/>
      <c r="ER12" s="1968"/>
      <c r="ES12" s="1969"/>
      <c r="ET12" s="480"/>
    </row>
    <row r="13" spans="1:150" ht="11.25" customHeight="1">
      <c r="A13" s="579" t="s">
        <v>448</v>
      </c>
      <c r="B13" s="579"/>
      <c r="C13" s="579"/>
      <c r="D13" s="579"/>
      <c r="E13" s="579"/>
      <c r="F13" s="579"/>
      <c r="G13" s="579"/>
      <c r="H13" s="579"/>
      <c r="I13" s="579"/>
      <c r="J13" s="579"/>
      <c r="K13" s="579"/>
      <c r="L13" s="579"/>
      <c r="M13" s="579"/>
      <c r="N13" s="579"/>
      <c r="O13" s="579"/>
      <c r="P13" s="579"/>
      <c r="Q13" s="579"/>
      <c r="R13" s="575"/>
      <c r="S13" s="581"/>
      <c r="T13" s="581"/>
      <c r="U13" s="580"/>
      <c r="V13" s="580"/>
      <c r="W13" s="580"/>
      <c r="X13" s="580"/>
      <c r="Y13" s="580"/>
      <c r="Z13" s="580"/>
      <c r="AA13" s="580"/>
      <c r="AB13" s="580"/>
      <c r="AC13" s="580"/>
      <c r="AD13" s="580"/>
      <c r="AE13" s="580"/>
      <c r="AF13" s="580"/>
      <c r="AG13" s="580"/>
      <c r="AH13" s="580"/>
      <c r="AI13" s="580"/>
      <c r="AJ13" s="580"/>
      <c r="AK13" s="580"/>
      <c r="AL13" s="580"/>
      <c r="AM13" s="580"/>
      <c r="AN13" s="580"/>
      <c r="AO13" s="580"/>
      <c r="AP13" s="580"/>
      <c r="AQ13" s="580"/>
      <c r="AR13" s="580"/>
      <c r="AS13" s="580"/>
      <c r="AT13" s="580"/>
      <c r="AU13" s="580"/>
      <c r="AV13" s="580"/>
      <c r="AW13" s="580"/>
      <c r="AX13" s="580"/>
      <c r="AY13" s="580"/>
      <c r="AZ13" s="580"/>
      <c r="BA13" s="580"/>
      <c r="BB13" s="580"/>
      <c r="BC13" s="580"/>
      <c r="BD13" s="580"/>
      <c r="BE13" s="580"/>
      <c r="BF13" s="580"/>
      <c r="BG13" s="580"/>
      <c r="BH13" s="580"/>
      <c r="BI13" s="580"/>
      <c r="BJ13" s="580"/>
      <c r="BK13" s="580"/>
      <c r="BL13" s="580"/>
      <c r="BM13" s="580"/>
      <c r="BN13" s="580"/>
      <c r="BO13" s="575"/>
      <c r="BP13" s="575"/>
      <c r="BQ13" s="575"/>
      <c r="BR13" s="575"/>
      <c r="BS13" s="575"/>
      <c r="BT13" s="575"/>
      <c r="BU13" s="575"/>
      <c r="BV13" s="575"/>
      <c r="BW13" s="575"/>
      <c r="BX13" s="575"/>
      <c r="BY13" s="575"/>
      <c r="BZ13" s="575"/>
      <c r="CA13" s="575"/>
      <c r="CB13" s="575"/>
      <c r="CC13" s="575"/>
      <c r="CD13" s="575"/>
      <c r="CE13" s="575"/>
      <c r="CF13" s="575"/>
      <c r="CG13" s="575"/>
      <c r="CH13" s="575"/>
      <c r="CI13" s="575"/>
      <c r="CJ13" s="575"/>
      <c r="CK13" s="575"/>
      <c r="CL13" s="575"/>
      <c r="CM13" s="575"/>
      <c r="CN13" s="575"/>
      <c r="CO13" s="575"/>
      <c r="CP13" s="575"/>
      <c r="CQ13" s="575"/>
      <c r="CR13" s="575"/>
      <c r="CS13" s="575"/>
      <c r="CT13" s="575"/>
      <c r="CU13" s="575"/>
      <c r="CV13" s="575"/>
      <c r="CW13" s="575"/>
      <c r="CX13" s="575"/>
      <c r="CY13" s="575"/>
      <c r="CZ13" s="575"/>
      <c r="DA13" s="575"/>
      <c r="DB13" s="575"/>
      <c r="DC13" s="575"/>
      <c r="DD13" s="575"/>
      <c r="DE13" s="575"/>
      <c r="DF13" s="575"/>
      <c r="DG13" s="575"/>
      <c r="DH13" s="575"/>
      <c r="DI13" s="575"/>
      <c r="DJ13" s="575"/>
      <c r="DK13" s="575"/>
      <c r="DL13" s="575"/>
      <c r="DM13" s="575"/>
      <c r="DN13" s="1959" t="s">
        <v>109</v>
      </c>
      <c r="DO13" s="1959"/>
      <c r="DP13" s="1959"/>
      <c r="DQ13" s="1959"/>
      <c r="DR13" s="1959"/>
      <c r="DS13" s="1959"/>
      <c r="DT13" s="1959"/>
      <c r="DU13" s="1959"/>
      <c r="DV13" s="1959"/>
      <c r="DW13" s="1959"/>
      <c r="DX13" s="1959"/>
      <c r="DY13" s="1959"/>
      <c r="DZ13" s="575"/>
      <c r="EA13" s="1962">
        <v>405</v>
      </c>
      <c r="EB13" s="1962"/>
      <c r="EC13" s="1962"/>
      <c r="ED13" s="1962"/>
      <c r="EE13" s="1962"/>
      <c r="EF13" s="1962"/>
      <c r="EG13" s="1962"/>
      <c r="EH13" s="1962"/>
      <c r="EI13" s="1962"/>
      <c r="EJ13" s="1962"/>
      <c r="EK13" s="1962"/>
      <c r="EL13" s="1962"/>
      <c r="EM13" s="1962"/>
      <c r="EN13" s="1962"/>
      <c r="EO13" s="1962"/>
      <c r="EP13" s="1962"/>
      <c r="EQ13" s="1962"/>
      <c r="ER13" s="1962"/>
      <c r="ES13" s="1962"/>
      <c r="ET13" s="480"/>
    </row>
    <row r="14" spans="1:150" ht="11.25" customHeight="1">
      <c r="A14" s="579" t="s">
        <v>449</v>
      </c>
      <c r="B14" s="579"/>
      <c r="C14" s="579"/>
      <c r="D14" s="579"/>
      <c r="E14" s="579"/>
      <c r="F14" s="579"/>
      <c r="G14" s="579"/>
      <c r="H14" s="579"/>
      <c r="I14" s="579"/>
      <c r="J14" s="579"/>
      <c r="K14" s="579"/>
      <c r="L14" s="579"/>
      <c r="M14" s="579"/>
      <c r="N14" s="579"/>
      <c r="O14" s="579"/>
      <c r="P14" s="579"/>
      <c r="Q14" s="579"/>
      <c r="R14" s="579"/>
      <c r="S14" s="575"/>
      <c r="T14" s="581"/>
      <c r="U14" s="1956" t="s">
        <v>470</v>
      </c>
      <c r="V14" s="1956"/>
      <c r="W14" s="1956"/>
      <c r="X14" s="1956"/>
      <c r="Y14" s="1956"/>
      <c r="Z14" s="1956"/>
      <c r="AA14" s="1956"/>
      <c r="AB14" s="1956"/>
      <c r="AC14" s="1956"/>
      <c r="AD14" s="1956"/>
      <c r="AE14" s="1956"/>
      <c r="AF14" s="1956"/>
      <c r="AG14" s="1956"/>
      <c r="AH14" s="1956"/>
      <c r="AI14" s="1956"/>
      <c r="AJ14" s="1956"/>
      <c r="AK14" s="1956"/>
      <c r="AL14" s="1956"/>
      <c r="AM14" s="1956"/>
      <c r="AN14" s="1956"/>
      <c r="AO14" s="1956"/>
      <c r="AP14" s="1956"/>
      <c r="AQ14" s="1956"/>
      <c r="AR14" s="1956"/>
      <c r="AS14" s="1956"/>
      <c r="AT14" s="1956"/>
      <c r="AU14" s="1956"/>
      <c r="AV14" s="1956"/>
      <c r="AW14" s="1956"/>
      <c r="AX14" s="1956"/>
      <c r="AY14" s="1956"/>
      <c r="AZ14" s="1956"/>
      <c r="BA14" s="1956"/>
      <c r="BB14" s="1956"/>
      <c r="BC14" s="1956"/>
      <c r="BD14" s="1956"/>
      <c r="BE14" s="1956"/>
      <c r="BF14" s="1956"/>
      <c r="BG14" s="1956"/>
      <c r="BH14" s="1956"/>
      <c r="BI14" s="1956"/>
      <c r="BJ14" s="1956"/>
      <c r="BK14" s="1956"/>
      <c r="BL14" s="1956"/>
      <c r="BM14" s="1956"/>
      <c r="BN14" s="1956"/>
      <c r="BO14" s="575"/>
      <c r="BP14" s="575"/>
      <c r="BQ14" s="575"/>
      <c r="BR14" s="575"/>
      <c r="BS14" s="575"/>
      <c r="BT14" s="575"/>
      <c r="BU14" s="575"/>
      <c r="BV14" s="575"/>
      <c r="BW14" s="575"/>
      <c r="BX14" s="575"/>
      <c r="BY14" s="575"/>
      <c r="BZ14" s="575"/>
      <c r="CA14" s="575"/>
      <c r="CB14" s="575"/>
      <c r="CC14" s="575"/>
      <c r="CD14" s="575"/>
      <c r="CE14" s="575"/>
      <c r="CF14" s="575"/>
      <c r="CG14" s="575"/>
      <c r="CH14" s="575"/>
      <c r="CI14" s="575"/>
      <c r="CJ14" s="575"/>
      <c r="CK14" s="575"/>
      <c r="CL14" s="575"/>
      <c r="CM14" s="575"/>
      <c r="CN14" s="575"/>
      <c r="CO14" s="575"/>
      <c r="CP14" s="575"/>
      <c r="CQ14" s="575"/>
      <c r="CR14" s="575"/>
      <c r="CS14" s="575"/>
      <c r="CT14" s="575"/>
      <c r="CU14" s="575"/>
      <c r="CV14" s="575"/>
      <c r="CW14" s="575"/>
      <c r="CX14" s="575"/>
      <c r="CY14" s="575"/>
      <c r="CZ14" s="575"/>
      <c r="DA14" s="575"/>
      <c r="DB14" s="575"/>
      <c r="DC14" s="575"/>
      <c r="DD14" s="575"/>
      <c r="DE14" s="575"/>
      <c r="DF14" s="575"/>
      <c r="DG14" s="575"/>
      <c r="DH14" s="575"/>
      <c r="DI14" s="575"/>
      <c r="DJ14" s="575"/>
      <c r="DK14" s="575"/>
      <c r="DL14" s="575"/>
      <c r="DM14" s="575"/>
      <c r="DN14" s="1959"/>
      <c r="DO14" s="1959"/>
      <c r="DP14" s="1959"/>
      <c r="DQ14" s="1959"/>
      <c r="DR14" s="1959"/>
      <c r="DS14" s="1959"/>
      <c r="DT14" s="1959"/>
      <c r="DU14" s="1959"/>
      <c r="DV14" s="1959"/>
      <c r="DW14" s="1959"/>
      <c r="DX14" s="1959"/>
      <c r="DY14" s="1959"/>
      <c r="DZ14" s="575"/>
      <c r="EA14" s="1962"/>
      <c r="EB14" s="1962"/>
      <c r="EC14" s="1962"/>
      <c r="ED14" s="1962"/>
      <c r="EE14" s="1962"/>
      <c r="EF14" s="1962"/>
      <c r="EG14" s="1962"/>
      <c r="EH14" s="1962"/>
      <c r="EI14" s="1962"/>
      <c r="EJ14" s="1962"/>
      <c r="EK14" s="1962"/>
      <c r="EL14" s="1962"/>
      <c r="EM14" s="1962"/>
      <c r="EN14" s="1962"/>
      <c r="EO14" s="1962"/>
      <c r="EP14" s="1962"/>
      <c r="EQ14" s="1962"/>
      <c r="ER14" s="1962"/>
      <c r="ES14" s="1962"/>
      <c r="ET14" s="480"/>
    </row>
    <row r="15" spans="1:150" ht="11.25" customHeight="1">
      <c r="A15" s="575"/>
      <c r="B15" s="575"/>
      <c r="C15" s="575"/>
      <c r="D15" s="575"/>
      <c r="E15" s="575"/>
      <c r="F15" s="575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1924" t="s">
        <v>450</v>
      </c>
      <c r="U15" s="1924"/>
      <c r="V15" s="1924"/>
      <c r="W15" s="1924"/>
      <c r="X15" s="1924"/>
      <c r="Y15" s="1924"/>
      <c r="Z15" s="1924"/>
      <c r="AA15" s="1924"/>
      <c r="AB15" s="1924"/>
      <c r="AC15" s="1924"/>
      <c r="AD15" s="1924"/>
      <c r="AE15" s="1924"/>
      <c r="AF15" s="1924"/>
      <c r="AG15" s="1924"/>
      <c r="AH15" s="1924"/>
      <c r="AI15" s="1924"/>
      <c r="AJ15" s="1924"/>
      <c r="AK15" s="1924"/>
      <c r="AL15" s="1924"/>
      <c r="AM15" s="1924"/>
      <c r="AN15" s="1924"/>
      <c r="AO15" s="1924"/>
      <c r="AP15" s="1924"/>
      <c r="AQ15" s="1924"/>
      <c r="AR15" s="1924"/>
      <c r="AS15" s="1924"/>
      <c r="AT15" s="1924"/>
      <c r="AU15" s="1924"/>
      <c r="AV15" s="1924"/>
      <c r="AW15" s="1924"/>
      <c r="AX15" s="1924"/>
      <c r="AY15" s="1924"/>
      <c r="AZ15" s="1924"/>
      <c r="BA15" s="1924"/>
      <c r="BB15" s="1924"/>
      <c r="BC15" s="1924"/>
      <c r="BD15" s="1924"/>
      <c r="BE15" s="1924"/>
      <c r="BF15" s="1924"/>
      <c r="BG15" s="1924"/>
      <c r="BH15" s="1924"/>
      <c r="BI15" s="1924"/>
      <c r="BJ15" s="1924"/>
      <c r="BK15" s="1924"/>
      <c r="BL15" s="1924"/>
      <c r="BM15" s="1924"/>
      <c r="BN15" s="1924"/>
      <c r="BO15" s="575"/>
      <c r="BP15" s="575"/>
      <c r="BQ15" s="575"/>
      <c r="BR15" s="575"/>
      <c r="BS15" s="575"/>
      <c r="BT15" s="575"/>
      <c r="BU15" s="575"/>
      <c r="BV15" s="575"/>
      <c r="BW15" s="575"/>
      <c r="BX15" s="575"/>
      <c r="BY15" s="575"/>
      <c r="BZ15" s="575"/>
      <c r="CA15" s="575"/>
      <c r="CB15" s="575"/>
      <c r="CC15" s="575"/>
      <c r="CD15" s="575"/>
      <c r="CE15" s="575"/>
      <c r="CF15" s="575"/>
      <c r="CG15" s="575"/>
      <c r="CH15" s="575"/>
      <c r="CI15" s="575"/>
      <c r="CJ15" s="575"/>
      <c r="CK15" s="575"/>
      <c r="CL15" s="575"/>
      <c r="CM15" s="575"/>
      <c r="CN15" s="575"/>
      <c r="CO15" s="575"/>
      <c r="CP15" s="575"/>
      <c r="CQ15" s="575"/>
      <c r="CR15" s="575"/>
      <c r="CS15" s="575"/>
      <c r="CT15" s="575"/>
      <c r="CU15" s="575"/>
      <c r="CV15" s="575"/>
      <c r="CW15" s="575"/>
      <c r="CX15" s="575"/>
      <c r="CY15" s="575"/>
      <c r="CZ15" s="575"/>
      <c r="DA15" s="575"/>
      <c r="DB15" s="575"/>
      <c r="DC15" s="575"/>
      <c r="DD15" s="575"/>
      <c r="DE15" s="575"/>
      <c r="DF15" s="575"/>
      <c r="DG15" s="575"/>
      <c r="DH15" s="575"/>
      <c r="DI15" s="575"/>
      <c r="DJ15" s="575"/>
      <c r="DK15" s="575"/>
      <c r="DL15" s="575"/>
      <c r="DM15" s="575"/>
      <c r="DN15" s="1950"/>
      <c r="DO15" s="1950"/>
      <c r="DP15" s="1950"/>
      <c r="DQ15" s="1950"/>
      <c r="DR15" s="1950"/>
      <c r="DS15" s="1950"/>
      <c r="DT15" s="1950"/>
      <c r="DU15" s="1950"/>
      <c r="DV15" s="1950"/>
      <c r="DW15" s="1950"/>
      <c r="DX15" s="1950"/>
      <c r="DY15" s="1950"/>
      <c r="DZ15" s="575"/>
      <c r="EA15" s="1951"/>
      <c r="EB15" s="1951"/>
      <c r="EC15" s="1951"/>
      <c r="ED15" s="1951"/>
      <c r="EE15" s="1951"/>
      <c r="EF15" s="1951"/>
      <c r="EG15" s="1951"/>
      <c r="EH15" s="1951"/>
      <c r="EI15" s="1951"/>
      <c r="EJ15" s="1951"/>
      <c r="EK15" s="1951"/>
      <c r="EL15" s="1951"/>
      <c r="EM15" s="1951"/>
      <c r="EN15" s="1951"/>
      <c r="EO15" s="1951"/>
      <c r="EP15" s="1951"/>
      <c r="EQ15" s="1951"/>
      <c r="ER15" s="1951"/>
      <c r="ES15" s="1951"/>
      <c r="ET15" s="480"/>
    </row>
    <row r="16" spans="1:150" ht="3.75" customHeight="1">
      <c r="A16" s="575"/>
      <c r="B16" s="575"/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  <c r="U16" s="575"/>
      <c r="V16" s="575"/>
      <c r="W16" s="575"/>
      <c r="X16" s="575"/>
      <c r="Y16" s="575"/>
      <c r="Z16" s="575"/>
      <c r="AA16" s="575"/>
      <c r="AB16" s="575"/>
      <c r="AC16" s="575"/>
      <c r="AD16" s="575"/>
      <c r="AE16" s="575"/>
      <c r="AF16" s="575"/>
      <c r="AG16" s="575"/>
      <c r="AH16" s="575"/>
      <c r="AI16" s="575"/>
      <c r="AJ16" s="575"/>
      <c r="AK16" s="575"/>
      <c r="AL16" s="575"/>
      <c r="AM16" s="575"/>
      <c r="AN16" s="575"/>
      <c r="AO16" s="575"/>
      <c r="AP16" s="575"/>
      <c r="AQ16" s="575"/>
      <c r="AR16" s="575"/>
      <c r="AS16" s="575"/>
      <c r="AT16" s="575"/>
      <c r="AU16" s="575"/>
      <c r="AV16" s="575"/>
      <c r="AW16" s="575"/>
      <c r="AX16" s="575"/>
      <c r="AY16" s="575"/>
      <c r="AZ16" s="575"/>
      <c r="BA16" s="575"/>
      <c r="BB16" s="575"/>
      <c r="BC16" s="575"/>
      <c r="BD16" s="575"/>
      <c r="BE16" s="575"/>
      <c r="BF16" s="575"/>
      <c r="BG16" s="575"/>
      <c r="BH16" s="575"/>
      <c r="BI16" s="575"/>
      <c r="BJ16" s="575"/>
      <c r="BK16" s="575"/>
      <c r="BL16" s="575"/>
      <c r="BM16" s="575"/>
      <c r="BN16" s="575"/>
      <c r="BO16" s="575"/>
      <c r="BP16" s="575"/>
      <c r="BQ16" s="575"/>
      <c r="BR16" s="575"/>
      <c r="BS16" s="575"/>
      <c r="BT16" s="575"/>
      <c r="BU16" s="575"/>
      <c r="BV16" s="575"/>
      <c r="BW16" s="575"/>
      <c r="BX16" s="575"/>
      <c r="BY16" s="575"/>
      <c r="BZ16" s="575"/>
      <c r="CA16" s="575"/>
      <c r="CB16" s="575"/>
      <c r="CC16" s="575"/>
      <c r="CD16" s="575"/>
      <c r="CE16" s="575"/>
      <c r="CF16" s="575"/>
      <c r="CG16" s="575"/>
      <c r="CH16" s="575"/>
      <c r="CI16" s="575"/>
      <c r="CJ16" s="575"/>
      <c r="CK16" s="575"/>
      <c r="CL16" s="575"/>
      <c r="CM16" s="575"/>
      <c r="CN16" s="575"/>
      <c r="CO16" s="575"/>
      <c r="CP16" s="575"/>
      <c r="CQ16" s="575"/>
      <c r="CR16" s="575"/>
      <c r="CS16" s="575"/>
      <c r="CT16" s="575"/>
      <c r="CU16" s="575"/>
      <c r="CV16" s="575"/>
      <c r="CW16" s="575"/>
      <c r="CX16" s="575"/>
      <c r="CY16" s="575"/>
      <c r="CZ16" s="575"/>
      <c r="DA16" s="575"/>
      <c r="DB16" s="575"/>
      <c r="DC16" s="575"/>
      <c r="DD16" s="575"/>
      <c r="DE16" s="575"/>
      <c r="DF16" s="575"/>
      <c r="DG16" s="575"/>
      <c r="DH16" s="575"/>
      <c r="DI16" s="575"/>
      <c r="DJ16" s="575"/>
      <c r="DK16" s="575"/>
      <c r="DL16" s="575"/>
      <c r="DM16" s="575"/>
      <c r="DN16" s="1950"/>
      <c r="DO16" s="1950"/>
      <c r="DP16" s="1950"/>
      <c r="DQ16" s="1950"/>
      <c r="DR16" s="1950"/>
      <c r="DS16" s="1950"/>
      <c r="DT16" s="1950"/>
      <c r="DU16" s="1950"/>
      <c r="DV16" s="1950"/>
      <c r="DW16" s="1950"/>
      <c r="DX16" s="1950"/>
      <c r="DY16" s="1950"/>
      <c r="DZ16" s="575"/>
      <c r="EA16" s="1951"/>
      <c r="EB16" s="1951"/>
      <c r="EC16" s="1951"/>
      <c r="ED16" s="1951"/>
      <c r="EE16" s="1951"/>
      <c r="EF16" s="1951"/>
      <c r="EG16" s="1951"/>
      <c r="EH16" s="1951"/>
      <c r="EI16" s="1951"/>
      <c r="EJ16" s="1951"/>
      <c r="EK16" s="1951"/>
      <c r="EL16" s="1951"/>
      <c r="EM16" s="1951"/>
      <c r="EN16" s="1951"/>
      <c r="EO16" s="1951"/>
      <c r="EP16" s="1951"/>
      <c r="EQ16" s="1951"/>
      <c r="ER16" s="1951"/>
      <c r="ES16" s="1951"/>
      <c r="ET16" s="480"/>
    </row>
    <row r="17" spans="1:150" ht="11.25" customHeight="1">
      <c r="A17" s="575"/>
      <c r="B17" s="575"/>
      <c r="C17" s="575"/>
      <c r="D17" s="575"/>
      <c r="E17" s="575"/>
      <c r="F17" s="575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1952" t="s">
        <v>471</v>
      </c>
      <c r="U17" s="1952"/>
      <c r="V17" s="1952"/>
      <c r="W17" s="1952"/>
      <c r="X17" s="1952"/>
      <c r="Y17" s="1952"/>
      <c r="Z17" s="1952"/>
      <c r="AA17" s="1952"/>
      <c r="AB17" s="1952"/>
      <c r="AC17" s="1952"/>
      <c r="AD17" s="1952"/>
      <c r="AE17" s="1952"/>
      <c r="AF17" s="1952"/>
      <c r="AG17" s="1952"/>
      <c r="AH17" s="1952"/>
      <c r="AI17" s="1952"/>
      <c r="AJ17" s="1952"/>
      <c r="AK17" s="1952"/>
      <c r="AL17" s="1952"/>
      <c r="AM17" s="1952"/>
      <c r="AN17" s="1952"/>
      <c r="AO17" s="1952"/>
      <c r="AP17" s="1952"/>
      <c r="AQ17" s="1952"/>
      <c r="AR17" s="1952"/>
      <c r="AS17" s="1952"/>
      <c r="AT17" s="1952"/>
      <c r="AU17" s="1952"/>
      <c r="AV17" s="1952"/>
      <c r="AW17" s="1952"/>
      <c r="AX17" s="1952"/>
      <c r="AY17" s="1952"/>
      <c r="AZ17" s="1952"/>
      <c r="BA17" s="1952"/>
      <c r="BB17" s="1952"/>
      <c r="BC17" s="1952"/>
      <c r="BD17" s="1952"/>
      <c r="BE17" s="1952"/>
      <c r="BF17" s="1952"/>
      <c r="BG17" s="1952"/>
      <c r="BH17" s="1952"/>
      <c r="BI17" s="1952"/>
      <c r="BJ17" s="1952"/>
      <c r="BK17" s="1952"/>
      <c r="BL17" s="1952"/>
      <c r="BM17" s="1952"/>
      <c r="BN17" s="1952"/>
      <c r="BO17" s="575"/>
      <c r="BP17" s="575"/>
      <c r="BQ17" s="575"/>
      <c r="BR17" s="575"/>
      <c r="BS17" s="575"/>
      <c r="BT17" s="575"/>
      <c r="BU17" s="575"/>
      <c r="BV17" s="575"/>
      <c r="BW17" s="575"/>
      <c r="BX17" s="575"/>
      <c r="BY17" s="575"/>
      <c r="BZ17" s="575"/>
      <c r="CA17" s="575"/>
      <c r="CB17" s="575"/>
      <c r="CC17" s="575"/>
      <c r="CD17" s="575"/>
      <c r="CE17" s="575"/>
      <c r="CF17" s="575"/>
      <c r="CG17" s="575"/>
      <c r="CH17" s="575"/>
      <c r="CI17" s="575"/>
      <c r="CJ17" s="575"/>
      <c r="CK17" s="575"/>
      <c r="CL17" s="575"/>
      <c r="CM17" s="575"/>
      <c r="CN17" s="575"/>
      <c r="CO17" s="575"/>
      <c r="CP17" s="575"/>
      <c r="CQ17" s="575"/>
      <c r="CR17" s="575"/>
      <c r="CS17" s="575"/>
      <c r="CT17" s="575"/>
      <c r="CU17" s="575"/>
      <c r="CV17" s="575"/>
      <c r="CW17" s="575"/>
      <c r="CX17" s="575"/>
      <c r="CY17" s="575"/>
      <c r="CZ17" s="575"/>
      <c r="DA17" s="575"/>
      <c r="DB17" s="575"/>
      <c r="DC17" s="575"/>
      <c r="DD17" s="575"/>
      <c r="DE17" s="575"/>
      <c r="DF17" s="575"/>
      <c r="DG17" s="575"/>
      <c r="DH17" s="575"/>
      <c r="DI17" s="575"/>
      <c r="DJ17" s="575"/>
      <c r="DK17" s="575"/>
      <c r="DL17" s="575"/>
      <c r="DM17" s="575"/>
      <c r="DN17" s="576"/>
      <c r="DO17" s="576"/>
      <c r="DP17" s="576"/>
      <c r="DQ17" s="576"/>
      <c r="DR17" s="576"/>
      <c r="DS17" s="576"/>
      <c r="DT17" s="576"/>
      <c r="DU17" s="576"/>
      <c r="DV17" s="576"/>
      <c r="DW17" s="576"/>
      <c r="DX17" s="576"/>
      <c r="DY17" s="576"/>
      <c r="DZ17" s="575"/>
      <c r="EA17" s="1951"/>
      <c r="EB17" s="1951"/>
      <c r="EC17" s="1951"/>
      <c r="ED17" s="1951"/>
      <c r="EE17" s="1951"/>
      <c r="EF17" s="1951"/>
      <c r="EG17" s="1951"/>
      <c r="EH17" s="1951"/>
      <c r="EI17" s="1951"/>
      <c r="EJ17" s="1951"/>
      <c r="EK17" s="1951"/>
      <c r="EL17" s="1951"/>
      <c r="EM17" s="1951"/>
      <c r="EN17" s="1951"/>
      <c r="EO17" s="1951"/>
      <c r="EP17" s="1951"/>
      <c r="EQ17" s="1951"/>
      <c r="ER17" s="1951"/>
      <c r="ES17" s="1951"/>
      <c r="ET17" s="480"/>
    </row>
    <row r="18" spans="1:150" ht="11.25" customHeight="1">
      <c r="A18" s="575"/>
      <c r="B18" s="575"/>
      <c r="C18" s="575"/>
      <c r="D18" s="575"/>
      <c r="E18" s="575"/>
      <c r="F18" s="575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1956" t="s">
        <v>472</v>
      </c>
      <c r="U18" s="1956"/>
      <c r="V18" s="1956"/>
      <c r="W18" s="1956"/>
      <c r="X18" s="1956"/>
      <c r="Y18" s="1956"/>
      <c r="Z18" s="1956"/>
      <c r="AA18" s="1956"/>
      <c r="AB18" s="1956"/>
      <c r="AC18" s="1956"/>
      <c r="AD18" s="1956"/>
      <c r="AE18" s="1956"/>
      <c r="AF18" s="1956"/>
      <c r="AG18" s="1956"/>
      <c r="AH18" s="1956"/>
      <c r="AI18" s="1956"/>
      <c r="AJ18" s="1956"/>
      <c r="AK18" s="1956"/>
      <c r="AL18" s="1956"/>
      <c r="AM18" s="1956"/>
      <c r="AN18" s="1956"/>
      <c r="AO18" s="1956"/>
      <c r="AP18" s="1956"/>
      <c r="AQ18" s="1956"/>
      <c r="AR18" s="1956"/>
      <c r="AS18" s="1956"/>
      <c r="AT18" s="1956"/>
      <c r="AU18" s="1956"/>
      <c r="AV18" s="1956"/>
      <c r="AW18" s="1956"/>
      <c r="AX18" s="1956"/>
      <c r="AY18" s="1956"/>
      <c r="AZ18" s="1956"/>
      <c r="BA18" s="1956"/>
      <c r="BB18" s="1956"/>
      <c r="BC18" s="1956"/>
      <c r="BD18" s="1956"/>
      <c r="BE18" s="1956"/>
      <c r="BF18" s="1956"/>
      <c r="BG18" s="1956"/>
      <c r="BH18" s="1956"/>
      <c r="BI18" s="1956"/>
      <c r="BJ18" s="1956"/>
      <c r="BK18" s="1956"/>
      <c r="BL18" s="1956"/>
      <c r="BM18" s="1956"/>
      <c r="BN18" s="1956"/>
      <c r="BO18" s="575"/>
      <c r="BP18" s="575"/>
      <c r="BQ18" s="575"/>
      <c r="BR18" s="575"/>
      <c r="BS18" s="575"/>
      <c r="BT18" s="575"/>
      <c r="BU18" s="575"/>
      <c r="BV18" s="575"/>
      <c r="BW18" s="575"/>
      <c r="BX18" s="575"/>
      <c r="BY18" s="575"/>
      <c r="BZ18" s="575"/>
      <c r="CA18" s="575"/>
      <c r="CB18" s="575"/>
      <c r="CC18" s="575"/>
      <c r="CD18" s="575"/>
      <c r="CE18" s="575"/>
      <c r="CF18" s="575"/>
      <c r="CG18" s="575"/>
      <c r="CH18" s="575"/>
      <c r="CI18" s="575"/>
      <c r="CJ18" s="575"/>
      <c r="CK18" s="575"/>
      <c r="CL18" s="575"/>
      <c r="CM18" s="575"/>
      <c r="CN18" s="575"/>
      <c r="CO18" s="575"/>
      <c r="CP18" s="575"/>
      <c r="CQ18" s="575"/>
      <c r="CR18" s="575"/>
      <c r="CS18" s="575"/>
      <c r="CT18" s="575"/>
      <c r="CU18" s="575"/>
      <c r="CV18" s="575"/>
      <c r="CW18" s="575"/>
      <c r="CX18" s="575"/>
      <c r="CY18" s="575"/>
      <c r="CZ18" s="575"/>
      <c r="DA18" s="575"/>
      <c r="DB18" s="575"/>
      <c r="DC18" s="575"/>
      <c r="DD18" s="575"/>
      <c r="DE18" s="575"/>
      <c r="DF18" s="575"/>
      <c r="DG18" s="575"/>
      <c r="DH18" s="575"/>
      <c r="DI18" s="575"/>
      <c r="DJ18" s="575"/>
      <c r="DK18" s="575"/>
      <c r="DL18" s="575"/>
      <c r="DM18" s="575"/>
      <c r="DN18" s="576"/>
      <c r="DO18" s="576"/>
      <c r="DP18" s="576"/>
      <c r="DQ18" s="576"/>
      <c r="DR18" s="576"/>
      <c r="DS18" s="576"/>
      <c r="DT18" s="576"/>
      <c r="DU18" s="576"/>
      <c r="DV18" s="576"/>
      <c r="DW18" s="576"/>
      <c r="DX18" s="576"/>
      <c r="DY18" s="576"/>
      <c r="DZ18" s="575"/>
      <c r="EA18" s="1951"/>
      <c r="EB18" s="1951"/>
      <c r="EC18" s="1951"/>
      <c r="ED18" s="1951"/>
      <c r="EE18" s="1951"/>
      <c r="EF18" s="1951"/>
      <c r="EG18" s="1951"/>
      <c r="EH18" s="1951"/>
      <c r="EI18" s="1951"/>
      <c r="EJ18" s="1951"/>
      <c r="EK18" s="1951"/>
      <c r="EL18" s="1951"/>
      <c r="EM18" s="1951"/>
      <c r="EN18" s="1951"/>
      <c r="EO18" s="1951"/>
      <c r="EP18" s="1951"/>
      <c r="EQ18" s="1951"/>
      <c r="ER18" s="1951"/>
      <c r="ES18" s="1951"/>
      <c r="ET18" s="480"/>
    </row>
    <row r="19" spans="1:150" ht="11.25" customHeight="1">
      <c r="A19" s="575"/>
      <c r="B19" s="575"/>
      <c r="C19" s="575"/>
      <c r="D19" s="575"/>
      <c r="E19" s="575"/>
      <c r="F19" s="575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1955" t="s">
        <v>473</v>
      </c>
      <c r="U19" s="1955"/>
      <c r="V19" s="1955"/>
      <c r="W19" s="1955"/>
      <c r="X19" s="1955"/>
      <c r="Y19" s="1955"/>
      <c r="Z19" s="1955"/>
      <c r="AA19" s="1955"/>
      <c r="AB19" s="1955"/>
      <c r="AC19" s="1955"/>
      <c r="AD19" s="1955"/>
      <c r="AE19" s="1955"/>
      <c r="AF19" s="1955"/>
      <c r="AG19" s="1955"/>
      <c r="AH19" s="1955"/>
      <c r="AI19" s="1955"/>
      <c r="AJ19" s="1955"/>
      <c r="AK19" s="1955"/>
      <c r="AL19" s="1955"/>
      <c r="AM19" s="1955"/>
      <c r="AN19" s="1955"/>
      <c r="AO19" s="1955"/>
      <c r="AP19" s="1955"/>
      <c r="AQ19" s="1955"/>
      <c r="AR19" s="1955"/>
      <c r="AS19" s="1955"/>
      <c r="AT19" s="1955"/>
      <c r="AU19" s="1955"/>
      <c r="AV19" s="1955"/>
      <c r="AW19" s="1955"/>
      <c r="AX19" s="1955"/>
      <c r="AY19" s="1955"/>
      <c r="AZ19" s="1955"/>
      <c r="BA19" s="1955"/>
      <c r="BB19" s="1955"/>
      <c r="BC19" s="1955"/>
      <c r="BD19" s="1955"/>
      <c r="BE19" s="1955"/>
      <c r="BF19" s="1955"/>
      <c r="BG19" s="1955"/>
      <c r="BH19" s="1955"/>
      <c r="BI19" s="1955"/>
      <c r="BJ19" s="1955"/>
      <c r="BK19" s="1955"/>
      <c r="BL19" s="1955"/>
      <c r="BM19" s="1955"/>
      <c r="BN19" s="1955"/>
      <c r="BO19" s="575"/>
      <c r="BP19" s="575"/>
      <c r="BQ19" s="575"/>
      <c r="BR19" s="575"/>
      <c r="BS19" s="575"/>
      <c r="BT19" s="575"/>
      <c r="BU19" s="575"/>
      <c r="BV19" s="575"/>
      <c r="BW19" s="575"/>
      <c r="BX19" s="575"/>
      <c r="BY19" s="575"/>
      <c r="BZ19" s="575"/>
      <c r="CA19" s="575"/>
      <c r="CB19" s="575"/>
      <c r="CC19" s="575"/>
      <c r="CD19" s="575"/>
      <c r="CE19" s="575"/>
      <c r="CF19" s="575"/>
      <c r="CG19" s="575"/>
      <c r="CH19" s="575"/>
      <c r="CI19" s="575"/>
      <c r="CJ19" s="575"/>
      <c r="CK19" s="575"/>
      <c r="CL19" s="575"/>
      <c r="CM19" s="575"/>
      <c r="CN19" s="575"/>
      <c r="CO19" s="575"/>
      <c r="CP19" s="575"/>
      <c r="CQ19" s="575"/>
      <c r="CR19" s="575"/>
      <c r="CS19" s="575"/>
      <c r="CT19" s="575"/>
      <c r="CU19" s="575"/>
      <c r="CV19" s="575"/>
      <c r="CW19" s="575"/>
      <c r="CX19" s="575"/>
      <c r="CY19" s="575"/>
      <c r="CZ19" s="575"/>
      <c r="DA19" s="575"/>
      <c r="DB19" s="575"/>
      <c r="DC19" s="575"/>
      <c r="DD19" s="575"/>
      <c r="DE19" s="575"/>
      <c r="DF19" s="575"/>
      <c r="DG19" s="575"/>
      <c r="DH19" s="575"/>
      <c r="DI19" s="575"/>
      <c r="DJ19" s="575"/>
      <c r="DK19" s="575"/>
      <c r="DL19" s="575"/>
      <c r="DM19" s="575"/>
      <c r="DN19" s="1959" t="s">
        <v>269</v>
      </c>
      <c r="DO19" s="1959"/>
      <c r="DP19" s="1959"/>
      <c r="DQ19" s="1959"/>
      <c r="DR19" s="1959"/>
      <c r="DS19" s="1959"/>
      <c r="DT19" s="1959"/>
      <c r="DU19" s="1959"/>
      <c r="DV19" s="1959"/>
      <c r="DW19" s="1959"/>
      <c r="DX19" s="1959"/>
      <c r="DY19" s="1959"/>
      <c r="DZ19" s="575"/>
      <c r="EA19" s="1951" t="s">
        <v>31</v>
      </c>
      <c r="EB19" s="1951"/>
      <c r="EC19" s="1951"/>
      <c r="ED19" s="1951"/>
      <c r="EE19" s="1951"/>
      <c r="EF19" s="1951"/>
      <c r="EG19" s="1951"/>
      <c r="EH19" s="1951"/>
      <c r="EI19" s="1951"/>
      <c r="EJ19" s="1951"/>
      <c r="EK19" s="1951"/>
      <c r="EL19" s="1951"/>
      <c r="EM19" s="1951"/>
      <c r="EN19" s="1951"/>
      <c r="EO19" s="1951"/>
      <c r="EP19" s="1951"/>
      <c r="EQ19" s="1951"/>
      <c r="ER19" s="1951"/>
      <c r="ES19" s="1951"/>
      <c r="ET19" s="480"/>
    </row>
    <row r="20" spans="1:150" ht="11.25" customHeight="1">
      <c r="A20" s="575"/>
      <c r="B20" s="575"/>
      <c r="C20" s="575"/>
      <c r="D20" s="575"/>
      <c r="E20" s="575"/>
      <c r="F20" s="575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  <c r="U20" s="575"/>
      <c r="V20" s="575"/>
      <c r="W20" s="575"/>
      <c r="X20" s="575"/>
      <c r="Y20" s="575"/>
      <c r="Z20" s="575"/>
      <c r="AA20" s="575"/>
      <c r="AB20" s="575"/>
      <c r="AC20" s="575"/>
      <c r="AD20" s="575"/>
      <c r="AE20" s="575"/>
      <c r="AF20" s="575"/>
      <c r="AG20" s="575"/>
      <c r="AH20" s="575"/>
      <c r="AI20" s="575"/>
      <c r="AJ20" s="575"/>
      <c r="AK20" s="575"/>
      <c r="AL20" s="575"/>
      <c r="AM20" s="575"/>
      <c r="AN20" s="575"/>
      <c r="AO20" s="575"/>
      <c r="AP20" s="575"/>
      <c r="AQ20" s="575"/>
      <c r="AR20" s="575"/>
      <c r="AS20" s="575"/>
      <c r="AT20" s="575"/>
      <c r="AU20" s="575"/>
      <c r="AV20" s="575"/>
      <c r="AW20" s="575"/>
      <c r="AX20" s="575"/>
      <c r="AY20" s="575"/>
      <c r="AZ20" s="575"/>
      <c r="BA20" s="575"/>
      <c r="BB20" s="575"/>
      <c r="BC20" s="575"/>
      <c r="BD20" s="575"/>
      <c r="BE20" s="575"/>
      <c r="BF20" s="575"/>
      <c r="BG20" s="575"/>
      <c r="BH20" s="575"/>
      <c r="BI20" s="575"/>
      <c r="BJ20" s="575"/>
      <c r="BK20" s="575"/>
      <c r="BL20" s="575"/>
      <c r="BM20" s="575"/>
      <c r="BN20" s="575"/>
      <c r="BO20" s="575"/>
      <c r="BP20" s="575"/>
      <c r="BQ20" s="575"/>
      <c r="BR20" s="575"/>
      <c r="BS20" s="575"/>
      <c r="BT20" s="575"/>
      <c r="BU20" s="575"/>
      <c r="BV20" s="575"/>
      <c r="BW20" s="575"/>
      <c r="BX20" s="575"/>
      <c r="BY20" s="575"/>
      <c r="BZ20" s="575"/>
      <c r="CA20" s="575"/>
      <c r="CB20" s="575"/>
      <c r="CC20" s="575"/>
      <c r="CD20" s="575"/>
      <c r="CE20" s="575"/>
      <c r="CF20" s="575"/>
      <c r="CG20" s="575"/>
      <c r="CH20" s="575"/>
      <c r="CI20" s="575"/>
      <c r="CJ20" s="575"/>
      <c r="CK20" s="575"/>
      <c r="CL20" s="575"/>
      <c r="CM20" s="575"/>
      <c r="CN20" s="575"/>
      <c r="CO20" s="575"/>
      <c r="CP20" s="575"/>
      <c r="CQ20" s="575"/>
      <c r="CR20" s="575"/>
      <c r="CS20" s="575"/>
      <c r="CT20" s="575"/>
      <c r="CU20" s="575"/>
      <c r="CV20" s="575"/>
      <c r="CW20" s="575"/>
      <c r="CX20" s="575"/>
      <c r="CY20" s="575"/>
      <c r="CZ20" s="575"/>
      <c r="DA20" s="575"/>
      <c r="DB20" s="575"/>
      <c r="DC20" s="575"/>
      <c r="DD20" s="575"/>
      <c r="DE20" s="575"/>
      <c r="DF20" s="575"/>
      <c r="DG20" s="575"/>
      <c r="DH20" s="575"/>
      <c r="DI20" s="575"/>
      <c r="DJ20" s="575"/>
      <c r="DK20" s="575"/>
      <c r="DL20" s="575"/>
      <c r="DM20" s="575"/>
      <c r="DN20" s="1959"/>
      <c r="DO20" s="1959"/>
      <c r="DP20" s="1959"/>
      <c r="DQ20" s="1959"/>
      <c r="DR20" s="1959"/>
      <c r="DS20" s="1959"/>
      <c r="DT20" s="1959"/>
      <c r="DU20" s="1959"/>
      <c r="DV20" s="1959"/>
      <c r="DW20" s="1959"/>
      <c r="DX20" s="1959"/>
      <c r="DY20" s="1959"/>
      <c r="DZ20" s="575"/>
      <c r="EA20" s="1951"/>
      <c r="EB20" s="1951"/>
      <c r="EC20" s="1951"/>
      <c r="ED20" s="1951"/>
      <c r="EE20" s="1951"/>
      <c r="EF20" s="1951"/>
      <c r="EG20" s="1951"/>
      <c r="EH20" s="1951"/>
      <c r="EI20" s="1951"/>
      <c r="EJ20" s="1951"/>
      <c r="EK20" s="1951"/>
      <c r="EL20" s="1951"/>
      <c r="EM20" s="1951"/>
      <c r="EN20" s="1951"/>
      <c r="EO20" s="1951"/>
      <c r="EP20" s="1951"/>
      <c r="EQ20" s="1951"/>
      <c r="ER20" s="1951"/>
      <c r="ES20" s="1951"/>
      <c r="ET20" s="480"/>
    </row>
    <row r="21" spans="1:150" ht="9.75" customHeight="1">
      <c r="A21" s="575"/>
      <c r="B21" s="575"/>
      <c r="C21" s="575"/>
      <c r="D21" s="575"/>
      <c r="E21" s="575"/>
      <c r="F21" s="575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  <c r="U21" s="575"/>
      <c r="V21" s="575"/>
      <c r="W21" s="575"/>
      <c r="X21" s="575"/>
      <c r="Y21" s="575"/>
      <c r="Z21" s="575"/>
      <c r="AA21" s="575"/>
      <c r="AB21" s="575"/>
      <c r="AC21" s="575"/>
      <c r="AD21" s="575"/>
      <c r="AE21" s="575"/>
      <c r="AF21" s="575"/>
      <c r="AG21" s="575"/>
      <c r="AH21" s="575"/>
      <c r="AI21" s="575"/>
      <c r="AJ21" s="575"/>
      <c r="AK21" s="575"/>
      <c r="AL21" s="575"/>
      <c r="AM21" s="575"/>
      <c r="AN21" s="575"/>
      <c r="AO21" s="575"/>
      <c r="AP21" s="575"/>
      <c r="AQ21" s="575"/>
      <c r="AR21" s="575"/>
      <c r="AS21" s="575"/>
      <c r="AT21" s="575"/>
      <c r="AU21" s="575"/>
      <c r="AV21" s="575"/>
      <c r="AW21" s="575"/>
      <c r="AX21" s="575"/>
      <c r="AY21" s="575"/>
      <c r="AZ21" s="575"/>
      <c r="BA21" s="575"/>
      <c r="BB21" s="575"/>
      <c r="BC21" s="575"/>
      <c r="BD21" s="575"/>
      <c r="BE21" s="575"/>
      <c r="BF21" s="575"/>
      <c r="BG21" s="575"/>
      <c r="BH21" s="575"/>
      <c r="BI21" s="575"/>
      <c r="BJ21" s="575"/>
      <c r="BK21" s="575"/>
      <c r="BL21" s="575"/>
      <c r="BM21" s="575"/>
      <c r="BN21" s="575"/>
      <c r="BO21" s="575"/>
      <c r="BP21" s="575"/>
      <c r="BQ21" s="575"/>
      <c r="BR21" s="575"/>
      <c r="BS21" s="575"/>
      <c r="BT21" s="575"/>
      <c r="BU21" s="575"/>
      <c r="BV21" s="575"/>
      <c r="BW21" s="575"/>
      <c r="BX21" s="575"/>
      <c r="BY21" s="575"/>
      <c r="BZ21" s="575"/>
      <c r="CA21" s="575"/>
      <c r="CB21" s="575"/>
      <c r="CC21" s="575"/>
      <c r="CD21" s="575"/>
      <c r="CE21" s="575"/>
      <c r="CF21" s="575"/>
      <c r="CG21" s="575"/>
      <c r="CH21" s="575"/>
      <c r="CI21" s="575"/>
      <c r="CJ21" s="575"/>
      <c r="CK21" s="575"/>
      <c r="CL21" s="575"/>
      <c r="CM21" s="575"/>
      <c r="CN21" s="575"/>
      <c r="CO21" s="575"/>
      <c r="CP21" s="575"/>
      <c r="CQ21" s="575"/>
      <c r="CR21" s="575"/>
      <c r="CS21" s="575"/>
      <c r="CT21" s="575"/>
      <c r="CU21" s="575"/>
      <c r="CV21" s="575"/>
      <c r="CW21" s="575"/>
      <c r="CX21" s="575"/>
      <c r="CY21" s="575"/>
      <c r="CZ21" s="575"/>
      <c r="DA21" s="575"/>
      <c r="DB21" s="575"/>
      <c r="DC21" s="575"/>
      <c r="DD21" s="575"/>
      <c r="DE21" s="575"/>
      <c r="DF21" s="575"/>
      <c r="DG21" s="575"/>
      <c r="DH21" s="575"/>
      <c r="DI21" s="575"/>
      <c r="DJ21" s="575"/>
      <c r="DK21" s="575"/>
      <c r="DL21" s="575"/>
      <c r="DM21" s="575"/>
      <c r="DN21" s="1950"/>
      <c r="DO21" s="1950"/>
      <c r="DP21" s="1950"/>
      <c r="DQ21" s="1950"/>
      <c r="DR21" s="1950"/>
      <c r="DS21" s="1950"/>
      <c r="DT21" s="1950"/>
      <c r="DU21" s="1950"/>
      <c r="DV21" s="1950"/>
      <c r="DW21" s="1950"/>
      <c r="DX21" s="1950"/>
      <c r="DY21" s="1950"/>
      <c r="DZ21" s="575"/>
      <c r="EA21" s="1951"/>
      <c r="EB21" s="1951"/>
      <c r="EC21" s="1951"/>
      <c r="ED21" s="1951"/>
      <c r="EE21" s="1951"/>
      <c r="EF21" s="1951"/>
      <c r="EG21" s="1951"/>
      <c r="EH21" s="1951"/>
      <c r="EI21" s="1951"/>
      <c r="EJ21" s="1951"/>
      <c r="EK21" s="1951"/>
      <c r="EL21" s="1951"/>
      <c r="EM21" s="1951"/>
      <c r="EN21" s="1951"/>
      <c r="EO21" s="1951"/>
      <c r="EP21" s="1951"/>
      <c r="EQ21" s="1951"/>
      <c r="ER21" s="1951"/>
      <c r="ES21" s="1951"/>
      <c r="ET21" s="480"/>
    </row>
    <row r="22" spans="1:150" ht="12.2" customHeight="1">
      <c r="A22" s="575"/>
      <c r="B22" s="575"/>
      <c r="C22" s="575"/>
      <c r="D22" s="575"/>
      <c r="E22" s="575"/>
      <c r="F22" s="575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  <c r="U22" s="575"/>
      <c r="V22" s="575"/>
      <c r="W22" s="575"/>
      <c r="X22" s="575"/>
      <c r="Y22" s="575"/>
      <c r="Z22" s="575"/>
      <c r="AA22" s="575"/>
      <c r="AB22" s="575"/>
      <c r="AC22" s="575"/>
      <c r="AD22" s="575"/>
      <c r="AE22" s="575"/>
      <c r="AF22" s="575"/>
      <c r="AG22" s="575"/>
      <c r="AH22" s="575"/>
      <c r="AI22" s="575"/>
      <c r="AJ22" s="575"/>
      <c r="AK22" s="575"/>
      <c r="AL22" s="575"/>
      <c r="AM22" s="575"/>
      <c r="AN22" s="575"/>
      <c r="AO22" s="575"/>
      <c r="AP22" s="575"/>
      <c r="AQ22" s="575"/>
      <c r="AR22" s="575"/>
      <c r="AS22" s="575"/>
      <c r="AT22" s="575"/>
      <c r="AU22" s="575"/>
      <c r="AV22" s="575"/>
      <c r="AW22" s="575"/>
      <c r="AX22" s="575"/>
      <c r="AY22" s="575"/>
      <c r="AZ22" s="575"/>
      <c r="BA22" s="575"/>
      <c r="BB22" s="575"/>
      <c r="BC22" s="575"/>
      <c r="BD22" s="575"/>
      <c r="BE22" s="575"/>
      <c r="BF22" s="575"/>
      <c r="BG22" s="575"/>
      <c r="BH22" s="575"/>
      <c r="BI22" s="575"/>
      <c r="BJ22" s="575"/>
      <c r="BK22" s="575"/>
      <c r="BL22" s="575"/>
      <c r="BM22" s="575"/>
      <c r="BN22" s="575"/>
      <c r="BO22" s="575"/>
      <c r="BP22" s="575"/>
      <c r="BQ22" s="575"/>
      <c r="BR22" s="575"/>
      <c r="BS22" s="575"/>
      <c r="BT22" s="575"/>
      <c r="BU22" s="575"/>
      <c r="BV22" s="575"/>
      <c r="BW22" s="575"/>
      <c r="BX22" s="575"/>
      <c r="BY22" s="575"/>
      <c r="BZ22" s="575"/>
      <c r="CA22" s="575"/>
      <c r="CB22" s="575"/>
      <c r="CC22" s="575"/>
      <c r="CD22" s="575"/>
      <c r="CE22" s="575"/>
      <c r="CF22" s="575"/>
      <c r="CG22" s="575"/>
      <c r="CH22" s="575"/>
      <c r="CI22" s="575"/>
      <c r="CJ22" s="575"/>
      <c r="CK22" s="575"/>
      <c r="CL22" s="575"/>
      <c r="CM22" s="575"/>
      <c r="CN22" s="575"/>
      <c r="CO22" s="575"/>
      <c r="CP22" s="575"/>
      <c r="CQ22" s="575"/>
      <c r="CR22" s="575"/>
      <c r="CS22" s="575"/>
      <c r="CT22" s="575"/>
      <c r="CU22" s="575"/>
      <c r="CV22" s="575"/>
      <c r="CW22" s="575"/>
      <c r="CX22" s="575"/>
      <c r="CY22" s="575"/>
      <c r="CZ22" s="575"/>
      <c r="DA22" s="575"/>
      <c r="DB22" s="575"/>
      <c r="DC22" s="575"/>
      <c r="DD22" s="575"/>
      <c r="DE22" s="575"/>
      <c r="DF22" s="575"/>
      <c r="DG22" s="575"/>
      <c r="DH22" s="575"/>
      <c r="DI22" s="575"/>
      <c r="DJ22" s="575"/>
      <c r="DK22" s="575"/>
      <c r="DL22" s="575"/>
      <c r="DM22" s="575"/>
      <c r="DN22" s="1950"/>
      <c r="DO22" s="1950"/>
      <c r="DP22" s="1950"/>
      <c r="DQ22" s="1950"/>
      <c r="DR22" s="1950"/>
      <c r="DS22" s="1950"/>
      <c r="DT22" s="1950"/>
      <c r="DU22" s="1950"/>
      <c r="DV22" s="1950"/>
      <c r="DW22" s="1950"/>
      <c r="DX22" s="1950"/>
      <c r="DY22" s="1950"/>
      <c r="DZ22" s="575"/>
      <c r="EA22" s="1951"/>
      <c r="EB22" s="1951"/>
      <c r="EC22" s="1951"/>
      <c r="ED22" s="1951"/>
      <c r="EE22" s="1951"/>
      <c r="EF22" s="1951"/>
      <c r="EG22" s="1951"/>
      <c r="EH22" s="1951"/>
      <c r="EI22" s="1951"/>
      <c r="EJ22" s="1951"/>
      <c r="EK22" s="1951"/>
      <c r="EL22" s="1951"/>
      <c r="EM22" s="1951"/>
      <c r="EN22" s="1951"/>
      <c r="EO22" s="1951"/>
      <c r="EP22" s="1951"/>
      <c r="EQ22" s="1951"/>
      <c r="ER22" s="1951"/>
      <c r="ES22" s="1951"/>
      <c r="ET22" s="480"/>
    </row>
    <row r="23" spans="1:150" ht="6" customHeight="1">
      <c r="A23" s="575"/>
      <c r="B23" s="575"/>
      <c r="C23" s="575"/>
      <c r="D23" s="575"/>
      <c r="E23" s="575"/>
      <c r="F23" s="575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  <c r="U23" s="575"/>
      <c r="V23" s="575"/>
      <c r="W23" s="575"/>
      <c r="X23" s="575"/>
      <c r="Y23" s="575"/>
      <c r="Z23" s="575"/>
      <c r="AA23" s="575"/>
      <c r="AB23" s="575"/>
      <c r="AC23" s="575"/>
      <c r="AD23" s="575"/>
      <c r="AE23" s="575"/>
      <c r="AF23" s="575"/>
      <c r="AG23" s="575"/>
      <c r="AH23" s="575"/>
      <c r="AI23" s="575"/>
      <c r="AJ23" s="575"/>
      <c r="AK23" s="575"/>
      <c r="AL23" s="575"/>
      <c r="AM23" s="575"/>
      <c r="AN23" s="575"/>
      <c r="AO23" s="575"/>
      <c r="AP23" s="575"/>
      <c r="AQ23" s="575"/>
      <c r="AR23" s="575"/>
      <c r="AS23" s="575"/>
      <c r="AT23" s="575"/>
      <c r="AU23" s="575"/>
      <c r="AV23" s="575"/>
      <c r="AW23" s="575"/>
      <c r="AX23" s="575"/>
      <c r="AY23" s="575"/>
      <c r="AZ23" s="575"/>
      <c r="BA23" s="575"/>
      <c r="BB23" s="575"/>
      <c r="BC23" s="575"/>
      <c r="BD23" s="575"/>
      <c r="BE23" s="575"/>
      <c r="BF23" s="575"/>
      <c r="BG23" s="575"/>
      <c r="BH23" s="575"/>
      <c r="BI23" s="575"/>
      <c r="BJ23" s="575"/>
      <c r="BK23" s="575"/>
      <c r="BL23" s="575"/>
      <c r="BM23" s="575"/>
      <c r="BN23" s="575"/>
      <c r="BO23" s="575"/>
      <c r="BP23" s="575"/>
      <c r="BQ23" s="575"/>
      <c r="BR23" s="575"/>
      <c r="BS23" s="575"/>
      <c r="BT23" s="575"/>
      <c r="BU23" s="575"/>
      <c r="BV23" s="575"/>
      <c r="BW23" s="575"/>
      <c r="BX23" s="575"/>
      <c r="BY23" s="575"/>
      <c r="BZ23" s="575"/>
      <c r="CA23" s="575"/>
      <c r="CB23" s="575"/>
      <c r="CC23" s="575"/>
      <c r="CD23" s="575"/>
      <c r="CE23" s="575"/>
      <c r="CF23" s="575"/>
      <c r="CG23" s="575"/>
      <c r="CH23" s="575"/>
      <c r="CI23" s="575"/>
      <c r="CJ23" s="575"/>
      <c r="CK23" s="575"/>
      <c r="CL23" s="575"/>
      <c r="CM23" s="575"/>
      <c r="CN23" s="575"/>
      <c r="CO23" s="575"/>
      <c r="CP23" s="575"/>
      <c r="CQ23" s="575"/>
      <c r="CR23" s="575"/>
      <c r="CS23" s="575"/>
      <c r="CT23" s="575"/>
      <c r="CU23" s="575"/>
      <c r="CV23" s="575"/>
      <c r="CW23" s="575"/>
      <c r="CX23" s="575"/>
      <c r="CY23" s="575"/>
      <c r="CZ23" s="575"/>
      <c r="DA23" s="575"/>
      <c r="DB23" s="575"/>
      <c r="DC23" s="575"/>
      <c r="DD23" s="575"/>
      <c r="DE23" s="575"/>
      <c r="DF23" s="575"/>
      <c r="DG23" s="575"/>
      <c r="DH23" s="575"/>
      <c r="DI23" s="575"/>
      <c r="DJ23" s="575"/>
      <c r="DK23" s="575"/>
      <c r="DL23" s="575"/>
      <c r="DM23" s="575"/>
      <c r="DN23" s="575"/>
      <c r="DO23" s="575"/>
      <c r="DP23" s="575"/>
      <c r="DQ23" s="575"/>
      <c r="DR23" s="575"/>
      <c r="DS23" s="575"/>
      <c r="DT23" s="575"/>
      <c r="DU23" s="575"/>
      <c r="DV23" s="575"/>
      <c r="DW23" s="575"/>
      <c r="DX23" s="575"/>
      <c r="DY23" s="575"/>
      <c r="DZ23" s="575"/>
      <c r="EA23" s="575"/>
      <c r="EB23" s="575"/>
      <c r="EC23" s="575"/>
      <c r="ED23" s="575"/>
      <c r="EE23" s="575"/>
      <c r="EF23" s="575"/>
      <c r="EG23" s="575"/>
      <c r="EH23" s="575"/>
      <c r="EI23" s="575"/>
      <c r="EJ23" s="575"/>
      <c r="EK23" s="575"/>
      <c r="EL23" s="575"/>
      <c r="EM23" s="575"/>
      <c r="EN23" s="575"/>
      <c r="EO23" s="575"/>
      <c r="EP23" s="575"/>
      <c r="EQ23" s="575"/>
      <c r="ER23" s="575"/>
      <c r="ES23" s="575"/>
      <c r="ET23" s="480"/>
    </row>
    <row r="24" spans="1:150" ht="11.25" customHeight="1">
      <c r="A24" s="1946" t="s">
        <v>451</v>
      </c>
      <c r="B24" s="1946"/>
      <c r="C24" s="1946"/>
      <c r="D24" s="1946"/>
      <c r="E24" s="1946"/>
      <c r="F24" s="1946"/>
      <c r="G24" s="1946"/>
      <c r="H24" s="1946"/>
      <c r="I24" s="1946"/>
      <c r="J24" s="1946"/>
      <c r="K24" s="1946"/>
      <c r="L24" s="1946"/>
      <c r="M24" s="1946"/>
      <c r="N24" s="581"/>
      <c r="O24" s="580"/>
      <c r="P24" s="580"/>
      <c r="Q24" s="580"/>
      <c r="R24" s="580"/>
      <c r="S24" s="580"/>
      <c r="T24" s="580"/>
      <c r="U24" s="580"/>
      <c r="V24" s="580"/>
      <c r="W24" s="580"/>
      <c r="X24" s="580"/>
      <c r="Y24" s="580"/>
      <c r="Z24" s="580"/>
      <c r="AA24" s="580"/>
      <c r="AB24" s="580"/>
      <c r="AC24" s="580"/>
      <c r="AD24" s="580"/>
      <c r="AE24" s="580"/>
      <c r="AF24" s="580"/>
      <c r="AG24" s="580"/>
      <c r="AH24" s="580"/>
      <c r="AI24" s="580"/>
      <c r="AJ24" s="580"/>
      <c r="AK24" s="580"/>
      <c r="AL24" s="580"/>
      <c r="AM24" s="580"/>
      <c r="AN24" s="580"/>
      <c r="AO24" s="580"/>
      <c r="AP24" s="580"/>
      <c r="AQ24" s="580"/>
      <c r="AR24" s="580"/>
      <c r="AS24" s="580"/>
      <c r="AT24" s="580"/>
      <c r="AU24" s="580"/>
      <c r="AV24" s="580"/>
      <c r="AW24" s="580"/>
      <c r="AX24" s="580"/>
      <c r="AY24" s="580"/>
      <c r="AZ24" s="580"/>
      <c r="BA24" s="580"/>
      <c r="BB24" s="580"/>
      <c r="BC24" s="580"/>
      <c r="BD24" s="580"/>
      <c r="BE24" s="580"/>
      <c r="BF24" s="580"/>
      <c r="BG24" s="580"/>
      <c r="BH24" s="580"/>
      <c r="BI24" s="580"/>
      <c r="BJ24" s="580"/>
      <c r="BK24" s="580"/>
      <c r="BL24" s="580"/>
      <c r="BM24" s="580"/>
      <c r="BN24" s="580"/>
      <c r="BO24" s="580"/>
      <c r="BP24" s="580"/>
      <c r="BQ24" s="580"/>
      <c r="BR24" s="580"/>
      <c r="BS24" s="580"/>
      <c r="BT24" s="580"/>
      <c r="BU24" s="580"/>
      <c r="BV24" s="580"/>
      <c r="BW24" s="580"/>
      <c r="BX24" s="580"/>
      <c r="BY24" s="580"/>
      <c r="BZ24" s="580"/>
      <c r="CA24" s="580"/>
      <c r="CB24" s="580"/>
      <c r="CC24" s="580"/>
      <c r="CD24" s="580"/>
      <c r="CE24" s="580"/>
      <c r="CF24" s="580"/>
      <c r="CG24" s="580"/>
      <c r="CH24" s="580"/>
      <c r="CI24" s="580"/>
      <c r="CJ24" s="580"/>
      <c r="CK24" s="580"/>
      <c r="CL24" s="580"/>
      <c r="CM24" s="580"/>
      <c r="CN24" s="580"/>
      <c r="CO24" s="580"/>
      <c r="CP24" s="580"/>
      <c r="CQ24" s="580"/>
      <c r="CR24" s="580"/>
      <c r="CS24" s="580"/>
      <c r="CT24" s="580"/>
      <c r="CU24" s="580"/>
      <c r="CV24" s="580"/>
      <c r="CW24" s="580"/>
      <c r="CX24" s="580"/>
      <c r="CY24" s="580"/>
      <c r="CZ24" s="580"/>
      <c r="DA24" s="580"/>
      <c r="DB24" s="580"/>
      <c r="DC24" s="580"/>
      <c r="DD24" s="580"/>
      <c r="DE24" s="580"/>
      <c r="DF24" s="580"/>
      <c r="DG24" s="580"/>
      <c r="DH24" s="580"/>
      <c r="DI24" s="580"/>
      <c r="DJ24" s="580"/>
      <c r="DK24" s="580"/>
      <c r="DL24" s="580"/>
      <c r="DM24" s="580"/>
      <c r="DN24" s="580"/>
      <c r="DO24" s="580"/>
      <c r="DP24" s="580"/>
      <c r="DQ24" s="580"/>
      <c r="DR24" s="580"/>
      <c r="DS24" s="580"/>
      <c r="DT24" s="580"/>
      <c r="DU24" s="580"/>
      <c r="DV24" s="580"/>
      <c r="DW24" s="580"/>
      <c r="DX24" s="580"/>
      <c r="DY24" s="580"/>
      <c r="DZ24" s="580"/>
      <c r="EA24" s="580"/>
      <c r="EB24" s="580"/>
      <c r="EC24" s="580"/>
      <c r="ED24" s="580"/>
      <c r="EE24" s="580"/>
      <c r="EF24" s="580"/>
      <c r="EG24" s="580"/>
      <c r="EH24" s="580"/>
      <c r="EI24" s="580"/>
      <c r="EJ24" s="580"/>
      <c r="EK24" s="580"/>
      <c r="EL24" s="580"/>
      <c r="EM24" s="580"/>
      <c r="EN24" s="580"/>
      <c r="EO24" s="580"/>
      <c r="EP24" s="580"/>
      <c r="EQ24" s="580"/>
      <c r="ER24" s="580"/>
      <c r="ES24" s="580"/>
      <c r="ET24" s="480"/>
    </row>
    <row r="25" spans="1:150" ht="2.1" customHeight="1">
      <c r="A25" s="575"/>
      <c r="B25" s="575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  <c r="U25" s="575"/>
      <c r="V25" s="575"/>
      <c r="W25" s="575"/>
      <c r="X25" s="575"/>
      <c r="Y25" s="575"/>
      <c r="Z25" s="575"/>
      <c r="AA25" s="575"/>
      <c r="AB25" s="575"/>
      <c r="AC25" s="575"/>
      <c r="AD25" s="575"/>
      <c r="AE25" s="575"/>
      <c r="AF25" s="575"/>
      <c r="AG25" s="575"/>
      <c r="AH25" s="575"/>
      <c r="AI25" s="575"/>
      <c r="AJ25" s="575"/>
      <c r="AK25" s="575"/>
      <c r="AL25" s="575"/>
      <c r="AM25" s="575"/>
      <c r="AN25" s="575"/>
      <c r="AO25" s="575"/>
      <c r="AP25" s="575"/>
      <c r="AQ25" s="575"/>
      <c r="AR25" s="575"/>
      <c r="AS25" s="575"/>
      <c r="AT25" s="575"/>
      <c r="AU25" s="575"/>
      <c r="AV25" s="575"/>
      <c r="AW25" s="575"/>
      <c r="AX25" s="575"/>
      <c r="AY25" s="575"/>
      <c r="AZ25" s="575"/>
      <c r="BA25" s="575"/>
      <c r="BB25" s="575"/>
      <c r="BC25" s="575"/>
      <c r="BD25" s="575"/>
      <c r="BE25" s="575"/>
      <c r="BF25" s="575"/>
      <c r="BG25" s="575"/>
      <c r="BH25" s="575"/>
      <c r="BI25" s="575"/>
      <c r="BJ25" s="575"/>
      <c r="BK25" s="575"/>
      <c r="BL25" s="575"/>
      <c r="BM25" s="575"/>
      <c r="BN25" s="575"/>
      <c r="BO25" s="575"/>
      <c r="BP25" s="575"/>
      <c r="BQ25" s="575"/>
      <c r="BR25" s="575"/>
      <c r="BS25" s="575"/>
      <c r="BT25" s="575"/>
      <c r="BU25" s="575"/>
      <c r="BV25" s="575"/>
      <c r="BW25" s="575"/>
      <c r="BX25" s="575"/>
      <c r="BY25" s="575"/>
      <c r="BZ25" s="575"/>
      <c r="CA25" s="575"/>
      <c r="CB25" s="575"/>
      <c r="CC25" s="575"/>
      <c r="CD25" s="575"/>
      <c r="CE25" s="575"/>
      <c r="CF25" s="575"/>
      <c r="CG25" s="575"/>
      <c r="CH25" s="575"/>
      <c r="CI25" s="575"/>
      <c r="CJ25" s="575"/>
      <c r="CK25" s="575"/>
      <c r="CL25" s="575"/>
      <c r="CM25" s="575"/>
      <c r="CN25" s="575"/>
      <c r="CO25" s="575"/>
      <c r="CP25" s="575"/>
      <c r="CQ25" s="575"/>
      <c r="CR25" s="575"/>
      <c r="CS25" s="575"/>
      <c r="CT25" s="575"/>
      <c r="CU25" s="575"/>
      <c r="CV25" s="575"/>
      <c r="CW25" s="575"/>
      <c r="CX25" s="575"/>
      <c r="CY25" s="575"/>
      <c r="CZ25" s="575"/>
      <c r="DA25" s="575"/>
      <c r="DB25" s="575"/>
      <c r="DC25" s="575"/>
      <c r="DD25" s="575"/>
      <c r="DE25" s="575"/>
      <c r="DF25" s="575"/>
      <c r="DG25" s="575"/>
      <c r="DH25" s="575"/>
      <c r="DI25" s="575"/>
      <c r="DJ25" s="575"/>
      <c r="DK25" s="575"/>
      <c r="DL25" s="575"/>
      <c r="DM25" s="575"/>
      <c r="DN25" s="575"/>
      <c r="DO25" s="575"/>
      <c r="DP25" s="575"/>
      <c r="DQ25" s="575"/>
      <c r="DR25" s="575"/>
      <c r="DS25" s="575"/>
      <c r="DT25" s="575"/>
      <c r="DU25" s="575"/>
      <c r="DV25" s="575"/>
      <c r="DW25" s="575"/>
      <c r="DX25" s="575"/>
      <c r="DY25" s="575"/>
      <c r="DZ25" s="575"/>
      <c r="EA25" s="575"/>
      <c r="EB25" s="575"/>
      <c r="EC25" s="575"/>
      <c r="ED25" s="575"/>
      <c r="EE25" s="575"/>
      <c r="EF25" s="575"/>
      <c r="EG25" s="575"/>
      <c r="EH25" s="575"/>
      <c r="EI25" s="575"/>
      <c r="EJ25" s="575"/>
      <c r="EK25" s="575"/>
      <c r="EL25" s="575"/>
      <c r="EM25" s="575"/>
      <c r="EN25" s="575"/>
      <c r="EO25" s="575"/>
      <c r="EP25" s="575"/>
      <c r="EQ25" s="575"/>
      <c r="ER25" s="575"/>
      <c r="ES25" s="575"/>
      <c r="ET25" s="480"/>
    </row>
    <row r="26" spans="1:150" ht="11.25" customHeight="1">
      <c r="A26" s="579" t="s">
        <v>452</v>
      </c>
      <c r="B26" s="579"/>
      <c r="C26" s="579"/>
      <c r="D26" s="579"/>
      <c r="E26" s="579"/>
      <c r="F26" s="579"/>
      <c r="G26" s="579"/>
      <c r="H26" s="579"/>
      <c r="I26" s="579"/>
      <c r="J26" s="579"/>
      <c r="K26" s="579"/>
      <c r="L26" s="579"/>
      <c r="M26" s="579"/>
      <c r="N26" s="579"/>
      <c r="O26" s="579"/>
      <c r="P26" s="579"/>
      <c r="Q26" s="579"/>
      <c r="R26" s="579"/>
      <c r="S26" s="579"/>
      <c r="T26" s="579"/>
      <c r="U26" s="579"/>
      <c r="V26" s="579"/>
      <c r="W26" s="579"/>
      <c r="X26" s="579"/>
      <c r="Y26" s="579"/>
      <c r="Z26" s="575"/>
      <c r="AA26" s="581"/>
      <c r="AB26" s="581"/>
      <c r="AC26" s="580"/>
      <c r="AD26" s="580"/>
      <c r="AE26" s="580"/>
      <c r="AF26" s="580"/>
      <c r="AG26" s="580"/>
      <c r="AH26" s="580"/>
      <c r="AI26" s="580"/>
      <c r="AJ26" s="580"/>
      <c r="AK26" s="580"/>
      <c r="AL26" s="580"/>
      <c r="AM26" s="580"/>
      <c r="AN26" s="580"/>
      <c r="AO26" s="580"/>
      <c r="AP26" s="580"/>
      <c r="AQ26" s="580"/>
      <c r="AR26" s="580"/>
      <c r="AS26" s="580"/>
      <c r="AT26" s="580"/>
      <c r="AU26" s="580"/>
      <c r="AV26" s="580"/>
      <c r="AW26" s="580"/>
      <c r="AX26" s="580"/>
      <c r="AY26" s="580"/>
      <c r="AZ26" s="580"/>
      <c r="BA26" s="580"/>
      <c r="BB26" s="580"/>
      <c r="BC26" s="580"/>
      <c r="BD26" s="580"/>
      <c r="BE26" s="580"/>
      <c r="BF26" s="580"/>
      <c r="BG26" s="580"/>
      <c r="BH26" s="580"/>
      <c r="BI26" s="580"/>
      <c r="BJ26" s="580"/>
      <c r="BK26" s="580"/>
      <c r="BL26" s="580"/>
      <c r="BM26" s="580"/>
      <c r="BN26" s="580"/>
      <c r="BO26" s="580"/>
      <c r="BP26" s="580"/>
      <c r="BQ26" s="580"/>
      <c r="BR26" s="580"/>
      <c r="BS26" s="580"/>
      <c r="BT26" s="580"/>
      <c r="BU26" s="580"/>
      <c r="BV26" s="580"/>
      <c r="BW26" s="580"/>
      <c r="BX26" s="580"/>
      <c r="BY26" s="580"/>
      <c r="BZ26" s="580"/>
      <c r="CA26" s="580"/>
      <c r="CB26" s="580"/>
      <c r="CC26" s="580"/>
      <c r="CD26" s="580"/>
      <c r="CE26" s="580"/>
      <c r="CF26" s="580"/>
      <c r="CG26" s="580"/>
      <c r="CH26" s="580"/>
      <c r="CI26" s="580"/>
      <c r="CJ26" s="580"/>
      <c r="CK26" s="580"/>
      <c r="CL26" s="580"/>
      <c r="CM26" s="580"/>
      <c r="CN26" s="580"/>
      <c r="CO26" s="580"/>
      <c r="CP26" s="580"/>
      <c r="CQ26" s="580"/>
      <c r="CR26" s="580"/>
      <c r="CS26" s="580"/>
      <c r="CT26" s="580"/>
      <c r="CU26" s="580"/>
      <c r="CV26" s="580"/>
      <c r="CW26" s="580"/>
      <c r="CX26" s="580"/>
      <c r="CY26" s="580"/>
      <c r="CZ26" s="580"/>
      <c r="DA26" s="580"/>
      <c r="DB26" s="580"/>
      <c r="DC26" s="580"/>
      <c r="DD26" s="580"/>
      <c r="DE26" s="580"/>
      <c r="DF26" s="580"/>
      <c r="DG26" s="580"/>
      <c r="DH26" s="580"/>
      <c r="DI26" s="580"/>
      <c r="DJ26" s="580"/>
      <c r="DK26" s="580"/>
      <c r="DL26" s="580"/>
      <c r="DM26" s="580"/>
      <c r="DN26" s="580"/>
      <c r="DO26" s="580"/>
      <c r="DP26" s="580"/>
      <c r="DQ26" s="580"/>
      <c r="DR26" s="580"/>
      <c r="DS26" s="580"/>
      <c r="DT26" s="580"/>
      <c r="DU26" s="580"/>
      <c r="DV26" s="580"/>
      <c r="DW26" s="580"/>
      <c r="DX26" s="580"/>
      <c r="DY26" s="580"/>
      <c r="DZ26" s="580"/>
      <c r="EA26" s="580"/>
      <c r="EB26" s="580"/>
      <c r="EC26" s="580"/>
      <c r="ED26" s="580"/>
      <c r="EE26" s="580"/>
      <c r="EF26" s="580"/>
      <c r="EG26" s="580"/>
      <c r="EH26" s="580"/>
      <c r="EI26" s="580"/>
      <c r="EJ26" s="580"/>
      <c r="EK26" s="580"/>
      <c r="EL26" s="580"/>
      <c r="EM26" s="580"/>
      <c r="EN26" s="580"/>
      <c r="EO26" s="580"/>
      <c r="EP26" s="580"/>
      <c r="EQ26" s="580"/>
      <c r="ER26" s="580"/>
      <c r="ES26" s="580"/>
      <c r="ET26" s="480"/>
    </row>
    <row r="27" spans="1:150" ht="2.1" customHeight="1">
      <c r="A27" s="575"/>
      <c r="B27" s="575"/>
      <c r="C27" s="575"/>
      <c r="D27" s="575"/>
      <c r="E27" s="575"/>
      <c r="F27" s="575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  <c r="U27" s="575"/>
      <c r="V27" s="575"/>
      <c r="W27" s="575"/>
      <c r="X27" s="575"/>
      <c r="Y27" s="575"/>
      <c r="Z27" s="575"/>
      <c r="AA27" s="575"/>
      <c r="AB27" s="575"/>
      <c r="AC27" s="575"/>
      <c r="AD27" s="575"/>
      <c r="AE27" s="575"/>
      <c r="AF27" s="575"/>
      <c r="AG27" s="575"/>
      <c r="AH27" s="575"/>
      <c r="AI27" s="575"/>
      <c r="AJ27" s="575"/>
      <c r="AK27" s="575"/>
      <c r="AL27" s="575"/>
      <c r="AM27" s="575"/>
      <c r="AN27" s="575"/>
      <c r="AO27" s="575"/>
      <c r="AP27" s="575"/>
      <c r="AQ27" s="575"/>
      <c r="AR27" s="575"/>
      <c r="AS27" s="575"/>
      <c r="AT27" s="575"/>
      <c r="AU27" s="575"/>
      <c r="AV27" s="575"/>
      <c r="AW27" s="575"/>
      <c r="AX27" s="575"/>
      <c r="AY27" s="575"/>
      <c r="AZ27" s="575"/>
      <c r="BA27" s="575"/>
      <c r="BB27" s="575"/>
      <c r="BC27" s="575"/>
      <c r="BD27" s="575"/>
      <c r="BE27" s="575"/>
      <c r="BF27" s="575"/>
      <c r="BG27" s="575"/>
      <c r="BH27" s="575"/>
      <c r="BI27" s="575"/>
      <c r="BJ27" s="575"/>
      <c r="BK27" s="575"/>
      <c r="BL27" s="575"/>
      <c r="BM27" s="575"/>
      <c r="BN27" s="575"/>
      <c r="BO27" s="575"/>
      <c r="BP27" s="575"/>
      <c r="BQ27" s="575"/>
      <c r="BR27" s="575"/>
      <c r="BS27" s="575"/>
      <c r="BT27" s="575"/>
      <c r="BU27" s="575"/>
      <c r="BV27" s="575"/>
      <c r="BW27" s="575"/>
      <c r="BX27" s="575"/>
      <c r="BY27" s="575"/>
      <c r="BZ27" s="575"/>
      <c r="CA27" s="575"/>
      <c r="CB27" s="575"/>
      <c r="CC27" s="575"/>
      <c r="CD27" s="575"/>
      <c r="CE27" s="575"/>
      <c r="CF27" s="575"/>
      <c r="CG27" s="575"/>
      <c r="CH27" s="575"/>
      <c r="CI27" s="575"/>
      <c r="CJ27" s="575"/>
      <c r="CK27" s="575"/>
      <c r="CL27" s="575"/>
      <c r="CM27" s="575"/>
      <c r="CN27" s="575"/>
      <c r="CO27" s="575"/>
      <c r="CP27" s="575"/>
      <c r="CQ27" s="575"/>
      <c r="CR27" s="575"/>
      <c r="CS27" s="575"/>
      <c r="CT27" s="575"/>
      <c r="CU27" s="575"/>
      <c r="CV27" s="575"/>
      <c r="CW27" s="575"/>
      <c r="CX27" s="575"/>
      <c r="CY27" s="575"/>
      <c r="CZ27" s="575"/>
      <c r="DA27" s="575"/>
      <c r="DB27" s="575"/>
      <c r="DC27" s="575"/>
      <c r="DD27" s="575"/>
      <c r="DE27" s="575"/>
      <c r="DF27" s="575"/>
      <c r="DG27" s="575"/>
      <c r="DH27" s="575"/>
      <c r="DI27" s="575"/>
      <c r="DJ27" s="575"/>
      <c r="DK27" s="575"/>
      <c r="DL27" s="575"/>
      <c r="DM27" s="575"/>
      <c r="DN27" s="575"/>
      <c r="DO27" s="575"/>
      <c r="DP27" s="575"/>
      <c r="DQ27" s="575"/>
      <c r="DR27" s="575"/>
      <c r="DS27" s="575"/>
      <c r="DT27" s="575"/>
      <c r="DU27" s="575"/>
      <c r="DV27" s="575"/>
      <c r="DW27" s="575"/>
      <c r="DX27" s="575"/>
      <c r="DY27" s="575"/>
      <c r="DZ27" s="575"/>
      <c r="EA27" s="575"/>
      <c r="EB27" s="575"/>
      <c r="EC27" s="575"/>
      <c r="ED27" s="575"/>
      <c r="EE27" s="575"/>
      <c r="EF27" s="575"/>
      <c r="EG27" s="575"/>
      <c r="EH27" s="575"/>
      <c r="EI27" s="575"/>
      <c r="EJ27" s="575"/>
      <c r="EK27" s="575"/>
      <c r="EL27" s="575"/>
      <c r="EM27" s="575"/>
      <c r="EN27" s="575"/>
      <c r="EO27" s="575"/>
      <c r="EP27" s="575"/>
      <c r="EQ27" s="575"/>
      <c r="ER27" s="575"/>
      <c r="ES27" s="575"/>
      <c r="ET27" s="480"/>
    </row>
    <row r="28" spans="1:150" ht="11.25" customHeight="1">
      <c r="A28" s="579" t="s">
        <v>453</v>
      </c>
      <c r="B28" s="579"/>
      <c r="C28" s="579"/>
      <c r="D28" s="579"/>
      <c r="E28" s="579"/>
      <c r="F28" s="579"/>
      <c r="G28" s="579"/>
      <c r="H28" s="579"/>
      <c r="I28" s="579"/>
      <c r="J28" s="579"/>
      <c r="K28" s="579"/>
      <c r="L28" s="579"/>
      <c r="M28" s="579"/>
      <c r="N28" s="579"/>
      <c r="O28" s="579"/>
      <c r="P28" s="575"/>
      <c r="Q28" s="577"/>
      <c r="R28" s="580"/>
      <c r="S28" s="580"/>
      <c r="T28" s="580"/>
      <c r="U28" s="580"/>
      <c r="V28" s="580"/>
      <c r="W28" s="580"/>
      <c r="X28" s="580"/>
      <c r="Y28" s="580"/>
      <c r="Z28" s="580"/>
      <c r="AA28" s="580"/>
      <c r="AB28" s="580"/>
      <c r="AC28" s="580"/>
      <c r="AD28" s="580"/>
      <c r="AE28" s="580"/>
      <c r="AF28" s="580"/>
      <c r="AG28" s="580"/>
      <c r="AH28" s="580"/>
      <c r="AI28" s="580"/>
      <c r="AJ28" s="580"/>
      <c r="AK28" s="580"/>
      <c r="AL28" s="580"/>
      <c r="AM28" s="580"/>
      <c r="AN28" s="580"/>
      <c r="AO28" s="580"/>
      <c r="AP28" s="580"/>
      <c r="AQ28" s="580"/>
      <c r="AR28" s="580"/>
      <c r="AS28" s="580"/>
      <c r="AT28" s="580"/>
      <c r="AU28" s="580"/>
      <c r="AV28" s="580"/>
      <c r="AW28" s="580"/>
      <c r="AX28" s="580"/>
      <c r="AY28" s="580"/>
      <c r="AZ28" s="580"/>
      <c r="BA28" s="580"/>
      <c r="BB28" s="580"/>
      <c r="BC28" s="580"/>
      <c r="BD28" s="580"/>
      <c r="BE28" s="580"/>
      <c r="BF28" s="580"/>
      <c r="BG28" s="580"/>
      <c r="BH28" s="580"/>
      <c r="BI28" s="580"/>
      <c r="BJ28" s="580"/>
      <c r="BK28" s="580"/>
      <c r="BL28" s="580"/>
      <c r="BM28" s="580"/>
      <c r="BN28" s="580"/>
      <c r="BO28" s="580"/>
      <c r="BP28" s="580"/>
      <c r="BQ28" s="580"/>
      <c r="BR28" s="580"/>
      <c r="BS28" s="580"/>
      <c r="BT28" s="580"/>
      <c r="BU28" s="580"/>
      <c r="BV28" s="580"/>
      <c r="BW28" s="580"/>
      <c r="BX28" s="580"/>
      <c r="BY28" s="580"/>
      <c r="BZ28" s="580"/>
      <c r="CA28" s="580"/>
      <c r="CB28" s="580"/>
      <c r="CC28" s="580"/>
      <c r="CD28" s="580"/>
      <c r="CE28" s="580"/>
      <c r="CF28" s="580"/>
      <c r="CG28" s="580"/>
      <c r="CH28" s="580"/>
      <c r="CI28" s="580"/>
      <c r="CJ28" s="580"/>
      <c r="CK28" s="580"/>
      <c r="CL28" s="580"/>
      <c r="CM28" s="580"/>
      <c r="CN28" s="580"/>
      <c r="CO28" s="580"/>
      <c r="CP28" s="580"/>
      <c r="CQ28" s="580"/>
      <c r="CR28" s="580"/>
      <c r="CS28" s="580"/>
      <c r="CT28" s="580"/>
      <c r="CU28" s="580"/>
      <c r="CV28" s="580"/>
      <c r="CW28" s="580"/>
      <c r="CX28" s="580"/>
      <c r="CY28" s="580"/>
      <c r="CZ28" s="580"/>
      <c r="DA28" s="580"/>
      <c r="DB28" s="580"/>
      <c r="DC28" s="580"/>
      <c r="DD28" s="580"/>
      <c r="DE28" s="580"/>
      <c r="DF28" s="580"/>
      <c r="DG28" s="580"/>
      <c r="DH28" s="580"/>
      <c r="DI28" s="580"/>
      <c r="DJ28" s="580"/>
      <c r="DK28" s="580"/>
      <c r="DL28" s="580"/>
      <c r="DM28" s="580"/>
      <c r="DN28" s="580"/>
      <c r="DO28" s="580"/>
      <c r="DP28" s="580"/>
      <c r="DQ28" s="580"/>
      <c r="DR28" s="580"/>
      <c r="DS28" s="580"/>
      <c r="DT28" s="580"/>
      <c r="DU28" s="580"/>
      <c r="DV28" s="580"/>
      <c r="DW28" s="580"/>
      <c r="DX28" s="580"/>
      <c r="DY28" s="580"/>
      <c r="DZ28" s="580"/>
      <c r="EA28" s="580"/>
      <c r="EB28" s="580"/>
      <c r="EC28" s="580"/>
      <c r="ED28" s="580"/>
      <c r="EE28" s="580"/>
      <c r="EF28" s="580"/>
      <c r="EG28" s="580"/>
      <c r="EH28" s="580"/>
      <c r="EI28" s="580"/>
      <c r="EJ28" s="580"/>
      <c r="EK28" s="580"/>
      <c r="EL28" s="580"/>
      <c r="EM28" s="580"/>
      <c r="EN28" s="580"/>
      <c r="EO28" s="580"/>
      <c r="EP28" s="580"/>
      <c r="EQ28" s="580"/>
      <c r="ER28" s="580"/>
      <c r="ES28" s="580"/>
      <c r="ET28" s="480"/>
    </row>
    <row r="29" spans="1:150" ht="2.1" customHeight="1">
      <c r="A29" s="575"/>
      <c r="B29" s="575"/>
      <c r="C29" s="575"/>
      <c r="D29" s="575"/>
      <c r="E29" s="575"/>
      <c r="F29" s="575"/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  <c r="U29" s="575"/>
      <c r="V29" s="575"/>
      <c r="W29" s="575"/>
      <c r="X29" s="575"/>
      <c r="Y29" s="575"/>
      <c r="Z29" s="575"/>
      <c r="AA29" s="575"/>
      <c r="AB29" s="575"/>
      <c r="AC29" s="575"/>
      <c r="AD29" s="575"/>
      <c r="AE29" s="575"/>
      <c r="AF29" s="575"/>
      <c r="AG29" s="575"/>
      <c r="AH29" s="575"/>
      <c r="AI29" s="575"/>
      <c r="AJ29" s="575"/>
      <c r="AK29" s="575"/>
      <c r="AL29" s="575"/>
      <c r="AM29" s="575"/>
      <c r="AN29" s="575"/>
      <c r="AO29" s="575"/>
      <c r="AP29" s="575"/>
      <c r="AQ29" s="575"/>
      <c r="AR29" s="575"/>
      <c r="AS29" s="575"/>
      <c r="AT29" s="575"/>
      <c r="AU29" s="575"/>
      <c r="AV29" s="575"/>
      <c r="AW29" s="575"/>
      <c r="AX29" s="575"/>
      <c r="AY29" s="575"/>
      <c r="AZ29" s="575"/>
      <c r="BA29" s="575"/>
      <c r="BB29" s="575"/>
      <c r="BC29" s="575"/>
      <c r="BD29" s="575"/>
      <c r="BE29" s="575"/>
      <c r="BF29" s="575"/>
      <c r="BG29" s="575"/>
      <c r="BH29" s="575"/>
      <c r="BI29" s="575"/>
      <c r="BJ29" s="575"/>
      <c r="BK29" s="575"/>
      <c r="BL29" s="575"/>
      <c r="BM29" s="575"/>
      <c r="BN29" s="575"/>
      <c r="BO29" s="575"/>
      <c r="BP29" s="575"/>
      <c r="BQ29" s="575"/>
      <c r="BR29" s="575"/>
      <c r="BS29" s="575"/>
      <c r="BT29" s="575"/>
      <c r="BU29" s="575"/>
      <c r="BV29" s="575"/>
      <c r="BW29" s="575"/>
      <c r="BX29" s="575"/>
      <c r="BY29" s="575"/>
      <c r="BZ29" s="575"/>
      <c r="CA29" s="575"/>
      <c r="CB29" s="575"/>
      <c r="CC29" s="575"/>
      <c r="CD29" s="575"/>
      <c r="CE29" s="575"/>
      <c r="CF29" s="575"/>
      <c r="CG29" s="575"/>
      <c r="CH29" s="575"/>
      <c r="CI29" s="575"/>
      <c r="CJ29" s="575"/>
      <c r="CK29" s="575"/>
      <c r="CL29" s="575"/>
      <c r="CM29" s="575"/>
      <c r="CN29" s="575"/>
      <c r="CO29" s="575"/>
      <c r="CP29" s="575"/>
      <c r="CQ29" s="575"/>
      <c r="CR29" s="575"/>
      <c r="CS29" s="575"/>
      <c r="CT29" s="575"/>
      <c r="CU29" s="575"/>
      <c r="CV29" s="575"/>
      <c r="CW29" s="575"/>
      <c r="CX29" s="575"/>
      <c r="CY29" s="575"/>
      <c r="CZ29" s="575"/>
      <c r="DA29" s="575"/>
      <c r="DB29" s="575"/>
      <c r="DC29" s="575"/>
      <c r="DD29" s="575"/>
      <c r="DE29" s="575"/>
      <c r="DF29" s="575"/>
      <c r="DG29" s="575"/>
      <c r="DH29" s="575"/>
      <c r="DI29" s="575"/>
      <c r="DJ29" s="575"/>
      <c r="DK29" s="575"/>
      <c r="DL29" s="575"/>
      <c r="DM29" s="575"/>
      <c r="DN29" s="575"/>
      <c r="DO29" s="575"/>
      <c r="DP29" s="575"/>
      <c r="DQ29" s="575"/>
      <c r="DR29" s="575"/>
      <c r="DS29" s="575"/>
      <c r="DT29" s="575"/>
      <c r="DU29" s="575"/>
      <c r="DV29" s="575"/>
      <c r="DW29" s="575"/>
      <c r="DX29" s="575"/>
      <c r="DY29" s="575"/>
      <c r="DZ29" s="575"/>
      <c r="EA29" s="575"/>
      <c r="EB29" s="575"/>
      <c r="EC29" s="575"/>
      <c r="ED29" s="575"/>
      <c r="EE29" s="575"/>
      <c r="EF29" s="575"/>
      <c r="EG29" s="575"/>
      <c r="EH29" s="575"/>
      <c r="EI29" s="575"/>
      <c r="EJ29" s="575"/>
      <c r="EK29" s="575"/>
      <c r="EL29" s="575"/>
      <c r="EM29" s="575"/>
      <c r="EN29" s="575"/>
      <c r="EO29" s="575"/>
      <c r="EP29" s="575"/>
      <c r="EQ29" s="575"/>
      <c r="ER29" s="575"/>
      <c r="ES29" s="575"/>
      <c r="ET29" s="480"/>
    </row>
    <row r="30" spans="1:150" ht="11.25" customHeight="1">
      <c r="A30" s="579" t="s">
        <v>454</v>
      </c>
      <c r="B30" s="579"/>
      <c r="C30" s="579"/>
      <c r="D30" s="579"/>
      <c r="E30" s="579"/>
      <c r="F30" s="579"/>
      <c r="G30" s="579"/>
      <c r="H30" s="579"/>
      <c r="I30" s="579"/>
      <c r="J30" s="579"/>
      <c r="K30" s="579"/>
      <c r="L30" s="579"/>
      <c r="M30" s="579"/>
      <c r="N30" s="579"/>
      <c r="O30" s="579"/>
      <c r="P30" s="579"/>
      <c r="Q30" s="579"/>
      <c r="R30" s="579"/>
      <c r="S30" s="579"/>
      <c r="T30" s="579"/>
      <c r="U30" s="579"/>
      <c r="V30" s="579"/>
      <c r="W30" s="579"/>
      <c r="X30" s="579"/>
      <c r="Y30" s="579"/>
      <c r="Z30" s="579"/>
      <c r="AA30" s="579"/>
      <c r="AB30" s="579"/>
      <c r="AC30" s="579"/>
      <c r="AD30" s="579"/>
      <c r="AE30" s="579"/>
      <c r="AF30" s="579"/>
      <c r="AG30" s="579"/>
      <c r="AH30" s="579"/>
      <c r="AI30" s="579"/>
      <c r="AJ30" s="579"/>
      <c r="AK30" s="579"/>
      <c r="AL30" s="579"/>
      <c r="AM30" s="579"/>
      <c r="AN30" s="579"/>
      <c r="AO30" s="579"/>
      <c r="AP30" s="579"/>
      <c r="AQ30" s="579"/>
      <c r="AR30" s="579"/>
      <c r="AS30" s="579"/>
      <c r="AT30" s="579"/>
      <c r="AU30" s="579"/>
      <c r="AV30" s="579"/>
      <c r="AW30" s="579"/>
      <c r="AX30" s="579"/>
      <c r="AY30" s="575"/>
      <c r="AZ30" s="583"/>
      <c r="BA30" s="1944" t="s">
        <v>33</v>
      </c>
      <c r="BB30" s="1944"/>
      <c r="BC30" s="1944"/>
      <c r="BD30" s="1944"/>
      <c r="BE30" s="1944"/>
      <c r="BF30" s="1944"/>
      <c r="BG30" s="1944"/>
      <c r="BH30" s="1944"/>
      <c r="BI30" s="1944"/>
      <c r="BJ30" s="1944"/>
      <c r="BK30" s="1944"/>
      <c r="BL30" s="1944"/>
      <c r="BM30" s="1944"/>
      <c r="BN30" s="1944"/>
      <c r="BO30" s="1944"/>
      <c r="BP30" s="1944"/>
      <c r="BQ30" s="1944"/>
      <c r="BR30" s="1944"/>
      <c r="BS30" s="1944"/>
      <c r="BT30" s="1944"/>
      <c r="BU30" s="1944"/>
      <c r="BV30" s="1944"/>
      <c r="BW30" s="1944"/>
      <c r="BX30" s="1944"/>
      <c r="BY30" s="1944"/>
      <c r="BZ30" s="1944"/>
      <c r="CA30" s="1944"/>
      <c r="CB30" s="1944"/>
      <c r="CC30" s="1944"/>
      <c r="CD30" s="1944"/>
      <c r="CE30" s="1944"/>
      <c r="CF30" s="1944"/>
      <c r="CG30" s="1944"/>
      <c r="CH30" s="1944"/>
      <c r="CI30" s="1944"/>
      <c r="CJ30" s="1944"/>
      <c r="CK30" s="1944"/>
      <c r="CL30" s="1944"/>
      <c r="CM30" s="1944"/>
      <c r="CN30" s="1944"/>
      <c r="CO30" s="1944"/>
      <c r="CP30" s="1944"/>
      <c r="CQ30" s="1944"/>
      <c r="CR30" s="1944"/>
      <c r="CS30" s="1944"/>
      <c r="CT30" s="1944"/>
      <c r="CU30" s="1944"/>
      <c r="CV30" s="1944"/>
      <c r="CW30" s="1944"/>
      <c r="CX30" s="1944"/>
      <c r="CY30" s="1944"/>
      <c r="CZ30" s="1944"/>
      <c r="DA30" s="1944"/>
      <c r="DB30" s="1944"/>
      <c r="DC30" s="1944"/>
      <c r="DD30" s="1944"/>
      <c r="DE30" s="1944"/>
      <c r="DF30" s="1944"/>
      <c r="DG30" s="1944"/>
      <c r="DH30" s="1944"/>
      <c r="DI30" s="1944"/>
      <c r="DJ30" s="1944"/>
      <c r="DK30" s="1944"/>
      <c r="DL30" s="1944"/>
      <c r="DM30" s="1944"/>
      <c r="DN30" s="1944"/>
      <c r="DO30" s="1944"/>
      <c r="DP30" s="1944"/>
      <c r="DQ30" s="1944"/>
      <c r="DR30" s="1944"/>
      <c r="DS30" s="1944"/>
      <c r="DT30" s="1944"/>
      <c r="DU30" s="1944"/>
      <c r="DV30" s="1944"/>
      <c r="DW30" s="1944"/>
      <c r="DX30" s="1944"/>
      <c r="DY30" s="1944"/>
      <c r="DZ30" s="1944"/>
      <c r="EA30" s="1944"/>
      <c r="EB30" s="1944"/>
      <c r="EC30" s="1944"/>
      <c r="ED30" s="1944"/>
      <c r="EE30" s="1944"/>
      <c r="EF30" s="1944"/>
      <c r="EG30" s="1944"/>
      <c r="EH30" s="1944"/>
      <c r="EI30" s="1944"/>
      <c r="EJ30" s="1944"/>
      <c r="EK30" s="1944"/>
      <c r="EL30" s="1944"/>
      <c r="EM30" s="1944"/>
      <c r="EN30" s="1944"/>
      <c r="EO30" s="1944"/>
      <c r="EP30" s="1944"/>
      <c r="EQ30" s="1944"/>
      <c r="ER30" s="1944"/>
      <c r="ES30" s="1944"/>
      <c r="ET30" s="480"/>
    </row>
    <row r="31" spans="1:150" ht="3.2" customHeight="1">
      <c r="A31" s="575"/>
      <c r="B31" s="575"/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  <c r="U31" s="575"/>
      <c r="V31" s="575"/>
      <c r="W31" s="575"/>
      <c r="X31" s="575"/>
      <c r="Y31" s="575"/>
      <c r="Z31" s="575"/>
      <c r="AA31" s="575"/>
      <c r="AB31" s="575"/>
      <c r="AC31" s="575"/>
      <c r="AD31" s="575"/>
      <c r="AE31" s="575"/>
      <c r="AF31" s="575"/>
      <c r="AG31" s="575"/>
      <c r="AH31" s="575"/>
      <c r="AI31" s="575"/>
      <c r="AJ31" s="575"/>
      <c r="AK31" s="575"/>
      <c r="AL31" s="575"/>
      <c r="AM31" s="575"/>
      <c r="AN31" s="575"/>
      <c r="AO31" s="575"/>
      <c r="AP31" s="575"/>
      <c r="AQ31" s="575"/>
      <c r="AR31" s="575"/>
      <c r="AS31" s="575"/>
      <c r="AT31" s="575"/>
      <c r="AU31" s="575"/>
      <c r="AV31" s="575"/>
      <c r="AW31" s="575"/>
      <c r="AX31" s="575"/>
      <c r="AY31" s="575"/>
      <c r="AZ31" s="575"/>
      <c r="BA31" s="575"/>
      <c r="BB31" s="575"/>
      <c r="BC31" s="575"/>
      <c r="BD31" s="575"/>
      <c r="BE31" s="575"/>
      <c r="BF31" s="575"/>
      <c r="BG31" s="575"/>
      <c r="BH31" s="575"/>
      <c r="BI31" s="575"/>
      <c r="BJ31" s="575"/>
      <c r="BK31" s="575"/>
      <c r="BL31" s="575"/>
      <c r="BM31" s="575"/>
      <c r="BN31" s="575"/>
      <c r="BO31" s="575"/>
      <c r="BP31" s="575"/>
      <c r="BQ31" s="575"/>
      <c r="BR31" s="575"/>
      <c r="BS31" s="575"/>
      <c r="BT31" s="575"/>
      <c r="BU31" s="575"/>
      <c r="BV31" s="575"/>
      <c r="BW31" s="575"/>
      <c r="BX31" s="575"/>
      <c r="BY31" s="575"/>
      <c r="BZ31" s="575"/>
      <c r="CA31" s="575"/>
      <c r="CB31" s="575"/>
      <c r="CC31" s="575"/>
      <c r="CD31" s="575"/>
      <c r="CE31" s="575"/>
      <c r="CF31" s="575"/>
      <c r="CG31" s="575"/>
      <c r="CH31" s="575"/>
      <c r="CI31" s="575"/>
      <c r="CJ31" s="575"/>
      <c r="CK31" s="575"/>
      <c r="CL31" s="575"/>
      <c r="CM31" s="575"/>
      <c r="CN31" s="575"/>
      <c r="CO31" s="575"/>
      <c r="CP31" s="575"/>
      <c r="CQ31" s="575"/>
      <c r="CR31" s="575"/>
      <c r="CS31" s="575"/>
      <c r="CT31" s="575"/>
      <c r="CU31" s="575"/>
      <c r="CV31" s="575"/>
      <c r="CW31" s="575"/>
      <c r="CX31" s="575"/>
      <c r="CY31" s="575"/>
      <c r="CZ31" s="575"/>
      <c r="DA31" s="575"/>
      <c r="DB31" s="575"/>
      <c r="DC31" s="575"/>
      <c r="DD31" s="575"/>
      <c r="DE31" s="575"/>
      <c r="DF31" s="575"/>
      <c r="DG31" s="575"/>
      <c r="DH31" s="575"/>
      <c r="DI31" s="575"/>
      <c r="DJ31" s="575"/>
      <c r="DK31" s="575"/>
      <c r="DL31" s="575"/>
      <c r="DM31" s="575"/>
      <c r="DN31" s="575"/>
      <c r="DO31" s="575"/>
      <c r="DP31" s="575"/>
      <c r="DQ31" s="575"/>
      <c r="DR31" s="575"/>
      <c r="DS31" s="575"/>
      <c r="DT31" s="575"/>
      <c r="DU31" s="575"/>
      <c r="DV31" s="575"/>
      <c r="DW31" s="575"/>
      <c r="DX31" s="575"/>
      <c r="DY31" s="575"/>
      <c r="DZ31" s="575"/>
      <c r="EA31" s="575"/>
      <c r="EB31" s="575"/>
      <c r="EC31" s="575"/>
      <c r="ED31" s="575"/>
      <c r="EE31" s="575"/>
      <c r="EF31" s="575"/>
      <c r="EG31" s="575"/>
      <c r="EH31" s="575"/>
      <c r="EI31" s="575"/>
      <c r="EJ31" s="575"/>
      <c r="EK31" s="575"/>
      <c r="EL31" s="575"/>
      <c r="EM31" s="575"/>
      <c r="EN31" s="575"/>
      <c r="EO31" s="575"/>
      <c r="EP31" s="575"/>
      <c r="EQ31" s="575"/>
      <c r="ER31" s="575"/>
      <c r="ES31" s="575"/>
      <c r="ET31" s="480"/>
    </row>
    <row r="32" spans="1:150" ht="11.25" customHeight="1">
      <c r="A32" s="1946" t="s">
        <v>455</v>
      </c>
      <c r="B32" s="1946"/>
      <c r="C32" s="1946"/>
      <c r="D32" s="1946"/>
      <c r="E32" s="1946"/>
      <c r="F32" s="1946"/>
      <c r="G32" s="1946"/>
      <c r="H32" s="1946"/>
      <c r="I32" s="1946"/>
      <c r="J32" s="1946"/>
      <c r="K32" s="1946"/>
      <c r="L32" s="1946"/>
      <c r="M32" s="1946"/>
      <c r="N32" s="1946"/>
      <c r="O32" s="1946"/>
      <c r="P32" s="1946"/>
      <c r="Q32" s="1946"/>
      <c r="R32" s="1946"/>
      <c r="S32" s="1946"/>
      <c r="T32" s="1946"/>
      <c r="U32" s="1946"/>
      <c r="V32" s="1946"/>
      <c r="W32" s="1946"/>
      <c r="X32" s="1946"/>
      <c r="Y32" s="1946"/>
      <c r="Z32" s="1946"/>
      <c r="AA32" s="1946"/>
      <c r="AB32" s="1946"/>
      <c r="AC32" s="1946"/>
      <c r="AD32" s="1946"/>
      <c r="AE32" s="1946"/>
      <c r="AF32" s="1946"/>
      <c r="AG32" s="1946"/>
      <c r="AH32" s="1946"/>
      <c r="AI32" s="1946"/>
      <c r="AJ32" s="1946"/>
      <c r="AK32" s="1946"/>
      <c r="AL32" s="1946"/>
      <c r="AM32" s="1946"/>
      <c r="AN32" s="1946"/>
      <c r="AO32" s="1946"/>
      <c r="AP32" s="1946"/>
      <c r="AQ32" s="1946"/>
      <c r="AR32" s="1946"/>
      <c r="AS32" s="1946"/>
      <c r="AT32" s="1946"/>
      <c r="AU32" s="1946"/>
      <c r="AV32" s="1946"/>
      <c r="AW32" s="1946"/>
      <c r="AX32" s="1946"/>
      <c r="AY32" s="1946"/>
      <c r="AZ32" s="1946"/>
      <c r="BA32" s="1946"/>
      <c r="BB32" s="1946"/>
      <c r="BC32" s="1946"/>
      <c r="BD32" s="1946"/>
      <c r="BE32" s="1946"/>
      <c r="BF32" s="1946"/>
      <c r="BG32" s="1946"/>
      <c r="BH32" s="1946"/>
      <c r="BI32" s="1946"/>
      <c r="BJ32" s="1946"/>
      <c r="BK32" s="1946"/>
      <c r="BL32" s="1946"/>
      <c r="BM32" s="1946"/>
      <c r="BN32" s="1946"/>
      <c r="BO32" s="1946"/>
      <c r="BP32" s="1946"/>
      <c r="BQ32" s="1946"/>
      <c r="BR32" s="1946"/>
      <c r="BS32" s="1946"/>
      <c r="BT32" s="1946"/>
      <c r="BU32" s="1946"/>
      <c r="BV32" s="1946"/>
      <c r="BW32" s="1946"/>
      <c r="BX32" s="1946"/>
      <c r="BY32" s="1946"/>
      <c r="BZ32" s="1946"/>
      <c r="CA32" s="1946"/>
      <c r="CB32" s="1946"/>
      <c r="CC32" s="1946"/>
      <c r="CD32" s="1946"/>
      <c r="CE32" s="1946"/>
      <c r="CF32" s="1946"/>
      <c r="CG32" s="1946"/>
      <c r="CH32" s="1946"/>
      <c r="CI32" s="1946"/>
      <c r="CJ32" s="1946"/>
      <c r="CK32" s="1946"/>
      <c r="CL32" s="1946"/>
      <c r="CM32" s="1946"/>
      <c r="CN32" s="1946"/>
      <c r="CO32" s="1946"/>
      <c r="CP32" s="1946"/>
      <c r="CQ32" s="1946"/>
      <c r="CR32" s="1946"/>
      <c r="CS32" s="1946"/>
      <c r="CT32" s="1946"/>
      <c r="CU32" s="1946"/>
      <c r="CV32" s="1946"/>
      <c r="CW32" s="1946"/>
      <c r="CX32" s="1946"/>
      <c r="CY32" s="1946"/>
      <c r="CZ32" s="1946"/>
      <c r="DA32" s="1946"/>
      <c r="DB32" s="1946"/>
      <c r="DC32" s="1946"/>
      <c r="DD32" s="1946"/>
      <c r="DE32" s="1946"/>
      <c r="DF32" s="1946"/>
      <c r="DG32" s="1946"/>
      <c r="DH32" s="1946"/>
      <c r="DI32" s="1946"/>
      <c r="DJ32" s="1946"/>
      <c r="DK32" s="1946"/>
      <c r="DL32" s="1946"/>
      <c r="DM32" s="1946"/>
      <c r="DN32" s="1946"/>
      <c r="DO32" s="1946"/>
      <c r="DP32" s="1946"/>
      <c r="DQ32" s="1946"/>
      <c r="DR32" s="1946"/>
      <c r="DS32" s="1946"/>
      <c r="DT32" s="1946"/>
      <c r="DU32" s="1946"/>
      <c r="DV32" s="1946"/>
      <c r="DW32" s="1946"/>
      <c r="DX32" s="1946"/>
      <c r="DY32" s="1946"/>
      <c r="DZ32" s="1946"/>
      <c r="EA32" s="1946"/>
      <c r="EB32" s="1946"/>
      <c r="EC32" s="1946"/>
      <c r="ED32" s="1946"/>
      <c r="EE32" s="1946"/>
      <c r="EF32" s="1946"/>
      <c r="EG32" s="1946"/>
      <c r="EH32" s="1946"/>
      <c r="EI32" s="1946"/>
      <c r="EJ32" s="1946"/>
      <c r="EK32" s="1946"/>
      <c r="EL32" s="1946"/>
      <c r="EM32" s="1946"/>
      <c r="EN32" s="1946"/>
      <c r="EO32" s="1946"/>
      <c r="EP32" s="1946"/>
      <c r="EQ32" s="1946"/>
      <c r="ER32" s="1946"/>
      <c r="ES32" s="1946"/>
      <c r="ET32" s="480"/>
    </row>
    <row r="33" spans="1:150" ht="3.2" customHeight="1">
      <c r="A33" s="575"/>
      <c r="B33" s="575"/>
      <c r="C33" s="575"/>
      <c r="D33" s="575"/>
      <c r="E33" s="575"/>
      <c r="F33" s="575"/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  <c r="U33" s="575"/>
      <c r="V33" s="575"/>
      <c r="W33" s="575"/>
      <c r="X33" s="575"/>
      <c r="Y33" s="575"/>
      <c r="Z33" s="575"/>
      <c r="AA33" s="575"/>
      <c r="AB33" s="575"/>
      <c r="AC33" s="575"/>
      <c r="AD33" s="575"/>
      <c r="AE33" s="575"/>
      <c r="AF33" s="575"/>
      <c r="AG33" s="575"/>
      <c r="AH33" s="575"/>
      <c r="AI33" s="575"/>
      <c r="AJ33" s="575"/>
      <c r="AK33" s="575"/>
      <c r="AL33" s="575"/>
      <c r="AM33" s="575"/>
      <c r="AN33" s="575"/>
      <c r="AO33" s="575"/>
      <c r="AP33" s="575"/>
      <c r="AQ33" s="575"/>
      <c r="AR33" s="575"/>
      <c r="AS33" s="575"/>
      <c r="AT33" s="575"/>
      <c r="AU33" s="575"/>
      <c r="AV33" s="575"/>
      <c r="AW33" s="575"/>
      <c r="AX33" s="575"/>
      <c r="AY33" s="575"/>
      <c r="AZ33" s="575"/>
      <c r="BA33" s="575"/>
      <c r="BB33" s="575"/>
      <c r="BC33" s="575"/>
      <c r="BD33" s="575"/>
      <c r="BE33" s="575"/>
      <c r="BF33" s="575"/>
      <c r="BG33" s="575"/>
      <c r="BH33" s="575"/>
      <c r="BI33" s="575"/>
      <c r="BJ33" s="575"/>
      <c r="BK33" s="575"/>
      <c r="BL33" s="575"/>
      <c r="BM33" s="575"/>
      <c r="BN33" s="575"/>
      <c r="BO33" s="575"/>
      <c r="BP33" s="575"/>
      <c r="BQ33" s="575"/>
      <c r="BR33" s="575"/>
      <c r="BS33" s="575"/>
      <c r="BT33" s="575"/>
      <c r="BU33" s="575"/>
      <c r="BV33" s="575"/>
      <c r="BW33" s="575"/>
      <c r="BX33" s="575"/>
      <c r="BY33" s="575"/>
      <c r="BZ33" s="575"/>
      <c r="CA33" s="575"/>
      <c r="CB33" s="575"/>
      <c r="CC33" s="575"/>
      <c r="CD33" s="575"/>
      <c r="CE33" s="575"/>
      <c r="CF33" s="575"/>
      <c r="CG33" s="575"/>
      <c r="CH33" s="575"/>
      <c r="CI33" s="575"/>
      <c r="CJ33" s="575"/>
      <c r="CK33" s="575"/>
      <c r="CL33" s="575"/>
      <c r="CM33" s="575"/>
      <c r="CN33" s="575"/>
      <c r="CO33" s="575"/>
      <c r="CP33" s="575"/>
      <c r="CQ33" s="575"/>
      <c r="CR33" s="575"/>
      <c r="CS33" s="575"/>
      <c r="CT33" s="575"/>
      <c r="CU33" s="575"/>
      <c r="CV33" s="575"/>
      <c r="CW33" s="575"/>
      <c r="CX33" s="575"/>
      <c r="CY33" s="575"/>
      <c r="CZ33" s="575"/>
      <c r="DA33" s="575"/>
      <c r="DB33" s="575"/>
      <c r="DC33" s="575"/>
      <c r="DD33" s="575"/>
      <c r="DE33" s="575"/>
      <c r="DF33" s="575"/>
      <c r="DG33" s="575"/>
      <c r="DH33" s="575"/>
      <c r="DI33" s="575"/>
      <c r="DJ33" s="575"/>
      <c r="DK33" s="575"/>
      <c r="DL33" s="575"/>
      <c r="DM33" s="575"/>
      <c r="DN33" s="575"/>
      <c r="DO33" s="575"/>
      <c r="DP33" s="575"/>
      <c r="DQ33" s="575"/>
      <c r="DR33" s="575"/>
      <c r="DS33" s="575"/>
      <c r="DT33" s="575"/>
      <c r="DU33" s="575"/>
      <c r="DV33" s="575"/>
      <c r="DW33" s="575"/>
      <c r="DX33" s="575"/>
      <c r="DY33" s="575"/>
      <c r="DZ33" s="575"/>
      <c r="EA33" s="575"/>
      <c r="EB33" s="575"/>
      <c r="EC33" s="575"/>
      <c r="ED33" s="575"/>
      <c r="EE33" s="575"/>
      <c r="EF33" s="575"/>
      <c r="EG33" s="575"/>
      <c r="EH33" s="575"/>
      <c r="EI33" s="575"/>
      <c r="EJ33" s="575"/>
      <c r="EK33" s="575"/>
      <c r="EL33" s="575"/>
      <c r="EM33" s="575"/>
      <c r="EN33" s="575"/>
      <c r="EO33" s="575"/>
      <c r="EP33" s="575"/>
      <c r="EQ33" s="575"/>
      <c r="ER33" s="575"/>
      <c r="ES33" s="575"/>
      <c r="ET33" s="480"/>
    </row>
    <row r="34" spans="1:150" ht="11.25" customHeight="1">
      <c r="A34" s="1947"/>
      <c r="B34" s="1947"/>
      <c r="C34" s="1947"/>
      <c r="D34" s="1947"/>
      <c r="E34" s="1947"/>
      <c r="F34" s="1947"/>
      <c r="G34" s="1947"/>
      <c r="H34" s="1947"/>
      <c r="I34" s="1947"/>
      <c r="J34" s="1947"/>
      <c r="K34" s="1947"/>
      <c r="L34" s="1947"/>
      <c r="M34" s="1947"/>
      <c r="N34" s="1947"/>
      <c r="O34" s="1947"/>
      <c r="P34" s="1947"/>
      <c r="Q34" s="1947"/>
      <c r="R34" s="1947"/>
      <c r="S34" s="1947"/>
      <c r="T34" s="1947"/>
      <c r="U34" s="1947"/>
      <c r="V34" s="1947"/>
      <c r="W34" s="1947"/>
      <c r="X34" s="1947"/>
      <c r="Y34" s="1947"/>
      <c r="Z34" s="1947"/>
      <c r="AA34" s="1947"/>
      <c r="AB34" s="1947"/>
      <c r="AC34" s="1947"/>
      <c r="AD34" s="1947"/>
      <c r="AE34" s="1947"/>
      <c r="AF34" s="1947"/>
      <c r="AG34" s="1947"/>
      <c r="AH34" s="1947"/>
      <c r="AI34" s="1947"/>
      <c r="AJ34" s="1947"/>
      <c r="AK34" s="1947"/>
      <c r="AL34" s="1947"/>
      <c r="AM34" s="1947"/>
      <c r="AN34" s="1947"/>
      <c r="AO34" s="1947"/>
      <c r="AP34" s="1947"/>
      <c r="AQ34" s="1947"/>
      <c r="AR34" s="1947"/>
      <c r="AS34" s="1947"/>
      <c r="AT34" s="1947"/>
      <c r="AU34" s="1947"/>
      <c r="AV34" s="1947"/>
      <c r="AW34" s="1947"/>
      <c r="AX34" s="1947"/>
      <c r="AY34" s="1947"/>
      <c r="AZ34" s="1947"/>
      <c r="BA34" s="1947"/>
      <c r="BB34" s="1947"/>
      <c r="BC34" s="1947"/>
      <c r="BD34" s="1947"/>
      <c r="BE34" s="1947"/>
      <c r="BF34" s="1947"/>
      <c r="BG34" s="1947"/>
      <c r="BH34" s="1947"/>
      <c r="BI34" s="1947"/>
      <c r="BJ34" s="1947"/>
      <c r="BK34" s="1947"/>
      <c r="BL34" s="1947"/>
      <c r="BM34" s="1947"/>
      <c r="BN34" s="1947"/>
      <c r="BO34" s="1947"/>
      <c r="BP34" s="1947"/>
      <c r="BQ34" s="1947"/>
      <c r="BR34" s="1947"/>
      <c r="BS34" s="1947"/>
      <c r="BT34" s="1947"/>
      <c r="BU34" s="1947"/>
      <c r="BV34" s="1947"/>
      <c r="BW34" s="1947"/>
      <c r="BX34" s="1947"/>
      <c r="BY34" s="1947"/>
      <c r="BZ34" s="1947"/>
      <c r="CA34" s="1947"/>
      <c r="CB34" s="1947"/>
      <c r="CC34" s="1947"/>
      <c r="CD34" s="1947"/>
      <c r="CE34" s="1947"/>
      <c r="CF34" s="1947"/>
      <c r="CG34" s="1947"/>
      <c r="CH34" s="1947"/>
      <c r="CI34" s="1947"/>
      <c r="CJ34" s="1947"/>
      <c r="CK34" s="1947"/>
      <c r="CL34" s="1947"/>
      <c r="CM34" s="1947"/>
      <c r="CN34" s="1947"/>
      <c r="CO34" s="1947"/>
      <c r="CP34" s="1947"/>
      <c r="CQ34" s="1947"/>
      <c r="CR34" s="1947"/>
      <c r="CS34" s="1947"/>
      <c r="CT34" s="1947"/>
      <c r="CU34" s="1947"/>
      <c r="CV34" s="1947"/>
      <c r="CW34" s="1947"/>
      <c r="CX34" s="1947"/>
      <c r="CY34" s="1947"/>
      <c r="CZ34" s="1947"/>
      <c r="DA34" s="1947"/>
      <c r="DB34" s="1947"/>
      <c r="DC34" s="1947"/>
      <c r="DD34" s="1947"/>
      <c r="DE34" s="1947"/>
      <c r="DF34" s="1947"/>
      <c r="DG34" s="1947"/>
      <c r="DH34" s="1947"/>
      <c r="DI34" s="1947"/>
      <c r="DJ34" s="1947"/>
      <c r="DK34" s="1947"/>
      <c r="DL34" s="1947"/>
      <c r="DM34" s="1947"/>
      <c r="DN34" s="1947"/>
      <c r="DO34" s="1947"/>
      <c r="DP34" s="1947"/>
      <c r="DQ34" s="1947"/>
      <c r="DR34" s="1947"/>
      <c r="DS34" s="1947"/>
      <c r="DT34" s="1947"/>
      <c r="DU34" s="1947"/>
      <c r="DV34" s="1947"/>
      <c r="DW34" s="1947"/>
      <c r="DX34" s="1947"/>
      <c r="DY34" s="1947"/>
      <c r="DZ34" s="1947"/>
      <c r="EA34" s="1947"/>
      <c r="EB34" s="1947"/>
      <c r="EC34" s="1947"/>
      <c r="ED34" s="1947"/>
      <c r="EE34" s="1947"/>
      <c r="EF34" s="1947"/>
      <c r="EG34" s="1947"/>
      <c r="EH34" s="1947"/>
      <c r="EI34" s="1947"/>
      <c r="EJ34" s="1947"/>
      <c r="EK34" s="1947"/>
      <c r="EL34" s="1947"/>
      <c r="EM34" s="1947"/>
      <c r="EN34" s="1947"/>
      <c r="EO34" s="1947"/>
      <c r="EP34" s="1947"/>
      <c r="EQ34" s="1947"/>
      <c r="ER34" s="1947"/>
      <c r="ES34" s="1947"/>
      <c r="ET34" s="480"/>
    </row>
    <row r="35" spans="1:150" ht="3.2" customHeight="1">
      <c r="A35" s="575"/>
      <c r="B35" s="575"/>
      <c r="C35" s="575"/>
      <c r="D35" s="575"/>
      <c r="E35" s="575"/>
      <c r="F35" s="575"/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  <c r="U35" s="575"/>
      <c r="V35" s="575"/>
      <c r="W35" s="575"/>
      <c r="X35" s="575"/>
      <c r="Y35" s="575"/>
      <c r="Z35" s="575"/>
      <c r="AA35" s="575"/>
      <c r="AB35" s="575"/>
      <c r="AC35" s="575"/>
      <c r="AD35" s="575"/>
      <c r="AE35" s="575"/>
      <c r="AF35" s="575"/>
      <c r="AG35" s="575"/>
      <c r="AH35" s="575"/>
      <c r="AI35" s="575"/>
      <c r="AJ35" s="575"/>
      <c r="AK35" s="575"/>
      <c r="AL35" s="575"/>
      <c r="AM35" s="575"/>
      <c r="AN35" s="575"/>
      <c r="AO35" s="575"/>
      <c r="AP35" s="575"/>
      <c r="AQ35" s="575"/>
      <c r="AR35" s="575"/>
      <c r="AS35" s="575"/>
      <c r="AT35" s="575"/>
      <c r="AU35" s="575"/>
      <c r="AV35" s="575"/>
      <c r="AW35" s="575"/>
      <c r="AX35" s="575"/>
      <c r="AY35" s="575"/>
      <c r="AZ35" s="575"/>
      <c r="BA35" s="575"/>
      <c r="BB35" s="575"/>
      <c r="BC35" s="575"/>
      <c r="BD35" s="575"/>
      <c r="BE35" s="575"/>
      <c r="BF35" s="575"/>
      <c r="BG35" s="575"/>
      <c r="BH35" s="575"/>
      <c r="BI35" s="575"/>
      <c r="BJ35" s="575"/>
      <c r="BK35" s="575"/>
      <c r="BL35" s="575"/>
      <c r="BM35" s="575"/>
      <c r="BN35" s="575"/>
      <c r="BO35" s="575"/>
      <c r="BP35" s="575"/>
      <c r="BQ35" s="575"/>
      <c r="BR35" s="575"/>
      <c r="BS35" s="575"/>
      <c r="BT35" s="575"/>
      <c r="BU35" s="575"/>
      <c r="BV35" s="575"/>
      <c r="BW35" s="575"/>
      <c r="BX35" s="575"/>
      <c r="BY35" s="575"/>
      <c r="BZ35" s="575"/>
      <c r="CA35" s="575"/>
      <c r="CB35" s="575"/>
      <c r="CC35" s="575"/>
      <c r="CD35" s="575"/>
      <c r="CE35" s="575"/>
      <c r="CF35" s="575"/>
      <c r="CG35" s="575"/>
      <c r="CH35" s="575"/>
      <c r="CI35" s="575"/>
      <c r="CJ35" s="575"/>
      <c r="CK35" s="575"/>
      <c r="CL35" s="575"/>
      <c r="CM35" s="575"/>
      <c r="CN35" s="575"/>
      <c r="CO35" s="575"/>
      <c r="CP35" s="575"/>
      <c r="CQ35" s="575"/>
      <c r="CR35" s="575"/>
      <c r="CS35" s="575"/>
      <c r="CT35" s="575"/>
      <c r="CU35" s="575"/>
      <c r="CV35" s="575"/>
      <c r="CW35" s="575"/>
      <c r="CX35" s="575"/>
      <c r="CY35" s="575"/>
      <c r="CZ35" s="575"/>
      <c r="DA35" s="575"/>
      <c r="DB35" s="575"/>
      <c r="DC35" s="575"/>
      <c r="DD35" s="575"/>
      <c r="DE35" s="575"/>
      <c r="DF35" s="575"/>
      <c r="DG35" s="575"/>
      <c r="DH35" s="575"/>
      <c r="DI35" s="575"/>
      <c r="DJ35" s="575"/>
      <c r="DK35" s="575"/>
      <c r="DL35" s="575"/>
      <c r="DM35" s="575"/>
      <c r="DN35" s="575"/>
      <c r="DO35" s="575"/>
      <c r="DP35" s="575"/>
      <c r="DQ35" s="575"/>
      <c r="DR35" s="575"/>
      <c r="DS35" s="575"/>
      <c r="DT35" s="575"/>
      <c r="DU35" s="575"/>
      <c r="DV35" s="575"/>
      <c r="DW35" s="575"/>
      <c r="DX35" s="575"/>
      <c r="DY35" s="575"/>
      <c r="DZ35" s="575"/>
      <c r="EA35" s="575"/>
      <c r="EB35" s="575"/>
      <c r="EC35" s="575"/>
      <c r="ED35" s="575"/>
      <c r="EE35" s="575"/>
      <c r="EF35" s="575"/>
      <c r="EG35" s="575"/>
      <c r="EH35" s="575"/>
      <c r="EI35" s="575"/>
      <c r="EJ35" s="575"/>
      <c r="EK35" s="575"/>
      <c r="EL35" s="575"/>
      <c r="EM35" s="575"/>
      <c r="EN35" s="575"/>
      <c r="EO35" s="575"/>
      <c r="EP35" s="575"/>
      <c r="EQ35" s="575"/>
      <c r="ER35" s="575"/>
      <c r="ES35" s="575"/>
      <c r="ET35" s="480"/>
    </row>
    <row r="36" spans="1:150" ht="11.25" customHeight="1">
      <c r="A36" s="1947"/>
      <c r="B36" s="1947"/>
      <c r="C36" s="1947"/>
      <c r="D36" s="1947"/>
      <c r="E36" s="1947"/>
      <c r="F36" s="1947"/>
      <c r="G36" s="1947"/>
      <c r="H36" s="1947"/>
      <c r="I36" s="1947"/>
      <c r="J36" s="1947"/>
      <c r="K36" s="1947"/>
      <c r="L36" s="1947"/>
      <c r="M36" s="1947"/>
      <c r="N36" s="1947"/>
      <c r="O36" s="1947"/>
      <c r="P36" s="1947"/>
      <c r="Q36" s="1947"/>
      <c r="R36" s="1947"/>
      <c r="S36" s="1947"/>
      <c r="T36" s="1947"/>
      <c r="U36" s="1947"/>
      <c r="V36" s="1947"/>
      <c r="W36" s="1947"/>
      <c r="X36" s="1947"/>
      <c r="Y36" s="1947"/>
      <c r="Z36" s="1947"/>
      <c r="AA36" s="1947"/>
      <c r="AB36" s="1947"/>
      <c r="AC36" s="1947"/>
      <c r="AD36" s="1947"/>
      <c r="AE36" s="1947"/>
      <c r="AF36" s="1947"/>
      <c r="AG36" s="1947"/>
      <c r="AH36" s="1947"/>
      <c r="AI36" s="1947"/>
      <c r="AJ36" s="1947"/>
      <c r="AK36" s="1947"/>
      <c r="AL36" s="1947"/>
      <c r="AM36" s="1947"/>
      <c r="AN36" s="1947"/>
      <c r="AO36" s="1947"/>
      <c r="AP36" s="1947"/>
      <c r="AQ36" s="1947"/>
      <c r="AR36" s="1947"/>
      <c r="AS36" s="1947"/>
      <c r="AT36" s="1947"/>
      <c r="AU36" s="1947"/>
      <c r="AV36" s="1947"/>
      <c r="AW36" s="1947"/>
      <c r="AX36" s="1947"/>
      <c r="AY36" s="1947"/>
      <c r="AZ36" s="1947"/>
      <c r="BA36" s="1947"/>
      <c r="BB36" s="1947"/>
      <c r="BC36" s="1947"/>
      <c r="BD36" s="1947"/>
      <c r="BE36" s="1947"/>
      <c r="BF36" s="1947"/>
      <c r="BG36" s="1947"/>
      <c r="BH36" s="1947"/>
      <c r="BI36" s="1947"/>
      <c r="BJ36" s="1947"/>
      <c r="BK36" s="1947"/>
      <c r="BL36" s="1947"/>
      <c r="BM36" s="1947"/>
      <c r="BN36" s="1947"/>
      <c r="BO36" s="1947"/>
      <c r="BP36" s="1947"/>
      <c r="BQ36" s="1947"/>
      <c r="BR36" s="1947"/>
      <c r="BS36" s="1947"/>
      <c r="BT36" s="1947"/>
      <c r="BU36" s="1947"/>
      <c r="BV36" s="1947"/>
      <c r="BW36" s="1947"/>
      <c r="BX36" s="1947"/>
      <c r="BY36" s="1947"/>
      <c r="BZ36" s="1947"/>
      <c r="CA36" s="1947"/>
      <c r="CB36" s="1947"/>
      <c r="CC36" s="1947"/>
      <c r="CD36" s="1947"/>
      <c r="CE36" s="1947"/>
      <c r="CF36" s="1947"/>
      <c r="CG36" s="1947"/>
      <c r="CH36" s="1947"/>
      <c r="CI36" s="1947"/>
      <c r="CJ36" s="1947"/>
      <c r="CK36" s="1947"/>
      <c r="CL36" s="1947"/>
      <c r="CM36" s="1947"/>
      <c r="CN36" s="1947"/>
      <c r="CO36" s="1947"/>
      <c r="CP36" s="1947"/>
      <c r="CQ36" s="1947"/>
      <c r="CR36" s="1947"/>
      <c r="CS36" s="1947"/>
      <c r="CT36" s="1947"/>
      <c r="CU36" s="1947"/>
      <c r="CV36" s="1947"/>
      <c r="CW36" s="1947"/>
      <c r="CX36" s="1947"/>
      <c r="CY36" s="1947"/>
      <c r="CZ36" s="1947"/>
      <c r="DA36" s="1947"/>
      <c r="DB36" s="1947"/>
      <c r="DC36" s="1947"/>
      <c r="DD36" s="1947"/>
      <c r="DE36" s="1947"/>
      <c r="DF36" s="1947"/>
      <c r="DG36" s="1947"/>
      <c r="DH36" s="1947"/>
      <c r="DI36" s="1947"/>
      <c r="DJ36" s="1947"/>
      <c r="DK36" s="1947"/>
      <c r="DL36" s="1947"/>
      <c r="DM36" s="1947"/>
      <c r="DN36" s="1947"/>
      <c r="DO36" s="1947"/>
      <c r="DP36" s="1947"/>
      <c r="DQ36" s="1947"/>
      <c r="DR36" s="1947"/>
      <c r="DS36" s="1947"/>
      <c r="DT36" s="1947"/>
      <c r="DU36" s="1947"/>
      <c r="DV36" s="1947"/>
      <c r="DW36" s="1947"/>
      <c r="DX36" s="1947"/>
      <c r="DY36" s="1947"/>
      <c r="DZ36" s="1947"/>
      <c r="EA36" s="1947"/>
      <c r="EB36" s="1947"/>
      <c r="EC36" s="1947"/>
      <c r="ED36" s="1947"/>
      <c r="EE36" s="1947"/>
      <c r="EF36" s="1947"/>
      <c r="EG36" s="1947"/>
      <c r="EH36" s="1947"/>
      <c r="EI36" s="1947"/>
      <c r="EJ36" s="1947"/>
      <c r="EK36" s="1947"/>
      <c r="EL36" s="1947"/>
      <c r="EM36" s="1947"/>
      <c r="EN36" s="1947"/>
      <c r="EO36" s="1947"/>
      <c r="EP36" s="1947"/>
      <c r="EQ36" s="1947"/>
      <c r="ER36" s="1947"/>
      <c r="ES36" s="1947"/>
      <c r="ET36" s="480"/>
    </row>
    <row r="37" spans="1:150" ht="15" customHeight="1">
      <c r="A37" s="1948" t="s">
        <v>277</v>
      </c>
      <c r="B37" s="1948"/>
      <c r="C37" s="1948"/>
      <c r="D37" s="1948"/>
      <c r="E37" s="1948"/>
      <c r="F37" s="1948"/>
      <c r="G37" s="1948"/>
      <c r="H37" s="1948"/>
      <c r="I37" s="1948"/>
      <c r="J37" s="1948"/>
      <c r="K37" s="1948"/>
      <c r="L37" s="1948"/>
      <c r="M37" s="1948"/>
      <c r="N37" s="1948"/>
      <c r="O37" s="1948"/>
      <c r="P37" s="1948"/>
      <c r="Q37" s="1948"/>
      <c r="R37" s="1948"/>
      <c r="S37" s="1948"/>
      <c r="T37" s="1948"/>
      <c r="U37" s="1948"/>
      <c r="V37" s="1948"/>
      <c r="W37" s="1948"/>
      <c r="X37" s="1948"/>
      <c r="Y37" s="1948"/>
      <c r="Z37" s="1948"/>
      <c r="AA37" s="1948"/>
      <c r="AB37" s="1948"/>
      <c r="AC37" s="1948"/>
      <c r="AD37" s="1948"/>
      <c r="AE37" s="1948"/>
      <c r="AF37" s="1948"/>
      <c r="AG37" s="1948"/>
      <c r="AH37" s="1948"/>
      <c r="AI37" s="1948"/>
      <c r="AJ37" s="1948"/>
      <c r="AK37" s="1948"/>
      <c r="AL37" s="1948"/>
      <c r="AM37" s="1948"/>
      <c r="AN37" s="1948"/>
      <c r="AO37" s="1948"/>
      <c r="AP37" s="1948"/>
      <c r="AQ37" s="1948"/>
      <c r="AR37" s="1948"/>
      <c r="AS37" s="1948"/>
      <c r="AT37" s="1948"/>
      <c r="AU37" s="1948"/>
      <c r="AV37" s="1948"/>
      <c r="AW37" s="1948"/>
      <c r="AX37" s="1948"/>
      <c r="AY37" s="1948"/>
      <c r="AZ37" s="1948"/>
      <c r="BA37" s="1948"/>
      <c r="BB37" s="1948"/>
      <c r="BC37" s="1948"/>
      <c r="BD37" s="1948"/>
      <c r="BE37" s="1948"/>
      <c r="BF37" s="1948"/>
      <c r="BG37" s="1948"/>
      <c r="BH37" s="1948"/>
      <c r="BI37" s="1948"/>
      <c r="BJ37" s="1948"/>
      <c r="BK37" s="1948"/>
      <c r="BL37" s="1948"/>
      <c r="BM37" s="1948"/>
      <c r="BN37" s="1948"/>
      <c r="BO37" s="1948"/>
      <c r="BP37" s="1948"/>
      <c r="BQ37" s="1948"/>
      <c r="BR37" s="1948"/>
      <c r="BS37" s="1948"/>
      <c r="BT37" s="1948"/>
      <c r="BU37" s="1948"/>
      <c r="BV37" s="1948"/>
      <c r="BW37" s="1948"/>
      <c r="BX37" s="1948"/>
      <c r="BY37" s="1948"/>
      <c r="BZ37" s="1948"/>
      <c r="CA37" s="1948"/>
      <c r="CB37" s="1948"/>
      <c r="CC37" s="1948"/>
      <c r="CD37" s="1948"/>
      <c r="CE37" s="1948"/>
      <c r="CF37" s="1948"/>
      <c r="CG37" s="1948"/>
      <c r="CH37" s="1948"/>
      <c r="CI37" s="1948"/>
      <c r="CJ37" s="1948"/>
      <c r="CK37" s="1948"/>
      <c r="CL37" s="1948"/>
      <c r="CM37" s="1948"/>
      <c r="CN37" s="1948"/>
      <c r="CO37" s="1948"/>
      <c r="CP37" s="1948"/>
      <c r="CQ37" s="1948"/>
      <c r="CR37" s="1948"/>
      <c r="CS37" s="1948"/>
      <c r="CT37" s="1948"/>
      <c r="CU37" s="1948"/>
      <c r="CV37" s="1948"/>
      <c r="CW37" s="1948"/>
      <c r="CX37" s="1948"/>
      <c r="CY37" s="1948"/>
      <c r="CZ37" s="1948"/>
      <c r="DA37" s="1948"/>
      <c r="DB37" s="1948"/>
      <c r="DC37" s="1948"/>
      <c r="DD37" s="1948"/>
      <c r="DE37" s="1948"/>
      <c r="DF37" s="1948"/>
      <c r="DG37" s="1948"/>
      <c r="DH37" s="1948"/>
      <c r="DI37" s="1948"/>
      <c r="DJ37" s="1948"/>
      <c r="DK37" s="1948"/>
      <c r="DL37" s="1948"/>
      <c r="DM37" s="1948"/>
      <c r="DN37" s="1948"/>
      <c r="DO37" s="1948"/>
      <c r="DP37" s="1948"/>
      <c r="DQ37" s="1948"/>
      <c r="DR37" s="1948"/>
      <c r="DS37" s="1948"/>
      <c r="DT37" s="1948"/>
      <c r="DU37" s="1948"/>
      <c r="DV37" s="1948"/>
      <c r="DW37" s="1948"/>
      <c r="DX37" s="1948"/>
      <c r="DY37" s="1948"/>
      <c r="DZ37" s="1948"/>
      <c r="EA37" s="1948"/>
      <c r="EB37" s="1948"/>
      <c r="EC37" s="1948"/>
      <c r="ED37" s="1948"/>
      <c r="EE37" s="1948"/>
      <c r="EF37" s="1948"/>
      <c r="EG37" s="1948"/>
      <c r="EH37" s="1948"/>
      <c r="EI37" s="1948"/>
      <c r="EJ37" s="1948"/>
      <c r="EK37" s="1948"/>
      <c r="EL37" s="1948"/>
      <c r="EM37" s="1948"/>
      <c r="EN37" s="1948"/>
      <c r="EO37" s="1948"/>
      <c r="EP37" s="1948"/>
      <c r="EQ37" s="1948"/>
      <c r="ER37" s="1948"/>
      <c r="ES37" s="1948"/>
      <c r="ET37" s="480"/>
    </row>
    <row r="38" spans="1:150" ht="11.25" customHeight="1">
      <c r="A38" s="1946" t="s">
        <v>278</v>
      </c>
      <c r="B38" s="1946"/>
      <c r="C38" s="1946"/>
      <c r="D38" s="1946"/>
      <c r="E38" s="1946"/>
      <c r="F38" s="1946"/>
      <c r="G38" s="1946"/>
      <c r="H38" s="1946"/>
      <c r="I38" s="1946"/>
      <c r="J38" s="1946"/>
      <c r="K38" s="1946"/>
      <c r="L38" s="1946"/>
      <c r="M38" s="1946"/>
      <c r="N38" s="1946"/>
      <c r="O38" s="1946"/>
      <c r="P38" s="1946"/>
      <c r="Q38" s="1946"/>
      <c r="R38" s="1946"/>
      <c r="S38" s="1946"/>
      <c r="T38" s="1946"/>
      <c r="U38" s="1946"/>
      <c r="V38" s="1946"/>
      <c r="W38" s="1946"/>
      <c r="X38" s="1946"/>
      <c r="Y38" s="1946"/>
      <c r="Z38" s="1946"/>
      <c r="AA38" s="1946"/>
      <c r="AB38" s="1946"/>
      <c r="AC38" s="1946"/>
      <c r="AD38" s="1946"/>
      <c r="AE38" s="1946"/>
      <c r="AF38" s="1946"/>
      <c r="AG38" s="1946"/>
      <c r="AH38" s="1946"/>
      <c r="AI38" s="1946"/>
      <c r="AJ38" s="1946"/>
      <c r="AK38" s="1946"/>
      <c r="AL38" s="1946"/>
      <c r="AM38" s="1946"/>
      <c r="AN38" s="1946"/>
      <c r="AO38" s="1946"/>
      <c r="AP38" s="1946"/>
      <c r="AQ38" s="1946"/>
      <c r="AR38" s="1946"/>
      <c r="AS38" s="1946"/>
      <c r="AT38" s="1946"/>
      <c r="AU38" s="1946"/>
      <c r="AV38" s="1946"/>
      <c r="AW38" s="1946"/>
      <c r="AX38" s="1946"/>
      <c r="AY38" s="1946"/>
      <c r="AZ38" s="1946"/>
      <c r="BA38" s="1946"/>
      <c r="BB38" s="1946"/>
      <c r="BC38" s="1946"/>
      <c r="BD38" s="1946"/>
      <c r="BE38" s="1946"/>
      <c r="BF38" s="1946"/>
      <c r="BG38" s="1946"/>
      <c r="BH38" s="1946"/>
      <c r="BI38" s="1946"/>
      <c r="BJ38" s="1946"/>
      <c r="BK38" s="1946"/>
      <c r="BL38" s="1946"/>
      <c r="BM38" s="1946"/>
      <c r="BN38" s="1946"/>
      <c r="BO38" s="1946"/>
      <c r="BP38" s="1946"/>
      <c r="BQ38" s="1946"/>
      <c r="BR38" s="1946"/>
      <c r="BS38" s="1946"/>
      <c r="BT38" s="1946"/>
      <c r="BU38" s="1946"/>
      <c r="BV38" s="1946"/>
      <c r="BW38" s="1946"/>
      <c r="BX38" s="1946"/>
      <c r="BY38" s="1946"/>
      <c r="BZ38" s="1946"/>
      <c r="CA38" s="1946"/>
      <c r="CB38" s="1946"/>
      <c r="CC38" s="1946"/>
      <c r="CD38" s="1946"/>
      <c r="CE38" s="1946"/>
      <c r="CF38" s="1946"/>
      <c r="CG38" s="1946"/>
      <c r="CH38" s="1946"/>
      <c r="CI38" s="1946"/>
      <c r="CJ38" s="1946"/>
      <c r="CK38" s="1946"/>
      <c r="CL38" s="1946"/>
      <c r="CM38" s="1946"/>
      <c r="CN38" s="1946"/>
      <c r="CO38" s="1946"/>
      <c r="CP38" s="1946"/>
      <c r="CQ38" s="1946"/>
      <c r="CR38" s="1946"/>
      <c r="CS38" s="1946"/>
      <c r="CT38" s="1946"/>
      <c r="CU38" s="1946"/>
      <c r="CV38" s="1946"/>
      <c r="CW38" s="1946"/>
      <c r="CX38" s="1946"/>
      <c r="CY38" s="1946"/>
      <c r="CZ38" s="1946"/>
      <c r="DA38" s="1946"/>
      <c r="DB38" s="1946"/>
      <c r="DC38" s="1946"/>
      <c r="DD38" s="1946"/>
      <c r="DE38" s="1946"/>
      <c r="DF38" s="1946"/>
      <c r="DG38" s="1946"/>
      <c r="DH38" s="1946"/>
      <c r="DI38" s="1946"/>
      <c r="DJ38" s="1946"/>
      <c r="DK38" s="1946"/>
      <c r="DL38" s="1946"/>
      <c r="DM38" s="1946"/>
      <c r="DN38" s="1946"/>
      <c r="DO38" s="1946"/>
      <c r="DP38" s="1946"/>
      <c r="DQ38" s="1946"/>
      <c r="DR38" s="1946"/>
      <c r="DS38" s="1946"/>
      <c r="DT38" s="1946"/>
      <c r="DU38" s="1946"/>
      <c r="DV38" s="1946"/>
      <c r="DW38" s="1946"/>
      <c r="DX38" s="1946"/>
      <c r="DY38" s="1946"/>
      <c r="DZ38" s="1946"/>
      <c r="EA38" s="1946"/>
      <c r="EB38" s="1946"/>
      <c r="EC38" s="1946"/>
      <c r="ED38" s="1946"/>
      <c r="EE38" s="1946"/>
      <c r="EF38" s="1946"/>
      <c r="EG38" s="1946"/>
      <c r="EH38" s="1946"/>
      <c r="EI38" s="1946"/>
      <c r="EJ38" s="1946"/>
      <c r="EK38" s="1946"/>
      <c r="EL38" s="1946"/>
      <c r="EM38" s="1946"/>
      <c r="EN38" s="1946"/>
      <c r="EO38" s="1946"/>
      <c r="EP38" s="1946"/>
      <c r="EQ38" s="1946"/>
      <c r="ER38" s="1946"/>
      <c r="ES38" s="1946"/>
      <c r="ET38" s="480"/>
    </row>
    <row r="39" spans="1:150" ht="6" customHeight="1">
      <c r="A39" s="575"/>
      <c r="B39" s="575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  <c r="U39" s="575"/>
      <c r="V39" s="575"/>
      <c r="W39" s="575"/>
      <c r="X39" s="575"/>
      <c r="Y39" s="575"/>
      <c r="Z39" s="575"/>
      <c r="AA39" s="575"/>
      <c r="AB39" s="575"/>
      <c r="AC39" s="575"/>
      <c r="AD39" s="575"/>
      <c r="AE39" s="575"/>
      <c r="AF39" s="575"/>
      <c r="AG39" s="575"/>
      <c r="AH39" s="575"/>
      <c r="AI39" s="575"/>
      <c r="AJ39" s="575"/>
      <c r="AK39" s="575"/>
      <c r="AL39" s="575"/>
      <c r="AM39" s="575"/>
      <c r="AN39" s="575"/>
      <c r="AO39" s="575"/>
      <c r="AP39" s="575"/>
      <c r="AQ39" s="575"/>
      <c r="AR39" s="575"/>
      <c r="AS39" s="575"/>
      <c r="AT39" s="575"/>
      <c r="AU39" s="575"/>
      <c r="AV39" s="575"/>
      <c r="AW39" s="575"/>
      <c r="AX39" s="575"/>
      <c r="AY39" s="575"/>
      <c r="AZ39" s="575"/>
      <c r="BA39" s="575"/>
      <c r="BB39" s="575"/>
      <c r="BC39" s="575"/>
      <c r="BD39" s="575"/>
      <c r="BE39" s="575"/>
      <c r="BF39" s="575"/>
      <c r="BG39" s="575"/>
      <c r="BH39" s="575"/>
      <c r="BI39" s="575"/>
      <c r="BJ39" s="575"/>
      <c r="BK39" s="575"/>
      <c r="BL39" s="575"/>
      <c r="BM39" s="575"/>
      <c r="BN39" s="575"/>
      <c r="BO39" s="575"/>
      <c r="BP39" s="575"/>
      <c r="BQ39" s="575"/>
      <c r="BR39" s="575"/>
      <c r="BS39" s="575"/>
      <c r="BT39" s="575"/>
      <c r="BU39" s="575"/>
      <c r="BV39" s="575"/>
      <c r="BW39" s="575"/>
      <c r="BX39" s="575"/>
      <c r="BY39" s="575"/>
      <c r="BZ39" s="575"/>
      <c r="CA39" s="575"/>
      <c r="CB39" s="575"/>
      <c r="CC39" s="575"/>
      <c r="CD39" s="575"/>
      <c r="CE39" s="575"/>
      <c r="CF39" s="575"/>
      <c r="CG39" s="575"/>
      <c r="CH39" s="575"/>
      <c r="CI39" s="575"/>
      <c r="CJ39" s="575"/>
      <c r="CK39" s="575"/>
      <c r="CL39" s="575"/>
      <c r="CM39" s="575"/>
      <c r="CN39" s="575"/>
      <c r="CO39" s="575"/>
      <c r="CP39" s="575"/>
      <c r="CQ39" s="575"/>
      <c r="CR39" s="575"/>
      <c r="CS39" s="575"/>
      <c r="CT39" s="575"/>
      <c r="CU39" s="575"/>
      <c r="CV39" s="575"/>
      <c r="CW39" s="575"/>
      <c r="CX39" s="575"/>
      <c r="CY39" s="575"/>
      <c r="CZ39" s="575"/>
      <c r="DA39" s="575"/>
      <c r="DB39" s="575"/>
      <c r="DC39" s="575"/>
      <c r="DD39" s="575"/>
      <c r="DE39" s="575"/>
      <c r="DF39" s="575"/>
      <c r="DG39" s="575"/>
      <c r="DH39" s="575"/>
      <c r="DI39" s="575"/>
      <c r="DJ39" s="575"/>
      <c r="DK39" s="575"/>
      <c r="DL39" s="575"/>
      <c r="DM39" s="575"/>
      <c r="DN39" s="575"/>
      <c r="DO39" s="575"/>
      <c r="DP39" s="575"/>
      <c r="DQ39" s="575"/>
      <c r="DR39" s="575"/>
      <c r="DS39" s="575"/>
      <c r="DT39" s="575"/>
      <c r="DU39" s="575"/>
      <c r="DV39" s="575"/>
      <c r="DW39" s="575"/>
      <c r="DX39" s="575"/>
      <c r="DY39" s="575"/>
      <c r="DZ39" s="575"/>
      <c r="EA39" s="575"/>
      <c r="EB39" s="575"/>
      <c r="EC39" s="575"/>
      <c r="ED39" s="575"/>
      <c r="EE39" s="575"/>
      <c r="EF39" s="575"/>
      <c r="EG39" s="575"/>
      <c r="EH39" s="575"/>
      <c r="EI39" s="575"/>
      <c r="EJ39" s="575"/>
      <c r="EK39" s="575"/>
      <c r="EL39" s="575"/>
      <c r="EM39" s="575"/>
      <c r="EN39" s="575"/>
      <c r="EO39" s="575"/>
      <c r="EP39" s="575"/>
      <c r="EQ39" s="575"/>
      <c r="ER39" s="575"/>
      <c r="ES39" s="575"/>
      <c r="ET39" s="480"/>
    </row>
    <row r="40" spans="1:150" ht="23.25" customHeight="1">
      <c r="A40" s="1949" t="s">
        <v>456</v>
      </c>
      <c r="B40" s="1949"/>
      <c r="C40" s="1949"/>
      <c r="D40" s="1949"/>
      <c r="E40" s="1949"/>
      <c r="F40" s="1949"/>
      <c r="G40" s="1949"/>
      <c r="H40" s="1949"/>
      <c r="I40" s="1949"/>
      <c r="J40" s="1949"/>
      <c r="K40" s="1949"/>
      <c r="L40" s="1949"/>
      <c r="M40" s="1949"/>
      <c r="N40" s="1949"/>
      <c r="O40" s="1949"/>
      <c r="P40" s="1949"/>
      <c r="Q40" s="1949"/>
      <c r="R40" s="1949"/>
      <c r="S40" s="1949"/>
      <c r="T40" s="1949"/>
      <c r="U40" s="1949"/>
      <c r="V40" s="1949"/>
      <c r="W40" s="1949"/>
      <c r="X40" s="1949"/>
      <c r="Y40" s="1949"/>
      <c r="Z40" s="1949"/>
      <c r="AA40" s="1949"/>
      <c r="AB40" s="1949"/>
      <c r="AC40" s="1949"/>
      <c r="AD40" s="1949"/>
      <c r="AE40" s="1949"/>
      <c r="AF40" s="1949"/>
      <c r="AG40" s="1949"/>
      <c r="AH40" s="1949"/>
      <c r="AI40" s="1949"/>
      <c r="AJ40" s="1949"/>
      <c r="AK40" s="1949"/>
      <c r="AL40" s="1949"/>
      <c r="AM40" s="1949"/>
      <c r="AN40" s="1949"/>
      <c r="AO40" s="1949"/>
      <c r="AP40" s="1949"/>
      <c r="AQ40" s="1949"/>
      <c r="AR40" s="1949"/>
      <c r="AS40" s="1949"/>
      <c r="AT40" s="1949"/>
      <c r="AU40" s="1949"/>
      <c r="AV40" s="1949"/>
      <c r="AW40" s="1949"/>
      <c r="AX40" s="1949"/>
      <c r="AY40" s="1949"/>
      <c r="AZ40" s="1949"/>
      <c r="BA40" s="1949"/>
      <c r="BB40" s="1949"/>
      <c r="BC40" s="1949"/>
      <c r="BD40" s="1949"/>
      <c r="BE40" s="1949"/>
      <c r="BF40" s="1949"/>
      <c r="BG40" s="1949"/>
      <c r="BH40" s="1949"/>
      <c r="BI40" s="1949"/>
      <c r="BJ40" s="1949"/>
      <c r="BK40" s="1949"/>
      <c r="BL40" s="1949"/>
      <c r="BM40" s="1949"/>
      <c r="BN40" s="1949"/>
      <c r="BO40" s="1949"/>
      <c r="BP40" s="1949"/>
      <c r="BQ40" s="1949"/>
      <c r="BR40" s="1949"/>
      <c r="BS40" s="1949"/>
      <c r="BT40" s="1949"/>
      <c r="BU40" s="1949"/>
      <c r="BV40" s="1949"/>
      <c r="BW40" s="1949"/>
      <c r="BX40" s="1949"/>
      <c r="BY40" s="1949"/>
      <c r="BZ40" s="1949"/>
      <c r="CA40" s="1949"/>
      <c r="CB40" s="1949"/>
      <c r="CC40" s="1949"/>
      <c r="CD40" s="1949"/>
      <c r="CE40" s="1949"/>
      <c r="CF40" s="1949"/>
      <c r="CG40" s="1949"/>
      <c r="CH40" s="1949"/>
      <c r="CI40" s="1949"/>
      <c r="CJ40" s="1949"/>
      <c r="CK40" s="1949"/>
      <c r="CL40" s="1949"/>
      <c r="CM40" s="1949"/>
      <c r="CN40" s="1949"/>
      <c r="CO40" s="1949"/>
      <c r="CP40" s="1949"/>
      <c r="CQ40" s="1949"/>
      <c r="CR40" s="1949"/>
      <c r="CS40" s="1949"/>
      <c r="CT40" s="1949"/>
      <c r="CU40" s="1949"/>
      <c r="CV40" s="1949"/>
      <c r="CW40" s="1949"/>
      <c r="CX40" s="1949"/>
      <c r="CY40" s="1949"/>
      <c r="CZ40" s="1949"/>
      <c r="DA40" s="1949"/>
      <c r="DB40" s="1949"/>
      <c r="DC40" s="1949"/>
      <c r="DD40" s="1949"/>
      <c r="DE40" s="1949"/>
      <c r="DF40" s="1949"/>
      <c r="DG40" s="1949"/>
      <c r="DH40" s="1949"/>
      <c r="DI40" s="1949"/>
      <c r="DJ40" s="1949"/>
      <c r="DK40" s="1949"/>
      <c r="DL40" s="1949"/>
      <c r="DM40" s="1949"/>
      <c r="DN40" s="1949"/>
      <c r="DO40" s="1949"/>
      <c r="DP40" s="1949"/>
      <c r="DQ40" s="1949"/>
      <c r="DR40" s="1949"/>
      <c r="DS40" s="1949"/>
      <c r="DT40" s="1949"/>
      <c r="DU40" s="1949"/>
      <c r="DV40" s="1949"/>
      <c r="DW40" s="1949"/>
      <c r="DX40" s="1949"/>
      <c r="DY40" s="1949"/>
      <c r="DZ40" s="1949"/>
      <c r="EA40" s="1949"/>
      <c r="EB40" s="1949"/>
      <c r="EC40" s="1949"/>
      <c r="ED40" s="1949"/>
      <c r="EE40" s="1949"/>
      <c r="EF40" s="1949"/>
      <c r="EG40" s="1949"/>
      <c r="EH40" s="1949"/>
      <c r="EI40" s="1949"/>
      <c r="EJ40" s="1949"/>
      <c r="EK40" s="1949"/>
      <c r="EL40" s="1949"/>
      <c r="EM40" s="1949"/>
      <c r="EN40" s="1949"/>
      <c r="EO40" s="1949"/>
      <c r="EP40" s="1949"/>
      <c r="EQ40" s="1949"/>
      <c r="ER40" s="1949"/>
      <c r="ES40" s="1949"/>
      <c r="ET40" s="480"/>
    </row>
    <row r="41" spans="1:150" ht="11.25" customHeight="1">
      <c r="A41" s="575"/>
      <c r="B41" s="575"/>
      <c r="C41" s="575"/>
      <c r="D41" s="575"/>
      <c r="E41" s="575"/>
      <c r="F41" s="575"/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  <c r="U41" s="575"/>
      <c r="V41" s="575"/>
      <c r="W41" s="575"/>
      <c r="X41" s="575"/>
      <c r="Y41" s="575"/>
      <c r="Z41" s="575"/>
      <c r="AA41" s="575"/>
      <c r="AB41" s="575"/>
      <c r="AC41" s="575"/>
      <c r="AD41" s="575"/>
      <c r="AE41" s="575"/>
      <c r="AF41" s="575"/>
      <c r="AG41" s="575"/>
      <c r="AH41" s="575"/>
      <c r="AI41" s="575"/>
      <c r="AJ41" s="575"/>
      <c r="AK41" s="575"/>
      <c r="AL41" s="575"/>
      <c r="AM41" s="575"/>
      <c r="AN41" s="575"/>
      <c r="AO41" s="575"/>
      <c r="AP41" s="575"/>
      <c r="AQ41" s="575"/>
      <c r="AR41" s="575"/>
      <c r="AS41" s="575"/>
      <c r="AT41" s="575"/>
      <c r="AU41" s="578"/>
      <c r="AV41" s="575"/>
      <c r="AW41" s="575"/>
      <c r="AX41" s="575"/>
      <c r="AY41" s="575"/>
      <c r="AZ41" s="575"/>
      <c r="BA41" s="575"/>
      <c r="BB41" s="575"/>
      <c r="BC41" s="575"/>
      <c r="BD41" s="575"/>
      <c r="BE41" s="575"/>
      <c r="BF41" s="575"/>
      <c r="BG41" s="575"/>
      <c r="BH41" s="575"/>
      <c r="BI41" s="575"/>
      <c r="BJ41" s="575"/>
      <c r="BK41" s="575"/>
      <c r="BL41" s="575"/>
      <c r="BM41" s="575"/>
      <c r="BN41" s="575"/>
      <c r="BO41" s="575"/>
      <c r="BP41" s="575"/>
      <c r="BQ41" s="575"/>
      <c r="BR41" s="575"/>
      <c r="BS41" s="575"/>
      <c r="BT41" s="575"/>
      <c r="BU41" s="575"/>
      <c r="BV41" s="575"/>
      <c r="BW41" s="575"/>
      <c r="BX41" s="575"/>
      <c r="BY41" s="575"/>
      <c r="BZ41" s="575"/>
      <c r="CA41" s="575"/>
      <c r="CB41" s="575"/>
      <c r="CC41" s="575"/>
      <c r="CD41" s="575"/>
      <c r="CE41" s="575"/>
      <c r="CF41" s="575"/>
      <c r="CG41" s="575"/>
      <c r="CH41" s="575"/>
      <c r="CI41" s="575"/>
      <c r="CJ41" s="575"/>
      <c r="CK41" s="575"/>
      <c r="CL41" s="575"/>
      <c r="CM41" s="575"/>
      <c r="CN41" s="575"/>
      <c r="CO41" s="575"/>
      <c r="CP41" s="575"/>
      <c r="CQ41" s="575"/>
      <c r="CR41" s="575"/>
      <c r="CS41" s="575"/>
      <c r="CT41" s="575"/>
      <c r="CU41" s="575"/>
      <c r="CV41" s="575"/>
      <c r="CW41" s="575"/>
      <c r="CX41" s="575"/>
      <c r="CY41" s="575"/>
      <c r="CZ41" s="575"/>
      <c r="DA41" s="575"/>
      <c r="DB41" s="575"/>
      <c r="DC41" s="575"/>
      <c r="DD41" s="575"/>
      <c r="DE41" s="575"/>
      <c r="DF41" s="575"/>
      <c r="DG41" s="575"/>
      <c r="DH41" s="575"/>
      <c r="DI41" s="575"/>
      <c r="DJ41" s="575"/>
      <c r="DK41" s="575"/>
      <c r="DL41" s="575"/>
      <c r="DM41" s="575"/>
      <c r="DN41" s="575"/>
      <c r="DO41" s="575"/>
      <c r="DP41" s="575"/>
      <c r="DQ41" s="575"/>
      <c r="DR41" s="575"/>
      <c r="DS41" s="575"/>
      <c r="DT41" s="575"/>
      <c r="DU41" s="575"/>
      <c r="DV41" s="575"/>
      <c r="DW41" s="575"/>
      <c r="DX41" s="575"/>
      <c r="DY41" s="575"/>
      <c r="DZ41" s="575"/>
      <c r="EA41" s="575"/>
      <c r="EB41" s="575"/>
      <c r="EC41" s="575"/>
      <c r="ED41" s="575"/>
      <c r="EE41" s="575"/>
      <c r="EF41" s="575"/>
      <c r="EG41" s="575"/>
      <c r="EH41" s="575"/>
      <c r="EI41" s="575"/>
      <c r="EJ41" s="575"/>
      <c r="EK41" s="575"/>
      <c r="EL41" s="575"/>
      <c r="EM41" s="575"/>
      <c r="EN41" s="575"/>
      <c r="EO41" s="575"/>
      <c r="EP41" s="575"/>
      <c r="EQ41" s="575"/>
      <c r="ER41" s="575"/>
      <c r="ES41" s="575"/>
      <c r="ET41" s="480"/>
    </row>
    <row r="42" spans="1:150" ht="11.25" customHeight="1">
      <c r="A42" s="1898" t="s">
        <v>457</v>
      </c>
      <c r="B42" s="1898"/>
      <c r="C42" s="1898"/>
      <c r="D42" s="1898"/>
      <c r="E42" s="1898"/>
      <c r="F42" s="1898"/>
      <c r="G42" s="1898"/>
      <c r="H42" s="1898"/>
      <c r="I42" s="1898"/>
      <c r="J42" s="1898"/>
      <c r="K42" s="1898"/>
      <c r="L42" s="1898"/>
      <c r="M42" s="1898"/>
      <c r="N42" s="1898"/>
      <c r="O42" s="1898"/>
      <c r="P42" s="1898"/>
      <c r="Q42" s="1898"/>
      <c r="R42" s="1898"/>
      <c r="S42" s="1898"/>
      <c r="T42" s="1898"/>
      <c r="U42" s="1898"/>
      <c r="V42" s="1898"/>
      <c r="W42" s="1898"/>
      <c r="X42" s="1898"/>
      <c r="Y42" s="1898"/>
      <c r="Z42" s="575"/>
      <c r="AA42" s="1953" t="s">
        <v>291</v>
      </c>
      <c r="AB42" s="1953"/>
      <c r="AC42" s="1953"/>
      <c r="AD42" s="1953"/>
      <c r="AE42" s="1953"/>
      <c r="AF42" s="1953"/>
      <c r="AG42" s="1953"/>
      <c r="AH42" s="1953"/>
      <c r="AI42" s="1953"/>
      <c r="AJ42" s="1953"/>
      <c r="AK42" s="1953"/>
      <c r="AL42" s="1953"/>
      <c r="AM42" s="1953"/>
      <c r="AN42" s="1953"/>
      <c r="AO42" s="1953"/>
      <c r="AP42" s="1953"/>
      <c r="AQ42" s="1953"/>
      <c r="AR42" s="1953"/>
      <c r="AS42" s="1953"/>
      <c r="AT42" s="1953"/>
      <c r="AU42" s="1953"/>
      <c r="AV42" s="1953"/>
      <c r="AW42" s="1953"/>
      <c r="AX42" s="1953"/>
      <c r="AY42" s="1953"/>
      <c r="AZ42" s="1953"/>
      <c r="BA42" s="1953"/>
      <c r="BB42" s="1953"/>
      <c r="BC42" s="1953"/>
      <c r="BD42" s="1953"/>
      <c r="BE42" s="1953"/>
      <c r="BF42" s="1953"/>
      <c r="BG42" s="575"/>
      <c r="BH42" s="575"/>
      <c r="BI42" s="575"/>
      <c r="BJ42" s="575"/>
      <c r="BK42" s="575"/>
      <c r="BL42" s="575"/>
      <c r="BM42" s="575"/>
      <c r="BN42" s="575"/>
      <c r="BO42" s="575"/>
      <c r="BP42" s="575"/>
      <c r="BQ42" s="575"/>
      <c r="BR42" s="575"/>
      <c r="BS42" s="575"/>
      <c r="BT42" s="575"/>
      <c r="BU42" s="575"/>
      <c r="BV42" s="1897"/>
      <c r="BW42" s="1897"/>
      <c r="BX42" s="1897"/>
      <c r="BY42" s="1897"/>
      <c r="BZ42" s="1897"/>
      <c r="CA42" s="1897"/>
      <c r="CB42" s="1897"/>
      <c r="CC42" s="1897"/>
      <c r="CD42" s="1897"/>
      <c r="CE42" s="1897"/>
      <c r="CF42" s="1897"/>
      <c r="CG42" s="1897"/>
      <c r="CH42" s="1897"/>
      <c r="CI42" s="1897"/>
      <c r="CJ42" s="1897"/>
      <c r="CK42" s="1897"/>
      <c r="CL42" s="1897"/>
      <c r="CM42" s="1897"/>
      <c r="CN42" s="1897"/>
      <c r="CO42" s="1897"/>
      <c r="CP42" s="1897"/>
      <c r="CQ42" s="1897"/>
      <c r="CR42" s="1897"/>
      <c r="CS42" s="1897"/>
      <c r="CT42" s="1897"/>
      <c r="CU42" s="575"/>
      <c r="CV42" s="575"/>
      <c r="CW42" s="575"/>
      <c r="CX42" s="575"/>
      <c r="CY42" s="575"/>
      <c r="CZ42" s="575"/>
      <c r="DA42" s="575"/>
      <c r="DB42" s="575"/>
      <c r="DC42" s="575"/>
      <c r="DD42" s="575"/>
      <c r="DE42" s="575"/>
      <c r="DF42" s="575"/>
      <c r="DG42" s="575"/>
      <c r="DH42" s="575"/>
      <c r="DI42" s="575"/>
      <c r="DJ42" s="1954" t="str">
        <f>BA30</f>
        <v>МОЛ</v>
      </c>
      <c r="DK42" s="1954"/>
      <c r="DL42" s="1954"/>
      <c r="DM42" s="1954"/>
      <c r="DN42" s="1954"/>
      <c r="DO42" s="1954"/>
      <c r="DP42" s="1954"/>
      <c r="DQ42" s="1954"/>
      <c r="DR42" s="1954"/>
      <c r="DS42" s="1954"/>
      <c r="DT42" s="1954"/>
      <c r="DU42" s="1954"/>
      <c r="DV42" s="1954"/>
      <c r="DW42" s="1954"/>
      <c r="DX42" s="1954"/>
      <c r="DY42" s="1954"/>
      <c r="DZ42" s="1954"/>
      <c r="EA42" s="1954"/>
      <c r="EB42" s="1954"/>
      <c r="EC42" s="1954"/>
      <c r="ED42" s="1954"/>
      <c r="EE42" s="1954"/>
      <c r="EF42" s="1954"/>
      <c r="EG42" s="1954"/>
      <c r="EH42" s="1954"/>
      <c r="EI42" s="1954"/>
      <c r="EJ42" s="1954"/>
      <c r="EK42" s="1954"/>
      <c r="EL42" s="1954"/>
      <c r="EM42" s="1954"/>
      <c r="EN42" s="1954"/>
      <c r="EO42" s="1954"/>
      <c r="EP42" s="1954"/>
      <c r="EQ42" s="1954"/>
      <c r="ER42" s="1954"/>
      <c r="ES42" s="1954"/>
      <c r="ET42" s="480"/>
    </row>
    <row r="43" spans="1:150" ht="11.25" customHeight="1">
      <c r="A43" s="1898" t="s">
        <v>458</v>
      </c>
      <c r="B43" s="1898"/>
      <c r="C43" s="1898"/>
      <c r="D43" s="1898"/>
      <c r="E43" s="1898"/>
      <c r="F43" s="1898"/>
      <c r="G43" s="1898"/>
      <c r="H43" s="1898"/>
      <c r="I43" s="1898"/>
      <c r="J43" s="1898"/>
      <c r="K43" s="1898"/>
      <c r="L43" s="1898"/>
      <c r="M43" s="1898"/>
      <c r="N43" s="1898"/>
      <c r="O43" s="1898"/>
      <c r="P43" s="1898"/>
      <c r="Q43" s="1898"/>
      <c r="R43" s="1898"/>
      <c r="S43" s="1898"/>
      <c r="T43" s="1898"/>
      <c r="U43" s="1898"/>
      <c r="V43" s="1898"/>
      <c r="W43" s="1898"/>
      <c r="X43" s="1898"/>
      <c r="Y43" s="1898"/>
      <c r="Z43" s="575"/>
      <c r="AA43" s="1945" t="s">
        <v>183</v>
      </c>
      <c r="AB43" s="1945"/>
      <c r="AC43" s="1945"/>
      <c r="AD43" s="1945"/>
      <c r="AE43" s="1945"/>
      <c r="AF43" s="1945"/>
      <c r="AG43" s="1945"/>
      <c r="AH43" s="1945"/>
      <c r="AI43" s="1945"/>
      <c r="AJ43" s="1945"/>
      <c r="AK43" s="1945"/>
      <c r="AL43" s="1945"/>
      <c r="AM43" s="1945"/>
      <c r="AN43" s="1945"/>
      <c r="AO43" s="1945"/>
      <c r="AP43" s="1945"/>
      <c r="AQ43" s="1945"/>
      <c r="AR43" s="1945"/>
      <c r="AS43" s="1945"/>
      <c r="AT43" s="1945"/>
      <c r="AU43" s="1945"/>
      <c r="AV43" s="1945"/>
      <c r="AW43" s="1945"/>
      <c r="AX43" s="1945"/>
      <c r="AY43" s="1945"/>
      <c r="AZ43" s="1945"/>
      <c r="BA43" s="1945"/>
      <c r="BB43" s="1945"/>
      <c r="BC43" s="1945"/>
      <c r="BD43" s="1945"/>
      <c r="BE43" s="1945"/>
      <c r="BF43" s="1945"/>
      <c r="BG43" s="575"/>
      <c r="BH43" s="575"/>
      <c r="BI43" s="575"/>
      <c r="BJ43" s="575"/>
      <c r="BK43" s="575"/>
      <c r="BL43" s="575"/>
      <c r="BM43" s="575"/>
      <c r="BN43" s="575"/>
      <c r="BO43" s="575"/>
      <c r="BP43" s="575"/>
      <c r="BQ43" s="575"/>
      <c r="BR43" s="575"/>
      <c r="BS43" s="575"/>
      <c r="BT43" s="575"/>
      <c r="BU43" s="575"/>
      <c r="BV43" s="1945" t="s">
        <v>80</v>
      </c>
      <c r="BW43" s="1945"/>
      <c r="BX43" s="1945"/>
      <c r="BY43" s="1945"/>
      <c r="BZ43" s="1945"/>
      <c r="CA43" s="1945"/>
      <c r="CB43" s="1945"/>
      <c r="CC43" s="1945"/>
      <c r="CD43" s="1945"/>
      <c r="CE43" s="1945"/>
      <c r="CF43" s="1945"/>
      <c r="CG43" s="1945"/>
      <c r="CH43" s="1945"/>
      <c r="CI43" s="1945"/>
      <c r="CJ43" s="1945"/>
      <c r="CK43" s="1945"/>
      <c r="CL43" s="1945"/>
      <c r="CM43" s="1945"/>
      <c r="CN43" s="1945"/>
      <c r="CO43" s="1945"/>
      <c r="CP43" s="1945"/>
      <c r="CQ43" s="1945"/>
      <c r="CR43" s="1945"/>
      <c r="CS43" s="1945"/>
      <c r="CT43" s="1945"/>
      <c r="CU43" s="575"/>
      <c r="CV43" s="575"/>
      <c r="CW43" s="575"/>
      <c r="CX43" s="575"/>
      <c r="CY43" s="575"/>
      <c r="CZ43" s="575"/>
      <c r="DA43" s="575"/>
      <c r="DB43" s="575"/>
      <c r="DC43" s="575"/>
      <c r="DD43" s="575"/>
      <c r="DE43" s="575"/>
      <c r="DF43" s="575"/>
      <c r="DG43" s="575"/>
      <c r="DH43" s="575"/>
      <c r="DI43" s="575"/>
      <c r="DJ43" s="1945" t="s">
        <v>182</v>
      </c>
      <c r="DK43" s="1945"/>
      <c r="DL43" s="1945"/>
      <c r="DM43" s="1945"/>
      <c r="DN43" s="1945"/>
      <c r="DO43" s="1945"/>
      <c r="DP43" s="1945"/>
      <c r="DQ43" s="1945"/>
      <c r="DR43" s="1945"/>
      <c r="DS43" s="1945"/>
      <c r="DT43" s="1945"/>
      <c r="DU43" s="1945"/>
      <c r="DV43" s="1945"/>
      <c r="DW43" s="1945"/>
      <c r="DX43" s="1945"/>
      <c r="DY43" s="1945"/>
      <c r="DZ43" s="1945"/>
      <c r="EA43" s="1945"/>
      <c r="EB43" s="1945"/>
      <c r="EC43" s="1945"/>
      <c r="ED43" s="1945"/>
      <c r="EE43" s="1945"/>
      <c r="EF43" s="1945"/>
      <c r="EG43" s="1945"/>
      <c r="EH43" s="1945"/>
      <c r="EI43" s="1945"/>
      <c r="EJ43" s="1945"/>
      <c r="EK43" s="1945"/>
      <c r="EL43" s="1945"/>
      <c r="EM43" s="1945"/>
      <c r="EN43" s="1945"/>
      <c r="EO43" s="1945"/>
      <c r="EP43" s="1945"/>
      <c r="EQ43" s="1945"/>
      <c r="ER43" s="1945"/>
      <c r="ES43" s="1945"/>
      <c r="ET43" s="480"/>
    </row>
    <row r="44" spans="1:150" ht="3.2" customHeight="1">
      <c r="A44" s="575"/>
      <c r="B44" s="575"/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  <c r="U44" s="575"/>
      <c r="V44" s="575"/>
      <c r="W44" s="575"/>
      <c r="X44" s="575"/>
      <c r="Y44" s="575"/>
      <c r="Z44" s="575"/>
      <c r="AA44" s="575"/>
      <c r="AB44" s="575"/>
      <c r="AC44" s="575"/>
      <c r="AD44" s="575"/>
      <c r="AE44" s="575"/>
      <c r="AF44" s="575"/>
      <c r="AG44" s="575"/>
      <c r="AH44" s="575"/>
      <c r="AI44" s="575"/>
      <c r="AJ44" s="575"/>
      <c r="AK44" s="575"/>
      <c r="AL44" s="575"/>
      <c r="AM44" s="575"/>
      <c r="AN44" s="575"/>
      <c r="AO44" s="575"/>
      <c r="AP44" s="575"/>
      <c r="AQ44" s="575"/>
      <c r="AR44" s="575"/>
      <c r="AS44" s="575"/>
      <c r="AT44" s="575"/>
      <c r="AU44" s="575"/>
      <c r="AV44" s="575"/>
      <c r="AW44" s="575"/>
      <c r="AX44" s="575"/>
      <c r="AY44" s="575"/>
      <c r="AZ44" s="575"/>
      <c r="BA44" s="575"/>
      <c r="BB44" s="575"/>
      <c r="BC44" s="575"/>
      <c r="BD44" s="575"/>
      <c r="BE44" s="575"/>
      <c r="BF44" s="575"/>
      <c r="BG44" s="575"/>
      <c r="BH44" s="575"/>
      <c r="BI44" s="575"/>
      <c r="BJ44" s="575"/>
      <c r="BK44" s="575"/>
      <c r="BL44" s="575"/>
      <c r="BM44" s="575"/>
      <c r="BN44" s="575"/>
      <c r="BO44" s="575"/>
      <c r="BP44" s="575"/>
      <c r="BQ44" s="575"/>
      <c r="BR44" s="575"/>
      <c r="BS44" s="575"/>
      <c r="BT44" s="575"/>
      <c r="BU44" s="575"/>
      <c r="BV44" s="575"/>
      <c r="BW44" s="575"/>
      <c r="BX44" s="575"/>
      <c r="BY44" s="575"/>
      <c r="BZ44" s="575"/>
      <c r="CA44" s="575"/>
      <c r="CB44" s="575"/>
      <c r="CC44" s="575"/>
      <c r="CD44" s="575"/>
      <c r="CE44" s="575"/>
      <c r="CF44" s="575"/>
      <c r="CG44" s="575"/>
      <c r="CH44" s="575"/>
      <c r="CI44" s="575"/>
      <c r="CJ44" s="575"/>
      <c r="CK44" s="575"/>
      <c r="CL44" s="575"/>
      <c r="CM44" s="575"/>
      <c r="CN44" s="575"/>
      <c r="CO44" s="575"/>
      <c r="CP44" s="575"/>
      <c r="CQ44" s="575"/>
      <c r="CR44" s="575"/>
      <c r="CS44" s="575"/>
      <c r="CT44" s="575"/>
      <c r="CU44" s="575"/>
      <c r="CV44" s="575"/>
      <c r="CW44" s="575"/>
      <c r="CX44" s="575"/>
      <c r="CY44" s="575"/>
      <c r="CZ44" s="575"/>
      <c r="DA44" s="575"/>
      <c r="DB44" s="575"/>
      <c r="DC44" s="575"/>
      <c r="DD44" s="575"/>
      <c r="DE44" s="575"/>
      <c r="DF44" s="575"/>
      <c r="DG44" s="575"/>
      <c r="DH44" s="575"/>
      <c r="DI44" s="575"/>
      <c r="DJ44" s="575"/>
      <c r="DK44" s="575"/>
      <c r="DL44" s="575"/>
      <c r="DM44" s="575"/>
      <c r="DN44" s="575"/>
      <c r="DO44" s="575"/>
      <c r="DP44" s="575"/>
      <c r="DQ44" s="575"/>
      <c r="DR44" s="575"/>
      <c r="DS44" s="575"/>
      <c r="DT44" s="575"/>
      <c r="DU44" s="575"/>
      <c r="DV44" s="575"/>
      <c r="DW44" s="575"/>
      <c r="DX44" s="575"/>
      <c r="DY44" s="575"/>
      <c r="DZ44" s="575"/>
      <c r="EA44" s="575"/>
      <c r="EB44" s="575"/>
      <c r="EC44" s="575"/>
      <c r="ED44" s="575"/>
      <c r="EE44" s="575"/>
      <c r="EF44" s="575"/>
      <c r="EG44" s="575"/>
      <c r="EH44" s="575"/>
      <c r="EI44" s="575"/>
      <c r="EJ44" s="575"/>
      <c r="EK44" s="575"/>
      <c r="EL44" s="575"/>
      <c r="EM44" s="575"/>
      <c r="EN44" s="575"/>
      <c r="EO44" s="575"/>
      <c r="EP44" s="575"/>
      <c r="EQ44" s="575"/>
      <c r="ER44" s="575"/>
      <c r="ES44" s="575"/>
      <c r="ET44" s="480"/>
    </row>
    <row r="45" spans="1:150" ht="11.25" customHeight="1">
      <c r="A45" s="575"/>
      <c r="B45" s="575"/>
      <c r="C45" s="575"/>
      <c r="D45" s="575"/>
      <c r="E45" s="575"/>
      <c r="F45" s="575"/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  <c r="U45" s="575"/>
      <c r="V45" s="575"/>
      <c r="W45" s="575"/>
      <c r="X45" s="575"/>
      <c r="Y45" s="575"/>
      <c r="Z45" s="575"/>
      <c r="AA45" s="1897"/>
      <c r="AB45" s="1897"/>
      <c r="AC45" s="1897"/>
      <c r="AD45" s="1897"/>
      <c r="AE45" s="1897"/>
      <c r="AF45" s="1897"/>
      <c r="AG45" s="1897"/>
      <c r="AH45" s="1897"/>
      <c r="AI45" s="1897"/>
      <c r="AJ45" s="1897"/>
      <c r="AK45" s="1897"/>
      <c r="AL45" s="1897"/>
      <c r="AM45" s="1897"/>
      <c r="AN45" s="1897"/>
      <c r="AO45" s="1897"/>
      <c r="AP45" s="1897"/>
      <c r="AQ45" s="1897"/>
      <c r="AR45" s="1897"/>
      <c r="AS45" s="1897"/>
      <c r="AT45" s="1897"/>
      <c r="AU45" s="1897"/>
      <c r="AV45" s="1897"/>
      <c r="AW45" s="1897"/>
      <c r="AX45" s="1897"/>
      <c r="AY45" s="1897"/>
      <c r="AZ45" s="1897"/>
      <c r="BA45" s="1897"/>
      <c r="BB45" s="1897"/>
      <c r="BC45" s="1897"/>
      <c r="BD45" s="1897"/>
      <c r="BE45" s="1897"/>
      <c r="BF45" s="1897"/>
      <c r="BG45" s="575"/>
      <c r="BH45" s="575"/>
      <c r="BI45" s="575"/>
      <c r="BJ45" s="575"/>
      <c r="BK45" s="575"/>
      <c r="BL45" s="575"/>
      <c r="BM45" s="575"/>
      <c r="BN45" s="575"/>
      <c r="BO45" s="575"/>
      <c r="BP45" s="575"/>
      <c r="BQ45" s="575"/>
      <c r="BR45" s="575"/>
      <c r="BS45" s="575"/>
      <c r="BT45" s="575"/>
      <c r="BU45" s="575"/>
      <c r="BV45" s="1897"/>
      <c r="BW45" s="1897"/>
      <c r="BX45" s="1897"/>
      <c r="BY45" s="1897"/>
      <c r="BZ45" s="1897"/>
      <c r="CA45" s="1897"/>
      <c r="CB45" s="1897"/>
      <c r="CC45" s="1897"/>
      <c r="CD45" s="1897"/>
      <c r="CE45" s="1897"/>
      <c r="CF45" s="1897"/>
      <c r="CG45" s="1897"/>
      <c r="CH45" s="1897"/>
      <c r="CI45" s="1897"/>
      <c r="CJ45" s="1897"/>
      <c r="CK45" s="1897"/>
      <c r="CL45" s="1897"/>
      <c r="CM45" s="1897"/>
      <c r="CN45" s="1897"/>
      <c r="CO45" s="1897"/>
      <c r="CP45" s="1897"/>
      <c r="CQ45" s="1897"/>
      <c r="CR45" s="1897"/>
      <c r="CS45" s="1897"/>
      <c r="CT45" s="1897"/>
      <c r="CU45" s="575"/>
      <c r="CV45" s="575"/>
      <c r="CW45" s="575"/>
      <c r="CX45" s="575"/>
      <c r="CY45" s="575"/>
      <c r="CZ45" s="575"/>
      <c r="DA45" s="575"/>
      <c r="DB45" s="575"/>
      <c r="DC45" s="575"/>
      <c r="DD45" s="575"/>
      <c r="DE45" s="575"/>
      <c r="DF45" s="575"/>
      <c r="DG45" s="575"/>
      <c r="DH45" s="575"/>
      <c r="DI45" s="575"/>
      <c r="DJ45" s="1897"/>
      <c r="DK45" s="1897"/>
      <c r="DL45" s="1897"/>
      <c r="DM45" s="1897"/>
      <c r="DN45" s="1897"/>
      <c r="DO45" s="1897"/>
      <c r="DP45" s="1897"/>
      <c r="DQ45" s="1897"/>
      <c r="DR45" s="1897"/>
      <c r="DS45" s="1897"/>
      <c r="DT45" s="1897"/>
      <c r="DU45" s="1897"/>
      <c r="DV45" s="1897"/>
      <c r="DW45" s="1897"/>
      <c r="DX45" s="1897"/>
      <c r="DY45" s="1897"/>
      <c r="DZ45" s="1897"/>
      <c r="EA45" s="1897"/>
      <c r="EB45" s="1897"/>
      <c r="EC45" s="1897"/>
      <c r="ED45" s="1897"/>
      <c r="EE45" s="1897"/>
      <c r="EF45" s="1897"/>
      <c r="EG45" s="1897"/>
      <c r="EH45" s="1897"/>
      <c r="EI45" s="1897"/>
      <c r="EJ45" s="1897"/>
      <c r="EK45" s="1897"/>
      <c r="EL45" s="1897"/>
      <c r="EM45" s="1897"/>
      <c r="EN45" s="1897"/>
      <c r="EO45" s="1897"/>
      <c r="EP45" s="1897"/>
      <c r="EQ45" s="1897"/>
      <c r="ER45" s="1897"/>
      <c r="ES45" s="1897"/>
      <c r="ET45" s="480"/>
    </row>
    <row r="46" spans="1:150" ht="3.2" customHeight="1">
      <c r="A46" s="575"/>
      <c r="B46" s="575"/>
      <c r="C46" s="575"/>
      <c r="D46" s="575"/>
      <c r="E46" s="575"/>
      <c r="F46" s="575"/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  <c r="R46" s="575"/>
      <c r="S46" s="575"/>
      <c r="T46" s="575"/>
      <c r="U46" s="575"/>
      <c r="V46" s="575"/>
      <c r="W46" s="575"/>
      <c r="X46" s="575"/>
      <c r="Y46" s="575"/>
      <c r="Z46" s="575"/>
      <c r="AA46" s="575"/>
      <c r="AB46" s="575"/>
      <c r="AC46" s="575"/>
      <c r="AD46" s="575"/>
      <c r="AE46" s="575"/>
      <c r="AF46" s="575"/>
      <c r="AG46" s="575"/>
      <c r="AH46" s="575"/>
      <c r="AI46" s="575"/>
      <c r="AJ46" s="575"/>
      <c r="AK46" s="575"/>
      <c r="AL46" s="575"/>
      <c r="AM46" s="575"/>
      <c r="AN46" s="575"/>
      <c r="AO46" s="575"/>
      <c r="AP46" s="575"/>
      <c r="AQ46" s="575"/>
      <c r="AR46" s="575"/>
      <c r="AS46" s="575"/>
      <c r="AT46" s="575"/>
      <c r="AU46" s="575"/>
      <c r="AV46" s="575"/>
      <c r="AW46" s="575"/>
      <c r="AX46" s="575"/>
      <c r="AY46" s="575"/>
      <c r="AZ46" s="575"/>
      <c r="BA46" s="575"/>
      <c r="BB46" s="575"/>
      <c r="BC46" s="575"/>
      <c r="BD46" s="575"/>
      <c r="BE46" s="575"/>
      <c r="BF46" s="575"/>
      <c r="BG46" s="575"/>
      <c r="BH46" s="575"/>
      <c r="BI46" s="575"/>
      <c r="BJ46" s="575"/>
      <c r="BK46" s="575"/>
      <c r="BL46" s="575"/>
      <c r="BM46" s="575"/>
      <c r="BN46" s="575"/>
      <c r="BO46" s="575"/>
      <c r="BP46" s="575"/>
      <c r="BQ46" s="575"/>
      <c r="BR46" s="575"/>
      <c r="BS46" s="575"/>
      <c r="BT46" s="575"/>
      <c r="BU46" s="575"/>
      <c r="BV46" s="575"/>
      <c r="BW46" s="575"/>
      <c r="BX46" s="575"/>
      <c r="BY46" s="575"/>
      <c r="BZ46" s="575"/>
      <c r="CA46" s="575"/>
      <c r="CB46" s="575"/>
      <c r="CC46" s="575"/>
      <c r="CD46" s="575"/>
      <c r="CE46" s="575"/>
      <c r="CF46" s="575"/>
      <c r="CG46" s="575"/>
      <c r="CH46" s="575"/>
      <c r="CI46" s="575"/>
      <c r="CJ46" s="575"/>
      <c r="CK46" s="575"/>
      <c r="CL46" s="575"/>
      <c r="CM46" s="575"/>
      <c r="CN46" s="575"/>
      <c r="CO46" s="575"/>
      <c r="CP46" s="575"/>
      <c r="CQ46" s="575"/>
      <c r="CR46" s="575"/>
      <c r="CS46" s="575"/>
      <c r="CT46" s="575"/>
      <c r="CU46" s="575"/>
      <c r="CV46" s="575"/>
      <c r="CW46" s="575"/>
      <c r="CX46" s="575"/>
      <c r="CY46" s="575"/>
      <c r="CZ46" s="575"/>
      <c r="DA46" s="575"/>
      <c r="DB46" s="575"/>
      <c r="DC46" s="575"/>
      <c r="DD46" s="575"/>
      <c r="DE46" s="575"/>
      <c r="DF46" s="575"/>
      <c r="DG46" s="575"/>
      <c r="DH46" s="575"/>
      <c r="DI46" s="575"/>
      <c r="DJ46" s="575"/>
      <c r="DK46" s="575"/>
      <c r="DL46" s="575"/>
      <c r="DM46" s="575"/>
      <c r="DN46" s="575"/>
      <c r="DO46" s="575"/>
      <c r="DP46" s="575"/>
      <c r="DQ46" s="575"/>
      <c r="DR46" s="575"/>
      <c r="DS46" s="575"/>
      <c r="DT46" s="575"/>
      <c r="DU46" s="575"/>
      <c r="DV46" s="575"/>
      <c r="DW46" s="575"/>
      <c r="DX46" s="575"/>
      <c r="DY46" s="575"/>
      <c r="DZ46" s="575"/>
      <c r="EA46" s="575"/>
      <c r="EB46" s="575"/>
      <c r="EC46" s="575"/>
      <c r="ED46" s="575"/>
      <c r="EE46" s="575"/>
      <c r="EF46" s="575"/>
      <c r="EG46" s="575"/>
      <c r="EH46" s="575"/>
      <c r="EI46" s="575"/>
      <c r="EJ46" s="575"/>
      <c r="EK46" s="575"/>
      <c r="EL46" s="575"/>
      <c r="EM46" s="575"/>
      <c r="EN46" s="575"/>
      <c r="EO46" s="575"/>
      <c r="EP46" s="575"/>
      <c r="EQ46" s="575"/>
      <c r="ER46" s="575"/>
      <c r="ES46" s="575"/>
      <c r="ET46" s="480"/>
    </row>
    <row r="47" spans="1:150" ht="11.25" customHeight="1">
      <c r="A47" s="575"/>
      <c r="B47" s="575"/>
      <c r="C47" s="575"/>
      <c r="D47" s="575"/>
      <c r="E47" s="575"/>
      <c r="F47" s="575"/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  <c r="R47" s="575"/>
      <c r="S47" s="575"/>
      <c r="T47" s="575"/>
      <c r="U47" s="575"/>
      <c r="V47" s="575"/>
      <c r="W47" s="575"/>
      <c r="X47" s="575"/>
      <c r="Y47" s="575"/>
      <c r="Z47" s="575"/>
      <c r="AA47" s="1897"/>
      <c r="AB47" s="1897"/>
      <c r="AC47" s="1897"/>
      <c r="AD47" s="1897"/>
      <c r="AE47" s="1897"/>
      <c r="AF47" s="1897"/>
      <c r="AG47" s="1897"/>
      <c r="AH47" s="1897"/>
      <c r="AI47" s="1897"/>
      <c r="AJ47" s="1897"/>
      <c r="AK47" s="1897"/>
      <c r="AL47" s="1897"/>
      <c r="AM47" s="1897"/>
      <c r="AN47" s="1897"/>
      <c r="AO47" s="1897"/>
      <c r="AP47" s="1897"/>
      <c r="AQ47" s="1897"/>
      <c r="AR47" s="1897"/>
      <c r="AS47" s="1897"/>
      <c r="AT47" s="1897"/>
      <c r="AU47" s="1897"/>
      <c r="AV47" s="1897"/>
      <c r="AW47" s="1897"/>
      <c r="AX47" s="1897"/>
      <c r="AY47" s="1897"/>
      <c r="AZ47" s="1897"/>
      <c r="BA47" s="1897"/>
      <c r="BB47" s="1897"/>
      <c r="BC47" s="1897"/>
      <c r="BD47" s="1897"/>
      <c r="BE47" s="1897"/>
      <c r="BF47" s="1897"/>
      <c r="BG47" s="575"/>
      <c r="BH47" s="575"/>
      <c r="BI47" s="575"/>
      <c r="BJ47" s="575"/>
      <c r="BK47" s="575"/>
      <c r="BL47" s="575"/>
      <c r="BM47" s="575"/>
      <c r="BN47" s="575"/>
      <c r="BO47" s="575"/>
      <c r="BP47" s="575"/>
      <c r="BQ47" s="575"/>
      <c r="BR47" s="575"/>
      <c r="BS47" s="575"/>
      <c r="BT47" s="575"/>
      <c r="BU47" s="575"/>
      <c r="BV47" s="1897"/>
      <c r="BW47" s="1897"/>
      <c r="BX47" s="1897"/>
      <c r="BY47" s="1897"/>
      <c r="BZ47" s="1897"/>
      <c r="CA47" s="1897"/>
      <c r="CB47" s="1897"/>
      <c r="CC47" s="1897"/>
      <c r="CD47" s="1897"/>
      <c r="CE47" s="1897"/>
      <c r="CF47" s="1897"/>
      <c r="CG47" s="1897"/>
      <c r="CH47" s="1897"/>
      <c r="CI47" s="1897"/>
      <c r="CJ47" s="1897"/>
      <c r="CK47" s="1897"/>
      <c r="CL47" s="1897"/>
      <c r="CM47" s="1897"/>
      <c r="CN47" s="1897"/>
      <c r="CO47" s="1897"/>
      <c r="CP47" s="1897"/>
      <c r="CQ47" s="1897"/>
      <c r="CR47" s="1897"/>
      <c r="CS47" s="1897"/>
      <c r="CT47" s="1897"/>
      <c r="CU47" s="575"/>
      <c r="CV47" s="575"/>
      <c r="CW47" s="575"/>
      <c r="CX47" s="575"/>
      <c r="CY47" s="575"/>
      <c r="CZ47" s="575"/>
      <c r="DA47" s="575"/>
      <c r="DB47" s="575"/>
      <c r="DC47" s="575"/>
      <c r="DD47" s="575"/>
      <c r="DE47" s="575"/>
      <c r="DF47" s="575"/>
      <c r="DG47" s="575"/>
      <c r="DH47" s="575"/>
      <c r="DI47" s="575"/>
      <c r="DJ47" s="1897"/>
      <c r="DK47" s="1897"/>
      <c r="DL47" s="1897"/>
      <c r="DM47" s="1897"/>
      <c r="DN47" s="1897"/>
      <c r="DO47" s="1897"/>
      <c r="DP47" s="1897"/>
      <c r="DQ47" s="1897"/>
      <c r="DR47" s="1897"/>
      <c r="DS47" s="1897"/>
      <c r="DT47" s="1897"/>
      <c r="DU47" s="1897"/>
      <c r="DV47" s="1897"/>
      <c r="DW47" s="1897"/>
      <c r="DX47" s="1897"/>
      <c r="DY47" s="1897"/>
      <c r="DZ47" s="1897"/>
      <c r="EA47" s="1897"/>
      <c r="EB47" s="1897"/>
      <c r="EC47" s="1897"/>
      <c r="ED47" s="1897"/>
      <c r="EE47" s="1897"/>
      <c r="EF47" s="1897"/>
      <c r="EG47" s="1897"/>
      <c r="EH47" s="1897"/>
      <c r="EI47" s="1897"/>
      <c r="EJ47" s="1897"/>
      <c r="EK47" s="1897"/>
      <c r="EL47" s="1897"/>
      <c r="EM47" s="1897"/>
      <c r="EN47" s="1897"/>
      <c r="EO47" s="1897"/>
      <c r="EP47" s="1897"/>
      <c r="EQ47" s="1897"/>
      <c r="ER47" s="1897"/>
      <c r="ES47" s="1897"/>
      <c r="ET47" s="480"/>
    </row>
    <row r="48" spans="1:150" ht="11.25" customHeight="1">
      <c r="A48" s="575"/>
      <c r="B48" s="575"/>
      <c r="C48" s="575"/>
      <c r="D48" s="575"/>
      <c r="E48" s="575"/>
      <c r="F48" s="575"/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  <c r="R48" s="575"/>
      <c r="S48" s="575"/>
      <c r="T48" s="575"/>
      <c r="U48" s="575"/>
      <c r="V48" s="575"/>
      <c r="W48" s="575"/>
      <c r="X48" s="575"/>
      <c r="Y48" s="575"/>
      <c r="Z48" s="575"/>
      <c r="AA48" s="575"/>
      <c r="AB48" s="575"/>
      <c r="AC48" s="575"/>
      <c r="AD48" s="575"/>
      <c r="AE48" s="575"/>
      <c r="AF48" s="575"/>
      <c r="AG48" s="575"/>
      <c r="AH48" s="575"/>
      <c r="AI48" s="575"/>
      <c r="AJ48" s="575"/>
      <c r="AK48" s="575"/>
      <c r="AL48" s="575"/>
      <c r="AM48" s="575"/>
      <c r="AN48" s="575"/>
      <c r="AO48" s="575"/>
      <c r="AP48" s="575"/>
      <c r="AQ48" s="575"/>
      <c r="AR48" s="575"/>
      <c r="AS48" s="575"/>
      <c r="AT48" s="575"/>
      <c r="AU48" s="575"/>
      <c r="AV48" s="575"/>
      <c r="AW48" s="575"/>
      <c r="AX48" s="575"/>
      <c r="AY48" s="575"/>
      <c r="AZ48" s="575"/>
      <c r="BA48" s="575"/>
      <c r="BB48" s="575"/>
      <c r="BC48" s="575"/>
      <c r="BD48" s="575"/>
      <c r="BE48" s="575"/>
      <c r="BF48" s="575"/>
      <c r="BG48" s="575"/>
      <c r="BH48" s="575"/>
      <c r="BI48" s="575"/>
      <c r="BJ48" s="575"/>
      <c r="BK48" s="575"/>
      <c r="BL48" s="575"/>
      <c r="BM48" s="575"/>
      <c r="BN48" s="575"/>
      <c r="BO48" s="575"/>
      <c r="BP48" s="575"/>
      <c r="BQ48" s="575"/>
      <c r="BR48" s="575"/>
      <c r="BS48" s="575"/>
      <c r="BT48" s="575"/>
      <c r="BU48" s="575"/>
      <c r="BV48" s="575"/>
      <c r="BW48" s="575"/>
      <c r="BX48" s="575"/>
      <c r="BY48" s="575"/>
      <c r="BZ48" s="575"/>
      <c r="CA48" s="575"/>
      <c r="CB48" s="575"/>
      <c r="CC48" s="575"/>
      <c r="CD48" s="575"/>
      <c r="CE48" s="575"/>
      <c r="CF48" s="575"/>
      <c r="CG48" s="575"/>
      <c r="CH48" s="575"/>
      <c r="CI48" s="575"/>
      <c r="CJ48" s="575"/>
      <c r="CK48" s="575"/>
      <c r="CL48" s="575"/>
      <c r="CM48" s="575"/>
      <c r="CN48" s="575"/>
      <c r="CO48" s="575"/>
      <c r="CP48" s="575"/>
      <c r="CQ48" s="575"/>
      <c r="CR48" s="575"/>
      <c r="CS48" s="575"/>
      <c r="CT48" s="575"/>
      <c r="CU48" s="575"/>
      <c r="CV48" s="575"/>
      <c r="CW48" s="575"/>
      <c r="CX48" s="575"/>
      <c r="CY48" s="575"/>
      <c r="CZ48" s="575"/>
      <c r="DA48" s="575"/>
      <c r="DB48" s="575"/>
      <c r="DC48" s="575"/>
      <c r="DD48" s="575"/>
      <c r="DE48" s="575"/>
      <c r="DF48" s="575"/>
      <c r="DG48" s="575"/>
      <c r="DH48" s="575"/>
      <c r="DI48" s="575"/>
      <c r="DJ48" s="575"/>
      <c r="DK48" s="575"/>
      <c r="DL48" s="575"/>
      <c r="DM48" s="575"/>
      <c r="DN48" s="575"/>
      <c r="DO48" s="575"/>
      <c r="DP48" s="575"/>
      <c r="DQ48" s="575"/>
      <c r="DR48" s="575"/>
      <c r="DS48" s="575"/>
      <c r="DT48" s="575"/>
      <c r="DU48" s="575"/>
      <c r="DV48" s="575"/>
      <c r="DW48" s="575"/>
      <c r="DX48" s="575"/>
      <c r="DY48" s="575"/>
      <c r="DZ48" s="575"/>
      <c r="EA48" s="575"/>
      <c r="EB48" s="575"/>
      <c r="EC48" s="575"/>
      <c r="ED48" s="575"/>
      <c r="EE48" s="575"/>
      <c r="EF48" s="575"/>
      <c r="EG48" s="575"/>
      <c r="EH48" s="575"/>
      <c r="EI48" s="575"/>
      <c r="EJ48" s="575"/>
      <c r="EK48" s="575"/>
      <c r="EL48" s="575"/>
      <c r="EM48" s="575"/>
      <c r="EN48" s="575"/>
      <c r="EO48" s="575"/>
      <c r="EP48" s="575"/>
      <c r="EQ48" s="575"/>
      <c r="ER48" s="575"/>
      <c r="ES48" s="575"/>
      <c r="ET48" s="480"/>
    </row>
    <row r="49" spans="1:150" ht="11.25" customHeight="1">
      <c r="A49" s="1898"/>
      <c r="B49" s="1898"/>
      <c r="C49" s="1898"/>
      <c r="D49" s="1898"/>
      <c r="E49" s="1898"/>
      <c r="F49" s="579" t="s">
        <v>459</v>
      </c>
      <c r="G49" s="579"/>
      <c r="H49" s="579"/>
      <c r="I49" s="579"/>
      <c r="J49" s="579"/>
      <c r="K49" s="579"/>
      <c r="L49" s="579"/>
      <c r="M49" s="579"/>
      <c r="N49" s="579"/>
      <c r="O49" s="579"/>
      <c r="P49" s="579"/>
      <c r="Q49" s="579"/>
      <c r="R49" s="579"/>
      <c r="S49" s="579"/>
      <c r="T49" s="579"/>
      <c r="U49" s="579"/>
      <c r="V49" s="579"/>
      <c r="W49" s="579"/>
      <c r="X49" s="579"/>
      <c r="Y49" s="579"/>
      <c r="Z49" s="579"/>
      <c r="AA49" s="579"/>
      <c r="AB49" s="579"/>
      <c r="AC49" s="579"/>
      <c r="AD49" s="579"/>
      <c r="AE49" s="579"/>
      <c r="AF49" s="579"/>
      <c r="AG49" s="579"/>
      <c r="AH49" s="579"/>
      <c r="AI49" s="579"/>
      <c r="AJ49" s="579"/>
      <c r="AK49" s="579"/>
      <c r="AL49" s="579"/>
      <c r="AM49" s="579"/>
      <c r="AN49" s="579"/>
      <c r="AO49" s="579"/>
      <c r="AP49" s="579"/>
      <c r="AQ49" s="579"/>
      <c r="AR49" s="579"/>
      <c r="AS49" s="579"/>
      <c r="AT49" s="579"/>
      <c r="AU49" s="579"/>
      <c r="AV49" s="579"/>
      <c r="AW49" s="579"/>
      <c r="AX49" s="579"/>
      <c r="AY49" s="579"/>
      <c r="AZ49" s="579"/>
      <c r="BA49" s="579"/>
      <c r="BB49" s="579"/>
      <c r="BC49" s="579"/>
      <c r="BD49" s="579"/>
      <c r="BE49" s="579"/>
      <c r="BF49" s="579"/>
      <c r="BG49" s="579"/>
      <c r="BH49" s="579"/>
      <c r="BI49" s="579"/>
      <c r="BJ49" s="579"/>
      <c r="BK49" s="579"/>
      <c r="BL49" s="579"/>
      <c r="BM49" s="579"/>
      <c r="BN49" s="584"/>
      <c r="BO49" s="584"/>
      <c r="BP49" s="584"/>
      <c r="BQ49" s="583"/>
      <c r="BR49" s="583"/>
      <c r="BS49" s="583"/>
      <c r="BT49" s="1943" t="s">
        <v>379</v>
      </c>
      <c r="BU49" s="1943"/>
      <c r="BV49" s="1943"/>
      <c r="BW49" s="583"/>
      <c r="BX49" s="1944">
        <v>1</v>
      </c>
      <c r="BY49" s="1944"/>
      <c r="BZ49" s="1944"/>
      <c r="CA49" s="1944"/>
      <c r="CB49" s="1944"/>
      <c r="CC49" s="1944"/>
      <c r="CD49" s="1944"/>
      <c r="CE49" s="1944"/>
      <c r="CF49" s="1944"/>
      <c r="CG49" s="1944"/>
      <c r="CH49" s="1944"/>
      <c r="CI49" s="1944"/>
      <c r="CJ49" s="1944"/>
      <c r="CK49" s="1944"/>
      <c r="CL49" s="1944"/>
      <c r="CM49" s="1944"/>
      <c r="CN49" s="1944"/>
      <c r="CO49" s="1944"/>
      <c r="CP49" s="1944"/>
      <c r="CQ49" s="1944"/>
      <c r="CR49" s="1944"/>
      <c r="CS49" s="1944"/>
      <c r="CT49" s="1944"/>
      <c r="CU49" s="1944"/>
      <c r="CV49" s="1944"/>
      <c r="CW49" s="1944"/>
      <c r="CX49" s="1944"/>
      <c r="CY49" s="1944"/>
      <c r="CZ49" s="1944"/>
      <c r="DA49" s="1944"/>
      <c r="DB49" s="1944"/>
      <c r="DC49" s="1944"/>
      <c r="DD49" s="1944"/>
      <c r="DE49" s="1944"/>
      <c r="DF49" s="1944"/>
      <c r="DG49" s="1944"/>
      <c r="DH49" s="1944"/>
      <c r="DI49" s="1944"/>
      <c r="DJ49" s="1944"/>
      <c r="DK49" s="1944"/>
      <c r="DL49" s="1944"/>
      <c r="DM49" s="1944"/>
      <c r="DN49" s="1944"/>
      <c r="DO49" s="1944"/>
      <c r="DP49" s="1944"/>
      <c r="DQ49" s="1944"/>
      <c r="DR49" s="1944"/>
      <c r="DS49" s="1944"/>
      <c r="DT49" s="1944"/>
      <c r="DU49" s="1944"/>
      <c r="DV49" s="1944"/>
      <c r="DW49" s="1944"/>
      <c r="DX49" s="1944"/>
      <c r="DY49" s="1944"/>
      <c r="DZ49" s="1944"/>
      <c r="EA49" s="1944"/>
      <c r="EB49" s="1944"/>
      <c r="EC49" s="1944"/>
      <c r="ED49" s="1944"/>
      <c r="EE49" s="1944"/>
      <c r="EF49" s="1944"/>
      <c r="EG49" s="1944"/>
      <c r="EH49" s="1944"/>
      <c r="EI49" s="1944"/>
      <c r="EJ49" s="1944"/>
      <c r="EK49" s="1944"/>
      <c r="EL49" s="1944"/>
      <c r="EM49" s="1944"/>
      <c r="EN49" s="1944"/>
      <c r="EO49" s="1944"/>
      <c r="EP49" s="1944"/>
      <c r="EQ49" s="1944"/>
      <c r="ER49" s="1944"/>
      <c r="ES49" s="1944"/>
      <c r="ET49" s="1944"/>
    </row>
    <row r="50" spans="1:150" ht="3.2" customHeight="1">
      <c r="A50" s="575"/>
      <c r="B50" s="575"/>
      <c r="C50" s="575"/>
      <c r="D50" s="575"/>
      <c r="E50" s="575"/>
      <c r="F50" s="575"/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  <c r="R50" s="575"/>
      <c r="S50" s="575"/>
      <c r="T50" s="575"/>
      <c r="U50" s="575"/>
      <c r="V50" s="575"/>
      <c r="W50" s="575"/>
      <c r="X50" s="575"/>
      <c r="Y50" s="575"/>
      <c r="Z50" s="575"/>
      <c r="AA50" s="575"/>
      <c r="AB50" s="575"/>
      <c r="AC50" s="575"/>
      <c r="AD50" s="575"/>
      <c r="AE50" s="575"/>
      <c r="AF50" s="575"/>
      <c r="AG50" s="575"/>
      <c r="AH50" s="575"/>
      <c r="AI50" s="575"/>
      <c r="AJ50" s="575"/>
      <c r="AK50" s="575"/>
      <c r="AL50" s="575"/>
      <c r="AM50" s="575"/>
      <c r="AN50" s="575"/>
      <c r="AO50" s="575"/>
      <c r="AP50" s="575"/>
      <c r="AQ50" s="575"/>
      <c r="AR50" s="575"/>
      <c r="AS50" s="575"/>
      <c r="AT50" s="575"/>
      <c r="AU50" s="575"/>
      <c r="AV50" s="575"/>
      <c r="AW50" s="575"/>
      <c r="AX50" s="575"/>
      <c r="AY50" s="575"/>
      <c r="AZ50" s="575"/>
      <c r="BA50" s="575"/>
      <c r="BB50" s="575"/>
      <c r="BC50" s="575"/>
      <c r="BD50" s="575"/>
      <c r="BE50" s="575"/>
      <c r="BF50" s="575"/>
      <c r="BG50" s="575"/>
      <c r="BH50" s="575"/>
      <c r="BI50" s="575"/>
      <c r="BJ50" s="575"/>
      <c r="BK50" s="575"/>
      <c r="BL50" s="575"/>
      <c r="BM50" s="575"/>
      <c r="BN50" s="575"/>
      <c r="BO50" s="575"/>
      <c r="BP50" s="575"/>
      <c r="BQ50" s="575"/>
      <c r="BR50" s="575"/>
      <c r="BS50" s="575"/>
      <c r="BT50" s="575"/>
      <c r="BU50" s="575"/>
      <c r="BV50" s="575"/>
      <c r="BW50" s="575"/>
      <c r="BX50" s="575"/>
      <c r="BY50" s="575"/>
      <c r="BZ50" s="575"/>
      <c r="CA50" s="575"/>
      <c r="CB50" s="575"/>
      <c r="CC50" s="575"/>
      <c r="CD50" s="575"/>
      <c r="CE50" s="575"/>
      <c r="CF50" s="575"/>
      <c r="CG50" s="575"/>
      <c r="CH50" s="575"/>
      <c r="CI50" s="575"/>
      <c r="CJ50" s="575"/>
      <c r="CK50" s="575"/>
      <c r="CL50" s="575"/>
      <c r="CM50" s="575"/>
      <c r="CN50" s="575"/>
      <c r="CO50" s="575"/>
      <c r="CP50" s="575"/>
      <c r="CQ50" s="575"/>
      <c r="CR50" s="575"/>
      <c r="CS50" s="575"/>
      <c r="CT50" s="575"/>
      <c r="CU50" s="575"/>
      <c r="CV50" s="575"/>
      <c r="CW50" s="575"/>
      <c r="CX50" s="575"/>
      <c r="CY50" s="575"/>
      <c r="CZ50" s="575"/>
      <c r="DA50" s="575"/>
      <c r="DB50" s="575"/>
      <c r="DC50" s="575"/>
      <c r="DD50" s="575"/>
      <c r="DE50" s="575"/>
      <c r="DF50" s="575"/>
      <c r="DG50" s="575"/>
      <c r="DH50" s="575"/>
      <c r="DI50" s="575"/>
      <c r="DJ50" s="575"/>
      <c r="DK50" s="575"/>
      <c r="DL50" s="575"/>
      <c r="DM50" s="575"/>
      <c r="DN50" s="575"/>
      <c r="DO50" s="575"/>
      <c r="DP50" s="575"/>
      <c r="DQ50" s="575"/>
      <c r="DR50" s="575"/>
      <c r="DS50" s="575"/>
      <c r="DT50" s="575"/>
      <c r="DU50" s="575"/>
      <c r="DV50" s="575"/>
      <c r="DW50" s="575"/>
      <c r="DX50" s="575"/>
      <c r="DY50" s="575"/>
      <c r="DZ50" s="575"/>
      <c r="EA50" s="575"/>
      <c r="EB50" s="575"/>
      <c r="EC50" s="575"/>
      <c r="ED50" s="575"/>
      <c r="EE50" s="575"/>
      <c r="EF50" s="575"/>
      <c r="EG50" s="575"/>
      <c r="EH50" s="575"/>
      <c r="EI50" s="575"/>
      <c r="EJ50" s="575"/>
      <c r="EK50" s="575"/>
      <c r="EL50" s="575"/>
      <c r="EM50" s="575"/>
      <c r="EN50" s="575"/>
      <c r="EO50" s="575"/>
      <c r="EP50" s="575"/>
      <c r="EQ50" s="575"/>
      <c r="ER50" s="575"/>
      <c r="ES50" s="575"/>
      <c r="ET50" s="480"/>
    </row>
    <row r="51" spans="1:150" ht="11.25" customHeight="1">
      <c r="A51" s="579" t="s">
        <v>280</v>
      </c>
      <c r="B51" s="579"/>
      <c r="C51" s="579"/>
      <c r="D51" s="579"/>
      <c r="E51" s="579"/>
      <c r="F51" s="581"/>
      <c r="G51" s="1903" t="s">
        <v>39</v>
      </c>
      <c r="H51" s="1903"/>
      <c r="I51" s="1903"/>
      <c r="J51" s="1903"/>
      <c r="K51" s="1903"/>
      <c r="L51" s="1903"/>
      <c r="M51" s="1903"/>
      <c r="N51" s="1903"/>
      <c r="O51" s="1903"/>
      <c r="P51" s="1903"/>
      <c r="Q51" s="1903"/>
      <c r="R51" s="1903"/>
      <c r="S51" s="1903"/>
      <c r="T51" s="1903"/>
      <c r="U51" s="1903"/>
      <c r="V51" s="1903"/>
      <c r="W51" s="1903"/>
      <c r="X51" s="1903"/>
      <c r="Y51" s="1903"/>
      <c r="Z51" s="1903"/>
      <c r="AA51" s="1903"/>
      <c r="AB51" s="1903"/>
      <c r="AC51" s="1903"/>
      <c r="AD51" s="1903"/>
      <c r="AE51" s="1903"/>
      <c r="AF51" s="1903"/>
      <c r="AG51" s="1903"/>
      <c r="AH51" s="1903"/>
      <c r="AI51" s="1903"/>
      <c r="AJ51" s="1903"/>
      <c r="AK51" s="1903"/>
      <c r="AL51" s="1903"/>
      <c r="AM51" s="1903"/>
      <c r="AN51" s="1903"/>
      <c r="AO51" s="1903"/>
      <c r="AP51" s="1903"/>
      <c r="AQ51" s="1903"/>
      <c r="AR51" s="579" t="s">
        <v>469</v>
      </c>
      <c r="AS51" s="579"/>
      <c r="AT51" s="579"/>
      <c r="AU51" s="579"/>
      <c r="AV51" s="579"/>
      <c r="AW51" s="579"/>
      <c r="AX51" s="579"/>
      <c r="AY51" s="579"/>
      <c r="AZ51" s="579"/>
      <c r="BA51" s="579"/>
      <c r="BB51" s="579"/>
      <c r="BC51" s="579"/>
      <c r="BD51" s="579"/>
      <c r="BE51" s="579"/>
      <c r="BF51" s="579"/>
      <c r="BG51" s="579"/>
      <c r="BH51" s="579"/>
      <c r="BI51" s="579"/>
      <c r="BJ51" s="579"/>
      <c r="BK51" s="579"/>
      <c r="BL51" s="579"/>
      <c r="BM51" s="579"/>
      <c r="BN51" s="579"/>
      <c r="BO51" s="579"/>
      <c r="BP51" s="579"/>
      <c r="BQ51" s="579"/>
      <c r="BR51" s="579"/>
      <c r="BS51" s="579"/>
      <c r="BT51" s="579"/>
      <c r="BU51" s="579"/>
      <c r="BV51" s="579"/>
      <c r="BW51" s="579"/>
      <c r="BX51" s="579"/>
      <c r="BY51" s="579"/>
      <c r="BZ51" s="579"/>
      <c r="CA51" s="579"/>
      <c r="CB51" s="579"/>
      <c r="CC51" s="579"/>
      <c r="CD51" s="579"/>
      <c r="CE51" s="579"/>
      <c r="CF51" s="579"/>
      <c r="CG51" s="579"/>
      <c r="CH51" s="579"/>
      <c r="CI51" s="579"/>
      <c r="CJ51" s="579"/>
      <c r="CK51" s="579"/>
      <c r="CL51" s="579"/>
      <c r="CM51" s="579"/>
      <c r="CN51" s="579"/>
      <c r="CO51" s="579"/>
      <c r="CP51" s="579"/>
      <c r="CQ51" s="579"/>
      <c r="CR51" s="579"/>
      <c r="CS51" s="579"/>
      <c r="CT51" s="579"/>
      <c r="CU51" s="579"/>
      <c r="CV51" s="579"/>
      <c r="CW51" s="579"/>
      <c r="CX51" s="579"/>
      <c r="CY51" s="579"/>
      <c r="CZ51" s="579"/>
      <c r="DA51" s="579"/>
      <c r="DB51" s="579"/>
      <c r="DC51" s="579"/>
      <c r="DD51" s="579"/>
      <c r="DE51" s="579"/>
      <c r="DF51" s="579"/>
      <c r="DG51" s="579"/>
      <c r="DH51" s="579"/>
      <c r="DI51" s="579"/>
      <c r="DJ51" s="579"/>
      <c r="DK51" s="579"/>
      <c r="DL51" s="579"/>
      <c r="DM51" s="579"/>
      <c r="DN51" s="579"/>
      <c r="DO51" s="579"/>
      <c r="DP51" s="579"/>
      <c r="DQ51" s="579"/>
      <c r="DR51" s="579"/>
      <c r="DS51" s="579"/>
      <c r="DT51" s="579"/>
      <c r="DU51" s="579"/>
      <c r="DV51" s="579"/>
      <c r="DW51" s="579"/>
      <c r="DX51" s="579"/>
      <c r="DY51" s="579"/>
      <c r="DZ51" s="579"/>
      <c r="EA51" s="579"/>
      <c r="EB51" s="579"/>
      <c r="EC51" s="579"/>
      <c r="ED51" s="579"/>
      <c r="EE51" s="579"/>
      <c r="EF51" s="579"/>
      <c r="EG51" s="579"/>
      <c r="EH51" s="579"/>
      <c r="EI51" s="579"/>
      <c r="EJ51" s="579"/>
      <c r="EK51" s="579"/>
      <c r="EL51" s="579"/>
      <c r="EM51" s="579"/>
      <c r="EN51" s="579"/>
      <c r="EO51" s="579"/>
      <c r="EP51" s="579"/>
      <c r="EQ51" s="579"/>
      <c r="ER51" s="579"/>
      <c r="ES51" s="579"/>
      <c r="ET51" s="480"/>
    </row>
    <row r="52" spans="1:150" ht="3.2" customHeight="1">
      <c r="A52" s="575"/>
      <c r="B52" s="575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  <c r="R52" s="575"/>
      <c r="S52" s="575"/>
      <c r="T52" s="575"/>
      <c r="U52" s="575"/>
      <c r="V52" s="575"/>
      <c r="W52" s="575"/>
      <c r="X52" s="575"/>
      <c r="Y52" s="575"/>
      <c r="Z52" s="575"/>
      <c r="AA52" s="575"/>
      <c r="AB52" s="575"/>
      <c r="AC52" s="575"/>
      <c r="AD52" s="575"/>
      <c r="AE52" s="575"/>
      <c r="AF52" s="575"/>
      <c r="AG52" s="575"/>
      <c r="AH52" s="575"/>
      <c r="AI52" s="575"/>
      <c r="AJ52" s="575"/>
      <c r="AK52" s="575"/>
      <c r="AL52" s="575"/>
      <c r="AM52" s="575"/>
      <c r="AN52" s="575"/>
      <c r="AO52" s="575"/>
      <c r="AP52" s="575"/>
      <c r="AQ52" s="575"/>
      <c r="AR52" s="575"/>
      <c r="AS52" s="575"/>
      <c r="AT52" s="575"/>
      <c r="AU52" s="575"/>
      <c r="AV52" s="575"/>
      <c r="AW52" s="575"/>
      <c r="AX52" s="575"/>
      <c r="AY52" s="575"/>
      <c r="AZ52" s="575"/>
      <c r="BA52" s="575"/>
      <c r="BB52" s="575"/>
      <c r="BC52" s="575"/>
      <c r="BD52" s="575"/>
      <c r="BE52" s="575"/>
      <c r="BF52" s="575"/>
      <c r="BG52" s="575"/>
      <c r="BH52" s="575"/>
      <c r="BI52" s="575"/>
      <c r="BJ52" s="575"/>
      <c r="BK52" s="575"/>
      <c r="BL52" s="575"/>
      <c r="BM52" s="575"/>
      <c r="BN52" s="575"/>
      <c r="BO52" s="575"/>
      <c r="BP52" s="575"/>
      <c r="BQ52" s="575"/>
      <c r="BR52" s="575"/>
      <c r="BS52" s="575"/>
      <c r="BT52" s="575"/>
      <c r="BU52" s="575"/>
      <c r="BV52" s="575"/>
      <c r="BW52" s="575"/>
      <c r="BX52" s="575"/>
      <c r="BY52" s="575"/>
      <c r="BZ52" s="575"/>
      <c r="CA52" s="575"/>
      <c r="CB52" s="575"/>
      <c r="CC52" s="575"/>
      <c r="CD52" s="575"/>
      <c r="CE52" s="575"/>
      <c r="CF52" s="575"/>
      <c r="CG52" s="575"/>
      <c r="CH52" s="575"/>
      <c r="CI52" s="575"/>
      <c r="CJ52" s="575"/>
      <c r="CK52" s="575"/>
      <c r="CL52" s="575"/>
      <c r="CM52" s="575"/>
      <c r="CN52" s="575"/>
      <c r="CO52" s="575"/>
      <c r="CP52" s="575"/>
      <c r="CQ52" s="575"/>
      <c r="CR52" s="575"/>
      <c r="CS52" s="575"/>
      <c r="CT52" s="575"/>
      <c r="CU52" s="575"/>
      <c r="CV52" s="575"/>
      <c r="CW52" s="575"/>
      <c r="CX52" s="575"/>
      <c r="CY52" s="575"/>
      <c r="CZ52" s="575"/>
      <c r="DA52" s="575"/>
      <c r="DB52" s="575"/>
      <c r="DC52" s="575"/>
      <c r="DD52" s="575"/>
      <c r="DE52" s="575"/>
      <c r="DF52" s="575"/>
      <c r="DG52" s="575"/>
      <c r="DH52" s="575"/>
      <c r="DI52" s="575"/>
      <c r="DJ52" s="575"/>
      <c r="DK52" s="575"/>
      <c r="DL52" s="575"/>
      <c r="DM52" s="575"/>
      <c r="DN52" s="575"/>
      <c r="DO52" s="575"/>
      <c r="DP52" s="575"/>
      <c r="DQ52" s="575"/>
      <c r="DR52" s="575"/>
      <c r="DS52" s="575"/>
      <c r="DT52" s="575"/>
      <c r="DU52" s="575"/>
      <c r="DV52" s="575"/>
      <c r="DW52" s="575"/>
      <c r="DX52" s="575"/>
      <c r="DY52" s="575"/>
      <c r="DZ52" s="575"/>
      <c r="EA52" s="575"/>
      <c r="EB52" s="575"/>
      <c r="EC52" s="575"/>
      <c r="ED52" s="575"/>
      <c r="EE52" s="575"/>
      <c r="EF52" s="575"/>
      <c r="EG52" s="575"/>
      <c r="EH52" s="575"/>
      <c r="EI52" s="575"/>
      <c r="EJ52" s="575"/>
      <c r="EK52" s="575"/>
      <c r="EL52" s="575"/>
      <c r="EM52" s="575"/>
      <c r="EN52" s="575"/>
      <c r="EO52" s="575"/>
      <c r="EP52" s="575"/>
      <c r="EQ52" s="575"/>
      <c r="ER52" s="575"/>
      <c r="ES52" s="575"/>
      <c r="ET52" s="480"/>
    </row>
    <row r="53" spans="1:150" ht="11.25" customHeight="1">
      <c r="A53" s="1925" t="s">
        <v>468</v>
      </c>
      <c r="B53" s="1925"/>
      <c r="C53" s="1925"/>
      <c r="D53" s="1925"/>
      <c r="E53" s="1925"/>
      <c r="F53" s="1925"/>
      <c r="G53" s="1925"/>
      <c r="H53" s="1925"/>
      <c r="I53" s="1925"/>
      <c r="J53" s="1925"/>
      <c r="K53" s="1925"/>
      <c r="L53" s="1925"/>
      <c r="M53" s="1925"/>
      <c r="N53" s="1925"/>
      <c r="O53" s="1925"/>
      <c r="P53" s="1925"/>
      <c r="Q53" s="1925"/>
      <c r="R53" s="1925"/>
      <c r="S53" s="1925"/>
      <c r="T53" s="1925"/>
      <c r="U53" s="1925"/>
      <c r="V53" s="1925"/>
      <c r="W53" s="1925"/>
      <c r="X53" s="1925"/>
      <c r="Y53" s="1925"/>
      <c r="Z53" s="1925"/>
      <c r="AA53" s="1925"/>
      <c r="AB53" s="1925"/>
      <c r="AC53" s="1925"/>
      <c r="AD53" s="1925"/>
      <c r="AE53" s="1925"/>
      <c r="AF53" s="1925"/>
      <c r="AG53" s="1925"/>
      <c r="AH53" s="1925"/>
      <c r="AI53" s="1925"/>
      <c r="AJ53" s="1925"/>
      <c r="AK53" s="1925"/>
      <c r="AL53" s="1925"/>
      <c r="AM53" s="1925"/>
      <c r="AN53" s="1925"/>
      <c r="AO53" s="1925"/>
      <c r="AP53" s="1925"/>
      <c r="AQ53" s="1925"/>
      <c r="AR53" s="1925"/>
      <c r="AS53" s="1925"/>
      <c r="AT53" s="1925"/>
      <c r="AU53" s="1925"/>
      <c r="AV53" s="1925"/>
      <c r="AW53" s="1925"/>
      <c r="AX53" s="1925"/>
      <c r="AY53" s="1925"/>
      <c r="AZ53" s="1925"/>
      <c r="BA53" s="1925"/>
      <c r="BB53" s="1925"/>
      <c r="BC53" s="1925"/>
      <c r="BD53" s="1925"/>
      <c r="BE53" s="1925"/>
      <c r="BF53" s="1925"/>
      <c r="BG53" s="1925"/>
      <c r="BH53" s="1925"/>
      <c r="BI53" s="1925"/>
      <c r="BJ53" s="1925"/>
      <c r="BK53" s="1925"/>
      <c r="BL53" s="1925"/>
      <c r="BM53" s="1925"/>
      <c r="BN53" s="1925"/>
      <c r="BO53" s="1925"/>
      <c r="BP53" s="1925"/>
      <c r="BQ53" s="1925"/>
      <c r="BR53" s="1925"/>
      <c r="BS53" s="1925"/>
      <c r="BT53" s="1925"/>
      <c r="BU53" s="1925"/>
      <c r="BV53" s="1925"/>
      <c r="BW53" s="1925"/>
      <c r="BX53" s="1925"/>
      <c r="BY53" s="1925"/>
      <c r="BZ53" s="1925"/>
      <c r="CA53" s="1925"/>
      <c r="CB53" s="1925"/>
      <c r="CC53" s="1925"/>
      <c r="CD53" s="1925"/>
      <c r="CE53" s="1925"/>
      <c r="CF53" s="1925"/>
      <c r="CG53" s="1925"/>
      <c r="CH53" s="1925"/>
      <c r="CI53" s="1925"/>
      <c r="CJ53" s="1925"/>
      <c r="CK53" s="1925"/>
      <c r="CL53" s="1925"/>
      <c r="CM53" s="1925"/>
      <c r="CN53" s="1925"/>
      <c r="CO53" s="1925"/>
      <c r="CP53" s="1925"/>
      <c r="CQ53" s="1925"/>
      <c r="CR53" s="1925"/>
      <c r="CS53" s="1925"/>
      <c r="CT53" s="1925"/>
      <c r="CU53" s="1925"/>
      <c r="CV53" s="1925"/>
      <c r="CW53" s="1925"/>
      <c r="CX53" s="1925"/>
      <c r="CY53" s="1925"/>
      <c r="CZ53" s="1925"/>
      <c r="DA53" s="1925"/>
      <c r="DB53" s="1925"/>
      <c r="DC53" s="1925"/>
      <c r="DD53" s="1925"/>
      <c r="DE53" s="1925"/>
      <c r="DF53" s="1925"/>
      <c r="DG53" s="1925"/>
      <c r="DH53" s="1925"/>
      <c r="DI53" s="1925"/>
      <c r="DJ53" s="1925"/>
      <c r="DK53" s="1925"/>
      <c r="DL53" s="1925"/>
      <c r="DM53" s="1925"/>
      <c r="DN53" s="1925"/>
      <c r="DO53" s="1925"/>
      <c r="DP53" s="1925"/>
      <c r="DQ53" s="1925"/>
      <c r="DR53" s="1925"/>
      <c r="DS53" s="1925"/>
      <c r="DT53" s="1925"/>
      <c r="DU53" s="1925"/>
      <c r="DV53" s="1925"/>
      <c r="DW53" s="1925"/>
      <c r="DX53" s="1925"/>
      <c r="DY53" s="1925"/>
      <c r="DZ53" s="1925"/>
      <c r="EA53" s="1925"/>
      <c r="EB53" s="1925"/>
      <c r="EC53" s="1925"/>
      <c r="ED53" s="1925"/>
      <c r="EE53" s="1925"/>
      <c r="EF53" s="1925"/>
      <c r="EG53" s="1925"/>
      <c r="EH53" s="1925"/>
      <c r="EI53" s="1925"/>
      <c r="EJ53" s="1925"/>
      <c r="EK53" s="1925"/>
      <c r="EL53" s="1925"/>
      <c r="EM53" s="1925"/>
      <c r="EN53" s="1925"/>
      <c r="EO53" s="1925"/>
      <c r="EP53" s="1925"/>
      <c r="EQ53" s="1925"/>
      <c r="ER53" s="1925"/>
      <c r="ES53" s="1925"/>
      <c r="ET53" s="480"/>
    </row>
    <row r="54" spans="1:150" ht="11.25" customHeight="1">
      <c r="A54" s="575"/>
      <c r="B54" s="575"/>
      <c r="C54" s="575"/>
      <c r="D54" s="575"/>
      <c r="E54" s="575"/>
      <c r="F54" s="575"/>
      <c r="G54" s="575"/>
      <c r="H54" s="575"/>
      <c r="I54" s="575"/>
      <c r="J54" s="575"/>
      <c r="K54" s="575"/>
      <c r="L54" s="575"/>
      <c r="M54" s="575"/>
      <c r="N54" s="575"/>
      <c r="O54" s="575"/>
      <c r="P54" s="575"/>
      <c r="Q54" s="575"/>
      <c r="R54" s="575"/>
      <c r="S54" s="575"/>
      <c r="T54" s="575"/>
      <c r="U54" s="575"/>
      <c r="V54" s="575"/>
      <c r="W54" s="575"/>
      <c r="X54" s="575"/>
      <c r="Y54" s="575"/>
      <c r="Z54" s="575"/>
      <c r="AA54" s="575"/>
      <c r="AB54" s="575"/>
      <c r="AC54" s="575"/>
      <c r="AD54" s="575"/>
      <c r="AE54" s="575"/>
      <c r="AF54" s="575"/>
      <c r="AG54" s="575"/>
      <c r="AH54" s="575"/>
      <c r="AI54" s="575"/>
      <c r="AJ54" s="575"/>
      <c r="AK54" s="575"/>
      <c r="AL54" s="575"/>
      <c r="AM54" s="575"/>
      <c r="AN54" s="575"/>
      <c r="AO54" s="575"/>
      <c r="AP54" s="575"/>
      <c r="AQ54" s="575"/>
      <c r="AR54" s="575"/>
      <c r="AS54" s="575"/>
      <c r="AT54" s="575"/>
      <c r="AU54" s="575"/>
      <c r="AV54" s="575"/>
      <c r="AW54" s="575"/>
      <c r="AX54" s="575"/>
      <c r="AY54" s="575"/>
      <c r="AZ54" s="575"/>
      <c r="BA54" s="575"/>
      <c r="BB54" s="575"/>
      <c r="BC54" s="575"/>
      <c r="BD54" s="575"/>
      <c r="BE54" s="575"/>
      <c r="BF54" s="575"/>
      <c r="BG54" s="575"/>
      <c r="BH54" s="575"/>
      <c r="BI54" s="575"/>
      <c r="BJ54" s="575"/>
      <c r="BK54" s="575"/>
      <c r="BL54" s="575"/>
      <c r="BM54" s="575"/>
      <c r="BN54" s="575"/>
      <c r="BO54" s="575"/>
      <c r="BP54" s="575"/>
      <c r="BQ54" s="575"/>
      <c r="BR54" s="575"/>
      <c r="BS54" s="575"/>
      <c r="BT54" s="575"/>
      <c r="BU54" s="575"/>
      <c r="BV54" s="575"/>
      <c r="BW54" s="575"/>
      <c r="BX54" s="575"/>
      <c r="BY54" s="575"/>
      <c r="BZ54" s="575"/>
      <c r="CA54" s="575"/>
      <c r="CB54" s="575"/>
      <c r="CC54" s="575"/>
      <c r="CD54" s="575"/>
      <c r="CE54" s="575"/>
      <c r="CF54" s="575"/>
      <c r="CG54" s="575"/>
      <c r="CH54" s="575"/>
      <c r="CI54" s="575"/>
      <c r="CJ54" s="575"/>
      <c r="CK54" s="575"/>
      <c r="CL54" s="575"/>
      <c r="CM54" s="575"/>
      <c r="CN54" s="575"/>
      <c r="CO54" s="575"/>
      <c r="CP54" s="575"/>
      <c r="CQ54" s="575"/>
      <c r="CR54" s="575"/>
      <c r="CS54" s="575"/>
      <c r="CT54" s="575"/>
      <c r="CU54" s="575"/>
      <c r="CV54" s="575"/>
      <c r="CW54" s="575"/>
      <c r="CX54" s="575"/>
      <c r="CY54" s="575"/>
      <c r="CZ54" s="575"/>
      <c r="DA54" s="575"/>
      <c r="DB54" s="575"/>
      <c r="DC54" s="575"/>
      <c r="DD54" s="575"/>
      <c r="DE54" s="575"/>
      <c r="DF54" s="575"/>
      <c r="DG54" s="575"/>
      <c r="DH54" s="575"/>
      <c r="DI54" s="575"/>
      <c r="DJ54" s="575"/>
      <c r="DK54" s="575"/>
      <c r="DL54" s="575"/>
      <c r="DM54" s="575"/>
      <c r="DN54" s="575"/>
      <c r="DO54" s="575"/>
      <c r="DP54" s="575"/>
      <c r="DQ54" s="575"/>
      <c r="DR54" s="575"/>
      <c r="DS54" s="575"/>
      <c r="DT54" s="575"/>
      <c r="DU54" s="575"/>
      <c r="DV54" s="575"/>
      <c r="DW54" s="575"/>
      <c r="DX54" s="575"/>
      <c r="DY54" s="575"/>
      <c r="DZ54" s="575"/>
      <c r="EA54" s="575"/>
      <c r="EB54" s="575"/>
      <c r="EC54" s="575"/>
      <c r="ED54" s="575"/>
      <c r="EE54" s="575"/>
      <c r="EF54" s="575"/>
      <c r="EG54" s="575"/>
      <c r="EH54" s="575"/>
      <c r="EI54" s="575"/>
      <c r="EJ54" s="575"/>
      <c r="EK54" s="575"/>
      <c r="EL54" s="575"/>
      <c r="EM54" s="575"/>
      <c r="EN54" s="575"/>
      <c r="EO54" s="575"/>
      <c r="EP54" s="575"/>
      <c r="EQ54" s="575"/>
      <c r="ER54" s="575"/>
      <c r="ES54" s="575"/>
      <c r="ET54" s="480"/>
    </row>
    <row r="55" spans="1:150" ht="11.25" customHeight="1">
      <c r="A55" s="1897"/>
      <c r="B55" s="1897"/>
      <c r="C55" s="1897"/>
      <c r="D55" s="1897"/>
      <c r="E55" s="1897"/>
      <c r="F55" s="1897"/>
      <c r="G55" s="1897"/>
      <c r="H55" s="1897"/>
      <c r="I55" s="1897"/>
      <c r="J55" s="1897"/>
      <c r="K55" s="1897"/>
      <c r="L55" s="1897"/>
      <c r="M55" s="1897"/>
      <c r="N55" s="1897"/>
      <c r="O55" s="1897"/>
      <c r="P55" s="1897"/>
      <c r="Q55" s="1897"/>
      <c r="R55" s="1897"/>
      <c r="S55" s="1897"/>
      <c r="T55" s="1897"/>
      <c r="U55" s="1897"/>
      <c r="V55" s="1897"/>
      <c r="W55" s="1897"/>
      <c r="X55" s="1897"/>
      <c r="Y55" s="1897"/>
      <c r="Z55" s="1897"/>
      <c r="AA55" s="575"/>
      <c r="AB55" s="575"/>
      <c r="AC55" s="575"/>
      <c r="AD55" s="575"/>
      <c r="AE55" s="575"/>
      <c r="AF55" s="575"/>
      <c r="AG55" s="575"/>
      <c r="AH55" s="575"/>
      <c r="AI55" s="575"/>
      <c r="AJ55" s="575"/>
      <c r="AK55" s="575"/>
      <c r="AL55" s="575"/>
      <c r="AM55" s="575"/>
      <c r="AN55" s="575"/>
      <c r="AO55" s="575"/>
      <c r="AP55" s="575"/>
      <c r="AQ55" s="575"/>
      <c r="AR55" s="575"/>
      <c r="AS55" s="575"/>
      <c r="AT55" s="575"/>
      <c r="AU55" s="575"/>
      <c r="AV55" s="575"/>
      <c r="AW55" s="575"/>
      <c r="AX55" s="575"/>
      <c r="AY55" s="575"/>
      <c r="AZ55" s="575"/>
      <c r="BA55" s="575"/>
      <c r="BB55" s="575"/>
      <c r="BC55" s="575"/>
      <c r="BD55" s="575"/>
      <c r="BE55" s="575"/>
      <c r="BF55" s="575"/>
      <c r="BG55" s="575"/>
      <c r="BH55" s="575"/>
      <c r="BI55" s="575"/>
      <c r="BJ55" s="575"/>
      <c r="BK55" s="575"/>
      <c r="BL55" s="575"/>
      <c r="BM55" s="575"/>
      <c r="BN55" s="575"/>
      <c r="BO55" s="575"/>
      <c r="BP55" s="575"/>
      <c r="BQ55" s="575"/>
      <c r="BR55" s="575"/>
      <c r="BS55" s="575"/>
      <c r="BT55" s="575"/>
      <c r="BU55" s="575"/>
      <c r="BV55" s="575"/>
      <c r="BW55" s="575"/>
      <c r="BX55" s="575"/>
      <c r="BY55" s="575"/>
      <c r="BZ55" s="575"/>
      <c r="CA55" s="575"/>
      <c r="CB55" s="575"/>
      <c r="CC55" s="575"/>
      <c r="CD55" s="575"/>
      <c r="CE55" s="575"/>
      <c r="CF55" s="575"/>
      <c r="CG55" s="575"/>
      <c r="CH55" s="575"/>
      <c r="CI55" s="575"/>
      <c r="CJ55" s="575"/>
      <c r="CK55" s="575"/>
      <c r="CL55" s="575"/>
      <c r="CM55" s="575"/>
      <c r="CN55" s="575"/>
      <c r="CO55" s="575"/>
      <c r="CP55" s="575"/>
      <c r="CQ55" s="575"/>
      <c r="CR55" s="575"/>
      <c r="CS55" s="575"/>
      <c r="CT55" s="575"/>
      <c r="CU55" s="575"/>
      <c r="CV55" s="575"/>
      <c r="CW55" s="575"/>
      <c r="CX55" s="575"/>
      <c r="CY55" s="575"/>
      <c r="CZ55" s="575"/>
      <c r="DA55" s="575"/>
      <c r="DB55" s="575"/>
      <c r="DC55" s="575"/>
      <c r="DD55" s="575"/>
      <c r="DE55" s="575"/>
      <c r="DF55" s="575"/>
      <c r="DG55" s="575"/>
      <c r="DH55" s="575"/>
      <c r="DI55" s="1926" t="s">
        <v>279</v>
      </c>
      <c r="DJ55" s="1926"/>
      <c r="DK55" s="1897"/>
      <c r="DL55" s="1897"/>
      <c r="DM55" s="1897"/>
      <c r="DN55" s="1897"/>
      <c r="DO55" s="1927" t="s">
        <v>279</v>
      </c>
      <c r="DP55" s="1927"/>
      <c r="DQ55" s="1897"/>
      <c r="DR55" s="1897"/>
      <c r="DS55" s="1897"/>
      <c r="DT55" s="1897"/>
      <c r="DU55" s="1897"/>
      <c r="DV55" s="1897"/>
      <c r="DW55" s="1897"/>
      <c r="DX55" s="1897"/>
      <c r="DY55" s="1897"/>
      <c r="DZ55" s="1897"/>
      <c r="EA55" s="1897"/>
      <c r="EB55" s="1897"/>
      <c r="EC55" s="1897"/>
      <c r="ED55" s="1897"/>
      <c r="EE55" s="1897"/>
      <c r="EF55" s="1897"/>
      <c r="EG55" s="1897"/>
      <c r="EH55" s="1897"/>
      <c r="EI55" s="1897"/>
      <c r="EJ55" s="575"/>
      <c r="EK55" s="1928" t="s">
        <v>460</v>
      </c>
      <c r="EL55" s="1928"/>
      <c r="EM55" s="1928"/>
      <c r="EN55" s="1897"/>
      <c r="EO55" s="1897"/>
      <c r="EP55" s="1897"/>
      <c r="EQ55" s="575"/>
      <c r="ER55" s="1898" t="s">
        <v>85</v>
      </c>
      <c r="ES55" s="1898"/>
      <c r="ET55" s="480"/>
    </row>
    <row r="56" spans="1:150" ht="11.25" customHeight="1">
      <c r="A56" s="1924" t="s">
        <v>80</v>
      </c>
      <c r="B56" s="1924"/>
      <c r="C56" s="1924"/>
      <c r="D56" s="1924"/>
      <c r="E56" s="1924"/>
      <c r="F56" s="1924"/>
      <c r="G56" s="1924"/>
      <c r="H56" s="1924"/>
      <c r="I56" s="1924"/>
      <c r="J56" s="1924"/>
      <c r="K56" s="1924"/>
      <c r="L56" s="1924"/>
      <c r="M56" s="1924"/>
      <c r="N56" s="1924"/>
      <c r="O56" s="1924"/>
      <c r="P56" s="1924"/>
      <c r="Q56" s="1924"/>
      <c r="R56" s="1924"/>
      <c r="S56" s="1924"/>
      <c r="T56" s="1924"/>
      <c r="U56" s="1924"/>
      <c r="V56" s="1924"/>
      <c r="W56" s="1924"/>
      <c r="X56" s="1924"/>
      <c r="Y56" s="1924"/>
      <c r="Z56" s="1924"/>
      <c r="AA56" s="575"/>
      <c r="AB56" s="575"/>
      <c r="AC56" s="575"/>
      <c r="AD56" s="575"/>
      <c r="AE56" s="575"/>
      <c r="AF56" s="575"/>
      <c r="AG56" s="575"/>
      <c r="AH56" s="575"/>
      <c r="AI56" s="575"/>
      <c r="AJ56" s="575"/>
      <c r="AK56" s="575"/>
      <c r="AL56" s="575"/>
      <c r="AM56" s="575"/>
      <c r="AN56" s="575"/>
      <c r="AO56" s="575"/>
      <c r="AP56" s="575"/>
      <c r="AQ56" s="575"/>
      <c r="AR56" s="575"/>
      <c r="AS56" s="575"/>
      <c r="AT56" s="575"/>
      <c r="AU56" s="575"/>
      <c r="AV56" s="575"/>
      <c r="AW56" s="575"/>
      <c r="AX56" s="575"/>
      <c r="AY56" s="575"/>
      <c r="AZ56" s="575"/>
      <c r="BA56" s="575"/>
      <c r="BB56" s="575"/>
      <c r="BC56" s="575"/>
      <c r="BD56" s="575"/>
      <c r="BE56" s="575"/>
      <c r="BF56" s="575"/>
      <c r="BG56" s="575"/>
      <c r="BH56" s="575"/>
      <c r="BI56" s="575"/>
      <c r="BJ56" s="575"/>
      <c r="BK56" s="575"/>
      <c r="BL56" s="575"/>
      <c r="BM56" s="575"/>
      <c r="BN56" s="575"/>
      <c r="BO56" s="575"/>
      <c r="BP56" s="575"/>
      <c r="BQ56" s="575"/>
      <c r="BR56" s="575"/>
      <c r="BS56" s="575"/>
      <c r="BT56" s="575"/>
      <c r="BU56" s="575"/>
      <c r="BV56" s="575"/>
      <c r="BW56" s="575"/>
      <c r="BX56" s="575"/>
      <c r="BY56" s="575"/>
      <c r="BZ56" s="575"/>
      <c r="CA56" s="575"/>
      <c r="CB56" s="575"/>
      <c r="CC56" s="575"/>
      <c r="CD56" s="575"/>
      <c r="CE56" s="575"/>
      <c r="CF56" s="575"/>
      <c r="CG56" s="575"/>
      <c r="CH56" s="575"/>
      <c r="CI56" s="575"/>
      <c r="CJ56" s="575"/>
      <c r="CK56" s="575"/>
      <c r="CL56" s="575"/>
      <c r="CM56" s="575"/>
      <c r="CN56" s="575"/>
      <c r="CO56" s="575"/>
      <c r="CP56" s="575"/>
      <c r="CQ56" s="575"/>
      <c r="CR56" s="575"/>
      <c r="CS56" s="575"/>
      <c r="CT56" s="575"/>
      <c r="CU56" s="575"/>
      <c r="CV56" s="575"/>
      <c r="CW56" s="575"/>
      <c r="CX56" s="575"/>
      <c r="CY56" s="575"/>
      <c r="CZ56" s="575"/>
      <c r="DA56" s="575"/>
      <c r="DB56" s="575"/>
      <c r="DC56" s="575"/>
      <c r="DD56" s="575"/>
      <c r="DE56" s="575"/>
      <c r="DF56" s="575"/>
      <c r="DG56" s="575"/>
      <c r="DH56" s="575"/>
      <c r="DI56" s="575"/>
      <c r="DJ56" s="575"/>
      <c r="DK56" s="575"/>
      <c r="DL56" s="575"/>
      <c r="DM56" s="575"/>
      <c r="DN56" s="575"/>
      <c r="DO56" s="575"/>
      <c r="DP56" s="575"/>
      <c r="DQ56" s="575"/>
      <c r="DR56" s="575"/>
      <c r="DS56" s="575"/>
      <c r="DT56" s="575"/>
      <c r="DU56" s="575"/>
      <c r="DV56" s="575"/>
      <c r="DW56" s="575"/>
      <c r="DX56" s="575"/>
      <c r="DY56" s="575"/>
      <c r="DZ56" s="575"/>
      <c r="EA56" s="575"/>
      <c r="EB56" s="575"/>
      <c r="EC56" s="575"/>
      <c r="ED56" s="575"/>
      <c r="EE56" s="575"/>
      <c r="EF56" s="575"/>
      <c r="EG56" s="575"/>
      <c r="EH56" s="575"/>
      <c r="EI56" s="575"/>
      <c r="EJ56" s="575"/>
      <c r="EK56" s="575"/>
      <c r="EL56" s="575"/>
      <c r="EM56" s="575"/>
      <c r="EN56" s="575"/>
      <c r="EO56" s="575"/>
      <c r="EP56" s="575"/>
      <c r="EQ56" s="575"/>
      <c r="ER56" s="575"/>
      <c r="ES56" s="575"/>
      <c r="ET56" s="480"/>
    </row>
    <row r="57" spans="1:150" ht="24.75" customHeight="1">
      <c r="A57" s="1942" t="s">
        <v>283</v>
      </c>
      <c r="B57" s="1923"/>
      <c r="C57" s="1923"/>
      <c r="D57" s="1923"/>
      <c r="E57" s="1923"/>
      <c r="F57" s="1942" t="s">
        <v>461</v>
      </c>
      <c r="G57" s="1923"/>
      <c r="H57" s="1923"/>
      <c r="I57" s="1923"/>
      <c r="J57" s="1923"/>
      <c r="K57" s="1923"/>
      <c r="L57" s="1923"/>
      <c r="M57" s="1923"/>
      <c r="N57" s="1923"/>
      <c r="O57" s="1923"/>
      <c r="P57" s="1923"/>
      <c r="Q57" s="1923"/>
      <c r="R57" s="1923"/>
      <c r="S57" s="1923"/>
      <c r="T57" s="1923"/>
      <c r="U57" s="1923"/>
      <c r="V57" s="1923"/>
      <c r="W57" s="1923"/>
      <c r="X57" s="1942" t="s">
        <v>462</v>
      </c>
      <c r="Y57" s="1923"/>
      <c r="Z57" s="1923"/>
      <c r="AA57" s="1923"/>
      <c r="AB57" s="1923"/>
      <c r="AC57" s="1923"/>
      <c r="AD57" s="1923"/>
      <c r="AE57" s="1923"/>
      <c r="AF57" s="1923"/>
      <c r="AG57" s="1923"/>
      <c r="AH57" s="1923"/>
      <c r="AI57" s="1942" t="s">
        <v>463</v>
      </c>
      <c r="AJ57" s="1923"/>
      <c r="AK57" s="1923"/>
      <c r="AL57" s="1923"/>
      <c r="AM57" s="1923"/>
      <c r="AN57" s="1923"/>
      <c r="AO57" s="1923"/>
      <c r="AP57" s="1923"/>
      <c r="AQ57" s="1923"/>
      <c r="AR57" s="1923"/>
      <c r="AS57" s="1923"/>
      <c r="AT57" s="1942" t="s">
        <v>464</v>
      </c>
      <c r="AU57" s="1923"/>
      <c r="AV57" s="1923"/>
      <c r="AW57" s="1923"/>
      <c r="AX57" s="1923"/>
      <c r="AY57" s="1923"/>
      <c r="AZ57" s="1923"/>
      <c r="BA57" s="1923"/>
      <c r="BB57" s="1923"/>
      <c r="BC57" s="1923"/>
      <c r="BD57" s="1923"/>
      <c r="BE57" s="1923" t="s">
        <v>285</v>
      </c>
      <c r="BF57" s="1923"/>
      <c r="BG57" s="1923"/>
      <c r="BH57" s="1923"/>
      <c r="BI57" s="1923"/>
      <c r="BJ57" s="1923"/>
      <c r="BK57" s="1923"/>
      <c r="BL57" s="1923"/>
      <c r="BM57" s="1923"/>
      <c r="BN57" s="1923"/>
      <c r="BO57" s="1923"/>
      <c r="BP57" s="1923"/>
      <c r="BQ57" s="1923"/>
      <c r="BR57" s="1923"/>
      <c r="BS57" s="1923"/>
      <c r="BT57" s="1923"/>
      <c r="BU57" s="1923"/>
      <c r="BV57" s="1923"/>
      <c r="BW57" s="1923"/>
      <c r="BX57" s="1923"/>
      <c r="BY57" s="1923"/>
      <c r="BZ57" s="1923"/>
      <c r="CA57" s="1923" t="s">
        <v>185</v>
      </c>
      <c r="CB57" s="1923"/>
      <c r="CC57" s="1923"/>
      <c r="CD57" s="1923"/>
      <c r="CE57" s="1923"/>
      <c r="CF57" s="1923"/>
      <c r="CG57" s="1923"/>
      <c r="CH57" s="1923"/>
      <c r="CI57" s="1923"/>
      <c r="CJ57" s="1923"/>
      <c r="CK57" s="1923"/>
      <c r="CL57" s="1923"/>
      <c r="CM57" s="1923"/>
      <c r="CN57" s="1923"/>
      <c r="CO57" s="1923"/>
      <c r="CP57" s="1923"/>
      <c r="CQ57" s="1923"/>
      <c r="CR57" s="1923"/>
      <c r="CS57" s="1923"/>
      <c r="CT57" s="1923"/>
      <c r="CU57" s="1923"/>
      <c r="CV57" s="1923"/>
      <c r="CW57" s="1942" t="s">
        <v>154</v>
      </c>
      <c r="CX57" s="1923"/>
      <c r="CY57" s="1923"/>
      <c r="CZ57" s="1923"/>
      <c r="DA57" s="1923"/>
      <c r="DB57" s="1923"/>
      <c r="DC57" s="1923"/>
      <c r="DD57" s="1923"/>
      <c r="DE57" s="1923"/>
      <c r="DF57" s="1923"/>
      <c r="DG57" s="1923"/>
      <c r="DH57" s="1923"/>
      <c r="DI57" s="1923"/>
      <c r="DJ57" s="1923"/>
      <c r="DK57" s="1923"/>
      <c r="DL57" s="1923"/>
      <c r="DM57" s="1923"/>
      <c r="DN57" s="1923"/>
      <c r="DO57" s="1923"/>
      <c r="DP57" s="1923"/>
      <c r="DQ57" s="1923"/>
      <c r="DR57" s="1923"/>
      <c r="DS57" s="1923"/>
      <c r="DT57" s="1923"/>
      <c r="DU57" s="1923"/>
      <c r="DV57" s="1923"/>
      <c r="DW57" s="1923"/>
      <c r="DX57" s="1923"/>
      <c r="DY57" s="1923"/>
      <c r="DZ57" s="1923"/>
      <c r="EA57" s="1923"/>
      <c r="EB57" s="1923"/>
      <c r="EC57" s="1923"/>
      <c r="ED57" s="1923"/>
      <c r="EE57" s="1923"/>
      <c r="EF57" s="1923"/>
      <c r="EG57" s="1923"/>
      <c r="EH57" s="1923"/>
      <c r="EI57" s="1923"/>
      <c r="EJ57" s="1923"/>
      <c r="EK57" s="1942" t="s">
        <v>465</v>
      </c>
      <c r="EL57" s="1923"/>
      <c r="EM57" s="1923"/>
      <c r="EN57" s="1923"/>
      <c r="EO57" s="1923"/>
      <c r="EP57" s="1923"/>
      <c r="EQ57" s="1923"/>
      <c r="ER57" s="1923"/>
      <c r="ES57" s="1923"/>
      <c r="ET57" s="480"/>
    </row>
    <row r="58" spans="1:150" ht="24.75" customHeight="1">
      <c r="A58" s="1942"/>
      <c r="B58" s="1923"/>
      <c r="C58" s="1923"/>
      <c r="D58" s="1923"/>
      <c r="E58" s="1923"/>
      <c r="F58" s="1942"/>
      <c r="G58" s="1923"/>
      <c r="H58" s="1923"/>
      <c r="I58" s="1923"/>
      <c r="J58" s="1923"/>
      <c r="K58" s="1923"/>
      <c r="L58" s="1923"/>
      <c r="M58" s="1923"/>
      <c r="N58" s="1923"/>
      <c r="O58" s="1923"/>
      <c r="P58" s="1923"/>
      <c r="Q58" s="1923"/>
      <c r="R58" s="1923"/>
      <c r="S58" s="1923"/>
      <c r="T58" s="1923"/>
      <c r="U58" s="1923"/>
      <c r="V58" s="1923"/>
      <c r="W58" s="1923"/>
      <c r="X58" s="1942"/>
      <c r="Y58" s="1923"/>
      <c r="Z58" s="1923"/>
      <c r="AA58" s="1923"/>
      <c r="AB58" s="1923"/>
      <c r="AC58" s="1923"/>
      <c r="AD58" s="1923"/>
      <c r="AE58" s="1923"/>
      <c r="AF58" s="1923"/>
      <c r="AG58" s="1923"/>
      <c r="AH58" s="1923"/>
      <c r="AI58" s="1942"/>
      <c r="AJ58" s="1923"/>
      <c r="AK58" s="1923"/>
      <c r="AL58" s="1923"/>
      <c r="AM58" s="1923"/>
      <c r="AN58" s="1923"/>
      <c r="AO58" s="1923"/>
      <c r="AP58" s="1923"/>
      <c r="AQ58" s="1923"/>
      <c r="AR58" s="1923"/>
      <c r="AS58" s="1923"/>
      <c r="AT58" s="1942"/>
      <c r="AU58" s="1923"/>
      <c r="AV58" s="1923"/>
      <c r="AW58" s="1923"/>
      <c r="AX58" s="1923"/>
      <c r="AY58" s="1923"/>
      <c r="AZ58" s="1923"/>
      <c r="BA58" s="1923"/>
      <c r="BB58" s="1923"/>
      <c r="BC58" s="1923"/>
      <c r="BD58" s="1923"/>
      <c r="BE58" s="1923"/>
      <c r="BF58" s="1923"/>
      <c r="BG58" s="1923"/>
      <c r="BH58" s="1923"/>
      <c r="BI58" s="1923"/>
      <c r="BJ58" s="1923"/>
      <c r="BK58" s="1923"/>
      <c r="BL58" s="1923"/>
      <c r="BM58" s="1923"/>
      <c r="BN58" s="1923"/>
      <c r="BO58" s="1923"/>
      <c r="BP58" s="1923"/>
      <c r="BQ58" s="1923"/>
      <c r="BR58" s="1923"/>
      <c r="BS58" s="1923"/>
      <c r="BT58" s="1923"/>
      <c r="BU58" s="1923"/>
      <c r="BV58" s="1923"/>
      <c r="BW58" s="1923"/>
      <c r="BX58" s="1923"/>
      <c r="BY58" s="1923"/>
      <c r="BZ58" s="1923"/>
      <c r="CA58" s="1923"/>
      <c r="CB58" s="1923"/>
      <c r="CC58" s="1923"/>
      <c r="CD58" s="1923"/>
      <c r="CE58" s="1923"/>
      <c r="CF58" s="1923"/>
      <c r="CG58" s="1923"/>
      <c r="CH58" s="1923"/>
      <c r="CI58" s="1923"/>
      <c r="CJ58" s="1923"/>
      <c r="CK58" s="1923"/>
      <c r="CL58" s="1923"/>
      <c r="CM58" s="1923"/>
      <c r="CN58" s="1923"/>
      <c r="CO58" s="1923"/>
      <c r="CP58" s="1923"/>
      <c r="CQ58" s="1923"/>
      <c r="CR58" s="1923"/>
      <c r="CS58" s="1923"/>
      <c r="CT58" s="1923"/>
      <c r="CU58" s="1923"/>
      <c r="CV58" s="1923"/>
      <c r="CW58" s="1942" t="s">
        <v>164</v>
      </c>
      <c r="CX58" s="1923"/>
      <c r="CY58" s="1923"/>
      <c r="CZ58" s="1923"/>
      <c r="DA58" s="1923"/>
      <c r="DB58" s="1923"/>
      <c r="DC58" s="1923"/>
      <c r="DD58" s="1923"/>
      <c r="DE58" s="1923"/>
      <c r="DF58" s="1923"/>
      <c r="DG58" s="1923"/>
      <c r="DH58" s="1923"/>
      <c r="DI58" s="1923"/>
      <c r="DJ58" s="1923"/>
      <c r="DK58" s="1923"/>
      <c r="DL58" s="1923"/>
      <c r="DM58" s="1923"/>
      <c r="DN58" s="1923"/>
      <c r="DO58" s="1923"/>
      <c r="DP58" s="1923"/>
      <c r="DQ58" s="1942" t="s">
        <v>290</v>
      </c>
      <c r="DR58" s="1923"/>
      <c r="DS58" s="1923"/>
      <c r="DT58" s="1923"/>
      <c r="DU58" s="1923"/>
      <c r="DV58" s="1923"/>
      <c r="DW58" s="1923"/>
      <c r="DX58" s="1923"/>
      <c r="DY58" s="1923"/>
      <c r="DZ58" s="1923"/>
      <c r="EA58" s="1923"/>
      <c r="EB58" s="1923"/>
      <c r="EC58" s="1923"/>
      <c r="ED58" s="1923"/>
      <c r="EE58" s="1923"/>
      <c r="EF58" s="1923"/>
      <c r="EG58" s="1923"/>
      <c r="EH58" s="1923"/>
      <c r="EI58" s="1923"/>
      <c r="EJ58" s="1923"/>
      <c r="EK58" s="1923"/>
      <c r="EL58" s="1923"/>
      <c r="EM58" s="1923"/>
      <c r="EN58" s="1923"/>
      <c r="EO58" s="1923"/>
      <c r="EP58" s="1923"/>
      <c r="EQ58" s="1923"/>
      <c r="ER58" s="1923"/>
      <c r="ES58" s="1923"/>
      <c r="ET58" s="480"/>
    </row>
    <row r="59" spans="1:150" ht="23.25" customHeight="1">
      <c r="A59" s="1923"/>
      <c r="B59" s="1923"/>
      <c r="C59" s="1923"/>
      <c r="D59" s="1923"/>
      <c r="E59" s="1923"/>
      <c r="F59" s="1923"/>
      <c r="G59" s="1923"/>
      <c r="H59" s="1923"/>
      <c r="I59" s="1923"/>
      <c r="J59" s="1923"/>
      <c r="K59" s="1923"/>
      <c r="L59" s="1923"/>
      <c r="M59" s="1923"/>
      <c r="N59" s="1923"/>
      <c r="O59" s="1923"/>
      <c r="P59" s="1923"/>
      <c r="Q59" s="1923"/>
      <c r="R59" s="1923"/>
      <c r="S59" s="1923"/>
      <c r="T59" s="1923"/>
      <c r="U59" s="1923"/>
      <c r="V59" s="1923"/>
      <c r="W59" s="1923"/>
      <c r="X59" s="1923"/>
      <c r="Y59" s="1923"/>
      <c r="Z59" s="1923"/>
      <c r="AA59" s="1923"/>
      <c r="AB59" s="1923"/>
      <c r="AC59" s="1923"/>
      <c r="AD59" s="1923"/>
      <c r="AE59" s="1923"/>
      <c r="AF59" s="1923"/>
      <c r="AG59" s="1923"/>
      <c r="AH59" s="1923"/>
      <c r="AI59" s="1923"/>
      <c r="AJ59" s="1923"/>
      <c r="AK59" s="1923"/>
      <c r="AL59" s="1923"/>
      <c r="AM59" s="1923"/>
      <c r="AN59" s="1923"/>
      <c r="AO59" s="1923"/>
      <c r="AP59" s="1923"/>
      <c r="AQ59" s="1923"/>
      <c r="AR59" s="1923"/>
      <c r="AS59" s="1923"/>
      <c r="AT59" s="1923"/>
      <c r="AU59" s="1923"/>
      <c r="AV59" s="1923"/>
      <c r="AW59" s="1923"/>
      <c r="AX59" s="1923"/>
      <c r="AY59" s="1923"/>
      <c r="AZ59" s="1923"/>
      <c r="BA59" s="1923"/>
      <c r="BB59" s="1923"/>
      <c r="BC59" s="1923"/>
      <c r="BD59" s="1923"/>
      <c r="BE59" s="1942" t="s">
        <v>18</v>
      </c>
      <c r="BF59" s="1923"/>
      <c r="BG59" s="1923"/>
      <c r="BH59" s="1923"/>
      <c r="BI59" s="1923"/>
      <c r="BJ59" s="1923"/>
      <c r="BK59" s="1923"/>
      <c r="BL59" s="1923"/>
      <c r="BM59" s="1923"/>
      <c r="BN59" s="1923"/>
      <c r="BO59" s="1923"/>
      <c r="BP59" s="1942" t="s">
        <v>287</v>
      </c>
      <c r="BQ59" s="1923"/>
      <c r="BR59" s="1923"/>
      <c r="BS59" s="1923"/>
      <c r="BT59" s="1923"/>
      <c r="BU59" s="1923"/>
      <c r="BV59" s="1923"/>
      <c r="BW59" s="1923"/>
      <c r="BX59" s="1923"/>
      <c r="BY59" s="1923"/>
      <c r="BZ59" s="1923"/>
      <c r="CA59" s="1942" t="s">
        <v>18</v>
      </c>
      <c r="CB59" s="1923"/>
      <c r="CC59" s="1923"/>
      <c r="CD59" s="1923"/>
      <c r="CE59" s="1923"/>
      <c r="CF59" s="1923"/>
      <c r="CG59" s="1923"/>
      <c r="CH59" s="1923"/>
      <c r="CI59" s="1923"/>
      <c r="CJ59" s="1923"/>
      <c r="CK59" s="1923"/>
      <c r="CL59" s="1942" t="s">
        <v>466</v>
      </c>
      <c r="CM59" s="1923"/>
      <c r="CN59" s="1923"/>
      <c r="CO59" s="1923"/>
      <c r="CP59" s="1923"/>
      <c r="CQ59" s="1923"/>
      <c r="CR59" s="1923"/>
      <c r="CS59" s="1923"/>
      <c r="CT59" s="1923"/>
      <c r="CU59" s="1923"/>
      <c r="CV59" s="1923"/>
      <c r="CW59" s="1942" t="s">
        <v>18</v>
      </c>
      <c r="CX59" s="1923"/>
      <c r="CY59" s="1923"/>
      <c r="CZ59" s="1923"/>
      <c r="DA59" s="1923"/>
      <c r="DB59" s="1923"/>
      <c r="DC59" s="1923"/>
      <c r="DD59" s="1923"/>
      <c r="DE59" s="1923"/>
      <c r="DF59" s="1923"/>
      <c r="DG59" s="1923"/>
      <c r="DH59" s="1942" t="s">
        <v>19</v>
      </c>
      <c r="DI59" s="1923"/>
      <c r="DJ59" s="1923"/>
      <c r="DK59" s="1923"/>
      <c r="DL59" s="1923"/>
      <c r="DM59" s="1923"/>
      <c r="DN59" s="1923"/>
      <c r="DO59" s="1923"/>
      <c r="DP59" s="1923"/>
      <c r="DQ59" s="1942" t="s">
        <v>18</v>
      </c>
      <c r="DR59" s="1923"/>
      <c r="DS59" s="1923"/>
      <c r="DT59" s="1923"/>
      <c r="DU59" s="1923"/>
      <c r="DV59" s="1923"/>
      <c r="DW59" s="1923"/>
      <c r="DX59" s="1923"/>
      <c r="DY59" s="1923"/>
      <c r="DZ59" s="1923"/>
      <c r="EA59" s="1923"/>
      <c r="EB59" s="1942" t="s">
        <v>19</v>
      </c>
      <c r="EC59" s="1923"/>
      <c r="ED59" s="1923"/>
      <c r="EE59" s="1923"/>
      <c r="EF59" s="1923"/>
      <c r="EG59" s="1923"/>
      <c r="EH59" s="1923"/>
      <c r="EI59" s="1923"/>
      <c r="EJ59" s="1923"/>
      <c r="EK59" s="1923"/>
      <c r="EL59" s="1923"/>
      <c r="EM59" s="1923"/>
      <c r="EN59" s="1923"/>
      <c r="EO59" s="1923"/>
      <c r="EP59" s="1923"/>
      <c r="EQ59" s="1923"/>
      <c r="ER59" s="1923"/>
      <c r="ES59" s="1923"/>
      <c r="ET59" s="480"/>
    </row>
    <row r="60" spans="1:150" ht="15" customHeight="1">
      <c r="A60" s="1923">
        <v>1</v>
      </c>
      <c r="B60" s="1923"/>
      <c r="C60" s="1923"/>
      <c r="D60" s="1923"/>
      <c r="E60" s="1923"/>
      <c r="F60" s="1923">
        <v>2</v>
      </c>
      <c r="G60" s="1923"/>
      <c r="H60" s="1923"/>
      <c r="I60" s="1923"/>
      <c r="J60" s="1923"/>
      <c r="K60" s="1923"/>
      <c r="L60" s="1923"/>
      <c r="M60" s="1923"/>
      <c r="N60" s="1923"/>
      <c r="O60" s="1923"/>
      <c r="P60" s="1923"/>
      <c r="Q60" s="1923"/>
      <c r="R60" s="1923"/>
      <c r="S60" s="1923"/>
      <c r="T60" s="1923"/>
      <c r="U60" s="1923"/>
      <c r="V60" s="1923"/>
      <c r="W60" s="1923"/>
      <c r="X60" s="1923">
        <v>3</v>
      </c>
      <c r="Y60" s="1923"/>
      <c r="Z60" s="1923"/>
      <c r="AA60" s="1923"/>
      <c r="AB60" s="1923"/>
      <c r="AC60" s="1923"/>
      <c r="AD60" s="1923"/>
      <c r="AE60" s="1923"/>
      <c r="AF60" s="1923"/>
      <c r="AG60" s="1923"/>
      <c r="AH60" s="1923"/>
      <c r="AI60" s="1923">
        <v>4</v>
      </c>
      <c r="AJ60" s="1923"/>
      <c r="AK60" s="1923"/>
      <c r="AL60" s="1923"/>
      <c r="AM60" s="1923"/>
      <c r="AN60" s="1923"/>
      <c r="AO60" s="1923"/>
      <c r="AP60" s="1923"/>
      <c r="AQ60" s="1923"/>
      <c r="AR60" s="1923"/>
      <c r="AS60" s="1923"/>
      <c r="AT60" s="1923">
        <v>5</v>
      </c>
      <c r="AU60" s="1923"/>
      <c r="AV60" s="1923"/>
      <c r="AW60" s="1923"/>
      <c r="AX60" s="1923"/>
      <c r="AY60" s="1923"/>
      <c r="AZ60" s="1923"/>
      <c r="BA60" s="1923"/>
      <c r="BB60" s="1923"/>
      <c r="BC60" s="1923"/>
      <c r="BD60" s="1923"/>
      <c r="BE60" s="1923">
        <v>6</v>
      </c>
      <c r="BF60" s="1923"/>
      <c r="BG60" s="1923"/>
      <c r="BH60" s="1923"/>
      <c r="BI60" s="1923"/>
      <c r="BJ60" s="1923"/>
      <c r="BK60" s="1923"/>
      <c r="BL60" s="1923"/>
      <c r="BM60" s="1923"/>
      <c r="BN60" s="1923"/>
      <c r="BO60" s="1923"/>
      <c r="BP60" s="1923">
        <v>7</v>
      </c>
      <c r="BQ60" s="1923"/>
      <c r="BR60" s="1923"/>
      <c r="BS60" s="1923"/>
      <c r="BT60" s="1923"/>
      <c r="BU60" s="1923"/>
      <c r="BV60" s="1923"/>
      <c r="BW60" s="1923"/>
      <c r="BX60" s="1923"/>
      <c r="BY60" s="1923"/>
      <c r="BZ60" s="1923"/>
      <c r="CA60" s="1923">
        <v>8</v>
      </c>
      <c r="CB60" s="1923"/>
      <c r="CC60" s="1923"/>
      <c r="CD60" s="1923"/>
      <c r="CE60" s="1923"/>
      <c r="CF60" s="1923"/>
      <c r="CG60" s="1923"/>
      <c r="CH60" s="1923"/>
      <c r="CI60" s="1923"/>
      <c r="CJ60" s="1923"/>
      <c r="CK60" s="1923"/>
      <c r="CL60" s="1923">
        <v>9</v>
      </c>
      <c r="CM60" s="1923"/>
      <c r="CN60" s="1923"/>
      <c r="CO60" s="1923"/>
      <c r="CP60" s="1923"/>
      <c r="CQ60" s="1923"/>
      <c r="CR60" s="1923"/>
      <c r="CS60" s="1923"/>
      <c r="CT60" s="1923"/>
      <c r="CU60" s="1923"/>
      <c r="CV60" s="1923"/>
      <c r="CW60" s="1923">
        <v>10</v>
      </c>
      <c r="CX60" s="1923"/>
      <c r="CY60" s="1923"/>
      <c r="CZ60" s="1923"/>
      <c r="DA60" s="1923"/>
      <c r="DB60" s="1923"/>
      <c r="DC60" s="1923"/>
      <c r="DD60" s="1923"/>
      <c r="DE60" s="1923"/>
      <c r="DF60" s="1923"/>
      <c r="DG60" s="1923"/>
      <c r="DH60" s="1923">
        <v>11</v>
      </c>
      <c r="DI60" s="1923"/>
      <c r="DJ60" s="1923"/>
      <c r="DK60" s="1923"/>
      <c r="DL60" s="1923"/>
      <c r="DM60" s="1923"/>
      <c r="DN60" s="1923"/>
      <c r="DO60" s="1923"/>
      <c r="DP60" s="1923"/>
      <c r="DQ60" s="1923">
        <v>12</v>
      </c>
      <c r="DR60" s="1923"/>
      <c r="DS60" s="1923"/>
      <c r="DT60" s="1923"/>
      <c r="DU60" s="1923"/>
      <c r="DV60" s="1923"/>
      <c r="DW60" s="1923"/>
      <c r="DX60" s="1923"/>
      <c r="DY60" s="1923"/>
      <c r="DZ60" s="1923"/>
      <c r="EA60" s="1923"/>
      <c r="EB60" s="1923">
        <v>13</v>
      </c>
      <c r="EC60" s="1923"/>
      <c r="ED60" s="1923"/>
      <c r="EE60" s="1923"/>
      <c r="EF60" s="1923"/>
      <c r="EG60" s="1923"/>
      <c r="EH60" s="1923"/>
      <c r="EI60" s="1923"/>
      <c r="EJ60" s="1923"/>
      <c r="EK60" s="1923">
        <v>14</v>
      </c>
      <c r="EL60" s="1923"/>
      <c r="EM60" s="1923"/>
      <c r="EN60" s="1923"/>
      <c r="EO60" s="1923"/>
      <c r="EP60" s="1923"/>
      <c r="EQ60" s="1923"/>
      <c r="ER60" s="1923"/>
      <c r="ES60" s="1923"/>
      <c r="ET60" s="480"/>
    </row>
    <row r="61" spans="1:150" ht="15" customHeight="1">
      <c r="A61" s="1907" t="s">
        <v>4</v>
      </c>
      <c r="B61" s="1908"/>
      <c r="C61" s="1908"/>
      <c r="D61" s="1908"/>
      <c r="E61" s="1909"/>
      <c r="F61" s="1910" t="s">
        <v>6</v>
      </c>
      <c r="G61" s="1911"/>
      <c r="H61" s="1911"/>
      <c r="I61" s="1911"/>
      <c r="J61" s="1911"/>
      <c r="K61" s="1911"/>
      <c r="L61" s="1911"/>
      <c r="M61" s="1911"/>
      <c r="N61" s="1911"/>
      <c r="O61" s="1911"/>
      <c r="P61" s="1911"/>
      <c r="Q61" s="1911"/>
      <c r="R61" s="1911"/>
      <c r="S61" s="1911"/>
      <c r="T61" s="1911"/>
      <c r="U61" s="1911"/>
      <c r="V61" s="1911"/>
      <c r="W61" s="1912"/>
      <c r="X61" s="1913" t="s">
        <v>7</v>
      </c>
      <c r="Y61" s="1914"/>
      <c r="Z61" s="1914"/>
      <c r="AA61" s="1914"/>
      <c r="AB61" s="1914"/>
      <c r="AC61" s="1914"/>
      <c r="AD61" s="1914"/>
      <c r="AE61" s="1914"/>
      <c r="AF61" s="1914"/>
      <c r="AG61" s="1914"/>
      <c r="AH61" s="1915"/>
      <c r="AI61" s="1916" t="s">
        <v>8</v>
      </c>
      <c r="AJ61" s="1917"/>
      <c r="AK61" s="1917"/>
      <c r="AL61" s="1917"/>
      <c r="AM61" s="1917"/>
      <c r="AN61" s="1917"/>
      <c r="AO61" s="1917"/>
      <c r="AP61" s="1917"/>
      <c r="AQ61" s="1917"/>
      <c r="AR61" s="1917"/>
      <c r="AS61" s="1918"/>
      <c r="AT61" s="1919" t="s">
        <v>9</v>
      </c>
      <c r="AU61" s="1920"/>
      <c r="AV61" s="1920"/>
      <c r="AW61" s="1920"/>
      <c r="AX61" s="1920"/>
      <c r="AY61" s="1920"/>
      <c r="AZ61" s="1920"/>
      <c r="BA61" s="1920"/>
      <c r="BB61" s="1920"/>
      <c r="BC61" s="1920"/>
      <c r="BD61" s="1921"/>
      <c r="BE61" s="1922" t="s">
        <v>16</v>
      </c>
      <c r="BF61" s="1922"/>
      <c r="BG61" s="1922"/>
      <c r="BH61" s="1922"/>
      <c r="BI61" s="1922"/>
      <c r="BJ61" s="1922"/>
      <c r="BK61" s="1922"/>
      <c r="BL61" s="1922"/>
      <c r="BM61" s="1922"/>
      <c r="BN61" s="1922"/>
      <c r="BO61" s="1922"/>
      <c r="BP61" s="1902" t="s">
        <v>17</v>
      </c>
      <c r="BQ61" s="1902"/>
      <c r="BR61" s="1902"/>
      <c r="BS61" s="1902"/>
      <c r="BT61" s="1902"/>
      <c r="BU61" s="1902"/>
      <c r="BV61" s="1902"/>
      <c r="BW61" s="1902"/>
      <c r="BX61" s="1902"/>
      <c r="BY61" s="1902"/>
      <c r="BZ61" s="1902"/>
      <c r="CA61" s="1904" t="s">
        <v>18</v>
      </c>
      <c r="CB61" s="1905"/>
      <c r="CC61" s="1905"/>
      <c r="CD61" s="1905"/>
      <c r="CE61" s="1905"/>
      <c r="CF61" s="1905"/>
      <c r="CG61" s="1905"/>
      <c r="CH61" s="1905"/>
      <c r="CI61" s="1905"/>
      <c r="CJ61" s="1905"/>
      <c r="CK61" s="1906"/>
      <c r="CL61" s="1931" t="s">
        <v>19</v>
      </c>
      <c r="CM61" s="1932"/>
      <c r="CN61" s="1932"/>
      <c r="CO61" s="1932"/>
      <c r="CP61" s="1932"/>
      <c r="CQ61" s="1932"/>
      <c r="CR61" s="1932"/>
      <c r="CS61" s="1932"/>
      <c r="CT61" s="1932"/>
      <c r="CU61" s="1932"/>
      <c r="CV61" s="1933"/>
      <c r="CW61" s="1934" t="s">
        <v>12</v>
      </c>
      <c r="CX61" s="1934"/>
      <c r="CY61" s="1934"/>
      <c r="CZ61" s="1934"/>
      <c r="DA61" s="1934"/>
      <c r="DB61" s="1934"/>
      <c r="DC61" s="1934"/>
      <c r="DD61" s="1934"/>
      <c r="DE61" s="1934"/>
      <c r="DF61" s="1934"/>
      <c r="DG61" s="1934"/>
      <c r="DH61" s="1902" t="s">
        <v>13</v>
      </c>
      <c r="DI61" s="1902"/>
      <c r="DJ61" s="1902"/>
      <c r="DK61" s="1902"/>
      <c r="DL61" s="1902"/>
      <c r="DM61" s="1902"/>
      <c r="DN61" s="1902"/>
      <c r="DO61" s="1902"/>
      <c r="DP61" s="1902"/>
      <c r="DQ61" s="1934" t="s">
        <v>10</v>
      </c>
      <c r="DR61" s="1934"/>
      <c r="DS61" s="1934"/>
      <c r="DT61" s="1934"/>
      <c r="DU61" s="1934"/>
      <c r="DV61" s="1934"/>
      <c r="DW61" s="1934"/>
      <c r="DX61" s="1934"/>
      <c r="DY61" s="1934"/>
      <c r="DZ61" s="1934"/>
      <c r="EA61" s="1934"/>
      <c r="EB61" s="1902" t="s">
        <v>11</v>
      </c>
      <c r="EC61" s="1902"/>
      <c r="ED61" s="1902"/>
      <c r="EE61" s="1902"/>
      <c r="EF61" s="1902"/>
      <c r="EG61" s="1902"/>
      <c r="EH61" s="1902"/>
      <c r="EI61" s="1902"/>
      <c r="EJ61" s="1902"/>
      <c r="EK61" s="1936"/>
      <c r="EL61" s="1936"/>
      <c r="EM61" s="1936"/>
      <c r="EN61" s="1936"/>
      <c r="EO61" s="1936"/>
      <c r="EP61" s="1936"/>
      <c r="EQ61" s="1936"/>
      <c r="ER61" s="1936"/>
      <c r="ES61" s="1936"/>
      <c r="ET61" s="480"/>
    </row>
    <row r="62" spans="1:150" ht="15" hidden="1" customHeight="1">
      <c r="A62" s="1938"/>
      <c r="B62" s="1938"/>
      <c r="C62" s="1938"/>
      <c r="D62" s="1938"/>
      <c r="E62" s="1938"/>
      <c r="F62" s="1940"/>
      <c r="G62" s="1940"/>
      <c r="H62" s="1940"/>
      <c r="I62" s="1940"/>
      <c r="J62" s="1940"/>
      <c r="K62" s="1940"/>
      <c r="L62" s="1940"/>
      <c r="M62" s="1940"/>
      <c r="N62" s="1940"/>
      <c r="O62" s="1940"/>
      <c r="P62" s="1940"/>
      <c r="Q62" s="1940"/>
      <c r="R62" s="1940"/>
      <c r="S62" s="1940"/>
      <c r="T62" s="1940"/>
      <c r="U62" s="1940"/>
      <c r="V62" s="1940"/>
      <c r="W62" s="1940"/>
      <c r="X62" s="1941"/>
      <c r="Y62" s="1941"/>
      <c r="Z62" s="1941"/>
      <c r="AA62" s="1941"/>
      <c r="AB62" s="1941"/>
      <c r="AC62" s="1941"/>
      <c r="AD62" s="1941"/>
      <c r="AE62" s="1941"/>
      <c r="AF62" s="1941"/>
      <c r="AG62" s="1941"/>
      <c r="AH62" s="1941"/>
      <c r="AI62" s="1899"/>
      <c r="AJ62" s="1899"/>
      <c r="AK62" s="1899"/>
      <c r="AL62" s="1899"/>
      <c r="AM62" s="1899"/>
      <c r="AN62" s="1899"/>
      <c r="AO62" s="1899"/>
      <c r="AP62" s="1899"/>
      <c r="AQ62" s="1899"/>
      <c r="AR62" s="1899"/>
      <c r="AS62" s="1899"/>
      <c r="AT62" s="1901">
        <v>0</v>
      </c>
      <c r="AU62" s="1901"/>
      <c r="AV62" s="1901"/>
      <c r="AW62" s="1901"/>
      <c r="AX62" s="1901"/>
      <c r="AY62" s="1901"/>
      <c r="AZ62" s="1901"/>
      <c r="BA62" s="1901"/>
      <c r="BB62" s="1901"/>
      <c r="BC62" s="1901"/>
      <c r="BD62" s="1901"/>
      <c r="BE62" s="1901"/>
      <c r="BF62" s="1901"/>
      <c r="BG62" s="1901"/>
      <c r="BH62" s="1901"/>
      <c r="BI62" s="1901"/>
      <c r="BJ62" s="1901"/>
      <c r="BK62" s="1901"/>
      <c r="BL62" s="1901"/>
      <c r="BM62" s="1901"/>
      <c r="BN62" s="1901"/>
      <c r="BO62" s="1901"/>
      <c r="BP62" s="1930"/>
      <c r="BQ62" s="1930"/>
      <c r="BR62" s="1930"/>
      <c r="BS62" s="1930"/>
      <c r="BT62" s="1930"/>
      <c r="BU62" s="1930"/>
      <c r="BV62" s="1930"/>
      <c r="BW62" s="1930"/>
      <c r="BX62" s="1930"/>
      <c r="BY62" s="1930"/>
      <c r="BZ62" s="1930"/>
      <c r="CA62" s="1901"/>
      <c r="CB62" s="1901"/>
      <c r="CC62" s="1901"/>
      <c r="CD62" s="1901"/>
      <c r="CE62" s="1901"/>
      <c r="CF62" s="1901"/>
      <c r="CG62" s="1901"/>
      <c r="CH62" s="1901"/>
      <c r="CI62" s="1901"/>
      <c r="CJ62" s="1901"/>
      <c r="CK62" s="1901"/>
      <c r="CL62" s="1930"/>
      <c r="CM62" s="1930"/>
      <c r="CN62" s="1930"/>
      <c r="CO62" s="1930"/>
      <c r="CP62" s="1930"/>
      <c r="CQ62" s="1930"/>
      <c r="CR62" s="1930"/>
      <c r="CS62" s="1930"/>
      <c r="CT62" s="1930"/>
      <c r="CU62" s="1930"/>
      <c r="CV62" s="1930"/>
      <c r="CW62" s="1935"/>
      <c r="CX62" s="1935"/>
      <c r="CY62" s="1935"/>
      <c r="CZ62" s="1935"/>
      <c r="DA62" s="1935"/>
      <c r="DB62" s="1935"/>
      <c r="DC62" s="1935"/>
      <c r="DD62" s="1935"/>
      <c r="DE62" s="1935"/>
      <c r="DF62" s="1935"/>
      <c r="DG62" s="1935"/>
      <c r="DH62" s="1935"/>
      <c r="DI62" s="1935"/>
      <c r="DJ62" s="1935"/>
      <c r="DK62" s="1935"/>
      <c r="DL62" s="1935"/>
      <c r="DM62" s="1935"/>
      <c r="DN62" s="1935"/>
      <c r="DO62" s="1935"/>
      <c r="DP62" s="1935"/>
      <c r="DQ62" s="1935"/>
      <c r="DR62" s="1935"/>
      <c r="DS62" s="1935"/>
      <c r="DT62" s="1935"/>
      <c r="DU62" s="1935"/>
      <c r="DV62" s="1935"/>
      <c r="DW62" s="1935"/>
      <c r="DX62" s="1935"/>
      <c r="DY62" s="1935"/>
      <c r="DZ62" s="1935"/>
      <c r="EA62" s="1935"/>
      <c r="EB62" s="1935"/>
      <c r="EC62" s="1935"/>
      <c r="ED62" s="1935"/>
      <c r="EE62" s="1935"/>
      <c r="EF62" s="1935"/>
      <c r="EG62" s="1935"/>
      <c r="EH62" s="1935"/>
      <c r="EI62" s="1935"/>
      <c r="EJ62" s="1935"/>
      <c r="EK62" s="1929"/>
      <c r="EL62" s="1929"/>
      <c r="EM62" s="1929"/>
      <c r="EN62" s="1929"/>
      <c r="EO62" s="1929"/>
      <c r="EP62" s="1929"/>
      <c r="EQ62" s="1929"/>
      <c r="ER62" s="1929"/>
      <c r="ES62" s="1929"/>
      <c r="ET62" s="480"/>
    </row>
    <row r="63" spans="1:150" ht="15" customHeight="1">
      <c r="A63" s="1938"/>
      <c r="B63" s="1938"/>
      <c r="C63" s="1938"/>
      <c r="D63" s="1938"/>
      <c r="E63" s="1938"/>
      <c r="F63" s="1939" t="s">
        <v>176</v>
      </c>
      <c r="G63" s="1940"/>
      <c r="H63" s="1940"/>
      <c r="I63" s="1940"/>
      <c r="J63" s="1940"/>
      <c r="K63" s="1940"/>
      <c r="L63" s="1940"/>
      <c r="M63" s="1940"/>
      <c r="N63" s="1940"/>
      <c r="O63" s="1940"/>
      <c r="P63" s="1940"/>
      <c r="Q63" s="1940"/>
      <c r="R63" s="1940"/>
      <c r="S63" s="1940"/>
      <c r="T63" s="1940"/>
      <c r="U63" s="1940"/>
      <c r="V63" s="1940"/>
      <c r="W63" s="1940"/>
      <c r="X63" s="1941"/>
      <c r="Y63" s="1941"/>
      <c r="Z63" s="1941"/>
      <c r="AA63" s="1941"/>
      <c r="AB63" s="1941"/>
      <c r="AC63" s="1941"/>
      <c r="AD63" s="1941"/>
      <c r="AE63" s="1941"/>
      <c r="AF63" s="1941"/>
      <c r="AG63" s="1941"/>
      <c r="AH63" s="1941"/>
      <c r="AI63" s="1899"/>
      <c r="AJ63" s="1899"/>
      <c r="AK63" s="1899"/>
      <c r="AL63" s="1899"/>
      <c r="AM63" s="1899"/>
      <c r="AN63" s="1899"/>
      <c r="AO63" s="1899"/>
      <c r="AP63" s="1899"/>
      <c r="AQ63" s="1899"/>
      <c r="AR63" s="1899"/>
      <c r="AS63" s="1899"/>
      <c r="AT63" s="1900" t="s">
        <v>467</v>
      </c>
      <c r="AU63" s="1901"/>
      <c r="AV63" s="1901"/>
      <c r="AW63" s="1901"/>
      <c r="AX63" s="1901"/>
      <c r="AY63" s="1901"/>
      <c r="AZ63" s="1901"/>
      <c r="BA63" s="1901"/>
      <c r="BB63" s="1901"/>
      <c r="BC63" s="1901"/>
      <c r="BD63" s="1901"/>
      <c r="BE63" s="1902"/>
      <c r="BF63" s="1902"/>
      <c r="BG63" s="1902"/>
      <c r="BH63" s="1902"/>
      <c r="BI63" s="1902"/>
      <c r="BJ63" s="1902"/>
      <c r="BK63" s="1902"/>
      <c r="BL63" s="1902"/>
      <c r="BM63" s="1902"/>
      <c r="BN63" s="1902"/>
      <c r="BO63" s="1902"/>
      <c r="BP63" s="1902"/>
      <c r="BQ63" s="1902"/>
      <c r="BR63" s="1902"/>
      <c r="BS63" s="1902"/>
      <c r="BT63" s="1902"/>
      <c r="BU63" s="1902"/>
      <c r="BV63" s="1902"/>
      <c r="BW63" s="1902"/>
      <c r="BX63" s="1902"/>
      <c r="BY63" s="1902"/>
      <c r="BZ63" s="1902"/>
      <c r="CA63" s="1902"/>
      <c r="CB63" s="1902"/>
      <c r="CC63" s="1902"/>
      <c r="CD63" s="1902"/>
      <c r="CE63" s="1902"/>
      <c r="CF63" s="1902"/>
      <c r="CG63" s="1902"/>
      <c r="CH63" s="1902"/>
      <c r="CI63" s="1902"/>
      <c r="CJ63" s="1902"/>
      <c r="CK63" s="1902"/>
      <c r="CL63" s="1902"/>
      <c r="CM63" s="1902"/>
      <c r="CN63" s="1902"/>
      <c r="CO63" s="1902"/>
      <c r="CP63" s="1902"/>
      <c r="CQ63" s="1902"/>
      <c r="CR63" s="1902"/>
      <c r="CS63" s="1902"/>
      <c r="CT63" s="1902"/>
      <c r="CU63" s="1902"/>
      <c r="CV63" s="1902"/>
      <c r="CW63" s="1902"/>
      <c r="CX63" s="1902"/>
      <c r="CY63" s="1902"/>
      <c r="CZ63" s="1902"/>
      <c r="DA63" s="1902"/>
      <c r="DB63" s="1902"/>
      <c r="DC63" s="1902"/>
      <c r="DD63" s="1902"/>
      <c r="DE63" s="1902"/>
      <c r="DF63" s="1902"/>
      <c r="DG63" s="1902"/>
      <c r="DH63" s="1902"/>
      <c r="DI63" s="1902"/>
      <c r="DJ63" s="1902"/>
      <c r="DK63" s="1902"/>
      <c r="DL63" s="1902"/>
      <c r="DM63" s="1902"/>
      <c r="DN63" s="1902"/>
      <c r="DO63" s="1902"/>
      <c r="DP63" s="1902"/>
      <c r="DQ63" s="1902"/>
      <c r="DR63" s="1902"/>
      <c r="DS63" s="1902"/>
      <c r="DT63" s="1902"/>
      <c r="DU63" s="1902"/>
      <c r="DV63" s="1902"/>
      <c r="DW63" s="1902"/>
      <c r="DX63" s="1902"/>
      <c r="DY63" s="1902"/>
      <c r="DZ63" s="1902"/>
      <c r="EA63" s="1902"/>
      <c r="EB63" s="1902"/>
      <c r="EC63" s="1902"/>
      <c r="ED63" s="1902"/>
      <c r="EE63" s="1902"/>
      <c r="EF63" s="1902"/>
      <c r="EG63" s="1902"/>
      <c r="EH63" s="1902"/>
      <c r="EI63" s="1902"/>
      <c r="EJ63" s="1902"/>
      <c r="EK63" s="1929"/>
      <c r="EL63" s="1929"/>
      <c r="EM63" s="1929"/>
      <c r="EN63" s="1929"/>
      <c r="EO63" s="1929"/>
      <c r="EP63" s="1929"/>
      <c r="EQ63" s="1929"/>
      <c r="ER63" s="1929"/>
      <c r="ES63" s="1929"/>
      <c r="ET63" s="480"/>
    </row>
    <row r="64" spans="1:150" ht="11.25" customHeight="1">
      <c r="A64" s="575" t="s">
        <v>93</v>
      </c>
      <c r="B64" s="575"/>
      <c r="C64" s="575"/>
      <c r="D64" s="575"/>
      <c r="E64" s="575"/>
      <c r="F64" s="575"/>
      <c r="G64" s="575"/>
      <c r="H64" s="575"/>
      <c r="I64" s="575"/>
      <c r="J64" s="575"/>
      <c r="K64" s="575"/>
      <c r="L64" s="575"/>
      <c r="M64" s="575"/>
      <c r="N64" s="575"/>
      <c r="O64" s="575"/>
      <c r="P64" s="575"/>
      <c r="Q64" s="575"/>
      <c r="R64" s="575"/>
      <c r="S64" s="575"/>
      <c r="T64" s="575"/>
      <c r="U64" s="575"/>
      <c r="V64" s="575"/>
      <c r="W64" s="575"/>
      <c r="X64" s="575"/>
      <c r="Y64" s="575"/>
      <c r="Z64" s="575"/>
      <c r="AA64" s="575"/>
      <c r="AB64" s="575"/>
      <c r="AC64" s="575"/>
      <c r="AD64" s="575"/>
      <c r="AE64" s="575"/>
      <c r="AF64" s="575"/>
      <c r="AG64" s="575"/>
      <c r="AH64" s="575"/>
      <c r="AI64" s="575"/>
      <c r="AJ64" s="575"/>
      <c r="AK64" s="575"/>
      <c r="AL64" s="575"/>
      <c r="AM64" s="575"/>
      <c r="AN64" s="575"/>
      <c r="AO64" s="575"/>
      <c r="AP64" s="575"/>
      <c r="AQ64" s="575"/>
      <c r="AR64" s="575"/>
      <c r="AS64" s="575"/>
      <c r="AT64" s="575"/>
      <c r="AU64" s="575"/>
      <c r="AV64" s="575"/>
      <c r="AW64" s="575"/>
      <c r="AX64" s="575"/>
      <c r="AY64" s="575"/>
      <c r="AZ64" s="575"/>
      <c r="BA64" s="575"/>
      <c r="BB64" s="575"/>
      <c r="BC64" s="575"/>
      <c r="BD64" s="575"/>
      <c r="BE64" s="575"/>
      <c r="BF64" s="575"/>
      <c r="BG64" s="575"/>
      <c r="BH64" s="575"/>
      <c r="BI64" s="575"/>
      <c r="BJ64" s="575"/>
      <c r="BK64" s="575"/>
      <c r="BL64" s="575"/>
      <c r="BM64" s="575"/>
      <c r="BN64" s="575"/>
      <c r="BO64" s="575"/>
      <c r="BP64" s="575"/>
      <c r="BQ64" s="575"/>
      <c r="BR64" s="575"/>
      <c r="BS64" s="575"/>
      <c r="BT64" s="575"/>
      <c r="BU64" s="575"/>
      <c r="BV64" s="575"/>
      <c r="BW64" s="575"/>
      <c r="BX64" s="575"/>
      <c r="BY64" s="575"/>
      <c r="BZ64" s="575"/>
      <c r="CA64" s="575"/>
      <c r="CB64" s="575"/>
      <c r="CC64" s="575"/>
      <c r="CD64" s="575"/>
      <c r="CE64" s="575"/>
      <c r="CF64" s="575"/>
      <c r="CG64" s="575"/>
      <c r="CH64" s="575"/>
      <c r="CI64" s="575"/>
      <c r="CJ64" s="575"/>
      <c r="CK64" s="575"/>
      <c r="CL64" s="575"/>
      <c r="CM64" s="575"/>
      <c r="CN64" s="575"/>
      <c r="CO64" s="575"/>
      <c r="CP64" s="575"/>
      <c r="CQ64" s="575"/>
      <c r="CR64" s="575"/>
      <c r="CS64" s="575"/>
      <c r="CT64" s="575"/>
      <c r="CU64" s="575"/>
      <c r="CV64" s="575"/>
      <c r="CW64" s="575"/>
      <c r="CX64" s="575"/>
      <c r="CY64" s="575"/>
      <c r="CZ64" s="575"/>
      <c r="DA64" s="575"/>
      <c r="DB64" s="575"/>
      <c r="DC64" s="575"/>
      <c r="DD64" s="575"/>
      <c r="DE64" s="575"/>
      <c r="DF64" s="575"/>
      <c r="DG64" s="575"/>
      <c r="DH64" s="575"/>
      <c r="DI64" s="575"/>
      <c r="DJ64" s="575"/>
      <c r="DK64" s="575"/>
      <c r="DL64" s="575"/>
      <c r="DM64" s="575"/>
      <c r="DN64" s="575"/>
      <c r="DO64" s="575"/>
      <c r="DP64" s="575"/>
      <c r="DQ64" s="575"/>
      <c r="DR64" s="575"/>
      <c r="DS64" s="575"/>
      <c r="DT64" s="575"/>
      <c r="DU64" s="575"/>
      <c r="DV64" s="575"/>
      <c r="DW64" s="575"/>
      <c r="DX64" s="575"/>
      <c r="DY64" s="575"/>
      <c r="DZ64" s="575"/>
      <c r="EA64" s="575"/>
      <c r="EB64" s="575"/>
      <c r="EC64" s="575"/>
      <c r="ED64" s="575"/>
      <c r="EE64" s="575"/>
      <c r="EF64" s="575"/>
      <c r="EG64" s="575"/>
      <c r="EH64" s="575"/>
      <c r="EI64" s="575"/>
      <c r="EJ64" s="575"/>
      <c r="EK64" s="575"/>
      <c r="EL64" s="575"/>
      <c r="EM64" s="575"/>
      <c r="EN64" s="575"/>
      <c r="EO64" s="575"/>
      <c r="EP64" s="575"/>
      <c r="EQ64" s="575"/>
      <c r="ER64" s="575"/>
      <c r="ES64" s="575"/>
      <c r="ET64" s="480"/>
    </row>
    <row r="65" spans="1:150" ht="11.25" customHeight="1">
      <c r="A65" s="1897"/>
      <c r="B65" s="1897"/>
      <c r="C65" s="1897"/>
      <c r="D65" s="1897"/>
      <c r="E65" s="1897"/>
      <c r="F65" s="1897"/>
      <c r="G65" s="1897"/>
      <c r="H65" s="1897"/>
      <c r="I65" s="1897"/>
      <c r="J65" s="1897"/>
      <c r="K65" s="1897"/>
      <c r="L65" s="1897"/>
      <c r="M65" s="1897"/>
      <c r="N65" s="1897"/>
      <c r="O65" s="1897"/>
      <c r="P65" s="1897"/>
      <c r="Q65" s="1897"/>
      <c r="R65" s="1897"/>
      <c r="S65" s="1897"/>
      <c r="T65" s="1897"/>
      <c r="U65" s="1897"/>
      <c r="V65" s="1897"/>
      <c r="W65" s="1897"/>
      <c r="X65" s="1897"/>
      <c r="Y65" s="1897"/>
      <c r="Z65" s="1897"/>
      <c r="AA65" s="1897"/>
      <c r="AB65" s="1897"/>
      <c r="AC65" s="1897"/>
      <c r="AD65" s="1897"/>
      <c r="AE65" s="1897"/>
      <c r="AF65" s="1897"/>
      <c r="AG65" s="575"/>
      <c r="AH65" s="575"/>
      <c r="AI65" s="575"/>
      <c r="AJ65" s="575"/>
      <c r="AK65" s="575"/>
      <c r="AL65" s="575"/>
      <c r="AM65" s="1897"/>
      <c r="AN65" s="1897"/>
      <c r="AO65" s="1897"/>
      <c r="AP65" s="1897"/>
      <c r="AQ65" s="1897"/>
      <c r="AR65" s="1897"/>
      <c r="AS65" s="1897"/>
      <c r="AT65" s="1897"/>
      <c r="AU65" s="1897"/>
      <c r="AV65" s="1897"/>
      <c r="AW65" s="1897"/>
      <c r="AX65" s="1897"/>
      <c r="AY65" s="1897"/>
      <c r="AZ65" s="1897"/>
      <c r="BA65" s="1897"/>
      <c r="BB65" s="1897"/>
      <c r="BC65" s="1897"/>
      <c r="BD65" s="1897"/>
      <c r="BE65" s="575"/>
      <c r="BF65" s="575"/>
      <c r="BG65" s="575"/>
      <c r="BH65" s="575"/>
      <c r="BI65" s="575"/>
      <c r="BJ65" s="575"/>
      <c r="BK65" s="575"/>
      <c r="BL65" s="575"/>
      <c r="BM65" s="1897"/>
      <c r="BN65" s="1897"/>
      <c r="BO65" s="1897"/>
      <c r="BP65" s="1897"/>
      <c r="BQ65" s="1897"/>
      <c r="BR65" s="1897"/>
      <c r="BS65" s="1897"/>
      <c r="BT65" s="1897"/>
      <c r="BU65" s="1897"/>
      <c r="BV65" s="1897"/>
      <c r="BW65" s="1897"/>
      <c r="BX65" s="1897"/>
      <c r="BY65" s="1897"/>
      <c r="BZ65" s="1897"/>
      <c r="CA65" s="1897"/>
      <c r="CB65" s="1897"/>
      <c r="CC65" s="1897"/>
      <c r="CD65" s="1897"/>
      <c r="CE65" s="1897"/>
      <c r="CF65" s="1897"/>
      <c r="CG65" s="1897"/>
      <c r="CH65" s="1897"/>
      <c r="CI65" s="1897"/>
      <c r="CJ65" s="1897"/>
      <c r="CK65" s="1897"/>
      <c r="CL65" s="1897"/>
      <c r="CM65" s="1897"/>
      <c r="CN65" s="575"/>
      <c r="CO65" s="575"/>
      <c r="CP65" s="575"/>
      <c r="CQ65" s="575"/>
      <c r="CR65" s="575"/>
      <c r="CS65" s="575"/>
      <c r="CT65" s="575"/>
      <c r="CU65" s="575"/>
      <c r="CV65" s="575"/>
      <c r="CW65" s="575"/>
      <c r="CX65" s="575"/>
      <c r="CY65" s="575"/>
      <c r="CZ65" s="575"/>
      <c r="DA65" s="575"/>
      <c r="DB65" s="575"/>
      <c r="DC65" s="575"/>
      <c r="DD65" s="575"/>
      <c r="DE65" s="575"/>
      <c r="DF65" s="575"/>
      <c r="DG65" s="575"/>
      <c r="DH65" s="575"/>
      <c r="DI65" s="575"/>
      <c r="DJ65" s="575"/>
      <c r="DK65" s="575"/>
      <c r="DL65" s="575"/>
      <c r="DM65" s="575"/>
      <c r="DN65" s="575"/>
      <c r="DO65" s="575"/>
      <c r="DP65" s="575"/>
      <c r="DQ65" s="575"/>
      <c r="DR65" s="575"/>
      <c r="DS65" s="575"/>
      <c r="DT65" s="575"/>
      <c r="DU65" s="575"/>
      <c r="DV65" s="575"/>
      <c r="DW65" s="575"/>
      <c r="DX65" s="575"/>
      <c r="DY65" s="575"/>
      <c r="DZ65" s="575"/>
      <c r="EA65" s="575"/>
      <c r="EB65" s="575"/>
      <c r="EC65" s="575"/>
      <c r="ED65" s="575"/>
      <c r="EE65" s="575"/>
      <c r="EF65" s="575"/>
      <c r="EG65" s="575"/>
      <c r="EH65" s="575"/>
      <c r="EI65" s="575"/>
      <c r="EJ65" s="575"/>
      <c r="EK65" s="575"/>
      <c r="EL65" s="575"/>
      <c r="EM65" s="575"/>
      <c r="EN65" s="575"/>
      <c r="EO65" s="575"/>
      <c r="EP65" s="575"/>
      <c r="EQ65" s="575"/>
      <c r="ER65" s="575"/>
      <c r="ES65" s="575"/>
      <c r="ET65" s="480"/>
    </row>
    <row r="66" spans="1:150" ht="11.25" customHeight="1">
      <c r="A66" s="1924" t="s">
        <v>183</v>
      </c>
      <c r="B66" s="1924"/>
      <c r="C66" s="1924"/>
      <c r="D66" s="1924"/>
      <c r="E66" s="1924"/>
      <c r="F66" s="1924"/>
      <c r="G66" s="1924"/>
      <c r="H66" s="1924"/>
      <c r="I66" s="1924"/>
      <c r="J66" s="1924"/>
      <c r="K66" s="1924"/>
      <c r="L66" s="1924"/>
      <c r="M66" s="1924"/>
      <c r="N66" s="1924"/>
      <c r="O66" s="1924"/>
      <c r="P66" s="1924"/>
      <c r="Q66" s="1924"/>
      <c r="R66" s="1924"/>
      <c r="S66" s="1924"/>
      <c r="T66" s="1924"/>
      <c r="U66" s="1924"/>
      <c r="V66" s="1924"/>
      <c r="W66" s="1924"/>
      <c r="X66" s="1924"/>
      <c r="Y66" s="1924"/>
      <c r="Z66" s="1924"/>
      <c r="AA66" s="1924"/>
      <c r="AB66" s="1924"/>
      <c r="AC66" s="1924"/>
      <c r="AD66" s="1924"/>
      <c r="AE66" s="1924"/>
      <c r="AF66" s="1924"/>
      <c r="AG66" s="575"/>
      <c r="AH66" s="575"/>
      <c r="AI66" s="575"/>
      <c r="AJ66" s="575"/>
      <c r="AK66" s="575"/>
      <c r="AL66" s="575"/>
      <c r="AM66" s="1924" t="s">
        <v>80</v>
      </c>
      <c r="AN66" s="1924"/>
      <c r="AO66" s="1924"/>
      <c r="AP66" s="1924"/>
      <c r="AQ66" s="1924"/>
      <c r="AR66" s="1924"/>
      <c r="AS66" s="1924"/>
      <c r="AT66" s="1924"/>
      <c r="AU66" s="1924"/>
      <c r="AV66" s="1924"/>
      <c r="AW66" s="1924"/>
      <c r="AX66" s="1924"/>
      <c r="AY66" s="1924"/>
      <c r="AZ66" s="1924"/>
      <c r="BA66" s="1924"/>
      <c r="BB66" s="1924"/>
      <c r="BC66" s="1924"/>
      <c r="BD66" s="1924"/>
      <c r="BE66" s="575"/>
      <c r="BF66" s="575"/>
      <c r="BG66" s="575"/>
      <c r="BH66" s="575"/>
      <c r="BI66" s="575"/>
      <c r="BJ66" s="575"/>
      <c r="BK66" s="575"/>
      <c r="BL66" s="575"/>
      <c r="BM66" s="1924" t="s">
        <v>182</v>
      </c>
      <c r="BN66" s="1924"/>
      <c r="BO66" s="1924"/>
      <c r="BP66" s="1924"/>
      <c r="BQ66" s="1924"/>
      <c r="BR66" s="1924"/>
      <c r="BS66" s="1924"/>
      <c r="BT66" s="1924"/>
      <c r="BU66" s="1924"/>
      <c r="BV66" s="1924"/>
      <c r="BW66" s="1924"/>
      <c r="BX66" s="1924"/>
      <c r="BY66" s="1924"/>
      <c r="BZ66" s="1924"/>
      <c r="CA66" s="1924"/>
      <c r="CB66" s="1924"/>
      <c r="CC66" s="1924"/>
      <c r="CD66" s="1924"/>
      <c r="CE66" s="1924"/>
      <c r="CF66" s="1924"/>
      <c r="CG66" s="1924"/>
      <c r="CH66" s="1924"/>
      <c r="CI66" s="1924"/>
      <c r="CJ66" s="1924"/>
      <c r="CK66" s="1924"/>
      <c r="CL66" s="1924"/>
      <c r="CM66" s="1924"/>
      <c r="CN66" s="575"/>
      <c r="CO66" s="575"/>
      <c r="CP66" s="575"/>
      <c r="CQ66" s="575"/>
      <c r="CR66" s="575"/>
      <c r="CS66" s="575"/>
      <c r="CT66" s="575"/>
      <c r="CU66" s="575"/>
      <c r="CV66" s="575"/>
      <c r="CW66" s="575"/>
      <c r="CX66" s="575"/>
      <c r="CY66" s="575"/>
      <c r="CZ66" s="575"/>
      <c r="DA66" s="575"/>
      <c r="DB66" s="575"/>
      <c r="DC66" s="575"/>
      <c r="DD66" s="575"/>
      <c r="DE66" s="575"/>
      <c r="DF66" s="575"/>
      <c r="DG66" s="575"/>
      <c r="DH66" s="575"/>
      <c r="DI66" s="575"/>
      <c r="DJ66" s="575"/>
      <c r="DK66" s="575"/>
      <c r="DL66" s="575"/>
      <c r="DM66" s="575"/>
      <c r="DN66" s="575"/>
      <c r="DO66" s="575"/>
      <c r="DP66" s="575"/>
      <c r="DQ66" s="575"/>
      <c r="DR66" s="575"/>
      <c r="DS66" s="588"/>
      <c r="DT66" s="575"/>
      <c r="DU66" s="575"/>
      <c r="DV66" s="575"/>
      <c r="DW66" s="575"/>
      <c r="DX66" s="575"/>
      <c r="DY66" s="575"/>
      <c r="DZ66" s="575"/>
      <c r="EA66" s="575"/>
      <c r="EB66" s="575"/>
      <c r="EC66" s="575"/>
      <c r="ED66" s="575"/>
      <c r="EE66" s="575"/>
      <c r="EF66" s="575"/>
      <c r="EG66" s="575"/>
      <c r="EH66" s="575"/>
      <c r="EI66" s="575"/>
      <c r="EJ66" s="575"/>
      <c r="EK66" s="575"/>
      <c r="EL66" s="575"/>
      <c r="EM66" s="575"/>
      <c r="EN66" s="575"/>
      <c r="EO66" s="575"/>
      <c r="EP66" s="575"/>
      <c r="EQ66" s="575"/>
      <c r="ER66" s="575"/>
      <c r="ES66" s="480"/>
      <c r="ET66" s="586"/>
    </row>
    <row r="67" spans="1:150" ht="3.2" customHeight="1">
      <c r="A67" s="575"/>
      <c r="B67" s="575"/>
      <c r="C67" s="575"/>
      <c r="D67" s="575"/>
      <c r="E67" s="575"/>
      <c r="F67" s="575"/>
      <c r="G67" s="575"/>
      <c r="H67" s="575"/>
      <c r="I67" s="575"/>
      <c r="J67" s="575"/>
      <c r="K67" s="575"/>
      <c r="L67" s="575"/>
      <c r="M67" s="575"/>
      <c r="N67" s="575"/>
      <c r="O67" s="575"/>
      <c r="P67" s="575"/>
      <c r="Q67" s="575"/>
      <c r="R67" s="575"/>
      <c r="S67" s="575"/>
      <c r="T67" s="575"/>
      <c r="U67" s="575"/>
      <c r="V67" s="575"/>
      <c r="W67" s="575"/>
      <c r="X67" s="575"/>
      <c r="Y67" s="575"/>
      <c r="Z67" s="575"/>
      <c r="AA67" s="575"/>
      <c r="AB67" s="575"/>
      <c r="AC67" s="575"/>
      <c r="AD67" s="575"/>
      <c r="AE67" s="575"/>
      <c r="AF67" s="575"/>
      <c r="AG67" s="575"/>
      <c r="AH67" s="575"/>
      <c r="AI67" s="575"/>
      <c r="AJ67" s="575"/>
      <c r="AK67" s="575"/>
      <c r="AL67" s="575"/>
      <c r="AM67" s="575"/>
      <c r="AN67" s="575"/>
      <c r="AO67" s="575"/>
      <c r="AP67" s="575"/>
      <c r="AQ67" s="575"/>
      <c r="AR67" s="575"/>
      <c r="AS67" s="575"/>
      <c r="AT67" s="575"/>
      <c r="AU67" s="575"/>
      <c r="AV67" s="575"/>
      <c r="AW67" s="575"/>
      <c r="AX67" s="575"/>
      <c r="AY67" s="575"/>
      <c r="AZ67" s="575"/>
      <c r="BA67" s="575"/>
      <c r="BB67" s="575"/>
      <c r="BC67" s="575"/>
      <c r="BD67" s="575"/>
      <c r="BE67" s="575"/>
      <c r="BF67" s="575"/>
      <c r="BG67" s="575"/>
      <c r="BH67" s="575"/>
      <c r="BI67" s="575"/>
      <c r="BJ67" s="575"/>
      <c r="BK67" s="575"/>
      <c r="BL67" s="575"/>
      <c r="BM67" s="575"/>
      <c r="BN67" s="575"/>
      <c r="BO67" s="575"/>
      <c r="BP67" s="575"/>
      <c r="BQ67" s="575"/>
      <c r="BR67" s="575"/>
      <c r="BS67" s="575"/>
      <c r="BT67" s="575"/>
      <c r="BU67" s="575"/>
      <c r="BV67" s="575"/>
      <c r="BW67" s="575"/>
      <c r="BX67" s="575"/>
      <c r="BY67" s="575"/>
      <c r="BZ67" s="575"/>
      <c r="CA67" s="575"/>
      <c r="CB67" s="575"/>
      <c r="CC67" s="575"/>
      <c r="CD67" s="575"/>
      <c r="CE67" s="575"/>
      <c r="CF67" s="575"/>
      <c r="CG67" s="575"/>
      <c r="CH67" s="575"/>
      <c r="CI67" s="575"/>
      <c r="CJ67" s="575"/>
      <c r="CK67" s="575"/>
      <c r="CL67" s="575"/>
      <c r="CM67" s="575"/>
      <c r="CN67" s="575"/>
      <c r="CO67" s="575"/>
      <c r="CP67" s="575"/>
      <c r="CQ67" s="575"/>
      <c r="CR67" s="575"/>
      <c r="CS67" s="575"/>
      <c r="CT67" s="575"/>
      <c r="CU67" s="575"/>
      <c r="CV67" s="575"/>
      <c r="CW67" s="575"/>
      <c r="CX67" s="575"/>
      <c r="CY67" s="575"/>
      <c r="CZ67" s="575"/>
      <c r="DA67" s="575"/>
      <c r="DB67" s="575"/>
      <c r="DC67" s="575"/>
      <c r="DD67" s="575"/>
      <c r="DE67" s="575"/>
      <c r="DF67" s="575"/>
      <c r="DG67" s="575"/>
      <c r="DH67" s="575"/>
      <c r="DI67" s="575"/>
      <c r="DJ67" s="575"/>
      <c r="DK67" s="575"/>
      <c r="DL67" s="575"/>
      <c r="DM67" s="575"/>
      <c r="DN67" s="575"/>
      <c r="DO67" s="575"/>
      <c r="DP67" s="575"/>
      <c r="DQ67" s="575"/>
      <c r="DR67" s="575"/>
      <c r="DS67" s="575"/>
      <c r="DT67" s="575"/>
      <c r="DU67" s="575"/>
      <c r="DV67" s="575"/>
      <c r="DW67" s="575"/>
      <c r="DX67" s="575"/>
      <c r="DY67" s="575"/>
      <c r="DZ67" s="575"/>
      <c r="EA67" s="575"/>
      <c r="EB67" s="575"/>
      <c r="EC67" s="575"/>
      <c r="ED67" s="575"/>
      <c r="EE67" s="575"/>
      <c r="EF67" s="575"/>
      <c r="EG67" s="575"/>
      <c r="EH67" s="575"/>
      <c r="EI67" s="575"/>
      <c r="EJ67" s="575"/>
      <c r="EK67" s="575"/>
      <c r="EL67" s="575"/>
      <c r="EM67" s="575"/>
      <c r="EN67" s="575"/>
      <c r="EO67" s="575"/>
      <c r="EP67" s="575"/>
      <c r="EQ67" s="575"/>
      <c r="ER67" s="575"/>
      <c r="ES67" s="575"/>
      <c r="ET67" s="480"/>
    </row>
    <row r="68" spans="1:150" ht="11.25" customHeight="1">
      <c r="A68" s="1897"/>
      <c r="B68" s="1897"/>
      <c r="C68" s="1897"/>
      <c r="D68" s="1897"/>
      <c r="E68" s="1897"/>
      <c r="F68" s="1897"/>
      <c r="G68" s="1897"/>
      <c r="H68" s="1897"/>
      <c r="I68" s="1897"/>
      <c r="J68" s="1897"/>
      <c r="K68" s="1897"/>
      <c r="L68" s="1897"/>
      <c r="M68" s="1897"/>
      <c r="N68" s="1897"/>
      <c r="O68" s="1897"/>
      <c r="P68" s="1897"/>
      <c r="Q68" s="1897"/>
      <c r="R68" s="1897"/>
      <c r="S68" s="1897"/>
      <c r="T68" s="1897"/>
      <c r="U68" s="1897"/>
      <c r="V68" s="1897"/>
      <c r="W68" s="1897"/>
      <c r="X68" s="1897"/>
      <c r="Y68" s="1897"/>
      <c r="Z68" s="1897"/>
      <c r="AA68" s="1897"/>
      <c r="AB68" s="1897"/>
      <c r="AC68" s="1897"/>
      <c r="AD68" s="1897"/>
      <c r="AE68" s="1897"/>
      <c r="AF68" s="1897"/>
      <c r="AG68" s="575"/>
      <c r="AH68" s="575"/>
      <c r="AI68" s="575"/>
      <c r="AJ68" s="575"/>
      <c r="AK68" s="575"/>
      <c r="AL68" s="575"/>
      <c r="AM68" s="1897"/>
      <c r="AN68" s="1897"/>
      <c r="AO68" s="1897"/>
      <c r="AP68" s="1897"/>
      <c r="AQ68" s="1897"/>
      <c r="AR68" s="1897"/>
      <c r="AS68" s="1897"/>
      <c r="AT68" s="1897"/>
      <c r="AU68" s="1897"/>
      <c r="AV68" s="1897"/>
      <c r="AW68" s="1897"/>
      <c r="AX68" s="1897"/>
      <c r="AY68" s="1897"/>
      <c r="AZ68" s="1897"/>
      <c r="BA68" s="1897"/>
      <c r="BB68" s="1897"/>
      <c r="BC68" s="1897"/>
      <c r="BD68" s="1897"/>
      <c r="BE68" s="575"/>
      <c r="BF68" s="575"/>
      <c r="BG68" s="575"/>
      <c r="BH68" s="575"/>
      <c r="BI68" s="575"/>
      <c r="BJ68" s="575"/>
      <c r="BK68" s="575"/>
      <c r="BL68" s="575"/>
      <c r="BM68" s="1897"/>
      <c r="BN68" s="1897"/>
      <c r="BO68" s="1897"/>
      <c r="BP68" s="1897"/>
      <c r="BQ68" s="1897"/>
      <c r="BR68" s="1897"/>
      <c r="BS68" s="1897"/>
      <c r="BT68" s="1897"/>
      <c r="BU68" s="1897"/>
      <c r="BV68" s="1897"/>
      <c r="BW68" s="1897"/>
      <c r="BX68" s="1897"/>
      <c r="BY68" s="1897"/>
      <c r="BZ68" s="1897"/>
      <c r="CA68" s="1897"/>
      <c r="CB68" s="1897"/>
      <c r="CC68" s="1897"/>
      <c r="CD68" s="1897"/>
      <c r="CE68" s="1897"/>
      <c r="CF68" s="1897"/>
      <c r="CG68" s="1897"/>
      <c r="CH68" s="1897"/>
      <c r="CI68" s="1897"/>
      <c r="CJ68" s="1897"/>
      <c r="CK68" s="1897"/>
      <c r="CL68" s="1897"/>
      <c r="CM68" s="1897"/>
      <c r="CN68" s="575"/>
      <c r="CO68" s="575"/>
      <c r="CP68" s="575"/>
      <c r="CQ68" s="575"/>
      <c r="CR68" s="575"/>
      <c r="CS68" s="575"/>
      <c r="CT68" s="575"/>
      <c r="CU68" s="575"/>
      <c r="CV68" s="575"/>
      <c r="CW68" s="575"/>
      <c r="CX68" s="575"/>
      <c r="CY68" s="575"/>
      <c r="CZ68" s="575"/>
      <c r="DA68" s="575"/>
      <c r="DB68" s="575"/>
      <c r="DC68" s="575"/>
      <c r="DD68" s="575"/>
      <c r="DE68" s="575"/>
      <c r="DF68" s="575"/>
      <c r="DG68" s="575"/>
      <c r="DH68" s="575"/>
      <c r="DI68" s="575"/>
      <c r="DJ68" s="575"/>
      <c r="DK68" s="575"/>
      <c r="DL68" s="575"/>
      <c r="DM68" s="575"/>
      <c r="DN68" s="575"/>
      <c r="DO68" s="575"/>
      <c r="DP68" s="575"/>
      <c r="DQ68" s="575"/>
      <c r="DR68" s="575"/>
      <c r="DS68" s="575"/>
      <c r="DT68" s="575"/>
      <c r="DU68" s="575"/>
      <c r="DV68" s="575"/>
      <c r="DW68" s="575"/>
      <c r="DX68" s="575"/>
      <c r="DY68" s="575"/>
      <c r="DZ68" s="575"/>
      <c r="EA68" s="575"/>
      <c r="EB68" s="575"/>
      <c r="EC68" s="575"/>
      <c r="ED68" s="575"/>
      <c r="EE68" s="575"/>
      <c r="EF68" s="575"/>
      <c r="EG68" s="575"/>
      <c r="EH68" s="575"/>
      <c r="EI68" s="575"/>
      <c r="EJ68" s="575"/>
      <c r="EK68" s="575"/>
      <c r="EL68" s="575"/>
      <c r="EM68" s="575"/>
      <c r="EN68" s="575"/>
      <c r="EO68" s="575"/>
      <c r="EP68" s="575"/>
      <c r="EQ68" s="575"/>
      <c r="ER68" s="575"/>
      <c r="ES68" s="575"/>
      <c r="ET68" s="480"/>
    </row>
    <row r="69" spans="1:150" ht="3.2" customHeight="1">
      <c r="A69" s="575"/>
      <c r="B69" s="575"/>
      <c r="C69" s="575"/>
      <c r="D69" s="575"/>
      <c r="E69" s="575"/>
      <c r="F69" s="575"/>
      <c r="G69" s="575"/>
      <c r="H69" s="575"/>
      <c r="I69" s="575"/>
      <c r="J69" s="575"/>
      <c r="K69" s="575"/>
      <c r="L69" s="575"/>
      <c r="M69" s="575"/>
      <c r="N69" s="575"/>
      <c r="O69" s="575"/>
      <c r="P69" s="575"/>
      <c r="Q69" s="575"/>
      <c r="R69" s="575"/>
      <c r="S69" s="575"/>
      <c r="T69" s="575"/>
      <c r="U69" s="575"/>
      <c r="V69" s="575"/>
      <c r="W69" s="575"/>
      <c r="X69" s="575"/>
      <c r="Y69" s="575"/>
      <c r="Z69" s="575"/>
      <c r="AA69" s="575"/>
      <c r="AB69" s="575"/>
      <c r="AC69" s="575"/>
      <c r="AD69" s="575"/>
      <c r="AE69" s="575"/>
      <c r="AF69" s="575"/>
      <c r="AG69" s="575"/>
      <c r="AH69" s="575"/>
      <c r="AI69" s="575"/>
      <c r="AJ69" s="575"/>
      <c r="AK69" s="575"/>
      <c r="AL69" s="575"/>
      <c r="AM69" s="575"/>
      <c r="AN69" s="575"/>
      <c r="AO69" s="575"/>
      <c r="AP69" s="575"/>
      <c r="AQ69" s="575"/>
      <c r="AR69" s="575"/>
      <c r="AS69" s="575"/>
      <c r="AT69" s="575"/>
      <c r="AU69" s="575"/>
      <c r="AV69" s="575"/>
      <c r="AW69" s="575"/>
      <c r="AX69" s="575"/>
      <c r="AY69" s="575"/>
      <c r="AZ69" s="575"/>
      <c r="BA69" s="575"/>
      <c r="BB69" s="575"/>
      <c r="BC69" s="575"/>
      <c r="BD69" s="575"/>
      <c r="BE69" s="575"/>
      <c r="BF69" s="575"/>
      <c r="BG69" s="575"/>
      <c r="BH69" s="575"/>
      <c r="BI69" s="575"/>
      <c r="BJ69" s="575"/>
      <c r="BK69" s="575"/>
      <c r="BL69" s="575"/>
      <c r="BM69" s="575"/>
      <c r="BN69" s="575"/>
      <c r="BO69" s="575"/>
      <c r="BP69" s="575"/>
      <c r="BQ69" s="575"/>
      <c r="BR69" s="575"/>
      <c r="BS69" s="575"/>
      <c r="BT69" s="575"/>
      <c r="BU69" s="575"/>
      <c r="BV69" s="575"/>
      <c r="BW69" s="575"/>
      <c r="BX69" s="575"/>
      <c r="BY69" s="575"/>
      <c r="BZ69" s="575"/>
      <c r="CA69" s="575"/>
      <c r="CB69" s="575"/>
      <c r="CC69" s="575"/>
      <c r="CD69" s="575"/>
      <c r="CE69" s="575"/>
      <c r="CF69" s="575"/>
      <c r="CG69" s="575"/>
      <c r="CH69" s="575"/>
      <c r="CI69" s="575"/>
      <c r="CJ69" s="575"/>
      <c r="CK69" s="575"/>
      <c r="CL69" s="575"/>
      <c r="CM69" s="575"/>
      <c r="CN69" s="575"/>
      <c r="CO69" s="575"/>
      <c r="CP69" s="575"/>
      <c r="CQ69" s="575"/>
      <c r="CR69" s="575"/>
      <c r="CS69" s="575"/>
      <c r="CT69" s="575"/>
      <c r="CU69" s="575"/>
      <c r="CV69" s="575"/>
      <c r="CW69" s="575"/>
      <c r="CX69" s="575"/>
      <c r="CY69" s="575"/>
      <c r="CZ69" s="575"/>
      <c r="DA69" s="575"/>
      <c r="DB69" s="575"/>
      <c r="DC69" s="575"/>
      <c r="DD69" s="575"/>
      <c r="DE69" s="575"/>
      <c r="DF69" s="575"/>
      <c r="DG69" s="575"/>
      <c r="DH69" s="575"/>
      <c r="DI69" s="575"/>
      <c r="DJ69" s="575"/>
      <c r="DK69" s="575"/>
      <c r="DL69" s="575"/>
      <c r="DM69" s="575"/>
      <c r="DN69" s="575"/>
      <c r="DO69" s="575"/>
      <c r="DP69" s="575"/>
      <c r="DQ69" s="575"/>
      <c r="DR69" s="575"/>
      <c r="DS69" s="575"/>
      <c r="DT69" s="575"/>
      <c r="DU69" s="575"/>
      <c r="DV69" s="575"/>
      <c r="DW69" s="575"/>
      <c r="DX69" s="575"/>
      <c r="DY69" s="575"/>
      <c r="DZ69" s="575"/>
      <c r="EA69" s="575"/>
      <c r="EB69" s="575"/>
      <c r="EC69" s="575"/>
      <c r="ED69" s="575"/>
      <c r="EE69" s="575"/>
      <c r="EF69" s="575"/>
      <c r="EG69" s="575"/>
      <c r="EH69" s="575"/>
      <c r="EI69" s="575"/>
      <c r="EJ69" s="575"/>
      <c r="EK69" s="575"/>
      <c r="EL69" s="575"/>
      <c r="EM69" s="575"/>
      <c r="EN69" s="575"/>
      <c r="EO69" s="575"/>
      <c r="EP69" s="575"/>
      <c r="EQ69" s="575"/>
      <c r="ER69" s="575"/>
      <c r="ES69" s="575"/>
      <c r="ET69" s="480"/>
    </row>
    <row r="70" spans="1:150" ht="11.25" customHeight="1">
      <c r="A70" s="1937"/>
      <c r="B70" s="1937"/>
      <c r="C70" s="1937"/>
      <c r="D70" s="1937"/>
      <c r="E70" s="1937"/>
      <c r="F70" s="1937"/>
      <c r="G70" s="1937"/>
      <c r="H70" s="1937"/>
      <c r="I70" s="1937"/>
      <c r="J70" s="1937"/>
      <c r="K70" s="1937"/>
      <c r="L70" s="1937"/>
      <c r="M70" s="1937"/>
      <c r="N70" s="1937"/>
      <c r="O70" s="1937"/>
      <c r="P70" s="1937"/>
      <c r="Q70" s="1937"/>
      <c r="R70" s="1937"/>
      <c r="S70" s="1937"/>
      <c r="T70" s="1937"/>
      <c r="U70" s="1937"/>
      <c r="V70" s="1937"/>
      <c r="W70" s="1937"/>
      <c r="X70" s="1937"/>
      <c r="Y70" s="1937"/>
      <c r="Z70" s="1937"/>
      <c r="AA70" s="1937"/>
      <c r="AB70" s="1937"/>
      <c r="AC70" s="1937"/>
      <c r="AD70" s="1937"/>
      <c r="AE70" s="1937"/>
      <c r="AF70" s="1937"/>
      <c r="AG70" s="575"/>
      <c r="AH70" s="575"/>
      <c r="AI70" s="575"/>
      <c r="AJ70" s="575"/>
      <c r="AK70" s="575"/>
      <c r="AL70" s="575"/>
      <c r="AM70" s="1937"/>
      <c r="AN70" s="1937"/>
      <c r="AO70" s="1937"/>
      <c r="AP70" s="1937"/>
      <c r="AQ70" s="1937"/>
      <c r="AR70" s="1937"/>
      <c r="AS70" s="1937"/>
      <c r="AT70" s="1937"/>
      <c r="AU70" s="1937"/>
      <c r="AV70" s="1937"/>
      <c r="AW70" s="1937"/>
      <c r="AX70" s="1937"/>
      <c r="AY70" s="1937"/>
      <c r="AZ70" s="1937"/>
      <c r="BA70" s="1937"/>
      <c r="BB70" s="1937"/>
      <c r="BC70" s="1937"/>
      <c r="BD70" s="1937"/>
      <c r="BE70" s="575"/>
      <c r="BF70" s="575"/>
      <c r="BG70" s="575"/>
      <c r="BH70" s="575"/>
      <c r="BI70" s="575"/>
      <c r="BJ70" s="575"/>
      <c r="BK70" s="575"/>
      <c r="BL70" s="575"/>
      <c r="BM70" s="1937"/>
      <c r="BN70" s="1937"/>
      <c r="BO70" s="1937"/>
      <c r="BP70" s="1937"/>
      <c r="BQ70" s="1937"/>
      <c r="BR70" s="1937"/>
      <c r="BS70" s="1937"/>
      <c r="BT70" s="1937"/>
      <c r="BU70" s="1937"/>
      <c r="BV70" s="1937"/>
      <c r="BW70" s="1937"/>
      <c r="BX70" s="1937"/>
      <c r="BY70" s="1937"/>
      <c r="BZ70" s="1937"/>
      <c r="CA70" s="1937"/>
      <c r="CB70" s="1937"/>
      <c r="CC70" s="1937"/>
      <c r="CD70" s="1937"/>
      <c r="CE70" s="1937"/>
      <c r="CF70" s="1937"/>
      <c r="CG70" s="1937"/>
      <c r="CH70" s="1937"/>
      <c r="CI70" s="1937"/>
      <c r="CJ70" s="1937"/>
      <c r="CK70" s="1937"/>
      <c r="CL70" s="1937"/>
      <c r="CM70" s="1937"/>
      <c r="CN70" s="575"/>
      <c r="CO70" s="575"/>
      <c r="CP70" s="575"/>
      <c r="CQ70" s="575"/>
      <c r="CR70" s="575"/>
      <c r="CS70" s="575"/>
      <c r="CT70" s="575"/>
      <c r="CU70" s="575"/>
      <c r="CV70" s="575"/>
      <c r="CW70" s="575"/>
      <c r="CX70" s="575"/>
      <c r="CY70" s="575"/>
      <c r="CZ70" s="575"/>
      <c r="DA70" s="575"/>
      <c r="DB70" s="575"/>
      <c r="DC70" s="575"/>
      <c r="DD70" s="575"/>
      <c r="DE70" s="575"/>
      <c r="DF70" s="575"/>
      <c r="DG70" s="575"/>
      <c r="DH70" s="575"/>
      <c r="DI70" s="575"/>
      <c r="DJ70" s="575"/>
      <c r="DK70" s="575"/>
      <c r="DL70" s="575"/>
      <c r="DM70" s="575"/>
      <c r="DN70" s="575"/>
      <c r="DO70" s="575"/>
      <c r="DP70" s="575"/>
      <c r="DQ70" s="575"/>
      <c r="DR70" s="575"/>
      <c r="DS70" s="575"/>
      <c r="DT70" s="575"/>
      <c r="DU70" s="575"/>
      <c r="DV70" s="575"/>
      <c r="DW70" s="575"/>
      <c r="DX70" s="575"/>
      <c r="DY70" s="575"/>
      <c r="DZ70" s="575"/>
      <c r="EA70" s="575"/>
      <c r="EB70" s="575"/>
      <c r="EC70" s="575"/>
      <c r="ED70" s="575"/>
      <c r="EE70" s="575"/>
      <c r="EF70" s="575"/>
      <c r="EG70" s="575"/>
      <c r="EH70" s="575"/>
      <c r="EI70" s="575"/>
      <c r="EJ70" s="575"/>
      <c r="EK70" s="575"/>
      <c r="EL70" s="575"/>
      <c r="EM70" s="575"/>
      <c r="EN70" s="575"/>
      <c r="EO70" s="575"/>
      <c r="EP70" s="575"/>
      <c r="EQ70" s="575"/>
      <c r="ER70" s="575"/>
      <c r="ES70" s="575"/>
      <c r="ET70" s="480"/>
    </row>
  </sheetData>
  <sheetProtection formatCells="0" formatColumns="0" formatRows="0" insertColumns="0" insertRows="0" insertHyperlinks="0" deleteColumns="0" deleteRows="0" sort="0" autoFilter="0" pivotTables="0"/>
  <mergeCells count="151">
    <mergeCell ref="DN13:DY14"/>
    <mergeCell ref="EA13:ES14"/>
    <mergeCell ref="L11:BN11"/>
    <mergeCell ref="DN11:DY12"/>
    <mergeCell ref="EA11:ES12"/>
    <mergeCell ref="U14:BN14"/>
    <mergeCell ref="DN19:DY20"/>
    <mergeCell ref="EA19:ES20"/>
    <mergeCell ref="DN21:DY22"/>
    <mergeCell ref="EA21:ES22"/>
    <mergeCell ref="ED1:ES1"/>
    <mergeCell ref="DU2:ES2"/>
    <mergeCell ref="A3:ES3"/>
    <mergeCell ref="A4:ES4"/>
    <mergeCell ref="BF6:BH6"/>
    <mergeCell ref="BJ6:CM6"/>
    <mergeCell ref="DN7:DY8"/>
    <mergeCell ref="EA7:ES8"/>
    <mergeCell ref="DN9:DY10"/>
    <mergeCell ref="EA9:ES10"/>
    <mergeCell ref="N10:BN10"/>
    <mergeCell ref="A24:M24"/>
    <mergeCell ref="T15:BN15"/>
    <mergeCell ref="DN15:DY16"/>
    <mergeCell ref="EA15:ES16"/>
    <mergeCell ref="T17:BN17"/>
    <mergeCell ref="EA17:ES18"/>
    <mergeCell ref="A42:Y42"/>
    <mergeCell ref="AA42:BF42"/>
    <mergeCell ref="BV42:CT42"/>
    <mergeCell ref="DJ42:ES42"/>
    <mergeCell ref="BA30:ES30"/>
    <mergeCell ref="T19:BN19"/>
    <mergeCell ref="T18:BN18"/>
    <mergeCell ref="A43:Y43"/>
    <mergeCell ref="AA43:BF43"/>
    <mergeCell ref="BV43:CT43"/>
    <mergeCell ref="DJ43:ES43"/>
    <mergeCell ref="A32:ES32"/>
    <mergeCell ref="A34:ES34"/>
    <mergeCell ref="A36:ES36"/>
    <mergeCell ref="A37:ES37"/>
    <mergeCell ref="A38:ES38"/>
    <mergeCell ref="A40:ES40"/>
    <mergeCell ref="A49:E49"/>
    <mergeCell ref="BT49:BV49"/>
    <mergeCell ref="AA45:BF45"/>
    <mergeCell ref="BV45:CT45"/>
    <mergeCell ref="DJ45:ES45"/>
    <mergeCell ref="AA47:BF47"/>
    <mergeCell ref="BV47:CT47"/>
    <mergeCell ref="DJ47:ES47"/>
    <mergeCell ref="BX49:ET49"/>
    <mergeCell ref="A57:E59"/>
    <mergeCell ref="F57:W59"/>
    <mergeCell ref="X57:AH59"/>
    <mergeCell ref="AI57:AS59"/>
    <mergeCell ref="AT57:BD59"/>
    <mergeCell ref="CW57:EJ57"/>
    <mergeCell ref="EK57:ES59"/>
    <mergeCell ref="CW58:DP58"/>
    <mergeCell ref="DQ58:EJ58"/>
    <mergeCell ref="BE59:BO59"/>
    <mergeCell ref="BP59:BZ59"/>
    <mergeCell ref="CA59:CK59"/>
    <mergeCell ref="CL59:CV59"/>
    <mergeCell ref="CW59:DG59"/>
    <mergeCell ref="DH59:DP59"/>
    <mergeCell ref="DQ59:EA59"/>
    <mergeCell ref="EB59:EJ59"/>
    <mergeCell ref="CL60:CV60"/>
    <mergeCell ref="CW60:DG60"/>
    <mergeCell ref="DH60:DP60"/>
    <mergeCell ref="DQ60:EA60"/>
    <mergeCell ref="EB62:EJ62"/>
    <mergeCell ref="EK62:ES62"/>
    <mergeCell ref="A60:E60"/>
    <mergeCell ref="F60:W60"/>
    <mergeCell ref="X60:AH60"/>
    <mergeCell ref="AI60:AS60"/>
    <mergeCell ref="AT60:BD60"/>
    <mergeCell ref="BE60:BO60"/>
    <mergeCell ref="A63:E63"/>
    <mergeCell ref="F63:W63"/>
    <mergeCell ref="X63:AH63"/>
    <mergeCell ref="A62:E62"/>
    <mergeCell ref="F62:W62"/>
    <mergeCell ref="X62:AH62"/>
    <mergeCell ref="AI62:AS62"/>
    <mergeCell ref="AT62:BD62"/>
    <mergeCell ref="BE62:BO62"/>
    <mergeCell ref="A70:AF70"/>
    <mergeCell ref="AM70:BD70"/>
    <mergeCell ref="BM70:CM70"/>
    <mergeCell ref="A65:AF65"/>
    <mergeCell ref="AM65:BD65"/>
    <mergeCell ref="BM65:CM65"/>
    <mergeCell ref="A66:AF66"/>
    <mergeCell ref="AM66:BD66"/>
    <mergeCell ref="BM66:CM66"/>
    <mergeCell ref="A68:AF68"/>
    <mergeCell ref="AM68:BD68"/>
    <mergeCell ref="BM68:CM68"/>
    <mergeCell ref="DQ55:EI55"/>
    <mergeCell ref="EK55:EM55"/>
    <mergeCell ref="CL63:CV63"/>
    <mergeCell ref="CW63:DG63"/>
    <mergeCell ref="DH63:DP63"/>
    <mergeCell ref="DQ63:EA63"/>
    <mergeCell ref="EB63:EJ63"/>
    <mergeCell ref="EK63:ES63"/>
    <mergeCell ref="BP62:BZ62"/>
    <mergeCell ref="BP63:BZ63"/>
    <mergeCell ref="CA63:CK63"/>
    <mergeCell ref="CA62:CK62"/>
    <mergeCell ref="CL61:CV61"/>
    <mergeCell ref="CW61:DG61"/>
    <mergeCell ref="DH61:DP61"/>
    <mergeCell ref="DQ61:EA61"/>
    <mergeCell ref="CL62:CV62"/>
    <mergeCell ref="CW62:DG62"/>
    <mergeCell ref="DH62:DP62"/>
    <mergeCell ref="DQ62:EA62"/>
    <mergeCell ref="EB61:EJ61"/>
    <mergeCell ref="EK61:ES61"/>
    <mergeCell ref="EB60:EJ60"/>
    <mergeCell ref="EK60:ES60"/>
    <mergeCell ref="EN55:EP55"/>
    <mergeCell ref="ER55:ES55"/>
    <mergeCell ref="AI63:AS63"/>
    <mergeCell ref="AT63:BD63"/>
    <mergeCell ref="BE63:BO63"/>
    <mergeCell ref="G51:AQ51"/>
    <mergeCell ref="BP61:BZ61"/>
    <mergeCell ref="CA61:CK61"/>
    <mergeCell ref="A61:E61"/>
    <mergeCell ref="F61:W61"/>
    <mergeCell ref="X61:AH61"/>
    <mergeCell ref="AI61:AS61"/>
    <mergeCell ref="AT61:BD61"/>
    <mergeCell ref="BE61:BO61"/>
    <mergeCell ref="BE57:BZ58"/>
    <mergeCell ref="BP60:BZ60"/>
    <mergeCell ref="CA60:CK60"/>
    <mergeCell ref="CA57:CV58"/>
    <mergeCell ref="A56:Z56"/>
    <mergeCell ref="A53:ES53"/>
    <mergeCell ref="A55:Z55"/>
    <mergeCell ref="DI55:DJ55"/>
    <mergeCell ref="DK55:DN55"/>
    <mergeCell ref="DO55:DP55"/>
  </mergeCells>
  <pageMargins left="0.78740157480314965" right="0.39370078740157483" top="0.39370078740157483" bottom="0.19685039370078741" header="0.19685039370078741" footer="0.51181102362204722"/>
  <pageSetup paperSize="9" fitToHeight="0" orientation="landscape" r:id="rId1"/>
  <headerFooter alignWithMargins="0"/>
  <rowBreaks count="1" manualBreakCount="1">
    <brk id="56" max="16383" man="1"/>
  </rowBreaks>
  <ignoredErrors>
    <ignoredError sqref="DJ42" unlockedFormula="1"/>
  </ignoredErrors>
  <legacyDrawing r:id="rId2"/>
  <controls>
    <control shapeId="1025" r:id="rId3" name="CommandButton1"/>
    <control shapeId="1026" r:id="rId4" name="CommandButton2"/>
  </controls>
</worksheet>
</file>

<file path=xl/worksheets/sheet43.xml><?xml version="1.0" encoding="utf-8"?>
<worksheet xmlns="http://schemas.openxmlformats.org/spreadsheetml/2006/main" xmlns:r="http://schemas.openxmlformats.org/officeDocument/2006/relationships">
  <sheetPr codeName="Лист31">
    <tabColor indexed="48"/>
  </sheetPr>
  <dimension ref="A1:DK439"/>
  <sheetViews>
    <sheetView workbookViewId="0">
      <selection activeCell="CA35" sqref="CA35"/>
    </sheetView>
  </sheetViews>
  <sheetFormatPr defaultColWidth="1.42578125" defaultRowHeight="12.75"/>
  <cols>
    <col min="1" max="34" width="1.42578125" style="595"/>
    <col min="35" max="35" width="1.42578125" style="595" customWidth="1"/>
    <col min="36" max="16384" width="1.42578125" style="595"/>
  </cols>
  <sheetData>
    <row r="1" spans="1:115" s="589" customFormat="1" ht="13.7" customHeight="1">
      <c r="BL1" s="590" t="s">
        <v>477</v>
      </c>
    </row>
    <row r="2" spans="1:115" s="589" customFormat="1" ht="11.25">
      <c r="BL2" s="591" t="s">
        <v>478</v>
      </c>
    </row>
    <row r="4" spans="1:115" s="589" customFormat="1">
      <c r="AI4" s="1975" t="s">
        <v>479</v>
      </c>
      <c r="AJ4" s="1975"/>
      <c r="AK4" s="1975"/>
      <c r="AL4" s="1975"/>
      <c r="AM4" s="1975"/>
      <c r="AN4" s="1975"/>
      <c r="AO4" s="1975"/>
      <c r="AP4" s="1975"/>
      <c r="AQ4" s="1975"/>
      <c r="AR4" s="1975"/>
      <c r="AS4" s="1975"/>
      <c r="AT4" s="1975"/>
      <c r="AU4" s="1975"/>
      <c r="AV4" s="1975"/>
      <c r="AW4" s="1975"/>
      <c r="AX4" s="1975"/>
      <c r="AY4" s="1975"/>
      <c r="AZ4" s="1975"/>
      <c r="BA4" s="1975"/>
      <c r="BB4" s="1975"/>
      <c r="BC4" s="1975"/>
      <c r="BD4" s="1975"/>
      <c r="BE4" s="1975"/>
      <c r="BF4" s="1975"/>
      <c r="BG4" s="1975"/>
      <c r="BH4" s="1975"/>
      <c r="BI4" s="1975"/>
      <c r="BJ4" s="1975"/>
      <c r="BK4" s="1975"/>
      <c r="BL4" s="1975"/>
    </row>
    <row r="5" spans="1:115" s="589" customFormat="1">
      <c r="A5" s="592"/>
      <c r="B5" s="593"/>
      <c r="C5" s="593"/>
      <c r="D5" s="593"/>
      <c r="E5" s="593"/>
      <c r="F5" s="593"/>
      <c r="G5" s="593"/>
      <c r="H5" s="593"/>
      <c r="I5" s="593"/>
      <c r="J5" s="593"/>
      <c r="K5" s="593"/>
      <c r="L5" s="593"/>
      <c r="M5" s="593"/>
      <c r="N5" s="593"/>
      <c r="O5" s="593"/>
      <c r="AI5" s="594" t="s">
        <v>303</v>
      </c>
      <c r="AK5" s="595"/>
      <c r="AL5" s="595"/>
      <c r="AM5" s="595"/>
      <c r="AN5" s="595"/>
      <c r="AO5" s="595"/>
      <c r="AP5" s="595"/>
      <c r="AQ5" s="1568"/>
      <c r="AR5" s="1568"/>
      <c r="AS5" s="1568"/>
      <c r="AT5" s="1568"/>
      <c r="AU5" s="1568"/>
      <c r="AV5" s="1568"/>
      <c r="AW5" s="1568"/>
      <c r="AX5" s="1568"/>
      <c r="AY5" s="1568"/>
      <c r="AZ5" s="595"/>
      <c r="BA5" s="1972" t="s">
        <v>508</v>
      </c>
      <c r="BB5" s="1972"/>
      <c r="BC5" s="1972"/>
      <c r="BD5" s="1972"/>
      <c r="BE5" s="1972"/>
      <c r="BF5" s="1972"/>
      <c r="BG5" s="1972"/>
      <c r="BH5" s="1972"/>
      <c r="BI5" s="1972"/>
      <c r="BJ5" s="1972"/>
      <c r="BK5" s="1972"/>
      <c r="BL5" s="1972"/>
    </row>
    <row r="6" spans="1:115" s="589" customFormat="1">
      <c r="A6" s="592"/>
      <c r="B6" s="593"/>
      <c r="C6" s="593"/>
      <c r="D6" s="593"/>
      <c r="E6" s="593"/>
      <c r="F6" s="593"/>
      <c r="G6" s="593"/>
      <c r="H6" s="593"/>
      <c r="I6" s="593"/>
      <c r="J6" s="593"/>
      <c r="K6" s="593"/>
      <c r="L6" s="593"/>
      <c r="M6" s="593"/>
      <c r="N6" s="593"/>
      <c r="O6" s="593"/>
      <c r="AI6" s="594" t="s">
        <v>480</v>
      </c>
      <c r="AK6" s="595"/>
      <c r="AL6" s="595"/>
      <c r="AM6" s="595"/>
      <c r="AN6" s="595"/>
      <c r="AO6" s="595"/>
      <c r="AP6" s="595"/>
      <c r="AQ6" s="1970" t="s">
        <v>80</v>
      </c>
      <c r="AR6" s="1970"/>
      <c r="AS6" s="1970"/>
      <c r="AT6" s="1970"/>
      <c r="AU6" s="1970"/>
      <c r="AV6" s="1970"/>
      <c r="AW6" s="1970"/>
      <c r="AX6" s="1970"/>
      <c r="AY6" s="1970"/>
      <c r="AZ6" s="597"/>
      <c r="BA6" s="1970" t="s">
        <v>182</v>
      </c>
      <c r="BB6" s="1970"/>
      <c r="BC6" s="1970"/>
      <c r="BD6" s="1970"/>
      <c r="BE6" s="1970"/>
      <c r="BF6" s="1970"/>
      <c r="BG6" s="1970"/>
      <c r="BH6" s="1970"/>
      <c r="BI6" s="1970"/>
      <c r="BJ6" s="1970"/>
      <c r="BK6" s="1970"/>
      <c r="BL6" s="1970"/>
    </row>
    <row r="7" spans="1:115" s="599" customFormat="1">
      <c r="A7" s="598"/>
      <c r="AI7" s="600" t="s">
        <v>83</v>
      </c>
      <c r="AJ7" s="1995"/>
      <c r="AK7" s="1995"/>
      <c r="AL7" s="1995"/>
      <c r="AM7" s="600" t="s">
        <v>84</v>
      </c>
      <c r="AN7" s="1995"/>
      <c r="AO7" s="1995"/>
      <c r="AP7" s="1995"/>
      <c r="AQ7" s="1995"/>
      <c r="AR7" s="1995"/>
      <c r="AS7" s="1995"/>
      <c r="AT7" s="1995"/>
      <c r="AU7" s="1995"/>
      <c r="AV7" s="1995"/>
      <c r="AW7" s="1995"/>
      <c r="AX7" s="601"/>
      <c r="AY7" s="601"/>
      <c r="AZ7" s="602" t="s">
        <v>460</v>
      </c>
      <c r="BA7" s="1994"/>
      <c r="BB7" s="1994"/>
      <c r="BC7" s="600" t="s">
        <v>85</v>
      </c>
      <c r="BD7" s="600"/>
      <c r="BE7" s="600"/>
      <c r="BF7" s="600"/>
      <c r="BG7" s="600"/>
      <c r="BH7" s="600"/>
      <c r="BI7" s="600"/>
      <c r="BJ7" s="600"/>
      <c r="BK7" s="600"/>
      <c r="BL7" s="600"/>
    </row>
    <row r="9" spans="1:115" s="603" customFormat="1" ht="15.75">
      <c r="AD9" s="604" t="s">
        <v>481</v>
      </c>
      <c r="AF9" s="1982"/>
      <c r="AG9" s="1982"/>
      <c r="AH9" s="1982"/>
      <c r="AI9" s="1982"/>
      <c r="AJ9" s="1982"/>
      <c r="AK9" s="1982"/>
      <c r="AL9" s="1982"/>
      <c r="AM9" s="1982"/>
      <c r="AN9" s="1982"/>
    </row>
    <row r="10" spans="1:115" s="606" customFormat="1" ht="2.25" customHeight="1">
      <c r="A10" s="1989" t="s">
        <v>482</v>
      </c>
      <c r="B10" s="1989"/>
      <c r="C10" s="1989"/>
      <c r="D10" s="1989"/>
      <c r="E10" s="1989"/>
      <c r="F10" s="1989"/>
      <c r="G10" s="1989"/>
      <c r="H10" s="1989"/>
      <c r="I10" s="1989"/>
      <c r="J10" s="1989"/>
      <c r="K10" s="1989"/>
      <c r="L10" s="1989"/>
      <c r="M10" s="1989"/>
      <c r="N10" s="1989"/>
      <c r="O10" s="1989"/>
      <c r="P10" s="1989"/>
      <c r="Q10" s="1989"/>
      <c r="R10" s="1989"/>
      <c r="S10" s="1989"/>
      <c r="T10" s="1989"/>
      <c r="U10" s="1989"/>
      <c r="V10" s="1989"/>
      <c r="W10" s="1989"/>
      <c r="X10" s="1989"/>
      <c r="Y10" s="1989"/>
      <c r="Z10" s="1989"/>
      <c r="AA10" s="1989"/>
      <c r="AB10" s="1989"/>
      <c r="AC10" s="1989"/>
      <c r="AD10" s="1989"/>
      <c r="AE10" s="1989"/>
      <c r="AF10" s="1989"/>
      <c r="AG10" s="1989"/>
      <c r="AH10" s="1989"/>
      <c r="AI10" s="1989"/>
      <c r="AJ10" s="1989"/>
      <c r="AK10" s="1989"/>
      <c r="AL10" s="1989"/>
      <c r="AM10" s="1989"/>
      <c r="AN10" s="1989"/>
      <c r="AO10" s="1989"/>
      <c r="AP10" s="1989"/>
      <c r="AQ10" s="1989"/>
      <c r="AR10" s="1989"/>
      <c r="AS10" s="1989"/>
      <c r="AT10" s="1989"/>
      <c r="AU10" s="1989"/>
      <c r="AV10" s="1989"/>
      <c r="AW10" s="1989"/>
      <c r="AX10" s="1989"/>
      <c r="AY10" s="1989"/>
      <c r="AZ10" s="1989"/>
      <c r="BA10" s="1989"/>
      <c r="BB10" s="1989"/>
      <c r="BC10" s="605"/>
      <c r="BD10" s="605"/>
      <c r="BE10" s="605"/>
      <c r="BF10" s="605"/>
      <c r="BG10" s="605"/>
      <c r="BH10" s="605"/>
      <c r="BI10" s="605"/>
      <c r="BJ10" s="605"/>
      <c r="BK10" s="605"/>
      <c r="BL10" s="605"/>
    </row>
    <row r="11" spans="1:115" ht="13.5" thickBot="1">
      <c r="A11" s="1989"/>
      <c r="B11" s="1989"/>
      <c r="C11" s="1989"/>
      <c r="D11" s="1989"/>
      <c r="E11" s="1989"/>
      <c r="F11" s="1989"/>
      <c r="G11" s="1989"/>
      <c r="H11" s="1989"/>
      <c r="I11" s="1989"/>
      <c r="J11" s="1989"/>
      <c r="K11" s="1989"/>
      <c r="L11" s="1989"/>
      <c r="M11" s="1989"/>
      <c r="N11" s="1989"/>
      <c r="O11" s="1989"/>
      <c r="P11" s="1989"/>
      <c r="Q11" s="1989"/>
      <c r="R11" s="1989"/>
      <c r="S11" s="1989"/>
      <c r="T11" s="1989"/>
      <c r="U11" s="1989"/>
      <c r="V11" s="1989"/>
      <c r="W11" s="1989"/>
      <c r="X11" s="1989"/>
      <c r="Y11" s="1989"/>
      <c r="Z11" s="1989"/>
      <c r="AA11" s="1989"/>
      <c r="AB11" s="1989"/>
      <c r="AC11" s="1989"/>
      <c r="AD11" s="1989"/>
      <c r="AE11" s="1989"/>
      <c r="AF11" s="1989"/>
      <c r="AG11" s="1989"/>
      <c r="AH11" s="1989"/>
      <c r="AI11" s="1989"/>
      <c r="AJ11" s="1989"/>
      <c r="AK11" s="1989"/>
      <c r="AL11" s="1989"/>
      <c r="AM11" s="1989"/>
      <c r="AN11" s="1989"/>
      <c r="AO11" s="1989"/>
      <c r="AP11" s="1989"/>
      <c r="AQ11" s="1989"/>
      <c r="AR11" s="1989"/>
      <c r="AS11" s="1989"/>
      <c r="AT11" s="1989"/>
      <c r="AU11" s="1989"/>
      <c r="AV11" s="1989"/>
      <c r="AW11" s="1989"/>
      <c r="AX11" s="1989"/>
      <c r="AY11" s="1989"/>
      <c r="AZ11" s="1989"/>
      <c r="BA11" s="1989"/>
      <c r="BB11" s="1989"/>
      <c r="BC11" s="1990" t="s">
        <v>266</v>
      </c>
      <c r="BD11" s="1990"/>
      <c r="BE11" s="1990"/>
      <c r="BF11" s="1990"/>
      <c r="BG11" s="1990"/>
      <c r="BH11" s="1990"/>
      <c r="BI11" s="1990"/>
      <c r="BJ11" s="1990"/>
      <c r="BK11" s="1990"/>
      <c r="BL11" s="1990"/>
    </row>
    <row r="12" spans="1:115" ht="13.7" customHeight="1">
      <c r="BA12" s="607" t="s">
        <v>56</v>
      </c>
      <c r="BC12" s="1991" t="s">
        <v>483</v>
      </c>
      <c r="BD12" s="1992"/>
      <c r="BE12" s="1992"/>
      <c r="BF12" s="1992"/>
      <c r="BG12" s="1992"/>
      <c r="BH12" s="1992"/>
      <c r="BI12" s="1992"/>
      <c r="BJ12" s="1992"/>
      <c r="BK12" s="1992"/>
      <c r="BL12" s="1993"/>
    </row>
    <row r="13" spans="1:115" ht="13.7" customHeight="1">
      <c r="S13" s="607" t="s">
        <v>484</v>
      </c>
      <c r="T13" s="1973" t="s">
        <v>438</v>
      </c>
      <c r="U13" s="1973"/>
      <c r="V13" s="1973"/>
      <c r="W13" s="608" t="s">
        <v>84</v>
      </c>
      <c r="X13" s="1973" t="s">
        <v>439</v>
      </c>
      <c r="Y13" s="1973"/>
      <c r="Z13" s="1973"/>
      <c r="AA13" s="1973"/>
      <c r="AB13" s="1973"/>
      <c r="AC13" s="1973"/>
      <c r="AD13" s="1973"/>
      <c r="AE13" s="1973"/>
      <c r="AF13" s="1973"/>
      <c r="AG13" s="1973"/>
      <c r="AI13" s="1974" t="s">
        <v>440</v>
      </c>
      <c r="AJ13" s="1974"/>
      <c r="AK13" s="1974"/>
      <c r="AL13" s="1974"/>
      <c r="AM13" s="595" t="s">
        <v>85</v>
      </c>
      <c r="BA13" s="607" t="s">
        <v>269</v>
      </c>
      <c r="BC13" s="1983" t="s">
        <v>31</v>
      </c>
      <c r="BD13" s="1984"/>
      <c r="BE13" s="1984"/>
      <c r="BF13" s="1984"/>
      <c r="BG13" s="1984"/>
      <c r="BH13" s="1984"/>
      <c r="BI13" s="1984"/>
      <c r="BJ13" s="1984"/>
      <c r="BK13" s="1984"/>
      <c r="BL13" s="1985"/>
    </row>
    <row r="14" spans="1:115" ht="13.7" customHeight="1">
      <c r="A14" s="595" t="s">
        <v>270</v>
      </c>
      <c r="H14" s="609"/>
      <c r="I14" s="1976" t="s">
        <v>35</v>
      </c>
      <c r="J14" s="1976"/>
      <c r="K14" s="1976"/>
      <c r="L14" s="1976"/>
      <c r="M14" s="1976"/>
      <c r="N14" s="1976"/>
      <c r="O14" s="1976"/>
      <c r="P14" s="1976"/>
      <c r="Q14" s="1976"/>
      <c r="R14" s="1976"/>
      <c r="S14" s="1976"/>
      <c r="T14" s="1976"/>
      <c r="U14" s="1976"/>
      <c r="V14" s="1976"/>
      <c r="W14" s="1976"/>
      <c r="X14" s="1976"/>
      <c r="Y14" s="1976"/>
      <c r="Z14" s="1976"/>
      <c r="AA14" s="1976"/>
      <c r="AB14" s="1976"/>
      <c r="AC14" s="1976"/>
      <c r="AD14" s="1976"/>
      <c r="AE14" s="1976"/>
      <c r="AF14" s="1976"/>
      <c r="AG14" s="1976"/>
      <c r="AH14" s="1976"/>
      <c r="AI14" s="1976"/>
      <c r="AJ14" s="1976"/>
      <c r="AK14" s="1976"/>
      <c r="AL14" s="1976"/>
      <c r="AM14" s="1976"/>
      <c r="AN14" s="1976"/>
      <c r="AO14" s="1976"/>
      <c r="AP14" s="1976"/>
      <c r="AQ14" s="1976"/>
      <c r="AR14" s="1976"/>
      <c r="AS14" s="1976"/>
      <c r="AT14" s="1976"/>
      <c r="BA14" s="607" t="s">
        <v>57</v>
      </c>
      <c r="BC14" s="1983" t="s">
        <v>34</v>
      </c>
      <c r="BD14" s="1984"/>
      <c r="BE14" s="1984"/>
      <c r="BF14" s="1984"/>
      <c r="BG14" s="1984"/>
      <c r="BH14" s="1984"/>
      <c r="BI14" s="1984"/>
      <c r="BJ14" s="1984"/>
      <c r="BK14" s="1984"/>
      <c r="BL14" s="1985"/>
      <c r="BQ14" s="609"/>
      <c r="BR14" s="609"/>
      <c r="BS14" s="609"/>
      <c r="BT14" s="609"/>
      <c r="BU14" s="609"/>
      <c r="BV14" s="609"/>
      <c r="BW14" s="609"/>
      <c r="BX14" s="609"/>
      <c r="BY14" s="609"/>
      <c r="BZ14" s="609"/>
      <c r="CA14" s="609"/>
      <c r="CB14" s="609"/>
      <c r="CC14" s="609"/>
      <c r="CD14" s="609"/>
      <c r="CE14" s="609"/>
      <c r="CF14" s="609"/>
      <c r="CG14" s="609"/>
      <c r="CH14" s="609"/>
      <c r="CI14" s="609"/>
      <c r="CJ14" s="609"/>
      <c r="CK14" s="609"/>
      <c r="CL14" s="609"/>
      <c r="CM14" s="609"/>
      <c r="CN14" s="609"/>
      <c r="CO14" s="609"/>
      <c r="CP14" s="609"/>
      <c r="CQ14" s="609"/>
      <c r="CR14" s="609"/>
      <c r="CS14" s="609"/>
      <c r="CT14" s="609"/>
      <c r="CU14" s="609"/>
      <c r="CV14" s="609"/>
      <c r="CW14" s="609"/>
      <c r="CX14" s="609"/>
      <c r="CY14" s="609"/>
      <c r="CZ14" s="609"/>
      <c r="DA14" s="609"/>
      <c r="DB14" s="609"/>
      <c r="DC14" s="609"/>
      <c r="DD14" s="609"/>
      <c r="DE14" s="609"/>
      <c r="DF14" s="609"/>
      <c r="DG14" s="609"/>
      <c r="DH14" s="609"/>
      <c r="DI14" s="609"/>
      <c r="DJ14" s="609"/>
      <c r="DK14" s="609"/>
    </row>
    <row r="15" spans="1:115" ht="13.7" customHeight="1" thickBot="1">
      <c r="A15" s="595" t="s">
        <v>272</v>
      </c>
      <c r="T15" s="1978" t="s">
        <v>476</v>
      </c>
      <c r="U15" s="1978"/>
      <c r="V15" s="1978"/>
      <c r="W15" s="1978"/>
      <c r="X15" s="1978"/>
      <c r="Y15" s="1978"/>
      <c r="Z15" s="1978"/>
      <c r="AA15" s="1978"/>
      <c r="AB15" s="1978"/>
      <c r="AC15" s="1978"/>
      <c r="AD15" s="1978"/>
      <c r="AE15" s="1978"/>
      <c r="AF15" s="1978"/>
      <c r="AG15" s="1978"/>
      <c r="AH15" s="1978"/>
      <c r="AI15" s="1978"/>
      <c r="AJ15" s="1978"/>
      <c r="AK15" s="1978"/>
      <c r="AL15" s="1978"/>
      <c r="AM15" s="1978"/>
      <c r="AN15" s="1978"/>
      <c r="AO15" s="1978"/>
      <c r="AP15" s="1978"/>
      <c r="AQ15" s="1978"/>
      <c r="AR15" s="1978"/>
      <c r="AS15" s="1978"/>
      <c r="AT15" s="1978"/>
      <c r="BA15" s="607"/>
      <c r="BC15" s="1986"/>
      <c r="BD15" s="1987"/>
      <c r="BE15" s="1987"/>
      <c r="BF15" s="1987"/>
      <c r="BG15" s="1987"/>
      <c r="BH15" s="1987"/>
      <c r="BI15" s="1987"/>
      <c r="BJ15" s="1987"/>
      <c r="BK15" s="1987"/>
      <c r="BL15" s="1988"/>
      <c r="BQ15" s="609"/>
      <c r="BR15" s="609"/>
      <c r="BS15" s="609"/>
      <c r="BT15" s="609"/>
      <c r="BU15" s="609"/>
      <c r="BV15" s="609"/>
      <c r="BW15" s="609"/>
      <c r="BX15" s="609"/>
      <c r="BY15" s="609"/>
      <c r="BZ15" s="609"/>
      <c r="CA15" s="609"/>
      <c r="CB15" s="609"/>
      <c r="CC15" s="609"/>
      <c r="CD15" s="609"/>
      <c r="CE15" s="609"/>
      <c r="CF15" s="609"/>
      <c r="CG15" s="609"/>
      <c r="CH15" s="609"/>
      <c r="CI15" s="609"/>
      <c r="CJ15" s="609"/>
      <c r="CK15" s="609"/>
      <c r="CL15" s="609"/>
      <c r="CM15" s="609"/>
      <c r="CN15" s="609"/>
      <c r="CO15" s="609"/>
      <c r="CP15" s="609"/>
      <c r="CQ15" s="609"/>
      <c r="CR15" s="609"/>
      <c r="CS15" s="609"/>
      <c r="CT15" s="609"/>
      <c r="CU15" s="609"/>
      <c r="CV15" s="609"/>
      <c r="CW15" s="609"/>
      <c r="CX15" s="609"/>
      <c r="CY15" s="609"/>
      <c r="CZ15" s="609"/>
      <c r="DA15" s="609"/>
      <c r="DB15" s="609"/>
      <c r="DC15" s="609"/>
      <c r="DD15" s="609"/>
      <c r="DE15" s="609"/>
      <c r="DF15" s="609"/>
      <c r="DG15" s="609"/>
      <c r="DH15" s="609"/>
      <c r="DI15" s="609"/>
      <c r="DJ15" s="609"/>
      <c r="DK15" s="609"/>
    </row>
    <row r="16" spans="1:115">
      <c r="BQ16" s="609"/>
      <c r="BR16" s="609"/>
      <c r="BS16" s="609"/>
      <c r="BT16" s="609"/>
      <c r="BU16" s="609"/>
      <c r="BV16" s="609"/>
      <c r="BW16" s="609"/>
      <c r="BX16" s="609"/>
      <c r="BY16" s="609"/>
      <c r="BZ16" s="609"/>
      <c r="CA16" s="609"/>
      <c r="CB16" s="609"/>
      <c r="CC16" s="609"/>
      <c r="CD16" s="609"/>
      <c r="CE16" s="609"/>
      <c r="CF16" s="609"/>
      <c r="CG16" s="609"/>
      <c r="CH16" s="609"/>
      <c r="CI16" s="609"/>
      <c r="CJ16" s="609"/>
      <c r="CK16" s="609"/>
      <c r="CL16" s="609"/>
      <c r="CM16" s="609"/>
      <c r="CN16" s="609"/>
      <c r="CO16" s="609"/>
      <c r="CP16" s="609"/>
      <c r="CQ16" s="609"/>
      <c r="CR16" s="609"/>
      <c r="CS16" s="609"/>
      <c r="CT16" s="609"/>
      <c r="CU16" s="609"/>
      <c r="CV16" s="609"/>
      <c r="CW16" s="609"/>
      <c r="CX16" s="609"/>
      <c r="CY16" s="609"/>
      <c r="CZ16" s="609"/>
      <c r="DA16" s="609"/>
      <c r="DB16" s="609"/>
      <c r="DC16" s="609"/>
      <c r="DD16" s="609"/>
      <c r="DE16" s="609"/>
      <c r="DF16" s="609"/>
      <c r="DG16" s="609"/>
      <c r="DH16" s="609"/>
      <c r="DI16" s="609"/>
      <c r="DJ16" s="609"/>
      <c r="DK16" s="609"/>
    </row>
    <row r="17" spans="1:115" ht="15" customHeight="1">
      <c r="A17" s="595" t="s">
        <v>485</v>
      </c>
      <c r="M17" s="1976" t="s">
        <v>470</v>
      </c>
      <c r="N17" s="1976"/>
      <c r="O17" s="1976"/>
      <c r="P17" s="1976"/>
      <c r="Q17" s="1976"/>
      <c r="R17" s="1976"/>
      <c r="S17" s="1976"/>
      <c r="T17" s="1976"/>
      <c r="U17" s="1976"/>
      <c r="V17" s="1976"/>
      <c r="W17" s="1976"/>
      <c r="X17" s="1976"/>
      <c r="Y17" s="1976"/>
      <c r="Z17" s="1976"/>
      <c r="AA17" s="1976"/>
      <c r="AB17" s="1976"/>
      <c r="AC17" s="1976"/>
      <c r="AD17" s="1976"/>
      <c r="AE17" s="1976"/>
      <c r="AF17" s="1976"/>
      <c r="AG17" s="1976"/>
      <c r="AH17" s="1976"/>
      <c r="AI17" s="1976"/>
      <c r="AJ17" s="1976"/>
      <c r="AK17" s="1976"/>
      <c r="AL17" s="1976"/>
      <c r="AM17" s="1976"/>
      <c r="AN17" s="1976"/>
      <c r="AO17" s="1976"/>
      <c r="AP17" s="1976"/>
      <c r="AQ17" s="1976"/>
      <c r="AR17" s="1976"/>
      <c r="AS17" s="1976"/>
      <c r="AT17" s="1976"/>
      <c r="AU17" s="1976"/>
      <c r="AV17" s="1976"/>
      <c r="AW17" s="1976"/>
      <c r="AX17" s="1976"/>
      <c r="AY17" s="1976"/>
      <c r="AZ17" s="1976"/>
      <c r="BA17" s="1976"/>
      <c r="BB17" s="1976"/>
      <c r="BC17" s="1976"/>
      <c r="BD17" s="1976"/>
      <c r="BE17" s="1976"/>
      <c r="BF17" s="1976"/>
      <c r="BG17" s="1976"/>
      <c r="BH17" s="1976"/>
      <c r="BI17" s="1976"/>
      <c r="BJ17" s="1976"/>
      <c r="BK17" s="1976"/>
      <c r="BL17" s="1976"/>
      <c r="BQ17" s="609"/>
      <c r="BR17" s="609"/>
      <c r="BS17" s="609"/>
      <c r="BT17" s="609"/>
      <c r="BU17" s="609"/>
      <c r="BV17" s="609"/>
      <c r="BW17" s="609"/>
      <c r="BX17" s="609"/>
      <c r="BY17" s="609"/>
      <c r="BZ17" s="609"/>
      <c r="CA17" s="609"/>
      <c r="CB17" s="609"/>
      <c r="CC17" s="609"/>
      <c r="CD17" s="609"/>
      <c r="CE17" s="609"/>
      <c r="CF17" s="609"/>
      <c r="CG17" s="609"/>
      <c r="CH17" s="609"/>
      <c r="CI17" s="609"/>
      <c r="CJ17" s="609"/>
      <c r="CK17" s="609"/>
      <c r="CL17" s="609"/>
      <c r="CM17" s="609"/>
      <c r="CN17" s="609"/>
      <c r="CO17" s="609"/>
      <c r="CP17" s="609"/>
      <c r="CQ17" s="609"/>
      <c r="CR17" s="609"/>
      <c r="CS17" s="609"/>
      <c r="CT17" s="609"/>
      <c r="CU17" s="609"/>
      <c r="CV17" s="609"/>
      <c r="CW17" s="609"/>
      <c r="CX17" s="609"/>
      <c r="CY17" s="609"/>
      <c r="CZ17" s="609"/>
      <c r="DA17" s="609"/>
      <c r="DB17" s="609"/>
      <c r="DC17" s="609"/>
      <c r="DD17" s="609"/>
      <c r="DE17" s="609"/>
      <c r="DF17" s="609"/>
      <c r="DG17" s="609"/>
      <c r="DH17" s="609"/>
      <c r="DI17" s="609"/>
      <c r="DJ17" s="609"/>
      <c r="DK17" s="609"/>
    </row>
    <row r="18" spans="1:115" s="610" customFormat="1" ht="10.5">
      <c r="M18" s="1977" t="s">
        <v>486</v>
      </c>
      <c r="N18" s="1977"/>
      <c r="O18" s="1977"/>
      <c r="P18" s="1977"/>
      <c r="Q18" s="1977"/>
      <c r="R18" s="1977"/>
      <c r="S18" s="1977"/>
      <c r="T18" s="1977"/>
      <c r="U18" s="1977"/>
      <c r="V18" s="1977"/>
      <c r="W18" s="1977"/>
      <c r="X18" s="1977"/>
      <c r="Y18" s="1977"/>
      <c r="Z18" s="1977"/>
      <c r="AA18" s="1977"/>
      <c r="AB18" s="1977"/>
      <c r="AC18" s="1977"/>
      <c r="AD18" s="1977"/>
      <c r="AE18" s="1977"/>
      <c r="AF18" s="1977"/>
      <c r="AG18" s="1977"/>
      <c r="AH18" s="1977"/>
      <c r="AI18" s="1977"/>
      <c r="AJ18" s="1977"/>
      <c r="AK18" s="1977"/>
      <c r="AL18" s="1977"/>
      <c r="AM18" s="1977"/>
      <c r="AN18" s="1977"/>
      <c r="AO18" s="1977"/>
      <c r="AP18" s="1977"/>
      <c r="AQ18" s="1977"/>
      <c r="AR18" s="1977"/>
      <c r="AS18" s="1977"/>
      <c r="AT18" s="1977"/>
      <c r="AU18" s="1977"/>
      <c r="AV18" s="1977"/>
      <c r="AW18" s="1977"/>
      <c r="AX18" s="1977"/>
      <c r="AY18" s="1977"/>
      <c r="AZ18" s="1977"/>
      <c r="BA18" s="1977"/>
      <c r="BB18" s="1977"/>
      <c r="BC18" s="1977"/>
      <c r="BD18" s="1977"/>
      <c r="BE18" s="1977"/>
      <c r="BF18" s="1977"/>
      <c r="BG18" s="1977"/>
      <c r="BH18" s="1977"/>
      <c r="BI18" s="1977"/>
      <c r="BJ18" s="1977"/>
      <c r="BK18" s="1977"/>
      <c r="BL18" s="1977"/>
      <c r="BQ18" s="611"/>
      <c r="BR18" s="611"/>
      <c r="BS18" s="612"/>
      <c r="BT18" s="612"/>
      <c r="BU18" s="612"/>
      <c r="BV18" s="612"/>
      <c r="BW18" s="612"/>
      <c r="BX18" s="612"/>
      <c r="BY18" s="612"/>
      <c r="BZ18" s="612"/>
      <c r="CA18" s="612"/>
      <c r="CB18" s="612"/>
      <c r="CC18" s="612"/>
      <c r="CD18" s="612"/>
      <c r="CE18" s="612"/>
      <c r="CF18" s="612"/>
      <c r="CG18" s="612"/>
      <c r="CH18" s="612"/>
      <c r="CI18" s="612"/>
      <c r="CJ18" s="612"/>
      <c r="CK18" s="611"/>
      <c r="CL18" s="611"/>
      <c r="CM18" s="611"/>
      <c r="CN18" s="611"/>
      <c r="CO18" s="611"/>
      <c r="CP18" s="611"/>
      <c r="CQ18" s="611"/>
      <c r="CR18" s="611"/>
      <c r="CS18" s="611"/>
      <c r="CT18" s="611"/>
      <c r="CU18" s="611"/>
      <c r="CV18" s="611"/>
      <c r="CW18" s="611"/>
      <c r="CX18" s="611"/>
      <c r="CY18" s="611"/>
      <c r="CZ18" s="611"/>
      <c r="DA18" s="611"/>
      <c r="DB18" s="611"/>
      <c r="DC18" s="611"/>
      <c r="DD18" s="611"/>
      <c r="DE18" s="611"/>
      <c r="DF18" s="611"/>
      <c r="DG18" s="611"/>
      <c r="DH18" s="611"/>
      <c r="DI18" s="611"/>
      <c r="DJ18" s="611"/>
      <c r="DK18" s="611"/>
    </row>
    <row r="19" spans="1:115" ht="15" customHeight="1">
      <c r="A19" s="1976" t="s">
        <v>471</v>
      </c>
      <c r="B19" s="1976"/>
      <c r="C19" s="1976"/>
      <c r="D19" s="1976"/>
      <c r="E19" s="1976"/>
      <c r="F19" s="1976"/>
      <c r="G19" s="1976"/>
      <c r="H19" s="1976"/>
      <c r="I19" s="1976"/>
      <c r="J19" s="1976"/>
      <c r="K19" s="1976"/>
      <c r="L19" s="1976"/>
      <c r="M19" s="1976"/>
      <c r="N19" s="1976"/>
      <c r="O19" s="1976"/>
      <c r="P19" s="1976"/>
      <c r="Q19" s="1976"/>
      <c r="R19" s="1976"/>
      <c r="S19" s="1976"/>
      <c r="T19" s="1976"/>
      <c r="U19" s="1976"/>
      <c r="V19" s="1976"/>
      <c r="W19" s="1976"/>
      <c r="X19" s="1976"/>
      <c r="Y19" s="1976"/>
      <c r="Z19" s="1976"/>
      <c r="AA19" s="1976"/>
      <c r="AB19" s="1976"/>
      <c r="AC19" s="1976"/>
      <c r="AD19" s="1976"/>
      <c r="AE19" s="1976"/>
      <c r="AF19" s="1976"/>
      <c r="AG19" s="1976"/>
      <c r="AH19" s="1976"/>
      <c r="AI19" s="1976"/>
      <c r="AJ19" s="1976"/>
      <c r="AK19" s="1976"/>
      <c r="AL19" s="1976"/>
      <c r="AM19" s="1976"/>
      <c r="AN19" s="1976"/>
      <c r="AO19" s="1976"/>
      <c r="AP19" s="1976"/>
      <c r="AQ19" s="1976"/>
      <c r="AR19" s="1976"/>
      <c r="AS19" s="1976"/>
      <c r="AT19" s="1976"/>
      <c r="AU19" s="1976"/>
      <c r="AV19" s="1976"/>
      <c r="AW19" s="1976"/>
      <c r="AX19" s="1976"/>
      <c r="AY19" s="1976"/>
      <c r="AZ19" s="1976"/>
      <c r="BA19" s="1976"/>
      <c r="BB19" s="1976"/>
      <c r="BC19" s="1976"/>
      <c r="BD19" s="1976"/>
      <c r="BE19" s="1976"/>
      <c r="BF19" s="1976"/>
      <c r="BG19" s="1976"/>
      <c r="BH19" s="1976"/>
      <c r="BI19" s="1976"/>
      <c r="BJ19" s="1976"/>
      <c r="BK19" s="1976"/>
      <c r="BL19" s="1976"/>
      <c r="BQ19" s="609"/>
      <c r="BR19" s="609"/>
      <c r="BS19" s="613"/>
      <c r="BT19" s="613"/>
      <c r="BU19" s="613"/>
      <c r="BV19" s="613"/>
      <c r="BW19" s="613"/>
      <c r="BX19" s="613"/>
      <c r="BY19" s="613"/>
      <c r="BZ19" s="613"/>
      <c r="CA19" s="613"/>
      <c r="CB19" s="613"/>
      <c r="CC19" s="613"/>
      <c r="CD19" s="613"/>
      <c r="CE19" s="613"/>
      <c r="CF19" s="613"/>
      <c r="CG19" s="613"/>
      <c r="CH19" s="613"/>
      <c r="CI19" s="613"/>
      <c r="CJ19" s="613"/>
      <c r="CK19" s="609"/>
      <c r="CL19" s="609"/>
      <c r="CM19" s="609"/>
      <c r="CN19" s="609"/>
      <c r="CO19" s="609"/>
      <c r="CP19" s="609"/>
      <c r="CQ19" s="609"/>
      <c r="CR19" s="609"/>
      <c r="CS19" s="609"/>
      <c r="CT19" s="609"/>
      <c r="CU19" s="609"/>
      <c r="CV19" s="609"/>
      <c r="CW19" s="609"/>
      <c r="CX19" s="609"/>
      <c r="CY19" s="609"/>
      <c r="CZ19" s="609"/>
      <c r="DA19" s="609"/>
      <c r="DB19" s="609"/>
      <c r="DC19" s="609"/>
      <c r="DD19" s="609"/>
      <c r="DE19" s="609"/>
      <c r="DF19" s="609"/>
      <c r="DG19" s="609"/>
      <c r="DH19" s="609"/>
      <c r="DI19" s="609"/>
      <c r="DJ19" s="609"/>
      <c r="DK19" s="609"/>
    </row>
    <row r="20" spans="1:115" ht="15" customHeight="1">
      <c r="A20" s="1976" t="s">
        <v>472</v>
      </c>
      <c r="B20" s="1976"/>
      <c r="C20" s="1976"/>
      <c r="D20" s="1976"/>
      <c r="E20" s="1976"/>
      <c r="F20" s="1976"/>
      <c r="G20" s="1976"/>
      <c r="H20" s="1976"/>
      <c r="I20" s="1976"/>
      <c r="J20" s="1976"/>
      <c r="K20" s="1976"/>
      <c r="L20" s="1976"/>
      <c r="M20" s="1976"/>
      <c r="N20" s="1976"/>
      <c r="O20" s="1976"/>
      <c r="P20" s="1976"/>
      <c r="Q20" s="1976"/>
      <c r="R20" s="1976"/>
      <c r="S20" s="1976"/>
      <c r="T20" s="1976"/>
      <c r="U20" s="1976"/>
      <c r="V20" s="1976"/>
      <c r="W20" s="1976"/>
      <c r="X20" s="1976"/>
      <c r="Y20" s="1976"/>
      <c r="Z20" s="1976"/>
      <c r="AA20" s="1976"/>
      <c r="AB20" s="1976"/>
      <c r="AC20" s="1976"/>
      <c r="AD20" s="1976"/>
      <c r="AE20" s="1976"/>
      <c r="AF20" s="1976"/>
      <c r="AG20" s="1976"/>
      <c r="AH20" s="1976"/>
      <c r="AI20" s="1976"/>
      <c r="AJ20" s="1976"/>
      <c r="AK20" s="1976"/>
      <c r="AL20" s="1976"/>
      <c r="AM20" s="1976"/>
      <c r="AN20" s="1976"/>
      <c r="AO20" s="1976"/>
      <c r="AP20" s="1976"/>
      <c r="AQ20" s="1976"/>
      <c r="AR20" s="1976"/>
      <c r="AS20" s="1976"/>
      <c r="AT20" s="1976"/>
      <c r="AU20" s="1976"/>
      <c r="AV20" s="1976"/>
      <c r="AW20" s="1976"/>
      <c r="AX20" s="1976"/>
      <c r="AY20" s="1976"/>
      <c r="AZ20" s="1976"/>
      <c r="BA20" s="1976"/>
      <c r="BB20" s="1976"/>
      <c r="BC20" s="1976"/>
      <c r="BD20" s="1976"/>
      <c r="BE20" s="1976"/>
      <c r="BF20" s="1976"/>
      <c r="BG20" s="1976"/>
      <c r="BH20" s="1976"/>
      <c r="BI20" s="1976"/>
      <c r="BJ20" s="1976"/>
      <c r="BK20" s="1976"/>
      <c r="BL20" s="1976"/>
      <c r="BQ20" s="609"/>
      <c r="BR20" s="609"/>
      <c r="BS20" s="613"/>
      <c r="BT20" s="613"/>
      <c r="BU20" s="613"/>
      <c r="BV20" s="613"/>
      <c r="BW20" s="613"/>
      <c r="BX20" s="613"/>
      <c r="BY20" s="613"/>
      <c r="BZ20" s="613"/>
      <c r="CA20" s="613"/>
      <c r="CB20" s="613"/>
      <c r="CC20" s="613"/>
      <c r="CD20" s="613"/>
      <c r="CE20" s="613"/>
      <c r="CF20" s="613"/>
      <c r="CG20" s="613"/>
      <c r="CH20" s="613"/>
      <c r="CI20" s="613"/>
      <c r="CJ20" s="613"/>
      <c r="CK20" s="609"/>
      <c r="CL20" s="609"/>
      <c r="CM20" s="609"/>
      <c r="CN20" s="609"/>
      <c r="CO20" s="609"/>
      <c r="CP20" s="609"/>
      <c r="CQ20" s="609"/>
      <c r="CR20" s="609"/>
      <c r="CS20" s="609"/>
      <c r="CT20" s="609"/>
      <c r="CU20" s="609"/>
      <c r="CV20" s="609"/>
      <c r="CW20" s="609"/>
      <c r="CX20" s="609"/>
      <c r="CY20" s="609"/>
      <c r="CZ20" s="609"/>
      <c r="DA20" s="609"/>
      <c r="DB20" s="609"/>
      <c r="DC20" s="609"/>
      <c r="DD20" s="609"/>
      <c r="DE20" s="609"/>
      <c r="DF20" s="609"/>
      <c r="DG20" s="609"/>
      <c r="DH20" s="609"/>
      <c r="DI20" s="609"/>
      <c r="DJ20" s="609"/>
      <c r="DK20" s="609"/>
    </row>
    <row r="21" spans="1:115" ht="15" customHeight="1">
      <c r="A21" s="1976" t="s">
        <v>473</v>
      </c>
      <c r="B21" s="1976"/>
      <c r="C21" s="1976"/>
      <c r="D21" s="1976"/>
      <c r="E21" s="1976"/>
      <c r="F21" s="1976"/>
      <c r="G21" s="1976"/>
      <c r="H21" s="1976"/>
      <c r="I21" s="1976"/>
      <c r="J21" s="1976"/>
      <c r="K21" s="1976"/>
      <c r="L21" s="1976"/>
      <c r="M21" s="1976"/>
      <c r="N21" s="1976"/>
      <c r="O21" s="1976"/>
      <c r="P21" s="1976"/>
      <c r="Q21" s="1976"/>
      <c r="R21" s="1976"/>
      <c r="S21" s="1976"/>
      <c r="T21" s="1976"/>
      <c r="U21" s="1976"/>
      <c r="V21" s="1976"/>
      <c r="W21" s="1976"/>
      <c r="X21" s="1976"/>
      <c r="Y21" s="1976"/>
      <c r="Z21" s="1976"/>
      <c r="AA21" s="1976"/>
      <c r="AB21" s="1976"/>
      <c r="AC21" s="1976"/>
      <c r="AD21" s="1976"/>
      <c r="AE21" s="1976"/>
      <c r="AF21" s="1976"/>
      <c r="AG21" s="1976"/>
      <c r="AH21" s="1976"/>
      <c r="AI21" s="1976"/>
      <c r="AJ21" s="1976"/>
      <c r="AK21" s="1976"/>
      <c r="AL21" s="1976"/>
      <c r="AM21" s="1976"/>
      <c r="AN21" s="1976"/>
      <c r="AO21" s="1976"/>
      <c r="AP21" s="1976"/>
      <c r="AQ21" s="1976"/>
      <c r="AR21" s="1976"/>
      <c r="AS21" s="1976"/>
      <c r="AT21" s="1976"/>
      <c r="AU21" s="1976"/>
      <c r="AV21" s="1976"/>
      <c r="AW21" s="1976"/>
      <c r="AX21" s="1976"/>
      <c r="AY21" s="1976"/>
      <c r="AZ21" s="1976"/>
      <c r="BA21" s="1976"/>
      <c r="BB21" s="1976"/>
      <c r="BC21" s="1976"/>
      <c r="BD21" s="1976"/>
      <c r="BE21" s="1976"/>
      <c r="BF21" s="1976"/>
      <c r="BG21" s="1976"/>
      <c r="BH21" s="1976"/>
      <c r="BI21" s="1976"/>
      <c r="BJ21" s="1976"/>
      <c r="BK21" s="1976"/>
      <c r="BL21" s="1976"/>
      <c r="BQ21" s="609"/>
      <c r="BR21" s="609"/>
      <c r="BS21" s="613"/>
      <c r="BT21" s="613"/>
      <c r="BU21" s="613"/>
      <c r="BV21" s="613"/>
      <c r="BW21" s="613"/>
      <c r="BX21" s="613"/>
      <c r="BY21" s="613"/>
      <c r="BZ21" s="613"/>
      <c r="CA21" s="613"/>
      <c r="CB21" s="613"/>
      <c r="CC21" s="613"/>
      <c r="CD21" s="613"/>
      <c r="CE21" s="613"/>
      <c r="CF21" s="613"/>
      <c r="CG21" s="613"/>
      <c r="CH21" s="613"/>
      <c r="CI21" s="613"/>
      <c r="CJ21" s="613"/>
      <c r="CK21" s="609"/>
      <c r="CL21" s="609"/>
      <c r="CM21" s="609"/>
      <c r="CN21" s="609"/>
      <c r="CO21" s="609"/>
      <c r="CP21" s="609"/>
      <c r="CQ21" s="609"/>
      <c r="CR21" s="609"/>
      <c r="CS21" s="609"/>
      <c r="CT21" s="609"/>
      <c r="CU21" s="609"/>
      <c r="CV21" s="609"/>
      <c r="CW21" s="609"/>
      <c r="CX21" s="609"/>
      <c r="CY21" s="609"/>
      <c r="CZ21" s="609"/>
      <c r="DA21" s="609"/>
      <c r="DB21" s="609"/>
      <c r="DC21" s="609"/>
      <c r="DD21" s="609"/>
      <c r="DE21" s="609"/>
      <c r="DF21" s="609"/>
      <c r="DG21" s="609"/>
      <c r="DH21" s="609"/>
      <c r="DI21" s="609"/>
      <c r="DJ21" s="609"/>
      <c r="DK21" s="609"/>
    </row>
    <row r="22" spans="1:115" ht="15" customHeight="1">
      <c r="A22" s="1976" t="s">
        <v>474</v>
      </c>
      <c r="B22" s="1976"/>
      <c r="C22" s="1976"/>
      <c r="D22" s="1976"/>
      <c r="E22" s="1976"/>
      <c r="F22" s="1976"/>
      <c r="G22" s="1976"/>
      <c r="H22" s="1976"/>
      <c r="I22" s="1976"/>
      <c r="J22" s="1976"/>
      <c r="K22" s="1976"/>
      <c r="L22" s="1976"/>
      <c r="M22" s="1976"/>
      <c r="N22" s="1976"/>
      <c r="O22" s="1976"/>
      <c r="P22" s="1976"/>
      <c r="Q22" s="1976"/>
      <c r="R22" s="1976"/>
      <c r="S22" s="1976"/>
      <c r="T22" s="1976"/>
      <c r="U22" s="1976"/>
      <c r="V22" s="1976"/>
      <c r="W22" s="1976"/>
      <c r="X22" s="1976"/>
      <c r="Y22" s="1976"/>
      <c r="Z22" s="1976"/>
      <c r="AA22" s="1976"/>
      <c r="AB22" s="1976"/>
      <c r="AC22" s="1976"/>
      <c r="AD22" s="1976"/>
      <c r="AE22" s="1976"/>
      <c r="AF22" s="1976"/>
      <c r="AG22" s="1976"/>
      <c r="AH22" s="1976"/>
      <c r="AI22" s="1976"/>
      <c r="AJ22" s="1976"/>
      <c r="AK22" s="1976"/>
      <c r="AL22" s="1976"/>
      <c r="AM22" s="1976"/>
      <c r="AN22" s="1976"/>
      <c r="AO22" s="1976"/>
      <c r="AP22" s="1976"/>
      <c r="AQ22" s="1976"/>
      <c r="AR22" s="1976"/>
      <c r="AS22" s="1976"/>
      <c r="AT22" s="1976"/>
      <c r="AU22" s="1976"/>
      <c r="AV22" s="1976"/>
      <c r="AW22" s="1976"/>
      <c r="AX22" s="1976"/>
      <c r="AY22" s="1976"/>
      <c r="AZ22" s="1976"/>
      <c r="BA22" s="1976"/>
      <c r="BB22" s="1976"/>
      <c r="BC22" s="1976"/>
      <c r="BD22" s="1976"/>
      <c r="BE22" s="1976"/>
      <c r="BF22" s="1976"/>
      <c r="BG22" s="1976"/>
      <c r="BH22" s="1976"/>
      <c r="BI22" s="1976"/>
      <c r="BJ22" s="1976"/>
      <c r="BK22" s="1976"/>
      <c r="BL22" s="1976"/>
      <c r="BQ22" s="609"/>
      <c r="BR22" s="609"/>
      <c r="BS22" s="613"/>
      <c r="BT22" s="613"/>
      <c r="BU22" s="613"/>
      <c r="BV22" s="613"/>
      <c r="BW22" s="613"/>
      <c r="BX22" s="613"/>
      <c r="BY22" s="613"/>
      <c r="BZ22" s="613"/>
      <c r="CA22" s="613"/>
      <c r="CB22" s="613"/>
      <c r="CC22" s="613"/>
      <c r="CD22" s="613"/>
      <c r="CE22" s="613"/>
      <c r="CF22" s="613"/>
      <c r="CG22" s="613"/>
      <c r="CH22" s="613"/>
      <c r="CI22" s="613"/>
      <c r="CJ22" s="613"/>
      <c r="CK22" s="609"/>
      <c r="CL22" s="609"/>
      <c r="CM22" s="609"/>
      <c r="CN22" s="609"/>
      <c r="CO22" s="609"/>
      <c r="CP22" s="609"/>
      <c r="CQ22" s="609"/>
      <c r="CR22" s="609"/>
      <c r="CS22" s="609"/>
      <c r="CT22" s="609"/>
      <c r="CU22" s="609"/>
      <c r="CV22" s="609"/>
      <c r="CW22" s="609"/>
      <c r="CX22" s="609"/>
      <c r="CY22" s="609"/>
      <c r="CZ22" s="609"/>
      <c r="DA22" s="609"/>
      <c r="DB22" s="609"/>
      <c r="DC22" s="609"/>
      <c r="DD22" s="609"/>
      <c r="DE22" s="609"/>
      <c r="DF22" s="609"/>
      <c r="DG22" s="609"/>
      <c r="DH22" s="609"/>
      <c r="DI22" s="609"/>
      <c r="DJ22" s="609"/>
      <c r="DK22" s="609"/>
    </row>
    <row r="23" spans="1:115" ht="15" customHeight="1">
      <c r="A23" s="1978" t="s">
        <v>475</v>
      </c>
      <c r="B23" s="1978"/>
      <c r="C23" s="1978"/>
      <c r="D23" s="1978"/>
      <c r="E23" s="1978"/>
      <c r="F23" s="1978"/>
      <c r="G23" s="1978"/>
      <c r="H23" s="1978"/>
      <c r="I23" s="1978"/>
      <c r="J23" s="1978"/>
      <c r="K23" s="1978"/>
      <c r="L23" s="1978"/>
      <c r="M23" s="1978"/>
      <c r="N23" s="1978"/>
      <c r="O23" s="1978"/>
      <c r="P23" s="1978"/>
      <c r="Q23" s="1978"/>
      <c r="R23" s="1978"/>
      <c r="S23" s="1978"/>
      <c r="T23" s="1978"/>
      <c r="U23" s="1978"/>
      <c r="V23" s="1978"/>
      <c r="W23" s="1978"/>
      <c r="X23" s="1978"/>
      <c r="Y23" s="1978"/>
      <c r="Z23" s="1978"/>
      <c r="AA23" s="1978"/>
      <c r="AB23" s="1978"/>
      <c r="AC23" s="1978"/>
      <c r="AD23" s="1978"/>
      <c r="AE23" s="1978"/>
      <c r="AF23" s="1978"/>
      <c r="AG23" s="1978"/>
      <c r="AH23" s="1978"/>
      <c r="AI23" s="1978"/>
      <c r="AJ23" s="1978"/>
      <c r="AK23" s="1978"/>
      <c r="AL23" s="1978"/>
      <c r="AM23" s="1978"/>
      <c r="AN23" s="1978"/>
      <c r="AO23" s="1978"/>
      <c r="AP23" s="1978"/>
      <c r="AQ23" s="1978"/>
      <c r="AR23" s="1978"/>
      <c r="AS23" s="1978"/>
      <c r="AT23" s="1978"/>
      <c r="AU23" s="1978"/>
      <c r="AV23" s="1978"/>
      <c r="AW23" s="1978"/>
      <c r="AX23" s="1978"/>
      <c r="AY23" s="1978"/>
      <c r="AZ23" s="1978"/>
      <c r="BA23" s="1978"/>
      <c r="BB23" s="1978"/>
      <c r="BC23" s="1978"/>
      <c r="BD23" s="1978"/>
      <c r="BE23" s="1978"/>
      <c r="BF23" s="1978"/>
      <c r="BG23" s="1978"/>
      <c r="BH23" s="1978"/>
      <c r="BI23" s="1978"/>
      <c r="BJ23" s="1978"/>
      <c r="BK23" s="1978"/>
      <c r="BL23" s="623" t="s">
        <v>130</v>
      </c>
      <c r="BQ23" s="609"/>
      <c r="BR23" s="609"/>
      <c r="BS23" s="613"/>
      <c r="BT23" s="613"/>
      <c r="BU23" s="613"/>
      <c r="BV23" s="613"/>
      <c r="BW23" s="613"/>
      <c r="BX23" s="613"/>
      <c r="BY23" s="613"/>
      <c r="BZ23" s="613"/>
      <c r="CA23" s="613"/>
      <c r="CB23" s="613"/>
      <c r="CC23" s="613"/>
      <c r="CD23" s="613"/>
      <c r="CE23" s="613"/>
      <c r="CF23" s="613"/>
      <c r="CG23" s="613"/>
      <c r="CH23" s="613"/>
      <c r="CI23" s="613"/>
      <c r="CJ23" s="613"/>
      <c r="CK23" s="609"/>
      <c r="CL23" s="609"/>
      <c r="CM23" s="609"/>
      <c r="CN23" s="609"/>
      <c r="CO23" s="609"/>
      <c r="CP23" s="609"/>
      <c r="CQ23" s="609"/>
      <c r="CR23" s="609"/>
      <c r="CS23" s="609"/>
      <c r="CT23" s="609"/>
      <c r="CU23" s="609"/>
      <c r="CV23" s="609"/>
      <c r="CW23" s="609"/>
      <c r="CX23" s="609"/>
      <c r="CY23" s="609"/>
      <c r="CZ23" s="609"/>
      <c r="DA23" s="609"/>
      <c r="DB23" s="609"/>
      <c r="DC23" s="609"/>
      <c r="DD23" s="609"/>
      <c r="DE23" s="609"/>
      <c r="DF23" s="609"/>
      <c r="DG23" s="609"/>
      <c r="DH23" s="609"/>
      <c r="DI23" s="609"/>
      <c r="DJ23" s="609"/>
      <c r="DK23" s="609"/>
    </row>
    <row r="24" spans="1:115" ht="15" customHeight="1">
      <c r="A24" s="595" t="s">
        <v>487</v>
      </c>
      <c r="Z24" s="595" t="s">
        <v>83</v>
      </c>
      <c r="AA24" s="1644" t="s">
        <v>509</v>
      </c>
      <c r="AB24" s="1644"/>
      <c r="AC24" s="609" t="s">
        <v>84</v>
      </c>
      <c r="AD24" s="1971" t="s">
        <v>510</v>
      </c>
      <c r="AE24" s="1971"/>
      <c r="AF24" s="1971"/>
      <c r="AG24" s="1971"/>
      <c r="AH24" s="1971"/>
      <c r="AI24" s="1971"/>
      <c r="AJ24" s="1971"/>
      <c r="AK24" s="1971"/>
      <c r="AL24" s="1971"/>
      <c r="AM24" s="609"/>
      <c r="AN24" s="1979" t="s">
        <v>511</v>
      </c>
      <c r="AO24" s="1979"/>
      <c r="AP24" s="1979"/>
      <c r="AQ24" s="1979"/>
      <c r="AR24" s="595" t="s">
        <v>488</v>
      </c>
      <c r="AS24" s="609"/>
      <c r="AU24" s="1644" t="s">
        <v>331</v>
      </c>
      <c r="AV24" s="1644"/>
      <c r="AW24" s="1644"/>
      <c r="AX24" s="1644"/>
      <c r="AY24" s="1644"/>
      <c r="BL24" s="607" t="s">
        <v>489</v>
      </c>
      <c r="BQ24" s="609"/>
      <c r="BR24" s="609"/>
      <c r="BS24" s="614"/>
      <c r="CN24" s="609"/>
      <c r="CP24" s="609"/>
      <c r="CQ24" s="609"/>
      <c r="CR24" s="609"/>
      <c r="CS24" s="609"/>
      <c r="CT24" s="609"/>
      <c r="CU24" s="609"/>
      <c r="CV24" s="609"/>
      <c r="CW24" s="609"/>
      <c r="CX24" s="609"/>
      <c r="CY24" s="609"/>
      <c r="CZ24" s="609"/>
      <c r="DA24" s="609"/>
      <c r="DB24" s="609"/>
      <c r="DC24" s="609"/>
      <c r="DD24" s="609"/>
      <c r="DE24" s="609"/>
      <c r="DF24" s="609"/>
      <c r="DG24" s="609"/>
      <c r="DH24" s="609"/>
      <c r="DI24" s="609"/>
      <c r="DJ24" s="609"/>
      <c r="DK24" s="609"/>
    </row>
    <row r="25" spans="1:115" ht="15" customHeight="1">
      <c r="A25" s="595" t="s">
        <v>490</v>
      </c>
      <c r="P25" s="595" t="s">
        <v>83</v>
      </c>
      <c r="Q25" s="1644" t="str">
        <f>T13</f>
        <v>Data_d</v>
      </c>
      <c r="R25" s="1971"/>
      <c r="S25" s="609" t="s">
        <v>84</v>
      </c>
      <c r="T25" s="1644" t="str">
        <f>X13</f>
        <v>Data_m</v>
      </c>
      <c r="U25" s="1971"/>
      <c r="V25" s="1971"/>
      <c r="W25" s="1971"/>
      <c r="X25" s="1971"/>
      <c r="Y25" s="1971"/>
      <c r="Z25" s="1971"/>
      <c r="AA25" s="1971"/>
      <c r="AB25" s="1971"/>
      <c r="AC25" s="1971"/>
      <c r="AD25" s="601"/>
      <c r="AE25" s="1980" t="str">
        <f>AI13</f>
        <v>Data_y</v>
      </c>
      <c r="AF25" s="1981"/>
      <c r="AG25" s="1981"/>
      <c r="AH25" s="1981"/>
      <c r="AI25" s="595" t="s">
        <v>491</v>
      </c>
      <c r="AL25" s="595" t="s">
        <v>83</v>
      </c>
      <c r="AM25" s="1644" t="s">
        <v>512</v>
      </c>
      <c r="AN25" s="1644"/>
      <c r="AO25" s="609" t="s">
        <v>84</v>
      </c>
      <c r="AP25" s="1971" t="s">
        <v>513</v>
      </c>
      <c r="AQ25" s="1971"/>
      <c r="AR25" s="1971"/>
      <c r="AS25" s="1971"/>
      <c r="AT25" s="1971"/>
      <c r="AU25" s="1971"/>
      <c r="AV25" s="1971"/>
      <c r="AW25" s="1971"/>
      <c r="AX25" s="1971"/>
      <c r="AY25" s="1971"/>
      <c r="AZ25" s="601"/>
      <c r="BA25" s="1884" t="s">
        <v>514</v>
      </c>
      <c r="BB25" s="1884"/>
      <c r="BC25" s="1884"/>
      <c r="BD25" s="1884"/>
      <c r="BE25" s="1975" t="s">
        <v>492</v>
      </c>
      <c r="BF25" s="1975"/>
      <c r="BG25" s="1975"/>
      <c r="BH25" s="1975"/>
      <c r="BI25" s="1975"/>
      <c r="BJ25" s="1975"/>
      <c r="BK25" s="1975"/>
      <c r="BL25" s="1975"/>
      <c r="BQ25" s="609"/>
      <c r="BR25" s="609"/>
      <c r="BS25" s="609"/>
      <c r="BT25" s="609"/>
      <c r="BU25" s="609"/>
      <c r="BV25" s="609"/>
      <c r="BW25" s="609"/>
      <c r="BX25" s="609"/>
      <c r="BY25" s="609"/>
      <c r="BZ25" s="609"/>
      <c r="CA25" s="609"/>
      <c r="CB25" s="609"/>
      <c r="CC25" s="609"/>
      <c r="CD25" s="609"/>
      <c r="CE25" s="609"/>
      <c r="CF25" s="609"/>
      <c r="CG25" s="609"/>
      <c r="CH25" s="609"/>
      <c r="CI25" s="609"/>
      <c r="CJ25" s="609"/>
      <c r="CK25" s="609"/>
      <c r="CL25" s="609"/>
      <c r="CM25" s="609"/>
      <c r="CN25" s="609"/>
      <c r="CO25" s="609"/>
      <c r="CP25" s="609"/>
      <c r="CQ25" s="609"/>
      <c r="CR25" s="609"/>
      <c r="CS25" s="609"/>
      <c r="CT25" s="609"/>
      <c r="CU25" s="609"/>
      <c r="CV25" s="609"/>
      <c r="CW25" s="609"/>
      <c r="CX25" s="609"/>
      <c r="CY25" s="609"/>
      <c r="CZ25" s="609"/>
      <c r="DA25" s="609"/>
      <c r="DB25" s="609"/>
      <c r="DC25" s="609"/>
      <c r="DD25" s="609"/>
      <c r="DE25" s="609"/>
      <c r="DF25" s="609"/>
      <c r="DG25" s="609"/>
      <c r="DH25" s="609"/>
      <c r="DI25" s="609"/>
      <c r="DJ25" s="609"/>
      <c r="DK25" s="609"/>
    </row>
    <row r="26" spans="1:115" ht="15" customHeight="1">
      <c r="A26" s="595" t="s">
        <v>493</v>
      </c>
      <c r="M26" s="1972" t="s">
        <v>71</v>
      </c>
      <c r="N26" s="1972"/>
      <c r="O26" s="1972"/>
      <c r="P26" s="1972"/>
      <c r="Q26" s="1972"/>
      <c r="R26" s="1972"/>
      <c r="S26" s="1972"/>
      <c r="T26" s="1972"/>
      <c r="U26" s="1972"/>
      <c r="V26" s="1972"/>
      <c r="W26" s="1972"/>
      <c r="X26" s="1972"/>
      <c r="Y26" s="1972"/>
      <c r="Z26" s="1972"/>
      <c r="AA26" s="1972"/>
      <c r="AB26" s="1972"/>
      <c r="AC26" s="1972"/>
      <c r="AD26" s="1972"/>
      <c r="AE26" s="1972"/>
      <c r="AF26" s="1972"/>
      <c r="AG26" s="1972"/>
      <c r="AH26" s="1972"/>
      <c r="AI26" s="1972"/>
      <c r="AJ26" s="1972"/>
      <c r="AK26" s="1972"/>
      <c r="AL26" s="1972"/>
      <c r="AM26" s="1972"/>
      <c r="AN26" s="1972"/>
      <c r="AO26" s="1972"/>
      <c r="AP26" s="1972"/>
      <c r="AQ26" s="1972"/>
      <c r="AR26" s="1972"/>
      <c r="AS26" s="1972"/>
      <c r="AT26" s="1972"/>
      <c r="AU26" s="1972"/>
      <c r="AV26" s="1972"/>
      <c r="AW26" s="1972"/>
      <c r="AX26" s="1972"/>
      <c r="AY26" s="1972"/>
      <c r="AZ26" s="1972"/>
      <c r="BA26" s="1972"/>
      <c r="BB26" s="1972"/>
      <c r="BC26" s="1972"/>
      <c r="BD26" s="1972"/>
      <c r="BE26" s="1972"/>
      <c r="BF26" s="1972"/>
      <c r="BG26" s="1972"/>
      <c r="BH26" s="1972"/>
      <c r="BI26" s="1972"/>
      <c r="BJ26" s="1972"/>
      <c r="BK26" s="1972"/>
      <c r="BL26" s="615" t="s">
        <v>130</v>
      </c>
      <c r="BQ26" s="609"/>
      <c r="BR26" s="609"/>
      <c r="BS26" s="609"/>
      <c r="BT26" s="609"/>
      <c r="BU26" s="609"/>
      <c r="BV26" s="609"/>
      <c r="BW26" s="609"/>
      <c r="BX26" s="609"/>
      <c r="BY26" s="609"/>
      <c r="BZ26" s="609"/>
      <c r="CA26" s="609"/>
      <c r="CB26" s="609"/>
      <c r="CC26" s="609"/>
      <c r="CD26" s="609"/>
      <c r="CE26" s="609"/>
      <c r="CF26" s="609"/>
      <c r="CG26" s="609"/>
      <c r="CH26" s="609"/>
      <c r="CI26" s="609"/>
      <c r="CJ26" s="609"/>
      <c r="CK26" s="609"/>
      <c r="CL26" s="609"/>
      <c r="CM26" s="609"/>
      <c r="CN26" s="609"/>
      <c r="CO26" s="609"/>
      <c r="CP26" s="609"/>
      <c r="CQ26" s="609"/>
      <c r="CR26" s="609"/>
      <c r="CS26" s="609"/>
      <c r="CT26" s="609"/>
      <c r="CU26" s="609"/>
      <c r="CV26" s="609"/>
      <c r="CW26" s="609"/>
      <c r="CX26" s="609"/>
      <c r="CY26" s="609"/>
      <c r="CZ26" s="609"/>
      <c r="DA26" s="609"/>
      <c r="DB26" s="609"/>
      <c r="DC26" s="609"/>
      <c r="DD26" s="609"/>
      <c r="DE26" s="609"/>
      <c r="DF26" s="609"/>
      <c r="DG26" s="609"/>
      <c r="DH26" s="609"/>
      <c r="DI26" s="609"/>
      <c r="DJ26" s="609"/>
      <c r="DK26" s="609"/>
    </row>
    <row r="27" spans="1:115" s="616" customFormat="1" ht="10.5">
      <c r="M27" s="1977" t="s">
        <v>494</v>
      </c>
      <c r="N27" s="1977"/>
      <c r="O27" s="1977"/>
      <c r="P27" s="1977"/>
      <c r="Q27" s="1977"/>
      <c r="R27" s="1977"/>
      <c r="S27" s="1977"/>
      <c r="T27" s="1977"/>
      <c r="U27" s="1977"/>
      <c r="V27" s="1977"/>
      <c r="W27" s="1977"/>
      <c r="X27" s="1977"/>
      <c r="Y27" s="1977"/>
      <c r="Z27" s="1977"/>
      <c r="AA27" s="1977"/>
      <c r="AB27" s="1977"/>
      <c r="AC27" s="1977"/>
      <c r="AD27" s="1977"/>
      <c r="AE27" s="1977"/>
      <c r="AF27" s="1977"/>
      <c r="AG27" s="1977"/>
      <c r="AH27" s="1977"/>
      <c r="AI27" s="1977"/>
      <c r="AJ27" s="1977"/>
      <c r="AK27" s="1977"/>
      <c r="AL27" s="1977"/>
      <c r="AM27" s="1977"/>
      <c r="AN27" s="1977"/>
      <c r="AO27" s="1977"/>
      <c r="AP27" s="1977"/>
      <c r="AQ27" s="1977"/>
      <c r="AR27" s="1977"/>
      <c r="AS27" s="1977"/>
      <c r="AT27" s="1977"/>
      <c r="AU27" s="1977"/>
      <c r="AV27" s="1977"/>
      <c r="AW27" s="1977"/>
      <c r="AX27" s="1977"/>
      <c r="AY27" s="1977"/>
      <c r="AZ27" s="1977"/>
      <c r="BA27" s="1977"/>
      <c r="BB27" s="1977"/>
      <c r="BC27" s="1977"/>
      <c r="BD27" s="1977"/>
      <c r="BE27" s="1977"/>
      <c r="BF27" s="1977"/>
      <c r="BG27" s="1977"/>
      <c r="BH27" s="1977"/>
      <c r="BI27" s="1977"/>
      <c r="BJ27" s="1977"/>
      <c r="BK27" s="1977"/>
      <c r="BL27" s="612"/>
      <c r="BQ27" s="612"/>
      <c r="BR27" s="612"/>
      <c r="DC27" s="612"/>
      <c r="DD27" s="612"/>
      <c r="DE27" s="612"/>
      <c r="DF27" s="612"/>
      <c r="DG27" s="612"/>
      <c r="DH27" s="612"/>
      <c r="DI27" s="612"/>
      <c r="DJ27" s="612"/>
      <c r="DK27" s="612"/>
    </row>
    <row r="28" spans="1:115" ht="15" customHeight="1">
      <c r="A28" s="595" t="s">
        <v>495</v>
      </c>
      <c r="Y28" s="1976" t="str">
        <f>T15</f>
        <v>МОЛ_ФИО_Долж</v>
      </c>
      <c r="Z28" s="1976"/>
      <c r="AA28" s="1976"/>
      <c r="AB28" s="1976"/>
      <c r="AC28" s="1976"/>
      <c r="AD28" s="1976"/>
      <c r="AE28" s="1976"/>
      <c r="AF28" s="1976"/>
      <c r="AG28" s="1976"/>
      <c r="AH28" s="1976"/>
      <c r="AI28" s="1976"/>
      <c r="AJ28" s="1976"/>
      <c r="AK28" s="1976"/>
      <c r="AL28" s="1976"/>
      <c r="AM28" s="1976"/>
      <c r="AN28" s="1976"/>
      <c r="AO28" s="1976"/>
      <c r="AP28" s="1976"/>
      <c r="AQ28" s="1976"/>
      <c r="AR28" s="1976"/>
      <c r="AS28" s="1976"/>
      <c r="AT28" s="1976"/>
      <c r="AU28" s="1976"/>
      <c r="AV28" s="1976"/>
      <c r="AW28" s="1976"/>
      <c r="AX28" s="1976"/>
      <c r="AY28" s="1976"/>
      <c r="AZ28" s="1976"/>
      <c r="BA28" s="1976"/>
      <c r="BB28" s="1976"/>
      <c r="BC28" s="1976"/>
      <c r="BD28" s="1976"/>
      <c r="BE28" s="1976"/>
      <c r="BF28" s="1976"/>
      <c r="BG28" s="1976"/>
      <c r="BH28" s="1976"/>
      <c r="BI28" s="1976"/>
      <c r="BJ28" s="1976"/>
      <c r="BK28" s="1976"/>
      <c r="BL28" s="615" t="s">
        <v>496</v>
      </c>
      <c r="BQ28" s="609"/>
      <c r="BR28" s="609"/>
      <c r="BS28" s="609"/>
      <c r="BT28" s="609"/>
      <c r="BU28" s="609"/>
      <c r="BV28" s="609"/>
      <c r="BW28" s="609"/>
      <c r="BX28" s="609"/>
      <c r="BY28" s="609"/>
      <c r="BZ28" s="609"/>
      <c r="CA28" s="609"/>
      <c r="CB28" s="609"/>
      <c r="CC28" s="609"/>
    </row>
    <row r="29" spans="1:115" s="616" customFormat="1" ht="10.5">
      <c r="Y29" s="1977" t="s">
        <v>497</v>
      </c>
      <c r="Z29" s="1977"/>
      <c r="AA29" s="1977"/>
      <c r="AB29" s="1977"/>
      <c r="AC29" s="1977"/>
      <c r="AD29" s="1977"/>
      <c r="AE29" s="1977"/>
      <c r="AF29" s="1977"/>
      <c r="AG29" s="1977"/>
      <c r="AH29" s="1977"/>
      <c r="AI29" s="1977"/>
      <c r="AJ29" s="1977"/>
      <c r="AK29" s="1977"/>
      <c r="AL29" s="1977"/>
      <c r="AM29" s="1977"/>
      <c r="AN29" s="1977"/>
      <c r="AO29" s="1977"/>
      <c r="AP29" s="1977"/>
      <c r="AQ29" s="1977"/>
      <c r="AR29" s="1977"/>
      <c r="AS29" s="1977"/>
      <c r="AT29" s="1977"/>
      <c r="AU29" s="1977"/>
      <c r="AV29" s="1977"/>
      <c r="AW29" s="1977"/>
      <c r="AX29" s="1977"/>
      <c r="AY29" s="1977"/>
      <c r="AZ29" s="1977"/>
      <c r="BA29" s="1977"/>
      <c r="BB29" s="1977"/>
      <c r="BC29" s="1977"/>
      <c r="BD29" s="1977"/>
      <c r="BE29" s="1977"/>
      <c r="BF29" s="1977"/>
      <c r="BG29" s="1977"/>
      <c r="BH29" s="1977"/>
      <c r="BI29" s="1977"/>
      <c r="BJ29" s="1977"/>
      <c r="BK29" s="1977"/>
      <c r="BQ29" s="612"/>
      <c r="BR29" s="612"/>
      <c r="CW29" s="612"/>
      <c r="CX29" s="612"/>
      <c r="CY29" s="612"/>
      <c r="CZ29" s="612"/>
      <c r="DA29" s="612"/>
      <c r="DB29" s="612"/>
      <c r="DC29" s="612"/>
      <c r="DD29" s="612"/>
      <c r="DE29" s="612"/>
      <c r="DF29" s="612"/>
      <c r="DG29" s="612"/>
      <c r="DH29" s="612"/>
      <c r="DI29" s="612"/>
      <c r="DJ29" s="612"/>
      <c r="DK29" s="612"/>
    </row>
    <row r="30" spans="1:115">
      <c r="BQ30" s="609"/>
      <c r="BR30" s="609"/>
      <c r="CW30" s="609"/>
      <c r="CX30" s="609"/>
      <c r="CY30" s="609"/>
      <c r="CZ30" s="609"/>
      <c r="DA30" s="609"/>
      <c r="DB30" s="609"/>
      <c r="DC30" s="609"/>
      <c r="DD30" s="609"/>
      <c r="DE30" s="609"/>
      <c r="DF30" s="609"/>
      <c r="DG30" s="609"/>
      <c r="DH30" s="609"/>
      <c r="DI30" s="609"/>
      <c r="DJ30" s="609"/>
      <c r="DK30" s="609"/>
    </row>
    <row r="31" spans="1:115" ht="15" customHeight="1">
      <c r="A31" s="608" t="s">
        <v>506</v>
      </c>
      <c r="AN31" s="609"/>
      <c r="AO31" s="607"/>
      <c r="AP31" s="624"/>
      <c r="AQ31" s="1566"/>
      <c r="AR31" s="1566"/>
      <c r="AS31" s="1566"/>
      <c r="AT31" s="595" t="s">
        <v>215</v>
      </c>
      <c r="AV31" s="595" t="s">
        <v>83</v>
      </c>
      <c r="AW31" s="1566"/>
      <c r="AX31" s="1566"/>
      <c r="AY31" s="609" t="s">
        <v>84</v>
      </c>
      <c r="AZ31" s="1568"/>
      <c r="BA31" s="1568"/>
      <c r="BB31" s="1568"/>
      <c r="BC31" s="1568"/>
      <c r="BD31" s="1568"/>
      <c r="BE31" s="1568"/>
      <c r="BF31" s="1568"/>
      <c r="BG31" s="601"/>
      <c r="BH31" s="602" t="s">
        <v>460</v>
      </c>
      <c r="BI31" s="1567"/>
      <c r="BJ31" s="1567"/>
      <c r="BK31" s="595" t="s">
        <v>498</v>
      </c>
      <c r="BL31" s="609"/>
      <c r="BM31" s="617"/>
      <c r="BN31" s="615"/>
      <c r="BO31" s="615"/>
      <c r="CO31" s="609"/>
      <c r="CP31" s="609"/>
      <c r="CQ31" s="609"/>
      <c r="CR31" s="609"/>
      <c r="CS31" s="609"/>
      <c r="CT31" s="609"/>
      <c r="CU31" s="609"/>
      <c r="CV31" s="609"/>
      <c r="CW31" s="609"/>
      <c r="CX31" s="609"/>
      <c r="CY31" s="609"/>
      <c r="CZ31" s="609"/>
      <c r="DA31" s="609"/>
      <c r="DB31" s="609"/>
      <c r="DC31" s="609"/>
      <c r="DD31" s="609"/>
      <c r="DE31" s="609"/>
      <c r="DF31" s="609"/>
      <c r="DG31" s="609"/>
      <c r="DH31" s="609"/>
      <c r="DI31" s="609"/>
      <c r="DJ31" s="609"/>
      <c r="DK31" s="609"/>
    </row>
    <row r="32" spans="1:115" ht="15" customHeight="1">
      <c r="A32" s="595" t="s">
        <v>379</v>
      </c>
      <c r="C32" s="1566"/>
      <c r="D32" s="1566"/>
      <c r="E32" s="1566"/>
      <c r="F32" s="1566"/>
      <c r="G32" s="1566"/>
      <c r="H32" s="595" t="s">
        <v>215</v>
      </c>
      <c r="J32" s="595" t="s">
        <v>83</v>
      </c>
      <c r="K32" s="1566"/>
      <c r="L32" s="1566"/>
      <c r="M32" s="609" t="s">
        <v>84</v>
      </c>
      <c r="N32" s="1568"/>
      <c r="O32" s="1568"/>
      <c r="P32" s="1568"/>
      <c r="Q32" s="1568"/>
      <c r="R32" s="1568"/>
      <c r="S32" s="1568"/>
      <c r="T32" s="1568"/>
      <c r="U32" s="1568"/>
      <c r="V32" s="1568"/>
      <c r="W32" s="1568"/>
      <c r="X32" s="601"/>
      <c r="Y32" s="601"/>
      <c r="Z32" s="602" t="s">
        <v>460</v>
      </c>
      <c r="AA32" s="1567"/>
      <c r="AB32" s="1567"/>
      <c r="AC32" s="595" t="s">
        <v>498</v>
      </c>
      <c r="AJ32" s="607" t="s">
        <v>379</v>
      </c>
      <c r="AK32" s="1566"/>
      <c r="AL32" s="1566"/>
      <c r="AM32" s="1566"/>
      <c r="AN32" s="1566"/>
      <c r="AO32" s="1566"/>
      <c r="AP32" s="595" t="s">
        <v>215</v>
      </c>
      <c r="AR32" s="595" t="s">
        <v>83</v>
      </c>
      <c r="AS32" s="1566"/>
      <c r="AT32" s="1566"/>
      <c r="AU32" s="609" t="s">
        <v>84</v>
      </c>
      <c r="AV32" s="1568"/>
      <c r="AW32" s="1568"/>
      <c r="AX32" s="1568"/>
      <c r="AY32" s="1568"/>
      <c r="AZ32" s="1568"/>
      <c r="BA32" s="1568"/>
      <c r="BB32" s="1568"/>
      <c r="BC32" s="1568"/>
      <c r="BD32" s="1568"/>
      <c r="BE32" s="1568"/>
      <c r="BF32" s="601"/>
      <c r="BG32" s="601"/>
      <c r="BH32" s="602" t="s">
        <v>460</v>
      </c>
      <c r="BI32" s="1567"/>
      <c r="BJ32" s="1567"/>
      <c r="BK32" s="595" t="s">
        <v>498</v>
      </c>
    </row>
    <row r="33" spans="1:115" ht="15" customHeight="1">
      <c r="A33" s="595" t="s">
        <v>379</v>
      </c>
      <c r="C33" s="1566"/>
      <c r="D33" s="1566"/>
      <c r="E33" s="1566"/>
      <c r="F33" s="1566"/>
      <c r="G33" s="1566"/>
      <c r="H33" s="595" t="s">
        <v>215</v>
      </c>
      <c r="J33" s="595" t="s">
        <v>83</v>
      </c>
      <c r="K33" s="1566"/>
      <c r="L33" s="1566"/>
      <c r="M33" s="609" t="s">
        <v>84</v>
      </c>
      <c r="N33" s="1568"/>
      <c r="O33" s="1568"/>
      <c r="P33" s="1568"/>
      <c r="Q33" s="1568"/>
      <c r="R33" s="1568"/>
      <c r="S33" s="1568"/>
      <c r="T33" s="1568"/>
      <c r="U33" s="1568"/>
      <c r="V33" s="1568"/>
      <c r="W33" s="1568"/>
      <c r="X33" s="601"/>
      <c r="Y33" s="601"/>
      <c r="Z33" s="602" t="s">
        <v>460</v>
      </c>
      <c r="AA33" s="1567"/>
      <c r="AB33" s="1567"/>
      <c r="AC33" s="595" t="s">
        <v>498</v>
      </c>
      <c r="AJ33" s="607" t="s">
        <v>379</v>
      </c>
      <c r="AK33" s="1566"/>
      <c r="AL33" s="1566"/>
      <c r="AM33" s="1566"/>
      <c r="AN33" s="1566"/>
      <c r="AO33" s="1566"/>
      <c r="AP33" s="595" t="s">
        <v>215</v>
      </c>
      <c r="AR33" s="595" t="s">
        <v>83</v>
      </c>
      <c r="AS33" s="1566"/>
      <c r="AT33" s="1566"/>
      <c r="AU33" s="609" t="s">
        <v>84</v>
      </c>
      <c r="AV33" s="1568"/>
      <c r="AW33" s="1568"/>
      <c r="AX33" s="1568"/>
      <c r="AY33" s="1568"/>
      <c r="AZ33" s="1568"/>
      <c r="BA33" s="1568"/>
      <c r="BB33" s="1568"/>
      <c r="BC33" s="1568"/>
      <c r="BD33" s="1568"/>
      <c r="BE33" s="1568"/>
      <c r="BF33" s="601"/>
      <c r="BG33" s="601"/>
      <c r="BH33" s="602" t="s">
        <v>460</v>
      </c>
      <c r="BI33" s="1567"/>
      <c r="BJ33" s="1567"/>
      <c r="BK33" s="595" t="s">
        <v>498</v>
      </c>
      <c r="CU33" s="609"/>
      <c r="CV33" s="609"/>
      <c r="CW33" s="609"/>
      <c r="CX33" s="609"/>
      <c r="CY33" s="609"/>
      <c r="CZ33" s="609"/>
      <c r="DA33" s="609"/>
      <c r="DB33" s="609"/>
      <c r="DC33" s="609"/>
      <c r="DD33" s="609"/>
      <c r="DE33" s="609"/>
      <c r="DF33" s="609"/>
      <c r="DG33" s="609"/>
      <c r="DH33" s="609"/>
      <c r="DI33" s="609"/>
      <c r="DJ33" s="609"/>
      <c r="DK33" s="609"/>
    </row>
    <row r="34" spans="1:115">
      <c r="C34" s="613"/>
      <c r="D34" s="613"/>
      <c r="E34" s="613"/>
      <c r="F34" s="613"/>
      <c r="G34" s="613"/>
      <c r="K34" s="613"/>
      <c r="L34" s="613"/>
      <c r="M34" s="609"/>
      <c r="N34" s="613"/>
      <c r="O34" s="613"/>
      <c r="P34" s="613"/>
      <c r="Q34" s="613"/>
      <c r="R34" s="613"/>
      <c r="S34" s="613"/>
      <c r="T34" s="613"/>
      <c r="U34" s="613"/>
      <c r="V34" s="613"/>
      <c r="W34" s="613"/>
      <c r="Z34" s="607"/>
      <c r="AA34" s="615"/>
      <c r="AB34" s="615"/>
      <c r="AL34" s="613"/>
      <c r="AM34" s="613"/>
      <c r="AN34" s="613"/>
      <c r="AO34" s="613"/>
      <c r="AP34" s="613"/>
      <c r="AT34" s="613"/>
      <c r="AU34" s="613"/>
      <c r="AV34" s="609"/>
      <c r="AW34" s="613"/>
      <c r="AX34" s="613"/>
      <c r="AY34" s="613"/>
      <c r="AZ34" s="613"/>
      <c r="BA34" s="613"/>
      <c r="BB34" s="613"/>
      <c r="BC34" s="613"/>
      <c r="BD34" s="613"/>
      <c r="BE34" s="613"/>
      <c r="BF34" s="613"/>
      <c r="BI34" s="607"/>
      <c r="BJ34" s="615"/>
      <c r="BK34" s="615"/>
      <c r="BQ34" s="609"/>
      <c r="CR34" s="609"/>
      <c r="CS34" s="609"/>
      <c r="CT34" s="609"/>
      <c r="CU34" s="609"/>
      <c r="CV34" s="609"/>
      <c r="CW34" s="609"/>
      <c r="CX34" s="609"/>
      <c r="CY34" s="609"/>
      <c r="CZ34" s="609"/>
      <c r="DA34" s="609"/>
      <c r="DB34" s="609"/>
      <c r="DC34" s="609"/>
      <c r="DD34" s="609"/>
      <c r="DE34" s="609"/>
      <c r="DF34" s="609"/>
      <c r="DG34" s="609"/>
      <c r="DH34" s="609"/>
      <c r="DI34" s="609"/>
      <c r="DJ34" s="609"/>
      <c r="DK34" s="609"/>
    </row>
    <row r="35" spans="1:115" ht="15" customHeight="1">
      <c r="A35" s="595" t="s">
        <v>499</v>
      </c>
      <c r="C35" s="613"/>
      <c r="D35" s="613"/>
      <c r="E35" s="613"/>
      <c r="F35" s="613"/>
      <c r="G35" s="613"/>
      <c r="K35" s="613"/>
      <c r="L35" s="613"/>
      <c r="M35" s="609"/>
      <c r="N35" s="613"/>
      <c r="O35" s="613"/>
      <c r="P35" s="613"/>
      <c r="Q35" s="613"/>
      <c r="R35" s="613"/>
      <c r="S35" s="613"/>
      <c r="T35" s="613"/>
      <c r="U35" s="613"/>
      <c r="V35" s="613"/>
      <c r="W35" s="613"/>
      <c r="Z35" s="607"/>
      <c r="AA35" s="615"/>
      <c r="AB35" s="615"/>
      <c r="AL35" s="613"/>
      <c r="AM35" s="609"/>
      <c r="AN35" s="1568"/>
      <c r="AO35" s="1568"/>
      <c r="AP35" s="1568"/>
      <c r="AQ35" s="1568"/>
      <c r="AR35" s="1568"/>
      <c r="AS35" s="1568"/>
      <c r="AT35" s="1568"/>
      <c r="AU35" s="1568"/>
      <c r="AV35" s="1568"/>
      <c r="AW35" s="1568"/>
      <c r="AX35" s="1568"/>
      <c r="AY35" s="1568"/>
      <c r="AZ35" s="1568"/>
      <c r="BA35" s="1568"/>
      <c r="BB35" s="1568"/>
      <c r="BC35" s="1568"/>
      <c r="BD35" s="1568"/>
      <c r="BE35" s="1568"/>
      <c r="BF35" s="1568"/>
      <c r="BG35" s="1568"/>
      <c r="BH35" s="1568"/>
      <c r="BI35" s="1568"/>
      <c r="BJ35" s="1568"/>
      <c r="BK35" s="1568"/>
      <c r="BL35" s="1568"/>
      <c r="BQ35" s="609"/>
      <c r="BR35" s="609"/>
      <c r="BS35" s="609"/>
      <c r="CR35" s="609"/>
      <c r="CS35" s="609"/>
      <c r="CT35" s="609"/>
      <c r="CU35" s="609"/>
      <c r="CV35" s="609"/>
      <c r="CW35" s="609"/>
      <c r="CX35" s="609"/>
      <c r="CY35" s="609"/>
      <c r="CZ35" s="609"/>
      <c r="DA35" s="609"/>
      <c r="DB35" s="609"/>
      <c r="DC35" s="609"/>
      <c r="DD35" s="609"/>
      <c r="DE35" s="609"/>
      <c r="DF35" s="609"/>
      <c r="DG35" s="609"/>
      <c r="DH35" s="609"/>
      <c r="DI35" s="609"/>
      <c r="DJ35" s="609"/>
      <c r="DK35" s="609"/>
    </row>
    <row r="36" spans="1:115" ht="15" customHeight="1">
      <c r="A36" s="1568"/>
      <c r="B36" s="1568"/>
      <c r="C36" s="1568"/>
      <c r="D36" s="1568"/>
      <c r="E36" s="1568"/>
      <c r="F36" s="1568"/>
      <c r="G36" s="1568"/>
      <c r="H36" s="1568"/>
      <c r="I36" s="1568"/>
      <c r="J36" s="1568"/>
      <c r="K36" s="1568"/>
      <c r="L36" s="1568"/>
      <c r="M36" s="1568"/>
      <c r="N36" s="1568"/>
      <c r="O36" s="1568"/>
      <c r="P36" s="1568"/>
      <c r="Q36" s="1568"/>
      <c r="R36" s="1568"/>
      <c r="S36" s="1568"/>
      <c r="T36" s="1568"/>
      <c r="U36" s="1568"/>
      <c r="V36" s="1568"/>
      <c r="W36" s="1568"/>
      <c r="X36" s="1568"/>
      <c r="Y36" s="1568"/>
      <c r="Z36" s="1568"/>
      <c r="AA36" s="1568"/>
      <c r="AB36" s="1568"/>
      <c r="AC36" s="1568"/>
      <c r="AD36" s="1568"/>
      <c r="AE36" s="1568"/>
      <c r="AF36" s="1568"/>
      <c r="AG36" s="1568"/>
      <c r="AH36" s="1568"/>
      <c r="AI36" s="1568"/>
      <c r="AJ36" s="1568"/>
      <c r="AK36" s="1568"/>
      <c r="AL36" s="1568"/>
      <c r="AM36" s="1568"/>
      <c r="AN36" s="1568"/>
      <c r="AO36" s="1568"/>
      <c r="AP36" s="1568"/>
      <c r="AQ36" s="1568"/>
      <c r="AR36" s="1568"/>
      <c r="AS36" s="1568"/>
      <c r="AT36" s="1568"/>
      <c r="AU36" s="1568"/>
      <c r="AV36" s="1568"/>
      <c r="AW36" s="1568"/>
      <c r="AX36" s="1568"/>
      <c r="AY36" s="1568"/>
      <c r="AZ36" s="1568"/>
      <c r="BA36" s="1568"/>
      <c r="BB36" s="1568"/>
      <c r="BC36" s="1568"/>
      <c r="BD36" s="1568"/>
      <c r="BE36" s="1568"/>
      <c r="BF36" s="1568"/>
      <c r="BG36" s="1568"/>
      <c r="BH36" s="1568"/>
      <c r="BI36" s="1568"/>
      <c r="BJ36" s="1568"/>
      <c r="BK36" s="1568"/>
      <c r="BL36" s="1568"/>
      <c r="BQ36" s="609"/>
      <c r="BR36" s="609"/>
      <c r="CR36" s="609"/>
      <c r="CS36" s="609"/>
      <c r="CT36" s="609"/>
      <c r="CU36" s="609"/>
      <c r="CV36" s="609"/>
      <c r="CW36" s="609"/>
      <c r="CX36" s="609"/>
      <c r="CY36" s="609"/>
      <c r="CZ36" s="609"/>
      <c r="DA36" s="609"/>
      <c r="DB36" s="609"/>
      <c r="DC36" s="609"/>
      <c r="DD36" s="609"/>
      <c r="DE36" s="609"/>
      <c r="DF36" s="609"/>
      <c r="DG36" s="609"/>
      <c r="DH36" s="609"/>
      <c r="DI36" s="609"/>
      <c r="DJ36" s="609"/>
      <c r="DK36" s="609"/>
    </row>
    <row r="37" spans="1:115" ht="15" customHeight="1">
      <c r="A37" s="1568"/>
      <c r="B37" s="1568"/>
      <c r="C37" s="1568"/>
      <c r="D37" s="1568"/>
      <c r="E37" s="1568"/>
      <c r="F37" s="1568"/>
      <c r="G37" s="1568"/>
      <c r="H37" s="1568"/>
      <c r="I37" s="1568"/>
      <c r="J37" s="1568"/>
      <c r="K37" s="1568"/>
      <c r="L37" s="1568"/>
      <c r="M37" s="1568"/>
      <c r="N37" s="1568"/>
      <c r="O37" s="1568"/>
      <c r="P37" s="1568"/>
      <c r="Q37" s="1568"/>
      <c r="R37" s="1568"/>
      <c r="S37" s="1568"/>
      <c r="T37" s="1568"/>
      <c r="U37" s="1568"/>
      <c r="V37" s="1568"/>
      <c r="W37" s="1568"/>
      <c r="X37" s="1568"/>
      <c r="Y37" s="1568"/>
      <c r="Z37" s="1568"/>
      <c r="AA37" s="1568"/>
      <c r="AB37" s="1568"/>
      <c r="AC37" s="1568"/>
      <c r="AD37" s="1568"/>
      <c r="AE37" s="1568"/>
      <c r="AF37" s="1568"/>
      <c r="AG37" s="1568"/>
      <c r="AH37" s="1568"/>
      <c r="AI37" s="1568"/>
      <c r="AJ37" s="1568"/>
      <c r="AK37" s="1568"/>
      <c r="AL37" s="1568"/>
      <c r="AM37" s="1568"/>
      <c r="AN37" s="1568"/>
      <c r="AO37" s="1568"/>
      <c r="AP37" s="1568"/>
      <c r="AQ37" s="1568"/>
      <c r="AR37" s="1568"/>
      <c r="AS37" s="1568"/>
      <c r="AT37" s="1568"/>
      <c r="AU37" s="1568"/>
      <c r="AV37" s="1568"/>
      <c r="AW37" s="1568"/>
      <c r="AX37" s="1568"/>
      <c r="AY37" s="1568"/>
      <c r="AZ37" s="1568"/>
      <c r="BA37" s="1568"/>
      <c r="BB37" s="1568"/>
      <c r="BC37" s="1568"/>
      <c r="BD37" s="1568"/>
      <c r="BE37" s="1568"/>
      <c r="BF37" s="1568"/>
      <c r="BG37" s="1568"/>
      <c r="BH37" s="1568"/>
      <c r="BI37" s="1568"/>
      <c r="BJ37" s="1568"/>
      <c r="BK37" s="1568"/>
      <c r="BL37" s="1568"/>
      <c r="BQ37" s="609"/>
      <c r="BR37" s="609"/>
      <c r="CP37" s="609"/>
      <c r="CQ37" s="609"/>
      <c r="CR37" s="609"/>
      <c r="CS37" s="609"/>
      <c r="CT37" s="609"/>
      <c r="CU37" s="609"/>
      <c r="CV37" s="609"/>
      <c r="CW37" s="609"/>
      <c r="CX37" s="609"/>
      <c r="CY37" s="609"/>
      <c r="CZ37" s="609"/>
      <c r="DA37" s="609"/>
      <c r="DB37" s="609"/>
      <c r="DC37" s="609"/>
      <c r="DD37" s="609"/>
      <c r="DE37" s="609"/>
      <c r="DF37" s="609"/>
      <c r="DG37" s="609"/>
      <c r="DH37" s="609"/>
      <c r="DI37" s="609"/>
      <c r="DJ37" s="609"/>
      <c r="DK37" s="609"/>
    </row>
    <row r="38" spans="1:115" ht="15" customHeight="1">
      <c r="A38" s="1568"/>
      <c r="B38" s="1568"/>
      <c r="C38" s="1568"/>
      <c r="D38" s="1568"/>
      <c r="E38" s="1568"/>
      <c r="F38" s="1568"/>
      <c r="G38" s="1568"/>
      <c r="H38" s="1568"/>
      <c r="I38" s="1568"/>
      <c r="J38" s="1568"/>
      <c r="K38" s="1568"/>
      <c r="L38" s="1568"/>
      <c r="M38" s="1568"/>
      <c r="N38" s="1568"/>
      <c r="O38" s="1568"/>
      <c r="P38" s="1568"/>
      <c r="Q38" s="1568"/>
      <c r="R38" s="1568"/>
      <c r="S38" s="1568"/>
      <c r="T38" s="1568"/>
      <c r="U38" s="1568"/>
      <c r="V38" s="1568"/>
      <c r="W38" s="1568"/>
      <c r="X38" s="1568"/>
      <c r="Y38" s="1568"/>
      <c r="Z38" s="1568"/>
      <c r="AA38" s="1568"/>
      <c r="AB38" s="1568"/>
      <c r="AC38" s="1568"/>
      <c r="AD38" s="1568"/>
      <c r="AE38" s="1568"/>
      <c r="AF38" s="1568"/>
      <c r="AG38" s="1568"/>
      <c r="AH38" s="1568"/>
      <c r="AI38" s="1568"/>
      <c r="AJ38" s="1568"/>
      <c r="AK38" s="1568"/>
      <c r="AL38" s="1568"/>
      <c r="AM38" s="1568"/>
      <c r="AN38" s="1568"/>
      <c r="AO38" s="1568"/>
      <c r="AP38" s="1568"/>
      <c r="AQ38" s="1568"/>
      <c r="AR38" s="1568"/>
      <c r="AS38" s="1568"/>
      <c r="AT38" s="1568"/>
      <c r="AU38" s="1568"/>
      <c r="AV38" s="1568"/>
      <c r="AW38" s="1568"/>
      <c r="AX38" s="1568"/>
      <c r="AY38" s="1568"/>
      <c r="AZ38" s="1568"/>
      <c r="BA38" s="1568"/>
      <c r="BB38" s="1568"/>
      <c r="BC38" s="1568"/>
      <c r="BD38" s="1568"/>
      <c r="BE38" s="1568"/>
      <c r="BF38" s="1568"/>
      <c r="BG38" s="1568"/>
      <c r="BH38" s="1568"/>
      <c r="BI38" s="1568"/>
      <c r="BJ38" s="1568"/>
      <c r="BK38" s="1568"/>
      <c r="BL38" s="1568"/>
      <c r="BQ38" s="609"/>
      <c r="BR38" s="609"/>
      <c r="CP38" s="609"/>
      <c r="CQ38" s="609"/>
      <c r="CR38" s="609"/>
      <c r="CS38" s="609"/>
      <c r="CT38" s="609"/>
      <c r="CU38" s="609"/>
      <c r="CV38" s="609"/>
      <c r="CW38" s="609"/>
      <c r="CX38" s="609"/>
      <c r="CY38" s="609"/>
      <c r="CZ38" s="609"/>
      <c r="DA38" s="609"/>
      <c r="DB38" s="609"/>
      <c r="DC38" s="609"/>
      <c r="DD38" s="609"/>
      <c r="DE38" s="609"/>
      <c r="DF38" s="609"/>
      <c r="DG38" s="609"/>
      <c r="DH38" s="609"/>
      <c r="DI38" s="609"/>
      <c r="DJ38" s="609"/>
      <c r="DK38" s="609"/>
    </row>
    <row r="39" spans="1:115" ht="15" customHeight="1">
      <c r="A39" s="1568"/>
      <c r="B39" s="1568"/>
      <c r="C39" s="1568"/>
      <c r="D39" s="1568"/>
      <c r="E39" s="1568"/>
      <c r="F39" s="1568"/>
      <c r="G39" s="1568"/>
      <c r="H39" s="1568"/>
      <c r="I39" s="1568"/>
      <c r="J39" s="1568"/>
      <c r="K39" s="1568"/>
      <c r="L39" s="1568"/>
      <c r="M39" s="1568"/>
      <c r="N39" s="1568"/>
      <c r="O39" s="1568"/>
      <c r="P39" s="1568"/>
      <c r="Q39" s="1568"/>
      <c r="R39" s="1568"/>
      <c r="S39" s="1568"/>
      <c r="T39" s="1568"/>
      <c r="U39" s="1568"/>
      <c r="V39" s="1568"/>
      <c r="W39" s="1568"/>
      <c r="X39" s="1568"/>
      <c r="Y39" s="1568"/>
      <c r="Z39" s="1568"/>
      <c r="AA39" s="1568"/>
      <c r="AB39" s="1568"/>
      <c r="AC39" s="1568"/>
      <c r="AD39" s="1568"/>
      <c r="AE39" s="1568"/>
      <c r="AF39" s="1568"/>
      <c r="AG39" s="1568"/>
      <c r="AH39" s="1568"/>
      <c r="AI39" s="1568"/>
      <c r="AJ39" s="1568"/>
      <c r="AK39" s="1568"/>
      <c r="AL39" s="1568"/>
      <c r="AM39" s="1568"/>
      <c r="AN39" s="1568"/>
      <c r="AO39" s="1568"/>
      <c r="AP39" s="1568"/>
      <c r="AQ39" s="1568"/>
      <c r="AR39" s="1568"/>
      <c r="AS39" s="1568"/>
      <c r="AT39" s="1568"/>
      <c r="AU39" s="1568"/>
      <c r="AV39" s="1568"/>
      <c r="AW39" s="1568"/>
      <c r="AX39" s="1568"/>
      <c r="AY39" s="1568"/>
      <c r="AZ39" s="1568"/>
      <c r="BA39" s="1568"/>
      <c r="BB39" s="1568"/>
      <c r="BC39" s="1568"/>
      <c r="BD39" s="1568"/>
      <c r="BE39" s="1568"/>
      <c r="BF39" s="1568"/>
      <c r="BG39" s="1568"/>
      <c r="BH39" s="1568"/>
      <c r="BI39" s="1568"/>
      <c r="BJ39" s="1568"/>
      <c r="BK39" s="1568"/>
      <c r="BL39" s="1568"/>
      <c r="BQ39" s="609"/>
      <c r="BR39" s="609"/>
      <c r="CP39" s="609"/>
      <c r="CQ39" s="609"/>
      <c r="CR39" s="609"/>
      <c r="CS39" s="609"/>
      <c r="CT39" s="609"/>
      <c r="CU39" s="609"/>
      <c r="CV39" s="609"/>
      <c r="CW39" s="609"/>
      <c r="CX39" s="609"/>
      <c r="CY39" s="609"/>
      <c r="CZ39" s="609"/>
      <c r="DA39" s="609"/>
      <c r="DB39" s="609"/>
      <c r="DC39" s="609"/>
      <c r="DD39" s="609"/>
      <c r="DE39" s="609"/>
      <c r="DF39" s="609"/>
      <c r="DG39" s="609"/>
      <c r="DH39" s="609"/>
      <c r="DI39" s="609"/>
      <c r="DJ39" s="609"/>
      <c r="DK39" s="609"/>
    </row>
    <row r="40" spans="1:115" ht="15" customHeight="1">
      <c r="A40" s="1568"/>
      <c r="B40" s="1568"/>
      <c r="C40" s="1568"/>
      <c r="D40" s="1568"/>
      <c r="E40" s="1568"/>
      <c r="F40" s="1568"/>
      <c r="G40" s="1568"/>
      <c r="H40" s="1568"/>
      <c r="I40" s="1568"/>
      <c r="J40" s="1568"/>
      <c r="K40" s="1568"/>
      <c r="L40" s="1568"/>
      <c r="M40" s="1568"/>
      <c r="N40" s="1568"/>
      <c r="O40" s="1568"/>
      <c r="P40" s="1568"/>
      <c r="Q40" s="1568"/>
      <c r="R40" s="1568"/>
      <c r="S40" s="1568"/>
      <c r="T40" s="1568"/>
      <c r="U40" s="1568"/>
      <c r="V40" s="1568"/>
      <c r="W40" s="1568"/>
      <c r="X40" s="1568"/>
      <c r="Y40" s="1568"/>
      <c r="Z40" s="1568"/>
      <c r="AA40" s="1568"/>
      <c r="AB40" s="1568"/>
      <c r="AC40" s="1568"/>
      <c r="AD40" s="1568"/>
      <c r="AE40" s="1568"/>
      <c r="AF40" s="1568"/>
      <c r="AG40" s="1568"/>
      <c r="AH40" s="1568"/>
      <c r="AI40" s="1568"/>
      <c r="AJ40" s="1568"/>
      <c r="AK40" s="1568"/>
      <c r="AL40" s="1568"/>
      <c r="AM40" s="1568"/>
      <c r="AN40" s="1568"/>
      <c r="AO40" s="1568"/>
      <c r="AP40" s="1568"/>
      <c r="AQ40" s="1568"/>
      <c r="AR40" s="1568"/>
      <c r="AS40" s="1568"/>
      <c r="AT40" s="1568"/>
      <c r="AU40" s="1568"/>
      <c r="AV40" s="1568"/>
      <c r="AW40" s="1568"/>
      <c r="AX40" s="1568"/>
      <c r="AY40" s="1568"/>
      <c r="AZ40" s="1568"/>
      <c r="BA40" s="1568"/>
      <c r="BB40" s="1568"/>
      <c r="BC40" s="1568"/>
      <c r="BD40" s="1568"/>
      <c r="BE40" s="1568"/>
      <c r="BF40" s="1568"/>
      <c r="BG40" s="1568"/>
      <c r="BH40" s="1568"/>
      <c r="BI40" s="1568"/>
      <c r="BJ40" s="1568"/>
      <c r="BK40" s="1568"/>
      <c r="BL40" s="1568"/>
      <c r="BQ40" s="609"/>
      <c r="BR40" s="609"/>
      <c r="BS40" s="609"/>
      <c r="BT40" s="609"/>
      <c r="BU40" s="609"/>
      <c r="BV40" s="609"/>
      <c r="BW40" s="609"/>
      <c r="BX40" s="609"/>
      <c r="BY40" s="609"/>
      <c r="BZ40" s="609"/>
      <c r="CA40" s="609"/>
      <c r="CB40" s="609"/>
      <c r="CC40" s="609"/>
      <c r="CD40" s="609"/>
      <c r="CE40" s="609"/>
      <c r="CF40" s="609"/>
      <c r="CG40" s="609"/>
      <c r="CH40" s="609"/>
      <c r="CI40" s="609"/>
      <c r="CJ40" s="609"/>
      <c r="CK40" s="609"/>
      <c r="CL40" s="609"/>
      <c r="CM40" s="609"/>
      <c r="CN40" s="609"/>
      <c r="CO40" s="609"/>
      <c r="CP40" s="609"/>
      <c r="CQ40" s="609"/>
      <c r="CR40" s="609"/>
      <c r="CS40" s="609"/>
      <c r="CT40" s="609"/>
      <c r="CU40" s="609"/>
      <c r="CV40" s="609"/>
      <c r="CW40" s="609"/>
      <c r="CX40" s="609"/>
      <c r="CY40" s="609"/>
      <c r="CZ40" s="609"/>
      <c r="DA40" s="609"/>
      <c r="DB40" s="609"/>
      <c r="DC40" s="609"/>
      <c r="DD40" s="609"/>
      <c r="DE40" s="609"/>
      <c r="DF40" s="609"/>
      <c r="DG40" s="609"/>
      <c r="DH40" s="609"/>
      <c r="DI40" s="609"/>
      <c r="DJ40" s="609"/>
      <c r="DK40" s="609"/>
    </row>
    <row r="41" spans="1:115" ht="15" customHeight="1">
      <c r="A41" s="1568"/>
      <c r="B41" s="1568"/>
      <c r="C41" s="1568"/>
      <c r="D41" s="1568"/>
      <c r="E41" s="1568"/>
      <c r="F41" s="1568"/>
      <c r="G41" s="1568"/>
      <c r="H41" s="1568"/>
      <c r="I41" s="1568"/>
      <c r="J41" s="1568"/>
      <c r="K41" s="1568"/>
      <c r="L41" s="1568"/>
      <c r="M41" s="1568"/>
      <c r="N41" s="1568"/>
      <c r="O41" s="1568"/>
      <c r="P41" s="1568"/>
      <c r="Q41" s="1568"/>
      <c r="R41" s="1568"/>
      <c r="S41" s="1568"/>
      <c r="T41" s="1568"/>
      <c r="U41" s="1568"/>
      <c r="V41" s="1568"/>
      <c r="W41" s="1568"/>
      <c r="X41" s="1568"/>
      <c r="Y41" s="1568"/>
      <c r="Z41" s="1568"/>
      <c r="AA41" s="1568"/>
      <c r="AB41" s="1568"/>
      <c r="AC41" s="1568"/>
      <c r="AD41" s="1568"/>
      <c r="AE41" s="1568"/>
      <c r="AF41" s="1568"/>
      <c r="AG41" s="1568"/>
      <c r="AH41" s="1568"/>
      <c r="AI41" s="1568"/>
      <c r="AJ41" s="1568"/>
      <c r="AK41" s="1568"/>
      <c r="AL41" s="1568"/>
      <c r="AM41" s="1568"/>
      <c r="AN41" s="1568"/>
      <c r="AO41" s="1568"/>
      <c r="AP41" s="1568"/>
      <c r="AQ41" s="1568"/>
      <c r="AR41" s="1568"/>
      <c r="AS41" s="1568"/>
      <c r="AT41" s="1568"/>
      <c r="AU41" s="1568"/>
      <c r="AV41" s="1568"/>
      <c r="AW41" s="1568"/>
      <c r="AX41" s="1568"/>
      <c r="AY41" s="1568"/>
      <c r="AZ41" s="1568"/>
      <c r="BA41" s="1568"/>
      <c r="BB41" s="1568"/>
      <c r="BC41" s="1568"/>
      <c r="BD41" s="1568"/>
      <c r="BE41" s="1568"/>
      <c r="BF41" s="1568"/>
      <c r="BG41" s="1568"/>
      <c r="BH41" s="1568"/>
      <c r="BI41" s="1568"/>
      <c r="BJ41" s="1568"/>
      <c r="BK41" s="1568"/>
      <c r="BL41" s="1568"/>
      <c r="BQ41" s="609"/>
      <c r="BR41" s="609"/>
      <c r="BS41" s="609"/>
      <c r="BT41" s="609"/>
      <c r="BU41" s="609"/>
      <c r="BV41" s="609"/>
      <c r="BW41" s="609"/>
      <c r="BX41" s="609"/>
      <c r="BY41" s="609"/>
      <c r="BZ41" s="609"/>
      <c r="CA41" s="609"/>
      <c r="CB41" s="609"/>
      <c r="CC41" s="609"/>
      <c r="CD41" s="609"/>
      <c r="CE41" s="609"/>
      <c r="CF41" s="609"/>
      <c r="CG41" s="609"/>
      <c r="CH41" s="609"/>
      <c r="CI41" s="609"/>
      <c r="CJ41" s="609"/>
      <c r="CK41" s="609"/>
      <c r="CL41" s="609"/>
      <c r="CM41" s="609"/>
      <c r="CN41" s="609"/>
      <c r="CO41" s="609"/>
      <c r="CP41" s="609"/>
      <c r="CQ41" s="609"/>
      <c r="CR41" s="609"/>
      <c r="CS41" s="609"/>
      <c r="CT41" s="609"/>
      <c r="CU41" s="609"/>
      <c r="CV41" s="609"/>
      <c r="CW41" s="609"/>
      <c r="CX41" s="609"/>
      <c r="CY41" s="609"/>
      <c r="CZ41" s="609"/>
      <c r="DA41" s="609"/>
      <c r="DB41" s="609"/>
      <c r="DC41" s="609"/>
      <c r="DD41" s="609"/>
      <c r="DE41" s="609"/>
      <c r="DF41" s="609"/>
      <c r="DG41" s="609"/>
      <c r="DH41" s="609"/>
      <c r="DI41" s="609"/>
      <c r="DJ41" s="609"/>
      <c r="DK41" s="609"/>
    </row>
    <row r="42" spans="1:115" ht="15" customHeight="1">
      <c r="A42" s="1568"/>
      <c r="B42" s="1568"/>
      <c r="C42" s="1568"/>
      <c r="D42" s="1568"/>
      <c r="E42" s="1568"/>
      <c r="F42" s="1568"/>
      <c r="G42" s="1568"/>
      <c r="H42" s="1568"/>
      <c r="I42" s="1568"/>
      <c r="J42" s="1568"/>
      <c r="K42" s="1568"/>
      <c r="L42" s="1568"/>
      <c r="M42" s="1568"/>
      <c r="N42" s="1568"/>
      <c r="O42" s="1568"/>
      <c r="P42" s="1568"/>
      <c r="Q42" s="1568"/>
      <c r="R42" s="1568"/>
      <c r="S42" s="1568"/>
      <c r="T42" s="1568"/>
      <c r="U42" s="1568"/>
      <c r="V42" s="1568"/>
      <c r="W42" s="1568"/>
      <c r="X42" s="1568"/>
      <c r="Y42" s="1568"/>
      <c r="Z42" s="1568"/>
      <c r="AA42" s="1568"/>
      <c r="AB42" s="1568"/>
      <c r="AC42" s="1568"/>
      <c r="AD42" s="1568"/>
      <c r="AE42" s="1568"/>
      <c r="AF42" s="1568"/>
      <c r="AG42" s="1568"/>
      <c r="AH42" s="1568"/>
      <c r="AI42" s="1568"/>
      <c r="AJ42" s="1568"/>
      <c r="AK42" s="1568"/>
      <c r="AL42" s="1568"/>
      <c r="AM42" s="1568"/>
      <c r="AN42" s="1568"/>
      <c r="AO42" s="1568"/>
      <c r="AP42" s="1568"/>
      <c r="AQ42" s="1568"/>
      <c r="AR42" s="1568"/>
      <c r="AS42" s="1568"/>
      <c r="AT42" s="1568"/>
      <c r="AU42" s="1568"/>
      <c r="AV42" s="1568"/>
      <c r="AW42" s="1568"/>
      <c r="AX42" s="1568"/>
      <c r="AY42" s="1568"/>
      <c r="AZ42" s="1568"/>
      <c r="BA42" s="1568"/>
      <c r="BB42" s="1568"/>
      <c r="BC42" s="1568"/>
      <c r="BD42" s="1568"/>
      <c r="BE42" s="1568"/>
      <c r="BF42" s="1568"/>
      <c r="BG42" s="1568"/>
      <c r="BH42" s="1568"/>
      <c r="BI42" s="1568"/>
      <c r="BJ42" s="1568"/>
      <c r="BK42" s="1568"/>
      <c r="BL42" s="1568"/>
      <c r="BQ42" s="609"/>
      <c r="BR42" s="609"/>
      <c r="BS42" s="609"/>
      <c r="BT42" s="609"/>
      <c r="BU42" s="609"/>
      <c r="BV42" s="609"/>
      <c r="BW42" s="609"/>
      <c r="BX42" s="609"/>
      <c r="BY42" s="609"/>
      <c r="BZ42" s="609"/>
      <c r="CA42" s="609"/>
      <c r="CB42" s="609"/>
      <c r="CC42" s="609"/>
      <c r="CD42" s="609"/>
      <c r="CE42" s="609"/>
      <c r="CF42" s="609"/>
      <c r="CG42" s="609"/>
      <c r="CH42" s="609"/>
      <c r="CI42" s="609"/>
      <c r="CJ42" s="609"/>
      <c r="CK42" s="609"/>
      <c r="CL42" s="609"/>
      <c r="CM42" s="609"/>
      <c r="CN42" s="609"/>
      <c r="CO42" s="609"/>
      <c r="CP42" s="609"/>
      <c r="CQ42" s="609"/>
      <c r="CR42" s="609"/>
      <c r="CS42" s="609"/>
      <c r="CT42" s="609"/>
      <c r="CU42" s="609"/>
      <c r="CV42" s="609"/>
      <c r="CW42" s="609"/>
      <c r="CX42" s="609"/>
      <c r="CY42" s="609"/>
      <c r="CZ42" s="609"/>
      <c r="DA42" s="609"/>
      <c r="DB42" s="609"/>
      <c r="DC42" s="609"/>
      <c r="DD42" s="609"/>
      <c r="DE42" s="609"/>
      <c r="DF42" s="609"/>
      <c r="DG42" s="609"/>
      <c r="DH42" s="609"/>
      <c r="DI42" s="609"/>
      <c r="DJ42" s="609"/>
      <c r="DK42" s="609"/>
    </row>
    <row r="43" spans="1:115">
      <c r="C43" s="613"/>
      <c r="D43" s="613"/>
      <c r="E43" s="613"/>
      <c r="F43" s="613"/>
      <c r="G43" s="613"/>
      <c r="K43" s="613"/>
      <c r="L43" s="613"/>
      <c r="M43" s="609"/>
      <c r="N43" s="613"/>
      <c r="O43" s="613"/>
      <c r="P43" s="613"/>
      <c r="Q43" s="613"/>
      <c r="R43" s="613"/>
      <c r="S43" s="613"/>
      <c r="T43" s="613"/>
      <c r="U43" s="613"/>
      <c r="V43" s="613"/>
      <c r="W43" s="613"/>
      <c r="Z43" s="607"/>
      <c r="AA43" s="615"/>
      <c r="AB43" s="615"/>
      <c r="AL43" s="613"/>
      <c r="AM43" s="613"/>
      <c r="AN43" s="613"/>
      <c r="AO43" s="613"/>
      <c r="BQ43" s="609"/>
      <c r="BR43" s="609"/>
      <c r="BS43" s="609"/>
      <c r="BT43" s="609"/>
      <c r="BU43" s="609"/>
      <c r="BV43" s="609"/>
      <c r="BW43" s="609"/>
      <c r="BX43" s="609"/>
      <c r="BY43" s="609"/>
      <c r="BZ43" s="609"/>
      <c r="CA43" s="609"/>
      <c r="CB43" s="609"/>
      <c r="CC43" s="609"/>
      <c r="CD43" s="609"/>
      <c r="CE43" s="609"/>
      <c r="CF43" s="609"/>
      <c r="CG43" s="609"/>
      <c r="CH43" s="609"/>
      <c r="CI43" s="609"/>
      <c r="CJ43" s="609"/>
      <c r="CK43" s="609"/>
      <c r="CL43" s="609"/>
      <c r="CM43" s="609"/>
      <c r="CN43" s="609"/>
      <c r="CO43" s="609"/>
      <c r="CP43" s="609"/>
      <c r="CQ43" s="609"/>
      <c r="CR43" s="609"/>
      <c r="CS43" s="609"/>
      <c r="CT43" s="609"/>
      <c r="CU43" s="609"/>
      <c r="CV43" s="609"/>
      <c r="CW43" s="609"/>
      <c r="CX43" s="609"/>
      <c r="CY43" s="609"/>
      <c r="CZ43" s="609"/>
      <c r="DA43" s="609"/>
      <c r="DB43" s="609"/>
      <c r="DC43" s="609"/>
      <c r="DD43" s="609"/>
      <c r="DE43" s="609"/>
      <c r="DF43" s="609"/>
      <c r="DG43" s="609"/>
      <c r="DH43" s="609"/>
      <c r="DI43" s="609"/>
      <c r="DJ43" s="609"/>
      <c r="DK43" s="609"/>
    </row>
    <row r="44" spans="1:115" ht="15" customHeight="1">
      <c r="A44" s="595" t="s">
        <v>500</v>
      </c>
      <c r="C44" s="613"/>
      <c r="D44" s="613"/>
      <c r="E44" s="613"/>
      <c r="F44" s="613"/>
      <c r="G44" s="613"/>
      <c r="K44" s="613"/>
      <c r="L44" s="613"/>
      <c r="M44" s="609"/>
      <c r="N44" s="613"/>
      <c r="O44" s="613"/>
      <c r="P44" s="613"/>
      <c r="Q44" s="613"/>
      <c r="R44" s="613"/>
      <c r="S44" s="613"/>
      <c r="T44" s="613"/>
      <c r="U44" s="613"/>
      <c r="V44" s="613"/>
      <c r="W44" s="613"/>
      <c r="Z44" s="607"/>
      <c r="AA44" s="615"/>
      <c r="AB44" s="615"/>
      <c r="AH44" s="624"/>
      <c r="AI44" s="1974" t="s">
        <v>293</v>
      </c>
      <c r="AJ44" s="1974"/>
      <c r="AK44" s="1974"/>
      <c r="AL44" s="1974"/>
      <c r="AM44" s="1974"/>
      <c r="AN44" s="1974"/>
      <c r="AO44" s="1974"/>
      <c r="AP44" s="595" t="s">
        <v>215</v>
      </c>
      <c r="AR44" s="595" t="s">
        <v>83</v>
      </c>
      <c r="AS44" s="1973" t="str">
        <f>T13</f>
        <v>Data_d</v>
      </c>
      <c r="AT44" s="1973"/>
      <c r="AU44" s="1973"/>
      <c r="AV44" s="609" t="s">
        <v>84</v>
      </c>
      <c r="AW44" s="1973" t="str">
        <f>X13</f>
        <v>Data_m</v>
      </c>
      <c r="AX44" s="1972"/>
      <c r="AY44" s="1972"/>
      <c r="AZ44" s="1972"/>
      <c r="BA44" s="1972"/>
      <c r="BB44" s="1972"/>
      <c r="BC44" s="1972"/>
      <c r="BD44" s="1972"/>
      <c r="BE44" s="1972"/>
      <c r="BF44" s="1972"/>
      <c r="BG44" s="601"/>
      <c r="BH44" s="1974" t="str">
        <f>AI13</f>
        <v>Data_y</v>
      </c>
      <c r="BI44" s="1974"/>
      <c r="BJ44" s="1974"/>
      <c r="BK44" s="1974"/>
      <c r="BL44" s="595" t="s">
        <v>501</v>
      </c>
      <c r="BQ44" s="609"/>
      <c r="BR44" s="609"/>
      <c r="BS44" s="609"/>
      <c r="BT44" s="609"/>
      <c r="BU44" s="609"/>
      <c r="BV44" s="609"/>
      <c r="BW44" s="609"/>
      <c r="BX44" s="609"/>
      <c r="BY44" s="609"/>
      <c r="BZ44" s="609"/>
      <c r="CA44" s="609"/>
      <c r="CB44" s="609"/>
      <c r="CC44" s="609"/>
      <c r="CD44" s="609"/>
      <c r="CE44" s="609"/>
      <c r="CF44" s="609"/>
      <c r="CG44" s="609"/>
      <c r="CH44" s="609"/>
      <c r="CI44" s="609"/>
      <c r="CJ44" s="609"/>
      <c r="CK44" s="609"/>
      <c r="CL44" s="609"/>
      <c r="CM44" s="609"/>
      <c r="CN44" s="609"/>
      <c r="CO44" s="609"/>
      <c r="CP44" s="609"/>
      <c r="CQ44" s="609"/>
      <c r="CR44" s="609"/>
      <c r="CS44" s="609"/>
      <c r="CT44" s="609"/>
      <c r="CU44" s="609"/>
      <c r="CV44" s="609"/>
      <c r="CW44" s="609"/>
      <c r="CX44" s="609"/>
      <c r="CY44" s="609"/>
      <c r="CZ44" s="609"/>
      <c r="DA44" s="609"/>
      <c r="DB44" s="609"/>
      <c r="DC44" s="609"/>
      <c r="DD44" s="609"/>
      <c r="DE44" s="609"/>
      <c r="DF44" s="609"/>
      <c r="DG44" s="609"/>
      <c r="DH44" s="609"/>
      <c r="DI44" s="609"/>
      <c r="DJ44" s="609"/>
      <c r="DK44" s="609"/>
    </row>
    <row r="45" spans="1:115" ht="15" customHeight="1">
      <c r="A45" s="595" t="s">
        <v>502</v>
      </c>
      <c r="C45" s="1972" t="s">
        <v>507</v>
      </c>
      <c r="D45" s="1972"/>
      <c r="E45" s="1972"/>
      <c r="F45" s="1972"/>
      <c r="G45" s="1972"/>
      <c r="H45" s="595" t="s">
        <v>503</v>
      </c>
      <c r="K45" s="613"/>
      <c r="L45" s="613"/>
      <c r="M45" s="609"/>
      <c r="N45" s="613"/>
      <c r="O45" s="613"/>
      <c r="P45" s="613"/>
      <c r="Q45" s="613"/>
      <c r="R45" s="613"/>
      <c r="S45" s="613"/>
      <c r="T45" s="613"/>
      <c r="U45" s="613"/>
      <c r="V45" s="613"/>
      <c r="W45" s="613"/>
      <c r="Z45" s="607"/>
      <c r="AA45" s="615"/>
      <c r="AB45" s="615"/>
      <c r="AL45" s="613"/>
      <c r="AM45" s="613"/>
      <c r="AN45" s="613"/>
      <c r="AO45" s="613"/>
      <c r="AP45" s="613"/>
      <c r="AT45" s="613"/>
      <c r="AU45" s="613"/>
      <c r="AV45" s="609"/>
      <c r="AW45" s="613"/>
      <c r="AX45" s="613"/>
      <c r="AY45" s="613"/>
      <c r="AZ45" s="613"/>
      <c r="BA45" s="613"/>
      <c r="BB45" s="613"/>
      <c r="BC45" s="613"/>
      <c r="BD45" s="613"/>
      <c r="BE45" s="613"/>
      <c r="BF45" s="613"/>
      <c r="BI45" s="607"/>
      <c r="BJ45" s="615"/>
      <c r="BK45" s="615"/>
      <c r="BQ45" s="609"/>
      <c r="BR45" s="609"/>
      <c r="BS45" s="609"/>
      <c r="BT45" s="609"/>
      <c r="BU45" s="609"/>
      <c r="BV45" s="609"/>
      <c r="BW45" s="609"/>
      <c r="BX45" s="609"/>
      <c r="BY45" s="609"/>
      <c r="BZ45" s="609"/>
      <c r="CA45" s="609"/>
      <c r="CB45" s="609"/>
      <c r="CC45" s="609"/>
      <c r="CD45" s="609"/>
      <c r="CE45" s="609"/>
      <c r="CF45" s="609"/>
      <c r="CG45" s="609"/>
      <c r="CH45" s="609"/>
      <c r="CI45" s="609"/>
      <c r="CJ45" s="609"/>
      <c r="CK45" s="609"/>
      <c r="CL45" s="609"/>
      <c r="CM45" s="609"/>
      <c r="CN45" s="609"/>
      <c r="CO45" s="609"/>
      <c r="CP45" s="609"/>
      <c r="CQ45" s="609"/>
      <c r="CR45" s="609"/>
      <c r="CS45" s="609"/>
      <c r="CT45" s="609"/>
      <c r="CU45" s="609"/>
      <c r="CV45" s="609"/>
      <c r="CW45" s="609"/>
      <c r="CX45" s="609"/>
      <c r="CY45" s="609"/>
      <c r="CZ45" s="609"/>
      <c r="DA45" s="609"/>
      <c r="DB45" s="609"/>
      <c r="DC45" s="609"/>
      <c r="DD45" s="609"/>
      <c r="DE45" s="609"/>
      <c r="DF45" s="609"/>
      <c r="DG45" s="609"/>
      <c r="DH45" s="609"/>
      <c r="DI45" s="609"/>
      <c r="DJ45" s="609"/>
      <c r="DK45" s="609"/>
    </row>
    <row r="46" spans="1:115">
      <c r="C46" s="613"/>
      <c r="D46" s="613"/>
      <c r="E46" s="613"/>
      <c r="F46" s="613"/>
      <c r="G46" s="613"/>
      <c r="K46" s="613"/>
      <c r="L46" s="613"/>
      <c r="M46" s="609"/>
      <c r="N46" s="613"/>
      <c r="O46" s="613"/>
      <c r="P46" s="613"/>
      <c r="Q46" s="613"/>
      <c r="R46" s="613"/>
      <c r="S46" s="613"/>
      <c r="T46" s="613"/>
      <c r="U46" s="613"/>
      <c r="V46" s="613"/>
      <c r="W46" s="613"/>
      <c r="Z46" s="607"/>
      <c r="AA46" s="615"/>
      <c r="AB46" s="615"/>
      <c r="AL46" s="613"/>
      <c r="AM46" s="613"/>
      <c r="AN46" s="613"/>
      <c r="AO46" s="613"/>
      <c r="AP46" s="613"/>
      <c r="AT46" s="613"/>
      <c r="AU46" s="613"/>
      <c r="AV46" s="609"/>
      <c r="AW46" s="613"/>
      <c r="AX46" s="613"/>
      <c r="AY46" s="613"/>
      <c r="AZ46" s="613"/>
      <c r="BA46" s="613"/>
      <c r="BB46" s="613"/>
      <c r="BC46" s="613"/>
      <c r="BD46" s="613"/>
      <c r="BE46" s="613"/>
      <c r="BF46" s="613"/>
      <c r="BI46" s="607"/>
      <c r="BJ46" s="615"/>
      <c r="BK46" s="615"/>
      <c r="BQ46" s="609"/>
      <c r="BR46" s="609"/>
      <c r="BS46" s="609"/>
      <c r="BT46" s="609"/>
      <c r="BU46" s="609"/>
      <c r="BV46" s="609"/>
      <c r="BW46" s="609"/>
      <c r="BX46" s="609"/>
      <c r="BY46" s="609"/>
      <c r="BZ46" s="609"/>
      <c r="CA46" s="609"/>
      <c r="CB46" s="609"/>
      <c r="CC46" s="609"/>
      <c r="CD46" s="609"/>
      <c r="CE46" s="609"/>
      <c r="CF46" s="609"/>
      <c r="CG46" s="609"/>
      <c r="CH46" s="609"/>
      <c r="CI46" s="609"/>
      <c r="CJ46" s="609"/>
      <c r="CK46" s="609"/>
      <c r="CL46" s="609"/>
      <c r="CM46" s="609"/>
      <c r="CN46" s="609"/>
      <c r="CO46" s="609"/>
      <c r="CP46" s="609"/>
      <c r="CQ46" s="609"/>
      <c r="CR46" s="609"/>
      <c r="CS46" s="609"/>
      <c r="CT46" s="609"/>
      <c r="CU46" s="609"/>
      <c r="CV46" s="609"/>
      <c r="CW46" s="609"/>
      <c r="CX46" s="609"/>
      <c r="CY46" s="609"/>
      <c r="CZ46" s="609"/>
      <c r="DA46" s="609"/>
      <c r="DB46" s="609"/>
      <c r="DC46" s="609"/>
      <c r="DD46" s="609"/>
      <c r="DE46" s="609"/>
      <c r="DF46" s="609"/>
      <c r="DG46" s="609"/>
      <c r="DH46" s="609"/>
      <c r="DI46" s="609"/>
      <c r="DJ46" s="609"/>
      <c r="DK46" s="609"/>
    </row>
    <row r="47" spans="1:115">
      <c r="C47" s="613"/>
      <c r="D47" s="613"/>
      <c r="E47" s="613"/>
      <c r="F47" s="613"/>
      <c r="G47" s="613"/>
      <c r="K47" s="613"/>
      <c r="L47" s="613"/>
      <c r="M47" s="609"/>
      <c r="N47" s="613"/>
      <c r="O47" s="613"/>
      <c r="P47" s="613"/>
      <c r="Q47" s="613"/>
      <c r="R47" s="613"/>
      <c r="S47" s="613"/>
      <c r="T47" s="613"/>
      <c r="U47" s="613"/>
      <c r="V47" s="613"/>
      <c r="W47" s="613"/>
      <c r="Z47" s="607"/>
      <c r="AA47" s="615"/>
      <c r="AB47" s="615"/>
      <c r="AL47" s="613"/>
      <c r="AM47" s="613"/>
      <c r="AN47" s="613"/>
      <c r="AO47" s="613"/>
      <c r="AP47" s="613"/>
      <c r="AT47" s="613"/>
      <c r="AU47" s="613"/>
      <c r="AV47" s="609"/>
      <c r="AW47" s="613"/>
      <c r="AX47" s="613"/>
      <c r="AY47" s="613"/>
      <c r="AZ47" s="613"/>
      <c r="BA47" s="613"/>
      <c r="BB47" s="613"/>
      <c r="BC47" s="613"/>
      <c r="BD47" s="613"/>
      <c r="BE47" s="613"/>
      <c r="BF47" s="613"/>
      <c r="BI47" s="607"/>
      <c r="BJ47" s="615"/>
      <c r="BK47" s="615"/>
      <c r="BQ47" s="609"/>
      <c r="BR47" s="609"/>
      <c r="BS47" s="609"/>
      <c r="BT47" s="609"/>
      <c r="BU47" s="609"/>
      <c r="BV47" s="609"/>
      <c r="BW47" s="609"/>
      <c r="BX47" s="609"/>
      <c r="BY47" s="609"/>
      <c r="BZ47" s="609"/>
      <c r="CA47" s="609"/>
      <c r="CB47" s="609"/>
      <c r="CC47" s="609"/>
      <c r="CD47" s="609"/>
      <c r="CE47" s="609"/>
      <c r="CF47" s="609"/>
      <c r="CG47" s="609"/>
      <c r="CH47" s="609"/>
      <c r="CI47" s="609"/>
      <c r="CJ47" s="609"/>
      <c r="CK47" s="609"/>
      <c r="CL47" s="609"/>
      <c r="CM47" s="609"/>
      <c r="CN47" s="609"/>
      <c r="CO47" s="609"/>
      <c r="CP47" s="609"/>
      <c r="CQ47" s="609"/>
      <c r="CR47" s="609"/>
      <c r="CS47" s="609"/>
      <c r="CT47" s="609"/>
      <c r="CU47" s="609"/>
      <c r="CV47" s="609"/>
      <c r="CW47" s="609"/>
      <c r="CX47" s="609"/>
      <c r="CY47" s="609"/>
      <c r="CZ47" s="609"/>
      <c r="DA47" s="609"/>
      <c r="DB47" s="609"/>
      <c r="DC47" s="609"/>
      <c r="DD47" s="609"/>
      <c r="DE47" s="609"/>
      <c r="DF47" s="609"/>
      <c r="DG47" s="609"/>
      <c r="DH47" s="609"/>
      <c r="DI47" s="609"/>
      <c r="DJ47" s="609"/>
      <c r="DK47" s="609"/>
    </row>
    <row r="48" spans="1:115">
      <c r="C48" s="613"/>
      <c r="D48" s="613"/>
      <c r="E48" s="613"/>
      <c r="F48" s="613"/>
      <c r="G48" s="613"/>
      <c r="K48" s="613"/>
      <c r="L48" s="613"/>
      <c r="M48" s="609"/>
      <c r="N48" s="613"/>
      <c r="O48" s="613"/>
      <c r="P48" s="613"/>
      <c r="Q48" s="613"/>
      <c r="R48" s="613"/>
      <c r="S48" s="613"/>
      <c r="T48" s="613"/>
      <c r="U48" s="613"/>
      <c r="V48" s="613"/>
      <c r="W48" s="613"/>
      <c r="Z48" s="607"/>
      <c r="AA48" s="615"/>
      <c r="AB48" s="615"/>
      <c r="AL48" s="613"/>
      <c r="AM48" s="613"/>
      <c r="AN48" s="613"/>
      <c r="AO48" s="613"/>
      <c r="AP48" s="613"/>
      <c r="AT48" s="613"/>
      <c r="AU48" s="613"/>
      <c r="AV48" s="609"/>
      <c r="AW48" s="613"/>
      <c r="AX48" s="613"/>
      <c r="AY48" s="613"/>
      <c r="AZ48" s="613"/>
      <c r="BA48" s="613"/>
      <c r="BB48" s="613"/>
      <c r="BC48" s="613"/>
      <c r="BD48" s="613"/>
      <c r="BE48" s="613"/>
      <c r="BF48" s="613"/>
      <c r="BI48" s="607"/>
      <c r="BJ48" s="615"/>
      <c r="BK48" s="615"/>
      <c r="BQ48" s="609"/>
      <c r="BR48" s="609"/>
      <c r="BS48" s="609"/>
      <c r="BT48" s="609"/>
      <c r="BU48" s="609"/>
      <c r="BV48" s="609"/>
      <c r="BW48" s="609"/>
      <c r="BX48" s="609"/>
      <c r="BY48" s="609"/>
      <c r="BZ48" s="609"/>
      <c r="CA48" s="609"/>
      <c r="CB48" s="609"/>
      <c r="CC48" s="609"/>
      <c r="CD48" s="609"/>
      <c r="CE48" s="609"/>
      <c r="CF48" s="609"/>
      <c r="CG48" s="609"/>
      <c r="CH48" s="609"/>
      <c r="CI48" s="609"/>
      <c r="CJ48" s="609"/>
      <c r="CK48" s="609"/>
      <c r="CL48" s="609"/>
      <c r="CM48" s="609"/>
      <c r="CN48" s="609"/>
      <c r="CO48" s="609"/>
      <c r="CP48" s="609"/>
      <c r="CQ48" s="609"/>
      <c r="CR48" s="609"/>
      <c r="CS48" s="609"/>
      <c r="CT48" s="609"/>
      <c r="CU48" s="609"/>
      <c r="CV48" s="609"/>
      <c r="CW48" s="609"/>
      <c r="CX48" s="609"/>
      <c r="CY48" s="609"/>
      <c r="CZ48" s="609"/>
      <c r="DA48" s="609"/>
      <c r="DB48" s="609"/>
      <c r="DC48" s="609"/>
      <c r="DD48" s="609"/>
      <c r="DE48" s="609"/>
      <c r="DF48" s="609"/>
      <c r="DG48" s="609"/>
      <c r="DH48" s="609"/>
      <c r="DI48" s="609"/>
      <c r="DJ48" s="609"/>
      <c r="DK48" s="609"/>
    </row>
    <row r="49" spans="1:115">
      <c r="A49" s="595" t="s">
        <v>504</v>
      </c>
      <c r="N49" s="1971" t="s">
        <v>125</v>
      </c>
      <c r="O49" s="1971"/>
      <c r="P49" s="1971"/>
      <c r="Q49" s="1971"/>
      <c r="R49" s="1971"/>
      <c r="S49" s="1971"/>
      <c r="T49" s="1971"/>
      <c r="U49" s="1971"/>
      <c r="V49" s="1971"/>
      <c r="W49" s="1971"/>
      <c r="X49" s="1971"/>
      <c r="Y49" s="1971"/>
      <c r="Z49" s="1971"/>
      <c r="AA49" s="1971"/>
      <c r="AB49" s="1971"/>
      <c r="AE49" s="1568"/>
      <c r="AF49" s="1568"/>
      <c r="AG49" s="1568"/>
      <c r="AH49" s="1568"/>
      <c r="AI49" s="1568"/>
      <c r="AJ49" s="1568"/>
      <c r="AK49" s="1568"/>
      <c r="AL49" s="1568"/>
      <c r="AM49" s="1568"/>
      <c r="AN49" s="1568"/>
      <c r="AO49" s="1568"/>
      <c r="AP49" s="1568"/>
      <c r="AS49" s="1971" t="s">
        <v>126</v>
      </c>
      <c r="AT49" s="1971"/>
      <c r="AU49" s="1971"/>
      <c r="AV49" s="1971"/>
      <c r="AW49" s="1971"/>
      <c r="AX49" s="1971"/>
      <c r="AY49" s="1971"/>
      <c r="AZ49" s="1971"/>
      <c r="BA49" s="1971"/>
      <c r="BB49" s="1971"/>
      <c r="BC49" s="1971"/>
      <c r="BD49" s="1971"/>
      <c r="BE49" s="1971"/>
      <c r="BF49" s="1971"/>
      <c r="BG49" s="1971"/>
      <c r="BH49" s="1971"/>
      <c r="BI49" s="1971"/>
      <c r="BJ49" s="1971"/>
      <c r="BK49" s="1971"/>
      <c r="BL49" s="1971"/>
      <c r="BQ49" s="609"/>
      <c r="BR49" s="609"/>
      <c r="BS49" s="609"/>
      <c r="BT49" s="609"/>
      <c r="BU49" s="609"/>
      <c r="BV49" s="609"/>
      <c r="BW49" s="609"/>
      <c r="BX49" s="609"/>
      <c r="BY49" s="609"/>
      <c r="BZ49" s="609"/>
      <c r="CA49" s="609"/>
      <c r="CB49" s="609"/>
      <c r="CC49" s="609"/>
      <c r="CD49" s="609"/>
      <c r="CE49" s="609"/>
      <c r="CF49" s="609"/>
      <c r="CG49" s="609"/>
      <c r="CH49" s="609"/>
      <c r="CI49" s="609"/>
      <c r="CJ49" s="609"/>
      <c r="CK49" s="609"/>
      <c r="CL49" s="609"/>
      <c r="CM49" s="609"/>
      <c r="CN49" s="609"/>
      <c r="CO49" s="609"/>
      <c r="CP49" s="609"/>
      <c r="CQ49" s="609"/>
      <c r="CR49" s="609"/>
      <c r="CS49" s="609"/>
      <c r="CT49" s="609"/>
      <c r="CU49" s="609"/>
      <c r="CV49" s="609"/>
      <c r="CW49" s="609"/>
      <c r="CX49" s="609"/>
      <c r="CY49" s="609"/>
      <c r="CZ49" s="609"/>
      <c r="DA49" s="609"/>
      <c r="DB49" s="609"/>
      <c r="DC49" s="609"/>
      <c r="DD49" s="609"/>
      <c r="DE49" s="609"/>
      <c r="DF49" s="609"/>
      <c r="DG49" s="609"/>
      <c r="DH49" s="609"/>
      <c r="DI49" s="609"/>
      <c r="DJ49" s="609"/>
      <c r="DK49" s="609"/>
    </row>
    <row r="50" spans="1:115" s="596" customFormat="1">
      <c r="A50" s="618" t="s">
        <v>505</v>
      </c>
      <c r="P50" s="1970" t="s">
        <v>183</v>
      </c>
      <c r="Q50" s="1970"/>
      <c r="R50" s="1970"/>
      <c r="S50" s="1970"/>
      <c r="T50" s="1970"/>
      <c r="U50" s="1970"/>
      <c r="V50" s="1970"/>
      <c r="W50" s="1970"/>
      <c r="X50" s="1970"/>
      <c r="Y50" s="1970"/>
      <c r="Z50" s="1970"/>
      <c r="AA50" s="1970"/>
      <c r="AE50" s="1970" t="s">
        <v>80</v>
      </c>
      <c r="AF50" s="1970"/>
      <c r="AG50" s="1970"/>
      <c r="AH50" s="1970"/>
      <c r="AI50" s="1970"/>
      <c r="AJ50" s="1970"/>
      <c r="AK50" s="1970"/>
      <c r="AL50" s="1970"/>
      <c r="AM50" s="1970"/>
      <c r="AN50" s="1970"/>
      <c r="AO50" s="1970"/>
      <c r="AP50" s="1970"/>
      <c r="AT50" s="1970" t="s">
        <v>182</v>
      </c>
      <c r="AU50" s="1970"/>
      <c r="AV50" s="1970"/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Q50" s="619"/>
      <c r="BR50" s="619"/>
      <c r="BS50" s="619"/>
      <c r="BT50" s="619"/>
      <c r="BU50" s="619"/>
      <c r="BV50" s="619"/>
      <c r="BW50" s="619"/>
      <c r="BX50" s="619"/>
      <c r="BY50" s="619"/>
      <c r="BZ50" s="619"/>
      <c r="CA50" s="619"/>
      <c r="CB50" s="619"/>
      <c r="CC50" s="619"/>
      <c r="CD50" s="619"/>
      <c r="CE50" s="619"/>
      <c r="CF50" s="619"/>
      <c r="CG50" s="619"/>
      <c r="CH50" s="619"/>
      <c r="CI50" s="619"/>
      <c r="CJ50" s="619"/>
      <c r="CK50" s="619"/>
      <c r="CL50" s="619"/>
      <c r="CM50" s="619"/>
      <c r="CN50" s="619"/>
      <c r="CO50" s="619"/>
      <c r="CP50" s="619"/>
      <c r="CQ50" s="619"/>
      <c r="CR50" s="619"/>
      <c r="CS50" s="619"/>
      <c r="CT50" s="619"/>
      <c r="CU50" s="619"/>
      <c r="CV50" s="619"/>
      <c r="CW50" s="619"/>
      <c r="CX50" s="619"/>
      <c r="CY50" s="619"/>
      <c r="CZ50" s="619"/>
      <c r="DA50" s="619"/>
      <c r="DB50" s="619"/>
      <c r="DC50" s="619"/>
      <c r="DD50" s="619"/>
      <c r="DE50" s="619"/>
      <c r="DF50" s="619"/>
      <c r="DG50" s="619"/>
      <c r="DH50" s="619"/>
      <c r="DI50" s="619"/>
      <c r="DJ50" s="619"/>
      <c r="DK50" s="619"/>
    </row>
    <row r="51" spans="1:115" s="620" customFormat="1" ht="3.75" customHeight="1">
      <c r="BQ51" s="621"/>
      <c r="BR51" s="621"/>
      <c r="BS51" s="621"/>
      <c r="BT51" s="621"/>
      <c r="BU51" s="621"/>
      <c r="BV51" s="621"/>
      <c r="BW51" s="621"/>
      <c r="BX51" s="621"/>
      <c r="BY51" s="621"/>
      <c r="BZ51" s="621"/>
      <c r="CA51" s="621"/>
      <c r="CB51" s="621"/>
      <c r="CC51" s="621"/>
      <c r="CD51" s="621"/>
      <c r="CE51" s="621"/>
      <c r="CF51" s="621"/>
      <c r="CG51" s="621"/>
      <c r="CH51" s="621"/>
      <c r="CI51" s="621"/>
      <c r="CJ51" s="621"/>
      <c r="CK51" s="621"/>
      <c r="CL51" s="621"/>
      <c r="CM51" s="621"/>
      <c r="CN51" s="621"/>
      <c r="CO51" s="621"/>
      <c r="CP51" s="621"/>
      <c r="CQ51" s="621"/>
      <c r="CR51" s="621"/>
      <c r="CS51" s="621"/>
      <c r="CT51" s="621"/>
      <c r="CU51" s="621"/>
      <c r="CV51" s="621"/>
      <c r="CW51" s="621"/>
      <c r="CX51" s="621"/>
      <c r="CY51" s="621"/>
      <c r="CZ51" s="621"/>
      <c r="DA51" s="621"/>
      <c r="DB51" s="621"/>
      <c r="DC51" s="621"/>
      <c r="DD51" s="621"/>
      <c r="DE51" s="621"/>
      <c r="DF51" s="621"/>
      <c r="DG51" s="621"/>
      <c r="DH51" s="621"/>
      <c r="DI51" s="621"/>
      <c r="DJ51" s="621"/>
      <c r="DK51" s="621"/>
    </row>
    <row r="52" spans="1:115" s="620" customFormat="1" ht="15" customHeight="1">
      <c r="A52" s="595" t="s">
        <v>127</v>
      </c>
      <c r="BQ52" s="621"/>
      <c r="BR52" s="621"/>
      <c r="BS52" s="621"/>
      <c r="BT52" s="621"/>
      <c r="BU52" s="621"/>
      <c r="BV52" s="621"/>
      <c r="BW52" s="621"/>
      <c r="BX52" s="621"/>
      <c r="BY52" s="621"/>
      <c r="BZ52" s="621"/>
      <c r="CA52" s="621"/>
      <c r="CB52" s="621"/>
      <c r="CC52" s="621"/>
      <c r="CD52" s="621"/>
      <c r="CE52" s="621"/>
      <c r="CF52" s="621"/>
      <c r="CG52" s="621"/>
      <c r="CH52" s="621"/>
      <c r="CI52" s="621"/>
      <c r="CJ52" s="621"/>
      <c r="CK52" s="621"/>
      <c r="CL52" s="621"/>
      <c r="CM52" s="621"/>
      <c r="CN52" s="621"/>
      <c r="CO52" s="621"/>
      <c r="CP52" s="621"/>
      <c r="CQ52" s="621"/>
      <c r="CR52" s="621"/>
      <c r="CS52" s="621"/>
      <c r="CT52" s="621"/>
      <c r="CU52" s="621"/>
      <c r="CV52" s="621"/>
      <c r="CW52" s="621"/>
      <c r="CX52" s="621"/>
      <c r="CY52" s="621"/>
      <c r="CZ52" s="621"/>
      <c r="DA52" s="621"/>
      <c r="DB52" s="621"/>
      <c r="DC52" s="621"/>
      <c r="DD52" s="621"/>
      <c r="DE52" s="621"/>
      <c r="DF52" s="621"/>
      <c r="DG52" s="621"/>
      <c r="DH52" s="621"/>
      <c r="DI52" s="621"/>
      <c r="DJ52" s="621"/>
      <c r="DK52" s="621"/>
    </row>
    <row r="53" spans="1:115" ht="9.75" customHeight="1">
      <c r="N53" s="1971" t="s">
        <v>3</v>
      </c>
      <c r="O53" s="1971"/>
      <c r="P53" s="1971"/>
      <c r="Q53" s="1971"/>
      <c r="R53" s="1971"/>
      <c r="S53" s="1971"/>
      <c r="T53" s="1971"/>
      <c r="U53" s="1971"/>
      <c r="V53" s="1971"/>
      <c r="W53" s="1971"/>
      <c r="X53" s="1971"/>
      <c r="Y53" s="1971"/>
      <c r="Z53" s="1971"/>
      <c r="AA53" s="1971"/>
      <c r="AB53" s="1971"/>
      <c r="AE53" s="1568"/>
      <c r="AF53" s="1568"/>
      <c r="AG53" s="1568"/>
      <c r="AH53" s="1568"/>
      <c r="AI53" s="1568"/>
      <c r="AJ53" s="1568"/>
      <c r="AK53" s="1568"/>
      <c r="AL53" s="1568"/>
      <c r="AM53" s="1568"/>
      <c r="AN53" s="1568"/>
      <c r="AO53" s="1568"/>
      <c r="AP53" s="1568"/>
      <c r="AS53" s="1971" t="s">
        <v>1</v>
      </c>
      <c r="AT53" s="1971"/>
      <c r="AU53" s="1971"/>
      <c r="AV53" s="1971"/>
      <c r="AW53" s="1971"/>
      <c r="AX53" s="1971"/>
      <c r="AY53" s="1971"/>
      <c r="AZ53" s="1971"/>
      <c r="BA53" s="1971"/>
      <c r="BB53" s="1971"/>
      <c r="BC53" s="1971"/>
      <c r="BD53" s="1971"/>
      <c r="BE53" s="1971"/>
      <c r="BF53" s="1971"/>
      <c r="BG53" s="1971"/>
      <c r="BH53" s="1971"/>
      <c r="BI53" s="1971"/>
      <c r="BJ53" s="1971"/>
      <c r="BK53" s="1971"/>
      <c r="BL53" s="1971"/>
      <c r="BQ53" s="609"/>
      <c r="BR53" s="609"/>
      <c r="BS53" s="609"/>
      <c r="BT53" s="609"/>
      <c r="BU53" s="609"/>
      <c r="BV53" s="609"/>
      <c r="BW53" s="609"/>
      <c r="BX53" s="609"/>
      <c r="BY53" s="609"/>
      <c r="BZ53" s="609"/>
      <c r="CA53" s="609"/>
      <c r="CB53" s="609"/>
      <c r="CC53" s="609"/>
      <c r="CD53" s="609"/>
      <c r="CE53" s="609"/>
      <c r="CF53" s="609"/>
      <c r="CG53" s="609"/>
      <c r="CH53" s="609"/>
      <c r="CI53" s="609"/>
      <c r="CJ53" s="609"/>
      <c r="CK53" s="609"/>
      <c r="CL53" s="609"/>
      <c r="CM53" s="609"/>
      <c r="CN53" s="609"/>
      <c r="CO53" s="609"/>
      <c r="CP53" s="609"/>
      <c r="CQ53" s="609"/>
      <c r="CR53" s="609"/>
      <c r="CS53" s="609"/>
      <c r="CT53" s="609"/>
      <c r="CU53" s="609"/>
      <c r="CV53" s="609"/>
      <c r="CW53" s="609"/>
      <c r="CX53" s="609"/>
      <c r="CY53" s="609"/>
      <c r="CZ53" s="609"/>
      <c r="DA53" s="609"/>
      <c r="DB53" s="609"/>
      <c r="DC53" s="609"/>
      <c r="DD53" s="609"/>
      <c r="DE53" s="609"/>
      <c r="DF53" s="609"/>
      <c r="DG53" s="609"/>
      <c r="DH53" s="609"/>
      <c r="DI53" s="609"/>
      <c r="DJ53" s="609"/>
      <c r="DK53" s="609"/>
    </row>
    <row r="54" spans="1:115" s="596" customFormat="1" ht="10.5">
      <c r="P54" s="1970" t="s">
        <v>183</v>
      </c>
      <c r="Q54" s="1970"/>
      <c r="R54" s="1970"/>
      <c r="S54" s="1970"/>
      <c r="T54" s="1970"/>
      <c r="U54" s="1970"/>
      <c r="V54" s="1970"/>
      <c r="W54" s="1970"/>
      <c r="X54" s="1970"/>
      <c r="Y54" s="1970"/>
      <c r="Z54" s="1970"/>
      <c r="AA54" s="1970"/>
      <c r="AE54" s="1970" t="s">
        <v>80</v>
      </c>
      <c r="AF54" s="1970"/>
      <c r="AG54" s="1970"/>
      <c r="AH54" s="1970"/>
      <c r="AI54" s="1970"/>
      <c r="AJ54" s="1970"/>
      <c r="AK54" s="1970"/>
      <c r="AL54" s="1970"/>
      <c r="AM54" s="1970"/>
      <c r="AN54" s="1970"/>
      <c r="AO54" s="1970"/>
      <c r="AP54" s="1970"/>
      <c r="AT54" s="1970" t="s">
        <v>182</v>
      </c>
      <c r="AU54" s="1970"/>
      <c r="AV54" s="1970"/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Q54" s="619"/>
      <c r="BR54" s="619"/>
      <c r="BS54" s="619"/>
      <c r="BT54" s="619"/>
      <c r="BU54" s="619"/>
      <c r="BV54" s="619"/>
      <c r="BW54" s="619"/>
      <c r="BX54" s="619"/>
      <c r="BY54" s="619"/>
      <c r="BZ54" s="619"/>
      <c r="CA54" s="619"/>
      <c r="CB54" s="619"/>
      <c r="CC54" s="619"/>
      <c r="CD54" s="619"/>
      <c r="CE54" s="619"/>
      <c r="CF54" s="619"/>
      <c r="CG54" s="619"/>
      <c r="CH54" s="619"/>
      <c r="CI54" s="619"/>
      <c r="CJ54" s="619"/>
      <c r="CK54" s="619"/>
      <c r="CL54" s="619"/>
      <c r="CM54" s="619"/>
      <c r="CN54" s="619"/>
      <c r="CO54" s="619"/>
      <c r="CP54" s="619"/>
      <c r="CQ54" s="619"/>
      <c r="CR54" s="619"/>
      <c r="CS54" s="619"/>
      <c r="CT54" s="619"/>
      <c r="CU54" s="619"/>
      <c r="CV54" s="619"/>
      <c r="CW54" s="619"/>
      <c r="CX54" s="619"/>
      <c r="CY54" s="619"/>
      <c r="CZ54" s="619"/>
      <c r="DA54" s="619"/>
      <c r="DB54" s="619"/>
      <c r="DC54" s="619"/>
      <c r="DD54" s="619"/>
      <c r="DE54" s="619"/>
      <c r="DF54" s="619"/>
      <c r="DG54" s="619"/>
      <c r="DH54" s="619"/>
      <c r="DI54" s="619"/>
      <c r="DJ54" s="619"/>
      <c r="DK54" s="619"/>
    </row>
    <row r="55" spans="1:115" s="600" customFormat="1" ht="3.95" customHeight="1">
      <c r="O55" s="620"/>
      <c r="P55" s="620"/>
      <c r="Q55" s="620"/>
      <c r="R55" s="620"/>
      <c r="S55" s="620"/>
      <c r="T55" s="620"/>
      <c r="U55" s="620"/>
      <c r="V55" s="620"/>
      <c r="W55" s="620"/>
      <c r="X55" s="620"/>
      <c r="Y55" s="620"/>
      <c r="Z55" s="620"/>
      <c r="AA55" s="620"/>
      <c r="AB55" s="620"/>
      <c r="AC55" s="620"/>
      <c r="AD55" s="620"/>
      <c r="AE55" s="620"/>
      <c r="AF55" s="620"/>
      <c r="AG55" s="620"/>
      <c r="AH55" s="620"/>
      <c r="AI55" s="620"/>
      <c r="AJ55" s="620"/>
      <c r="AK55" s="620"/>
      <c r="AL55" s="620"/>
      <c r="AM55" s="620"/>
      <c r="AN55" s="620"/>
      <c r="AO55" s="620"/>
      <c r="AP55" s="620"/>
      <c r="AQ55" s="620"/>
      <c r="AR55" s="620"/>
      <c r="AS55" s="620"/>
      <c r="AT55" s="620"/>
      <c r="AU55" s="620"/>
      <c r="AV55" s="620"/>
      <c r="AW55" s="620"/>
      <c r="AX55" s="620"/>
      <c r="AY55" s="620"/>
      <c r="AZ55" s="620"/>
      <c r="BA55" s="620"/>
      <c r="BB55" s="620"/>
      <c r="BC55" s="620"/>
      <c r="BD55" s="620"/>
      <c r="BE55" s="620"/>
      <c r="BF55" s="620"/>
      <c r="BG55" s="620"/>
      <c r="BH55" s="620"/>
      <c r="BI55" s="620"/>
      <c r="BJ55" s="620"/>
      <c r="BK55" s="620"/>
      <c r="BP55" s="622"/>
      <c r="BQ55" s="622"/>
      <c r="BR55" s="622"/>
      <c r="BS55" s="622"/>
      <c r="BT55" s="622"/>
      <c r="BU55" s="622"/>
      <c r="BV55" s="622"/>
      <c r="BW55" s="622"/>
      <c r="BX55" s="622"/>
      <c r="BY55" s="622"/>
      <c r="BZ55" s="622"/>
      <c r="CA55" s="622"/>
      <c r="CB55" s="622"/>
      <c r="CC55" s="622"/>
      <c r="CD55" s="622"/>
      <c r="CE55" s="622"/>
      <c r="CF55" s="622"/>
      <c r="CG55" s="622"/>
      <c r="CH55" s="622"/>
      <c r="CI55" s="622"/>
      <c r="CJ55" s="622"/>
      <c r="CK55" s="622"/>
      <c r="CL55" s="622"/>
      <c r="CM55" s="622"/>
      <c r="CN55" s="622"/>
      <c r="CO55" s="622"/>
      <c r="CP55" s="622"/>
      <c r="CQ55" s="622"/>
      <c r="CR55" s="622"/>
      <c r="CS55" s="622"/>
      <c r="CT55" s="622"/>
      <c r="CU55" s="622"/>
      <c r="CV55" s="622"/>
      <c r="CW55" s="622"/>
      <c r="CX55" s="622"/>
      <c r="CY55" s="622"/>
      <c r="CZ55" s="622"/>
      <c r="DA55" s="622"/>
      <c r="DB55" s="622"/>
      <c r="DC55" s="622"/>
      <c r="DD55" s="622"/>
      <c r="DE55" s="622"/>
      <c r="DF55" s="622"/>
      <c r="DG55" s="622"/>
      <c r="DH55" s="622"/>
      <c r="DI55" s="622"/>
      <c r="DJ55" s="622"/>
    </row>
    <row r="56" spans="1:115">
      <c r="A56" s="607" t="s">
        <v>83</v>
      </c>
      <c r="B56" s="1566"/>
      <c r="C56" s="1566"/>
      <c r="D56" s="1566"/>
      <c r="E56" s="608" t="s">
        <v>84</v>
      </c>
      <c r="F56" s="1568"/>
      <c r="G56" s="1568"/>
      <c r="H56" s="1568"/>
      <c r="I56" s="1568"/>
      <c r="J56" s="1568"/>
      <c r="K56" s="1568"/>
      <c r="L56" s="1568"/>
      <c r="M56" s="1568"/>
      <c r="N56" s="1568"/>
      <c r="O56" s="1568"/>
      <c r="P56" s="601"/>
      <c r="Q56" s="601"/>
      <c r="R56" s="602" t="s">
        <v>460</v>
      </c>
      <c r="S56" s="1567"/>
      <c r="T56" s="1567"/>
      <c r="U56" s="595" t="s">
        <v>85</v>
      </c>
      <c r="BQ56" s="609"/>
      <c r="BR56" s="609"/>
      <c r="BS56" s="609"/>
      <c r="BT56" s="609"/>
      <c r="BU56" s="609"/>
      <c r="BV56" s="609"/>
      <c r="BW56" s="609"/>
      <c r="BX56" s="609"/>
      <c r="BY56" s="609"/>
      <c r="BZ56" s="609"/>
      <c r="CA56" s="609"/>
      <c r="CB56" s="609"/>
      <c r="CC56" s="609"/>
      <c r="CD56" s="609"/>
      <c r="CE56" s="609"/>
      <c r="CF56" s="609"/>
      <c r="CG56" s="609"/>
      <c r="CH56" s="609"/>
      <c r="CI56" s="609"/>
      <c r="CJ56" s="609"/>
      <c r="CK56" s="609"/>
      <c r="CL56" s="609"/>
      <c r="CM56" s="609"/>
      <c r="CN56" s="609"/>
      <c r="CO56" s="609"/>
      <c r="CP56" s="609"/>
      <c r="CQ56" s="609"/>
      <c r="CR56" s="609"/>
      <c r="CS56" s="609"/>
      <c r="CT56" s="609"/>
      <c r="CU56" s="609"/>
      <c r="CV56" s="609"/>
      <c r="CW56" s="609"/>
      <c r="CX56" s="609"/>
      <c r="CY56" s="609"/>
      <c r="CZ56" s="609"/>
      <c r="DA56" s="609"/>
      <c r="DB56" s="609"/>
      <c r="DC56" s="609"/>
      <c r="DD56" s="609"/>
      <c r="DE56" s="609"/>
      <c r="DF56" s="609"/>
      <c r="DG56" s="609"/>
      <c r="DH56" s="609"/>
      <c r="DI56" s="609"/>
      <c r="DJ56" s="609"/>
      <c r="DK56" s="609"/>
    </row>
    <row r="57" spans="1:115">
      <c r="BQ57" s="609"/>
      <c r="BR57" s="609"/>
      <c r="BS57" s="609"/>
      <c r="BT57" s="609"/>
      <c r="BU57" s="609"/>
      <c r="BV57" s="609"/>
      <c r="BW57" s="609"/>
      <c r="BX57" s="609"/>
      <c r="BY57" s="609"/>
      <c r="BZ57" s="609"/>
      <c r="CA57" s="609"/>
      <c r="CB57" s="609"/>
      <c r="CC57" s="609"/>
      <c r="CD57" s="609"/>
      <c r="CE57" s="609"/>
      <c r="CF57" s="609"/>
      <c r="CG57" s="609"/>
      <c r="CH57" s="609"/>
      <c r="CI57" s="609"/>
      <c r="CJ57" s="609"/>
      <c r="CK57" s="609"/>
      <c r="CL57" s="609"/>
      <c r="CM57" s="609"/>
      <c r="CN57" s="609"/>
      <c r="CO57" s="609"/>
      <c r="CP57" s="609"/>
      <c r="CQ57" s="609"/>
      <c r="CR57" s="609"/>
      <c r="CS57" s="609"/>
      <c r="CT57" s="609"/>
      <c r="CU57" s="609"/>
      <c r="CV57" s="609"/>
      <c r="CW57" s="609"/>
      <c r="CX57" s="609"/>
      <c r="CY57" s="609"/>
      <c r="CZ57" s="609"/>
      <c r="DA57" s="609"/>
      <c r="DB57" s="609"/>
      <c r="DC57" s="609"/>
      <c r="DD57" s="609"/>
      <c r="DE57" s="609"/>
      <c r="DF57" s="609"/>
      <c r="DG57" s="609"/>
      <c r="DH57" s="609"/>
      <c r="DI57" s="609"/>
      <c r="DJ57" s="609"/>
      <c r="DK57" s="609"/>
    </row>
    <row r="58" spans="1:115">
      <c r="BQ58" s="609"/>
      <c r="BR58" s="609"/>
      <c r="BS58" s="609"/>
      <c r="BT58" s="609"/>
      <c r="BU58" s="609"/>
      <c r="BV58" s="609"/>
      <c r="BW58" s="609"/>
      <c r="BX58" s="609"/>
      <c r="BY58" s="609"/>
      <c r="BZ58" s="609"/>
      <c r="CA58" s="609"/>
      <c r="CB58" s="609"/>
      <c r="CC58" s="609"/>
      <c r="CD58" s="609"/>
      <c r="CE58" s="609"/>
      <c r="CF58" s="609"/>
      <c r="CG58" s="609"/>
      <c r="CH58" s="609"/>
      <c r="CI58" s="609"/>
      <c r="CJ58" s="609"/>
      <c r="CK58" s="609"/>
      <c r="CL58" s="609"/>
      <c r="CM58" s="609"/>
      <c r="CN58" s="609"/>
      <c r="CO58" s="609"/>
      <c r="CP58" s="609"/>
      <c r="CQ58" s="609"/>
      <c r="CR58" s="609"/>
      <c r="CS58" s="609"/>
      <c r="CT58" s="609"/>
      <c r="CU58" s="609"/>
      <c r="CV58" s="609"/>
      <c r="CW58" s="609"/>
      <c r="CX58" s="609"/>
      <c r="CY58" s="609"/>
      <c r="CZ58" s="609"/>
      <c r="DA58" s="609"/>
      <c r="DB58" s="609"/>
      <c r="DC58" s="609"/>
      <c r="DD58" s="609"/>
      <c r="DE58" s="609"/>
      <c r="DF58" s="609"/>
      <c r="DG58" s="609"/>
      <c r="DH58" s="609"/>
      <c r="DI58" s="609"/>
      <c r="DJ58" s="609"/>
      <c r="DK58" s="609"/>
    </row>
    <row r="59" spans="1:115">
      <c r="BQ59" s="609"/>
      <c r="BR59" s="609"/>
      <c r="BS59" s="609"/>
      <c r="BT59" s="609"/>
      <c r="BU59" s="609"/>
      <c r="BV59" s="609"/>
      <c r="BW59" s="609"/>
      <c r="BX59" s="609"/>
      <c r="BY59" s="609"/>
      <c r="BZ59" s="609"/>
      <c r="CA59" s="609"/>
      <c r="CB59" s="609"/>
      <c r="CC59" s="609"/>
      <c r="CD59" s="609"/>
      <c r="CE59" s="609"/>
      <c r="CF59" s="609"/>
      <c r="CG59" s="609"/>
      <c r="CH59" s="609"/>
      <c r="CI59" s="609"/>
      <c r="CJ59" s="609"/>
      <c r="CK59" s="609"/>
      <c r="CL59" s="609"/>
      <c r="CM59" s="609"/>
      <c r="CN59" s="609"/>
      <c r="CO59" s="609"/>
      <c r="CP59" s="609"/>
      <c r="CQ59" s="609"/>
      <c r="CR59" s="609"/>
      <c r="CS59" s="609"/>
      <c r="CT59" s="609"/>
      <c r="CU59" s="609"/>
      <c r="CV59" s="609"/>
      <c r="CW59" s="609"/>
      <c r="CX59" s="609"/>
      <c r="CY59" s="609"/>
      <c r="CZ59" s="609"/>
      <c r="DA59" s="609"/>
      <c r="DB59" s="609"/>
      <c r="DC59" s="609"/>
      <c r="DD59" s="609"/>
      <c r="DE59" s="609"/>
      <c r="DF59" s="609"/>
      <c r="DG59" s="609"/>
      <c r="DH59" s="609"/>
      <c r="DI59" s="609"/>
      <c r="DJ59" s="609"/>
      <c r="DK59" s="609"/>
    </row>
    <row r="60" spans="1:115">
      <c r="BQ60" s="609"/>
      <c r="BR60" s="609"/>
      <c r="BS60" s="609"/>
      <c r="BT60" s="609"/>
      <c r="BU60" s="609"/>
      <c r="BV60" s="609"/>
      <c r="BW60" s="609"/>
      <c r="BX60" s="609"/>
      <c r="BY60" s="609"/>
      <c r="BZ60" s="609"/>
      <c r="CA60" s="609"/>
      <c r="CB60" s="609"/>
      <c r="CC60" s="609"/>
      <c r="CD60" s="609"/>
      <c r="CE60" s="609"/>
      <c r="CF60" s="609"/>
      <c r="CG60" s="609"/>
      <c r="CH60" s="609"/>
      <c r="CI60" s="609"/>
      <c r="CJ60" s="609"/>
      <c r="CK60" s="609"/>
      <c r="CL60" s="609"/>
      <c r="CM60" s="609"/>
      <c r="CN60" s="609"/>
      <c r="CO60" s="609"/>
      <c r="CP60" s="609"/>
      <c r="CQ60" s="609"/>
      <c r="CR60" s="609"/>
      <c r="CS60" s="609"/>
      <c r="CT60" s="609"/>
      <c r="CU60" s="609"/>
      <c r="CV60" s="609"/>
      <c r="CW60" s="609"/>
      <c r="CX60" s="609"/>
      <c r="CY60" s="609"/>
      <c r="CZ60" s="609"/>
      <c r="DA60" s="609"/>
      <c r="DB60" s="609"/>
      <c r="DC60" s="609"/>
      <c r="DD60" s="609"/>
      <c r="DE60" s="609"/>
      <c r="DF60" s="609"/>
      <c r="DG60" s="609"/>
      <c r="DH60" s="609"/>
      <c r="DI60" s="609"/>
      <c r="DJ60" s="609"/>
      <c r="DK60" s="609"/>
    </row>
    <row r="61" spans="1:115">
      <c r="BQ61" s="609"/>
      <c r="BR61" s="609"/>
      <c r="BS61" s="609"/>
      <c r="BT61" s="609"/>
      <c r="BU61" s="609"/>
      <c r="BV61" s="609"/>
      <c r="BW61" s="609"/>
      <c r="BX61" s="609"/>
      <c r="BY61" s="609"/>
      <c r="BZ61" s="609"/>
      <c r="CA61" s="609"/>
      <c r="CB61" s="609"/>
      <c r="CC61" s="609"/>
      <c r="CD61" s="609"/>
      <c r="CE61" s="609"/>
      <c r="CF61" s="609"/>
      <c r="CG61" s="609"/>
      <c r="CH61" s="609"/>
      <c r="CI61" s="609"/>
      <c r="CJ61" s="609"/>
      <c r="CK61" s="609"/>
      <c r="CL61" s="609"/>
      <c r="CM61" s="609"/>
      <c r="CN61" s="609"/>
      <c r="CO61" s="609"/>
      <c r="CP61" s="609"/>
      <c r="CQ61" s="609"/>
      <c r="CR61" s="609"/>
      <c r="CS61" s="609"/>
      <c r="CT61" s="609"/>
      <c r="CU61" s="609"/>
      <c r="CV61" s="609"/>
      <c r="CW61" s="609"/>
      <c r="CX61" s="609"/>
      <c r="CY61" s="609"/>
      <c r="CZ61" s="609"/>
      <c r="DA61" s="609"/>
      <c r="DB61" s="609"/>
      <c r="DC61" s="609"/>
      <c r="DD61" s="609"/>
      <c r="DE61" s="609"/>
      <c r="DF61" s="609"/>
      <c r="DG61" s="609"/>
      <c r="DH61" s="609"/>
      <c r="DI61" s="609"/>
      <c r="DJ61" s="609"/>
      <c r="DK61" s="609"/>
    </row>
    <row r="62" spans="1:115">
      <c r="BQ62" s="609"/>
      <c r="BR62" s="609"/>
      <c r="BS62" s="609"/>
      <c r="BT62" s="609"/>
      <c r="BU62" s="609"/>
      <c r="BV62" s="609"/>
      <c r="BW62" s="609"/>
      <c r="BX62" s="609"/>
      <c r="BY62" s="609"/>
      <c r="BZ62" s="609"/>
      <c r="CA62" s="609"/>
      <c r="CB62" s="609"/>
      <c r="CC62" s="609"/>
      <c r="CD62" s="609"/>
      <c r="CE62" s="609"/>
      <c r="CF62" s="609"/>
      <c r="CG62" s="609"/>
      <c r="CH62" s="609"/>
      <c r="CI62" s="609"/>
      <c r="CJ62" s="609"/>
      <c r="CK62" s="609"/>
      <c r="CL62" s="609"/>
      <c r="CM62" s="609"/>
      <c r="CN62" s="609"/>
      <c r="CO62" s="609"/>
      <c r="CP62" s="609"/>
      <c r="CQ62" s="609"/>
      <c r="CR62" s="609"/>
      <c r="CS62" s="609"/>
      <c r="CT62" s="609"/>
      <c r="CU62" s="609"/>
      <c r="CV62" s="609"/>
      <c r="CW62" s="609"/>
      <c r="CX62" s="609"/>
      <c r="CY62" s="609"/>
      <c r="CZ62" s="609"/>
      <c r="DA62" s="609"/>
      <c r="DB62" s="609"/>
      <c r="DC62" s="609"/>
      <c r="DD62" s="609"/>
      <c r="DE62" s="609"/>
      <c r="DF62" s="609"/>
      <c r="DG62" s="609"/>
      <c r="DH62" s="609"/>
      <c r="DI62" s="609"/>
      <c r="DJ62" s="609"/>
      <c r="DK62" s="609"/>
    </row>
    <row r="63" spans="1:115">
      <c r="BQ63" s="609"/>
      <c r="BR63" s="609"/>
      <c r="BS63" s="609"/>
      <c r="BT63" s="609"/>
      <c r="BU63" s="609"/>
      <c r="BV63" s="609"/>
      <c r="BW63" s="609"/>
      <c r="BX63" s="609"/>
      <c r="BY63" s="609"/>
      <c r="BZ63" s="609"/>
      <c r="CA63" s="609"/>
      <c r="CB63" s="609"/>
      <c r="CC63" s="609"/>
      <c r="CD63" s="609"/>
      <c r="CE63" s="609"/>
      <c r="CF63" s="609"/>
      <c r="CG63" s="609"/>
      <c r="CH63" s="609"/>
      <c r="CI63" s="609"/>
      <c r="CJ63" s="609"/>
      <c r="CK63" s="609"/>
      <c r="CL63" s="609"/>
      <c r="CM63" s="609"/>
      <c r="CN63" s="609"/>
      <c r="CO63" s="609"/>
      <c r="CP63" s="609"/>
      <c r="CQ63" s="609"/>
      <c r="CR63" s="609"/>
      <c r="CS63" s="609"/>
      <c r="CT63" s="609"/>
      <c r="CU63" s="609"/>
      <c r="CV63" s="609"/>
      <c r="CW63" s="609"/>
      <c r="CX63" s="609"/>
      <c r="CY63" s="609"/>
      <c r="CZ63" s="609"/>
      <c r="DA63" s="609"/>
      <c r="DB63" s="609"/>
      <c r="DC63" s="609"/>
      <c r="DD63" s="609"/>
      <c r="DE63" s="609"/>
      <c r="DF63" s="609"/>
      <c r="DG63" s="609"/>
      <c r="DH63" s="609"/>
      <c r="DI63" s="609"/>
      <c r="DJ63" s="609"/>
      <c r="DK63" s="609"/>
    </row>
    <row r="64" spans="1:115">
      <c r="BQ64" s="609"/>
      <c r="BR64" s="609"/>
      <c r="BS64" s="609"/>
      <c r="BT64" s="609"/>
      <c r="BU64" s="609"/>
      <c r="BV64" s="609"/>
      <c r="BW64" s="609"/>
      <c r="BX64" s="609"/>
      <c r="BY64" s="609"/>
      <c r="BZ64" s="609"/>
      <c r="CA64" s="609"/>
      <c r="CB64" s="609"/>
      <c r="CC64" s="609"/>
      <c r="CD64" s="609"/>
      <c r="CE64" s="609"/>
      <c r="CF64" s="609"/>
      <c r="CG64" s="609"/>
      <c r="CH64" s="609"/>
      <c r="CI64" s="609"/>
      <c r="CJ64" s="609"/>
      <c r="CK64" s="609"/>
      <c r="CL64" s="609"/>
      <c r="CM64" s="609"/>
      <c r="CN64" s="609"/>
      <c r="CO64" s="609"/>
      <c r="CP64" s="609"/>
      <c r="CQ64" s="609"/>
      <c r="CR64" s="609"/>
      <c r="CS64" s="609"/>
      <c r="CT64" s="609"/>
      <c r="CU64" s="609"/>
      <c r="CV64" s="609"/>
      <c r="CW64" s="609"/>
      <c r="CX64" s="609"/>
      <c r="CY64" s="609"/>
      <c r="CZ64" s="609"/>
      <c r="DA64" s="609"/>
      <c r="DB64" s="609"/>
      <c r="DC64" s="609"/>
      <c r="DD64" s="609"/>
      <c r="DE64" s="609"/>
      <c r="DF64" s="609"/>
      <c r="DG64" s="609"/>
      <c r="DH64" s="609"/>
      <c r="DI64" s="609"/>
      <c r="DJ64" s="609"/>
      <c r="DK64" s="609"/>
    </row>
    <row r="65" spans="69:115">
      <c r="BQ65" s="609"/>
      <c r="BR65" s="609"/>
      <c r="BS65" s="609"/>
      <c r="BT65" s="609"/>
      <c r="BU65" s="609"/>
      <c r="BV65" s="609"/>
      <c r="BW65" s="609"/>
      <c r="BX65" s="609"/>
      <c r="BY65" s="609"/>
      <c r="BZ65" s="609"/>
      <c r="CA65" s="609"/>
      <c r="CB65" s="609"/>
      <c r="CC65" s="609"/>
      <c r="CD65" s="609"/>
      <c r="CE65" s="609"/>
      <c r="CF65" s="609"/>
      <c r="CG65" s="609"/>
      <c r="CH65" s="609"/>
      <c r="CI65" s="609"/>
      <c r="CJ65" s="609"/>
      <c r="CK65" s="609"/>
      <c r="CL65" s="609"/>
      <c r="CM65" s="609"/>
      <c r="CN65" s="609"/>
      <c r="CO65" s="609"/>
      <c r="CP65" s="609"/>
      <c r="CQ65" s="609"/>
      <c r="CR65" s="609"/>
      <c r="CS65" s="609"/>
      <c r="CT65" s="609"/>
      <c r="CU65" s="609"/>
      <c r="CV65" s="609"/>
      <c r="CW65" s="609"/>
      <c r="CX65" s="609"/>
      <c r="CY65" s="609"/>
      <c r="CZ65" s="609"/>
      <c r="DA65" s="609"/>
      <c r="DB65" s="609"/>
      <c r="DC65" s="609"/>
      <c r="DD65" s="609"/>
      <c r="DE65" s="609"/>
      <c r="DF65" s="609"/>
      <c r="DG65" s="609"/>
      <c r="DH65" s="609"/>
      <c r="DI65" s="609"/>
      <c r="DJ65" s="609"/>
      <c r="DK65" s="609"/>
    </row>
    <row r="66" spans="69:115">
      <c r="BQ66" s="609"/>
      <c r="BR66" s="609"/>
      <c r="BS66" s="609"/>
      <c r="BT66" s="609"/>
      <c r="BU66" s="609"/>
      <c r="BV66" s="609"/>
      <c r="BW66" s="609"/>
      <c r="BX66" s="609"/>
      <c r="BY66" s="609"/>
      <c r="BZ66" s="609"/>
      <c r="CA66" s="609"/>
      <c r="CB66" s="609"/>
      <c r="CC66" s="609"/>
      <c r="CD66" s="609"/>
      <c r="CE66" s="609"/>
      <c r="CF66" s="609"/>
      <c r="CG66" s="609"/>
      <c r="CH66" s="609"/>
      <c r="CI66" s="609"/>
      <c r="CJ66" s="609"/>
      <c r="CK66" s="609"/>
      <c r="CL66" s="609"/>
      <c r="CM66" s="609"/>
      <c r="CN66" s="609"/>
      <c r="CO66" s="609"/>
      <c r="CP66" s="609"/>
      <c r="CQ66" s="609"/>
      <c r="CR66" s="609"/>
      <c r="CS66" s="609"/>
      <c r="CT66" s="609"/>
      <c r="CU66" s="609"/>
      <c r="CV66" s="609"/>
      <c r="CW66" s="609"/>
      <c r="CX66" s="609"/>
      <c r="CY66" s="609"/>
      <c r="CZ66" s="609"/>
      <c r="DA66" s="609"/>
      <c r="DB66" s="609"/>
      <c r="DC66" s="609"/>
      <c r="DD66" s="609"/>
      <c r="DE66" s="609"/>
      <c r="DF66" s="609"/>
      <c r="DG66" s="609"/>
      <c r="DH66" s="609"/>
      <c r="DI66" s="609"/>
      <c r="DJ66" s="609"/>
      <c r="DK66" s="609"/>
    </row>
    <row r="67" spans="69:115">
      <c r="BQ67" s="609"/>
      <c r="BR67" s="609"/>
      <c r="BS67" s="609"/>
      <c r="BT67" s="609"/>
      <c r="BU67" s="609"/>
      <c r="BV67" s="609"/>
      <c r="BW67" s="609"/>
      <c r="BX67" s="609"/>
      <c r="BY67" s="609"/>
      <c r="BZ67" s="609"/>
      <c r="CA67" s="609"/>
      <c r="CB67" s="609"/>
      <c r="CC67" s="609"/>
      <c r="CD67" s="609"/>
      <c r="CE67" s="609"/>
      <c r="CF67" s="609"/>
      <c r="CG67" s="609"/>
      <c r="CH67" s="609"/>
      <c r="CI67" s="609"/>
      <c r="CJ67" s="609"/>
      <c r="CK67" s="609"/>
      <c r="CL67" s="609"/>
      <c r="CM67" s="609"/>
      <c r="CN67" s="609"/>
      <c r="CO67" s="609"/>
      <c r="CP67" s="609"/>
      <c r="CQ67" s="609"/>
      <c r="CR67" s="609"/>
      <c r="CS67" s="609"/>
      <c r="CT67" s="609"/>
      <c r="CU67" s="609"/>
      <c r="CV67" s="609"/>
      <c r="CW67" s="609"/>
      <c r="CX67" s="609"/>
      <c r="CY67" s="609"/>
      <c r="CZ67" s="609"/>
      <c r="DA67" s="609"/>
      <c r="DB67" s="609"/>
      <c r="DC67" s="609"/>
      <c r="DD67" s="609"/>
      <c r="DE67" s="609"/>
      <c r="DF67" s="609"/>
      <c r="DG67" s="609"/>
      <c r="DH67" s="609"/>
      <c r="DI67" s="609"/>
      <c r="DJ67" s="609"/>
      <c r="DK67" s="609"/>
    </row>
    <row r="68" spans="69:115">
      <c r="BQ68" s="609"/>
      <c r="BR68" s="609"/>
      <c r="BS68" s="609"/>
      <c r="BT68" s="609"/>
      <c r="BU68" s="609"/>
      <c r="BV68" s="609"/>
      <c r="BW68" s="609"/>
      <c r="BX68" s="609"/>
      <c r="BY68" s="609"/>
      <c r="BZ68" s="609"/>
      <c r="CA68" s="609"/>
      <c r="CB68" s="609"/>
      <c r="CC68" s="609"/>
      <c r="CD68" s="609"/>
      <c r="CE68" s="609"/>
      <c r="CF68" s="609"/>
      <c r="CG68" s="609"/>
      <c r="CH68" s="609"/>
      <c r="CI68" s="609"/>
      <c r="CJ68" s="609"/>
      <c r="CK68" s="609"/>
      <c r="CL68" s="609"/>
      <c r="CM68" s="609"/>
      <c r="CN68" s="609"/>
      <c r="CO68" s="609"/>
      <c r="CP68" s="609"/>
      <c r="CQ68" s="609"/>
      <c r="CR68" s="609"/>
      <c r="CS68" s="609"/>
      <c r="CT68" s="609"/>
      <c r="CU68" s="609"/>
      <c r="CV68" s="609"/>
      <c r="CW68" s="609"/>
      <c r="CX68" s="609"/>
      <c r="CY68" s="609"/>
      <c r="CZ68" s="609"/>
      <c r="DA68" s="609"/>
      <c r="DB68" s="609"/>
      <c r="DC68" s="609"/>
      <c r="DD68" s="609"/>
      <c r="DE68" s="609"/>
      <c r="DF68" s="609"/>
      <c r="DG68" s="609"/>
      <c r="DH68" s="609"/>
      <c r="DI68" s="609"/>
      <c r="DJ68" s="609"/>
      <c r="DK68" s="609"/>
    </row>
    <row r="69" spans="69:115">
      <c r="BQ69" s="609"/>
      <c r="BR69" s="609"/>
      <c r="BS69" s="609"/>
      <c r="BT69" s="609"/>
      <c r="BU69" s="609"/>
      <c r="BV69" s="609"/>
      <c r="BW69" s="609"/>
      <c r="BX69" s="609"/>
      <c r="BY69" s="609"/>
      <c r="BZ69" s="609"/>
      <c r="CA69" s="609"/>
      <c r="CB69" s="609"/>
      <c r="CC69" s="609"/>
      <c r="CD69" s="609"/>
      <c r="CE69" s="609"/>
      <c r="CF69" s="609"/>
      <c r="CG69" s="609"/>
      <c r="CH69" s="609"/>
      <c r="CI69" s="609"/>
      <c r="CJ69" s="609"/>
      <c r="CK69" s="609"/>
      <c r="CL69" s="609"/>
      <c r="CM69" s="609"/>
      <c r="CN69" s="609"/>
      <c r="CO69" s="609"/>
      <c r="CP69" s="609"/>
      <c r="CQ69" s="609"/>
      <c r="CR69" s="609"/>
      <c r="CS69" s="609"/>
      <c r="CT69" s="609"/>
      <c r="CU69" s="609"/>
      <c r="CV69" s="609"/>
      <c r="CW69" s="609"/>
      <c r="CX69" s="609"/>
      <c r="CY69" s="609"/>
      <c r="CZ69" s="609"/>
      <c r="DA69" s="609"/>
      <c r="DB69" s="609"/>
      <c r="DC69" s="609"/>
      <c r="DD69" s="609"/>
      <c r="DE69" s="609"/>
      <c r="DF69" s="609"/>
      <c r="DG69" s="609"/>
      <c r="DH69" s="609"/>
      <c r="DI69" s="609"/>
      <c r="DJ69" s="609"/>
      <c r="DK69" s="609"/>
    </row>
    <row r="70" spans="69:115">
      <c r="BQ70" s="609"/>
      <c r="BR70" s="609"/>
      <c r="BS70" s="609"/>
      <c r="BT70" s="609"/>
      <c r="BU70" s="609"/>
      <c r="BV70" s="609"/>
      <c r="BW70" s="609"/>
      <c r="BX70" s="609"/>
      <c r="BY70" s="609"/>
      <c r="BZ70" s="609"/>
      <c r="CA70" s="609"/>
      <c r="CB70" s="609"/>
      <c r="CC70" s="609"/>
      <c r="CD70" s="609"/>
      <c r="CE70" s="609"/>
      <c r="CF70" s="609"/>
      <c r="CG70" s="609"/>
      <c r="CH70" s="609"/>
      <c r="CI70" s="609"/>
      <c r="CJ70" s="609"/>
      <c r="CK70" s="609"/>
      <c r="CL70" s="609"/>
      <c r="CM70" s="609"/>
      <c r="CN70" s="609"/>
      <c r="CO70" s="609"/>
      <c r="CP70" s="609"/>
      <c r="CQ70" s="609"/>
      <c r="CR70" s="609"/>
      <c r="CS70" s="609"/>
      <c r="CT70" s="609"/>
      <c r="CU70" s="609"/>
      <c r="CV70" s="609"/>
      <c r="CW70" s="609"/>
      <c r="CX70" s="609"/>
      <c r="CY70" s="609"/>
      <c r="CZ70" s="609"/>
      <c r="DA70" s="609"/>
      <c r="DB70" s="609"/>
      <c r="DC70" s="609"/>
      <c r="DD70" s="609"/>
      <c r="DE70" s="609"/>
      <c r="DF70" s="609"/>
      <c r="DG70" s="609"/>
      <c r="DH70" s="609"/>
      <c r="DI70" s="609"/>
      <c r="DJ70" s="609"/>
      <c r="DK70" s="609"/>
    </row>
    <row r="71" spans="69:115">
      <c r="BQ71" s="609"/>
      <c r="BR71" s="609"/>
      <c r="BS71" s="609"/>
      <c r="BT71" s="609"/>
      <c r="BU71" s="609"/>
      <c r="BV71" s="609"/>
      <c r="BW71" s="609"/>
      <c r="BX71" s="609"/>
      <c r="BY71" s="609"/>
      <c r="BZ71" s="609"/>
      <c r="CA71" s="609"/>
      <c r="CB71" s="609"/>
      <c r="CC71" s="609"/>
      <c r="CD71" s="609"/>
      <c r="CE71" s="609"/>
      <c r="CF71" s="609"/>
      <c r="CG71" s="609"/>
      <c r="CH71" s="609"/>
      <c r="CI71" s="609"/>
      <c r="CJ71" s="609"/>
      <c r="CK71" s="609"/>
      <c r="CL71" s="609"/>
      <c r="CM71" s="609"/>
      <c r="CN71" s="609"/>
      <c r="CO71" s="609"/>
      <c r="CP71" s="609"/>
      <c r="CQ71" s="609"/>
      <c r="CR71" s="609"/>
      <c r="CS71" s="609"/>
      <c r="CT71" s="609"/>
      <c r="CU71" s="609"/>
      <c r="CV71" s="609"/>
      <c r="CW71" s="609"/>
      <c r="CX71" s="609"/>
      <c r="CY71" s="609"/>
      <c r="CZ71" s="609"/>
      <c r="DA71" s="609"/>
      <c r="DB71" s="609"/>
      <c r="DC71" s="609"/>
      <c r="DD71" s="609"/>
      <c r="DE71" s="609"/>
      <c r="DF71" s="609"/>
      <c r="DG71" s="609"/>
      <c r="DH71" s="609"/>
      <c r="DI71" s="609"/>
      <c r="DJ71" s="609"/>
      <c r="DK71" s="609"/>
    </row>
    <row r="72" spans="69:115">
      <c r="BQ72" s="609"/>
      <c r="BR72" s="609"/>
      <c r="BS72" s="609"/>
      <c r="BT72" s="609"/>
      <c r="BU72" s="609"/>
      <c r="BV72" s="609"/>
      <c r="BW72" s="609"/>
      <c r="BX72" s="609"/>
      <c r="BY72" s="609"/>
      <c r="BZ72" s="609"/>
      <c r="CA72" s="609"/>
      <c r="CB72" s="609"/>
      <c r="CC72" s="609"/>
      <c r="CD72" s="609"/>
      <c r="CE72" s="609"/>
      <c r="CF72" s="609"/>
      <c r="CG72" s="609"/>
      <c r="CH72" s="609"/>
      <c r="CI72" s="609"/>
      <c r="CJ72" s="609"/>
      <c r="CK72" s="609"/>
      <c r="CL72" s="609"/>
      <c r="CM72" s="609"/>
      <c r="CN72" s="609"/>
      <c r="CO72" s="609"/>
      <c r="CP72" s="609"/>
      <c r="CQ72" s="609"/>
      <c r="CR72" s="609"/>
      <c r="CS72" s="609"/>
      <c r="CT72" s="609"/>
      <c r="CU72" s="609"/>
      <c r="CV72" s="609"/>
      <c r="CW72" s="609"/>
      <c r="CX72" s="609"/>
      <c r="CY72" s="609"/>
      <c r="CZ72" s="609"/>
      <c r="DA72" s="609"/>
      <c r="DB72" s="609"/>
      <c r="DC72" s="609"/>
      <c r="DD72" s="609"/>
      <c r="DE72" s="609"/>
      <c r="DF72" s="609"/>
      <c r="DG72" s="609"/>
      <c r="DH72" s="609"/>
      <c r="DI72" s="609"/>
      <c r="DJ72" s="609"/>
      <c r="DK72" s="609"/>
    </row>
    <row r="73" spans="69:115">
      <c r="BQ73" s="609"/>
      <c r="BR73" s="609"/>
      <c r="BS73" s="609"/>
      <c r="BT73" s="609"/>
      <c r="BU73" s="609"/>
      <c r="BV73" s="609"/>
      <c r="BW73" s="609"/>
      <c r="BX73" s="609"/>
      <c r="BY73" s="609"/>
      <c r="BZ73" s="609"/>
      <c r="CA73" s="609"/>
      <c r="CB73" s="609"/>
      <c r="CC73" s="609"/>
      <c r="CD73" s="609"/>
      <c r="CE73" s="609"/>
      <c r="CF73" s="609"/>
      <c r="CG73" s="609"/>
      <c r="CH73" s="609"/>
      <c r="CI73" s="609"/>
      <c r="CJ73" s="609"/>
      <c r="CK73" s="609"/>
      <c r="CL73" s="609"/>
      <c r="CM73" s="609"/>
      <c r="CN73" s="609"/>
      <c r="CO73" s="609"/>
      <c r="CP73" s="609"/>
      <c r="CQ73" s="609"/>
      <c r="CR73" s="609"/>
      <c r="CS73" s="609"/>
      <c r="CT73" s="609"/>
      <c r="CU73" s="609"/>
      <c r="CV73" s="609"/>
      <c r="CW73" s="609"/>
      <c r="CX73" s="609"/>
      <c r="CY73" s="609"/>
      <c r="CZ73" s="609"/>
      <c r="DA73" s="609"/>
      <c r="DB73" s="609"/>
      <c r="DC73" s="609"/>
      <c r="DD73" s="609"/>
      <c r="DE73" s="609"/>
      <c r="DF73" s="609"/>
      <c r="DG73" s="609"/>
      <c r="DH73" s="609"/>
      <c r="DI73" s="609"/>
      <c r="DJ73" s="609"/>
      <c r="DK73" s="609"/>
    </row>
    <row r="74" spans="69:115">
      <c r="BQ74" s="609"/>
      <c r="BR74" s="609"/>
      <c r="BS74" s="609"/>
      <c r="BT74" s="609"/>
      <c r="BU74" s="609"/>
      <c r="BV74" s="609"/>
      <c r="BW74" s="609"/>
      <c r="BX74" s="609"/>
      <c r="BY74" s="609"/>
      <c r="BZ74" s="609"/>
      <c r="CA74" s="609"/>
      <c r="CB74" s="609"/>
      <c r="CC74" s="609"/>
      <c r="CD74" s="609"/>
      <c r="CE74" s="609"/>
      <c r="CF74" s="609"/>
      <c r="CG74" s="609"/>
      <c r="CH74" s="609"/>
      <c r="CI74" s="609"/>
      <c r="CJ74" s="609"/>
      <c r="CK74" s="609"/>
      <c r="CL74" s="609"/>
      <c r="CM74" s="609"/>
      <c r="CN74" s="609"/>
      <c r="CO74" s="609"/>
      <c r="CP74" s="609"/>
      <c r="CQ74" s="609"/>
      <c r="CR74" s="609"/>
      <c r="CS74" s="609"/>
      <c r="CT74" s="609"/>
      <c r="CU74" s="609"/>
      <c r="CV74" s="609"/>
      <c r="CW74" s="609"/>
      <c r="CX74" s="609"/>
      <c r="CY74" s="609"/>
      <c r="CZ74" s="609"/>
      <c r="DA74" s="609"/>
      <c r="DB74" s="609"/>
      <c r="DC74" s="609"/>
      <c r="DD74" s="609"/>
      <c r="DE74" s="609"/>
      <c r="DF74" s="609"/>
      <c r="DG74" s="609"/>
      <c r="DH74" s="609"/>
      <c r="DI74" s="609"/>
      <c r="DJ74" s="609"/>
      <c r="DK74" s="609"/>
    </row>
    <row r="75" spans="69:115">
      <c r="BQ75" s="609"/>
      <c r="BR75" s="609"/>
      <c r="BS75" s="609"/>
      <c r="BT75" s="609"/>
      <c r="BU75" s="609"/>
      <c r="BV75" s="609"/>
      <c r="BW75" s="609"/>
      <c r="BX75" s="609"/>
      <c r="BY75" s="609"/>
      <c r="BZ75" s="609"/>
      <c r="CA75" s="609"/>
      <c r="CB75" s="609"/>
      <c r="CC75" s="609"/>
      <c r="CD75" s="609"/>
      <c r="CE75" s="609"/>
      <c r="CF75" s="609"/>
      <c r="CG75" s="609"/>
      <c r="CH75" s="609"/>
      <c r="CI75" s="609"/>
      <c r="CJ75" s="609"/>
      <c r="CK75" s="609"/>
      <c r="CL75" s="609"/>
      <c r="CM75" s="609"/>
      <c r="CN75" s="609"/>
      <c r="CO75" s="609"/>
      <c r="CP75" s="609"/>
      <c r="CQ75" s="609"/>
      <c r="CR75" s="609"/>
      <c r="CS75" s="609"/>
      <c r="CT75" s="609"/>
      <c r="CU75" s="609"/>
      <c r="CV75" s="609"/>
      <c r="CW75" s="609"/>
      <c r="CX75" s="609"/>
      <c r="CY75" s="609"/>
      <c r="CZ75" s="609"/>
      <c r="DA75" s="609"/>
      <c r="DB75" s="609"/>
      <c r="DC75" s="609"/>
      <c r="DD75" s="609"/>
      <c r="DE75" s="609"/>
      <c r="DF75" s="609"/>
      <c r="DG75" s="609"/>
      <c r="DH75" s="609"/>
      <c r="DI75" s="609"/>
      <c r="DJ75" s="609"/>
      <c r="DK75" s="609"/>
    </row>
    <row r="76" spans="69:115">
      <c r="BQ76" s="609"/>
      <c r="BR76" s="609"/>
      <c r="BS76" s="609"/>
      <c r="BT76" s="609"/>
      <c r="BU76" s="609"/>
      <c r="BV76" s="609"/>
      <c r="BW76" s="609"/>
      <c r="BX76" s="609"/>
      <c r="BY76" s="609"/>
      <c r="BZ76" s="609"/>
      <c r="CA76" s="609"/>
      <c r="CB76" s="609"/>
      <c r="CC76" s="609"/>
      <c r="CD76" s="609"/>
      <c r="CE76" s="609"/>
      <c r="CF76" s="609"/>
      <c r="CG76" s="609"/>
      <c r="CH76" s="609"/>
      <c r="CI76" s="609"/>
      <c r="CJ76" s="609"/>
      <c r="CK76" s="609"/>
      <c r="CL76" s="609"/>
      <c r="CM76" s="609"/>
      <c r="CN76" s="609"/>
      <c r="CO76" s="609"/>
      <c r="CP76" s="609"/>
      <c r="CQ76" s="609"/>
      <c r="CR76" s="609"/>
      <c r="CS76" s="609"/>
      <c r="CT76" s="609"/>
      <c r="CU76" s="609"/>
      <c r="CV76" s="609"/>
      <c r="CW76" s="609"/>
      <c r="CX76" s="609"/>
      <c r="CY76" s="609"/>
      <c r="CZ76" s="609"/>
      <c r="DA76" s="609"/>
      <c r="DB76" s="609"/>
      <c r="DC76" s="609"/>
      <c r="DD76" s="609"/>
      <c r="DE76" s="609"/>
      <c r="DF76" s="609"/>
      <c r="DG76" s="609"/>
      <c r="DH76" s="609"/>
      <c r="DI76" s="609"/>
      <c r="DJ76" s="609"/>
      <c r="DK76" s="609"/>
    </row>
    <row r="77" spans="69:115">
      <c r="BQ77" s="609"/>
      <c r="BR77" s="609"/>
      <c r="BS77" s="609"/>
      <c r="BT77" s="609"/>
      <c r="BU77" s="609"/>
      <c r="BV77" s="609"/>
      <c r="BW77" s="609"/>
      <c r="BX77" s="609"/>
      <c r="BY77" s="609"/>
      <c r="BZ77" s="609"/>
      <c r="CA77" s="609"/>
      <c r="CB77" s="609"/>
      <c r="CC77" s="609"/>
      <c r="CD77" s="609"/>
      <c r="CE77" s="609"/>
      <c r="CF77" s="609"/>
      <c r="CG77" s="609"/>
      <c r="CH77" s="609"/>
      <c r="CI77" s="609"/>
      <c r="CJ77" s="609"/>
      <c r="CK77" s="609"/>
      <c r="CL77" s="609"/>
      <c r="CM77" s="609"/>
      <c r="CN77" s="609"/>
      <c r="CO77" s="609"/>
      <c r="CP77" s="609"/>
      <c r="CQ77" s="609"/>
      <c r="CR77" s="609"/>
      <c r="CS77" s="609"/>
      <c r="CT77" s="609"/>
      <c r="CU77" s="609"/>
      <c r="CV77" s="609"/>
      <c r="CW77" s="609"/>
      <c r="CX77" s="609"/>
      <c r="CY77" s="609"/>
      <c r="CZ77" s="609"/>
      <c r="DA77" s="609"/>
      <c r="DB77" s="609"/>
      <c r="DC77" s="609"/>
      <c r="DD77" s="609"/>
      <c r="DE77" s="609"/>
      <c r="DF77" s="609"/>
      <c r="DG77" s="609"/>
      <c r="DH77" s="609"/>
      <c r="DI77" s="609"/>
      <c r="DJ77" s="609"/>
      <c r="DK77" s="609"/>
    </row>
    <row r="78" spans="69:115">
      <c r="BQ78" s="609"/>
      <c r="BR78" s="609"/>
      <c r="BS78" s="609"/>
      <c r="BT78" s="609"/>
      <c r="BU78" s="609"/>
      <c r="BV78" s="609"/>
      <c r="BW78" s="609"/>
      <c r="BX78" s="609"/>
      <c r="BY78" s="609"/>
      <c r="BZ78" s="609"/>
      <c r="CA78" s="609"/>
      <c r="CB78" s="609"/>
      <c r="CC78" s="609"/>
      <c r="CD78" s="609"/>
      <c r="CE78" s="609"/>
      <c r="CF78" s="609"/>
      <c r="CG78" s="609"/>
      <c r="CH78" s="609"/>
      <c r="CI78" s="609"/>
      <c r="CJ78" s="609"/>
      <c r="CK78" s="609"/>
      <c r="CL78" s="609"/>
      <c r="CM78" s="609"/>
      <c r="CN78" s="609"/>
      <c r="CO78" s="609"/>
      <c r="CP78" s="609"/>
      <c r="CQ78" s="609"/>
      <c r="CR78" s="609"/>
      <c r="CS78" s="609"/>
      <c r="CT78" s="609"/>
      <c r="CU78" s="609"/>
      <c r="CV78" s="609"/>
      <c r="CW78" s="609"/>
      <c r="CX78" s="609"/>
      <c r="CY78" s="609"/>
      <c r="CZ78" s="609"/>
      <c r="DA78" s="609"/>
      <c r="DB78" s="609"/>
      <c r="DC78" s="609"/>
      <c r="DD78" s="609"/>
      <c r="DE78" s="609"/>
      <c r="DF78" s="609"/>
      <c r="DG78" s="609"/>
      <c r="DH78" s="609"/>
      <c r="DI78" s="609"/>
      <c r="DJ78" s="609"/>
      <c r="DK78" s="609"/>
    </row>
    <row r="79" spans="69:115">
      <c r="BQ79" s="609"/>
      <c r="BR79" s="609"/>
      <c r="BS79" s="609"/>
      <c r="BT79" s="609"/>
      <c r="BU79" s="609"/>
      <c r="BV79" s="609"/>
      <c r="BW79" s="609"/>
      <c r="BX79" s="609"/>
      <c r="BY79" s="609"/>
      <c r="BZ79" s="609"/>
      <c r="CA79" s="609"/>
      <c r="CB79" s="609"/>
      <c r="CC79" s="609"/>
      <c r="CD79" s="609"/>
      <c r="CE79" s="609"/>
      <c r="CF79" s="609"/>
      <c r="CG79" s="609"/>
      <c r="CH79" s="609"/>
      <c r="CI79" s="609"/>
      <c r="CJ79" s="609"/>
      <c r="CK79" s="609"/>
      <c r="CL79" s="609"/>
      <c r="CM79" s="609"/>
      <c r="CN79" s="609"/>
      <c r="CO79" s="609"/>
      <c r="CP79" s="609"/>
      <c r="CQ79" s="609"/>
      <c r="CR79" s="609"/>
      <c r="CS79" s="609"/>
      <c r="CT79" s="609"/>
      <c r="CU79" s="609"/>
      <c r="CV79" s="609"/>
      <c r="CW79" s="609"/>
      <c r="CX79" s="609"/>
      <c r="CY79" s="609"/>
      <c r="CZ79" s="609"/>
      <c r="DA79" s="609"/>
      <c r="DB79" s="609"/>
      <c r="DC79" s="609"/>
      <c r="DD79" s="609"/>
      <c r="DE79" s="609"/>
      <c r="DF79" s="609"/>
      <c r="DG79" s="609"/>
      <c r="DH79" s="609"/>
      <c r="DI79" s="609"/>
      <c r="DJ79" s="609"/>
      <c r="DK79" s="609"/>
    </row>
    <row r="80" spans="69:115">
      <c r="BQ80" s="609"/>
      <c r="BR80" s="609"/>
      <c r="BS80" s="609"/>
      <c r="BT80" s="609"/>
      <c r="BU80" s="609"/>
      <c r="BV80" s="609"/>
      <c r="BW80" s="609"/>
      <c r="BX80" s="609"/>
      <c r="BY80" s="609"/>
      <c r="BZ80" s="609"/>
      <c r="CA80" s="609"/>
      <c r="CB80" s="609"/>
      <c r="CC80" s="609"/>
      <c r="CD80" s="609"/>
      <c r="CE80" s="609"/>
      <c r="CF80" s="609"/>
      <c r="CG80" s="609"/>
      <c r="CH80" s="609"/>
      <c r="CI80" s="609"/>
      <c r="CJ80" s="609"/>
      <c r="CK80" s="609"/>
      <c r="CL80" s="609"/>
      <c r="CM80" s="609"/>
      <c r="CN80" s="609"/>
      <c r="CO80" s="609"/>
      <c r="CP80" s="609"/>
      <c r="CQ80" s="609"/>
      <c r="CR80" s="609"/>
      <c r="CS80" s="609"/>
      <c r="CT80" s="609"/>
      <c r="CU80" s="609"/>
      <c r="CV80" s="609"/>
      <c r="CW80" s="609"/>
      <c r="CX80" s="609"/>
      <c r="CY80" s="609"/>
      <c r="CZ80" s="609"/>
      <c r="DA80" s="609"/>
      <c r="DB80" s="609"/>
      <c r="DC80" s="609"/>
      <c r="DD80" s="609"/>
      <c r="DE80" s="609"/>
      <c r="DF80" s="609"/>
      <c r="DG80" s="609"/>
      <c r="DH80" s="609"/>
      <c r="DI80" s="609"/>
      <c r="DJ80" s="609"/>
      <c r="DK80" s="609"/>
    </row>
    <row r="81" spans="69:115">
      <c r="BQ81" s="609"/>
      <c r="BR81" s="609"/>
      <c r="BS81" s="609"/>
      <c r="BT81" s="609"/>
      <c r="BU81" s="609"/>
      <c r="BV81" s="609"/>
      <c r="BW81" s="609"/>
      <c r="BX81" s="609"/>
      <c r="BY81" s="609"/>
      <c r="BZ81" s="609"/>
      <c r="CA81" s="609"/>
      <c r="CB81" s="609"/>
      <c r="CC81" s="609"/>
      <c r="CD81" s="609"/>
      <c r="CE81" s="609"/>
      <c r="CF81" s="609"/>
      <c r="CG81" s="609"/>
      <c r="CH81" s="609"/>
      <c r="CI81" s="609"/>
      <c r="CJ81" s="609"/>
      <c r="CK81" s="609"/>
      <c r="CL81" s="609"/>
      <c r="CM81" s="609"/>
      <c r="CN81" s="609"/>
      <c r="CO81" s="609"/>
      <c r="CP81" s="609"/>
      <c r="CQ81" s="609"/>
      <c r="CR81" s="609"/>
      <c r="CS81" s="609"/>
      <c r="CT81" s="609"/>
      <c r="CU81" s="609"/>
      <c r="CV81" s="609"/>
      <c r="CW81" s="609"/>
      <c r="CX81" s="609"/>
      <c r="CY81" s="609"/>
      <c r="CZ81" s="609"/>
      <c r="DA81" s="609"/>
      <c r="DB81" s="609"/>
      <c r="DC81" s="609"/>
      <c r="DD81" s="609"/>
      <c r="DE81" s="609"/>
      <c r="DF81" s="609"/>
      <c r="DG81" s="609"/>
      <c r="DH81" s="609"/>
      <c r="DI81" s="609"/>
      <c r="DJ81" s="609"/>
      <c r="DK81" s="609"/>
    </row>
    <row r="82" spans="69:115">
      <c r="BQ82" s="609"/>
      <c r="BR82" s="609"/>
      <c r="BS82" s="609"/>
      <c r="BT82" s="609"/>
      <c r="BU82" s="609"/>
      <c r="BV82" s="609"/>
      <c r="BW82" s="609"/>
      <c r="BX82" s="609"/>
      <c r="BY82" s="609"/>
      <c r="BZ82" s="609"/>
      <c r="CA82" s="609"/>
      <c r="CB82" s="609"/>
      <c r="CC82" s="609"/>
      <c r="CD82" s="609"/>
      <c r="CE82" s="609"/>
      <c r="CF82" s="609"/>
      <c r="CG82" s="609"/>
      <c r="CH82" s="609"/>
      <c r="CI82" s="609"/>
      <c r="CJ82" s="609"/>
      <c r="CK82" s="609"/>
      <c r="CL82" s="609"/>
      <c r="CM82" s="609"/>
      <c r="CN82" s="609"/>
      <c r="CO82" s="609"/>
      <c r="CP82" s="609"/>
      <c r="CQ82" s="609"/>
      <c r="CR82" s="609"/>
      <c r="CS82" s="609"/>
      <c r="CT82" s="609"/>
      <c r="CU82" s="609"/>
      <c r="CV82" s="609"/>
      <c r="CW82" s="609"/>
      <c r="CX82" s="609"/>
      <c r="CY82" s="609"/>
      <c r="CZ82" s="609"/>
      <c r="DA82" s="609"/>
      <c r="DB82" s="609"/>
      <c r="DC82" s="609"/>
      <c r="DD82" s="609"/>
      <c r="DE82" s="609"/>
      <c r="DF82" s="609"/>
      <c r="DG82" s="609"/>
      <c r="DH82" s="609"/>
      <c r="DI82" s="609"/>
      <c r="DJ82" s="609"/>
      <c r="DK82" s="609"/>
    </row>
    <row r="83" spans="69:115">
      <c r="BQ83" s="609"/>
      <c r="BR83" s="609"/>
      <c r="BS83" s="609"/>
      <c r="BT83" s="609"/>
      <c r="BU83" s="609"/>
      <c r="BV83" s="609"/>
      <c r="BW83" s="609"/>
      <c r="BX83" s="609"/>
      <c r="BY83" s="609"/>
      <c r="BZ83" s="609"/>
      <c r="CA83" s="609"/>
      <c r="CB83" s="609"/>
      <c r="CC83" s="609"/>
      <c r="CD83" s="609"/>
      <c r="CE83" s="609"/>
      <c r="CF83" s="609"/>
      <c r="CG83" s="609"/>
      <c r="CH83" s="609"/>
      <c r="CI83" s="609"/>
      <c r="CJ83" s="609"/>
      <c r="CK83" s="609"/>
      <c r="CL83" s="609"/>
      <c r="CM83" s="609"/>
      <c r="CN83" s="609"/>
      <c r="CO83" s="609"/>
      <c r="CP83" s="609"/>
      <c r="CQ83" s="609"/>
      <c r="CR83" s="609"/>
      <c r="CS83" s="609"/>
      <c r="CT83" s="609"/>
      <c r="CU83" s="609"/>
      <c r="CV83" s="609"/>
      <c r="CW83" s="609"/>
      <c r="CX83" s="609"/>
      <c r="CY83" s="609"/>
      <c r="CZ83" s="609"/>
      <c r="DA83" s="609"/>
      <c r="DB83" s="609"/>
      <c r="DC83" s="609"/>
      <c r="DD83" s="609"/>
      <c r="DE83" s="609"/>
      <c r="DF83" s="609"/>
      <c r="DG83" s="609"/>
      <c r="DH83" s="609"/>
      <c r="DI83" s="609"/>
      <c r="DJ83" s="609"/>
      <c r="DK83" s="609"/>
    </row>
    <row r="84" spans="69:115">
      <c r="BQ84" s="609"/>
      <c r="BR84" s="609"/>
      <c r="BS84" s="609"/>
      <c r="BT84" s="609"/>
      <c r="BU84" s="609"/>
      <c r="BV84" s="609"/>
      <c r="BW84" s="609"/>
      <c r="BX84" s="609"/>
      <c r="BY84" s="609"/>
      <c r="BZ84" s="609"/>
      <c r="CA84" s="609"/>
      <c r="CB84" s="609"/>
      <c r="CC84" s="609"/>
      <c r="CD84" s="609"/>
      <c r="CE84" s="609"/>
      <c r="CF84" s="609"/>
      <c r="CG84" s="609"/>
      <c r="CH84" s="609"/>
      <c r="CI84" s="609"/>
      <c r="CJ84" s="609"/>
      <c r="CK84" s="609"/>
      <c r="CL84" s="609"/>
      <c r="CM84" s="609"/>
      <c r="CN84" s="609"/>
      <c r="CO84" s="609"/>
      <c r="CP84" s="609"/>
      <c r="CQ84" s="609"/>
      <c r="CR84" s="609"/>
      <c r="CS84" s="609"/>
      <c r="CT84" s="609"/>
      <c r="CU84" s="609"/>
      <c r="CV84" s="609"/>
      <c r="CW84" s="609"/>
      <c r="CX84" s="609"/>
      <c r="CY84" s="609"/>
      <c r="CZ84" s="609"/>
      <c r="DA84" s="609"/>
      <c r="DB84" s="609"/>
      <c r="DC84" s="609"/>
      <c r="DD84" s="609"/>
      <c r="DE84" s="609"/>
      <c r="DF84" s="609"/>
      <c r="DG84" s="609"/>
      <c r="DH84" s="609"/>
      <c r="DI84" s="609"/>
      <c r="DJ84" s="609"/>
      <c r="DK84" s="609"/>
    </row>
    <row r="85" spans="69:115">
      <c r="BQ85" s="609"/>
      <c r="BR85" s="609"/>
      <c r="BS85" s="609"/>
      <c r="BT85" s="609"/>
      <c r="BU85" s="609"/>
      <c r="BV85" s="609"/>
      <c r="BW85" s="609"/>
      <c r="BX85" s="609"/>
      <c r="BY85" s="609"/>
      <c r="BZ85" s="609"/>
      <c r="CA85" s="609"/>
      <c r="CB85" s="609"/>
      <c r="CC85" s="609"/>
      <c r="CD85" s="609"/>
      <c r="CE85" s="609"/>
      <c r="CF85" s="609"/>
      <c r="CG85" s="609"/>
      <c r="CH85" s="609"/>
      <c r="CI85" s="609"/>
      <c r="CJ85" s="609"/>
      <c r="CK85" s="609"/>
      <c r="CL85" s="609"/>
      <c r="CM85" s="609"/>
      <c r="CN85" s="609"/>
      <c r="CO85" s="609"/>
      <c r="CP85" s="609"/>
      <c r="CQ85" s="609"/>
      <c r="CR85" s="609"/>
      <c r="CS85" s="609"/>
      <c r="CT85" s="609"/>
      <c r="CU85" s="609"/>
      <c r="CV85" s="609"/>
      <c r="CW85" s="609"/>
      <c r="CX85" s="609"/>
      <c r="CY85" s="609"/>
      <c r="CZ85" s="609"/>
      <c r="DA85" s="609"/>
      <c r="DB85" s="609"/>
      <c r="DC85" s="609"/>
      <c r="DD85" s="609"/>
      <c r="DE85" s="609"/>
      <c r="DF85" s="609"/>
      <c r="DG85" s="609"/>
      <c r="DH85" s="609"/>
      <c r="DI85" s="609"/>
      <c r="DJ85" s="609"/>
      <c r="DK85" s="609"/>
    </row>
    <row r="86" spans="69:115">
      <c r="BQ86" s="609"/>
      <c r="BR86" s="609"/>
      <c r="BS86" s="609"/>
      <c r="BT86" s="609"/>
      <c r="BU86" s="609"/>
      <c r="BV86" s="609"/>
      <c r="BW86" s="609"/>
      <c r="BX86" s="609"/>
      <c r="BY86" s="609"/>
      <c r="BZ86" s="609"/>
      <c r="CA86" s="609"/>
      <c r="CB86" s="609"/>
      <c r="CC86" s="609"/>
      <c r="CD86" s="609"/>
      <c r="CE86" s="609"/>
      <c r="CF86" s="609"/>
      <c r="CG86" s="609"/>
      <c r="CH86" s="609"/>
      <c r="CI86" s="609"/>
      <c r="CJ86" s="609"/>
      <c r="CK86" s="609"/>
      <c r="CL86" s="609"/>
      <c r="CM86" s="609"/>
      <c r="CN86" s="609"/>
      <c r="CO86" s="609"/>
      <c r="CP86" s="609"/>
      <c r="CQ86" s="609"/>
      <c r="CR86" s="609"/>
      <c r="CS86" s="609"/>
      <c r="CT86" s="609"/>
      <c r="CU86" s="609"/>
      <c r="CV86" s="609"/>
      <c r="CW86" s="609"/>
      <c r="CX86" s="609"/>
      <c r="CY86" s="609"/>
      <c r="CZ86" s="609"/>
      <c r="DA86" s="609"/>
      <c r="DB86" s="609"/>
      <c r="DC86" s="609"/>
      <c r="DD86" s="609"/>
      <c r="DE86" s="609"/>
      <c r="DF86" s="609"/>
      <c r="DG86" s="609"/>
      <c r="DH86" s="609"/>
      <c r="DI86" s="609"/>
      <c r="DJ86" s="609"/>
      <c r="DK86" s="609"/>
    </row>
    <row r="87" spans="69:115">
      <c r="BQ87" s="609"/>
      <c r="BR87" s="609"/>
      <c r="BS87" s="609"/>
      <c r="BT87" s="609"/>
      <c r="BU87" s="609"/>
      <c r="BV87" s="609"/>
      <c r="BW87" s="609"/>
      <c r="BX87" s="609"/>
      <c r="BY87" s="609"/>
      <c r="BZ87" s="609"/>
      <c r="CA87" s="609"/>
      <c r="CB87" s="609"/>
      <c r="CC87" s="609"/>
      <c r="CD87" s="609"/>
      <c r="CE87" s="609"/>
      <c r="CF87" s="609"/>
      <c r="CG87" s="609"/>
      <c r="CH87" s="609"/>
      <c r="CI87" s="609"/>
      <c r="CJ87" s="609"/>
      <c r="CK87" s="609"/>
      <c r="CL87" s="609"/>
      <c r="CM87" s="609"/>
      <c r="CN87" s="609"/>
      <c r="CO87" s="609"/>
      <c r="CP87" s="609"/>
      <c r="CQ87" s="609"/>
      <c r="CR87" s="609"/>
      <c r="CS87" s="609"/>
      <c r="CT87" s="609"/>
      <c r="CU87" s="609"/>
      <c r="CV87" s="609"/>
      <c r="CW87" s="609"/>
      <c r="CX87" s="609"/>
      <c r="CY87" s="609"/>
      <c r="CZ87" s="609"/>
      <c r="DA87" s="609"/>
      <c r="DB87" s="609"/>
      <c r="DC87" s="609"/>
      <c r="DD87" s="609"/>
      <c r="DE87" s="609"/>
      <c r="DF87" s="609"/>
      <c r="DG87" s="609"/>
      <c r="DH87" s="609"/>
      <c r="DI87" s="609"/>
      <c r="DJ87" s="609"/>
      <c r="DK87" s="609"/>
    </row>
    <row r="88" spans="69:115">
      <c r="BQ88" s="609"/>
      <c r="BR88" s="609"/>
      <c r="BS88" s="609"/>
      <c r="BT88" s="609"/>
      <c r="BU88" s="609"/>
      <c r="BV88" s="609"/>
      <c r="BW88" s="609"/>
      <c r="BX88" s="609"/>
      <c r="BY88" s="609"/>
      <c r="BZ88" s="609"/>
      <c r="CA88" s="609"/>
      <c r="CB88" s="609"/>
      <c r="CC88" s="609"/>
      <c r="CD88" s="609"/>
      <c r="CE88" s="609"/>
      <c r="CF88" s="609"/>
      <c r="CG88" s="609"/>
      <c r="CH88" s="609"/>
      <c r="CI88" s="609"/>
      <c r="CJ88" s="609"/>
      <c r="CK88" s="609"/>
      <c r="CL88" s="609"/>
      <c r="CM88" s="609"/>
      <c r="CN88" s="609"/>
      <c r="CO88" s="609"/>
      <c r="CP88" s="609"/>
      <c r="CQ88" s="609"/>
      <c r="CR88" s="609"/>
      <c r="CS88" s="609"/>
      <c r="CT88" s="609"/>
      <c r="CU88" s="609"/>
      <c r="CV88" s="609"/>
      <c r="CW88" s="609"/>
      <c r="CX88" s="609"/>
      <c r="CY88" s="609"/>
      <c r="CZ88" s="609"/>
      <c r="DA88" s="609"/>
      <c r="DB88" s="609"/>
      <c r="DC88" s="609"/>
      <c r="DD88" s="609"/>
      <c r="DE88" s="609"/>
      <c r="DF88" s="609"/>
      <c r="DG88" s="609"/>
      <c r="DH88" s="609"/>
      <c r="DI88" s="609"/>
      <c r="DJ88" s="609"/>
      <c r="DK88" s="609"/>
    </row>
    <row r="89" spans="69:115">
      <c r="BQ89" s="609"/>
      <c r="BR89" s="609"/>
      <c r="BS89" s="609"/>
      <c r="BT89" s="609"/>
      <c r="BU89" s="609"/>
      <c r="BV89" s="609"/>
      <c r="BW89" s="609"/>
      <c r="BX89" s="609"/>
      <c r="BY89" s="609"/>
      <c r="BZ89" s="609"/>
      <c r="CA89" s="609"/>
      <c r="CB89" s="609"/>
      <c r="CC89" s="609"/>
      <c r="CD89" s="609"/>
      <c r="CE89" s="609"/>
      <c r="CF89" s="609"/>
      <c r="CG89" s="609"/>
      <c r="CH89" s="609"/>
      <c r="CI89" s="609"/>
      <c r="CJ89" s="609"/>
      <c r="CK89" s="609"/>
      <c r="CL89" s="609"/>
      <c r="CM89" s="609"/>
      <c r="CN89" s="609"/>
      <c r="CO89" s="609"/>
      <c r="CP89" s="609"/>
      <c r="CQ89" s="609"/>
      <c r="CR89" s="609"/>
      <c r="CS89" s="609"/>
      <c r="CT89" s="609"/>
      <c r="CU89" s="609"/>
      <c r="CV89" s="609"/>
      <c r="CW89" s="609"/>
      <c r="CX89" s="609"/>
      <c r="CY89" s="609"/>
      <c r="CZ89" s="609"/>
      <c r="DA89" s="609"/>
      <c r="DB89" s="609"/>
      <c r="DC89" s="609"/>
      <c r="DD89" s="609"/>
      <c r="DE89" s="609"/>
      <c r="DF89" s="609"/>
      <c r="DG89" s="609"/>
      <c r="DH89" s="609"/>
      <c r="DI89" s="609"/>
      <c r="DJ89" s="609"/>
      <c r="DK89" s="609"/>
    </row>
    <row r="90" spans="69:115">
      <c r="BQ90" s="609"/>
      <c r="BR90" s="609"/>
      <c r="BS90" s="609"/>
      <c r="BT90" s="609"/>
      <c r="BU90" s="609"/>
      <c r="BV90" s="609"/>
      <c r="BW90" s="609"/>
      <c r="BX90" s="609"/>
      <c r="BY90" s="609"/>
      <c r="BZ90" s="609"/>
      <c r="CA90" s="609"/>
      <c r="CB90" s="609"/>
      <c r="CC90" s="609"/>
      <c r="CD90" s="609"/>
      <c r="CE90" s="609"/>
      <c r="CF90" s="609"/>
      <c r="CG90" s="609"/>
      <c r="CH90" s="609"/>
      <c r="CI90" s="609"/>
      <c r="CJ90" s="609"/>
      <c r="CK90" s="609"/>
      <c r="CL90" s="609"/>
      <c r="CM90" s="609"/>
      <c r="CN90" s="609"/>
      <c r="CO90" s="609"/>
      <c r="CP90" s="609"/>
      <c r="CQ90" s="609"/>
      <c r="CR90" s="609"/>
      <c r="CS90" s="609"/>
      <c r="CT90" s="609"/>
      <c r="CU90" s="609"/>
      <c r="CV90" s="609"/>
      <c r="CW90" s="609"/>
      <c r="CX90" s="609"/>
      <c r="CY90" s="609"/>
      <c r="CZ90" s="609"/>
      <c r="DA90" s="609"/>
      <c r="DB90" s="609"/>
      <c r="DC90" s="609"/>
      <c r="DD90" s="609"/>
      <c r="DE90" s="609"/>
      <c r="DF90" s="609"/>
      <c r="DG90" s="609"/>
      <c r="DH90" s="609"/>
      <c r="DI90" s="609"/>
      <c r="DJ90" s="609"/>
      <c r="DK90" s="609"/>
    </row>
    <row r="91" spans="69:115">
      <c r="BQ91" s="609"/>
      <c r="BR91" s="609"/>
      <c r="BS91" s="609"/>
      <c r="BT91" s="609"/>
      <c r="BU91" s="609"/>
      <c r="BV91" s="609"/>
      <c r="BW91" s="609"/>
      <c r="BX91" s="609"/>
      <c r="BY91" s="609"/>
      <c r="BZ91" s="609"/>
      <c r="CA91" s="609"/>
      <c r="CB91" s="609"/>
      <c r="CC91" s="609"/>
      <c r="CD91" s="609"/>
      <c r="CE91" s="609"/>
      <c r="CF91" s="609"/>
      <c r="CG91" s="609"/>
      <c r="CH91" s="609"/>
      <c r="CI91" s="609"/>
      <c r="CJ91" s="609"/>
      <c r="CK91" s="609"/>
      <c r="CL91" s="609"/>
      <c r="CM91" s="609"/>
      <c r="CN91" s="609"/>
      <c r="CO91" s="609"/>
      <c r="CP91" s="609"/>
      <c r="CQ91" s="609"/>
      <c r="CR91" s="609"/>
      <c r="CS91" s="609"/>
      <c r="CT91" s="609"/>
      <c r="CU91" s="609"/>
      <c r="CV91" s="609"/>
      <c r="CW91" s="609"/>
      <c r="CX91" s="609"/>
      <c r="CY91" s="609"/>
      <c r="CZ91" s="609"/>
      <c r="DA91" s="609"/>
      <c r="DB91" s="609"/>
      <c r="DC91" s="609"/>
      <c r="DD91" s="609"/>
      <c r="DE91" s="609"/>
      <c r="DF91" s="609"/>
      <c r="DG91" s="609"/>
      <c r="DH91" s="609"/>
      <c r="DI91" s="609"/>
      <c r="DJ91" s="609"/>
      <c r="DK91" s="609"/>
    </row>
    <row r="92" spans="69:115">
      <c r="BQ92" s="609"/>
      <c r="BR92" s="609"/>
      <c r="BS92" s="609"/>
      <c r="BT92" s="609"/>
      <c r="BU92" s="609"/>
      <c r="BV92" s="609"/>
      <c r="BW92" s="609"/>
      <c r="BX92" s="609"/>
      <c r="BY92" s="609"/>
      <c r="BZ92" s="609"/>
      <c r="CA92" s="609"/>
      <c r="CB92" s="609"/>
      <c r="CC92" s="609"/>
      <c r="CD92" s="609"/>
      <c r="CE92" s="609"/>
      <c r="CF92" s="609"/>
      <c r="CG92" s="609"/>
      <c r="CH92" s="609"/>
      <c r="CI92" s="609"/>
      <c r="CJ92" s="609"/>
      <c r="CK92" s="609"/>
      <c r="CL92" s="609"/>
      <c r="CM92" s="609"/>
      <c r="CN92" s="609"/>
      <c r="CO92" s="609"/>
      <c r="CP92" s="609"/>
      <c r="CQ92" s="609"/>
      <c r="CR92" s="609"/>
      <c r="CS92" s="609"/>
      <c r="CT92" s="609"/>
      <c r="CU92" s="609"/>
      <c r="CV92" s="609"/>
      <c r="CW92" s="609"/>
      <c r="CX92" s="609"/>
      <c r="CY92" s="609"/>
      <c r="CZ92" s="609"/>
      <c r="DA92" s="609"/>
      <c r="DB92" s="609"/>
      <c r="DC92" s="609"/>
      <c r="DD92" s="609"/>
      <c r="DE92" s="609"/>
      <c r="DF92" s="609"/>
      <c r="DG92" s="609"/>
      <c r="DH92" s="609"/>
      <c r="DI92" s="609"/>
      <c r="DJ92" s="609"/>
      <c r="DK92" s="609"/>
    </row>
    <row r="93" spans="69:115">
      <c r="BQ93" s="609"/>
      <c r="BR93" s="609"/>
      <c r="BS93" s="609"/>
      <c r="BT93" s="609"/>
      <c r="BU93" s="609"/>
      <c r="BV93" s="609"/>
      <c r="BW93" s="609"/>
      <c r="BX93" s="609"/>
      <c r="BY93" s="609"/>
      <c r="BZ93" s="609"/>
      <c r="CA93" s="609"/>
      <c r="CB93" s="609"/>
      <c r="CC93" s="609"/>
      <c r="CD93" s="609"/>
      <c r="CE93" s="609"/>
      <c r="CF93" s="609"/>
      <c r="CG93" s="609"/>
      <c r="CH93" s="609"/>
      <c r="CI93" s="609"/>
      <c r="CJ93" s="609"/>
      <c r="CK93" s="609"/>
      <c r="CL93" s="609"/>
      <c r="CM93" s="609"/>
      <c r="CN93" s="609"/>
      <c r="CO93" s="609"/>
      <c r="CP93" s="609"/>
      <c r="CQ93" s="609"/>
      <c r="CR93" s="609"/>
      <c r="CS93" s="609"/>
      <c r="CT93" s="609"/>
      <c r="CU93" s="609"/>
      <c r="CV93" s="609"/>
      <c r="CW93" s="609"/>
      <c r="CX93" s="609"/>
      <c r="CY93" s="609"/>
      <c r="CZ93" s="609"/>
      <c r="DA93" s="609"/>
      <c r="DB93" s="609"/>
      <c r="DC93" s="609"/>
      <c r="DD93" s="609"/>
      <c r="DE93" s="609"/>
      <c r="DF93" s="609"/>
      <c r="DG93" s="609"/>
      <c r="DH93" s="609"/>
      <c r="DI93" s="609"/>
      <c r="DJ93" s="609"/>
      <c r="DK93" s="609"/>
    </row>
    <row r="94" spans="69:115">
      <c r="BQ94" s="609"/>
      <c r="BR94" s="609"/>
      <c r="BS94" s="609"/>
      <c r="BT94" s="609"/>
      <c r="BU94" s="609"/>
      <c r="BV94" s="609"/>
      <c r="BW94" s="609"/>
      <c r="BX94" s="609"/>
      <c r="BY94" s="609"/>
      <c r="BZ94" s="609"/>
      <c r="CA94" s="609"/>
      <c r="CB94" s="609"/>
      <c r="CC94" s="609"/>
      <c r="CD94" s="609"/>
      <c r="CE94" s="609"/>
      <c r="CF94" s="609"/>
      <c r="CG94" s="609"/>
      <c r="CH94" s="609"/>
      <c r="CI94" s="609"/>
      <c r="CJ94" s="609"/>
      <c r="CK94" s="609"/>
      <c r="CL94" s="609"/>
      <c r="CM94" s="609"/>
      <c r="CN94" s="609"/>
      <c r="CO94" s="609"/>
      <c r="CP94" s="609"/>
      <c r="CQ94" s="609"/>
      <c r="CR94" s="609"/>
      <c r="CS94" s="609"/>
      <c r="CT94" s="609"/>
      <c r="CU94" s="609"/>
      <c r="CV94" s="609"/>
      <c r="CW94" s="609"/>
      <c r="CX94" s="609"/>
      <c r="CY94" s="609"/>
      <c r="CZ94" s="609"/>
      <c r="DA94" s="609"/>
      <c r="DB94" s="609"/>
      <c r="DC94" s="609"/>
      <c r="DD94" s="609"/>
      <c r="DE94" s="609"/>
      <c r="DF94" s="609"/>
      <c r="DG94" s="609"/>
      <c r="DH94" s="609"/>
      <c r="DI94" s="609"/>
      <c r="DJ94" s="609"/>
      <c r="DK94" s="609"/>
    </row>
    <row r="95" spans="69:115">
      <c r="BQ95" s="609"/>
      <c r="BR95" s="609"/>
      <c r="BS95" s="609"/>
      <c r="BT95" s="609"/>
      <c r="BU95" s="609"/>
      <c r="BV95" s="609"/>
      <c r="BW95" s="609"/>
      <c r="BX95" s="609"/>
      <c r="BY95" s="609"/>
      <c r="BZ95" s="609"/>
      <c r="CA95" s="609"/>
      <c r="CB95" s="609"/>
      <c r="CC95" s="609"/>
      <c r="CD95" s="609"/>
      <c r="CE95" s="609"/>
      <c r="CF95" s="609"/>
      <c r="CG95" s="609"/>
      <c r="CH95" s="609"/>
      <c r="CI95" s="609"/>
      <c r="CJ95" s="609"/>
      <c r="CK95" s="609"/>
      <c r="CL95" s="609"/>
      <c r="CM95" s="609"/>
      <c r="CN95" s="609"/>
      <c r="CO95" s="609"/>
      <c r="CP95" s="609"/>
      <c r="CQ95" s="609"/>
      <c r="CR95" s="609"/>
      <c r="CS95" s="609"/>
      <c r="CT95" s="609"/>
      <c r="CU95" s="609"/>
      <c r="CV95" s="609"/>
      <c r="CW95" s="609"/>
      <c r="CX95" s="609"/>
      <c r="CY95" s="609"/>
      <c r="CZ95" s="609"/>
      <c r="DA95" s="609"/>
      <c r="DB95" s="609"/>
      <c r="DC95" s="609"/>
      <c r="DD95" s="609"/>
      <c r="DE95" s="609"/>
      <c r="DF95" s="609"/>
      <c r="DG95" s="609"/>
      <c r="DH95" s="609"/>
      <c r="DI95" s="609"/>
      <c r="DJ95" s="609"/>
      <c r="DK95" s="609"/>
    </row>
    <row r="96" spans="69:115">
      <c r="BQ96" s="609"/>
      <c r="BR96" s="609"/>
      <c r="BS96" s="609"/>
      <c r="BT96" s="609"/>
      <c r="BU96" s="609"/>
      <c r="BV96" s="609"/>
      <c r="BW96" s="609"/>
      <c r="BX96" s="609"/>
      <c r="BY96" s="609"/>
      <c r="BZ96" s="609"/>
      <c r="CA96" s="609"/>
      <c r="CB96" s="609"/>
      <c r="CC96" s="609"/>
      <c r="CD96" s="609"/>
      <c r="CE96" s="609"/>
      <c r="CF96" s="609"/>
      <c r="CG96" s="609"/>
      <c r="CH96" s="609"/>
      <c r="CI96" s="609"/>
      <c r="CJ96" s="609"/>
      <c r="CK96" s="609"/>
      <c r="CL96" s="609"/>
      <c r="CM96" s="609"/>
      <c r="CN96" s="609"/>
      <c r="CO96" s="609"/>
      <c r="CP96" s="609"/>
      <c r="CQ96" s="609"/>
      <c r="CR96" s="609"/>
      <c r="CS96" s="609"/>
      <c r="CT96" s="609"/>
      <c r="CU96" s="609"/>
      <c r="CV96" s="609"/>
      <c r="CW96" s="609"/>
      <c r="CX96" s="609"/>
      <c r="CY96" s="609"/>
      <c r="CZ96" s="609"/>
      <c r="DA96" s="609"/>
      <c r="DB96" s="609"/>
      <c r="DC96" s="609"/>
      <c r="DD96" s="609"/>
      <c r="DE96" s="609"/>
      <c r="DF96" s="609"/>
      <c r="DG96" s="609"/>
      <c r="DH96" s="609"/>
      <c r="DI96" s="609"/>
      <c r="DJ96" s="609"/>
      <c r="DK96" s="609"/>
    </row>
    <row r="97" spans="69:115">
      <c r="BQ97" s="609"/>
      <c r="BR97" s="609"/>
      <c r="BS97" s="609"/>
      <c r="BT97" s="609"/>
      <c r="BU97" s="609"/>
      <c r="BV97" s="609"/>
      <c r="BW97" s="609"/>
      <c r="BX97" s="609"/>
      <c r="BY97" s="609"/>
      <c r="BZ97" s="609"/>
      <c r="CA97" s="609"/>
      <c r="CB97" s="609"/>
      <c r="CC97" s="609"/>
      <c r="CD97" s="609"/>
      <c r="CE97" s="609"/>
      <c r="CF97" s="609"/>
      <c r="CG97" s="609"/>
      <c r="CH97" s="609"/>
      <c r="CI97" s="609"/>
      <c r="CJ97" s="609"/>
      <c r="CK97" s="609"/>
      <c r="CL97" s="609"/>
      <c r="CM97" s="609"/>
      <c r="CN97" s="609"/>
      <c r="CO97" s="609"/>
      <c r="CP97" s="609"/>
      <c r="CQ97" s="609"/>
      <c r="CR97" s="609"/>
      <c r="CS97" s="609"/>
      <c r="CT97" s="609"/>
      <c r="CU97" s="609"/>
      <c r="CV97" s="609"/>
      <c r="CW97" s="609"/>
      <c r="CX97" s="609"/>
      <c r="CY97" s="609"/>
      <c r="CZ97" s="609"/>
      <c r="DA97" s="609"/>
      <c r="DB97" s="609"/>
      <c r="DC97" s="609"/>
      <c r="DD97" s="609"/>
      <c r="DE97" s="609"/>
      <c r="DF97" s="609"/>
      <c r="DG97" s="609"/>
      <c r="DH97" s="609"/>
      <c r="DI97" s="609"/>
      <c r="DJ97" s="609"/>
      <c r="DK97" s="609"/>
    </row>
    <row r="98" spans="69:115">
      <c r="BQ98" s="609"/>
      <c r="BR98" s="609"/>
      <c r="BS98" s="609"/>
      <c r="BT98" s="609"/>
      <c r="BU98" s="609"/>
      <c r="BV98" s="609"/>
      <c r="BW98" s="609"/>
      <c r="BX98" s="609"/>
      <c r="BY98" s="609"/>
      <c r="BZ98" s="609"/>
      <c r="CA98" s="609"/>
      <c r="CB98" s="609"/>
      <c r="CC98" s="609"/>
      <c r="CD98" s="609"/>
      <c r="CE98" s="609"/>
      <c r="CF98" s="609"/>
      <c r="CG98" s="609"/>
      <c r="CH98" s="609"/>
      <c r="CI98" s="609"/>
      <c r="CJ98" s="609"/>
      <c r="CK98" s="609"/>
      <c r="CL98" s="609"/>
      <c r="CM98" s="609"/>
      <c r="CN98" s="609"/>
      <c r="CO98" s="609"/>
      <c r="CP98" s="609"/>
      <c r="CQ98" s="609"/>
      <c r="CR98" s="609"/>
      <c r="CS98" s="609"/>
      <c r="CT98" s="609"/>
      <c r="CU98" s="609"/>
      <c r="CV98" s="609"/>
      <c r="CW98" s="609"/>
      <c r="CX98" s="609"/>
      <c r="CY98" s="609"/>
      <c r="CZ98" s="609"/>
      <c r="DA98" s="609"/>
      <c r="DB98" s="609"/>
      <c r="DC98" s="609"/>
      <c r="DD98" s="609"/>
      <c r="DE98" s="609"/>
      <c r="DF98" s="609"/>
      <c r="DG98" s="609"/>
      <c r="DH98" s="609"/>
      <c r="DI98" s="609"/>
      <c r="DJ98" s="609"/>
      <c r="DK98" s="609"/>
    </row>
    <row r="99" spans="69:115">
      <c r="BQ99" s="609"/>
      <c r="BR99" s="609"/>
      <c r="BS99" s="609"/>
      <c r="BT99" s="609"/>
      <c r="BU99" s="609"/>
      <c r="BV99" s="609"/>
      <c r="BW99" s="609"/>
      <c r="BX99" s="609"/>
      <c r="BY99" s="609"/>
      <c r="BZ99" s="609"/>
      <c r="CA99" s="609"/>
      <c r="CB99" s="609"/>
      <c r="CC99" s="609"/>
      <c r="CD99" s="609"/>
      <c r="CE99" s="609"/>
      <c r="CF99" s="609"/>
      <c r="CG99" s="609"/>
      <c r="CH99" s="609"/>
      <c r="CI99" s="609"/>
      <c r="CJ99" s="609"/>
      <c r="CK99" s="609"/>
      <c r="CL99" s="609"/>
      <c r="CM99" s="609"/>
      <c r="CN99" s="609"/>
      <c r="CO99" s="609"/>
      <c r="CP99" s="609"/>
      <c r="CQ99" s="609"/>
      <c r="CR99" s="609"/>
      <c r="CS99" s="609"/>
      <c r="CT99" s="609"/>
      <c r="CU99" s="609"/>
      <c r="CV99" s="609"/>
      <c r="CW99" s="609"/>
      <c r="CX99" s="609"/>
      <c r="CY99" s="609"/>
      <c r="CZ99" s="609"/>
      <c r="DA99" s="609"/>
      <c r="DB99" s="609"/>
      <c r="DC99" s="609"/>
      <c r="DD99" s="609"/>
      <c r="DE99" s="609"/>
      <c r="DF99" s="609"/>
      <c r="DG99" s="609"/>
      <c r="DH99" s="609"/>
      <c r="DI99" s="609"/>
      <c r="DJ99" s="609"/>
      <c r="DK99" s="609"/>
    </row>
    <row r="100" spans="69:115">
      <c r="BQ100" s="609"/>
      <c r="BR100" s="609"/>
      <c r="BS100" s="609"/>
      <c r="BT100" s="609"/>
      <c r="BU100" s="609"/>
      <c r="BV100" s="609"/>
      <c r="BW100" s="609"/>
      <c r="BX100" s="609"/>
      <c r="BY100" s="609"/>
      <c r="BZ100" s="609"/>
      <c r="CA100" s="609"/>
      <c r="CB100" s="609"/>
      <c r="CC100" s="609"/>
      <c r="CD100" s="609"/>
      <c r="CE100" s="609"/>
      <c r="CF100" s="609"/>
      <c r="CG100" s="609"/>
      <c r="CH100" s="609"/>
      <c r="CI100" s="609"/>
      <c r="CJ100" s="609"/>
      <c r="CK100" s="609"/>
      <c r="CL100" s="609"/>
      <c r="CM100" s="609"/>
      <c r="CN100" s="609"/>
      <c r="CO100" s="609"/>
      <c r="CP100" s="609"/>
      <c r="CQ100" s="609"/>
      <c r="CR100" s="609"/>
      <c r="CS100" s="609"/>
      <c r="CT100" s="609"/>
      <c r="CU100" s="609"/>
      <c r="CV100" s="609"/>
      <c r="CW100" s="609"/>
      <c r="CX100" s="609"/>
      <c r="CY100" s="609"/>
      <c r="CZ100" s="609"/>
      <c r="DA100" s="609"/>
      <c r="DB100" s="609"/>
      <c r="DC100" s="609"/>
      <c r="DD100" s="609"/>
      <c r="DE100" s="609"/>
      <c r="DF100" s="609"/>
      <c r="DG100" s="609"/>
      <c r="DH100" s="609"/>
      <c r="DI100" s="609"/>
      <c r="DJ100" s="609"/>
      <c r="DK100" s="609"/>
    </row>
    <row r="101" spans="69:115">
      <c r="BQ101" s="609"/>
      <c r="BR101" s="609"/>
      <c r="BS101" s="609"/>
      <c r="BT101" s="609"/>
      <c r="BU101" s="609"/>
      <c r="BV101" s="609"/>
      <c r="BW101" s="609"/>
      <c r="BX101" s="609"/>
      <c r="BY101" s="609"/>
      <c r="BZ101" s="609"/>
      <c r="CA101" s="609"/>
      <c r="CB101" s="609"/>
      <c r="CC101" s="609"/>
      <c r="CD101" s="609"/>
      <c r="CE101" s="609"/>
      <c r="CF101" s="609"/>
      <c r="CG101" s="609"/>
      <c r="CH101" s="609"/>
      <c r="CI101" s="609"/>
      <c r="CJ101" s="609"/>
      <c r="CK101" s="609"/>
      <c r="CL101" s="609"/>
      <c r="CM101" s="609"/>
      <c r="CN101" s="609"/>
      <c r="CO101" s="609"/>
      <c r="CP101" s="609"/>
      <c r="CQ101" s="609"/>
      <c r="CR101" s="609"/>
      <c r="CS101" s="609"/>
      <c r="CT101" s="609"/>
      <c r="CU101" s="609"/>
      <c r="CV101" s="609"/>
      <c r="CW101" s="609"/>
      <c r="CX101" s="609"/>
      <c r="CY101" s="609"/>
      <c r="CZ101" s="609"/>
      <c r="DA101" s="609"/>
      <c r="DB101" s="609"/>
      <c r="DC101" s="609"/>
      <c r="DD101" s="609"/>
      <c r="DE101" s="609"/>
      <c r="DF101" s="609"/>
      <c r="DG101" s="609"/>
      <c r="DH101" s="609"/>
      <c r="DI101" s="609"/>
      <c r="DJ101" s="609"/>
      <c r="DK101" s="609"/>
    </row>
    <row r="102" spans="69:115">
      <c r="BQ102" s="609"/>
      <c r="BR102" s="609"/>
      <c r="BS102" s="609"/>
      <c r="BT102" s="609"/>
      <c r="BU102" s="609"/>
      <c r="BV102" s="609"/>
      <c r="BW102" s="609"/>
      <c r="BX102" s="609"/>
      <c r="BY102" s="609"/>
      <c r="BZ102" s="609"/>
      <c r="CA102" s="609"/>
      <c r="CB102" s="609"/>
      <c r="CC102" s="609"/>
      <c r="CD102" s="609"/>
      <c r="CE102" s="609"/>
      <c r="CF102" s="609"/>
      <c r="CG102" s="609"/>
      <c r="CH102" s="609"/>
      <c r="CI102" s="609"/>
      <c r="CJ102" s="609"/>
      <c r="CK102" s="609"/>
      <c r="CL102" s="609"/>
      <c r="CM102" s="609"/>
      <c r="CN102" s="609"/>
      <c r="CO102" s="609"/>
      <c r="CP102" s="609"/>
      <c r="CQ102" s="609"/>
      <c r="CR102" s="609"/>
      <c r="CS102" s="609"/>
      <c r="CT102" s="609"/>
      <c r="CU102" s="609"/>
      <c r="CV102" s="609"/>
      <c r="CW102" s="609"/>
      <c r="CX102" s="609"/>
      <c r="CY102" s="609"/>
      <c r="CZ102" s="609"/>
      <c r="DA102" s="609"/>
      <c r="DB102" s="609"/>
      <c r="DC102" s="609"/>
      <c r="DD102" s="609"/>
      <c r="DE102" s="609"/>
      <c r="DF102" s="609"/>
      <c r="DG102" s="609"/>
      <c r="DH102" s="609"/>
      <c r="DI102" s="609"/>
      <c r="DJ102" s="609"/>
      <c r="DK102" s="609"/>
    </row>
    <row r="103" spans="69:115">
      <c r="BQ103" s="609"/>
      <c r="BR103" s="609"/>
      <c r="BS103" s="609"/>
      <c r="BT103" s="609"/>
      <c r="BU103" s="609"/>
      <c r="BV103" s="609"/>
      <c r="BW103" s="609"/>
      <c r="BX103" s="609"/>
      <c r="BY103" s="609"/>
      <c r="BZ103" s="609"/>
      <c r="CA103" s="609"/>
      <c r="CB103" s="609"/>
      <c r="CC103" s="609"/>
      <c r="CD103" s="609"/>
      <c r="CE103" s="609"/>
      <c r="CF103" s="609"/>
      <c r="CG103" s="609"/>
      <c r="CH103" s="609"/>
      <c r="CI103" s="609"/>
      <c r="CJ103" s="609"/>
      <c r="CK103" s="609"/>
      <c r="CL103" s="609"/>
      <c r="CM103" s="609"/>
      <c r="CN103" s="609"/>
      <c r="CO103" s="609"/>
      <c r="CP103" s="609"/>
      <c r="CQ103" s="609"/>
      <c r="CR103" s="609"/>
      <c r="CS103" s="609"/>
      <c r="CT103" s="609"/>
      <c r="CU103" s="609"/>
      <c r="CV103" s="609"/>
      <c r="CW103" s="609"/>
      <c r="CX103" s="609"/>
      <c r="CY103" s="609"/>
      <c r="CZ103" s="609"/>
      <c r="DA103" s="609"/>
      <c r="DB103" s="609"/>
      <c r="DC103" s="609"/>
      <c r="DD103" s="609"/>
      <c r="DE103" s="609"/>
      <c r="DF103" s="609"/>
      <c r="DG103" s="609"/>
      <c r="DH103" s="609"/>
      <c r="DI103" s="609"/>
      <c r="DJ103" s="609"/>
      <c r="DK103" s="609"/>
    </row>
    <row r="104" spans="69:115">
      <c r="BQ104" s="609"/>
      <c r="BR104" s="609"/>
      <c r="BS104" s="609"/>
      <c r="BT104" s="609"/>
      <c r="BU104" s="609"/>
      <c r="BV104" s="609"/>
      <c r="BW104" s="609"/>
      <c r="BX104" s="609"/>
      <c r="BY104" s="609"/>
      <c r="BZ104" s="609"/>
      <c r="CA104" s="609"/>
      <c r="CB104" s="609"/>
      <c r="CC104" s="609"/>
      <c r="CD104" s="609"/>
      <c r="CE104" s="609"/>
      <c r="CF104" s="609"/>
      <c r="CG104" s="609"/>
      <c r="CH104" s="609"/>
      <c r="CI104" s="609"/>
      <c r="CJ104" s="609"/>
      <c r="CK104" s="609"/>
      <c r="CL104" s="609"/>
      <c r="CM104" s="609"/>
      <c r="CN104" s="609"/>
      <c r="CO104" s="609"/>
      <c r="CP104" s="609"/>
      <c r="CQ104" s="609"/>
      <c r="CR104" s="609"/>
      <c r="CS104" s="609"/>
      <c r="CT104" s="609"/>
      <c r="CU104" s="609"/>
      <c r="CV104" s="609"/>
      <c r="CW104" s="609"/>
      <c r="CX104" s="609"/>
      <c r="CY104" s="609"/>
      <c r="CZ104" s="609"/>
      <c r="DA104" s="609"/>
      <c r="DB104" s="609"/>
      <c r="DC104" s="609"/>
      <c r="DD104" s="609"/>
      <c r="DE104" s="609"/>
      <c r="DF104" s="609"/>
      <c r="DG104" s="609"/>
      <c r="DH104" s="609"/>
      <c r="DI104" s="609"/>
      <c r="DJ104" s="609"/>
      <c r="DK104" s="609"/>
    </row>
    <row r="105" spans="69:115">
      <c r="BQ105" s="609"/>
      <c r="BR105" s="609"/>
      <c r="BS105" s="609"/>
      <c r="BT105" s="609"/>
      <c r="BU105" s="609"/>
      <c r="BV105" s="609"/>
      <c r="BW105" s="609"/>
      <c r="BX105" s="609"/>
      <c r="BY105" s="609"/>
      <c r="BZ105" s="609"/>
      <c r="CA105" s="609"/>
      <c r="CB105" s="609"/>
      <c r="CC105" s="609"/>
      <c r="CD105" s="609"/>
      <c r="CE105" s="609"/>
      <c r="CF105" s="609"/>
      <c r="CG105" s="609"/>
      <c r="CH105" s="609"/>
      <c r="CI105" s="609"/>
      <c r="CJ105" s="609"/>
      <c r="CK105" s="609"/>
      <c r="CL105" s="609"/>
      <c r="CM105" s="609"/>
      <c r="CN105" s="609"/>
      <c r="CO105" s="609"/>
      <c r="CP105" s="609"/>
      <c r="CQ105" s="609"/>
      <c r="CR105" s="609"/>
      <c r="CS105" s="609"/>
      <c r="CT105" s="609"/>
      <c r="CU105" s="609"/>
      <c r="CV105" s="609"/>
      <c r="CW105" s="609"/>
      <c r="CX105" s="609"/>
      <c r="CY105" s="609"/>
      <c r="CZ105" s="609"/>
      <c r="DA105" s="609"/>
      <c r="DB105" s="609"/>
      <c r="DC105" s="609"/>
      <c r="DD105" s="609"/>
      <c r="DE105" s="609"/>
      <c r="DF105" s="609"/>
      <c r="DG105" s="609"/>
      <c r="DH105" s="609"/>
      <c r="DI105" s="609"/>
      <c r="DJ105" s="609"/>
      <c r="DK105" s="609"/>
    </row>
    <row r="106" spans="69:115">
      <c r="BQ106" s="609"/>
      <c r="BR106" s="609"/>
      <c r="BS106" s="609"/>
      <c r="BT106" s="609"/>
      <c r="BU106" s="609"/>
      <c r="BV106" s="609"/>
      <c r="BW106" s="609"/>
      <c r="BX106" s="609"/>
      <c r="BY106" s="609"/>
      <c r="BZ106" s="609"/>
      <c r="CA106" s="609"/>
      <c r="CB106" s="609"/>
      <c r="CC106" s="609"/>
      <c r="CD106" s="609"/>
      <c r="CE106" s="609"/>
      <c r="CF106" s="609"/>
      <c r="CG106" s="609"/>
      <c r="CH106" s="609"/>
      <c r="CI106" s="609"/>
      <c r="CJ106" s="609"/>
      <c r="CK106" s="609"/>
      <c r="CL106" s="609"/>
      <c r="CM106" s="609"/>
      <c r="CN106" s="609"/>
      <c r="CO106" s="609"/>
      <c r="CP106" s="609"/>
      <c r="CQ106" s="609"/>
      <c r="CR106" s="609"/>
      <c r="CS106" s="609"/>
      <c r="CT106" s="609"/>
      <c r="CU106" s="609"/>
      <c r="CV106" s="609"/>
      <c r="CW106" s="609"/>
      <c r="CX106" s="609"/>
      <c r="CY106" s="609"/>
      <c r="CZ106" s="609"/>
      <c r="DA106" s="609"/>
      <c r="DB106" s="609"/>
      <c r="DC106" s="609"/>
      <c r="DD106" s="609"/>
      <c r="DE106" s="609"/>
      <c r="DF106" s="609"/>
      <c r="DG106" s="609"/>
      <c r="DH106" s="609"/>
      <c r="DI106" s="609"/>
      <c r="DJ106" s="609"/>
      <c r="DK106" s="609"/>
    </row>
    <row r="107" spans="69:115">
      <c r="BQ107" s="609"/>
      <c r="BR107" s="609"/>
      <c r="BS107" s="609"/>
      <c r="BT107" s="609"/>
      <c r="BU107" s="609"/>
      <c r="BV107" s="609"/>
      <c r="BW107" s="609"/>
      <c r="BX107" s="609"/>
      <c r="BY107" s="609"/>
      <c r="BZ107" s="609"/>
      <c r="CA107" s="609"/>
      <c r="CB107" s="609"/>
      <c r="CC107" s="609"/>
      <c r="CD107" s="609"/>
      <c r="CE107" s="609"/>
      <c r="CF107" s="609"/>
      <c r="CG107" s="609"/>
      <c r="CH107" s="609"/>
      <c r="CI107" s="609"/>
      <c r="CJ107" s="609"/>
      <c r="CK107" s="609"/>
      <c r="CL107" s="609"/>
      <c r="CM107" s="609"/>
      <c r="CN107" s="609"/>
      <c r="CO107" s="609"/>
      <c r="CP107" s="609"/>
      <c r="CQ107" s="609"/>
      <c r="CR107" s="609"/>
      <c r="CS107" s="609"/>
      <c r="CT107" s="609"/>
      <c r="CU107" s="609"/>
      <c r="CV107" s="609"/>
      <c r="CW107" s="609"/>
      <c r="CX107" s="609"/>
      <c r="CY107" s="609"/>
      <c r="CZ107" s="609"/>
      <c r="DA107" s="609"/>
      <c r="DB107" s="609"/>
      <c r="DC107" s="609"/>
      <c r="DD107" s="609"/>
      <c r="DE107" s="609"/>
      <c r="DF107" s="609"/>
      <c r="DG107" s="609"/>
      <c r="DH107" s="609"/>
      <c r="DI107" s="609"/>
      <c r="DJ107" s="609"/>
      <c r="DK107" s="609"/>
    </row>
    <row r="108" spans="69:115">
      <c r="BQ108" s="609"/>
      <c r="BR108" s="609"/>
      <c r="BS108" s="609"/>
      <c r="BT108" s="609"/>
      <c r="BU108" s="609"/>
      <c r="BV108" s="609"/>
      <c r="BW108" s="609"/>
      <c r="BX108" s="609"/>
      <c r="BY108" s="609"/>
      <c r="BZ108" s="609"/>
      <c r="CA108" s="609"/>
      <c r="CB108" s="609"/>
      <c r="CC108" s="609"/>
      <c r="CD108" s="609"/>
      <c r="CE108" s="609"/>
      <c r="CF108" s="609"/>
      <c r="CG108" s="609"/>
      <c r="CH108" s="609"/>
      <c r="CI108" s="609"/>
      <c r="CJ108" s="609"/>
      <c r="CK108" s="609"/>
      <c r="CL108" s="609"/>
      <c r="CM108" s="609"/>
      <c r="CN108" s="609"/>
      <c r="CO108" s="609"/>
      <c r="CP108" s="609"/>
      <c r="CQ108" s="609"/>
      <c r="CR108" s="609"/>
      <c r="CS108" s="609"/>
      <c r="CT108" s="609"/>
      <c r="CU108" s="609"/>
      <c r="CV108" s="609"/>
      <c r="CW108" s="609"/>
      <c r="CX108" s="609"/>
      <c r="CY108" s="609"/>
      <c r="CZ108" s="609"/>
      <c r="DA108" s="609"/>
      <c r="DB108" s="609"/>
      <c r="DC108" s="609"/>
      <c r="DD108" s="609"/>
      <c r="DE108" s="609"/>
      <c r="DF108" s="609"/>
      <c r="DG108" s="609"/>
      <c r="DH108" s="609"/>
      <c r="DI108" s="609"/>
      <c r="DJ108" s="609"/>
      <c r="DK108" s="609"/>
    </row>
    <row r="109" spans="69:115">
      <c r="BQ109" s="609"/>
      <c r="BR109" s="609"/>
      <c r="BS109" s="609"/>
      <c r="BT109" s="609"/>
      <c r="BU109" s="609"/>
      <c r="BV109" s="609"/>
      <c r="BW109" s="609"/>
      <c r="BX109" s="609"/>
      <c r="BY109" s="609"/>
      <c r="BZ109" s="609"/>
      <c r="CA109" s="609"/>
      <c r="CB109" s="609"/>
      <c r="CC109" s="609"/>
      <c r="CD109" s="609"/>
      <c r="CE109" s="609"/>
      <c r="CF109" s="609"/>
      <c r="CG109" s="609"/>
      <c r="CH109" s="609"/>
      <c r="CI109" s="609"/>
      <c r="CJ109" s="609"/>
      <c r="CK109" s="609"/>
      <c r="CL109" s="609"/>
      <c r="CM109" s="609"/>
      <c r="CN109" s="609"/>
      <c r="CO109" s="609"/>
      <c r="CP109" s="609"/>
      <c r="CQ109" s="609"/>
      <c r="CR109" s="609"/>
      <c r="CS109" s="609"/>
      <c r="CT109" s="609"/>
      <c r="CU109" s="609"/>
      <c r="CV109" s="609"/>
      <c r="CW109" s="609"/>
      <c r="CX109" s="609"/>
      <c r="CY109" s="609"/>
      <c r="CZ109" s="609"/>
      <c r="DA109" s="609"/>
      <c r="DB109" s="609"/>
      <c r="DC109" s="609"/>
      <c r="DD109" s="609"/>
      <c r="DE109" s="609"/>
      <c r="DF109" s="609"/>
      <c r="DG109" s="609"/>
      <c r="DH109" s="609"/>
      <c r="DI109" s="609"/>
      <c r="DJ109" s="609"/>
      <c r="DK109" s="609"/>
    </row>
    <row r="110" spans="69:115">
      <c r="BQ110" s="609"/>
      <c r="BR110" s="609"/>
      <c r="BS110" s="609"/>
      <c r="BT110" s="609"/>
      <c r="BU110" s="609"/>
      <c r="BV110" s="609"/>
      <c r="BW110" s="609"/>
      <c r="BX110" s="609"/>
      <c r="BY110" s="609"/>
      <c r="BZ110" s="609"/>
      <c r="CA110" s="609"/>
      <c r="CB110" s="609"/>
      <c r="CC110" s="609"/>
      <c r="CD110" s="609"/>
      <c r="CE110" s="609"/>
      <c r="CF110" s="609"/>
      <c r="CG110" s="609"/>
      <c r="CH110" s="609"/>
      <c r="CI110" s="609"/>
      <c r="CJ110" s="609"/>
      <c r="CK110" s="609"/>
      <c r="CL110" s="609"/>
      <c r="CM110" s="609"/>
      <c r="CN110" s="609"/>
      <c r="CO110" s="609"/>
      <c r="CP110" s="609"/>
      <c r="CQ110" s="609"/>
      <c r="CR110" s="609"/>
      <c r="CS110" s="609"/>
      <c r="CT110" s="609"/>
      <c r="CU110" s="609"/>
      <c r="CV110" s="609"/>
      <c r="CW110" s="609"/>
      <c r="CX110" s="609"/>
      <c r="CY110" s="609"/>
      <c r="CZ110" s="609"/>
      <c r="DA110" s="609"/>
      <c r="DB110" s="609"/>
      <c r="DC110" s="609"/>
      <c r="DD110" s="609"/>
      <c r="DE110" s="609"/>
      <c r="DF110" s="609"/>
      <c r="DG110" s="609"/>
      <c r="DH110" s="609"/>
      <c r="DI110" s="609"/>
      <c r="DJ110" s="609"/>
      <c r="DK110" s="609"/>
    </row>
    <row r="111" spans="69:115">
      <c r="BQ111" s="609"/>
      <c r="BR111" s="609"/>
      <c r="BS111" s="609"/>
      <c r="BT111" s="609"/>
      <c r="BU111" s="609"/>
      <c r="BV111" s="609"/>
      <c r="BW111" s="609"/>
      <c r="BX111" s="609"/>
      <c r="BY111" s="609"/>
      <c r="BZ111" s="609"/>
      <c r="CA111" s="609"/>
      <c r="CB111" s="609"/>
      <c r="CC111" s="609"/>
      <c r="CD111" s="609"/>
      <c r="CE111" s="609"/>
      <c r="CF111" s="609"/>
      <c r="CG111" s="609"/>
      <c r="CH111" s="609"/>
      <c r="CI111" s="609"/>
      <c r="CJ111" s="609"/>
      <c r="CK111" s="609"/>
      <c r="CL111" s="609"/>
      <c r="CM111" s="609"/>
      <c r="CN111" s="609"/>
      <c r="CO111" s="609"/>
      <c r="CP111" s="609"/>
      <c r="CQ111" s="609"/>
      <c r="CR111" s="609"/>
      <c r="CS111" s="609"/>
      <c r="CT111" s="609"/>
      <c r="CU111" s="609"/>
      <c r="CV111" s="609"/>
      <c r="CW111" s="609"/>
      <c r="CX111" s="609"/>
      <c r="CY111" s="609"/>
      <c r="CZ111" s="609"/>
      <c r="DA111" s="609"/>
      <c r="DB111" s="609"/>
      <c r="DC111" s="609"/>
      <c r="DD111" s="609"/>
      <c r="DE111" s="609"/>
      <c r="DF111" s="609"/>
      <c r="DG111" s="609"/>
      <c r="DH111" s="609"/>
      <c r="DI111" s="609"/>
      <c r="DJ111" s="609"/>
      <c r="DK111" s="609"/>
    </row>
    <row r="112" spans="69:115">
      <c r="BQ112" s="609"/>
      <c r="BR112" s="609"/>
      <c r="BS112" s="609"/>
      <c r="BT112" s="609"/>
      <c r="BU112" s="609"/>
      <c r="BV112" s="609"/>
      <c r="BW112" s="609"/>
      <c r="BX112" s="609"/>
      <c r="BY112" s="609"/>
      <c r="BZ112" s="609"/>
      <c r="CA112" s="609"/>
      <c r="CB112" s="609"/>
      <c r="CC112" s="609"/>
      <c r="CD112" s="609"/>
      <c r="CE112" s="609"/>
      <c r="CF112" s="609"/>
      <c r="CG112" s="609"/>
      <c r="CH112" s="609"/>
      <c r="CI112" s="609"/>
      <c r="CJ112" s="609"/>
      <c r="CK112" s="609"/>
      <c r="CL112" s="609"/>
      <c r="CM112" s="609"/>
      <c r="CN112" s="609"/>
      <c r="CO112" s="609"/>
      <c r="CP112" s="609"/>
      <c r="CQ112" s="609"/>
      <c r="CR112" s="609"/>
      <c r="CS112" s="609"/>
      <c r="CT112" s="609"/>
      <c r="CU112" s="609"/>
      <c r="CV112" s="609"/>
      <c r="CW112" s="609"/>
      <c r="CX112" s="609"/>
      <c r="CY112" s="609"/>
      <c r="CZ112" s="609"/>
      <c r="DA112" s="609"/>
      <c r="DB112" s="609"/>
      <c r="DC112" s="609"/>
      <c r="DD112" s="609"/>
      <c r="DE112" s="609"/>
      <c r="DF112" s="609"/>
      <c r="DG112" s="609"/>
      <c r="DH112" s="609"/>
      <c r="DI112" s="609"/>
      <c r="DJ112" s="609"/>
      <c r="DK112" s="609"/>
    </row>
    <row r="113" spans="69:115">
      <c r="BQ113" s="609"/>
      <c r="BR113" s="609"/>
      <c r="BS113" s="609"/>
      <c r="BT113" s="609"/>
      <c r="BU113" s="609"/>
      <c r="BV113" s="609"/>
      <c r="BW113" s="609"/>
      <c r="BX113" s="609"/>
      <c r="BY113" s="609"/>
      <c r="BZ113" s="609"/>
      <c r="CA113" s="609"/>
      <c r="CB113" s="609"/>
      <c r="CC113" s="609"/>
      <c r="CD113" s="609"/>
      <c r="CE113" s="609"/>
      <c r="CF113" s="609"/>
      <c r="CG113" s="609"/>
      <c r="CH113" s="609"/>
      <c r="CI113" s="609"/>
      <c r="CJ113" s="609"/>
      <c r="CK113" s="609"/>
      <c r="CL113" s="609"/>
      <c r="CM113" s="609"/>
      <c r="CN113" s="609"/>
      <c r="CO113" s="609"/>
      <c r="CP113" s="609"/>
      <c r="CQ113" s="609"/>
      <c r="CR113" s="609"/>
      <c r="CS113" s="609"/>
      <c r="CT113" s="609"/>
      <c r="CU113" s="609"/>
      <c r="CV113" s="609"/>
      <c r="CW113" s="609"/>
      <c r="CX113" s="609"/>
      <c r="CY113" s="609"/>
      <c r="CZ113" s="609"/>
      <c r="DA113" s="609"/>
      <c r="DB113" s="609"/>
      <c r="DC113" s="609"/>
      <c r="DD113" s="609"/>
      <c r="DE113" s="609"/>
      <c r="DF113" s="609"/>
      <c r="DG113" s="609"/>
      <c r="DH113" s="609"/>
      <c r="DI113" s="609"/>
      <c r="DJ113" s="609"/>
      <c r="DK113" s="609"/>
    </row>
    <row r="114" spans="69:115">
      <c r="BQ114" s="609"/>
      <c r="BR114" s="609"/>
      <c r="BS114" s="609"/>
      <c r="BT114" s="609"/>
      <c r="BU114" s="609"/>
      <c r="BV114" s="609"/>
      <c r="BW114" s="609"/>
      <c r="BX114" s="609"/>
      <c r="BY114" s="609"/>
      <c r="BZ114" s="609"/>
      <c r="CA114" s="609"/>
      <c r="CB114" s="609"/>
      <c r="CC114" s="609"/>
      <c r="CD114" s="609"/>
      <c r="CE114" s="609"/>
      <c r="CF114" s="609"/>
      <c r="CG114" s="609"/>
      <c r="CH114" s="609"/>
      <c r="CI114" s="609"/>
      <c r="CJ114" s="609"/>
      <c r="CK114" s="609"/>
      <c r="CL114" s="609"/>
      <c r="CM114" s="609"/>
      <c r="CN114" s="609"/>
      <c r="CO114" s="609"/>
      <c r="CP114" s="609"/>
      <c r="CQ114" s="609"/>
      <c r="CR114" s="609"/>
      <c r="CS114" s="609"/>
      <c r="CT114" s="609"/>
      <c r="CU114" s="609"/>
      <c r="CV114" s="609"/>
      <c r="CW114" s="609"/>
      <c r="CX114" s="609"/>
      <c r="CY114" s="609"/>
      <c r="CZ114" s="609"/>
      <c r="DA114" s="609"/>
      <c r="DB114" s="609"/>
      <c r="DC114" s="609"/>
      <c r="DD114" s="609"/>
      <c r="DE114" s="609"/>
      <c r="DF114" s="609"/>
      <c r="DG114" s="609"/>
      <c r="DH114" s="609"/>
      <c r="DI114" s="609"/>
      <c r="DJ114" s="609"/>
      <c r="DK114" s="609"/>
    </row>
    <row r="115" spans="69:115">
      <c r="BQ115" s="609"/>
      <c r="BR115" s="609"/>
      <c r="BS115" s="609"/>
      <c r="BT115" s="609"/>
      <c r="BU115" s="609"/>
      <c r="BV115" s="609"/>
      <c r="BW115" s="609"/>
      <c r="BX115" s="609"/>
      <c r="BY115" s="609"/>
      <c r="BZ115" s="609"/>
      <c r="CA115" s="609"/>
      <c r="CB115" s="609"/>
      <c r="CC115" s="609"/>
      <c r="CD115" s="609"/>
      <c r="CE115" s="609"/>
      <c r="CF115" s="609"/>
      <c r="CG115" s="609"/>
      <c r="CH115" s="609"/>
      <c r="CI115" s="609"/>
      <c r="CJ115" s="609"/>
      <c r="CK115" s="609"/>
      <c r="CL115" s="609"/>
      <c r="CM115" s="609"/>
      <c r="CN115" s="609"/>
      <c r="CO115" s="609"/>
      <c r="CP115" s="609"/>
      <c r="CQ115" s="609"/>
      <c r="CR115" s="609"/>
      <c r="CS115" s="609"/>
      <c r="CT115" s="609"/>
      <c r="CU115" s="609"/>
      <c r="CV115" s="609"/>
      <c r="CW115" s="609"/>
      <c r="CX115" s="609"/>
      <c r="CY115" s="609"/>
      <c r="CZ115" s="609"/>
      <c r="DA115" s="609"/>
      <c r="DB115" s="609"/>
      <c r="DC115" s="609"/>
      <c r="DD115" s="609"/>
      <c r="DE115" s="609"/>
      <c r="DF115" s="609"/>
      <c r="DG115" s="609"/>
      <c r="DH115" s="609"/>
      <c r="DI115" s="609"/>
      <c r="DJ115" s="609"/>
      <c r="DK115" s="609"/>
    </row>
    <row r="116" spans="69:115">
      <c r="BQ116" s="609"/>
      <c r="BR116" s="609"/>
      <c r="BS116" s="609"/>
      <c r="BT116" s="609"/>
      <c r="BU116" s="609"/>
      <c r="BV116" s="609"/>
      <c r="BW116" s="609"/>
      <c r="BX116" s="609"/>
      <c r="BY116" s="609"/>
      <c r="BZ116" s="609"/>
      <c r="CA116" s="609"/>
      <c r="CB116" s="609"/>
      <c r="CC116" s="609"/>
      <c r="CD116" s="609"/>
      <c r="CE116" s="609"/>
      <c r="CF116" s="609"/>
      <c r="CG116" s="609"/>
      <c r="CH116" s="609"/>
      <c r="CI116" s="609"/>
      <c r="CJ116" s="609"/>
      <c r="CK116" s="609"/>
      <c r="CL116" s="609"/>
      <c r="CM116" s="609"/>
      <c r="CN116" s="609"/>
      <c r="CO116" s="609"/>
      <c r="CP116" s="609"/>
      <c r="CQ116" s="609"/>
      <c r="CR116" s="609"/>
      <c r="CS116" s="609"/>
      <c r="CT116" s="609"/>
      <c r="CU116" s="609"/>
      <c r="CV116" s="609"/>
      <c r="CW116" s="609"/>
      <c r="CX116" s="609"/>
      <c r="CY116" s="609"/>
      <c r="CZ116" s="609"/>
      <c r="DA116" s="609"/>
      <c r="DB116" s="609"/>
      <c r="DC116" s="609"/>
      <c r="DD116" s="609"/>
      <c r="DE116" s="609"/>
      <c r="DF116" s="609"/>
      <c r="DG116" s="609"/>
      <c r="DH116" s="609"/>
      <c r="DI116" s="609"/>
      <c r="DJ116" s="609"/>
      <c r="DK116" s="609"/>
    </row>
    <row r="117" spans="69:115">
      <c r="BQ117" s="609"/>
      <c r="BR117" s="609"/>
      <c r="BS117" s="609"/>
      <c r="BT117" s="609"/>
      <c r="BU117" s="609"/>
      <c r="BV117" s="609"/>
      <c r="BW117" s="609"/>
      <c r="BX117" s="609"/>
      <c r="BY117" s="609"/>
      <c r="BZ117" s="609"/>
      <c r="CA117" s="609"/>
      <c r="CB117" s="609"/>
      <c r="CC117" s="609"/>
      <c r="CD117" s="609"/>
      <c r="CE117" s="609"/>
      <c r="CF117" s="609"/>
      <c r="CG117" s="609"/>
      <c r="CH117" s="609"/>
      <c r="CI117" s="609"/>
      <c r="CJ117" s="609"/>
      <c r="CK117" s="609"/>
      <c r="CL117" s="609"/>
      <c r="CM117" s="609"/>
      <c r="CN117" s="609"/>
      <c r="CO117" s="609"/>
      <c r="CP117" s="609"/>
      <c r="CQ117" s="609"/>
      <c r="CR117" s="609"/>
      <c r="CS117" s="609"/>
      <c r="CT117" s="609"/>
      <c r="CU117" s="609"/>
      <c r="CV117" s="609"/>
      <c r="CW117" s="609"/>
      <c r="CX117" s="609"/>
      <c r="CY117" s="609"/>
      <c r="CZ117" s="609"/>
      <c r="DA117" s="609"/>
      <c r="DB117" s="609"/>
      <c r="DC117" s="609"/>
      <c r="DD117" s="609"/>
      <c r="DE117" s="609"/>
      <c r="DF117" s="609"/>
      <c r="DG117" s="609"/>
      <c r="DH117" s="609"/>
      <c r="DI117" s="609"/>
      <c r="DJ117" s="609"/>
      <c r="DK117" s="609"/>
    </row>
    <row r="118" spans="69:115">
      <c r="BQ118" s="609"/>
      <c r="BR118" s="609"/>
      <c r="BS118" s="609"/>
      <c r="BT118" s="609"/>
      <c r="BU118" s="609"/>
      <c r="BV118" s="609"/>
      <c r="BW118" s="609"/>
      <c r="BX118" s="609"/>
      <c r="BY118" s="609"/>
      <c r="BZ118" s="609"/>
      <c r="CA118" s="609"/>
      <c r="CB118" s="609"/>
      <c r="CC118" s="609"/>
      <c r="CD118" s="609"/>
      <c r="CE118" s="609"/>
      <c r="CF118" s="609"/>
      <c r="CG118" s="609"/>
      <c r="CH118" s="609"/>
      <c r="CI118" s="609"/>
      <c r="CJ118" s="609"/>
      <c r="CK118" s="609"/>
      <c r="CL118" s="609"/>
      <c r="CM118" s="609"/>
      <c r="CN118" s="609"/>
      <c r="CO118" s="609"/>
      <c r="CP118" s="609"/>
      <c r="CQ118" s="609"/>
      <c r="CR118" s="609"/>
      <c r="CS118" s="609"/>
      <c r="CT118" s="609"/>
      <c r="CU118" s="609"/>
      <c r="CV118" s="609"/>
      <c r="CW118" s="609"/>
      <c r="CX118" s="609"/>
      <c r="CY118" s="609"/>
      <c r="CZ118" s="609"/>
      <c r="DA118" s="609"/>
      <c r="DB118" s="609"/>
      <c r="DC118" s="609"/>
      <c r="DD118" s="609"/>
      <c r="DE118" s="609"/>
      <c r="DF118" s="609"/>
      <c r="DG118" s="609"/>
      <c r="DH118" s="609"/>
      <c r="DI118" s="609"/>
      <c r="DJ118" s="609"/>
      <c r="DK118" s="609"/>
    </row>
    <row r="119" spans="69:115">
      <c r="BQ119" s="609"/>
      <c r="BR119" s="609"/>
      <c r="BS119" s="609"/>
      <c r="BT119" s="609"/>
      <c r="BU119" s="609"/>
      <c r="BV119" s="609"/>
      <c r="BW119" s="609"/>
      <c r="BX119" s="609"/>
      <c r="BY119" s="609"/>
      <c r="BZ119" s="609"/>
      <c r="CA119" s="609"/>
      <c r="CB119" s="609"/>
      <c r="CC119" s="609"/>
      <c r="CD119" s="609"/>
      <c r="CE119" s="609"/>
      <c r="CF119" s="609"/>
      <c r="CG119" s="609"/>
      <c r="CH119" s="609"/>
      <c r="CI119" s="609"/>
      <c r="CJ119" s="609"/>
      <c r="CK119" s="609"/>
      <c r="CL119" s="609"/>
      <c r="CM119" s="609"/>
      <c r="CN119" s="609"/>
      <c r="CO119" s="609"/>
      <c r="CP119" s="609"/>
      <c r="CQ119" s="609"/>
      <c r="CR119" s="609"/>
      <c r="CS119" s="609"/>
      <c r="CT119" s="609"/>
      <c r="CU119" s="609"/>
      <c r="CV119" s="609"/>
      <c r="CW119" s="609"/>
      <c r="CX119" s="609"/>
      <c r="CY119" s="609"/>
      <c r="CZ119" s="609"/>
      <c r="DA119" s="609"/>
      <c r="DB119" s="609"/>
      <c r="DC119" s="609"/>
      <c r="DD119" s="609"/>
      <c r="DE119" s="609"/>
      <c r="DF119" s="609"/>
      <c r="DG119" s="609"/>
      <c r="DH119" s="609"/>
      <c r="DI119" s="609"/>
      <c r="DJ119" s="609"/>
      <c r="DK119" s="609"/>
    </row>
    <row r="120" spans="69:115">
      <c r="BQ120" s="609"/>
      <c r="BR120" s="609"/>
      <c r="BS120" s="609"/>
      <c r="BT120" s="609"/>
      <c r="BU120" s="609"/>
      <c r="BV120" s="609"/>
      <c r="BW120" s="609"/>
      <c r="BX120" s="609"/>
      <c r="BY120" s="609"/>
      <c r="BZ120" s="609"/>
      <c r="CA120" s="609"/>
      <c r="CB120" s="609"/>
      <c r="CC120" s="609"/>
      <c r="CD120" s="609"/>
      <c r="CE120" s="609"/>
      <c r="CF120" s="609"/>
      <c r="CG120" s="609"/>
      <c r="CH120" s="609"/>
      <c r="CI120" s="609"/>
      <c r="CJ120" s="609"/>
      <c r="CK120" s="609"/>
      <c r="CL120" s="609"/>
      <c r="CM120" s="609"/>
      <c r="CN120" s="609"/>
      <c r="CO120" s="609"/>
      <c r="CP120" s="609"/>
      <c r="CQ120" s="609"/>
      <c r="CR120" s="609"/>
      <c r="CS120" s="609"/>
      <c r="CT120" s="609"/>
      <c r="CU120" s="609"/>
      <c r="CV120" s="609"/>
      <c r="CW120" s="609"/>
      <c r="CX120" s="609"/>
      <c r="CY120" s="609"/>
      <c r="CZ120" s="609"/>
      <c r="DA120" s="609"/>
      <c r="DB120" s="609"/>
      <c r="DC120" s="609"/>
      <c r="DD120" s="609"/>
      <c r="DE120" s="609"/>
      <c r="DF120" s="609"/>
      <c r="DG120" s="609"/>
      <c r="DH120" s="609"/>
      <c r="DI120" s="609"/>
      <c r="DJ120" s="609"/>
      <c r="DK120" s="609"/>
    </row>
    <row r="121" spans="69:115">
      <c r="BQ121" s="609"/>
      <c r="BR121" s="609"/>
      <c r="BS121" s="609"/>
      <c r="BT121" s="609"/>
      <c r="BU121" s="609"/>
      <c r="BV121" s="609"/>
      <c r="BW121" s="609"/>
      <c r="BX121" s="609"/>
      <c r="BY121" s="609"/>
      <c r="BZ121" s="609"/>
      <c r="CA121" s="609"/>
      <c r="CB121" s="609"/>
      <c r="CC121" s="609"/>
      <c r="CD121" s="609"/>
      <c r="CE121" s="609"/>
      <c r="CF121" s="609"/>
      <c r="CG121" s="609"/>
      <c r="CH121" s="609"/>
      <c r="CI121" s="609"/>
      <c r="CJ121" s="609"/>
      <c r="CK121" s="609"/>
      <c r="CL121" s="609"/>
      <c r="CM121" s="609"/>
      <c r="CN121" s="609"/>
      <c r="CO121" s="609"/>
      <c r="CP121" s="609"/>
      <c r="CQ121" s="609"/>
      <c r="CR121" s="609"/>
      <c r="CS121" s="609"/>
      <c r="CT121" s="609"/>
      <c r="CU121" s="609"/>
      <c r="CV121" s="609"/>
      <c r="CW121" s="609"/>
      <c r="CX121" s="609"/>
      <c r="CY121" s="609"/>
      <c r="CZ121" s="609"/>
      <c r="DA121" s="609"/>
      <c r="DB121" s="609"/>
      <c r="DC121" s="609"/>
      <c r="DD121" s="609"/>
      <c r="DE121" s="609"/>
      <c r="DF121" s="609"/>
      <c r="DG121" s="609"/>
      <c r="DH121" s="609"/>
      <c r="DI121" s="609"/>
      <c r="DJ121" s="609"/>
      <c r="DK121" s="609"/>
    </row>
    <row r="122" spans="69:115">
      <c r="BQ122" s="609"/>
      <c r="BR122" s="609"/>
      <c r="BS122" s="609"/>
      <c r="BT122" s="609"/>
      <c r="BU122" s="609"/>
      <c r="BV122" s="609"/>
      <c r="BW122" s="609"/>
      <c r="BX122" s="609"/>
      <c r="BY122" s="609"/>
      <c r="BZ122" s="609"/>
      <c r="CA122" s="609"/>
      <c r="CB122" s="609"/>
      <c r="CC122" s="609"/>
      <c r="CD122" s="609"/>
      <c r="CE122" s="609"/>
      <c r="CF122" s="609"/>
      <c r="CG122" s="609"/>
      <c r="CH122" s="609"/>
      <c r="CI122" s="609"/>
      <c r="CJ122" s="609"/>
      <c r="CK122" s="609"/>
      <c r="CL122" s="609"/>
      <c r="CM122" s="609"/>
      <c r="CN122" s="609"/>
      <c r="CO122" s="609"/>
      <c r="CP122" s="609"/>
      <c r="CQ122" s="609"/>
      <c r="CR122" s="609"/>
      <c r="CS122" s="609"/>
      <c r="CT122" s="609"/>
      <c r="CU122" s="609"/>
      <c r="CV122" s="609"/>
      <c r="CW122" s="609"/>
      <c r="CX122" s="609"/>
      <c r="CY122" s="609"/>
      <c r="CZ122" s="609"/>
      <c r="DA122" s="609"/>
      <c r="DB122" s="609"/>
      <c r="DC122" s="609"/>
      <c r="DD122" s="609"/>
      <c r="DE122" s="609"/>
      <c r="DF122" s="609"/>
      <c r="DG122" s="609"/>
      <c r="DH122" s="609"/>
      <c r="DI122" s="609"/>
      <c r="DJ122" s="609"/>
      <c r="DK122" s="609"/>
    </row>
    <row r="123" spans="69:115">
      <c r="BQ123" s="609"/>
      <c r="BR123" s="609"/>
      <c r="BS123" s="609"/>
      <c r="BT123" s="609"/>
      <c r="BU123" s="609"/>
      <c r="BV123" s="609"/>
      <c r="BW123" s="609"/>
      <c r="BX123" s="609"/>
      <c r="BY123" s="609"/>
      <c r="BZ123" s="609"/>
      <c r="CA123" s="609"/>
      <c r="CB123" s="609"/>
      <c r="CC123" s="609"/>
      <c r="CD123" s="609"/>
      <c r="CE123" s="609"/>
      <c r="CF123" s="609"/>
      <c r="CG123" s="609"/>
      <c r="CH123" s="609"/>
      <c r="CI123" s="609"/>
      <c r="CJ123" s="609"/>
      <c r="CK123" s="609"/>
      <c r="CL123" s="609"/>
      <c r="CM123" s="609"/>
      <c r="CN123" s="609"/>
      <c r="CO123" s="609"/>
      <c r="CP123" s="609"/>
      <c r="CQ123" s="609"/>
      <c r="CR123" s="609"/>
      <c r="CS123" s="609"/>
      <c r="CT123" s="609"/>
      <c r="CU123" s="609"/>
      <c r="CV123" s="609"/>
      <c r="CW123" s="609"/>
      <c r="CX123" s="609"/>
      <c r="CY123" s="609"/>
      <c r="CZ123" s="609"/>
      <c r="DA123" s="609"/>
      <c r="DB123" s="609"/>
      <c r="DC123" s="609"/>
      <c r="DD123" s="609"/>
      <c r="DE123" s="609"/>
      <c r="DF123" s="609"/>
      <c r="DG123" s="609"/>
      <c r="DH123" s="609"/>
      <c r="DI123" s="609"/>
      <c r="DJ123" s="609"/>
      <c r="DK123" s="609"/>
    </row>
    <row r="124" spans="69:115">
      <c r="BQ124" s="609"/>
      <c r="BR124" s="609"/>
      <c r="BS124" s="609"/>
      <c r="BT124" s="609"/>
      <c r="BU124" s="609"/>
      <c r="BV124" s="609"/>
      <c r="BW124" s="609"/>
      <c r="BX124" s="609"/>
      <c r="BY124" s="609"/>
      <c r="BZ124" s="609"/>
      <c r="CA124" s="609"/>
      <c r="CB124" s="609"/>
      <c r="CC124" s="609"/>
      <c r="CD124" s="609"/>
      <c r="CE124" s="609"/>
      <c r="CF124" s="609"/>
      <c r="CG124" s="609"/>
      <c r="CH124" s="609"/>
      <c r="CI124" s="609"/>
      <c r="CJ124" s="609"/>
      <c r="CK124" s="609"/>
      <c r="CL124" s="609"/>
      <c r="CM124" s="609"/>
      <c r="CN124" s="609"/>
      <c r="CO124" s="609"/>
      <c r="CP124" s="609"/>
      <c r="CQ124" s="609"/>
      <c r="CR124" s="609"/>
      <c r="CS124" s="609"/>
      <c r="CT124" s="609"/>
      <c r="CU124" s="609"/>
      <c r="CV124" s="609"/>
      <c r="CW124" s="609"/>
      <c r="CX124" s="609"/>
      <c r="CY124" s="609"/>
      <c r="CZ124" s="609"/>
      <c r="DA124" s="609"/>
      <c r="DB124" s="609"/>
      <c r="DC124" s="609"/>
      <c r="DD124" s="609"/>
      <c r="DE124" s="609"/>
      <c r="DF124" s="609"/>
      <c r="DG124" s="609"/>
      <c r="DH124" s="609"/>
      <c r="DI124" s="609"/>
      <c r="DJ124" s="609"/>
      <c r="DK124" s="609"/>
    </row>
    <row r="125" spans="69:115">
      <c r="BQ125" s="609"/>
      <c r="BR125" s="609"/>
      <c r="BS125" s="609"/>
      <c r="BT125" s="609"/>
      <c r="BU125" s="609"/>
      <c r="BV125" s="609"/>
      <c r="BW125" s="609"/>
      <c r="BX125" s="609"/>
      <c r="BY125" s="609"/>
      <c r="BZ125" s="609"/>
      <c r="CA125" s="609"/>
      <c r="CB125" s="609"/>
      <c r="CC125" s="609"/>
      <c r="CD125" s="609"/>
      <c r="CE125" s="609"/>
      <c r="CF125" s="609"/>
      <c r="CG125" s="609"/>
      <c r="CH125" s="609"/>
      <c r="CI125" s="609"/>
      <c r="CJ125" s="609"/>
      <c r="CK125" s="609"/>
      <c r="CL125" s="609"/>
      <c r="CM125" s="609"/>
      <c r="CN125" s="609"/>
      <c r="CO125" s="609"/>
      <c r="CP125" s="609"/>
      <c r="CQ125" s="609"/>
      <c r="CR125" s="609"/>
      <c r="CS125" s="609"/>
      <c r="CT125" s="609"/>
      <c r="CU125" s="609"/>
      <c r="CV125" s="609"/>
      <c r="CW125" s="609"/>
      <c r="CX125" s="609"/>
      <c r="CY125" s="609"/>
      <c r="CZ125" s="609"/>
      <c r="DA125" s="609"/>
      <c r="DB125" s="609"/>
      <c r="DC125" s="609"/>
      <c r="DD125" s="609"/>
      <c r="DE125" s="609"/>
      <c r="DF125" s="609"/>
      <c r="DG125" s="609"/>
      <c r="DH125" s="609"/>
      <c r="DI125" s="609"/>
      <c r="DJ125" s="609"/>
      <c r="DK125" s="609"/>
    </row>
    <row r="126" spans="69:115">
      <c r="BQ126" s="609"/>
      <c r="BR126" s="609"/>
      <c r="BS126" s="609"/>
      <c r="BT126" s="609"/>
      <c r="BU126" s="609"/>
      <c r="BV126" s="609"/>
      <c r="BW126" s="609"/>
      <c r="BX126" s="609"/>
      <c r="BY126" s="609"/>
      <c r="BZ126" s="609"/>
      <c r="CA126" s="609"/>
      <c r="CB126" s="609"/>
      <c r="CC126" s="609"/>
      <c r="CD126" s="609"/>
      <c r="CE126" s="609"/>
      <c r="CF126" s="609"/>
      <c r="CG126" s="609"/>
      <c r="CH126" s="609"/>
      <c r="CI126" s="609"/>
      <c r="CJ126" s="609"/>
      <c r="CK126" s="609"/>
      <c r="CL126" s="609"/>
      <c r="CM126" s="609"/>
      <c r="CN126" s="609"/>
      <c r="CO126" s="609"/>
      <c r="CP126" s="609"/>
      <c r="CQ126" s="609"/>
      <c r="CR126" s="609"/>
      <c r="CS126" s="609"/>
      <c r="CT126" s="609"/>
      <c r="CU126" s="609"/>
      <c r="CV126" s="609"/>
      <c r="CW126" s="609"/>
      <c r="CX126" s="609"/>
      <c r="CY126" s="609"/>
      <c r="CZ126" s="609"/>
      <c r="DA126" s="609"/>
      <c r="DB126" s="609"/>
      <c r="DC126" s="609"/>
      <c r="DD126" s="609"/>
      <c r="DE126" s="609"/>
      <c r="DF126" s="609"/>
      <c r="DG126" s="609"/>
      <c r="DH126" s="609"/>
      <c r="DI126" s="609"/>
      <c r="DJ126" s="609"/>
      <c r="DK126" s="609"/>
    </row>
    <row r="127" spans="69:115">
      <c r="BQ127" s="609"/>
      <c r="BR127" s="609"/>
      <c r="BS127" s="609"/>
      <c r="BT127" s="609"/>
      <c r="BU127" s="609"/>
      <c r="BV127" s="609"/>
      <c r="BW127" s="609"/>
      <c r="BX127" s="609"/>
      <c r="BY127" s="609"/>
      <c r="BZ127" s="609"/>
      <c r="CA127" s="609"/>
      <c r="CB127" s="609"/>
      <c r="CC127" s="609"/>
      <c r="CD127" s="609"/>
      <c r="CE127" s="609"/>
      <c r="CF127" s="609"/>
      <c r="CG127" s="609"/>
      <c r="CH127" s="609"/>
      <c r="CI127" s="609"/>
      <c r="CJ127" s="609"/>
      <c r="CK127" s="609"/>
      <c r="CL127" s="609"/>
      <c r="CM127" s="609"/>
      <c r="CN127" s="609"/>
      <c r="CO127" s="609"/>
      <c r="CP127" s="609"/>
      <c r="CQ127" s="609"/>
      <c r="CR127" s="609"/>
      <c r="CS127" s="609"/>
      <c r="CT127" s="609"/>
      <c r="CU127" s="609"/>
      <c r="CV127" s="609"/>
      <c r="CW127" s="609"/>
      <c r="CX127" s="609"/>
      <c r="CY127" s="609"/>
      <c r="CZ127" s="609"/>
      <c r="DA127" s="609"/>
      <c r="DB127" s="609"/>
      <c r="DC127" s="609"/>
      <c r="DD127" s="609"/>
      <c r="DE127" s="609"/>
      <c r="DF127" s="609"/>
      <c r="DG127" s="609"/>
      <c r="DH127" s="609"/>
      <c r="DI127" s="609"/>
      <c r="DJ127" s="609"/>
      <c r="DK127" s="609"/>
    </row>
    <row r="128" spans="69:115">
      <c r="BQ128" s="609"/>
      <c r="BR128" s="609"/>
      <c r="BS128" s="609"/>
      <c r="BT128" s="609"/>
      <c r="BU128" s="609"/>
      <c r="BV128" s="609"/>
      <c r="BW128" s="609"/>
      <c r="BX128" s="609"/>
      <c r="BY128" s="609"/>
      <c r="BZ128" s="609"/>
      <c r="CA128" s="609"/>
      <c r="CB128" s="609"/>
      <c r="CC128" s="609"/>
      <c r="CD128" s="609"/>
      <c r="CE128" s="609"/>
      <c r="CF128" s="609"/>
      <c r="CG128" s="609"/>
      <c r="CH128" s="609"/>
      <c r="CI128" s="609"/>
      <c r="CJ128" s="609"/>
      <c r="CK128" s="609"/>
      <c r="CL128" s="609"/>
      <c r="CM128" s="609"/>
      <c r="CN128" s="609"/>
      <c r="CO128" s="609"/>
      <c r="CP128" s="609"/>
      <c r="CQ128" s="609"/>
      <c r="CR128" s="609"/>
      <c r="CS128" s="609"/>
      <c r="CT128" s="609"/>
      <c r="CU128" s="609"/>
      <c r="CV128" s="609"/>
      <c r="CW128" s="609"/>
      <c r="CX128" s="609"/>
      <c r="CY128" s="609"/>
      <c r="CZ128" s="609"/>
      <c r="DA128" s="609"/>
      <c r="DB128" s="609"/>
      <c r="DC128" s="609"/>
      <c r="DD128" s="609"/>
      <c r="DE128" s="609"/>
      <c r="DF128" s="609"/>
      <c r="DG128" s="609"/>
      <c r="DH128" s="609"/>
      <c r="DI128" s="609"/>
      <c r="DJ128" s="609"/>
      <c r="DK128" s="609"/>
    </row>
    <row r="129" spans="69:115">
      <c r="BQ129" s="609"/>
      <c r="BR129" s="609"/>
      <c r="BS129" s="609"/>
      <c r="BT129" s="609"/>
      <c r="BU129" s="609"/>
      <c r="BV129" s="609"/>
      <c r="BW129" s="609"/>
      <c r="BX129" s="609"/>
      <c r="BY129" s="609"/>
      <c r="BZ129" s="609"/>
      <c r="CA129" s="609"/>
      <c r="CB129" s="609"/>
      <c r="CC129" s="609"/>
      <c r="CD129" s="609"/>
      <c r="CE129" s="609"/>
      <c r="CF129" s="609"/>
      <c r="CG129" s="609"/>
      <c r="CH129" s="609"/>
      <c r="CI129" s="609"/>
      <c r="CJ129" s="609"/>
      <c r="CK129" s="609"/>
      <c r="CL129" s="609"/>
      <c r="CM129" s="609"/>
      <c r="CN129" s="609"/>
      <c r="CO129" s="609"/>
      <c r="CP129" s="609"/>
      <c r="CQ129" s="609"/>
      <c r="CR129" s="609"/>
      <c r="CS129" s="609"/>
      <c r="CT129" s="609"/>
      <c r="CU129" s="609"/>
      <c r="CV129" s="609"/>
      <c r="CW129" s="609"/>
      <c r="CX129" s="609"/>
      <c r="CY129" s="609"/>
      <c r="CZ129" s="609"/>
      <c r="DA129" s="609"/>
      <c r="DB129" s="609"/>
      <c r="DC129" s="609"/>
      <c r="DD129" s="609"/>
      <c r="DE129" s="609"/>
      <c r="DF129" s="609"/>
      <c r="DG129" s="609"/>
      <c r="DH129" s="609"/>
      <c r="DI129" s="609"/>
      <c r="DJ129" s="609"/>
      <c r="DK129" s="609"/>
    </row>
    <row r="130" spans="69:115">
      <c r="BQ130" s="609"/>
      <c r="BR130" s="609"/>
      <c r="BS130" s="609"/>
      <c r="BT130" s="609"/>
      <c r="BU130" s="609"/>
      <c r="BV130" s="609"/>
      <c r="BW130" s="609"/>
      <c r="BX130" s="609"/>
      <c r="BY130" s="609"/>
      <c r="BZ130" s="609"/>
      <c r="CA130" s="609"/>
      <c r="CB130" s="609"/>
      <c r="CC130" s="609"/>
      <c r="CD130" s="609"/>
      <c r="CE130" s="609"/>
      <c r="CF130" s="609"/>
      <c r="CG130" s="609"/>
      <c r="CH130" s="609"/>
      <c r="CI130" s="609"/>
      <c r="CJ130" s="609"/>
      <c r="CK130" s="609"/>
      <c r="CL130" s="609"/>
      <c r="CM130" s="609"/>
      <c r="CN130" s="609"/>
      <c r="CO130" s="609"/>
      <c r="CP130" s="609"/>
      <c r="CQ130" s="609"/>
      <c r="CR130" s="609"/>
      <c r="CS130" s="609"/>
      <c r="CT130" s="609"/>
      <c r="CU130" s="609"/>
      <c r="CV130" s="609"/>
      <c r="CW130" s="609"/>
      <c r="CX130" s="609"/>
      <c r="CY130" s="609"/>
      <c r="CZ130" s="609"/>
      <c r="DA130" s="609"/>
      <c r="DB130" s="609"/>
      <c r="DC130" s="609"/>
      <c r="DD130" s="609"/>
      <c r="DE130" s="609"/>
      <c r="DF130" s="609"/>
      <c r="DG130" s="609"/>
      <c r="DH130" s="609"/>
      <c r="DI130" s="609"/>
      <c r="DJ130" s="609"/>
      <c r="DK130" s="609"/>
    </row>
    <row r="131" spans="69:115">
      <c r="BQ131" s="609"/>
      <c r="BR131" s="609"/>
      <c r="BS131" s="609"/>
      <c r="BT131" s="609"/>
      <c r="BU131" s="609"/>
      <c r="BV131" s="609"/>
      <c r="BW131" s="609"/>
      <c r="BX131" s="609"/>
      <c r="BY131" s="609"/>
      <c r="BZ131" s="609"/>
      <c r="CA131" s="609"/>
      <c r="CB131" s="609"/>
      <c r="CC131" s="609"/>
      <c r="CD131" s="609"/>
      <c r="CE131" s="609"/>
      <c r="CF131" s="609"/>
      <c r="CG131" s="609"/>
      <c r="CH131" s="609"/>
      <c r="CI131" s="609"/>
      <c r="CJ131" s="609"/>
      <c r="CK131" s="609"/>
      <c r="CL131" s="609"/>
      <c r="CM131" s="609"/>
      <c r="CN131" s="609"/>
      <c r="CO131" s="609"/>
      <c r="CP131" s="609"/>
      <c r="CQ131" s="609"/>
      <c r="CR131" s="609"/>
      <c r="CS131" s="609"/>
      <c r="CT131" s="609"/>
      <c r="CU131" s="609"/>
      <c r="CV131" s="609"/>
      <c r="CW131" s="609"/>
      <c r="CX131" s="609"/>
      <c r="CY131" s="609"/>
      <c r="CZ131" s="609"/>
      <c r="DA131" s="609"/>
      <c r="DB131" s="609"/>
      <c r="DC131" s="609"/>
      <c r="DD131" s="609"/>
      <c r="DE131" s="609"/>
      <c r="DF131" s="609"/>
      <c r="DG131" s="609"/>
      <c r="DH131" s="609"/>
      <c r="DI131" s="609"/>
      <c r="DJ131" s="609"/>
      <c r="DK131" s="609"/>
    </row>
    <row r="132" spans="69:115">
      <c r="BQ132" s="609"/>
      <c r="BR132" s="609"/>
      <c r="BS132" s="609"/>
      <c r="BT132" s="609"/>
      <c r="BU132" s="609"/>
      <c r="BV132" s="609"/>
      <c r="BW132" s="609"/>
      <c r="BX132" s="609"/>
      <c r="BY132" s="609"/>
      <c r="BZ132" s="609"/>
      <c r="CA132" s="609"/>
      <c r="CB132" s="609"/>
      <c r="CC132" s="609"/>
      <c r="CD132" s="609"/>
      <c r="CE132" s="609"/>
      <c r="CF132" s="609"/>
      <c r="CG132" s="609"/>
      <c r="CH132" s="609"/>
      <c r="CI132" s="609"/>
      <c r="CJ132" s="609"/>
      <c r="CK132" s="609"/>
      <c r="CL132" s="609"/>
      <c r="CM132" s="609"/>
      <c r="CN132" s="609"/>
      <c r="CO132" s="609"/>
      <c r="CP132" s="609"/>
      <c r="CQ132" s="609"/>
      <c r="CR132" s="609"/>
      <c r="CS132" s="609"/>
      <c r="CT132" s="609"/>
      <c r="CU132" s="609"/>
      <c r="CV132" s="609"/>
      <c r="CW132" s="609"/>
      <c r="CX132" s="609"/>
      <c r="CY132" s="609"/>
      <c r="CZ132" s="609"/>
      <c r="DA132" s="609"/>
      <c r="DB132" s="609"/>
      <c r="DC132" s="609"/>
      <c r="DD132" s="609"/>
      <c r="DE132" s="609"/>
      <c r="DF132" s="609"/>
      <c r="DG132" s="609"/>
      <c r="DH132" s="609"/>
      <c r="DI132" s="609"/>
      <c r="DJ132" s="609"/>
      <c r="DK132" s="609"/>
    </row>
    <row r="133" spans="69:115">
      <c r="BQ133" s="609"/>
      <c r="BR133" s="609"/>
      <c r="BS133" s="609"/>
      <c r="BT133" s="609"/>
      <c r="BU133" s="609"/>
      <c r="BV133" s="609"/>
      <c r="BW133" s="609"/>
      <c r="BX133" s="609"/>
      <c r="BY133" s="609"/>
      <c r="BZ133" s="609"/>
      <c r="CA133" s="609"/>
      <c r="CB133" s="609"/>
      <c r="CC133" s="609"/>
      <c r="CD133" s="609"/>
      <c r="CE133" s="609"/>
      <c r="CF133" s="609"/>
      <c r="CG133" s="609"/>
      <c r="CH133" s="609"/>
      <c r="CI133" s="609"/>
      <c r="CJ133" s="609"/>
      <c r="CK133" s="609"/>
      <c r="CL133" s="609"/>
      <c r="CM133" s="609"/>
      <c r="CN133" s="609"/>
      <c r="CO133" s="609"/>
      <c r="CP133" s="609"/>
      <c r="CQ133" s="609"/>
      <c r="CR133" s="609"/>
      <c r="CS133" s="609"/>
      <c r="CT133" s="609"/>
      <c r="CU133" s="609"/>
      <c r="CV133" s="609"/>
      <c r="CW133" s="609"/>
      <c r="CX133" s="609"/>
      <c r="CY133" s="609"/>
      <c r="CZ133" s="609"/>
      <c r="DA133" s="609"/>
      <c r="DB133" s="609"/>
      <c r="DC133" s="609"/>
      <c r="DD133" s="609"/>
      <c r="DE133" s="609"/>
      <c r="DF133" s="609"/>
      <c r="DG133" s="609"/>
      <c r="DH133" s="609"/>
      <c r="DI133" s="609"/>
      <c r="DJ133" s="609"/>
      <c r="DK133" s="609"/>
    </row>
    <row r="134" spans="69:115">
      <c r="BQ134" s="609"/>
      <c r="BR134" s="609"/>
      <c r="BS134" s="609"/>
      <c r="BT134" s="609"/>
      <c r="BU134" s="609"/>
      <c r="BV134" s="609"/>
      <c r="BW134" s="609"/>
      <c r="BX134" s="609"/>
      <c r="BY134" s="609"/>
      <c r="BZ134" s="609"/>
      <c r="CA134" s="609"/>
      <c r="CB134" s="609"/>
      <c r="CC134" s="609"/>
      <c r="CD134" s="609"/>
      <c r="CE134" s="609"/>
      <c r="CF134" s="609"/>
      <c r="CG134" s="609"/>
      <c r="CH134" s="609"/>
      <c r="CI134" s="609"/>
      <c r="CJ134" s="609"/>
      <c r="CK134" s="609"/>
      <c r="CL134" s="609"/>
      <c r="CM134" s="609"/>
      <c r="CN134" s="609"/>
      <c r="CO134" s="609"/>
      <c r="CP134" s="609"/>
      <c r="CQ134" s="609"/>
      <c r="CR134" s="609"/>
      <c r="CS134" s="609"/>
      <c r="CT134" s="609"/>
      <c r="CU134" s="609"/>
      <c r="CV134" s="609"/>
      <c r="CW134" s="609"/>
      <c r="CX134" s="609"/>
      <c r="CY134" s="609"/>
      <c r="CZ134" s="609"/>
      <c r="DA134" s="609"/>
      <c r="DB134" s="609"/>
      <c r="DC134" s="609"/>
      <c r="DD134" s="609"/>
      <c r="DE134" s="609"/>
      <c r="DF134" s="609"/>
      <c r="DG134" s="609"/>
      <c r="DH134" s="609"/>
      <c r="DI134" s="609"/>
      <c r="DJ134" s="609"/>
      <c r="DK134" s="609"/>
    </row>
    <row r="135" spans="69:115">
      <c r="BQ135" s="609"/>
      <c r="BR135" s="609"/>
      <c r="BS135" s="609"/>
      <c r="BT135" s="609"/>
      <c r="BU135" s="609"/>
      <c r="BV135" s="609"/>
      <c r="BW135" s="609"/>
      <c r="BX135" s="609"/>
      <c r="BY135" s="609"/>
      <c r="BZ135" s="609"/>
      <c r="CA135" s="609"/>
      <c r="CB135" s="609"/>
      <c r="CC135" s="609"/>
      <c r="CD135" s="609"/>
      <c r="CE135" s="609"/>
      <c r="CF135" s="609"/>
      <c r="CG135" s="609"/>
      <c r="CH135" s="609"/>
      <c r="CI135" s="609"/>
      <c r="CJ135" s="609"/>
      <c r="CK135" s="609"/>
      <c r="CL135" s="609"/>
      <c r="CM135" s="609"/>
      <c r="CN135" s="609"/>
      <c r="CO135" s="609"/>
      <c r="CP135" s="609"/>
      <c r="CQ135" s="609"/>
      <c r="CR135" s="609"/>
      <c r="CS135" s="609"/>
      <c r="CT135" s="609"/>
      <c r="CU135" s="609"/>
      <c r="CV135" s="609"/>
      <c r="CW135" s="609"/>
      <c r="CX135" s="609"/>
      <c r="CY135" s="609"/>
      <c r="CZ135" s="609"/>
      <c r="DA135" s="609"/>
      <c r="DB135" s="609"/>
      <c r="DC135" s="609"/>
      <c r="DD135" s="609"/>
      <c r="DE135" s="609"/>
      <c r="DF135" s="609"/>
      <c r="DG135" s="609"/>
      <c r="DH135" s="609"/>
      <c r="DI135" s="609"/>
      <c r="DJ135" s="609"/>
      <c r="DK135" s="609"/>
    </row>
    <row r="136" spans="69:115">
      <c r="BQ136" s="609"/>
      <c r="BR136" s="609"/>
      <c r="BS136" s="609"/>
      <c r="BT136" s="609"/>
      <c r="BU136" s="609"/>
      <c r="BV136" s="609"/>
      <c r="BW136" s="609"/>
      <c r="BX136" s="609"/>
      <c r="BY136" s="609"/>
      <c r="BZ136" s="609"/>
      <c r="CA136" s="609"/>
      <c r="CB136" s="609"/>
      <c r="CC136" s="609"/>
      <c r="CD136" s="609"/>
      <c r="CE136" s="609"/>
      <c r="CF136" s="609"/>
      <c r="CG136" s="609"/>
      <c r="CH136" s="609"/>
      <c r="CI136" s="609"/>
      <c r="CJ136" s="609"/>
      <c r="CK136" s="609"/>
      <c r="CL136" s="609"/>
      <c r="CM136" s="609"/>
      <c r="CN136" s="609"/>
      <c r="CO136" s="609"/>
      <c r="CP136" s="609"/>
      <c r="CQ136" s="609"/>
      <c r="CR136" s="609"/>
      <c r="CS136" s="609"/>
      <c r="CT136" s="609"/>
      <c r="CU136" s="609"/>
      <c r="CV136" s="609"/>
      <c r="CW136" s="609"/>
      <c r="CX136" s="609"/>
      <c r="CY136" s="609"/>
      <c r="CZ136" s="609"/>
      <c r="DA136" s="609"/>
      <c r="DB136" s="609"/>
      <c r="DC136" s="609"/>
      <c r="DD136" s="609"/>
      <c r="DE136" s="609"/>
      <c r="DF136" s="609"/>
      <c r="DG136" s="609"/>
      <c r="DH136" s="609"/>
      <c r="DI136" s="609"/>
      <c r="DJ136" s="609"/>
      <c r="DK136" s="609"/>
    </row>
    <row r="137" spans="69:115">
      <c r="BQ137" s="609"/>
      <c r="BR137" s="609"/>
      <c r="BS137" s="609"/>
      <c r="BT137" s="609"/>
      <c r="BU137" s="609"/>
      <c r="BV137" s="609"/>
      <c r="BW137" s="609"/>
      <c r="BX137" s="609"/>
      <c r="BY137" s="609"/>
      <c r="BZ137" s="609"/>
      <c r="CA137" s="609"/>
      <c r="CB137" s="609"/>
      <c r="CC137" s="609"/>
      <c r="CD137" s="609"/>
      <c r="CE137" s="609"/>
      <c r="CF137" s="609"/>
      <c r="CG137" s="609"/>
      <c r="CH137" s="609"/>
      <c r="CI137" s="609"/>
      <c r="CJ137" s="609"/>
      <c r="CK137" s="609"/>
      <c r="CL137" s="609"/>
      <c r="CM137" s="609"/>
      <c r="CN137" s="609"/>
      <c r="CO137" s="609"/>
      <c r="CP137" s="609"/>
      <c r="CQ137" s="609"/>
      <c r="CR137" s="609"/>
      <c r="CS137" s="609"/>
      <c r="CT137" s="609"/>
      <c r="CU137" s="609"/>
      <c r="CV137" s="609"/>
      <c r="CW137" s="609"/>
      <c r="CX137" s="609"/>
      <c r="CY137" s="609"/>
      <c r="CZ137" s="609"/>
      <c r="DA137" s="609"/>
      <c r="DB137" s="609"/>
      <c r="DC137" s="609"/>
      <c r="DD137" s="609"/>
      <c r="DE137" s="609"/>
      <c r="DF137" s="609"/>
      <c r="DG137" s="609"/>
      <c r="DH137" s="609"/>
      <c r="DI137" s="609"/>
      <c r="DJ137" s="609"/>
      <c r="DK137" s="609"/>
    </row>
    <row r="138" spans="69:115">
      <c r="BQ138" s="609"/>
      <c r="BR138" s="609"/>
      <c r="BS138" s="609"/>
      <c r="BT138" s="609"/>
      <c r="BU138" s="609"/>
      <c r="BV138" s="609"/>
      <c r="BW138" s="609"/>
      <c r="BX138" s="609"/>
      <c r="BY138" s="609"/>
      <c r="BZ138" s="609"/>
      <c r="CA138" s="609"/>
      <c r="CB138" s="609"/>
      <c r="CC138" s="609"/>
      <c r="CD138" s="609"/>
      <c r="CE138" s="609"/>
      <c r="CF138" s="609"/>
      <c r="CG138" s="609"/>
      <c r="CH138" s="609"/>
      <c r="CI138" s="609"/>
      <c r="CJ138" s="609"/>
      <c r="CK138" s="609"/>
      <c r="CL138" s="609"/>
      <c r="CM138" s="609"/>
      <c r="CN138" s="609"/>
      <c r="CO138" s="609"/>
      <c r="CP138" s="609"/>
      <c r="CQ138" s="609"/>
      <c r="CR138" s="609"/>
      <c r="CS138" s="609"/>
      <c r="CT138" s="609"/>
      <c r="CU138" s="609"/>
      <c r="CV138" s="609"/>
      <c r="CW138" s="609"/>
      <c r="CX138" s="609"/>
      <c r="CY138" s="609"/>
      <c r="CZ138" s="609"/>
      <c r="DA138" s="609"/>
      <c r="DB138" s="609"/>
      <c r="DC138" s="609"/>
      <c r="DD138" s="609"/>
      <c r="DE138" s="609"/>
      <c r="DF138" s="609"/>
      <c r="DG138" s="609"/>
      <c r="DH138" s="609"/>
      <c r="DI138" s="609"/>
      <c r="DJ138" s="609"/>
      <c r="DK138" s="609"/>
    </row>
    <row r="139" spans="69:115">
      <c r="BQ139" s="609"/>
      <c r="BR139" s="609"/>
      <c r="BS139" s="609"/>
      <c r="BT139" s="609"/>
      <c r="BU139" s="609"/>
      <c r="BV139" s="609"/>
      <c r="BW139" s="609"/>
      <c r="BX139" s="609"/>
      <c r="BY139" s="609"/>
      <c r="BZ139" s="609"/>
      <c r="CA139" s="609"/>
      <c r="CB139" s="609"/>
      <c r="CC139" s="609"/>
      <c r="CD139" s="609"/>
      <c r="CE139" s="609"/>
      <c r="CF139" s="609"/>
      <c r="CG139" s="609"/>
      <c r="CH139" s="609"/>
      <c r="CI139" s="609"/>
      <c r="CJ139" s="609"/>
      <c r="CK139" s="609"/>
      <c r="CL139" s="609"/>
      <c r="CM139" s="609"/>
      <c r="CN139" s="609"/>
      <c r="CO139" s="609"/>
      <c r="CP139" s="609"/>
      <c r="CQ139" s="609"/>
      <c r="CR139" s="609"/>
      <c r="CS139" s="609"/>
      <c r="CT139" s="609"/>
      <c r="CU139" s="609"/>
      <c r="CV139" s="609"/>
      <c r="CW139" s="609"/>
      <c r="CX139" s="609"/>
      <c r="CY139" s="609"/>
      <c r="CZ139" s="609"/>
      <c r="DA139" s="609"/>
      <c r="DB139" s="609"/>
      <c r="DC139" s="609"/>
      <c r="DD139" s="609"/>
      <c r="DE139" s="609"/>
      <c r="DF139" s="609"/>
      <c r="DG139" s="609"/>
      <c r="DH139" s="609"/>
      <c r="DI139" s="609"/>
      <c r="DJ139" s="609"/>
      <c r="DK139" s="609"/>
    </row>
    <row r="140" spans="69:115">
      <c r="BQ140" s="609"/>
      <c r="BR140" s="609"/>
      <c r="BS140" s="609"/>
      <c r="BT140" s="609"/>
      <c r="BU140" s="609"/>
      <c r="BV140" s="609"/>
      <c r="BW140" s="609"/>
      <c r="BX140" s="609"/>
      <c r="BY140" s="609"/>
      <c r="BZ140" s="609"/>
      <c r="CA140" s="609"/>
      <c r="CB140" s="609"/>
      <c r="CC140" s="609"/>
      <c r="CD140" s="609"/>
      <c r="CE140" s="609"/>
      <c r="CF140" s="609"/>
      <c r="CG140" s="609"/>
      <c r="CH140" s="609"/>
      <c r="CI140" s="609"/>
      <c r="CJ140" s="609"/>
      <c r="CK140" s="609"/>
      <c r="CL140" s="609"/>
      <c r="CM140" s="609"/>
      <c r="CN140" s="609"/>
      <c r="CO140" s="609"/>
      <c r="CP140" s="609"/>
      <c r="CQ140" s="609"/>
      <c r="CR140" s="609"/>
      <c r="CS140" s="609"/>
      <c r="CT140" s="609"/>
      <c r="CU140" s="609"/>
      <c r="CV140" s="609"/>
      <c r="CW140" s="609"/>
      <c r="CX140" s="609"/>
      <c r="CY140" s="609"/>
      <c r="CZ140" s="609"/>
      <c r="DA140" s="609"/>
      <c r="DB140" s="609"/>
      <c r="DC140" s="609"/>
      <c r="DD140" s="609"/>
      <c r="DE140" s="609"/>
      <c r="DF140" s="609"/>
      <c r="DG140" s="609"/>
      <c r="DH140" s="609"/>
      <c r="DI140" s="609"/>
      <c r="DJ140" s="609"/>
      <c r="DK140" s="609"/>
    </row>
    <row r="141" spans="69:115">
      <c r="BQ141" s="609"/>
      <c r="BR141" s="609"/>
      <c r="BS141" s="609"/>
      <c r="BT141" s="609"/>
      <c r="BU141" s="609"/>
      <c r="BV141" s="609"/>
      <c r="BW141" s="609"/>
      <c r="BX141" s="609"/>
      <c r="BY141" s="609"/>
      <c r="BZ141" s="609"/>
      <c r="CA141" s="609"/>
      <c r="CB141" s="609"/>
      <c r="CC141" s="609"/>
      <c r="CD141" s="609"/>
      <c r="CE141" s="609"/>
      <c r="CF141" s="609"/>
      <c r="CG141" s="609"/>
      <c r="CH141" s="609"/>
      <c r="CI141" s="609"/>
      <c r="CJ141" s="609"/>
      <c r="CK141" s="609"/>
      <c r="CL141" s="609"/>
      <c r="CM141" s="609"/>
      <c r="CN141" s="609"/>
      <c r="CO141" s="609"/>
      <c r="CP141" s="609"/>
      <c r="CQ141" s="609"/>
      <c r="CR141" s="609"/>
      <c r="CS141" s="609"/>
      <c r="CT141" s="609"/>
      <c r="CU141" s="609"/>
      <c r="CV141" s="609"/>
      <c r="CW141" s="609"/>
      <c r="CX141" s="609"/>
      <c r="CY141" s="609"/>
      <c r="CZ141" s="609"/>
      <c r="DA141" s="609"/>
      <c r="DB141" s="609"/>
      <c r="DC141" s="609"/>
      <c r="DD141" s="609"/>
      <c r="DE141" s="609"/>
      <c r="DF141" s="609"/>
      <c r="DG141" s="609"/>
      <c r="DH141" s="609"/>
      <c r="DI141" s="609"/>
      <c r="DJ141" s="609"/>
      <c r="DK141" s="609"/>
    </row>
    <row r="142" spans="69:115">
      <c r="BQ142" s="609"/>
      <c r="BR142" s="609"/>
      <c r="BS142" s="609"/>
      <c r="BT142" s="609"/>
      <c r="BU142" s="609"/>
      <c r="BV142" s="609"/>
      <c r="BW142" s="609"/>
      <c r="BX142" s="609"/>
      <c r="BY142" s="609"/>
      <c r="BZ142" s="609"/>
      <c r="CA142" s="609"/>
      <c r="CB142" s="609"/>
      <c r="CC142" s="609"/>
      <c r="CD142" s="609"/>
      <c r="CE142" s="609"/>
      <c r="CF142" s="609"/>
      <c r="CG142" s="609"/>
      <c r="CH142" s="609"/>
      <c r="CI142" s="609"/>
      <c r="CJ142" s="609"/>
      <c r="CK142" s="609"/>
      <c r="CL142" s="609"/>
      <c r="CM142" s="609"/>
      <c r="CN142" s="609"/>
      <c r="CO142" s="609"/>
      <c r="CP142" s="609"/>
      <c r="CQ142" s="609"/>
      <c r="CR142" s="609"/>
      <c r="CS142" s="609"/>
      <c r="CT142" s="609"/>
      <c r="CU142" s="609"/>
      <c r="CV142" s="609"/>
      <c r="CW142" s="609"/>
      <c r="CX142" s="609"/>
      <c r="CY142" s="609"/>
      <c r="CZ142" s="609"/>
      <c r="DA142" s="609"/>
      <c r="DB142" s="609"/>
      <c r="DC142" s="609"/>
      <c r="DD142" s="609"/>
      <c r="DE142" s="609"/>
      <c r="DF142" s="609"/>
      <c r="DG142" s="609"/>
      <c r="DH142" s="609"/>
      <c r="DI142" s="609"/>
      <c r="DJ142" s="609"/>
      <c r="DK142" s="609"/>
    </row>
    <row r="143" spans="69:115">
      <c r="BQ143" s="609"/>
      <c r="BR143" s="609"/>
      <c r="BS143" s="609"/>
      <c r="BT143" s="609"/>
      <c r="BU143" s="609"/>
      <c r="BV143" s="609"/>
      <c r="BW143" s="609"/>
      <c r="BX143" s="609"/>
      <c r="BY143" s="609"/>
      <c r="BZ143" s="609"/>
      <c r="CA143" s="609"/>
      <c r="CB143" s="609"/>
      <c r="CC143" s="609"/>
      <c r="CD143" s="609"/>
      <c r="CE143" s="609"/>
      <c r="CF143" s="609"/>
      <c r="CG143" s="609"/>
      <c r="CH143" s="609"/>
      <c r="CI143" s="609"/>
      <c r="CJ143" s="609"/>
      <c r="CK143" s="609"/>
      <c r="CL143" s="609"/>
      <c r="CM143" s="609"/>
      <c r="CN143" s="609"/>
      <c r="CO143" s="609"/>
      <c r="CP143" s="609"/>
      <c r="CQ143" s="609"/>
      <c r="CR143" s="609"/>
      <c r="CS143" s="609"/>
      <c r="CT143" s="609"/>
      <c r="CU143" s="609"/>
      <c r="CV143" s="609"/>
      <c r="CW143" s="609"/>
      <c r="CX143" s="609"/>
      <c r="CY143" s="609"/>
      <c r="CZ143" s="609"/>
      <c r="DA143" s="609"/>
      <c r="DB143" s="609"/>
      <c r="DC143" s="609"/>
      <c r="DD143" s="609"/>
      <c r="DE143" s="609"/>
      <c r="DF143" s="609"/>
      <c r="DG143" s="609"/>
      <c r="DH143" s="609"/>
      <c r="DI143" s="609"/>
      <c r="DJ143" s="609"/>
      <c r="DK143" s="609"/>
    </row>
    <row r="144" spans="69:115">
      <c r="BQ144" s="609"/>
      <c r="BR144" s="609"/>
      <c r="BS144" s="609"/>
      <c r="BT144" s="609"/>
      <c r="BU144" s="609"/>
      <c r="BV144" s="609"/>
      <c r="BW144" s="609"/>
      <c r="BX144" s="609"/>
      <c r="BY144" s="609"/>
      <c r="BZ144" s="609"/>
      <c r="CA144" s="609"/>
      <c r="CB144" s="609"/>
      <c r="CC144" s="609"/>
      <c r="CD144" s="609"/>
      <c r="CE144" s="609"/>
      <c r="CF144" s="609"/>
      <c r="CG144" s="609"/>
      <c r="CH144" s="609"/>
      <c r="CI144" s="609"/>
      <c r="CJ144" s="609"/>
      <c r="CK144" s="609"/>
      <c r="CL144" s="609"/>
      <c r="CM144" s="609"/>
      <c r="CN144" s="609"/>
      <c r="CO144" s="609"/>
      <c r="CP144" s="609"/>
      <c r="CQ144" s="609"/>
      <c r="CR144" s="609"/>
      <c r="CS144" s="609"/>
      <c r="CT144" s="609"/>
      <c r="CU144" s="609"/>
      <c r="CV144" s="609"/>
      <c r="CW144" s="609"/>
      <c r="CX144" s="609"/>
      <c r="CY144" s="609"/>
      <c r="CZ144" s="609"/>
      <c r="DA144" s="609"/>
      <c r="DB144" s="609"/>
      <c r="DC144" s="609"/>
      <c r="DD144" s="609"/>
      <c r="DE144" s="609"/>
      <c r="DF144" s="609"/>
      <c r="DG144" s="609"/>
      <c r="DH144" s="609"/>
      <c r="DI144" s="609"/>
      <c r="DJ144" s="609"/>
      <c r="DK144" s="609"/>
    </row>
    <row r="145" spans="69:115">
      <c r="BQ145" s="609"/>
      <c r="BR145" s="609"/>
      <c r="BS145" s="609"/>
      <c r="BT145" s="609"/>
      <c r="BU145" s="609"/>
      <c r="BV145" s="609"/>
      <c r="BW145" s="609"/>
      <c r="BX145" s="609"/>
      <c r="BY145" s="609"/>
      <c r="BZ145" s="609"/>
      <c r="CA145" s="609"/>
      <c r="CB145" s="609"/>
      <c r="CC145" s="609"/>
      <c r="CD145" s="609"/>
      <c r="CE145" s="609"/>
      <c r="CF145" s="609"/>
      <c r="CG145" s="609"/>
      <c r="CH145" s="609"/>
      <c r="CI145" s="609"/>
      <c r="CJ145" s="609"/>
      <c r="CK145" s="609"/>
      <c r="CL145" s="609"/>
      <c r="CM145" s="609"/>
      <c r="CN145" s="609"/>
      <c r="CO145" s="609"/>
      <c r="CP145" s="609"/>
      <c r="CQ145" s="609"/>
      <c r="CR145" s="609"/>
      <c r="CS145" s="609"/>
      <c r="CT145" s="609"/>
      <c r="CU145" s="609"/>
      <c r="CV145" s="609"/>
      <c r="CW145" s="609"/>
      <c r="CX145" s="609"/>
      <c r="CY145" s="609"/>
      <c r="CZ145" s="609"/>
      <c r="DA145" s="609"/>
      <c r="DB145" s="609"/>
      <c r="DC145" s="609"/>
      <c r="DD145" s="609"/>
      <c r="DE145" s="609"/>
      <c r="DF145" s="609"/>
      <c r="DG145" s="609"/>
      <c r="DH145" s="609"/>
      <c r="DI145" s="609"/>
      <c r="DJ145" s="609"/>
      <c r="DK145" s="609"/>
    </row>
    <row r="146" spans="69:115">
      <c r="BQ146" s="609"/>
      <c r="BR146" s="609"/>
      <c r="BS146" s="609"/>
      <c r="BT146" s="609"/>
      <c r="BU146" s="609"/>
      <c r="BV146" s="609"/>
      <c r="BW146" s="609"/>
      <c r="BX146" s="609"/>
      <c r="BY146" s="609"/>
      <c r="BZ146" s="609"/>
      <c r="CA146" s="609"/>
      <c r="CB146" s="609"/>
      <c r="CC146" s="609"/>
      <c r="CD146" s="609"/>
      <c r="CE146" s="609"/>
      <c r="CF146" s="609"/>
      <c r="CG146" s="609"/>
      <c r="CH146" s="609"/>
      <c r="CI146" s="609"/>
      <c r="CJ146" s="609"/>
      <c r="CK146" s="609"/>
      <c r="CL146" s="609"/>
      <c r="CM146" s="609"/>
      <c r="CN146" s="609"/>
      <c r="CO146" s="609"/>
      <c r="CP146" s="609"/>
      <c r="CQ146" s="609"/>
      <c r="CR146" s="609"/>
      <c r="CS146" s="609"/>
      <c r="CT146" s="609"/>
      <c r="CU146" s="609"/>
      <c r="CV146" s="609"/>
      <c r="CW146" s="609"/>
      <c r="CX146" s="609"/>
      <c r="CY146" s="609"/>
      <c r="CZ146" s="609"/>
      <c r="DA146" s="609"/>
      <c r="DB146" s="609"/>
      <c r="DC146" s="609"/>
      <c r="DD146" s="609"/>
      <c r="DE146" s="609"/>
      <c r="DF146" s="609"/>
      <c r="DG146" s="609"/>
      <c r="DH146" s="609"/>
      <c r="DI146" s="609"/>
      <c r="DJ146" s="609"/>
      <c r="DK146" s="609"/>
    </row>
    <row r="147" spans="69:115">
      <c r="BQ147" s="609"/>
      <c r="BR147" s="609"/>
      <c r="BS147" s="609"/>
      <c r="BT147" s="609"/>
      <c r="BU147" s="609"/>
      <c r="BV147" s="609"/>
      <c r="BW147" s="609"/>
      <c r="BX147" s="609"/>
      <c r="BY147" s="609"/>
      <c r="BZ147" s="609"/>
      <c r="CA147" s="609"/>
      <c r="CB147" s="609"/>
      <c r="CC147" s="609"/>
      <c r="CD147" s="609"/>
      <c r="CE147" s="609"/>
      <c r="CF147" s="609"/>
      <c r="CG147" s="609"/>
      <c r="CH147" s="609"/>
      <c r="CI147" s="609"/>
      <c r="CJ147" s="609"/>
      <c r="CK147" s="609"/>
      <c r="CL147" s="609"/>
      <c r="CM147" s="609"/>
      <c r="CN147" s="609"/>
      <c r="CO147" s="609"/>
      <c r="CP147" s="609"/>
      <c r="CQ147" s="609"/>
      <c r="CR147" s="609"/>
      <c r="CS147" s="609"/>
      <c r="CT147" s="609"/>
      <c r="CU147" s="609"/>
      <c r="CV147" s="609"/>
      <c r="CW147" s="609"/>
      <c r="CX147" s="609"/>
      <c r="CY147" s="609"/>
      <c r="CZ147" s="609"/>
      <c r="DA147" s="609"/>
      <c r="DB147" s="609"/>
      <c r="DC147" s="609"/>
      <c r="DD147" s="609"/>
      <c r="DE147" s="609"/>
      <c r="DF147" s="609"/>
      <c r="DG147" s="609"/>
      <c r="DH147" s="609"/>
      <c r="DI147" s="609"/>
      <c r="DJ147" s="609"/>
      <c r="DK147" s="609"/>
    </row>
    <row r="148" spans="69:115">
      <c r="BQ148" s="609"/>
      <c r="BR148" s="609"/>
      <c r="BS148" s="609"/>
      <c r="BT148" s="609"/>
      <c r="BU148" s="609"/>
      <c r="BV148" s="609"/>
      <c r="BW148" s="609"/>
      <c r="BX148" s="609"/>
      <c r="BY148" s="609"/>
      <c r="BZ148" s="609"/>
      <c r="CA148" s="609"/>
      <c r="CB148" s="609"/>
      <c r="CC148" s="609"/>
      <c r="CD148" s="609"/>
      <c r="CE148" s="609"/>
      <c r="CF148" s="609"/>
      <c r="CG148" s="609"/>
      <c r="CH148" s="609"/>
      <c r="CI148" s="609"/>
      <c r="CJ148" s="609"/>
      <c r="CK148" s="609"/>
      <c r="CL148" s="609"/>
      <c r="CM148" s="609"/>
      <c r="CN148" s="609"/>
      <c r="CO148" s="609"/>
      <c r="CP148" s="609"/>
      <c r="CQ148" s="609"/>
      <c r="CR148" s="609"/>
      <c r="CS148" s="609"/>
      <c r="CT148" s="609"/>
      <c r="CU148" s="609"/>
      <c r="CV148" s="609"/>
      <c r="CW148" s="609"/>
      <c r="CX148" s="609"/>
      <c r="CY148" s="609"/>
      <c r="CZ148" s="609"/>
      <c r="DA148" s="609"/>
      <c r="DB148" s="609"/>
      <c r="DC148" s="609"/>
      <c r="DD148" s="609"/>
      <c r="DE148" s="609"/>
      <c r="DF148" s="609"/>
      <c r="DG148" s="609"/>
      <c r="DH148" s="609"/>
      <c r="DI148" s="609"/>
      <c r="DJ148" s="609"/>
      <c r="DK148" s="609"/>
    </row>
    <row r="149" spans="69:115">
      <c r="BQ149" s="609"/>
      <c r="BR149" s="609"/>
      <c r="BS149" s="609"/>
      <c r="BT149" s="609"/>
      <c r="BU149" s="609"/>
      <c r="BV149" s="609"/>
      <c r="BW149" s="609"/>
      <c r="BX149" s="609"/>
      <c r="BY149" s="609"/>
      <c r="BZ149" s="609"/>
      <c r="CA149" s="609"/>
      <c r="CB149" s="609"/>
      <c r="CC149" s="609"/>
      <c r="CD149" s="609"/>
      <c r="CE149" s="609"/>
      <c r="CF149" s="609"/>
      <c r="CG149" s="609"/>
      <c r="CH149" s="609"/>
      <c r="CI149" s="609"/>
      <c r="CJ149" s="609"/>
      <c r="CK149" s="609"/>
      <c r="CL149" s="609"/>
      <c r="CM149" s="609"/>
      <c r="CN149" s="609"/>
      <c r="CO149" s="609"/>
      <c r="CP149" s="609"/>
      <c r="CQ149" s="609"/>
      <c r="CR149" s="609"/>
      <c r="CS149" s="609"/>
      <c r="CT149" s="609"/>
      <c r="CU149" s="609"/>
      <c r="CV149" s="609"/>
      <c r="CW149" s="609"/>
      <c r="CX149" s="609"/>
      <c r="CY149" s="609"/>
      <c r="CZ149" s="609"/>
      <c r="DA149" s="609"/>
      <c r="DB149" s="609"/>
      <c r="DC149" s="609"/>
      <c r="DD149" s="609"/>
      <c r="DE149" s="609"/>
      <c r="DF149" s="609"/>
      <c r="DG149" s="609"/>
      <c r="DH149" s="609"/>
      <c r="DI149" s="609"/>
      <c r="DJ149" s="609"/>
      <c r="DK149" s="609"/>
    </row>
    <row r="150" spans="69:115">
      <c r="BQ150" s="609"/>
      <c r="BR150" s="609"/>
      <c r="BS150" s="609"/>
      <c r="BT150" s="609"/>
      <c r="BU150" s="609"/>
      <c r="BV150" s="609"/>
      <c r="BW150" s="609"/>
      <c r="BX150" s="609"/>
      <c r="BY150" s="609"/>
      <c r="BZ150" s="609"/>
      <c r="CA150" s="609"/>
      <c r="CB150" s="609"/>
      <c r="CC150" s="609"/>
      <c r="CD150" s="609"/>
      <c r="CE150" s="609"/>
      <c r="CF150" s="609"/>
      <c r="CG150" s="609"/>
      <c r="CH150" s="609"/>
      <c r="CI150" s="609"/>
      <c r="CJ150" s="609"/>
      <c r="CK150" s="609"/>
      <c r="CL150" s="609"/>
      <c r="CM150" s="609"/>
      <c r="CN150" s="609"/>
      <c r="CO150" s="609"/>
      <c r="CP150" s="609"/>
      <c r="CQ150" s="609"/>
      <c r="CR150" s="609"/>
      <c r="CS150" s="609"/>
      <c r="CT150" s="609"/>
      <c r="CU150" s="609"/>
      <c r="CV150" s="609"/>
      <c r="CW150" s="609"/>
      <c r="CX150" s="609"/>
      <c r="CY150" s="609"/>
      <c r="CZ150" s="609"/>
      <c r="DA150" s="609"/>
      <c r="DB150" s="609"/>
      <c r="DC150" s="609"/>
      <c r="DD150" s="609"/>
      <c r="DE150" s="609"/>
      <c r="DF150" s="609"/>
      <c r="DG150" s="609"/>
      <c r="DH150" s="609"/>
      <c r="DI150" s="609"/>
      <c r="DJ150" s="609"/>
      <c r="DK150" s="609"/>
    </row>
    <row r="151" spans="69:115">
      <c r="BQ151" s="609"/>
      <c r="BR151" s="609"/>
      <c r="BS151" s="609"/>
      <c r="BT151" s="609"/>
      <c r="BU151" s="609"/>
      <c r="BV151" s="609"/>
      <c r="BW151" s="609"/>
      <c r="BX151" s="609"/>
      <c r="BY151" s="609"/>
      <c r="BZ151" s="609"/>
      <c r="CA151" s="609"/>
      <c r="CB151" s="609"/>
      <c r="CC151" s="609"/>
      <c r="CD151" s="609"/>
      <c r="CE151" s="609"/>
      <c r="CF151" s="609"/>
      <c r="CG151" s="609"/>
      <c r="CH151" s="609"/>
      <c r="CI151" s="609"/>
      <c r="CJ151" s="609"/>
      <c r="CK151" s="609"/>
      <c r="CL151" s="609"/>
      <c r="CM151" s="609"/>
      <c r="CN151" s="609"/>
      <c r="CO151" s="609"/>
      <c r="CP151" s="609"/>
      <c r="CQ151" s="609"/>
      <c r="CR151" s="609"/>
      <c r="CS151" s="609"/>
      <c r="CT151" s="609"/>
      <c r="CU151" s="609"/>
      <c r="CV151" s="609"/>
      <c r="CW151" s="609"/>
      <c r="CX151" s="609"/>
      <c r="CY151" s="609"/>
      <c r="CZ151" s="609"/>
      <c r="DA151" s="609"/>
      <c r="DB151" s="609"/>
      <c r="DC151" s="609"/>
      <c r="DD151" s="609"/>
      <c r="DE151" s="609"/>
      <c r="DF151" s="609"/>
      <c r="DG151" s="609"/>
      <c r="DH151" s="609"/>
      <c r="DI151" s="609"/>
      <c r="DJ151" s="609"/>
      <c r="DK151" s="609"/>
    </row>
    <row r="152" spans="69:115">
      <c r="BQ152" s="609"/>
      <c r="BR152" s="609"/>
      <c r="BS152" s="609"/>
      <c r="BT152" s="609"/>
      <c r="BU152" s="609"/>
      <c r="BV152" s="609"/>
      <c r="BW152" s="609"/>
      <c r="BX152" s="609"/>
      <c r="BY152" s="609"/>
      <c r="BZ152" s="609"/>
      <c r="CA152" s="609"/>
      <c r="CB152" s="609"/>
      <c r="CC152" s="609"/>
      <c r="CD152" s="609"/>
      <c r="CE152" s="609"/>
      <c r="CF152" s="609"/>
      <c r="CG152" s="609"/>
      <c r="CH152" s="609"/>
      <c r="CI152" s="609"/>
      <c r="CJ152" s="609"/>
      <c r="CK152" s="609"/>
      <c r="CL152" s="609"/>
      <c r="CM152" s="609"/>
      <c r="CN152" s="609"/>
      <c r="CO152" s="609"/>
      <c r="CP152" s="609"/>
      <c r="CQ152" s="609"/>
      <c r="CR152" s="609"/>
      <c r="CS152" s="609"/>
      <c r="CT152" s="609"/>
      <c r="CU152" s="609"/>
      <c r="CV152" s="609"/>
      <c r="CW152" s="609"/>
      <c r="CX152" s="609"/>
      <c r="CY152" s="609"/>
      <c r="CZ152" s="609"/>
      <c r="DA152" s="609"/>
      <c r="DB152" s="609"/>
      <c r="DC152" s="609"/>
      <c r="DD152" s="609"/>
      <c r="DE152" s="609"/>
      <c r="DF152" s="609"/>
      <c r="DG152" s="609"/>
      <c r="DH152" s="609"/>
      <c r="DI152" s="609"/>
      <c r="DJ152" s="609"/>
      <c r="DK152" s="609"/>
    </row>
    <row r="153" spans="69:115">
      <c r="BQ153" s="609"/>
      <c r="BR153" s="609"/>
      <c r="BS153" s="609"/>
      <c r="BT153" s="609"/>
      <c r="BU153" s="609"/>
      <c r="BV153" s="609"/>
      <c r="BW153" s="609"/>
      <c r="BX153" s="609"/>
      <c r="BY153" s="609"/>
      <c r="BZ153" s="609"/>
      <c r="CA153" s="609"/>
      <c r="CB153" s="609"/>
      <c r="CC153" s="609"/>
      <c r="CD153" s="609"/>
      <c r="CE153" s="609"/>
      <c r="CF153" s="609"/>
      <c r="CG153" s="609"/>
      <c r="CH153" s="609"/>
      <c r="CI153" s="609"/>
      <c r="CJ153" s="609"/>
      <c r="CK153" s="609"/>
      <c r="CL153" s="609"/>
      <c r="CM153" s="609"/>
      <c r="CN153" s="609"/>
      <c r="CO153" s="609"/>
      <c r="CP153" s="609"/>
      <c r="CQ153" s="609"/>
      <c r="CR153" s="609"/>
      <c r="CS153" s="609"/>
      <c r="CT153" s="609"/>
      <c r="CU153" s="609"/>
      <c r="CV153" s="609"/>
      <c r="CW153" s="609"/>
      <c r="CX153" s="609"/>
      <c r="CY153" s="609"/>
      <c r="CZ153" s="609"/>
      <c r="DA153" s="609"/>
      <c r="DB153" s="609"/>
      <c r="DC153" s="609"/>
      <c r="DD153" s="609"/>
      <c r="DE153" s="609"/>
      <c r="DF153" s="609"/>
      <c r="DG153" s="609"/>
      <c r="DH153" s="609"/>
      <c r="DI153" s="609"/>
      <c r="DJ153" s="609"/>
      <c r="DK153" s="609"/>
    </row>
    <row r="154" spans="69:115">
      <c r="BQ154" s="609"/>
      <c r="BR154" s="609"/>
      <c r="BS154" s="609"/>
      <c r="BT154" s="609"/>
      <c r="BU154" s="609"/>
      <c r="BV154" s="609"/>
      <c r="BW154" s="609"/>
      <c r="BX154" s="609"/>
      <c r="BY154" s="609"/>
      <c r="BZ154" s="609"/>
      <c r="CA154" s="609"/>
      <c r="CB154" s="609"/>
      <c r="CC154" s="609"/>
      <c r="CD154" s="609"/>
      <c r="CE154" s="609"/>
      <c r="CF154" s="609"/>
      <c r="CG154" s="609"/>
      <c r="CH154" s="609"/>
      <c r="CI154" s="609"/>
      <c r="CJ154" s="609"/>
      <c r="CK154" s="609"/>
      <c r="CL154" s="609"/>
      <c r="CM154" s="609"/>
      <c r="CN154" s="609"/>
      <c r="CO154" s="609"/>
      <c r="CP154" s="609"/>
      <c r="CQ154" s="609"/>
      <c r="CR154" s="609"/>
      <c r="CS154" s="609"/>
      <c r="CT154" s="609"/>
      <c r="CU154" s="609"/>
      <c r="CV154" s="609"/>
      <c r="CW154" s="609"/>
      <c r="CX154" s="609"/>
      <c r="CY154" s="609"/>
      <c r="CZ154" s="609"/>
      <c r="DA154" s="609"/>
      <c r="DB154" s="609"/>
      <c r="DC154" s="609"/>
      <c r="DD154" s="609"/>
      <c r="DE154" s="609"/>
      <c r="DF154" s="609"/>
      <c r="DG154" s="609"/>
      <c r="DH154" s="609"/>
      <c r="DI154" s="609"/>
      <c r="DJ154" s="609"/>
      <c r="DK154" s="609"/>
    </row>
    <row r="155" spans="69:115">
      <c r="BQ155" s="609"/>
      <c r="BR155" s="609"/>
      <c r="BS155" s="609"/>
      <c r="BT155" s="609"/>
      <c r="BU155" s="609"/>
      <c r="BV155" s="609"/>
      <c r="BW155" s="609"/>
      <c r="BX155" s="609"/>
      <c r="BY155" s="609"/>
      <c r="BZ155" s="609"/>
      <c r="CA155" s="609"/>
      <c r="CB155" s="609"/>
      <c r="CC155" s="609"/>
      <c r="CD155" s="609"/>
      <c r="CE155" s="609"/>
      <c r="CF155" s="609"/>
      <c r="CG155" s="609"/>
      <c r="CH155" s="609"/>
      <c r="CI155" s="609"/>
      <c r="CJ155" s="609"/>
      <c r="CK155" s="609"/>
      <c r="CL155" s="609"/>
      <c r="CM155" s="609"/>
      <c r="CN155" s="609"/>
      <c r="CO155" s="609"/>
      <c r="CP155" s="609"/>
      <c r="CQ155" s="609"/>
      <c r="CR155" s="609"/>
      <c r="CS155" s="609"/>
      <c r="CT155" s="609"/>
      <c r="CU155" s="609"/>
      <c r="CV155" s="609"/>
      <c r="CW155" s="609"/>
      <c r="CX155" s="609"/>
      <c r="CY155" s="609"/>
      <c r="CZ155" s="609"/>
      <c r="DA155" s="609"/>
      <c r="DB155" s="609"/>
      <c r="DC155" s="609"/>
      <c r="DD155" s="609"/>
      <c r="DE155" s="609"/>
      <c r="DF155" s="609"/>
      <c r="DG155" s="609"/>
      <c r="DH155" s="609"/>
      <c r="DI155" s="609"/>
      <c r="DJ155" s="609"/>
      <c r="DK155" s="609"/>
    </row>
    <row r="156" spans="69:115">
      <c r="BQ156" s="609"/>
      <c r="BR156" s="609"/>
      <c r="BS156" s="609"/>
      <c r="BT156" s="609"/>
      <c r="BU156" s="609"/>
      <c r="BV156" s="609"/>
      <c r="BW156" s="609"/>
      <c r="BX156" s="609"/>
      <c r="BY156" s="609"/>
      <c r="BZ156" s="609"/>
      <c r="CA156" s="609"/>
      <c r="CB156" s="609"/>
      <c r="CC156" s="609"/>
      <c r="CD156" s="609"/>
      <c r="CE156" s="609"/>
      <c r="CF156" s="609"/>
      <c r="CG156" s="609"/>
      <c r="CH156" s="609"/>
      <c r="CI156" s="609"/>
      <c r="CJ156" s="609"/>
      <c r="CK156" s="609"/>
      <c r="CL156" s="609"/>
      <c r="CM156" s="609"/>
      <c r="CN156" s="609"/>
      <c r="CO156" s="609"/>
      <c r="CP156" s="609"/>
      <c r="CQ156" s="609"/>
      <c r="CR156" s="609"/>
      <c r="CS156" s="609"/>
      <c r="CT156" s="609"/>
      <c r="CU156" s="609"/>
      <c r="CV156" s="609"/>
      <c r="CW156" s="609"/>
      <c r="CX156" s="609"/>
      <c r="CY156" s="609"/>
      <c r="CZ156" s="609"/>
      <c r="DA156" s="609"/>
      <c r="DB156" s="609"/>
      <c r="DC156" s="609"/>
      <c r="DD156" s="609"/>
      <c r="DE156" s="609"/>
      <c r="DF156" s="609"/>
      <c r="DG156" s="609"/>
      <c r="DH156" s="609"/>
      <c r="DI156" s="609"/>
      <c r="DJ156" s="609"/>
      <c r="DK156" s="609"/>
    </row>
    <row r="157" spans="69:115">
      <c r="BQ157" s="609"/>
      <c r="BR157" s="609"/>
      <c r="BS157" s="609"/>
      <c r="BT157" s="609"/>
      <c r="BU157" s="609"/>
      <c r="BV157" s="609"/>
      <c r="BW157" s="609"/>
      <c r="BX157" s="609"/>
      <c r="BY157" s="609"/>
      <c r="BZ157" s="609"/>
      <c r="CA157" s="609"/>
      <c r="CB157" s="609"/>
      <c r="CC157" s="609"/>
      <c r="CD157" s="609"/>
      <c r="CE157" s="609"/>
      <c r="CF157" s="609"/>
      <c r="CG157" s="609"/>
      <c r="CH157" s="609"/>
      <c r="CI157" s="609"/>
      <c r="CJ157" s="609"/>
      <c r="CK157" s="609"/>
      <c r="CL157" s="609"/>
      <c r="CM157" s="609"/>
      <c r="CN157" s="609"/>
      <c r="CO157" s="609"/>
      <c r="CP157" s="609"/>
      <c r="CQ157" s="609"/>
      <c r="CR157" s="609"/>
      <c r="CS157" s="609"/>
      <c r="CT157" s="609"/>
      <c r="CU157" s="609"/>
      <c r="CV157" s="609"/>
      <c r="CW157" s="609"/>
      <c r="CX157" s="609"/>
      <c r="CY157" s="609"/>
      <c r="CZ157" s="609"/>
      <c r="DA157" s="609"/>
      <c r="DB157" s="609"/>
      <c r="DC157" s="609"/>
      <c r="DD157" s="609"/>
      <c r="DE157" s="609"/>
      <c r="DF157" s="609"/>
      <c r="DG157" s="609"/>
      <c r="DH157" s="609"/>
      <c r="DI157" s="609"/>
      <c r="DJ157" s="609"/>
      <c r="DK157" s="609"/>
    </row>
    <row r="158" spans="69:115">
      <c r="BQ158" s="609"/>
      <c r="BR158" s="609"/>
      <c r="BS158" s="609"/>
      <c r="BT158" s="609"/>
      <c r="BU158" s="609"/>
      <c r="BV158" s="609"/>
      <c r="BW158" s="609"/>
      <c r="BX158" s="609"/>
      <c r="BY158" s="609"/>
      <c r="BZ158" s="609"/>
      <c r="CA158" s="609"/>
      <c r="CB158" s="609"/>
      <c r="CC158" s="609"/>
      <c r="CD158" s="609"/>
      <c r="CE158" s="609"/>
      <c r="CF158" s="609"/>
      <c r="CG158" s="609"/>
      <c r="CH158" s="609"/>
      <c r="CI158" s="609"/>
      <c r="CJ158" s="609"/>
      <c r="CK158" s="609"/>
      <c r="CL158" s="609"/>
      <c r="CM158" s="609"/>
      <c r="CN158" s="609"/>
      <c r="CO158" s="609"/>
      <c r="CP158" s="609"/>
      <c r="CQ158" s="609"/>
      <c r="CR158" s="609"/>
      <c r="CS158" s="609"/>
      <c r="CT158" s="609"/>
      <c r="CU158" s="609"/>
      <c r="CV158" s="609"/>
      <c r="CW158" s="609"/>
      <c r="CX158" s="609"/>
      <c r="CY158" s="609"/>
      <c r="CZ158" s="609"/>
      <c r="DA158" s="609"/>
      <c r="DB158" s="609"/>
      <c r="DC158" s="609"/>
      <c r="DD158" s="609"/>
      <c r="DE158" s="609"/>
      <c r="DF158" s="609"/>
      <c r="DG158" s="609"/>
      <c r="DH158" s="609"/>
      <c r="DI158" s="609"/>
      <c r="DJ158" s="609"/>
      <c r="DK158" s="609"/>
    </row>
    <row r="159" spans="69:115">
      <c r="BQ159" s="609"/>
      <c r="BR159" s="609"/>
      <c r="BS159" s="609"/>
      <c r="BT159" s="609"/>
      <c r="BU159" s="609"/>
      <c r="BV159" s="609"/>
      <c r="BW159" s="609"/>
      <c r="BX159" s="609"/>
      <c r="BY159" s="609"/>
      <c r="BZ159" s="609"/>
      <c r="CA159" s="609"/>
      <c r="CB159" s="609"/>
      <c r="CC159" s="609"/>
      <c r="CD159" s="609"/>
      <c r="CE159" s="609"/>
      <c r="CF159" s="609"/>
      <c r="CG159" s="609"/>
      <c r="CH159" s="609"/>
      <c r="CI159" s="609"/>
      <c r="CJ159" s="609"/>
      <c r="CK159" s="609"/>
      <c r="CL159" s="609"/>
      <c r="CM159" s="609"/>
      <c r="CN159" s="609"/>
      <c r="CO159" s="609"/>
      <c r="CP159" s="609"/>
      <c r="CQ159" s="609"/>
      <c r="CR159" s="609"/>
      <c r="CS159" s="609"/>
      <c r="CT159" s="609"/>
      <c r="CU159" s="609"/>
      <c r="CV159" s="609"/>
      <c r="CW159" s="609"/>
      <c r="CX159" s="609"/>
      <c r="CY159" s="609"/>
      <c r="CZ159" s="609"/>
      <c r="DA159" s="609"/>
      <c r="DB159" s="609"/>
      <c r="DC159" s="609"/>
      <c r="DD159" s="609"/>
      <c r="DE159" s="609"/>
      <c r="DF159" s="609"/>
      <c r="DG159" s="609"/>
      <c r="DH159" s="609"/>
      <c r="DI159" s="609"/>
      <c r="DJ159" s="609"/>
      <c r="DK159" s="609"/>
    </row>
    <row r="160" spans="69:115">
      <c r="BQ160" s="609"/>
      <c r="BR160" s="609"/>
      <c r="BS160" s="609"/>
      <c r="BT160" s="609"/>
      <c r="BU160" s="609"/>
      <c r="BV160" s="609"/>
      <c r="BW160" s="609"/>
      <c r="BX160" s="609"/>
      <c r="BY160" s="609"/>
      <c r="BZ160" s="609"/>
      <c r="CA160" s="609"/>
      <c r="CB160" s="609"/>
      <c r="CC160" s="609"/>
      <c r="CD160" s="609"/>
      <c r="CE160" s="609"/>
      <c r="CF160" s="609"/>
      <c r="CG160" s="609"/>
      <c r="CH160" s="609"/>
      <c r="CI160" s="609"/>
      <c r="CJ160" s="609"/>
      <c r="CK160" s="609"/>
      <c r="CL160" s="609"/>
      <c r="CM160" s="609"/>
      <c r="CN160" s="609"/>
      <c r="CO160" s="609"/>
      <c r="CP160" s="609"/>
      <c r="CQ160" s="609"/>
      <c r="CR160" s="609"/>
      <c r="CS160" s="609"/>
      <c r="CT160" s="609"/>
      <c r="CU160" s="609"/>
      <c r="CV160" s="609"/>
      <c r="CW160" s="609"/>
      <c r="CX160" s="609"/>
      <c r="CY160" s="609"/>
      <c r="CZ160" s="609"/>
      <c r="DA160" s="609"/>
      <c r="DB160" s="609"/>
      <c r="DC160" s="609"/>
      <c r="DD160" s="609"/>
      <c r="DE160" s="609"/>
      <c r="DF160" s="609"/>
      <c r="DG160" s="609"/>
      <c r="DH160" s="609"/>
      <c r="DI160" s="609"/>
      <c r="DJ160" s="609"/>
      <c r="DK160" s="609"/>
    </row>
    <row r="161" spans="69:115">
      <c r="BQ161" s="609"/>
      <c r="BR161" s="609"/>
      <c r="BS161" s="609"/>
      <c r="BT161" s="609"/>
      <c r="BU161" s="609"/>
      <c r="BV161" s="609"/>
      <c r="BW161" s="609"/>
      <c r="BX161" s="609"/>
      <c r="BY161" s="609"/>
      <c r="BZ161" s="609"/>
      <c r="CA161" s="609"/>
      <c r="CB161" s="609"/>
      <c r="CC161" s="609"/>
      <c r="CD161" s="609"/>
      <c r="CE161" s="609"/>
      <c r="CF161" s="609"/>
      <c r="CG161" s="609"/>
      <c r="CH161" s="609"/>
      <c r="CI161" s="609"/>
      <c r="CJ161" s="609"/>
      <c r="CK161" s="609"/>
      <c r="CL161" s="609"/>
      <c r="CM161" s="609"/>
      <c r="CN161" s="609"/>
      <c r="CO161" s="609"/>
      <c r="CP161" s="609"/>
      <c r="CQ161" s="609"/>
      <c r="CR161" s="609"/>
      <c r="CS161" s="609"/>
      <c r="CT161" s="609"/>
      <c r="CU161" s="609"/>
      <c r="CV161" s="609"/>
      <c r="CW161" s="609"/>
      <c r="CX161" s="609"/>
      <c r="CY161" s="609"/>
      <c r="CZ161" s="609"/>
      <c r="DA161" s="609"/>
      <c r="DB161" s="609"/>
      <c r="DC161" s="609"/>
      <c r="DD161" s="609"/>
      <c r="DE161" s="609"/>
      <c r="DF161" s="609"/>
      <c r="DG161" s="609"/>
      <c r="DH161" s="609"/>
      <c r="DI161" s="609"/>
      <c r="DJ161" s="609"/>
      <c r="DK161" s="609"/>
    </row>
    <row r="162" spans="69:115">
      <c r="BQ162" s="609"/>
      <c r="BR162" s="609"/>
      <c r="BS162" s="609"/>
      <c r="BT162" s="609"/>
      <c r="BU162" s="609"/>
      <c r="BV162" s="609"/>
      <c r="BW162" s="609"/>
      <c r="BX162" s="609"/>
      <c r="BY162" s="609"/>
      <c r="BZ162" s="609"/>
      <c r="CA162" s="609"/>
      <c r="CB162" s="609"/>
      <c r="CC162" s="609"/>
      <c r="CD162" s="609"/>
      <c r="CE162" s="609"/>
      <c r="CF162" s="609"/>
      <c r="CG162" s="609"/>
      <c r="CH162" s="609"/>
      <c r="CI162" s="609"/>
      <c r="CJ162" s="609"/>
      <c r="CK162" s="609"/>
      <c r="CL162" s="609"/>
      <c r="CM162" s="609"/>
      <c r="CN162" s="609"/>
      <c r="CO162" s="609"/>
      <c r="CP162" s="609"/>
      <c r="CQ162" s="609"/>
      <c r="CR162" s="609"/>
      <c r="CS162" s="609"/>
      <c r="CT162" s="609"/>
      <c r="CU162" s="609"/>
      <c r="CV162" s="609"/>
      <c r="CW162" s="609"/>
      <c r="CX162" s="609"/>
      <c r="CY162" s="609"/>
      <c r="CZ162" s="609"/>
      <c r="DA162" s="609"/>
      <c r="DB162" s="609"/>
      <c r="DC162" s="609"/>
      <c r="DD162" s="609"/>
      <c r="DE162" s="609"/>
      <c r="DF162" s="609"/>
      <c r="DG162" s="609"/>
      <c r="DH162" s="609"/>
      <c r="DI162" s="609"/>
      <c r="DJ162" s="609"/>
      <c r="DK162" s="609"/>
    </row>
    <row r="163" spans="69:115">
      <c r="BQ163" s="609"/>
      <c r="BR163" s="609"/>
      <c r="BS163" s="609"/>
      <c r="BT163" s="609"/>
      <c r="BU163" s="609"/>
      <c r="BV163" s="609"/>
      <c r="BW163" s="609"/>
      <c r="BX163" s="609"/>
      <c r="BY163" s="609"/>
      <c r="BZ163" s="609"/>
      <c r="CA163" s="609"/>
      <c r="CB163" s="609"/>
      <c r="CC163" s="609"/>
      <c r="CD163" s="609"/>
      <c r="CE163" s="609"/>
      <c r="CF163" s="609"/>
      <c r="CG163" s="609"/>
      <c r="CH163" s="609"/>
      <c r="CI163" s="609"/>
      <c r="CJ163" s="609"/>
      <c r="CK163" s="609"/>
      <c r="CL163" s="609"/>
      <c r="CM163" s="609"/>
      <c r="CN163" s="609"/>
      <c r="CO163" s="609"/>
      <c r="CP163" s="609"/>
      <c r="CQ163" s="609"/>
      <c r="CR163" s="609"/>
      <c r="CS163" s="609"/>
      <c r="CT163" s="609"/>
      <c r="CU163" s="609"/>
      <c r="CV163" s="609"/>
      <c r="CW163" s="609"/>
      <c r="CX163" s="609"/>
      <c r="CY163" s="609"/>
      <c r="CZ163" s="609"/>
      <c r="DA163" s="609"/>
      <c r="DB163" s="609"/>
      <c r="DC163" s="609"/>
      <c r="DD163" s="609"/>
      <c r="DE163" s="609"/>
      <c r="DF163" s="609"/>
      <c r="DG163" s="609"/>
      <c r="DH163" s="609"/>
      <c r="DI163" s="609"/>
      <c r="DJ163" s="609"/>
      <c r="DK163" s="609"/>
    </row>
    <row r="164" spans="69:115">
      <c r="BQ164" s="609"/>
      <c r="BR164" s="609"/>
      <c r="BS164" s="609"/>
      <c r="BT164" s="609"/>
      <c r="BU164" s="609"/>
      <c r="BV164" s="609"/>
      <c r="BW164" s="609"/>
      <c r="BX164" s="609"/>
      <c r="BY164" s="609"/>
      <c r="BZ164" s="609"/>
      <c r="CA164" s="609"/>
      <c r="CB164" s="609"/>
      <c r="CC164" s="609"/>
      <c r="CD164" s="609"/>
      <c r="CE164" s="609"/>
      <c r="CF164" s="609"/>
      <c r="CG164" s="609"/>
      <c r="CH164" s="609"/>
      <c r="CI164" s="609"/>
      <c r="CJ164" s="609"/>
      <c r="CK164" s="609"/>
      <c r="CL164" s="609"/>
      <c r="CM164" s="609"/>
      <c r="CN164" s="609"/>
      <c r="CO164" s="609"/>
      <c r="CP164" s="609"/>
      <c r="CQ164" s="609"/>
      <c r="CR164" s="609"/>
      <c r="CS164" s="609"/>
      <c r="CT164" s="609"/>
      <c r="CU164" s="609"/>
      <c r="CV164" s="609"/>
      <c r="CW164" s="609"/>
      <c r="CX164" s="609"/>
      <c r="CY164" s="609"/>
      <c r="CZ164" s="609"/>
      <c r="DA164" s="609"/>
      <c r="DB164" s="609"/>
      <c r="DC164" s="609"/>
      <c r="DD164" s="609"/>
      <c r="DE164" s="609"/>
      <c r="DF164" s="609"/>
      <c r="DG164" s="609"/>
      <c r="DH164" s="609"/>
      <c r="DI164" s="609"/>
      <c r="DJ164" s="609"/>
      <c r="DK164" s="609"/>
    </row>
    <row r="165" spans="69:115">
      <c r="BQ165" s="609"/>
      <c r="BR165" s="609"/>
      <c r="BS165" s="609"/>
      <c r="BT165" s="609"/>
      <c r="BU165" s="609"/>
      <c r="BV165" s="609"/>
      <c r="BW165" s="609"/>
      <c r="BX165" s="609"/>
      <c r="BY165" s="609"/>
      <c r="BZ165" s="609"/>
      <c r="CA165" s="609"/>
      <c r="CB165" s="609"/>
      <c r="CC165" s="609"/>
      <c r="CD165" s="609"/>
      <c r="CE165" s="609"/>
      <c r="CF165" s="609"/>
      <c r="CG165" s="609"/>
      <c r="CH165" s="609"/>
      <c r="CI165" s="609"/>
      <c r="CJ165" s="609"/>
      <c r="CK165" s="609"/>
      <c r="CL165" s="609"/>
      <c r="CM165" s="609"/>
      <c r="CN165" s="609"/>
      <c r="CO165" s="609"/>
      <c r="CP165" s="609"/>
      <c r="CQ165" s="609"/>
      <c r="CR165" s="609"/>
      <c r="CS165" s="609"/>
      <c r="CT165" s="609"/>
      <c r="CU165" s="609"/>
      <c r="CV165" s="609"/>
      <c r="CW165" s="609"/>
      <c r="CX165" s="609"/>
      <c r="CY165" s="609"/>
      <c r="CZ165" s="609"/>
      <c r="DA165" s="609"/>
      <c r="DB165" s="609"/>
      <c r="DC165" s="609"/>
      <c r="DD165" s="609"/>
      <c r="DE165" s="609"/>
      <c r="DF165" s="609"/>
      <c r="DG165" s="609"/>
      <c r="DH165" s="609"/>
      <c r="DI165" s="609"/>
      <c r="DJ165" s="609"/>
      <c r="DK165" s="609"/>
    </row>
    <row r="166" spans="69:115">
      <c r="BQ166" s="609"/>
      <c r="BR166" s="609"/>
      <c r="BS166" s="609"/>
      <c r="BT166" s="609"/>
      <c r="BU166" s="609"/>
      <c r="BV166" s="609"/>
      <c r="BW166" s="609"/>
      <c r="BX166" s="609"/>
      <c r="BY166" s="609"/>
      <c r="BZ166" s="609"/>
      <c r="CA166" s="609"/>
      <c r="CB166" s="609"/>
      <c r="CC166" s="609"/>
      <c r="CD166" s="609"/>
      <c r="CE166" s="609"/>
      <c r="CF166" s="609"/>
      <c r="CG166" s="609"/>
      <c r="CH166" s="609"/>
      <c r="CI166" s="609"/>
      <c r="CJ166" s="609"/>
      <c r="CK166" s="609"/>
      <c r="CL166" s="609"/>
      <c r="CM166" s="609"/>
      <c r="CN166" s="609"/>
      <c r="CO166" s="609"/>
      <c r="CP166" s="609"/>
      <c r="CQ166" s="609"/>
      <c r="CR166" s="609"/>
      <c r="CS166" s="609"/>
      <c r="CT166" s="609"/>
      <c r="CU166" s="609"/>
      <c r="CV166" s="609"/>
      <c r="CW166" s="609"/>
      <c r="CX166" s="609"/>
      <c r="CY166" s="609"/>
      <c r="CZ166" s="609"/>
      <c r="DA166" s="609"/>
      <c r="DB166" s="609"/>
      <c r="DC166" s="609"/>
      <c r="DD166" s="609"/>
      <c r="DE166" s="609"/>
      <c r="DF166" s="609"/>
      <c r="DG166" s="609"/>
      <c r="DH166" s="609"/>
      <c r="DI166" s="609"/>
      <c r="DJ166" s="609"/>
      <c r="DK166" s="609"/>
    </row>
    <row r="167" spans="69:115">
      <c r="BQ167" s="609"/>
      <c r="BR167" s="609"/>
      <c r="BS167" s="609"/>
      <c r="BT167" s="609"/>
      <c r="BU167" s="609"/>
      <c r="BV167" s="609"/>
      <c r="BW167" s="609"/>
      <c r="BX167" s="609"/>
      <c r="BY167" s="609"/>
      <c r="BZ167" s="609"/>
      <c r="CA167" s="609"/>
      <c r="CB167" s="609"/>
      <c r="CC167" s="609"/>
      <c r="CD167" s="609"/>
      <c r="CE167" s="609"/>
      <c r="CF167" s="609"/>
      <c r="CG167" s="609"/>
      <c r="CH167" s="609"/>
      <c r="CI167" s="609"/>
      <c r="CJ167" s="609"/>
      <c r="CK167" s="609"/>
      <c r="CL167" s="609"/>
      <c r="CM167" s="609"/>
      <c r="CN167" s="609"/>
      <c r="CO167" s="609"/>
      <c r="CP167" s="609"/>
      <c r="CQ167" s="609"/>
      <c r="CR167" s="609"/>
      <c r="CS167" s="609"/>
      <c r="CT167" s="609"/>
      <c r="CU167" s="609"/>
      <c r="CV167" s="609"/>
      <c r="CW167" s="609"/>
      <c r="CX167" s="609"/>
      <c r="CY167" s="609"/>
      <c r="CZ167" s="609"/>
      <c r="DA167" s="609"/>
      <c r="DB167" s="609"/>
      <c r="DC167" s="609"/>
      <c r="DD167" s="609"/>
      <c r="DE167" s="609"/>
      <c r="DF167" s="609"/>
      <c r="DG167" s="609"/>
      <c r="DH167" s="609"/>
      <c r="DI167" s="609"/>
      <c r="DJ167" s="609"/>
      <c r="DK167" s="609"/>
    </row>
    <row r="168" spans="69:115">
      <c r="BQ168" s="609"/>
      <c r="BR168" s="609"/>
      <c r="BS168" s="609"/>
      <c r="BT168" s="609"/>
      <c r="BU168" s="609"/>
      <c r="BV168" s="609"/>
      <c r="BW168" s="609"/>
      <c r="BX168" s="609"/>
      <c r="BY168" s="609"/>
      <c r="BZ168" s="609"/>
      <c r="CA168" s="609"/>
      <c r="CB168" s="609"/>
      <c r="CC168" s="609"/>
      <c r="CD168" s="609"/>
      <c r="CE168" s="609"/>
      <c r="CF168" s="609"/>
      <c r="CG168" s="609"/>
      <c r="CH168" s="609"/>
      <c r="CI168" s="609"/>
      <c r="CJ168" s="609"/>
      <c r="CK168" s="609"/>
      <c r="CL168" s="609"/>
      <c r="CM168" s="609"/>
      <c r="CN168" s="609"/>
      <c r="CO168" s="609"/>
      <c r="CP168" s="609"/>
      <c r="CQ168" s="609"/>
      <c r="CR168" s="609"/>
      <c r="CS168" s="609"/>
      <c r="CT168" s="609"/>
      <c r="CU168" s="609"/>
      <c r="CV168" s="609"/>
      <c r="CW168" s="609"/>
      <c r="CX168" s="609"/>
      <c r="CY168" s="609"/>
      <c r="CZ168" s="609"/>
      <c r="DA168" s="609"/>
      <c r="DB168" s="609"/>
      <c r="DC168" s="609"/>
      <c r="DD168" s="609"/>
      <c r="DE168" s="609"/>
      <c r="DF168" s="609"/>
      <c r="DG168" s="609"/>
      <c r="DH168" s="609"/>
      <c r="DI168" s="609"/>
      <c r="DJ168" s="609"/>
      <c r="DK168" s="609"/>
    </row>
    <row r="169" spans="69:115">
      <c r="BQ169" s="609"/>
      <c r="BR169" s="609"/>
      <c r="BS169" s="609"/>
      <c r="BT169" s="609"/>
      <c r="BU169" s="609"/>
      <c r="BV169" s="609"/>
      <c r="BW169" s="609"/>
      <c r="BX169" s="609"/>
      <c r="BY169" s="609"/>
      <c r="BZ169" s="609"/>
      <c r="CA169" s="609"/>
      <c r="CB169" s="609"/>
      <c r="CC169" s="609"/>
      <c r="CD169" s="609"/>
      <c r="CE169" s="609"/>
      <c r="CF169" s="609"/>
      <c r="CG169" s="609"/>
      <c r="CH169" s="609"/>
      <c r="CI169" s="609"/>
      <c r="CJ169" s="609"/>
      <c r="CK169" s="609"/>
      <c r="CL169" s="609"/>
      <c r="CM169" s="609"/>
      <c r="CN169" s="609"/>
      <c r="CO169" s="609"/>
      <c r="CP169" s="609"/>
      <c r="CQ169" s="609"/>
      <c r="CR169" s="609"/>
      <c r="CS169" s="609"/>
      <c r="CT169" s="609"/>
      <c r="CU169" s="609"/>
      <c r="CV169" s="609"/>
      <c r="CW169" s="609"/>
      <c r="CX169" s="609"/>
      <c r="CY169" s="609"/>
      <c r="CZ169" s="609"/>
      <c r="DA169" s="609"/>
      <c r="DB169" s="609"/>
      <c r="DC169" s="609"/>
      <c r="DD169" s="609"/>
      <c r="DE169" s="609"/>
      <c r="DF169" s="609"/>
      <c r="DG169" s="609"/>
      <c r="DH169" s="609"/>
      <c r="DI169" s="609"/>
      <c r="DJ169" s="609"/>
      <c r="DK169" s="609"/>
    </row>
    <row r="170" spans="69:115">
      <c r="BQ170" s="609"/>
      <c r="BR170" s="609"/>
      <c r="BS170" s="609"/>
      <c r="BT170" s="609"/>
      <c r="BU170" s="609"/>
      <c r="BV170" s="609"/>
      <c r="BW170" s="609"/>
      <c r="BX170" s="609"/>
      <c r="BY170" s="609"/>
      <c r="BZ170" s="609"/>
      <c r="CA170" s="609"/>
      <c r="CB170" s="609"/>
      <c r="CC170" s="609"/>
      <c r="CD170" s="609"/>
      <c r="CE170" s="609"/>
      <c r="CF170" s="609"/>
      <c r="CG170" s="609"/>
      <c r="CH170" s="609"/>
      <c r="CI170" s="609"/>
      <c r="CJ170" s="609"/>
      <c r="CK170" s="609"/>
      <c r="CL170" s="609"/>
      <c r="CM170" s="609"/>
      <c r="CN170" s="609"/>
      <c r="CO170" s="609"/>
      <c r="CP170" s="609"/>
      <c r="CQ170" s="609"/>
      <c r="CR170" s="609"/>
      <c r="CS170" s="609"/>
      <c r="CT170" s="609"/>
      <c r="CU170" s="609"/>
      <c r="CV170" s="609"/>
      <c r="CW170" s="609"/>
      <c r="CX170" s="609"/>
      <c r="CY170" s="609"/>
      <c r="CZ170" s="609"/>
      <c r="DA170" s="609"/>
      <c r="DB170" s="609"/>
      <c r="DC170" s="609"/>
      <c r="DD170" s="609"/>
      <c r="DE170" s="609"/>
      <c r="DF170" s="609"/>
      <c r="DG170" s="609"/>
      <c r="DH170" s="609"/>
      <c r="DI170" s="609"/>
      <c r="DJ170" s="609"/>
      <c r="DK170" s="609"/>
    </row>
    <row r="171" spans="69:115">
      <c r="BQ171" s="609"/>
      <c r="BR171" s="609"/>
      <c r="BS171" s="609"/>
      <c r="BT171" s="609"/>
      <c r="BU171" s="609"/>
      <c r="BV171" s="609"/>
      <c r="BW171" s="609"/>
      <c r="BX171" s="609"/>
      <c r="BY171" s="609"/>
      <c r="BZ171" s="609"/>
      <c r="CA171" s="609"/>
      <c r="CB171" s="609"/>
      <c r="CC171" s="609"/>
      <c r="CD171" s="609"/>
      <c r="CE171" s="609"/>
      <c r="CF171" s="609"/>
      <c r="CG171" s="609"/>
      <c r="CH171" s="609"/>
      <c r="CI171" s="609"/>
      <c r="CJ171" s="609"/>
      <c r="CK171" s="609"/>
      <c r="CL171" s="609"/>
      <c r="CM171" s="609"/>
      <c r="CN171" s="609"/>
      <c r="CO171" s="609"/>
      <c r="CP171" s="609"/>
      <c r="CQ171" s="609"/>
      <c r="CR171" s="609"/>
      <c r="CS171" s="609"/>
      <c r="CT171" s="609"/>
      <c r="CU171" s="609"/>
      <c r="CV171" s="609"/>
      <c r="CW171" s="609"/>
      <c r="CX171" s="609"/>
      <c r="CY171" s="609"/>
      <c r="CZ171" s="609"/>
      <c r="DA171" s="609"/>
      <c r="DB171" s="609"/>
      <c r="DC171" s="609"/>
      <c r="DD171" s="609"/>
      <c r="DE171" s="609"/>
      <c r="DF171" s="609"/>
      <c r="DG171" s="609"/>
      <c r="DH171" s="609"/>
      <c r="DI171" s="609"/>
      <c r="DJ171" s="609"/>
      <c r="DK171" s="609"/>
    </row>
    <row r="172" spans="69:115">
      <c r="BQ172" s="609"/>
      <c r="BR172" s="609"/>
      <c r="BS172" s="609"/>
      <c r="BT172" s="609"/>
      <c r="BU172" s="609"/>
      <c r="BV172" s="609"/>
      <c r="BW172" s="609"/>
      <c r="BX172" s="609"/>
      <c r="BY172" s="609"/>
      <c r="BZ172" s="609"/>
      <c r="CA172" s="609"/>
      <c r="CB172" s="609"/>
      <c r="CC172" s="609"/>
      <c r="CD172" s="609"/>
      <c r="CE172" s="609"/>
      <c r="CF172" s="609"/>
      <c r="CG172" s="609"/>
      <c r="CH172" s="609"/>
      <c r="CI172" s="609"/>
      <c r="CJ172" s="609"/>
      <c r="CK172" s="609"/>
      <c r="CL172" s="609"/>
      <c r="CM172" s="609"/>
      <c r="CN172" s="609"/>
      <c r="CO172" s="609"/>
      <c r="CP172" s="609"/>
      <c r="CQ172" s="609"/>
      <c r="CR172" s="609"/>
      <c r="CS172" s="609"/>
      <c r="CT172" s="609"/>
      <c r="CU172" s="609"/>
      <c r="CV172" s="609"/>
      <c r="CW172" s="609"/>
      <c r="CX172" s="609"/>
      <c r="CY172" s="609"/>
      <c r="CZ172" s="609"/>
      <c r="DA172" s="609"/>
      <c r="DB172" s="609"/>
      <c r="DC172" s="609"/>
      <c r="DD172" s="609"/>
      <c r="DE172" s="609"/>
      <c r="DF172" s="609"/>
      <c r="DG172" s="609"/>
      <c r="DH172" s="609"/>
      <c r="DI172" s="609"/>
      <c r="DJ172" s="609"/>
      <c r="DK172" s="609"/>
    </row>
    <row r="173" spans="69:115">
      <c r="BQ173" s="609"/>
      <c r="BR173" s="609"/>
      <c r="BS173" s="609"/>
      <c r="BT173" s="609"/>
      <c r="BU173" s="609"/>
      <c r="BV173" s="609"/>
      <c r="BW173" s="609"/>
      <c r="BX173" s="609"/>
      <c r="BY173" s="609"/>
      <c r="BZ173" s="609"/>
      <c r="CA173" s="609"/>
      <c r="CB173" s="609"/>
      <c r="CC173" s="609"/>
      <c r="CD173" s="609"/>
      <c r="CE173" s="609"/>
      <c r="CF173" s="609"/>
      <c r="CG173" s="609"/>
      <c r="CH173" s="609"/>
      <c r="CI173" s="609"/>
      <c r="CJ173" s="609"/>
      <c r="CK173" s="609"/>
      <c r="CL173" s="609"/>
      <c r="CM173" s="609"/>
      <c r="CN173" s="609"/>
      <c r="CO173" s="609"/>
      <c r="CP173" s="609"/>
      <c r="CQ173" s="609"/>
      <c r="CR173" s="609"/>
      <c r="CS173" s="609"/>
      <c r="CT173" s="609"/>
      <c r="CU173" s="609"/>
      <c r="CV173" s="609"/>
      <c r="CW173" s="609"/>
      <c r="CX173" s="609"/>
      <c r="CY173" s="609"/>
      <c r="CZ173" s="609"/>
      <c r="DA173" s="609"/>
      <c r="DB173" s="609"/>
      <c r="DC173" s="609"/>
      <c r="DD173" s="609"/>
      <c r="DE173" s="609"/>
      <c r="DF173" s="609"/>
      <c r="DG173" s="609"/>
      <c r="DH173" s="609"/>
      <c r="DI173" s="609"/>
      <c r="DJ173" s="609"/>
      <c r="DK173" s="609"/>
    </row>
    <row r="174" spans="69:115">
      <c r="BQ174" s="609"/>
      <c r="BR174" s="609"/>
      <c r="BS174" s="609"/>
      <c r="BT174" s="609"/>
      <c r="BU174" s="609"/>
      <c r="BV174" s="609"/>
      <c r="BW174" s="609"/>
      <c r="BX174" s="609"/>
      <c r="BY174" s="609"/>
      <c r="BZ174" s="609"/>
      <c r="CA174" s="609"/>
      <c r="CB174" s="609"/>
      <c r="CC174" s="609"/>
      <c r="CD174" s="609"/>
      <c r="CE174" s="609"/>
      <c r="CF174" s="609"/>
      <c r="CG174" s="609"/>
      <c r="CH174" s="609"/>
      <c r="CI174" s="609"/>
      <c r="CJ174" s="609"/>
      <c r="CK174" s="609"/>
      <c r="CL174" s="609"/>
      <c r="CM174" s="609"/>
      <c r="CN174" s="609"/>
      <c r="CO174" s="609"/>
      <c r="CP174" s="609"/>
      <c r="CQ174" s="609"/>
      <c r="CR174" s="609"/>
      <c r="CS174" s="609"/>
      <c r="CT174" s="609"/>
      <c r="CU174" s="609"/>
      <c r="CV174" s="609"/>
      <c r="CW174" s="609"/>
      <c r="CX174" s="609"/>
      <c r="CY174" s="609"/>
      <c r="CZ174" s="609"/>
      <c r="DA174" s="609"/>
      <c r="DB174" s="609"/>
      <c r="DC174" s="609"/>
      <c r="DD174" s="609"/>
      <c r="DE174" s="609"/>
      <c r="DF174" s="609"/>
      <c r="DG174" s="609"/>
      <c r="DH174" s="609"/>
      <c r="DI174" s="609"/>
      <c r="DJ174" s="609"/>
      <c r="DK174" s="609"/>
    </row>
    <row r="175" spans="69:115">
      <c r="BQ175" s="609"/>
      <c r="BR175" s="609"/>
      <c r="BS175" s="609"/>
      <c r="BT175" s="609"/>
      <c r="BU175" s="609"/>
      <c r="BV175" s="609"/>
      <c r="BW175" s="609"/>
      <c r="BX175" s="609"/>
      <c r="BY175" s="609"/>
      <c r="BZ175" s="609"/>
      <c r="CA175" s="609"/>
      <c r="CB175" s="609"/>
      <c r="CC175" s="609"/>
      <c r="CD175" s="609"/>
      <c r="CE175" s="609"/>
      <c r="CF175" s="609"/>
      <c r="CG175" s="609"/>
      <c r="CH175" s="609"/>
      <c r="CI175" s="609"/>
      <c r="CJ175" s="609"/>
      <c r="CK175" s="609"/>
      <c r="CL175" s="609"/>
      <c r="CM175" s="609"/>
      <c r="CN175" s="609"/>
      <c r="CO175" s="609"/>
      <c r="CP175" s="609"/>
      <c r="CQ175" s="609"/>
      <c r="CR175" s="609"/>
      <c r="CS175" s="609"/>
      <c r="CT175" s="609"/>
      <c r="CU175" s="609"/>
      <c r="CV175" s="609"/>
      <c r="CW175" s="609"/>
      <c r="CX175" s="609"/>
      <c r="CY175" s="609"/>
      <c r="CZ175" s="609"/>
      <c r="DA175" s="609"/>
      <c r="DB175" s="609"/>
      <c r="DC175" s="609"/>
      <c r="DD175" s="609"/>
      <c r="DE175" s="609"/>
      <c r="DF175" s="609"/>
      <c r="DG175" s="609"/>
      <c r="DH175" s="609"/>
      <c r="DI175" s="609"/>
      <c r="DJ175" s="609"/>
      <c r="DK175" s="609"/>
    </row>
    <row r="176" spans="69:115">
      <c r="BQ176" s="609"/>
      <c r="BR176" s="609"/>
      <c r="BS176" s="609"/>
      <c r="BT176" s="609"/>
      <c r="BU176" s="609"/>
      <c r="BV176" s="609"/>
      <c r="BW176" s="609"/>
      <c r="BX176" s="609"/>
      <c r="BY176" s="609"/>
      <c r="BZ176" s="609"/>
      <c r="CA176" s="609"/>
      <c r="CB176" s="609"/>
      <c r="CC176" s="609"/>
      <c r="CD176" s="609"/>
      <c r="CE176" s="609"/>
      <c r="CF176" s="609"/>
      <c r="CG176" s="609"/>
      <c r="CH176" s="609"/>
      <c r="CI176" s="609"/>
      <c r="CJ176" s="609"/>
      <c r="CK176" s="609"/>
      <c r="CL176" s="609"/>
      <c r="CM176" s="609"/>
      <c r="CN176" s="609"/>
      <c r="CO176" s="609"/>
      <c r="CP176" s="609"/>
      <c r="CQ176" s="609"/>
      <c r="CR176" s="609"/>
      <c r="CS176" s="609"/>
      <c r="CT176" s="609"/>
      <c r="CU176" s="609"/>
      <c r="CV176" s="609"/>
      <c r="CW176" s="609"/>
      <c r="CX176" s="609"/>
      <c r="CY176" s="609"/>
      <c r="CZ176" s="609"/>
      <c r="DA176" s="609"/>
      <c r="DB176" s="609"/>
      <c r="DC176" s="609"/>
      <c r="DD176" s="609"/>
      <c r="DE176" s="609"/>
      <c r="DF176" s="609"/>
      <c r="DG176" s="609"/>
      <c r="DH176" s="609"/>
      <c r="DI176" s="609"/>
      <c r="DJ176" s="609"/>
      <c r="DK176" s="609"/>
    </row>
    <row r="177" spans="69:115">
      <c r="BQ177" s="609"/>
      <c r="BR177" s="609"/>
      <c r="BS177" s="609"/>
      <c r="BT177" s="609"/>
      <c r="BU177" s="609"/>
      <c r="BV177" s="609"/>
      <c r="BW177" s="609"/>
      <c r="BX177" s="609"/>
      <c r="BY177" s="609"/>
      <c r="BZ177" s="609"/>
      <c r="CA177" s="609"/>
      <c r="CB177" s="609"/>
      <c r="CC177" s="609"/>
      <c r="CD177" s="609"/>
      <c r="CE177" s="609"/>
      <c r="CF177" s="609"/>
      <c r="CG177" s="609"/>
      <c r="CH177" s="609"/>
      <c r="CI177" s="609"/>
      <c r="CJ177" s="609"/>
      <c r="CK177" s="609"/>
      <c r="CL177" s="609"/>
      <c r="CM177" s="609"/>
      <c r="CN177" s="609"/>
      <c r="CO177" s="609"/>
      <c r="CP177" s="609"/>
      <c r="CQ177" s="609"/>
      <c r="CR177" s="609"/>
      <c r="CS177" s="609"/>
      <c r="CT177" s="609"/>
      <c r="CU177" s="609"/>
      <c r="CV177" s="609"/>
      <c r="CW177" s="609"/>
      <c r="CX177" s="609"/>
      <c r="CY177" s="609"/>
      <c r="CZ177" s="609"/>
      <c r="DA177" s="609"/>
      <c r="DB177" s="609"/>
      <c r="DC177" s="609"/>
      <c r="DD177" s="609"/>
      <c r="DE177" s="609"/>
      <c r="DF177" s="609"/>
      <c r="DG177" s="609"/>
      <c r="DH177" s="609"/>
      <c r="DI177" s="609"/>
      <c r="DJ177" s="609"/>
      <c r="DK177" s="609"/>
    </row>
    <row r="178" spans="69:115">
      <c r="BQ178" s="609"/>
      <c r="BR178" s="609"/>
      <c r="BS178" s="609"/>
      <c r="BT178" s="609"/>
      <c r="BU178" s="609"/>
      <c r="BV178" s="609"/>
      <c r="BW178" s="609"/>
      <c r="BX178" s="609"/>
      <c r="BY178" s="609"/>
      <c r="BZ178" s="609"/>
      <c r="CA178" s="609"/>
      <c r="CB178" s="609"/>
      <c r="CC178" s="609"/>
      <c r="CD178" s="609"/>
      <c r="CE178" s="609"/>
      <c r="CF178" s="609"/>
      <c r="CG178" s="609"/>
      <c r="CH178" s="609"/>
      <c r="CI178" s="609"/>
      <c r="CJ178" s="609"/>
      <c r="CK178" s="609"/>
      <c r="CL178" s="609"/>
      <c r="CM178" s="609"/>
      <c r="CN178" s="609"/>
      <c r="CO178" s="609"/>
      <c r="CP178" s="609"/>
      <c r="CQ178" s="609"/>
      <c r="CR178" s="609"/>
      <c r="CS178" s="609"/>
      <c r="CT178" s="609"/>
      <c r="CU178" s="609"/>
      <c r="CV178" s="609"/>
      <c r="CW178" s="609"/>
      <c r="CX178" s="609"/>
      <c r="CY178" s="609"/>
      <c r="CZ178" s="609"/>
      <c r="DA178" s="609"/>
      <c r="DB178" s="609"/>
      <c r="DC178" s="609"/>
      <c r="DD178" s="609"/>
      <c r="DE178" s="609"/>
      <c r="DF178" s="609"/>
      <c r="DG178" s="609"/>
      <c r="DH178" s="609"/>
      <c r="DI178" s="609"/>
      <c r="DJ178" s="609"/>
      <c r="DK178" s="609"/>
    </row>
    <row r="179" spans="69:115">
      <c r="BQ179" s="609"/>
      <c r="BR179" s="609"/>
      <c r="BS179" s="609"/>
      <c r="BT179" s="609"/>
      <c r="BU179" s="609"/>
      <c r="BV179" s="609"/>
      <c r="BW179" s="609"/>
      <c r="BX179" s="609"/>
      <c r="BY179" s="609"/>
      <c r="BZ179" s="609"/>
      <c r="CA179" s="609"/>
      <c r="CB179" s="609"/>
      <c r="CC179" s="609"/>
      <c r="CD179" s="609"/>
      <c r="CE179" s="609"/>
      <c r="CF179" s="609"/>
      <c r="CG179" s="609"/>
      <c r="CH179" s="609"/>
      <c r="CI179" s="609"/>
      <c r="CJ179" s="609"/>
      <c r="CK179" s="609"/>
      <c r="CL179" s="609"/>
      <c r="CM179" s="609"/>
      <c r="CN179" s="609"/>
      <c r="CO179" s="609"/>
      <c r="CP179" s="609"/>
      <c r="CQ179" s="609"/>
      <c r="CR179" s="609"/>
      <c r="CS179" s="609"/>
      <c r="CT179" s="609"/>
      <c r="CU179" s="609"/>
      <c r="CV179" s="609"/>
      <c r="CW179" s="609"/>
      <c r="CX179" s="609"/>
      <c r="CY179" s="609"/>
      <c r="CZ179" s="609"/>
      <c r="DA179" s="609"/>
      <c r="DB179" s="609"/>
      <c r="DC179" s="609"/>
      <c r="DD179" s="609"/>
      <c r="DE179" s="609"/>
      <c r="DF179" s="609"/>
      <c r="DG179" s="609"/>
      <c r="DH179" s="609"/>
      <c r="DI179" s="609"/>
      <c r="DJ179" s="609"/>
      <c r="DK179" s="609"/>
    </row>
    <row r="180" spans="69:115">
      <c r="BQ180" s="609"/>
      <c r="BR180" s="609"/>
      <c r="BS180" s="609"/>
      <c r="BT180" s="609"/>
      <c r="BU180" s="609"/>
      <c r="BV180" s="609"/>
      <c r="BW180" s="609"/>
      <c r="BX180" s="609"/>
      <c r="BY180" s="609"/>
      <c r="BZ180" s="609"/>
      <c r="CA180" s="609"/>
      <c r="CB180" s="609"/>
      <c r="CC180" s="609"/>
      <c r="CD180" s="609"/>
      <c r="CE180" s="609"/>
      <c r="CF180" s="609"/>
      <c r="CG180" s="609"/>
      <c r="CH180" s="609"/>
      <c r="CI180" s="609"/>
      <c r="CJ180" s="609"/>
      <c r="CK180" s="609"/>
      <c r="CL180" s="609"/>
      <c r="CM180" s="609"/>
      <c r="CN180" s="609"/>
      <c r="CO180" s="609"/>
      <c r="CP180" s="609"/>
      <c r="CQ180" s="609"/>
      <c r="CR180" s="609"/>
      <c r="CS180" s="609"/>
      <c r="CT180" s="609"/>
      <c r="CU180" s="609"/>
      <c r="CV180" s="609"/>
      <c r="CW180" s="609"/>
      <c r="CX180" s="609"/>
      <c r="CY180" s="609"/>
      <c r="CZ180" s="609"/>
      <c r="DA180" s="609"/>
      <c r="DB180" s="609"/>
      <c r="DC180" s="609"/>
      <c r="DD180" s="609"/>
      <c r="DE180" s="609"/>
      <c r="DF180" s="609"/>
      <c r="DG180" s="609"/>
      <c r="DH180" s="609"/>
      <c r="DI180" s="609"/>
      <c r="DJ180" s="609"/>
      <c r="DK180" s="609"/>
    </row>
    <row r="181" spans="69:115">
      <c r="BQ181" s="609"/>
      <c r="BR181" s="609"/>
      <c r="BS181" s="609"/>
      <c r="BT181" s="609"/>
      <c r="BU181" s="609"/>
      <c r="BV181" s="609"/>
      <c r="BW181" s="609"/>
      <c r="BX181" s="609"/>
      <c r="BY181" s="609"/>
      <c r="BZ181" s="609"/>
      <c r="CA181" s="609"/>
      <c r="CB181" s="609"/>
      <c r="CC181" s="609"/>
      <c r="CD181" s="609"/>
      <c r="CE181" s="609"/>
      <c r="CF181" s="609"/>
      <c r="CG181" s="609"/>
      <c r="CH181" s="609"/>
      <c r="CI181" s="609"/>
      <c r="CJ181" s="609"/>
      <c r="CK181" s="609"/>
      <c r="CL181" s="609"/>
      <c r="CM181" s="609"/>
      <c r="CN181" s="609"/>
      <c r="CO181" s="609"/>
      <c r="CP181" s="609"/>
      <c r="CQ181" s="609"/>
      <c r="CR181" s="609"/>
      <c r="CS181" s="609"/>
      <c r="CT181" s="609"/>
      <c r="CU181" s="609"/>
      <c r="CV181" s="609"/>
      <c r="CW181" s="609"/>
      <c r="CX181" s="609"/>
      <c r="CY181" s="609"/>
      <c r="CZ181" s="609"/>
      <c r="DA181" s="609"/>
      <c r="DB181" s="609"/>
      <c r="DC181" s="609"/>
      <c r="DD181" s="609"/>
      <c r="DE181" s="609"/>
      <c r="DF181" s="609"/>
      <c r="DG181" s="609"/>
      <c r="DH181" s="609"/>
      <c r="DI181" s="609"/>
      <c r="DJ181" s="609"/>
      <c r="DK181" s="609"/>
    </row>
    <row r="182" spans="69:115">
      <c r="BQ182" s="609"/>
      <c r="BR182" s="609"/>
      <c r="BS182" s="609"/>
      <c r="BT182" s="609"/>
      <c r="BU182" s="609"/>
      <c r="BV182" s="609"/>
      <c r="BW182" s="609"/>
      <c r="BX182" s="609"/>
      <c r="BY182" s="609"/>
      <c r="BZ182" s="609"/>
      <c r="CA182" s="609"/>
      <c r="CB182" s="609"/>
      <c r="CC182" s="609"/>
      <c r="CD182" s="609"/>
      <c r="CE182" s="609"/>
      <c r="CF182" s="609"/>
      <c r="CG182" s="609"/>
      <c r="CH182" s="609"/>
      <c r="CI182" s="609"/>
      <c r="CJ182" s="609"/>
      <c r="CK182" s="609"/>
      <c r="CL182" s="609"/>
      <c r="CM182" s="609"/>
      <c r="CN182" s="609"/>
      <c r="CO182" s="609"/>
      <c r="CP182" s="609"/>
      <c r="CQ182" s="609"/>
      <c r="CR182" s="609"/>
      <c r="CS182" s="609"/>
      <c r="CT182" s="609"/>
      <c r="CU182" s="609"/>
      <c r="CV182" s="609"/>
      <c r="CW182" s="609"/>
      <c r="CX182" s="609"/>
      <c r="CY182" s="609"/>
      <c r="CZ182" s="609"/>
      <c r="DA182" s="609"/>
      <c r="DB182" s="609"/>
      <c r="DC182" s="609"/>
      <c r="DD182" s="609"/>
      <c r="DE182" s="609"/>
      <c r="DF182" s="609"/>
      <c r="DG182" s="609"/>
      <c r="DH182" s="609"/>
      <c r="DI182" s="609"/>
      <c r="DJ182" s="609"/>
      <c r="DK182" s="609"/>
    </row>
    <row r="183" spans="69:115">
      <c r="BQ183" s="609"/>
      <c r="BR183" s="609"/>
      <c r="BS183" s="609"/>
      <c r="BT183" s="609"/>
      <c r="BU183" s="609"/>
      <c r="BV183" s="609"/>
      <c r="BW183" s="609"/>
      <c r="BX183" s="609"/>
      <c r="BY183" s="609"/>
      <c r="BZ183" s="609"/>
      <c r="CA183" s="609"/>
      <c r="CB183" s="609"/>
      <c r="CC183" s="609"/>
      <c r="CD183" s="609"/>
      <c r="CE183" s="609"/>
      <c r="CF183" s="609"/>
      <c r="CG183" s="609"/>
      <c r="CH183" s="609"/>
      <c r="CI183" s="609"/>
      <c r="CJ183" s="609"/>
      <c r="CK183" s="609"/>
      <c r="CL183" s="609"/>
      <c r="CM183" s="609"/>
      <c r="CN183" s="609"/>
      <c r="CO183" s="609"/>
      <c r="CP183" s="609"/>
      <c r="CQ183" s="609"/>
      <c r="CR183" s="609"/>
      <c r="CS183" s="609"/>
      <c r="CT183" s="609"/>
      <c r="CU183" s="609"/>
      <c r="CV183" s="609"/>
      <c r="CW183" s="609"/>
      <c r="CX183" s="609"/>
      <c r="CY183" s="609"/>
      <c r="CZ183" s="609"/>
      <c r="DA183" s="609"/>
      <c r="DB183" s="609"/>
      <c r="DC183" s="609"/>
      <c r="DD183" s="609"/>
      <c r="DE183" s="609"/>
      <c r="DF183" s="609"/>
      <c r="DG183" s="609"/>
      <c r="DH183" s="609"/>
      <c r="DI183" s="609"/>
      <c r="DJ183" s="609"/>
      <c r="DK183" s="609"/>
    </row>
    <row r="184" spans="69:115">
      <c r="BQ184" s="609"/>
      <c r="BR184" s="609"/>
      <c r="BS184" s="609"/>
      <c r="BT184" s="609"/>
      <c r="BU184" s="609"/>
      <c r="BV184" s="609"/>
      <c r="BW184" s="609"/>
      <c r="BX184" s="609"/>
      <c r="BY184" s="609"/>
      <c r="BZ184" s="609"/>
      <c r="CA184" s="609"/>
      <c r="CB184" s="609"/>
      <c r="CC184" s="609"/>
      <c r="CD184" s="609"/>
      <c r="CE184" s="609"/>
      <c r="CF184" s="609"/>
      <c r="CG184" s="609"/>
      <c r="CH184" s="609"/>
      <c r="CI184" s="609"/>
      <c r="CJ184" s="609"/>
      <c r="CK184" s="609"/>
      <c r="CL184" s="609"/>
      <c r="CM184" s="609"/>
      <c r="CN184" s="609"/>
      <c r="CO184" s="609"/>
      <c r="CP184" s="609"/>
      <c r="CQ184" s="609"/>
      <c r="CR184" s="609"/>
      <c r="CS184" s="609"/>
      <c r="CT184" s="609"/>
      <c r="CU184" s="609"/>
      <c r="CV184" s="609"/>
      <c r="CW184" s="609"/>
      <c r="CX184" s="609"/>
      <c r="CY184" s="609"/>
      <c r="CZ184" s="609"/>
      <c r="DA184" s="609"/>
      <c r="DB184" s="609"/>
      <c r="DC184" s="609"/>
      <c r="DD184" s="609"/>
      <c r="DE184" s="609"/>
      <c r="DF184" s="609"/>
      <c r="DG184" s="609"/>
      <c r="DH184" s="609"/>
      <c r="DI184" s="609"/>
      <c r="DJ184" s="609"/>
      <c r="DK184" s="609"/>
    </row>
    <row r="185" spans="69:115">
      <c r="BQ185" s="609"/>
      <c r="BR185" s="609"/>
      <c r="BS185" s="609"/>
      <c r="BT185" s="609"/>
      <c r="BU185" s="609"/>
      <c r="BV185" s="609"/>
      <c r="BW185" s="609"/>
      <c r="BX185" s="609"/>
      <c r="BY185" s="609"/>
      <c r="BZ185" s="609"/>
      <c r="CA185" s="609"/>
      <c r="CB185" s="609"/>
      <c r="CC185" s="609"/>
      <c r="CD185" s="609"/>
      <c r="CE185" s="609"/>
      <c r="CF185" s="609"/>
      <c r="CG185" s="609"/>
      <c r="CH185" s="609"/>
      <c r="CI185" s="609"/>
      <c r="CJ185" s="609"/>
      <c r="CK185" s="609"/>
      <c r="CL185" s="609"/>
      <c r="CM185" s="609"/>
      <c r="CN185" s="609"/>
      <c r="CO185" s="609"/>
      <c r="CP185" s="609"/>
      <c r="CQ185" s="609"/>
      <c r="CR185" s="609"/>
      <c r="CS185" s="609"/>
      <c r="CT185" s="609"/>
      <c r="CU185" s="609"/>
      <c r="CV185" s="609"/>
      <c r="CW185" s="609"/>
      <c r="CX185" s="609"/>
      <c r="CY185" s="609"/>
      <c r="CZ185" s="609"/>
      <c r="DA185" s="609"/>
      <c r="DB185" s="609"/>
      <c r="DC185" s="609"/>
      <c r="DD185" s="609"/>
      <c r="DE185" s="609"/>
      <c r="DF185" s="609"/>
      <c r="DG185" s="609"/>
      <c r="DH185" s="609"/>
      <c r="DI185" s="609"/>
      <c r="DJ185" s="609"/>
      <c r="DK185" s="609"/>
    </row>
    <row r="186" spans="69:115">
      <c r="BQ186" s="609"/>
      <c r="BR186" s="609"/>
      <c r="BS186" s="609"/>
      <c r="BT186" s="609"/>
      <c r="BU186" s="609"/>
      <c r="BV186" s="609"/>
      <c r="BW186" s="609"/>
      <c r="BX186" s="609"/>
      <c r="BY186" s="609"/>
      <c r="BZ186" s="609"/>
      <c r="CA186" s="609"/>
      <c r="CB186" s="609"/>
      <c r="CC186" s="609"/>
      <c r="CD186" s="609"/>
      <c r="CE186" s="609"/>
      <c r="CF186" s="609"/>
      <c r="CG186" s="609"/>
      <c r="CH186" s="609"/>
      <c r="CI186" s="609"/>
      <c r="CJ186" s="609"/>
      <c r="CK186" s="609"/>
      <c r="CL186" s="609"/>
      <c r="CM186" s="609"/>
      <c r="CN186" s="609"/>
      <c r="CO186" s="609"/>
      <c r="CP186" s="609"/>
      <c r="CQ186" s="609"/>
      <c r="CR186" s="609"/>
      <c r="CS186" s="609"/>
      <c r="CT186" s="609"/>
      <c r="CU186" s="609"/>
      <c r="CV186" s="609"/>
      <c r="CW186" s="609"/>
      <c r="CX186" s="609"/>
      <c r="CY186" s="609"/>
      <c r="CZ186" s="609"/>
      <c r="DA186" s="609"/>
      <c r="DB186" s="609"/>
      <c r="DC186" s="609"/>
      <c r="DD186" s="609"/>
      <c r="DE186" s="609"/>
      <c r="DF186" s="609"/>
      <c r="DG186" s="609"/>
      <c r="DH186" s="609"/>
      <c r="DI186" s="609"/>
      <c r="DJ186" s="609"/>
      <c r="DK186" s="609"/>
    </row>
    <row r="187" spans="69:115">
      <c r="BQ187" s="609"/>
      <c r="BR187" s="609"/>
      <c r="BS187" s="609"/>
      <c r="BT187" s="609"/>
      <c r="BU187" s="609"/>
      <c r="BV187" s="609"/>
      <c r="BW187" s="609"/>
      <c r="BX187" s="609"/>
      <c r="BY187" s="609"/>
      <c r="BZ187" s="609"/>
      <c r="CA187" s="609"/>
      <c r="CB187" s="609"/>
      <c r="CC187" s="609"/>
      <c r="CD187" s="609"/>
      <c r="CE187" s="609"/>
      <c r="CF187" s="609"/>
      <c r="CG187" s="609"/>
      <c r="CH187" s="609"/>
      <c r="CI187" s="609"/>
      <c r="CJ187" s="609"/>
      <c r="CK187" s="609"/>
      <c r="CL187" s="609"/>
      <c r="CM187" s="609"/>
      <c r="CN187" s="609"/>
      <c r="CO187" s="609"/>
      <c r="CP187" s="609"/>
      <c r="CQ187" s="609"/>
      <c r="CR187" s="609"/>
      <c r="CS187" s="609"/>
      <c r="CT187" s="609"/>
      <c r="CU187" s="609"/>
      <c r="CV187" s="609"/>
      <c r="CW187" s="609"/>
      <c r="CX187" s="609"/>
      <c r="CY187" s="609"/>
      <c r="CZ187" s="609"/>
      <c r="DA187" s="609"/>
      <c r="DB187" s="609"/>
      <c r="DC187" s="609"/>
      <c r="DD187" s="609"/>
      <c r="DE187" s="609"/>
      <c r="DF187" s="609"/>
      <c r="DG187" s="609"/>
      <c r="DH187" s="609"/>
      <c r="DI187" s="609"/>
      <c r="DJ187" s="609"/>
      <c r="DK187" s="609"/>
    </row>
    <row r="188" spans="69:115">
      <c r="BQ188" s="609"/>
      <c r="BR188" s="609"/>
      <c r="BS188" s="609"/>
      <c r="BT188" s="609"/>
      <c r="BU188" s="609"/>
      <c r="BV188" s="609"/>
      <c r="BW188" s="609"/>
      <c r="BX188" s="609"/>
      <c r="BY188" s="609"/>
      <c r="BZ188" s="609"/>
      <c r="CA188" s="609"/>
      <c r="CB188" s="609"/>
      <c r="CC188" s="609"/>
      <c r="CD188" s="609"/>
      <c r="CE188" s="609"/>
      <c r="CF188" s="609"/>
      <c r="CG188" s="609"/>
      <c r="CH188" s="609"/>
      <c r="CI188" s="609"/>
      <c r="CJ188" s="609"/>
      <c r="CK188" s="609"/>
      <c r="CL188" s="609"/>
      <c r="CM188" s="609"/>
      <c r="CN188" s="609"/>
      <c r="CO188" s="609"/>
      <c r="CP188" s="609"/>
      <c r="CQ188" s="609"/>
      <c r="CR188" s="609"/>
      <c r="CS188" s="609"/>
      <c r="CT188" s="609"/>
      <c r="CU188" s="609"/>
      <c r="CV188" s="609"/>
      <c r="CW188" s="609"/>
      <c r="CX188" s="609"/>
      <c r="CY188" s="609"/>
      <c r="CZ188" s="609"/>
      <c r="DA188" s="609"/>
      <c r="DB188" s="609"/>
      <c r="DC188" s="609"/>
      <c r="DD188" s="609"/>
      <c r="DE188" s="609"/>
      <c r="DF188" s="609"/>
      <c r="DG188" s="609"/>
      <c r="DH188" s="609"/>
      <c r="DI188" s="609"/>
      <c r="DJ188" s="609"/>
      <c r="DK188" s="609"/>
    </row>
    <row r="189" spans="69:115">
      <c r="BQ189" s="609"/>
      <c r="BR189" s="609"/>
      <c r="BS189" s="609"/>
      <c r="BT189" s="609"/>
      <c r="BU189" s="609"/>
      <c r="BV189" s="609"/>
      <c r="BW189" s="609"/>
      <c r="BX189" s="609"/>
      <c r="BY189" s="609"/>
      <c r="BZ189" s="609"/>
      <c r="CA189" s="609"/>
      <c r="CB189" s="609"/>
      <c r="CC189" s="609"/>
      <c r="CD189" s="609"/>
      <c r="CE189" s="609"/>
      <c r="CF189" s="609"/>
      <c r="CG189" s="609"/>
      <c r="CH189" s="609"/>
      <c r="CI189" s="609"/>
      <c r="CJ189" s="609"/>
      <c r="CK189" s="609"/>
      <c r="CL189" s="609"/>
      <c r="CM189" s="609"/>
      <c r="CN189" s="609"/>
      <c r="CO189" s="609"/>
      <c r="CP189" s="609"/>
      <c r="CQ189" s="609"/>
      <c r="CR189" s="609"/>
      <c r="CS189" s="609"/>
      <c r="CT189" s="609"/>
      <c r="CU189" s="609"/>
      <c r="CV189" s="609"/>
      <c r="CW189" s="609"/>
      <c r="CX189" s="609"/>
      <c r="CY189" s="609"/>
      <c r="CZ189" s="609"/>
      <c r="DA189" s="609"/>
      <c r="DB189" s="609"/>
      <c r="DC189" s="609"/>
      <c r="DD189" s="609"/>
      <c r="DE189" s="609"/>
      <c r="DF189" s="609"/>
      <c r="DG189" s="609"/>
      <c r="DH189" s="609"/>
      <c r="DI189" s="609"/>
      <c r="DJ189" s="609"/>
      <c r="DK189" s="609"/>
    </row>
    <row r="190" spans="69:115">
      <c r="BQ190" s="609"/>
      <c r="BR190" s="609"/>
      <c r="BS190" s="609"/>
      <c r="BT190" s="609"/>
      <c r="BU190" s="609"/>
      <c r="BV190" s="609"/>
      <c r="BW190" s="609"/>
      <c r="BX190" s="609"/>
      <c r="BY190" s="609"/>
      <c r="BZ190" s="609"/>
      <c r="CA190" s="609"/>
      <c r="CB190" s="609"/>
      <c r="CC190" s="609"/>
      <c r="CD190" s="609"/>
      <c r="CE190" s="609"/>
      <c r="CF190" s="609"/>
      <c r="CG190" s="609"/>
      <c r="CH190" s="609"/>
      <c r="CI190" s="609"/>
      <c r="CJ190" s="609"/>
      <c r="CK190" s="609"/>
      <c r="CL190" s="609"/>
      <c r="CM190" s="609"/>
      <c r="CN190" s="609"/>
      <c r="CO190" s="609"/>
      <c r="CP190" s="609"/>
      <c r="CQ190" s="609"/>
      <c r="CR190" s="609"/>
      <c r="CS190" s="609"/>
      <c r="CT190" s="609"/>
      <c r="CU190" s="609"/>
      <c r="CV190" s="609"/>
      <c r="CW190" s="609"/>
      <c r="CX190" s="609"/>
      <c r="CY190" s="609"/>
      <c r="CZ190" s="609"/>
      <c r="DA190" s="609"/>
      <c r="DB190" s="609"/>
      <c r="DC190" s="609"/>
      <c r="DD190" s="609"/>
      <c r="DE190" s="609"/>
      <c r="DF190" s="609"/>
      <c r="DG190" s="609"/>
      <c r="DH190" s="609"/>
      <c r="DI190" s="609"/>
      <c r="DJ190" s="609"/>
      <c r="DK190" s="609"/>
    </row>
    <row r="191" spans="69:115">
      <c r="BQ191" s="609"/>
      <c r="BR191" s="609"/>
      <c r="BS191" s="609"/>
      <c r="BT191" s="609"/>
      <c r="BU191" s="609"/>
      <c r="BV191" s="609"/>
      <c r="BW191" s="609"/>
      <c r="BX191" s="609"/>
      <c r="BY191" s="609"/>
      <c r="BZ191" s="609"/>
      <c r="CA191" s="609"/>
      <c r="CB191" s="609"/>
      <c r="CC191" s="609"/>
      <c r="CD191" s="609"/>
      <c r="CE191" s="609"/>
      <c r="CF191" s="609"/>
      <c r="CG191" s="609"/>
      <c r="CH191" s="609"/>
      <c r="CI191" s="609"/>
      <c r="CJ191" s="609"/>
      <c r="CK191" s="609"/>
      <c r="CL191" s="609"/>
      <c r="CM191" s="609"/>
      <c r="CN191" s="609"/>
      <c r="CO191" s="609"/>
      <c r="CP191" s="609"/>
      <c r="CQ191" s="609"/>
      <c r="CR191" s="609"/>
      <c r="CS191" s="609"/>
      <c r="CT191" s="609"/>
      <c r="CU191" s="609"/>
      <c r="CV191" s="609"/>
      <c r="CW191" s="609"/>
      <c r="CX191" s="609"/>
      <c r="CY191" s="609"/>
      <c r="CZ191" s="609"/>
      <c r="DA191" s="609"/>
      <c r="DB191" s="609"/>
      <c r="DC191" s="609"/>
      <c r="DD191" s="609"/>
      <c r="DE191" s="609"/>
      <c r="DF191" s="609"/>
      <c r="DG191" s="609"/>
      <c r="DH191" s="609"/>
      <c r="DI191" s="609"/>
      <c r="DJ191" s="609"/>
      <c r="DK191" s="609"/>
    </row>
    <row r="192" spans="69:115">
      <c r="BQ192" s="609"/>
      <c r="BR192" s="609"/>
      <c r="BS192" s="609"/>
      <c r="BT192" s="609"/>
      <c r="BU192" s="609"/>
      <c r="BV192" s="609"/>
      <c r="BW192" s="609"/>
      <c r="BX192" s="609"/>
      <c r="BY192" s="609"/>
      <c r="BZ192" s="609"/>
      <c r="CA192" s="609"/>
      <c r="CB192" s="609"/>
      <c r="CC192" s="609"/>
      <c r="CD192" s="609"/>
      <c r="CE192" s="609"/>
      <c r="CF192" s="609"/>
      <c r="CG192" s="609"/>
      <c r="CH192" s="609"/>
      <c r="CI192" s="609"/>
      <c r="CJ192" s="609"/>
      <c r="CK192" s="609"/>
      <c r="CL192" s="609"/>
      <c r="CM192" s="609"/>
      <c r="CN192" s="609"/>
      <c r="CO192" s="609"/>
      <c r="CP192" s="609"/>
      <c r="CQ192" s="609"/>
      <c r="CR192" s="609"/>
      <c r="CS192" s="609"/>
      <c r="CT192" s="609"/>
      <c r="CU192" s="609"/>
      <c r="CV192" s="609"/>
      <c r="CW192" s="609"/>
      <c r="CX192" s="609"/>
      <c r="CY192" s="609"/>
      <c r="CZ192" s="609"/>
      <c r="DA192" s="609"/>
      <c r="DB192" s="609"/>
      <c r="DC192" s="609"/>
      <c r="DD192" s="609"/>
      <c r="DE192" s="609"/>
      <c r="DF192" s="609"/>
      <c r="DG192" s="609"/>
      <c r="DH192" s="609"/>
      <c r="DI192" s="609"/>
      <c r="DJ192" s="609"/>
      <c r="DK192" s="609"/>
    </row>
    <row r="193" spans="69:115">
      <c r="BQ193" s="609"/>
      <c r="BR193" s="609"/>
      <c r="BS193" s="609"/>
      <c r="BT193" s="609"/>
      <c r="BU193" s="609"/>
      <c r="BV193" s="609"/>
      <c r="BW193" s="609"/>
      <c r="BX193" s="609"/>
      <c r="BY193" s="609"/>
      <c r="BZ193" s="609"/>
      <c r="CA193" s="609"/>
      <c r="CB193" s="609"/>
      <c r="CC193" s="609"/>
      <c r="CD193" s="609"/>
      <c r="CE193" s="609"/>
      <c r="CF193" s="609"/>
      <c r="CG193" s="609"/>
      <c r="CH193" s="609"/>
      <c r="CI193" s="609"/>
      <c r="CJ193" s="609"/>
      <c r="CK193" s="609"/>
      <c r="CL193" s="609"/>
      <c r="CM193" s="609"/>
      <c r="CN193" s="609"/>
      <c r="CO193" s="609"/>
      <c r="CP193" s="609"/>
      <c r="CQ193" s="609"/>
      <c r="CR193" s="609"/>
      <c r="CS193" s="609"/>
      <c r="CT193" s="609"/>
      <c r="CU193" s="609"/>
      <c r="CV193" s="609"/>
      <c r="CW193" s="609"/>
      <c r="CX193" s="609"/>
      <c r="CY193" s="609"/>
      <c r="CZ193" s="609"/>
      <c r="DA193" s="609"/>
      <c r="DB193" s="609"/>
      <c r="DC193" s="609"/>
      <c r="DD193" s="609"/>
      <c r="DE193" s="609"/>
      <c r="DF193" s="609"/>
      <c r="DG193" s="609"/>
      <c r="DH193" s="609"/>
      <c r="DI193" s="609"/>
      <c r="DJ193" s="609"/>
      <c r="DK193" s="609"/>
    </row>
    <row r="194" spans="69:115">
      <c r="BQ194" s="609"/>
      <c r="BR194" s="609"/>
      <c r="BS194" s="609"/>
      <c r="BT194" s="609"/>
      <c r="BU194" s="609"/>
      <c r="BV194" s="609"/>
      <c r="BW194" s="609"/>
      <c r="BX194" s="609"/>
      <c r="BY194" s="609"/>
      <c r="BZ194" s="609"/>
      <c r="CA194" s="609"/>
      <c r="CB194" s="609"/>
      <c r="CC194" s="609"/>
      <c r="CD194" s="609"/>
      <c r="CE194" s="609"/>
      <c r="CF194" s="609"/>
      <c r="CG194" s="609"/>
      <c r="CH194" s="609"/>
      <c r="CI194" s="609"/>
      <c r="CJ194" s="609"/>
      <c r="CK194" s="609"/>
      <c r="CL194" s="609"/>
      <c r="CM194" s="609"/>
      <c r="CN194" s="609"/>
      <c r="CO194" s="609"/>
      <c r="CP194" s="609"/>
      <c r="CQ194" s="609"/>
      <c r="CR194" s="609"/>
      <c r="CS194" s="609"/>
      <c r="CT194" s="609"/>
      <c r="CU194" s="609"/>
      <c r="CV194" s="609"/>
      <c r="CW194" s="609"/>
      <c r="CX194" s="609"/>
      <c r="CY194" s="609"/>
      <c r="CZ194" s="609"/>
      <c r="DA194" s="609"/>
      <c r="DB194" s="609"/>
      <c r="DC194" s="609"/>
      <c r="DD194" s="609"/>
      <c r="DE194" s="609"/>
      <c r="DF194" s="609"/>
      <c r="DG194" s="609"/>
      <c r="DH194" s="609"/>
      <c r="DI194" s="609"/>
      <c r="DJ194" s="609"/>
      <c r="DK194" s="609"/>
    </row>
    <row r="195" spans="69:115">
      <c r="BQ195" s="609"/>
      <c r="BR195" s="609"/>
      <c r="BS195" s="609"/>
      <c r="BT195" s="609"/>
      <c r="BU195" s="609"/>
      <c r="BV195" s="609"/>
      <c r="BW195" s="609"/>
      <c r="BX195" s="609"/>
      <c r="BY195" s="609"/>
      <c r="BZ195" s="609"/>
      <c r="CA195" s="609"/>
      <c r="CB195" s="609"/>
      <c r="CC195" s="609"/>
      <c r="CD195" s="609"/>
      <c r="CE195" s="609"/>
      <c r="CF195" s="609"/>
      <c r="CG195" s="609"/>
      <c r="CH195" s="609"/>
      <c r="CI195" s="609"/>
      <c r="CJ195" s="609"/>
      <c r="CK195" s="609"/>
      <c r="CL195" s="609"/>
      <c r="CM195" s="609"/>
      <c r="CN195" s="609"/>
      <c r="CO195" s="609"/>
      <c r="CP195" s="609"/>
      <c r="CQ195" s="609"/>
      <c r="CR195" s="609"/>
      <c r="CS195" s="609"/>
      <c r="CT195" s="609"/>
      <c r="CU195" s="609"/>
      <c r="CV195" s="609"/>
      <c r="CW195" s="609"/>
      <c r="CX195" s="609"/>
      <c r="CY195" s="609"/>
      <c r="CZ195" s="609"/>
      <c r="DA195" s="609"/>
      <c r="DB195" s="609"/>
      <c r="DC195" s="609"/>
      <c r="DD195" s="609"/>
      <c r="DE195" s="609"/>
      <c r="DF195" s="609"/>
      <c r="DG195" s="609"/>
      <c r="DH195" s="609"/>
      <c r="DI195" s="609"/>
      <c r="DJ195" s="609"/>
      <c r="DK195" s="609"/>
    </row>
    <row r="196" spans="69:115">
      <c r="BQ196" s="609"/>
      <c r="BR196" s="609"/>
      <c r="BS196" s="609"/>
      <c r="BT196" s="609"/>
      <c r="BU196" s="609"/>
      <c r="BV196" s="609"/>
      <c r="BW196" s="609"/>
      <c r="BX196" s="609"/>
      <c r="BY196" s="609"/>
      <c r="BZ196" s="609"/>
      <c r="CA196" s="609"/>
      <c r="CB196" s="609"/>
      <c r="CC196" s="609"/>
      <c r="CD196" s="609"/>
      <c r="CE196" s="609"/>
      <c r="CF196" s="609"/>
      <c r="CG196" s="609"/>
      <c r="CH196" s="609"/>
      <c r="CI196" s="609"/>
      <c r="CJ196" s="609"/>
      <c r="CK196" s="609"/>
      <c r="CL196" s="609"/>
      <c r="CM196" s="609"/>
      <c r="CN196" s="609"/>
      <c r="CO196" s="609"/>
      <c r="CP196" s="609"/>
      <c r="CQ196" s="609"/>
      <c r="CR196" s="609"/>
      <c r="CS196" s="609"/>
      <c r="CT196" s="609"/>
      <c r="CU196" s="609"/>
      <c r="CV196" s="609"/>
      <c r="CW196" s="609"/>
      <c r="CX196" s="609"/>
      <c r="CY196" s="609"/>
      <c r="CZ196" s="609"/>
      <c r="DA196" s="609"/>
      <c r="DB196" s="609"/>
      <c r="DC196" s="609"/>
      <c r="DD196" s="609"/>
      <c r="DE196" s="609"/>
      <c r="DF196" s="609"/>
      <c r="DG196" s="609"/>
      <c r="DH196" s="609"/>
      <c r="DI196" s="609"/>
      <c r="DJ196" s="609"/>
      <c r="DK196" s="609"/>
    </row>
    <row r="197" spans="69:115">
      <c r="BQ197" s="609"/>
      <c r="BR197" s="609"/>
      <c r="BS197" s="609"/>
      <c r="BT197" s="609"/>
      <c r="BU197" s="609"/>
      <c r="BV197" s="609"/>
      <c r="BW197" s="609"/>
      <c r="BX197" s="609"/>
      <c r="BY197" s="609"/>
      <c r="BZ197" s="609"/>
      <c r="CA197" s="609"/>
      <c r="CB197" s="609"/>
      <c r="CC197" s="609"/>
      <c r="CD197" s="609"/>
      <c r="CE197" s="609"/>
      <c r="CF197" s="609"/>
      <c r="CG197" s="609"/>
      <c r="CH197" s="609"/>
      <c r="CI197" s="609"/>
      <c r="CJ197" s="609"/>
      <c r="CK197" s="609"/>
      <c r="CL197" s="609"/>
      <c r="CM197" s="609"/>
      <c r="CN197" s="609"/>
      <c r="CO197" s="609"/>
      <c r="CP197" s="609"/>
      <c r="CQ197" s="609"/>
      <c r="CR197" s="609"/>
      <c r="CS197" s="609"/>
      <c r="CT197" s="609"/>
      <c r="CU197" s="609"/>
      <c r="CV197" s="609"/>
      <c r="CW197" s="609"/>
      <c r="CX197" s="609"/>
      <c r="CY197" s="609"/>
      <c r="CZ197" s="609"/>
      <c r="DA197" s="609"/>
      <c r="DB197" s="609"/>
      <c r="DC197" s="609"/>
      <c r="DD197" s="609"/>
      <c r="DE197" s="609"/>
      <c r="DF197" s="609"/>
      <c r="DG197" s="609"/>
      <c r="DH197" s="609"/>
      <c r="DI197" s="609"/>
      <c r="DJ197" s="609"/>
      <c r="DK197" s="609"/>
    </row>
    <row r="198" spans="69:115">
      <c r="BQ198" s="609"/>
      <c r="BR198" s="609"/>
      <c r="BS198" s="609"/>
      <c r="BT198" s="609"/>
      <c r="BU198" s="609"/>
      <c r="BV198" s="609"/>
      <c r="BW198" s="609"/>
      <c r="BX198" s="609"/>
      <c r="BY198" s="609"/>
      <c r="BZ198" s="609"/>
      <c r="CA198" s="609"/>
      <c r="CB198" s="609"/>
      <c r="CC198" s="609"/>
      <c r="CD198" s="609"/>
      <c r="CE198" s="609"/>
      <c r="CF198" s="609"/>
      <c r="CG198" s="609"/>
      <c r="CH198" s="609"/>
      <c r="CI198" s="609"/>
      <c r="CJ198" s="609"/>
      <c r="CK198" s="609"/>
      <c r="CL198" s="609"/>
      <c r="CM198" s="609"/>
      <c r="CN198" s="609"/>
      <c r="CO198" s="609"/>
      <c r="CP198" s="609"/>
      <c r="CQ198" s="609"/>
      <c r="CR198" s="609"/>
      <c r="CS198" s="609"/>
      <c r="CT198" s="609"/>
      <c r="CU198" s="609"/>
      <c r="CV198" s="609"/>
      <c r="CW198" s="609"/>
      <c r="CX198" s="609"/>
      <c r="CY198" s="609"/>
      <c r="CZ198" s="609"/>
      <c r="DA198" s="609"/>
      <c r="DB198" s="609"/>
      <c r="DC198" s="609"/>
      <c r="DD198" s="609"/>
      <c r="DE198" s="609"/>
      <c r="DF198" s="609"/>
      <c r="DG198" s="609"/>
      <c r="DH198" s="609"/>
      <c r="DI198" s="609"/>
      <c r="DJ198" s="609"/>
      <c r="DK198" s="609"/>
    </row>
    <row r="199" spans="69:115">
      <c r="BQ199" s="609"/>
      <c r="BR199" s="609"/>
      <c r="BS199" s="609"/>
      <c r="BT199" s="609"/>
      <c r="BU199" s="609"/>
      <c r="BV199" s="609"/>
      <c r="BW199" s="609"/>
      <c r="BX199" s="609"/>
      <c r="BY199" s="609"/>
      <c r="BZ199" s="609"/>
      <c r="CA199" s="609"/>
      <c r="CB199" s="609"/>
      <c r="CC199" s="609"/>
      <c r="CD199" s="609"/>
      <c r="CE199" s="609"/>
      <c r="CF199" s="609"/>
      <c r="CG199" s="609"/>
      <c r="CH199" s="609"/>
      <c r="CI199" s="609"/>
      <c r="CJ199" s="609"/>
      <c r="CK199" s="609"/>
      <c r="CL199" s="609"/>
      <c r="CM199" s="609"/>
      <c r="CN199" s="609"/>
      <c r="CO199" s="609"/>
      <c r="CP199" s="609"/>
      <c r="CQ199" s="609"/>
      <c r="CR199" s="609"/>
      <c r="CS199" s="609"/>
      <c r="CT199" s="609"/>
      <c r="CU199" s="609"/>
      <c r="CV199" s="609"/>
      <c r="CW199" s="609"/>
      <c r="CX199" s="609"/>
      <c r="CY199" s="609"/>
      <c r="CZ199" s="609"/>
      <c r="DA199" s="609"/>
      <c r="DB199" s="609"/>
      <c r="DC199" s="609"/>
      <c r="DD199" s="609"/>
      <c r="DE199" s="609"/>
      <c r="DF199" s="609"/>
      <c r="DG199" s="609"/>
      <c r="DH199" s="609"/>
      <c r="DI199" s="609"/>
      <c r="DJ199" s="609"/>
      <c r="DK199" s="609"/>
    </row>
    <row r="200" spans="69:115">
      <c r="BQ200" s="609"/>
      <c r="BR200" s="609"/>
      <c r="BS200" s="609"/>
      <c r="BT200" s="609"/>
      <c r="BU200" s="609"/>
      <c r="BV200" s="609"/>
      <c r="BW200" s="609"/>
      <c r="BX200" s="609"/>
      <c r="BY200" s="609"/>
      <c r="BZ200" s="609"/>
      <c r="CA200" s="609"/>
      <c r="CB200" s="609"/>
      <c r="CC200" s="609"/>
      <c r="CD200" s="609"/>
      <c r="CE200" s="609"/>
      <c r="CF200" s="609"/>
      <c r="CG200" s="609"/>
      <c r="CH200" s="609"/>
      <c r="CI200" s="609"/>
      <c r="CJ200" s="609"/>
      <c r="CK200" s="609"/>
      <c r="CL200" s="609"/>
      <c r="CM200" s="609"/>
      <c r="CN200" s="609"/>
      <c r="CO200" s="609"/>
      <c r="CP200" s="609"/>
      <c r="CQ200" s="609"/>
      <c r="CR200" s="609"/>
      <c r="CS200" s="609"/>
      <c r="CT200" s="609"/>
      <c r="CU200" s="609"/>
      <c r="CV200" s="609"/>
      <c r="CW200" s="609"/>
      <c r="CX200" s="609"/>
      <c r="CY200" s="609"/>
      <c r="CZ200" s="609"/>
      <c r="DA200" s="609"/>
      <c r="DB200" s="609"/>
      <c r="DC200" s="609"/>
      <c r="DD200" s="609"/>
      <c r="DE200" s="609"/>
      <c r="DF200" s="609"/>
      <c r="DG200" s="609"/>
      <c r="DH200" s="609"/>
      <c r="DI200" s="609"/>
      <c r="DJ200" s="609"/>
      <c r="DK200" s="609"/>
    </row>
    <row r="201" spans="69:115">
      <c r="BQ201" s="609"/>
      <c r="BR201" s="609"/>
      <c r="BS201" s="609"/>
      <c r="BT201" s="609"/>
      <c r="BU201" s="609"/>
      <c r="BV201" s="609"/>
      <c r="BW201" s="609"/>
      <c r="BX201" s="609"/>
      <c r="BY201" s="609"/>
      <c r="BZ201" s="609"/>
      <c r="CA201" s="609"/>
      <c r="CB201" s="609"/>
      <c r="CC201" s="609"/>
      <c r="CD201" s="609"/>
      <c r="CE201" s="609"/>
      <c r="CF201" s="609"/>
      <c r="CG201" s="609"/>
      <c r="CH201" s="609"/>
      <c r="CI201" s="609"/>
      <c r="CJ201" s="609"/>
      <c r="CK201" s="609"/>
      <c r="CL201" s="609"/>
      <c r="CM201" s="609"/>
      <c r="CN201" s="609"/>
      <c r="CO201" s="609"/>
      <c r="CP201" s="609"/>
      <c r="CQ201" s="609"/>
      <c r="CR201" s="609"/>
      <c r="CS201" s="609"/>
      <c r="CT201" s="609"/>
      <c r="CU201" s="609"/>
      <c r="CV201" s="609"/>
      <c r="CW201" s="609"/>
      <c r="CX201" s="609"/>
      <c r="CY201" s="609"/>
      <c r="CZ201" s="609"/>
      <c r="DA201" s="609"/>
      <c r="DB201" s="609"/>
      <c r="DC201" s="609"/>
      <c r="DD201" s="609"/>
      <c r="DE201" s="609"/>
      <c r="DF201" s="609"/>
      <c r="DG201" s="609"/>
      <c r="DH201" s="609"/>
      <c r="DI201" s="609"/>
      <c r="DJ201" s="609"/>
      <c r="DK201" s="609"/>
    </row>
    <row r="202" spans="69:115">
      <c r="BQ202" s="609"/>
      <c r="BR202" s="609"/>
      <c r="BS202" s="609"/>
      <c r="BT202" s="609"/>
      <c r="BU202" s="609"/>
      <c r="BV202" s="609"/>
      <c r="BW202" s="609"/>
      <c r="BX202" s="609"/>
      <c r="BY202" s="609"/>
      <c r="BZ202" s="609"/>
      <c r="CA202" s="609"/>
      <c r="CB202" s="609"/>
      <c r="CC202" s="609"/>
      <c r="CD202" s="609"/>
      <c r="CE202" s="609"/>
      <c r="CF202" s="609"/>
      <c r="CG202" s="609"/>
      <c r="CH202" s="609"/>
      <c r="CI202" s="609"/>
      <c r="CJ202" s="609"/>
      <c r="CK202" s="609"/>
      <c r="CL202" s="609"/>
      <c r="CM202" s="609"/>
      <c r="CN202" s="609"/>
      <c r="CO202" s="609"/>
      <c r="CP202" s="609"/>
      <c r="CQ202" s="609"/>
      <c r="CR202" s="609"/>
      <c r="CS202" s="609"/>
      <c r="CT202" s="609"/>
      <c r="CU202" s="609"/>
      <c r="CV202" s="609"/>
      <c r="CW202" s="609"/>
      <c r="CX202" s="609"/>
      <c r="CY202" s="609"/>
      <c r="CZ202" s="609"/>
      <c r="DA202" s="609"/>
      <c r="DB202" s="609"/>
      <c r="DC202" s="609"/>
      <c r="DD202" s="609"/>
      <c r="DE202" s="609"/>
      <c r="DF202" s="609"/>
      <c r="DG202" s="609"/>
      <c r="DH202" s="609"/>
      <c r="DI202" s="609"/>
      <c r="DJ202" s="609"/>
      <c r="DK202" s="609"/>
    </row>
    <row r="203" spans="69:115">
      <c r="BQ203" s="609"/>
      <c r="BR203" s="609"/>
      <c r="BS203" s="609"/>
      <c r="BT203" s="609"/>
      <c r="BU203" s="609"/>
      <c r="BV203" s="609"/>
      <c r="BW203" s="609"/>
      <c r="BX203" s="609"/>
      <c r="BY203" s="609"/>
      <c r="BZ203" s="609"/>
      <c r="CA203" s="609"/>
      <c r="CB203" s="609"/>
      <c r="CC203" s="609"/>
      <c r="CD203" s="609"/>
      <c r="CE203" s="609"/>
      <c r="CF203" s="609"/>
      <c r="CG203" s="609"/>
      <c r="CH203" s="609"/>
      <c r="CI203" s="609"/>
      <c r="CJ203" s="609"/>
      <c r="CK203" s="609"/>
      <c r="CL203" s="609"/>
      <c r="CM203" s="609"/>
      <c r="CN203" s="609"/>
      <c r="CO203" s="609"/>
      <c r="CP203" s="609"/>
      <c r="CQ203" s="609"/>
      <c r="CR203" s="609"/>
      <c r="CS203" s="609"/>
      <c r="CT203" s="609"/>
      <c r="CU203" s="609"/>
      <c r="CV203" s="609"/>
      <c r="CW203" s="609"/>
      <c r="CX203" s="609"/>
      <c r="CY203" s="609"/>
      <c r="CZ203" s="609"/>
      <c r="DA203" s="609"/>
      <c r="DB203" s="609"/>
      <c r="DC203" s="609"/>
      <c r="DD203" s="609"/>
      <c r="DE203" s="609"/>
      <c r="DF203" s="609"/>
      <c r="DG203" s="609"/>
      <c r="DH203" s="609"/>
      <c r="DI203" s="609"/>
      <c r="DJ203" s="609"/>
      <c r="DK203" s="609"/>
    </row>
    <row r="204" spans="69:115">
      <c r="BQ204" s="609"/>
      <c r="BR204" s="609"/>
      <c r="BS204" s="609"/>
      <c r="BT204" s="609"/>
      <c r="BU204" s="609"/>
      <c r="BV204" s="609"/>
      <c r="BW204" s="609"/>
      <c r="BX204" s="609"/>
      <c r="BY204" s="609"/>
      <c r="BZ204" s="609"/>
      <c r="CA204" s="609"/>
      <c r="CB204" s="609"/>
      <c r="CC204" s="609"/>
      <c r="CD204" s="609"/>
      <c r="CE204" s="609"/>
      <c r="CF204" s="609"/>
      <c r="CG204" s="609"/>
      <c r="CH204" s="609"/>
      <c r="CI204" s="609"/>
      <c r="CJ204" s="609"/>
      <c r="CK204" s="609"/>
      <c r="CL204" s="609"/>
      <c r="CM204" s="609"/>
      <c r="CN204" s="609"/>
      <c r="CO204" s="609"/>
      <c r="CP204" s="609"/>
      <c r="CQ204" s="609"/>
      <c r="CR204" s="609"/>
      <c r="CS204" s="609"/>
      <c r="CT204" s="609"/>
      <c r="CU204" s="609"/>
      <c r="CV204" s="609"/>
      <c r="CW204" s="609"/>
      <c r="CX204" s="609"/>
      <c r="CY204" s="609"/>
      <c r="CZ204" s="609"/>
      <c r="DA204" s="609"/>
      <c r="DB204" s="609"/>
      <c r="DC204" s="609"/>
      <c r="DD204" s="609"/>
      <c r="DE204" s="609"/>
      <c r="DF204" s="609"/>
      <c r="DG204" s="609"/>
      <c r="DH204" s="609"/>
      <c r="DI204" s="609"/>
      <c r="DJ204" s="609"/>
      <c r="DK204" s="609"/>
    </row>
    <row r="205" spans="69:115">
      <c r="BQ205" s="609"/>
      <c r="BR205" s="609"/>
      <c r="BS205" s="609"/>
      <c r="BT205" s="609"/>
      <c r="BU205" s="609"/>
      <c r="BV205" s="609"/>
      <c r="BW205" s="609"/>
      <c r="BX205" s="609"/>
      <c r="BY205" s="609"/>
      <c r="BZ205" s="609"/>
      <c r="CA205" s="609"/>
      <c r="CB205" s="609"/>
      <c r="CC205" s="609"/>
      <c r="CD205" s="609"/>
      <c r="CE205" s="609"/>
      <c r="CF205" s="609"/>
      <c r="CG205" s="609"/>
      <c r="CH205" s="609"/>
      <c r="CI205" s="609"/>
      <c r="CJ205" s="609"/>
      <c r="CK205" s="609"/>
      <c r="CL205" s="609"/>
      <c r="CM205" s="609"/>
      <c r="CN205" s="609"/>
      <c r="CO205" s="609"/>
      <c r="CP205" s="609"/>
      <c r="CQ205" s="609"/>
      <c r="CR205" s="609"/>
      <c r="CS205" s="609"/>
      <c r="CT205" s="609"/>
      <c r="CU205" s="609"/>
      <c r="CV205" s="609"/>
      <c r="CW205" s="609"/>
      <c r="CX205" s="609"/>
      <c r="CY205" s="609"/>
      <c r="CZ205" s="609"/>
      <c r="DA205" s="609"/>
      <c r="DB205" s="609"/>
      <c r="DC205" s="609"/>
      <c r="DD205" s="609"/>
      <c r="DE205" s="609"/>
      <c r="DF205" s="609"/>
      <c r="DG205" s="609"/>
      <c r="DH205" s="609"/>
      <c r="DI205" s="609"/>
      <c r="DJ205" s="609"/>
      <c r="DK205" s="609"/>
    </row>
    <row r="206" spans="69:115">
      <c r="BQ206" s="609"/>
      <c r="BR206" s="609"/>
      <c r="BS206" s="609"/>
      <c r="BT206" s="609"/>
      <c r="BU206" s="609"/>
      <c r="BV206" s="609"/>
      <c r="BW206" s="609"/>
      <c r="BX206" s="609"/>
      <c r="BY206" s="609"/>
      <c r="BZ206" s="609"/>
      <c r="CA206" s="609"/>
      <c r="CB206" s="609"/>
      <c r="CC206" s="609"/>
      <c r="CD206" s="609"/>
      <c r="CE206" s="609"/>
      <c r="CF206" s="609"/>
      <c r="CG206" s="609"/>
      <c r="CH206" s="609"/>
      <c r="CI206" s="609"/>
      <c r="CJ206" s="609"/>
      <c r="CK206" s="609"/>
      <c r="CL206" s="609"/>
      <c r="CM206" s="609"/>
      <c r="CN206" s="609"/>
      <c r="CO206" s="609"/>
      <c r="CP206" s="609"/>
      <c r="CQ206" s="609"/>
      <c r="CR206" s="609"/>
      <c r="CS206" s="609"/>
      <c r="CT206" s="609"/>
      <c r="CU206" s="609"/>
      <c r="CV206" s="609"/>
      <c r="CW206" s="609"/>
      <c r="CX206" s="609"/>
      <c r="CY206" s="609"/>
      <c r="CZ206" s="609"/>
      <c r="DA206" s="609"/>
      <c r="DB206" s="609"/>
      <c r="DC206" s="609"/>
      <c r="DD206" s="609"/>
      <c r="DE206" s="609"/>
      <c r="DF206" s="609"/>
      <c r="DG206" s="609"/>
      <c r="DH206" s="609"/>
      <c r="DI206" s="609"/>
      <c r="DJ206" s="609"/>
      <c r="DK206" s="609"/>
    </row>
    <row r="207" spans="69:115">
      <c r="BQ207" s="609"/>
      <c r="BR207" s="609"/>
      <c r="BS207" s="609"/>
      <c r="BT207" s="609"/>
      <c r="BU207" s="609"/>
      <c r="BV207" s="609"/>
      <c r="BW207" s="609"/>
      <c r="BX207" s="609"/>
      <c r="BY207" s="609"/>
      <c r="BZ207" s="609"/>
      <c r="CA207" s="609"/>
      <c r="CB207" s="609"/>
      <c r="CC207" s="609"/>
      <c r="CD207" s="609"/>
      <c r="CE207" s="609"/>
      <c r="CF207" s="609"/>
      <c r="CG207" s="609"/>
      <c r="CH207" s="609"/>
      <c r="CI207" s="609"/>
      <c r="CJ207" s="609"/>
      <c r="CK207" s="609"/>
      <c r="CL207" s="609"/>
      <c r="CM207" s="609"/>
      <c r="CN207" s="609"/>
      <c r="CO207" s="609"/>
      <c r="CP207" s="609"/>
      <c r="CQ207" s="609"/>
      <c r="CR207" s="609"/>
      <c r="CS207" s="609"/>
      <c r="CT207" s="609"/>
      <c r="CU207" s="609"/>
      <c r="CV207" s="609"/>
      <c r="CW207" s="609"/>
      <c r="CX207" s="609"/>
      <c r="CY207" s="609"/>
      <c r="CZ207" s="609"/>
      <c r="DA207" s="609"/>
      <c r="DB207" s="609"/>
      <c r="DC207" s="609"/>
      <c r="DD207" s="609"/>
      <c r="DE207" s="609"/>
      <c r="DF207" s="609"/>
      <c r="DG207" s="609"/>
      <c r="DH207" s="609"/>
      <c r="DI207" s="609"/>
      <c r="DJ207" s="609"/>
      <c r="DK207" s="609"/>
    </row>
    <row r="208" spans="69:115">
      <c r="BQ208" s="609"/>
      <c r="BR208" s="609"/>
      <c r="BS208" s="609"/>
      <c r="BT208" s="609"/>
      <c r="BU208" s="609"/>
      <c r="BV208" s="609"/>
      <c r="BW208" s="609"/>
      <c r="BX208" s="609"/>
      <c r="BY208" s="609"/>
      <c r="BZ208" s="609"/>
      <c r="CA208" s="609"/>
      <c r="CB208" s="609"/>
      <c r="CC208" s="609"/>
      <c r="CD208" s="609"/>
      <c r="CE208" s="609"/>
      <c r="CF208" s="609"/>
      <c r="CG208" s="609"/>
      <c r="CH208" s="609"/>
      <c r="CI208" s="609"/>
      <c r="CJ208" s="609"/>
      <c r="CK208" s="609"/>
      <c r="CL208" s="609"/>
      <c r="CM208" s="609"/>
      <c r="CN208" s="609"/>
      <c r="CO208" s="609"/>
      <c r="CP208" s="609"/>
      <c r="CQ208" s="609"/>
      <c r="CR208" s="609"/>
      <c r="CS208" s="609"/>
      <c r="CT208" s="609"/>
      <c r="CU208" s="609"/>
      <c r="CV208" s="609"/>
      <c r="CW208" s="609"/>
      <c r="CX208" s="609"/>
      <c r="CY208" s="609"/>
      <c r="CZ208" s="609"/>
      <c r="DA208" s="609"/>
      <c r="DB208" s="609"/>
      <c r="DC208" s="609"/>
      <c r="DD208" s="609"/>
      <c r="DE208" s="609"/>
      <c r="DF208" s="609"/>
      <c r="DG208" s="609"/>
      <c r="DH208" s="609"/>
      <c r="DI208" s="609"/>
      <c r="DJ208" s="609"/>
      <c r="DK208" s="609"/>
    </row>
    <row r="209" spans="69:115">
      <c r="BQ209" s="609"/>
      <c r="BR209" s="609"/>
      <c r="BS209" s="609"/>
      <c r="BT209" s="609"/>
      <c r="BU209" s="609"/>
      <c r="BV209" s="609"/>
      <c r="BW209" s="609"/>
      <c r="BX209" s="609"/>
      <c r="BY209" s="609"/>
      <c r="BZ209" s="609"/>
      <c r="CA209" s="609"/>
      <c r="CB209" s="609"/>
      <c r="CC209" s="609"/>
      <c r="CD209" s="609"/>
      <c r="CE209" s="609"/>
      <c r="CF209" s="609"/>
      <c r="CG209" s="609"/>
      <c r="CH209" s="609"/>
      <c r="CI209" s="609"/>
      <c r="CJ209" s="609"/>
      <c r="CK209" s="609"/>
      <c r="CL209" s="609"/>
      <c r="CM209" s="609"/>
      <c r="CN209" s="609"/>
      <c r="CO209" s="609"/>
      <c r="CP209" s="609"/>
      <c r="CQ209" s="609"/>
      <c r="CR209" s="609"/>
      <c r="CS209" s="609"/>
      <c r="CT209" s="609"/>
      <c r="CU209" s="609"/>
      <c r="CV209" s="609"/>
      <c r="CW209" s="609"/>
      <c r="CX209" s="609"/>
      <c r="CY209" s="609"/>
      <c r="CZ209" s="609"/>
      <c r="DA209" s="609"/>
      <c r="DB209" s="609"/>
      <c r="DC209" s="609"/>
      <c r="DD209" s="609"/>
      <c r="DE209" s="609"/>
      <c r="DF209" s="609"/>
      <c r="DG209" s="609"/>
      <c r="DH209" s="609"/>
      <c r="DI209" s="609"/>
      <c r="DJ209" s="609"/>
      <c r="DK209" s="609"/>
    </row>
    <row r="210" spans="69:115">
      <c r="BQ210" s="609"/>
      <c r="BR210" s="609"/>
      <c r="BS210" s="609"/>
      <c r="BT210" s="609"/>
      <c r="BU210" s="609"/>
      <c r="BV210" s="609"/>
      <c r="BW210" s="609"/>
      <c r="BX210" s="609"/>
      <c r="BY210" s="609"/>
      <c r="BZ210" s="609"/>
      <c r="CA210" s="609"/>
      <c r="CB210" s="609"/>
      <c r="CC210" s="609"/>
      <c r="CD210" s="609"/>
      <c r="CE210" s="609"/>
      <c r="CF210" s="609"/>
      <c r="CG210" s="609"/>
      <c r="CH210" s="609"/>
      <c r="CI210" s="609"/>
      <c r="CJ210" s="609"/>
      <c r="CK210" s="609"/>
      <c r="CL210" s="609"/>
      <c r="CM210" s="609"/>
      <c r="CN210" s="609"/>
      <c r="CO210" s="609"/>
      <c r="CP210" s="609"/>
      <c r="CQ210" s="609"/>
      <c r="CR210" s="609"/>
      <c r="CS210" s="609"/>
      <c r="CT210" s="609"/>
      <c r="CU210" s="609"/>
      <c r="CV210" s="609"/>
      <c r="CW210" s="609"/>
      <c r="CX210" s="609"/>
      <c r="CY210" s="609"/>
      <c r="CZ210" s="609"/>
      <c r="DA210" s="609"/>
      <c r="DB210" s="609"/>
      <c r="DC210" s="609"/>
      <c r="DD210" s="609"/>
      <c r="DE210" s="609"/>
      <c r="DF210" s="609"/>
      <c r="DG210" s="609"/>
      <c r="DH210" s="609"/>
      <c r="DI210" s="609"/>
      <c r="DJ210" s="609"/>
      <c r="DK210" s="609"/>
    </row>
    <row r="211" spans="69:115">
      <c r="BQ211" s="609"/>
      <c r="BR211" s="609"/>
      <c r="BS211" s="609"/>
      <c r="BT211" s="609"/>
      <c r="BU211" s="609"/>
      <c r="BV211" s="609"/>
      <c r="BW211" s="609"/>
      <c r="BX211" s="609"/>
      <c r="BY211" s="609"/>
      <c r="BZ211" s="609"/>
      <c r="CA211" s="609"/>
      <c r="CB211" s="609"/>
      <c r="CC211" s="609"/>
      <c r="CD211" s="609"/>
      <c r="CE211" s="609"/>
      <c r="CF211" s="609"/>
      <c r="CG211" s="609"/>
      <c r="CH211" s="609"/>
      <c r="CI211" s="609"/>
      <c r="CJ211" s="609"/>
      <c r="CK211" s="609"/>
      <c r="CL211" s="609"/>
      <c r="CM211" s="609"/>
      <c r="CN211" s="609"/>
      <c r="CO211" s="609"/>
      <c r="CP211" s="609"/>
      <c r="CQ211" s="609"/>
      <c r="CR211" s="609"/>
      <c r="CS211" s="609"/>
      <c r="CT211" s="609"/>
      <c r="CU211" s="609"/>
      <c r="CV211" s="609"/>
      <c r="CW211" s="609"/>
      <c r="CX211" s="609"/>
      <c r="CY211" s="609"/>
      <c r="CZ211" s="609"/>
      <c r="DA211" s="609"/>
      <c r="DB211" s="609"/>
      <c r="DC211" s="609"/>
      <c r="DD211" s="609"/>
      <c r="DE211" s="609"/>
      <c r="DF211" s="609"/>
      <c r="DG211" s="609"/>
      <c r="DH211" s="609"/>
      <c r="DI211" s="609"/>
      <c r="DJ211" s="609"/>
      <c r="DK211" s="609"/>
    </row>
    <row r="212" spans="69:115">
      <c r="BQ212" s="609"/>
      <c r="BR212" s="609"/>
      <c r="BS212" s="609"/>
      <c r="BT212" s="609"/>
      <c r="BU212" s="609"/>
      <c r="BV212" s="609"/>
      <c r="BW212" s="609"/>
      <c r="BX212" s="609"/>
      <c r="BY212" s="609"/>
      <c r="BZ212" s="609"/>
      <c r="CA212" s="609"/>
      <c r="CB212" s="609"/>
      <c r="CC212" s="609"/>
      <c r="CD212" s="609"/>
      <c r="CE212" s="609"/>
      <c r="CF212" s="609"/>
      <c r="CG212" s="609"/>
      <c r="CH212" s="609"/>
      <c r="CI212" s="609"/>
      <c r="CJ212" s="609"/>
      <c r="CK212" s="609"/>
      <c r="CL212" s="609"/>
      <c r="CM212" s="609"/>
      <c r="CN212" s="609"/>
      <c r="CO212" s="609"/>
      <c r="CP212" s="609"/>
      <c r="CQ212" s="609"/>
      <c r="CR212" s="609"/>
      <c r="CS212" s="609"/>
      <c r="CT212" s="609"/>
      <c r="CU212" s="609"/>
      <c r="CV212" s="609"/>
      <c r="CW212" s="609"/>
      <c r="CX212" s="609"/>
      <c r="CY212" s="609"/>
      <c r="CZ212" s="609"/>
      <c r="DA212" s="609"/>
      <c r="DB212" s="609"/>
      <c r="DC212" s="609"/>
      <c r="DD212" s="609"/>
      <c r="DE212" s="609"/>
      <c r="DF212" s="609"/>
      <c r="DG212" s="609"/>
      <c r="DH212" s="609"/>
      <c r="DI212" s="609"/>
      <c r="DJ212" s="609"/>
      <c r="DK212" s="609"/>
    </row>
    <row r="213" spans="69:115">
      <c r="BQ213" s="609"/>
      <c r="BR213" s="609"/>
      <c r="BS213" s="609"/>
      <c r="BT213" s="609"/>
      <c r="BU213" s="609"/>
      <c r="BV213" s="609"/>
      <c r="BW213" s="609"/>
      <c r="BX213" s="609"/>
      <c r="BY213" s="609"/>
      <c r="BZ213" s="609"/>
      <c r="CA213" s="609"/>
      <c r="CB213" s="609"/>
      <c r="CC213" s="609"/>
      <c r="CD213" s="609"/>
      <c r="CE213" s="609"/>
      <c r="CF213" s="609"/>
      <c r="CG213" s="609"/>
      <c r="CH213" s="609"/>
      <c r="CI213" s="609"/>
      <c r="CJ213" s="609"/>
      <c r="CK213" s="609"/>
      <c r="CL213" s="609"/>
      <c r="CM213" s="609"/>
      <c r="CN213" s="609"/>
      <c r="CO213" s="609"/>
      <c r="CP213" s="609"/>
      <c r="CQ213" s="609"/>
      <c r="CR213" s="609"/>
      <c r="CS213" s="609"/>
      <c r="CT213" s="609"/>
      <c r="CU213" s="609"/>
      <c r="CV213" s="609"/>
      <c r="CW213" s="609"/>
      <c r="CX213" s="609"/>
      <c r="CY213" s="609"/>
      <c r="CZ213" s="609"/>
      <c r="DA213" s="609"/>
      <c r="DB213" s="609"/>
      <c r="DC213" s="609"/>
      <c r="DD213" s="609"/>
      <c r="DE213" s="609"/>
      <c r="DF213" s="609"/>
      <c r="DG213" s="609"/>
      <c r="DH213" s="609"/>
      <c r="DI213" s="609"/>
      <c r="DJ213" s="609"/>
      <c r="DK213" s="609"/>
    </row>
    <row r="214" spans="69:115">
      <c r="BQ214" s="609"/>
      <c r="BR214" s="609"/>
      <c r="BS214" s="609"/>
      <c r="BT214" s="609"/>
      <c r="BU214" s="609"/>
      <c r="BV214" s="609"/>
      <c r="BW214" s="609"/>
      <c r="BX214" s="609"/>
      <c r="BY214" s="609"/>
      <c r="BZ214" s="609"/>
      <c r="CA214" s="609"/>
      <c r="CB214" s="609"/>
      <c r="CC214" s="609"/>
      <c r="CD214" s="609"/>
      <c r="CE214" s="609"/>
      <c r="CF214" s="609"/>
      <c r="CG214" s="609"/>
      <c r="CH214" s="609"/>
      <c r="CI214" s="609"/>
      <c r="CJ214" s="609"/>
      <c r="CK214" s="609"/>
      <c r="CL214" s="609"/>
      <c r="CM214" s="609"/>
      <c r="CN214" s="609"/>
      <c r="CO214" s="609"/>
      <c r="CP214" s="609"/>
      <c r="CQ214" s="609"/>
      <c r="CR214" s="609"/>
      <c r="CS214" s="609"/>
      <c r="CT214" s="609"/>
      <c r="CU214" s="609"/>
      <c r="CV214" s="609"/>
      <c r="CW214" s="609"/>
      <c r="CX214" s="609"/>
      <c r="CY214" s="609"/>
      <c r="CZ214" s="609"/>
      <c r="DA214" s="609"/>
      <c r="DB214" s="609"/>
      <c r="DC214" s="609"/>
      <c r="DD214" s="609"/>
      <c r="DE214" s="609"/>
      <c r="DF214" s="609"/>
      <c r="DG214" s="609"/>
      <c r="DH214" s="609"/>
      <c r="DI214" s="609"/>
      <c r="DJ214" s="609"/>
      <c r="DK214" s="609"/>
    </row>
    <row r="215" spans="69:115">
      <c r="BQ215" s="609"/>
      <c r="BR215" s="609"/>
      <c r="BS215" s="609"/>
      <c r="BT215" s="609"/>
      <c r="BU215" s="609"/>
      <c r="BV215" s="609"/>
      <c r="BW215" s="609"/>
      <c r="BX215" s="609"/>
      <c r="BY215" s="609"/>
      <c r="BZ215" s="609"/>
      <c r="CA215" s="609"/>
      <c r="CB215" s="609"/>
      <c r="CC215" s="609"/>
      <c r="CD215" s="609"/>
      <c r="CE215" s="609"/>
      <c r="CF215" s="609"/>
      <c r="CG215" s="609"/>
      <c r="CH215" s="609"/>
      <c r="CI215" s="609"/>
      <c r="CJ215" s="609"/>
      <c r="CK215" s="609"/>
      <c r="CL215" s="609"/>
      <c r="CM215" s="609"/>
      <c r="CN215" s="609"/>
      <c r="CO215" s="609"/>
      <c r="CP215" s="609"/>
      <c r="CQ215" s="609"/>
      <c r="CR215" s="609"/>
      <c r="CS215" s="609"/>
      <c r="CT215" s="609"/>
      <c r="CU215" s="609"/>
      <c r="CV215" s="609"/>
      <c r="CW215" s="609"/>
      <c r="CX215" s="609"/>
      <c r="CY215" s="609"/>
      <c r="CZ215" s="609"/>
      <c r="DA215" s="609"/>
      <c r="DB215" s="609"/>
      <c r="DC215" s="609"/>
      <c r="DD215" s="609"/>
      <c r="DE215" s="609"/>
      <c r="DF215" s="609"/>
      <c r="DG215" s="609"/>
      <c r="DH215" s="609"/>
      <c r="DI215" s="609"/>
      <c r="DJ215" s="609"/>
      <c r="DK215" s="609"/>
    </row>
    <row r="216" spans="69:115">
      <c r="BQ216" s="609"/>
      <c r="BR216" s="609"/>
      <c r="BS216" s="609"/>
      <c r="BT216" s="609"/>
      <c r="BU216" s="609"/>
      <c r="BV216" s="609"/>
      <c r="BW216" s="609"/>
      <c r="BX216" s="609"/>
      <c r="BY216" s="609"/>
      <c r="BZ216" s="609"/>
      <c r="CA216" s="609"/>
      <c r="CB216" s="609"/>
      <c r="CC216" s="609"/>
      <c r="CD216" s="609"/>
      <c r="CE216" s="609"/>
      <c r="CF216" s="609"/>
      <c r="CG216" s="609"/>
      <c r="CH216" s="609"/>
      <c r="CI216" s="609"/>
      <c r="CJ216" s="609"/>
      <c r="CK216" s="609"/>
      <c r="CL216" s="609"/>
      <c r="CM216" s="609"/>
      <c r="CN216" s="609"/>
      <c r="CO216" s="609"/>
      <c r="CP216" s="609"/>
      <c r="CQ216" s="609"/>
      <c r="CR216" s="609"/>
      <c r="CS216" s="609"/>
      <c r="CT216" s="609"/>
      <c r="CU216" s="609"/>
      <c r="CV216" s="609"/>
      <c r="CW216" s="609"/>
      <c r="CX216" s="609"/>
      <c r="CY216" s="609"/>
      <c r="CZ216" s="609"/>
      <c r="DA216" s="609"/>
      <c r="DB216" s="609"/>
      <c r="DC216" s="609"/>
      <c r="DD216" s="609"/>
      <c r="DE216" s="609"/>
      <c r="DF216" s="609"/>
      <c r="DG216" s="609"/>
      <c r="DH216" s="609"/>
      <c r="DI216" s="609"/>
      <c r="DJ216" s="609"/>
      <c r="DK216" s="609"/>
    </row>
    <row r="217" spans="69:115">
      <c r="BQ217" s="609"/>
      <c r="BR217" s="609"/>
      <c r="BS217" s="609"/>
      <c r="BT217" s="609"/>
      <c r="BU217" s="609"/>
      <c r="BV217" s="609"/>
      <c r="BW217" s="609"/>
      <c r="BX217" s="609"/>
      <c r="BY217" s="609"/>
      <c r="BZ217" s="609"/>
      <c r="CA217" s="609"/>
      <c r="CB217" s="609"/>
      <c r="CC217" s="609"/>
      <c r="CD217" s="609"/>
      <c r="CE217" s="609"/>
      <c r="CF217" s="609"/>
      <c r="CG217" s="609"/>
      <c r="CH217" s="609"/>
      <c r="CI217" s="609"/>
      <c r="CJ217" s="609"/>
      <c r="CK217" s="609"/>
      <c r="CL217" s="609"/>
      <c r="CM217" s="609"/>
      <c r="CN217" s="609"/>
      <c r="CO217" s="609"/>
      <c r="CP217" s="609"/>
      <c r="CQ217" s="609"/>
      <c r="CR217" s="609"/>
      <c r="CS217" s="609"/>
      <c r="CT217" s="609"/>
      <c r="CU217" s="609"/>
      <c r="CV217" s="609"/>
      <c r="CW217" s="609"/>
      <c r="CX217" s="609"/>
      <c r="CY217" s="609"/>
      <c r="CZ217" s="609"/>
      <c r="DA217" s="609"/>
      <c r="DB217" s="609"/>
      <c r="DC217" s="609"/>
      <c r="DD217" s="609"/>
      <c r="DE217" s="609"/>
      <c r="DF217" s="609"/>
      <c r="DG217" s="609"/>
      <c r="DH217" s="609"/>
      <c r="DI217" s="609"/>
      <c r="DJ217" s="609"/>
      <c r="DK217" s="609"/>
    </row>
    <row r="218" spans="69:115">
      <c r="BQ218" s="609"/>
      <c r="BR218" s="609"/>
      <c r="BS218" s="609"/>
      <c r="BT218" s="609"/>
      <c r="BU218" s="609"/>
      <c r="BV218" s="609"/>
      <c r="BW218" s="609"/>
      <c r="BX218" s="609"/>
      <c r="BY218" s="609"/>
      <c r="BZ218" s="609"/>
      <c r="CA218" s="609"/>
      <c r="CB218" s="609"/>
      <c r="CC218" s="609"/>
      <c r="CD218" s="609"/>
      <c r="CE218" s="609"/>
      <c r="CF218" s="609"/>
      <c r="CG218" s="609"/>
      <c r="CH218" s="609"/>
      <c r="CI218" s="609"/>
      <c r="CJ218" s="609"/>
      <c r="CK218" s="609"/>
      <c r="CL218" s="609"/>
      <c r="CM218" s="609"/>
      <c r="CN218" s="609"/>
      <c r="CO218" s="609"/>
      <c r="CP218" s="609"/>
      <c r="CQ218" s="609"/>
      <c r="CR218" s="609"/>
      <c r="CS218" s="609"/>
      <c r="CT218" s="609"/>
      <c r="CU218" s="609"/>
      <c r="CV218" s="609"/>
      <c r="CW218" s="609"/>
      <c r="CX218" s="609"/>
      <c r="CY218" s="609"/>
      <c r="CZ218" s="609"/>
      <c r="DA218" s="609"/>
      <c r="DB218" s="609"/>
      <c r="DC218" s="609"/>
      <c r="DD218" s="609"/>
      <c r="DE218" s="609"/>
      <c r="DF218" s="609"/>
      <c r="DG218" s="609"/>
      <c r="DH218" s="609"/>
      <c r="DI218" s="609"/>
      <c r="DJ218" s="609"/>
      <c r="DK218" s="609"/>
    </row>
    <row r="219" spans="69:115">
      <c r="BQ219" s="609"/>
      <c r="BR219" s="609"/>
      <c r="BS219" s="609"/>
      <c r="BT219" s="609"/>
      <c r="BU219" s="609"/>
      <c r="BV219" s="609"/>
      <c r="BW219" s="609"/>
      <c r="BX219" s="609"/>
      <c r="BY219" s="609"/>
      <c r="BZ219" s="609"/>
      <c r="CA219" s="609"/>
      <c r="CB219" s="609"/>
      <c r="CC219" s="609"/>
      <c r="CD219" s="609"/>
      <c r="CE219" s="609"/>
      <c r="CF219" s="609"/>
      <c r="CG219" s="609"/>
      <c r="CH219" s="609"/>
      <c r="CI219" s="609"/>
      <c r="CJ219" s="609"/>
      <c r="CK219" s="609"/>
      <c r="CL219" s="609"/>
      <c r="CM219" s="609"/>
      <c r="CN219" s="609"/>
      <c r="CO219" s="609"/>
      <c r="CP219" s="609"/>
      <c r="CQ219" s="609"/>
      <c r="CR219" s="609"/>
      <c r="CS219" s="609"/>
      <c r="CT219" s="609"/>
      <c r="CU219" s="609"/>
      <c r="CV219" s="609"/>
      <c r="CW219" s="609"/>
      <c r="CX219" s="609"/>
      <c r="CY219" s="609"/>
      <c r="CZ219" s="609"/>
      <c r="DA219" s="609"/>
      <c r="DB219" s="609"/>
      <c r="DC219" s="609"/>
      <c r="DD219" s="609"/>
      <c r="DE219" s="609"/>
      <c r="DF219" s="609"/>
      <c r="DG219" s="609"/>
      <c r="DH219" s="609"/>
      <c r="DI219" s="609"/>
      <c r="DJ219" s="609"/>
      <c r="DK219" s="609"/>
    </row>
    <row r="220" spans="69:115">
      <c r="BQ220" s="609"/>
      <c r="BR220" s="609"/>
      <c r="BS220" s="609"/>
      <c r="BT220" s="609"/>
      <c r="BU220" s="609"/>
      <c r="BV220" s="609"/>
      <c r="BW220" s="609"/>
      <c r="BX220" s="609"/>
      <c r="BY220" s="609"/>
      <c r="BZ220" s="609"/>
      <c r="CA220" s="609"/>
      <c r="CB220" s="609"/>
      <c r="CC220" s="609"/>
      <c r="CD220" s="609"/>
      <c r="CE220" s="609"/>
      <c r="CF220" s="609"/>
      <c r="CG220" s="609"/>
      <c r="CH220" s="609"/>
      <c r="CI220" s="609"/>
      <c r="CJ220" s="609"/>
      <c r="CK220" s="609"/>
      <c r="CL220" s="609"/>
      <c r="CM220" s="609"/>
      <c r="CN220" s="609"/>
      <c r="CO220" s="609"/>
      <c r="CP220" s="609"/>
      <c r="CQ220" s="609"/>
      <c r="CR220" s="609"/>
      <c r="CS220" s="609"/>
      <c r="CT220" s="609"/>
      <c r="CU220" s="609"/>
      <c r="CV220" s="609"/>
      <c r="CW220" s="609"/>
      <c r="CX220" s="609"/>
      <c r="CY220" s="609"/>
      <c r="CZ220" s="609"/>
      <c r="DA220" s="609"/>
      <c r="DB220" s="609"/>
      <c r="DC220" s="609"/>
      <c r="DD220" s="609"/>
      <c r="DE220" s="609"/>
      <c r="DF220" s="609"/>
      <c r="DG220" s="609"/>
      <c r="DH220" s="609"/>
      <c r="DI220" s="609"/>
      <c r="DJ220" s="609"/>
      <c r="DK220" s="609"/>
    </row>
    <row r="221" spans="69:115">
      <c r="BQ221" s="609"/>
      <c r="BR221" s="609"/>
      <c r="BS221" s="609"/>
      <c r="BT221" s="609"/>
      <c r="BU221" s="609"/>
      <c r="BV221" s="609"/>
      <c r="BW221" s="609"/>
      <c r="BX221" s="609"/>
      <c r="BY221" s="609"/>
      <c r="BZ221" s="609"/>
      <c r="CA221" s="609"/>
      <c r="CB221" s="609"/>
      <c r="CC221" s="609"/>
      <c r="CD221" s="609"/>
      <c r="CE221" s="609"/>
      <c r="CF221" s="609"/>
      <c r="CG221" s="609"/>
      <c r="CH221" s="609"/>
      <c r="CI221" s="609"/>
      <c r="CJ221" s="609"/>
      <c r="CK221" s="609"/>
      <c r="CL221" s="609"/>
      <c r="CM221" s="609"/>
      <c r="CN221" s="609"/>
      <c r="CO221" s="609"/>
      <c r="CP221" s="609"/>
      <c r="CQ221" s="609"/>
      <c r="CR221" s="609"/>
      <c r="CS221" s="609"/>
      <c r="CT221" s="609"/>
      <c r="CU221" s="609"/>
      <c r="CV221" s="609"/>
      <c r="CW221" s="609"/>
      <c r="CX221" s="609"/>
      <c r="CY221" s="609"/>
      <c r="CZ221" s="609"/>
      <c r="DA221" s="609"/>
      <c r="DB221" s="609"/>
      <c r="DC221" s="609"/>
      <c r="DD221" s="609"/>
      <c r="DE221" s="609"/>
      <c r="DF221" s="609"/>
      <c r="DG221" s="609"/>
      <c r="DH221" s="609"/>
      <c r="DI221" s="609"/>
      <c r="DJ221" s="609"/>
      <c r="DK221" s="609"/>
    </row>
    <row r="222" spans="69:115">
      <c r="BQ222" s="609"/>
      <c r="BR222" s="609"/>
      <c r="BS222" s="609"/>
      <c r="BT222" s="609"/>
      <c r="BU222" s="609"/>
      <c r="BV222" s="609"/>
      <c r="BW222" s="609"/>
      <c r="BX222" s="609"/>
      <c r="BY222" s="609"/>
      <c r="BZ222" s="609"/>
      <c r="CA222" s="609"/>
      <c r="CB222" s="609"/>
      <c r="CC222" s="609"/>
      <c r="CD222" s="609"/>
      <c r="CE222" s="609"/>
      <c r="CF222" s="609"/>
      <c r="CG222" s="609"/>
      <c r="CH222" s="609"/>
      <c r="CI222" s="609"/>
      <c r="CJ222" s="609"/>
      <c r="CK222" s="609"/>
      <c r="CL222" s="609"/>
      <c r="CM222" s="609"/>
      <c r="CN222" s="609"/>
      <c r="CO222" s="609"/>
      <c r="CP222" s="609"/>
      <c r="CQ222" s="609"/>
      <c r="CR222" s="609"/>
      <c r="CS222" s="609"/>
      <c r="CT222" s="609"/>
      <c r="CU222" s="609"/>
      <c r="CV222" s="609"/>
      <c r="CW222" s="609"/>
      <c r="CX222" s="609"/>
      <c r="CY222" s="609"/>
      <c r="CZ222" s="609"/>
      <c r="DA222" s="609"/>
      <c r="DB222" s="609"/>
      <c r="DC222" s="609"/>
      <c r="DD222" s="609"/>
      <c r="DE222" s="609"/>
      <c r="DF222" s="609"/>
      <c r="DG222" s="609"/>
      <c r="DH222" s="609"/>
      <c r="DI222" s="609"/>
      <c r="DJ222" s="609"/>
      <c r="DK222" s="609"/>
    </row>
    <row r="223" spans="69:115">
      <c r="BQ223" s="609"/>
      <c r="BR223" s="609"/>
      <c r="BS223" s="609"/>
      <c r="BT223" s="609"/>
      <c r="BU223" s="609"/>
      <c r="BV223" s="609"/>
      <c r="BW223" s="609"/>
      <c r="BX223" s="609"/>
      <c r="BY223" s="609"/>
      <c r="BZ223" s="609"/>
      <c r="CA223" s="609"/>
      <c r="CB223" s="609"/>
      <c r="CC223" s="609"/>
      <c r="CD223" s="609"/>
      <c r="CE223" s="609"/>
      <c r="CF223" s="609"/>
      <c r="CG223" s="609"/>
      <c r="CH223" s="609"/>
      <c r="CI223" s="609"/>
      <c r="CJ223" s="609"/>
      <c r="CK223" s="609"/>
      <c r="CL223" s="609"/>
      <c r="CM223" s="609"/>
      <c r="CN223" s="609"/>
      <c r="CO223" s="609"/>
      <c r="CP223" s="609"/>
      <c r="CQ223" s="609"/>
      <c r="CR223" s="609"/>
      <c r="CS223" s="609"/>
      <c r="CT223" s="609"/>
      <c r="CU223" s="609"/>
      <c r="CV223" s="609"/>
      <c r="CW223" s="609"/>
      <c r="CX223" s="609"/>
      <c r="CY223" s="609"/>
      <c r="CZ223" s="609"/>
      <c r="DA223" s="609"/>
      <c r="DB223" s="609"/>
      <c r="DC223" s="609"/>
      <c r="DD223" s="609"/>
      <c r="DE223" s="609"/>
      <c r="DF223" s="609"/>
      <c r="DG223" s="609"/>
      <c r="DH223" s="609"/>
      <c r="DI223" s="609"/>
      <c r="DJ223" s="609"/>
      <c r="DK223" s="609"/>
    </row>
    <row r="224" spans="69:115">
      <c r="BQ224" s="609"/>
      <c r="BR224" s="609"/>
      <c r="BS224" s="609"/>
      <c r="BT224" s="609"/>
      <c r="BU224" s="609"/>
      <c r="BV224" s="609"/>
      <c r="BW224" s="609"/>
      <c r="BX224" s="609"/>
      <c r="BY224" s="609"/>
      <c r="BZ224" s="609"/>
      <c r="CA224" s="609"/>
      <c r="CB224" s="609"/>
      <c r="CC224" s="609"/>
      <c r="CD224" s="609"/>
      <c r="CE224" s="609"/>
      <c r="CF224" s="609"/>
      <c r="CG224" s="609"/>
      <c r="CH224" s="609"/>
      <c r="CI224" s="609"/>
      <c r="CJ224" s="609"/>
      <c r="CK224" s="609"/>
      <c r="CL224" s="609"/>
      <c r="CM224" s="609"/>
      <c r="CN224" s="609"/>
      <c r="CO224" s="609"/>
      <c r="CP224" s="609"/>
      <c r="CQ224" s="609"/>
      <c r="CR224" s="609"/>
      <c r="CS224" s="609"/>
      <c r="CT224" s="609"/>
      <c r="CU224" s="609"/>
      <c r="CV224" s="609"/>
      <c r="CW224" s="609"/>
      <c r="CX224" s="609"/>
      <c r="CY224" s="609"/>
      <c r="CZ224" s="609"/>
      <c r="DA224" s="609"/>
      <c r="DB224" s="609"/>
      <c r="DC224" s="609"/>
      <c r="DD224" s="609"/>
      <c r="DE224" s="609"/>
      <c r="DF224" s="609"/>
      <c r="DG224" s="609"/>
      <c r="DH224" s="609"/>
      <c r="DI224" s="609"/>
      <c r="DJ224" s="609"/>
      <c r="DK224" s="609"/>
    </row>
    <row r="225" spans="69:115">
      <c r="BQ225" s="609"/>
      <c r="BR225" s="609"/>
      <c r="BS225" s="609"/>
      <c r="BT225" s="609"/>
      <c r="BU225" s="609"/>
      <c r="BV225" s="609"/>
      <c r="BW225" s="609"/>
      <c r="BX225" s="609"/>
      <c r="BY225" s="609"/>
      <c r="BZ225" s="609"/>
      <c r="CA225" s="609"/>
      <c r="CB225" s="609"/>
      <c r="CC225" s="609"/>
      <c r="CD225" s="609"/>
      <c r="CE225" s="609"/>
      <c r="CF225" s="609"/>
      <c r="CG225" s="609"/>
      <c r="CH225" s="609"/>
      <c r="CI225" s="609"/>
      <c r="CJ225" s="609"/>
      <c r="CK225" s="609"/>
      <c r="CL225" s="609"/>
      <c r="CM225" s="609"/>
      <c r="CN225" s="609"/>
      <c r="CO225" s="609"/>
      <c r="CP225" s="609"/>
      <c r="CQ225" s="609"/>
      <c r="CR225" s="609"/>
      <c r="CS225" s="609"/>
      <c r="CT225" s="609"/>
      <c r="CU225" s="609"/>
      <c r="CV225" s="609"/>
      <c r="CW225" s="609"/>
      <c r="CX225" s="609"/>
      <c r="CY225" s="609"/>
      <c r="CZ225" s="609"/>
      <c r="DA225" s="609"/>
      <c r="DB225" s="609"/>
      <c r="DC225" s="609"/>
      <c r="DD225" s="609"/>
      <c r="DE225" s="609"/>
      <c r="DF225" s="609"/>
      <c r="DG225" s="609"/>
      <c r="DH225" s="609"/>
      <c r="DI225" s="609"/>
      <c r="DJ225" s="609"/>
      <c r="DK225" s="609"/>
    </row>
    <row r="226" spans="69:115">
      <c r="BQ226" s="609"/>
      <c r="BR226" s="609"/>
      <c r="BS226" s="609"/>
      <c r="BT226" s="609"/>
      <c r="BU226" s="609"/>
      <c r="BV226" s="609"/>
      <c r="BW226" s="609"/>
      <c r="BX226" s="609"/>
      <c r="BY226" s="609"/>
      <c r="BZ226" s="609"/>
      <c r="CA226" s="609"/>
      <c r="CB226" s="609"/>
      <c r="CC226" s="609"/>
      <c r="CD226" s="609"/>
      <c r="CE226" s="609"/>
      <c r="CF226" s="609"/>
      <c r="CG226" s="609"/>
      <c r="CH226" s="609"/>
      <c r="CI226" s="609"/>
      <c r="CJ226" s="609"/>
      <c r="CK226" s="609"/>
      <c r="CL226" s="609"/>
      <c r="CM226" s="609"/>
      <c r="CN226" s="609"/>
      <c r="CO226" s="609"/>
      <c r="CP226" s="609"/>
      <c r="CQ226" s="609"/>
      <c r="CR226" s="609"/>
      <c r="CS226" s="609"/>
      <c r="CT226" s="609"/>
      <c r="CU226" s="609"/>
      <c r="CV226" s="609"/>
      <c r="CW226" s="609"/>
      <c r="CX226" s="609"/>
      <c r="CY226" s="609"/>
      <c r="CZ226" s="609"/>
      <c r="DA226" s="609"/>
      <c r="DB226" s="609"/>
      <c r="DC226" s="609"/>
      <c r="DD226" s="609"/>
      <c r="DE226" s="609"/>
      <c r="DF226" s="609"/>
      <c r="DG226" s="609"/>
      <c r="DH226" s="609"/>
      <c r="DI226" s="609"/>
      <c r="DJ226" s="609"/>
      <c r="DK226" s="609"/>
    </row>
    <row r="227" spans="69:115">
      <c r="BQ227" s="609"/>
      <c r="BR227" s="609"/>
      <c r="BS227" s="609"/>
      <c r="BT227" s="609"/>
      <c r="BU227" s="609"/>
      <c r="BV227" s="609"/>
      <c r="BW227" s="609"/>
      <c r="BX227" s="609"/>
      <c r="BY227" s="609"/>
      <c r="BZ227" s="609"/>
      <c r="CA227" s="609"/>
      <c r="CB227" s="609"/>
      <c r="CC227" s="609"/>
      <c r="CD227" s="609"/>
      <c r="CE227" s="609"/>
      <c r="CF227" s="609"/>
      <c r="CG227" s="609"/>
      <c r="CH227" s="609"/>
      <c r="CI227" s="609"/>
      <c r="CJ227" s="609"/>
      <c r="CK227" s="609"/>
      <c r="CL227" s="609"/>
      <c r="CM227" s="609"/>
      <c r="CN227" s="609"/>
      <c r="CO227" s="609"/>
      <c r="CP227" s="609"/>
      <c r="CQ227" s="609"/>
      <c r="CR227" s="609"/>
      <c r="CS227" s="609"/>
      <c r="CT227" s="609"/>
      <c r="CU227" s="609"/>
      <c r="CV227" s="609"/>
      <c r="CW227" s="609"/>
      <c r="CX227" s="609"/>
      <c r="CY227" s="609"/>
      <c r="CZ227" s="609"/>
      <c r="DA227" s="609"/>
      <c r="DB227" s="609"/>
      <c r="DC227" s="609"/>
      <c r="DD227" s="609"/>
      <c r="DE227" s="609"/>
      <c r="DF227" s="609"/>
      <c r="DG227" s="609"/>
      <c r="DH227" s="609"/>
      <c r="DI227" s="609"/>
      <c r="DJ227" s="609"/>
      <c r="DK227" s="609"/>
    </row>
    <row r="228" spans="69:115">
      <c r="BQ228" s="609"/>
      <c r="BR228" s="609"/>
      <c r="BS228" s="609"/>
      <c r="BT228" s="609"/>
      <c r="BU228" s="609"/>
      <c r="BV228" s="609"/>
      <c r="BW228" s="609"/>
      <c r="BX228" s="609"/>
      <c r="BY228" s="609"/>
      <c r="BZ228" s="609"/>
      <c r="CA228" s="609"/>
      <c r="CB228" s="609"/>
      <c r="CC228" s="609"/>
      <c r="CD228" s="609"/>
      <c r="CE228" s="609"/>
      <c r="CF228" s="609"/>
      <c r="CG228" s="609"/>
      <c r="CH228" s="609"/>
      <c r="CI228" s="609"/>
      <c r="CJ228" s="609"/>
      <c r="CK228" s="609"/>
      <c r="CL228" s="609"/>
      <c r="CM228" s="609"/>
      <c r="CN228" s="609"/>
      <c r="CO228" s="609"/>
      <c r="CP228" s="609"/>
      <c r="CQ228" s="609"/>
      <c r="CR228" s="609"/>
      <c r="CS228" s="609"/>
      <c r="CT228" s="609"/>
      <c r="CU228" s="609"/>
      <c r="CV228" s="609"/>
      <c r="CW228" s="609"/>
      <c r="CX228" s="609"/>
      <c r="CY228" s="609"/>
      <c r="CZ228" s="609"/>
      <c r="DA228" s="609"/>
      <c r="DB228" s="609"/>
      <c r="DC228" s="609"/>
      <c r="DD228" s="609"/>
      <c r="DE228" s="609"/>
      <c r="DF228" s="609"/>
      <c r="DG228" s="609"/>
      <c r="DH228" s="609"/>
      <c r="DI228" s="609"/>
      <c r="DJ228" s="609"/>
      <c r="DK228" s="609"/>
    </row>
    <row r="229" spans="69:115">
      <c r="BQ229" s="609"/>
      <c r="BR229" s="609"/>
      <c r="BS229" s="609"/>
      <c r="BT229" s="609"/>
      <c r="BU229" s="609"/>
      <c r="BV229" s="609"/>
      <c r="BW229" s="609"/>
      <c r="BX229" s="609"/>
      <c r="BY229" s="609"/>
      <c r="BZ229" s="609"/>
      <c r="CA229" s="609"/>
      <c r="CB229" s="609"/>
      <c r="CC229" s="609"/>
      <c r="CD229" s="609"/>
      <c r="CE229" s="609"/>
      <c r="CF229" s="609"/>
      <c r="CG229" s="609"/>
      <c r="CH229" s="609"/>
      <c r="CI229" s="609"/>
      <c r="CJ229" s="609"/>
      <c r="CK229" s="609"/>
      <c r="CL229" s="609"/>
      <c r="CM229" s="609"/>
      <c r="CN229" s="609"/>
      <c r="CO229" s="609"/>
      <c r="CP229" s="609"/>
      <c r="CQ229" s="609"/>
      <c r="CR229" s="609"/>
      <c r="CS229" s="609"/>
      <c r="CT229" s="609"/>
      <c r="CU229" s="609"/>
      <c r="CV229" s="609"/>
      <c r="CW229" s="609"/>
      <c r="CX229" s="609"/>
      <c r="CY229" s="609"/>
      <c r="CZ229" s="609"/>
      <c r="DA229" s="609"/>
      <c r="DB229" s="609"/>
      <c r="DC229" s="609"/>
      <c r="DD229" s="609"/>
      <c r="DE229" s="609"/>
      <c r="DF229" s="609"/>
      <c r="DG229" s="609"/>
      <c r="DH229" s="609"/>
      <c r="DI229" s="609"/>
      <c r="DJ229" s="609"/>
      <c r="DK229" s="609"/>
    </row>
    <row r="230" spans="69:115">
      <c r="BQ230" s="609"/>
      <c r="BR230" s="609"/>
      <c r="BS230" s="609"/>
      <c r="BT230" s="609"/>
      <c r="BU230" s="609"/>
      <c r="BV230" s="609"/>
      <c r="BW230" s="609"/>
      <c r="BX230" s="609"/>
      <c r="BY230" s="609"/>
      <c r="BZ230" s="609"/>
      <c r="CA230" s="609"/>
      <c r="CB230" s="609"/>
      <c r="CC230" s="609"/>
      <c r="CD230" s="609"/>
      <c r="CE230" s="609"/>
      <c r="CF230" s="609"/>
      <c r="CG230" s="609"/>
      <c r="CH230" s="609"/>
      <c r="CI230" s="609"/>
      <c r="CJ230" s="609"/>
      <c r="CK230" s="609"/>
      <c r="CL230" s="609"/>
      <c r="CM230" s="609"/>
      <c r="CN230" s="609"/>
      <c r="CO230" s="609"/>
      <c r="CP230" s="609"/>
      <c r="CQ230" s="609"/>
      <c r="CR230" s="609"/>
      <c r="CS230" s="609"/>
      <c r="CT230" s="609"/>
      <c r="CU230" s="609"/>
      <c r="CV230" s="609"/>
      <c r="CW230" s="609"/>
      <c r="CX230" s="609"/>
      <c r="CY230" s="609"/>
      <c r="CZ230" s="609"/>
      <c r="DA230" s="609"/>
      <c r="DB230" s="609"/>
      <c r="DC230" s="609"/>
      <c r="DD230" s="609"/>
      <c r="DE230" s="609"/>
      <c r="DF230" s="609"/>
      <c r="DG230" s="609"/>
      <c r="DH230" s="609"/>
      <c r="DI230" s="609"/>
      <c r="DJ230" s="609"/>
      <c r="DK230" s="609"/>
    </row>
    <row r="231" spans="69:115">
      <c r="BQ231" s="609"/>
      <c r="BR231" s="609"/>
      <c r="BS231" s="609"/>
      <c r="BT231" s="609"/>
      <c r="BU231" s="609"/>
      <c r="BV231" s="609"/>
      <c r="BW231" s="609"/>
      <c r="BX231" s="609"/>
      <c r="BY231" s="609"/>
      <c r="BZ231" s="609"/>
      <c r="CA231" s="609"/>
      <c r="CB231" s="609"/>
      <c r="CC231" s="609"/>
      <c r="CD231" s="609"/>
      <c r="CE231" s="609"/>
      <c r="CF231" s="609"/>
      <c r="CG231" s="609"/>
      <c r="CH231" s="609"/>
      <c r="CI231" s="609"/>
      <c r="CJ231" s="609"/>
      <c r="CK231" s="609"/>
      <c r="CL231" s="609"/>
      <c r="CM231" s="609"/>
      <c r="CN231" s="609"/>
      <c r="CO231" s="609"/>
      <c r="CP231" s="609"/>
      <c r="CQ231" s="609"/>
      <c r="CR231" s="609"/>
      <c r="CS231" s="609"/>
      <c r="CT231" s="609"/>
      <c r="CU231" s="609"/>
      <c r="CV231" s="609"/>
      <c r="CW231" s="609"/>
      <c r="CX231" s="609"/>
      <c r="CY231" s="609"/>
      <c r="CZ231" s="609"/>
      <c r="DA231" s="609"/>
      <c r="DB231" s="609"/>
      <c r="DC231" s="609"/>
      <c r="DD231" s="609"/>
      <c r="DE231" s="609"/>
      <c r="DF231" s="609"/>
      <c r="DG231" s="609"/>
      <c r="DH231" s="609"/>
      <c r="DI231" s="609"/>
      <c r="DJ231" s="609"/>
      <c r="DK231" s="609"/>
    </row>
    <row r="232" spans="69:115">
      <c r="BQ232" s="609"/>
      <c r="BR232" s="609"/>
      <c r="BS232" s="609"/>
      <c r="BT232" s="609"/>
      <c r="BU232" s="609"/>
      <c r="BV232" s="609"/>
      <c r="BW232" s="609"/>
      <c r="BX232" s="609"/>
      <c r="BY232" s="609"/>
      <c r="BZ232" s="609"/>
      <c r="CA232" s="609"/>
      <c r="CB232" s="609"/>
      <c r="CC232" s="609"/>
      <c r="CD232" s="609"/>
      <c r="CE232" s="609"/>
      <c r="CF232" s="609"/>
      <c r="CG232" s="609"/>
      <c r="CH232" s="609"/>
      <c r="CI232" s="609"/>
      <c r="CJ232" s="609"/>
      <c r="CK232" s="609"/>
      <c r="CL232" s="609"/>
      <c r="CM232" s="609"/>
      <c r="CN232" s="609"/>
      <c r="CO232" s="609"/>
      <c r="CP232" s="609"/>
      <c r="CQ232" s="609"/>
      <c r="CR232" s="609"/>
      <c r="CS232" s="609"/>
      <c r="CT232" s="609"/>
      <c r="CU232" s="609"/>
      <c r="CV232" s="609"/>
      <c r="CW232" s="609"/>
      <c r="CX232" s="609"/>
      <c r="CY232" s="609"/>
      <c r="CZ232" s="609"/>
      <c r="DA232" s="609"/>
      <c r="DB232" s="609"/>
      <c r="DC232" s="609"/>
      <c r="DD232" s="609"/>
      <c r="DE232" s="609"/>
      <c r="DF232" s="609"/>
      <c r="DG232" s="609"/>
      <c r="DH232" s="609"/>
      <c r="DI232" s="609"/>
      <c r="DJ232" s="609"/>
      <c r="DK232" s="609"/>
    </row>
    <row r="233" spans="69:115">
      <c r="BQ233" s="609"/>
      <c r="BR233" s="609"/>
      <c r="BS233" s="609"/>
      <c r="BT233" s="609"/>
      <c r="BU233" s="609"/>
      <c r="BV233" s="609"/>
      <c r="BW233" s="609"/>
      <c r="BX233" s="609"/>
      <c r="BY233" s="609"/>
      <c r="BZ233" s="609"/>
      <c r="CA233" s="609"/>
      <c r="CB233" s="609"/>
      <c r="CC233" s="609"/>
      <c r="CD233" s="609"/>
      <c r="CE233" s="609"/>
      <c r="CF233" s="609"/>
      <c r="CG233" s="609"/>
      <c r="CH233" s="609"/>
      <c r="CI233" s="609"/>
      <c r="CJ233" s="609"/>
      <c r="CK233" s="609"/>
      <c r="CL233" s="609"/>
      <c r="CM233" s="609"/>
      <c r="CN233" s="609"/>
      <c r="CO233" s="609"/>
      <c r="CP233" s="609"/>
      <c r="CQ233" s="609"/>
      <c r="CR233" s="609"/>
      <c r="CS233" s="609"/>
      <c r="CT233" s="609"/>
      <c r="CU233" s="609"/>
      <c r="CV233" s="609"/>
      <c r="CW233" s="609"/>
      <c r="CX233" s="609"/>
      <c r="CY233" s="609"/>
      <c r="CZ233" s="609"/>
      <c r="DA233" s="609"/>
      <c r="DB233" s="609"/>
      <c r="DC233" s="609"/>
      <c r="DD233" s="609"/>
      <c r="DE233" s="609"/>
      <c r="DF233" s="609"/>
      <c r="DG233" s="609"/>
      <c r="DH233" s="609"/>
      <c r="DI233" s="609"/>
      <c r="DJ233" s="609"/>
      <c r="DK233" s="609"/>
    </row>
    <row r="234" spans="69:115">
      <c r="BQ234" s="609"/>
      <c r="BR234" s="609"/>
      <c r="BS234" s="609"/>
      <c r="BT234" s="609"/>
      <c r="BU234" s="609"/>
      <c r="BV234" s="609"/>
      <c r="BW234" s="609"/>
      <c r="BX234" s="609"/>
      <c r="BY234" s="609"/>
      <c r="BZ234" s="609"/>
      <c r="CA234" s="609"/>
      <c r="CB234" s="609"/>
      <c r="CC234" s="609"/>
      <c r="CD234" s="609"/>
      <c r="CE234" s="609"/>
      <c r="CF234" s="609"/>
      <c r="CG234" s="609"/>
      <c r="CH234" s="609"/>
      <c r="CI234" s="609"/>
      <c r="CJ234" s="609"/>
      <c r="CK234" s="609"/>
      <c r="CL234" s="609"/>
      <c r="CM234" s="609"/>
      <c r="CN234" s="609"/>
      <c r="CO234" s="609"/>
      <c r="CP234" s="609"/>
      <c r="CQ234" s="609"/>
      <c r="CR234" s="609"/>
      <c r="CS234" s="609"/>
      <c r="CT234" s="609"/>
      <c r="CU234" s="609"/>
      <c r="CV234" s="609"/>
      <c r="CW234" s="609"/>
      <c r="CX234" s="609"/>
      <c r="CY234" s="609"/>
      <c r="CZ234" s="609"/>
      <c r="DA234" s="609"/>
      <c r="DB234" s="609"/>
      <c r="DC234" s="609"/>
      <c r="DD234" s="609"/>
      <c r="DE234" s="609"/>
      <c r="DF234" s="609"/>
      <c r="DG234" s="609"/>
      <c r="DH234" s="609"/>
      <c r="DI234" s="609"/>
      <c r="DJ234" s="609"/>
      <c r="DK234" s="609"/>
    </row>
    <row r="235" spans="69:115">
      <c r="BQ235" s="609"/>
      <c r="BR235" s="609"/>
      <c r="BS235" s="609"/>
      <c r="BT235" s="609"/>
      <c r="BU235" s="609"/>
      <c r="BV235" s="609"/>
      <c r="BW235" s="609"/>
      <c r="BX235" s="609"/>
      <c r="BY235" s="609"/>
      <c r="BZ235" s="609"/>
      <c r="CA235" s="609"/>
      <c r="CB235" s="609"/>
      <c r="CC235" s="609"/>
      <c r="CD235" s="609"/>
      <c r="CE235" s="609"/>
      <c r="CF235" s="609"/>
      <c r="CG235" s="609"/>
      <c r="CH235" s="609"/>
      <c r="CI235" s="609"/>
      <c r="CJ235" s="609"/>
      <c r="CK235" s="609"/>
      <c r="CL235" s="609"/>
      <c r="CM235" s="609"/>
      <c r="CN235" s="609"/>
      <c r="CO235" s="609"/>
      <c r="CP235" s="609"/>
      <c r="CQ235" s="609"/>
      <c r="CR235" s="609"/>
      <c r="CS235" s="609"/>
      <c r="CT235" s="609"/>
      <c r="CU235" s="609"/>
      <c r="CV235" s="609"/>
      <c r="CW235" s="609"/>
      <c r="CX235" s="609"/>
      <c r="CY235" s="609"/>
      <c r="CZ235" s="609"/>
      <c r="DA235" s="609"/>
      <c r="DB235" s="609"/>
      <c r="DC235" s="609"/>
      <c r="DD235" s="609"/>
      <c r="DE235" s="609"/>
      <c r="DF235" s="609"/>
      <c r="DG235" s="609"/>
      <c r="DH235" s="609"/>
      <c r="DI235" s="609"/>
      <c r="DJ235" s="609"/>
      <c r="DK235" s="609"/>
    </row>
    <row r="236" spans="69:115">
      <c r="BQ236" s="609"/>
      <c r="BR236" s="609"/>
      <c r="BS236" s="609"/>
      <c r="BT236" s="609"/>
      <c r="BU236" s="609"/>
      <c r="BV236" s="609"/>
      <c r="BW236" s="609"/>
      <c r="BX236" s="609"/>
      <c r="BY236" s="609"/>
      <c r="BZ236" s="609"/>
      <c r="CA236" s="609"/>
      <c r="CB236" s="609"/>
      <c r="CC236" s="609"/>
      <c r="CD236" s="609"/>
      <c r="CE236" s="609"/>
      <c r="CF236" s="609"/>
      <c r="CG236" s="609"/>
      <c r="CH236" s="609"/>
      <c r="CI236" s="609"/>
      <c r="CJ236" s="609"/>
      <c r="CK236" s="609"/>
      <c r="CL236" s="609"/>
      <c r="CM236" s="609"/>
      <c r="CN236" s="609"/>
      <c r="CO236" s="609"/>
      <c r="CP236" s="609"/>
      <c r="CQ236" s="609"/>
      <c r="CR236" s="609"/>
      <c r="CS236" s="609"/>
      <c r="CT236" s="609"/>
      <c r="CU236" s="609"/>
      <c r="CV236" s="609"/>
      <c r="CW236" s="609"/>
      <c r="CX236" s="609"/>
      <c r="CY236" s="609"/>
      <c r="CZ236" s="609"/>
      <c r="DA236" s="609"/>
      <c r="DB236" s="609"/>
      <c r="DC236" s="609"/>
      <c r="DD236" s="609"/>
      <c r="DE236" s="609"/>
      <c r="DF236" s="609"/>
      <c r="DG236" s="609"/>
      <c r="DH236" s="609"/>
      <c r="DI236" s="609"/>
      <c r="DJ236" s="609"/>
      <c r="DK236" s="609"/>
    </row>
    <row r="237" spans="69:115">
      <c r="BQ237" s="609"/>
      <c r="BR237" s="609"/>
      <c r="BS237" s="609"/>
      <c r="BT237" s="609"/>
      <c r="BU237" s="609"/>
      <c r="BV237" s="609"/>
      <c r="BW237" s="609"/>
      <c r="BX237" s="609"/>
      <c r="BY237" s="609"/>
      <c r="BZ237" s="609"/>
      <c r="CA237" s="609"/>
      <c r="CB237" s="609"/>
      <c r="CC237" s="609"/>
      <c r="CD237" s="609"/>
      <c r="CE237" s="609"/>
      <c r="CF237" s="609"/>
      <c r="CG237" s="609"/>
      <c r="CH237" s="609"/>
      <c r="CI237" s="609"/>
      <c r="CJ237" s="609"/>
      <c r="CK237" s="609"/>
      <c r="CL237" s="609"/>
      <c r="CM237" s="609"/>
      <c r="CN237" s="609"/>
      <c r="CO237" s="609"/>
      <c r="CP237" s="609"/>
      <c r="CQ237" s="609"/>
      <c r="CR237" s="609"/>
      <c r="CS237" s="609"/>
      <c r="CT237" s="609"/>
      <c r="CU237" s="609"/>
      <c r="CV237" s="609"/>
      <c r="CW237" s="609"/>
      <c r="CX237" s="609"/>
      <c r="CY237" s="609"/>
      <c r="CZ237" s="609"/>
      <c r="DA237" s="609"/>
      <c r="DB237" s="609"/>
      <c r="DC237" s="609"/>
      <c r="DD237" s="609"/>
      <c r="DE237" s="609"/>
      <c r="DF237" s="609"/>
      <c r="DG237" s="609"/>
      <c r="DH237" s="609"/>
      <c r="DI237" s="609"/>
      <c r="DJ237" s="609"/>
      <c r="DK237" s="609"/>
    </row>
    <row r="238" spans="69:115">
      <c r="BQ238" s="609"/>
      <c r="BR238" s="609"/>
      <c r="BS238" s="609"/>
      <c r="BT238" s="609"/>
      <c r="BU238" s="609"/>
      <c r="BV238" s="609"/>
      <c r="BW238" s="609"/>
      <c r="BX238" s="609"/>
      <c r="BY238" s="609"/>
      <c r="BZ238" s="609"/>
      <c r="CA238" s="609"/>
      <c r="CB238" s="609"/>
      <c r="CC238" s="609"/>
      <c r="CD238" s="609"/>
      <c r="CE238" s="609"/>
      <c r="CF238" s="609"/>
      <c r="CG238" s="609"/>
      <c r="CH238" s="609"/>
      <c r="CI238" s="609"/>
      <c r="CJ238" s="609"/>
      <c r="CK238" s="609"/>
      <c r="CL238" s="609"/>
      <c r="CM238" s="609"/>
      <c r="CN238" s="609"/>
      <c r="CO238" s="609"/>
      <c r="CP238" s="609"/>
      <c r="CQ238" s="609"/>
      <c r="CR238" s="609"/>
      <c r="CS238" s="609"/>
      <c r="CT238" s="609"/>
      <c r="CU238" s="609"/>
      <c r="CV238" s="609"/>
      <c r="CW238" s="609"/>
      <c r="CX238" s="609"/>
      <c r="CY238" s="609"/>
      <c r="CZ238" s="609"/>
      <c r="DA238" s="609"/>
      <c r="DB238" s="609"/>
      <c r="DC238" s="609"/>
      <c r="DD238" s="609"/>
      <c r="DE238" s="609"/>
      <c r="DF238" s="609"/>
      <c r="DG238" s="609"/>
      <c r="DH238" s="609"/>
      <c r="DI238" s="609"/>
      <c r="DJ238" s="609"/>
      <c r="DK238" s="609"/>
    </row>
    <row r="239" spans="69:115">
      <c r="BQ239" s="609"/>
      <c r="BR239" s="609"/>
      <c r="BS239" s="609"/>
      <c r="BT239" s="609"/>
      <c r="BU239" s="609"/>
      <c r="BV239" s="609"/>
      <c r="BW239" s="609"/>
      <c r="BX239" s="609"/>
      <c r="BY239" s="609"/>
      <c r="BZ239" s="609"/>
      <c r="CA239" s="609"/>
      <c r="CB239" s="609"/>
      <c r="CC239" s="609"/>
      <c r="CD239" s="609"/>
      <c r="CE239" s="609"/>
      <c r="CF239" s="609"/>
      <c r="CG239" s="609"/>
      <c r="CH239" s="609"/>
      <c r="CI239" s="609"/>
      <c r="CJ239" s="609"/>
      <c r="CK239" s="609"/>
      <c r="CL239" s="609"/>
      <c r="CM239" s="609"/>
      <c r="CN239" s="609"/>
      <c r="CO239" s="609"/>
      <c r="CP239" s="609"/>
      <c r="CQ239" s="609"/>
      <c r="CR239" s="609"/>
      <c r="CS239" s="609"/>
      <c r="CT239" s="609"/>
      <c r="CU239" s="609"/>
      <c r="CV239" s="609"/>
      <c r="CW239" s="609"/>
      <c r="CX239" s="609"/>
      <c r="CY239" s="609"/>
      <c r="CZ239" s="609"/>
      <c r="DA239" s="609"/>
      <c r="DB239" s="609"/>
      <c r="DC239" s="609"/>
      <c r="DD239" s="609"/>
      <c r="DE239" s="609"/>
      <c r="DF239" s="609"/>
      <c r="DG239" s="609"/>
      <c r="DH239" s="609"/>
      <c r="DI239" s="609"/>
      <c r="DJ239" s="609"/>
      <c r="DK239" s="609"/>
    </row>
    <row r="240" spans="69:115">
      <c r="BQ240" s="609"/>
      <c r="BR240" s="609"/>
      <c r="BS240" s="609"/>
      <c r="BT240" s="609"/>
      <c r="BU240" s="609"/>
      <c r="BV240" s="609"/>
      <c r="BW240" s="609"/>
      <c r="BX240" s="609"/>
      <c r="BY240" s="609"/>
      <c r="BZ240" s="609"/>
      <c r="CA240" s="609"/>
      <c r="CB240" s="609"/>
      <c r="CC240" s="609"/>
      <c r="CD240" s="609"/>
      <c r="CE240" s="609"/>
      <c r="CF240" s="609"/>
      <c r="CG240" s="609"/>
      <c r="CH240" s="609"/>
      <c r="CI240" s="609"/>
      <c r="CJ240" s="609"/>
      <c r="CK240" s="609"/>
      <c r="CL240" s="609"/>
      <c r="CM240" s="609"/>
      <c r="CN240" s="609"/>
      <c r="CO240" s="609"/>
      <c r="CP240" s="609"/>
      <c r="CQ240" s="609"/>
      <c r="CR240" s="609"/>
      <c r="CS240" s="609"/>
      <c r="CT240" s="609"/>
      <c r="CU240" s="609"/>
      <c r="CV240" s="609"/>
      <c r="CW240" s="609"/>
      <c r="CX240" s="609"/>
      <c r="CY240" s="609"/>
      <c r="CZ240" s="609"/>
      <c r="DA240" s="609"/>
      <c r="DB240" s="609"/>
      <c r="DC240" s="609"/>
      <c r="DD240" s="609"/>
      <c r="DE240" s="609"/>
      <c r="DF240" s="609"/>
      <c r="DG240" s="609"/>
      <c r="DH240" s="609"/>
      <c r="DI240" s="609"/>
      <c r="DJ240" s="609"/>
      <c r="DK240" s="609"/>
    </row>
    <row r="241" spans="69:115">
      <c r="BQ241" s="609"/>
      <c r="BR241" s="609"/>
      <c r="BS241" s="609"/>
      <c r="BT241" s="609"/>
      <c r="BU241" s="609"/>
      <c r="BV241" s="609"/>
      <c r="BW241" s="609"/>
      <c r="BX241" s="609"/>
      <c r="BY241" s="609"/>
      <c r="BZ241" s="609"/>
      <c r="CA241" s="609"/>
      <c r="CB241" s="609"/>
      <c r="CC241" s="609"/>
      <c r="CD241" s="609"/>
      <c r="CE241" s="609"/>
      <c r="CF241" s="609"/>
      <c r="CG241" s="609"/>
      <c r="CH241" s="609"/>
      <c r="CI241" s="609"/>
      <c r="CJ241" s="609"/>
      <c r="CK241" s="609"/>
      <c r="CL241" s="609"/>
      <c r="CM241" s="609"/>
      <c r="CN241" s="609"/>
      <c r="CO241" s="609"/>
      <c r="CP241" s="609"/>
      <c r="CQ241" s="609"/>
      <c r="CR241" s="609"/>
      <c r="CS241" s="609"/>
      <c r="CT241" s="609"/>
      <c r="CU241" s="609"/>
      <c r="CV241" s="609"/>
      <c r="CW241" s="609"/>
      <c r="CX241" s="609"/>
      <c r="CY241" s="609"/>
      <c r="CZ241" s="609"/>
      <c r="DA241" s="609"/>
      <c r="DB241" s="609"/>
      <c r="DC241" s="609"/>
      <c r="DD241" s="609"/>
      <c r="DE241" s="609"/>
      <c r="DF241" s="609"/>
      <c r="DG241" s="609"/>
      <c r="DH241" s="609"/>
      <c r="DI241" s="609"/>
      <c r="DJ241" s="609"/>
      <c r="DK241" s="609"/>
    </row>
    <row r="242" spans="69:115">
      <c r="BQ242" s="609"/>
      <c r="BR242" s="609"/>
      <c r="BS242" s="609"/>
      <c r="BT242" s="609"/>
      <c r="BU242" s="609"/>
      <c r="BV242" s="609"/>
      <c r="BW242" s="609"/>
      <c r="BX242" s="609"/>
      <c r="BY242" s="609"/>
      <c r="BZ242" s="609"/>
      <c r="CA242" s="609"/>
      <c r="CB242" s="609"/>
      <c r="CC242" s="609"/>
      <c r="CD242" s="609"/>
      <c r="CE242" s="609"/>
      <c r="CF242" s="609"/>
      <c r="CG242" s="609"/>
      <c r="CH242" s="609"/>
      <c r="CI242" s="609"/>
      <c r="CJ242" s="609"/>
      <c r="CK242" s="609"/>
      <c r="CL242" s="609"/>
      <c r="CM242" s="609"/>
      <c r="CN242" s="609"/>
      <c r="CO242" s="609"/>
      <c r="CP242" s="609"/>
      <c r="CQ242" s="609"/>
      <c r="CR242" s="609"/>
      <c r="CS242" s="609"/>
      <c r="CT242" s="609"/>
      <c r="CU242" s="609"/>
      <c r="CV242" s="609"/>
      <c r="CW242" s="609"/>
      <c r="CX242" s="609"/>
      <c r="CY242" s="609"/>
      <c r="CZ242" s="609"/>
      <c r="DA242" s="609"/>
      <c r="DB242" s="609"/>
      <c r="DC242" s="609"/>
      <c r="DD242" s="609"/>
      <c r="DE242" s="609"/>
      <c r="DF242" s="609"/>
      <c r="DG242" s="609"/>
      <c r="DH242" s="609"/>
      <c r="DI242" s="609"/>
      <c r="DJ242" s="609"/>
      <c r="DK242" s="609"/>
    </row>
    <row r="243" spans="69:115">
      <c r="BQ243" s="609"/>
      <c r="BR243" s="609"/>
      <c r="BS243" s="609"/>
      <c r="BT243" s="609"/>
      <c r="BU243" s="609"/>
      <c r="BV243" s="609"/>
      <c r="BW243" s="609"/>
      <c r="BX243" s="609"/>
      <c r="BY243" s="609"/>
      <c r="BZ243" s="609"/>
      <c r="CA243" s="609"/>
      <c r="CB243" s="609"/>
      <c r="CC243" s="609"/>
      <c r="CD243" s="609"/>
      <c r="CE243" s="609"/>
      <c r="CF243" s="609"/>
      <c r="CG243" s="609"/>
      <c r="CH243" s="609"/>
      <c r="CI243" s="609"/>
      <c r="CJ243" s="609"/>
      <c r="CK243" s="609"/>
      <c r="CL243" s="609"/>
      <c r="CM243" s="609"/>
      <c r="CN243" s="609"/>
      <c r="CO243" s="609"/>
      <c r="CP243" s="609"/>
      <c r="CQ243" s="609"/>
      <c r="CR243" s="609"/>
      <c r="CS243" s="609"/>
      <c r="CT243" s="609"/>
      <c r="CU243" s="609"/>
      <c r="CV243" s="609"/>
      <c r="CW243" s="609"/>
      <c r="CX243" s="609"/>
      <c r="CY243" s="609"/>
      <c r="CZ243" s="609"/>
      <c r="DA243" s="609"/>
      <c r="DB243" s="609"/>
      <c r="DC243" s="609"/>
      <c r="DD243" s="609"/>
      <c r="DE243" s="609"/>
      <c r="DF243" s="609"/>
      <c r="DG243" s="609"/>
      <c r="DH243" s="609"/>
      <c r="DI243" s="609"/>
      <c r="DJ243" s="609"/>
      <c r="DK243" s="609"/>
    </row>
    <row r="244" spans="69:115">
      <c r="BQ244" s="609"/>
      <c r="BR244" s="609"/>
      <c r="BS244" s="609"/>
      <c r="BT244" s="609"/>
      <c r="BU244" s="609"/>
      <c r="BV244" s="609"/>
      <c r="BW244" s="609"/>
      <c r="BX244" s="609"/>
      <c r="BY244" s="609"/>
      <c r="BZ244" s="609"/>
      <c r="CA244" s="609"/>
      <c r="CB244" s="609"/>
      <c r="CC244" s="609"/>
      <c r="CD244" s="609"/>
      <c r="CE244" s="609"/>
      <c r="CF244" s="609"/>
      <c r="CG244" s="609"/>
      <c r="CH244" s="609"/>
      <c r="CI244" s="609"/>
      <c r="CJ244" s="609"/>
      <c r="CK244" s="609"/>
      <c r="CL244" s="609"/>
      <c r="CM244" s="609"/>
      <c r="CN244" s="609"/>
      <c r="CO244" s="609"/>
      <c r="CP244" s="609"/>
      <c r="CQ244" s="609"/>
      <c r="CR244" s="609"/>
      <c r="CS244" s="609"/>
      <c r="CT244" s="609"/>
      <c r="CU244" s="609"/>
      <c r="CV244" s="609"/>
      <c r="CW244" s="609"/>
      <c r="CX244" s="609"/>
      <c r="CY244" s="609"/>
      <c r="CZ244" s="609"/>
      <c r="DA244" s="609"/>
      <c r="DB244" s="609"/>
      <c r="DC244" s="609"/>
      <c r="DD244" s="609"/>
      <c r="DE244" s="609"/>
      <c r="DF244" s="609"/>
      <c r="DG244" s="609"/>
      <c r="DH244" s="609"/>
      <c r="DI244" s="609"/>
      <c r="DJ244" s="609"/>
      <c r="DK244" s="609"/>
    </row>
    <row r="245" spans="69:115">
      <c r="BQ245" s="609"/>
      <c r="BR245" s="609"/>
      <c r="BS245" s="609"/>
      <c r="BT245" s="609"/>
      <c r="BU245" s="609"/>
      <c r="BV245" s="609"/>
      <c r="BW245" s="609"/>
      <c r="BX245" s="609"/>
      <c r="BY245" s="609"/>
      <c r="BZ245" s="609"/>
      <c r="CA245" s="609"/>
      <c r="CB245" s="609"/>
      <c r="CC245" s="609"/>
      <c r="CD245" s="609"/>
      <c r="CE245" s="609"/>
      <c r="CF245" s="609"/>
      <c r="CG245" s="609"/>
      <c r="CH245" s="609"/>
      <c r="CI245" s="609"/>
      <c r="CJ245" s="609"/>
      <c r="CK245" s="609"/>
      <c r="CL245" s="609"/>
      <c r="CM245" s="609"/>
      <c r="CN245" s="609"/>
      <c r="CO245" s="609"/>
      <c r="CP245" s="609"/>
      <c r="CQ245" s="609"/>
      <c r="CR245" s="609"/>
      <c r="CS245" s="609"/>
      <c r="CT245" s="609"/>
      <c r="CU245" s="609"/>
      <c r="CV245" s="609"/>
      <c r="CW245" s="609"/>
      <c r="CX245" s="609"/>
      <c r="CY245" s="609"/>
      <c r="CZ245" s="609"/>
      <c r="DA245" s="609"/>
      <c r="DB245" s="609"/>
      <c r="DC245" s="609"/>
      <c r="DD245" s="609"/>
      <c r="DE245" s="609"/>
      <c r="DF245" s="609"/>
      <c r="DG245" s="609"/>
      <c r="DH245" s="609"/>
      <c r="DI245" s="609"/>
      <c r="DJ245" s="609"/>
      <c r="DK245" s="609"/>
    </row>
    <row r="246" spans="69:115">
      <c r="BQ246" s="609"/>
      <c r="BR246" s="609"/>
      <c r="BS246" s="609"/>
      <c r="BT246" s="609"/>
      <c r="BU246" s="609"/>
      <c r="BV246" s="609"/>
      <c r="BW246" s="609"/>
      <c r="BX246" s="609"/>
      <c r="BY246" s="609"/>
      <c r="BZ246" s="609"/>
      <c r="CA246" s="609"/>
      <c r="CB246" s="609"/>
      <c r="CC246" s="609"/>
      <c r="CD246" s="609"/>
      <c r="CE246" s="609"/>
      <c r="CF246" s="609"/>
      <c r="CG246" s="609"/>
      <c r="CH246" s="609"/>
      <c r="CI246" s="609"/>
      <c r="CJ246" s="609"/>
      <c r="CK246" s="609"/>
      <c r="CL246" s="609"/>
      <c r="CM246" s="609"/>
      <c r="CN246" s="609"/>
      <c r="CO246" s="609"/>
      <c r="CP246" s="609"/>
      <c r="CQ246" s="609"/>
      <c r="CR246" s="609"/>
      <c r="CS246" s="609"/>
      <c r="CT246" s="609"/>
      <c r="CU246" s="609"/>
      <c r="CV246" s="609"/>
      <c r="CW246" s="609"/>
      <c r="CX246" s="609"/>
      <c r="CY246" s="609"/>
      <c r="CZ246" s="609"/>
      <c r="DA246" s="609"/>
      <c r="DB246" s="609"/>
      <c r="DC246" s="609"/>
      <c r="DD246" s="609"/>
      <c r="DE246" s="609"/>
      <c r="DF246" s="609"/>
      <c r="DG246" s="609"/>
      <c r="DH246" s="609"/>
      <c r="DI246" s="609"/>
      <c r="DJ246" s="609"/>
      <c r="DK246" s="609"/>
    </row>
    <row r="247" spans="69:115">
      <c r="BQ247" s="609"/>
      <c r="BR247" s="609"/>
      <c r="BS247" s="609"/>
      <c r="BT247" s="609"/>
      <c r="BU247" s="609"/>
      <c r="BV247" s="609"/>
      <c r="BW247" s="609"/>
      <c r="BX247" s="609"/>
      <c r="BY247" s="609"/>
      <c r="BZ247" s="609"/>
      <c r="CA247" s="609"/>
      <c r="CB247" s="609"/>
      <c r="CC247" s="609"/>
      <c r="CD247" s="609"/>
      <c r="CE247" s="609"/>
      <c r="CF247" s="609"/>
      <c r="CG247" s="609"/>
      <c r="CH247" s="609"/>
      <c r="CI247" s="609"/>
      <c r="CJ247" s="609"/>
      <c r="CK247" s="609"/>
      <c r="CL247" s="609"/>
      <c r="CM247" s="609"/>
      <c r="CN247" s="609"/>
      <c r="CO247" s="609"/>
      <c r="CP247" s="609"/>
      <c r="CQ247" s="609"/>
      <c r="CR247" s="609"/>
      <c r="CS247" s="609"/>
      <c r="CT247" s="609"/>
      <c r="CU247" s="609"/>
      <c r="CV247" s="609"/>
      <c r="CW247" s="609"/>
      <c r="CX247" s="609"/>
      <c r="CY247" s="609"/>
      <c r="CZ247" s="609"/>
      <c r="DA247" s="609"/>
      <c r="DB247" s="609"/>
      <c r="DC247" s="609"/>
      <c r="DD247" s="609"/>
      <c r="DE247" s="609"/>
      <c r="DF247" s="609"/>
      <c r="DG247" s="609"/>
      <c r="DH247" s="609"/>
      <c r="DI247" s="609"/>
      <c r="DJ247" s="609"/>
      <c r="DK247" s="609"/>
    </row>
    <row r="248" spans="69:115">
      <c r="BQ248" s="609"/>
      <c r="BR248" s="609"/>
      <c r="BS248" s="609"/>
      <c r="BT248" s="609"/>
      <c r="BU248" s="609"/>
      <c r="BV248" s="609"/>
      <c r="BW248" s="609"/>
      <c r="BX248" s="609"/>
      <c r="BY248" s="609"/>
      <c r="BZ248" s="609"/>
      <c r="CA248" s="609"/>
      <c r="CB248" s="609"/>
      <c r="CC248" s="609"/>
      <c r="CD248" s="609"/>
      <c r="CE248" s="609"/>
      <c r="CF248" s="609"/>
      <c r="CG248" s="609"/>
      <c r="CH248" s="609"/>
      <c r="CI248" s="609"/>
      <c r="CJ248" s="609"/>
      <c r="CK248" s="609"/>
      <c r="CL248" s="609"/>
      <c r="CM248" s="609"/>
      <c r="CN248" s="609"/>
      <c r="CO248" s="609"/>
      <c r="CP248" s="609"/>
      <c r="CQ248" s="609"/>
      <c r="CR248" s="609"/>
      <c r="CS248" s="609"/>
      <c r="CT248" s="609"/>
      <c r="CU248" s="609"/>
      <c r="CV248" s="609"/>
      <c r="CW248" s="609"/>
      <c r="CX248" s="609"/>
      <c r="CY248" s="609"/>
      <c r="CZ248" s="609"/>
      <c r="DA248" s="609"/>
      <c r="DB248" s="609"/>
      <c r="DC248" s="609"/>
      <c r="DD248" s="609"/>
      <c r="DE248" s="609"/>
      <c r="DF248" s="609"/>
      <c r="DG248" s="609"/>
      <c r="DH248" s="609"/>
      <c r="DI248" s="609"/>
      <c r="DJ248" s="609"/>
      <c r="DK248" s="609"/>
    </row>
    <row r="249" spans="69:115">
      <c r="BQ249" s="609"/>
      <c r="BR249" s="609"/>
      <c r="BS249" s="609"/>
      <c r="BT249" s="609"/>
      <c r="BU249" s="609"/>
      <c r="BV249" s="609"/>
      <c r="BW249" s="609"/>
      <c r="BX249" s="609"/>
      <c r="BY249" s="609"/>
      <c r="BZ249" s="609"/>
      <c r="CA249" s="609"/>
      <c r="CB249" s="609"/>
      <c r="CC249" s="609"/>
      <c r="CD249" s="609"/>
      <c r="CE249" s="609"/>
      <c r="CF249" s="609"/>
      <c r="CG249" s="609"/>
      <c r="CH249" s="609"/>
      <c r="CI249" s="609"/>
      <c r="CJ249" s="609"/>
      <c r="CK249" s="609"/>
      <c r="CL249" s="609"/>
      <c r="CM249" s="609"/>
      <c r="CN249" s="609"/>
      <c r="CO249" s="609"/>
      <c r="CP249" s="609"/>
      <c r="CQ249" s="609"/>
      <c r="CR249" s="609"/>
      <c r="CS249" s="609"/>
      <c r="CT249" s="609"/>
      <c r="CU249" s="609"/>
      <c r="CV249" s="609"/>
      <c r="CW249" s="609"/>
      <c r="CX249" s="609"/>
      <c r="CY249" s="609"/>
      <c r="CZ249" s="609"/>
      <c r="DA249" s="609"/>
      <c r="DB249" s="609"/>
      <c r="DC249" s="609"/>
      <c r="DD249" s="609"/>
      <c r="DE249" s="609"/>
      <c r="DF249" s="609"/>
      <c r="DG249" s="609"/>
      <c r="DH249" s="609"/>
      <c r="DI249" s="609"/>
      <c r="DJ249" s="609"/>
      <c r="DK249" s="609"/>
    </row>
    <row r="250" spans="69:115">
      <c r="BQ250" s="609"/>
      <c r="BR250" s="609"/>
      <c r="BS250" s="609"/>
      <c r="BT250" s="609"/>
      <c r="BU250" s="609"/>
      <c r="BV250" s="609"/>
      <c r="BW250" s="609"/>
      <c r="BX250" s="609"/>
      <c r="BY250" s="609"/>
      <c r="BZ250" s="609"/>
      <c r="CA250" s="609"/>
      <c r="CB250" s="609"/>
      <c r="CC250" s="609"/>
      <c r="CD250" s="609"/>
      <c r="CE250" s="609"/>
      <c r="CF250" s="609"/>
      <c r="CG250" s="609"/>
      <c r="CH250" s="609"/>
      <c r="CI250" s="609"/>
      <c r="CJ250" s="609"/>
      <c r="CK250" s="609"/>
      <c r="CL250" s="609"/>
      <c r="CM250" s="609"/>
      <c r="CN250" s="609"/>
      <c r="CO250" s="609"/>
      <c r="CP250" s="609"/>
      <c r="CQ250" s="609"/>
      <c r="CR250" s="609"/>
      <c r="CS250" s="609"/>
      <c r="CT250" s="609"/>
      <c r="CU250" s="609"/>
      <c r="CV250" s="609"/>
      <c r="CW250" s="609"/>
      <c r="CX250" s="609"/>
      <c r="CY250" s="609"/>
      <c r="CZ250" s="609"/>
      <c r="DA250" s="609"/>
      <c r="DB250" s="609"/>
      <c r="DC250" s="609"/>
      <c r="DD250" s="609"/>
      <c r="DE250" s="609"/>
      <c r="DF250" s="609"/>
      <c r="DG250" s="609"/>
      <c r="DH250" s="609"/>
      <c r="DI250" s="609"/>
      <c r="DJ250" s="609"/>
      <c r="DK250" s="609"/>
    </row>
    <row r="251" spans="69:115">
      <c r="BQ251" s="609"/>
      <c r="BR251" s="609"/>
      <c r="BS251" s="609"/>
      <c r="BT251" s="609"/>
      <c r="BU251" s="609"/>
      <c r="BV251" s="609"/>
      <c r="BW251" s="609"/>
      <c r="BX251" s="609"/>
      <c r="BY251" s="609"/>
      <c r="BZ251" s="609"/>
      <c r="CA251" s="609"/>
      <c r="CB251" s="609"/>
      <c r="CC251" s="609"/>
      <c r="CD251" s="609"/>
      <c r="CE251" s="609"/>
      <c r="CF251" s="609"/>
      <c r="CG251" s="609"/>
      <c r="CH251" s="609"/>
      <c r="CI251" s="609"/>
      <c r="CJ251" s="609"/>
      <c r="CK251" s="609"/>
      <c r="CL251" s="609"/>
      <c r="CM251" s="609"/>
      <c r="CN251" s="609"/>
      <c r="CO251" s="609"/>
      <c r="CP251" s="609"/>
      <c r="CQ251" s="609"/>
      <c r="CR251" s="609"/>
      <c r="CS251" s="609"/>
      <c r="CT251" s="609"/>
      <c r="CU251" s="609"/>
      <c r="CV251" s="609"/>
      <c r="CW251" s="609"/>
      <c r="CX251" s="609"/>
      <c r="CY251" s="609"/>
      <c r="CZ251" s="609"/>
      <c r="DA251" s="609"/>
      <c r="DB251" s="609"/>
      <c r="DC251" s="609"/>
      <c r="DD251" s="609"/>
      <c r="DE251" s="609"/>
      <c r="DF251" s="609"/>
      <c r="DG251" s="609"/>
      <c r="DH251" s="609"/>
      <c r="DI251" s="609"/>
      <c r="DJ251" s="609"/>
      <c r="DK251" s="609"/>
    </row>
    <row r="252" spans="69:115">
      <c r="BQ252" s="609"/>
      <c r="BR252" s="609"/>
      <c r="BS252" s="609"/>
      <c r="BT252" s="609"/>
      <c r="BU252" s="609"/>
      <c r="BV252" s="609"/>
      <c r="BW252" s="609"/>
      <c r="BX252" s="609"/>
      <c r="BY252" s="609"/>
      <c r="BZ252" s="609"/>
      <c r="CA252" s="609"/>
      <c r="CB252" s="609"/>
      <c r="CC252" s="609"/>
      <c r="CD252" s="609"/>
      <c r="CE252" s="609"/>
      <c r="CF252" s="609"/>
      <c r="CG252" s="609"/>
      <c r="CH252" s="609"/>
      <c r="CI252" s="609"/>
      <c r="CJ252" s="609"/>
      <c r="CK252" s="609"/>
      <c r="CL252" s="609"/>
      <c r="CM252" s="609"/>
      <c r="CN252" s="609"/>
      <c r="CO252" s="609"/>
      <c r="CP252" s="609"/>
      <c r="CQ252" s="609"/>
      <c r="CR252" s="609"/>
      <c r="CS252" s="609"/>
      <c r="CT252" s="609"/>
      <c r="CU252" s="609"/>
      <c r="CV252" s="609"/>
      <c r="CW252" s="609"/>
      <c r="CX252" s="609"/>
      <c r="CY252" s="609"/>
      <c r="CZ252" s="609"/>
      <c r="DA252" s="609"/>
      <c r="DB252" s="609"/>
      <c r="DC252" s="609"/>
      <c r="DD252" s="609"/>
      <c r="DE252" s="609"/>
      <c r="DF252" s="609"/>
      <c r="DG252" s="609"/>
      <c r="DH252" s="609"/>
      <c r="DI252" s="609"/>
      <c r="DJ252" s="609"/>
      <c r="DK252" s="609"/>
    </row>
    <row r="253" spans="69:115">
      <c r="BQ253" s="609"/>
      <c r="BR253" s="609"/>
      <c r="BS253" s="609"/>
      <c r="BT253" s="609"/>
      <c r="BU253" s="609"/>
      <c r="BV253" s="609"/>
      <c r="BW253" s="609"/>
      <c r="BX253" s="609"/>
      <c r="BY253" s="609"/>
      <c r="BZ253" s="609"/>
      <c r="CA253" s="609"/>
      <c r="CB253" s="609"/>
      <c r="CC253" s="609"/>
      <c r="CD253" s="609"/>
      <c r="CE253" s="609"/>
      <c r="CF253" s="609"/>
      <c r="CG253" s="609"/>
      <c r="CH253" s="609"/>
      <c r="CI253" s="609"/>
      <c r="CJ253" s="609"/>
      <c r="CK253" s="609"/>
      <c r="CL253" s="609"/>
      <c r="CM253" s="609"/>
      <c r="CN253" s="609"/>
      <c r="CO253" s="609"/>
      <c r="CP253" s="609"/>
      <c r="CQ253" s="609"/>
      <c r="CR253" s="609"/>
      <c r="CS253" s="609"/>
      <c r="CT253" s="609"/>
      <c r="CU253" s="609"/>
      <c r="CV253" s="609"/>
      <c r="CW253" s="609"/>
      <c r="CX253" s="609"/>
      <c r="CY253" s="609"/>
      <c r="CZ253" s="609"/>
      <c r="DA253" s="609"/>
      <c r="DB253" s="609"/>
      <c r="DC253" s="609"/>
      <c r="DD253" s="609"/>
      <c r="DE253" s="609"/>
      <c r="DF253" s="609"/>
      <c r="DG253" s="609"/>
      <c r="DH253" s="609"/>
      <c r="DI253" s="609"/>
      <c r="DJ253" s="609"/>
      <c r="DK253" s="609"/>
    </row>
    <row r="254" spans="69:115">
      <c r="BQ254" s="609"/>
      <c r="BR254" s="609"/>
      <c r="BS254" s="609"/>
      <c r="BT254" s="609"/>
      <c r="BU254" s="609"/>
      <c r="BV254" s="609"/>
      <c r="BW254" s="609"/>
      <c r="BX254" s="609"/>
      <c r="BY254" s="609"/>
      <c r="BZ254" s="609"/>
      <c r="CA254" s="609"/>
      <c r="CB254" s="609"/>
      <c r="CC254" s="609"/>
      <c r="CD254" s="609"/>
      <c r="CE254" s="609"/>
      <c r="CF254" s="609"/>
      <c r="CG254" s="609"/>
      <c r="CH254" s="609"/>
      <c r="CI254" s="609"/>
      <c r="CJ254" s="609"/>
      <c r="CK254" s="609"/>
      <c r="CL254" s="609"/>
      <c r="CM254" s="609"/>
      <c r="CN254" s="609"/>
      <c r="CO254" s="609"/>
      <c r="CP254" s="609"/>
      <c r="CQ254" s="609"/>
      <c r="CR254" s="609"/>
      <c r="CS254" s="609"/>
      <c r="CT254" s="609"/>
      <c r="CU254" s="609"/>
      <c r="CV254" s="609"/>
      <c r="CW254" s="609"/>
      <c r="CX254" s="609"/>
      <c r="CY254" s="609"/>
      <c r="CZ254" s="609"/>
      <c r="DA254" s="609"/>
      <c r="DB254" s="609"/>
      <c r="DC254" s="609"/>
      <c r="DD254" s="609"/>
      <c r="DE254" s="609"/>
      <c r="DF254" s="609"/>
      <c r="DG254" s="609"/>
      <c r="DH254" s="609"/>
      <c r="DI254" s="609"/>
      <c r="DJ254" s="609"/>
      <c r="DK254" s="609"/>
    </row>
    <row r="255" spans="69:115">
      <c r="BQ255" s="609"/>
      <c r="BR255" s="609"/>
      <c r="BS255" s="609"/>
      <c r="BT255" s="609"/>
      <c r="BU255" s="609"/>
      <c r="BV255" s="609"/>
      <c r="BW255" s="609"/>
      <c r="BX255" s="609"/>
      <c r="BY255" s="609"/>
      <c r="BZ255" s="609"/>
      <c r="CA255" s="609"/>
      <c r="CB255" s="609"/>
      <c r="CC255" s="609"/>
      <c r="CD255" s="609"/>
      <c r="CE255" s="609"/>
      <c r="CF255" s="609"/>
      <c r="CG255" s="609"/>
      <c r="CH255" s="609"/>
      <c r="CI255" s="609"/>
      <c r="CJ255" s="609"/>
      <c r="CK255" s="609"/>
      <c r="CL255" s="609"/>
      <c r="CM255" s="609"/>
      <c r="CN255" s="609"/>
      <c r="CO255" s="609"/>
      <c r="CP255" s="609"/>
      <c r="CQ255" s="609"/>
      <c r="CR255" s="609"/>
      <c r="CS255" s="609"/>
      <c r="CT255" s="609"/>
      <c r="CU255" s="609"/>
      <c r="CV255" s="609"/>
      <c r="CW255" s="609"/>
      <c r="CX255" s="609"/>
      <c r="CY255" s="609"/>
      <c r="CZ255" s="609"/>
      <c r="DA255" s="609"/>
      <c r="DB255" s="609"/>
      <c r="DC255" s="609"/>
      <c r="DD255" s="609"/>
      <c r="DE255" s="609"/>
      <c r="DF255" s="609"/>
      <c r="DG255" s="609"/>
      <c r="DH255" s="609"/>
      <c r="DI255" s="609"/>
      <c r="DJ255" s="609"/>
      <c r="DK255" s="609"/>
    </row>
    <row r="256" spans="69:115">
      <c r="BQ256" s="609"/>
      <c r="BR256" s="609"/>
      <c r="BS256" s="609"/>
      <c r="BT256" s="609"/>
      <c r="BU256" s="609"/>
      <c r="BV256" s="609"/>
      <c r="BW256" s="609"/>
      <c r="BX256" s="609"/>
      <c r="BY256" s="609"/>
      <c r="BZ256" s="609"/>
      <c r="CA256" s="609"/>
      <c r="CB256" s="609"/>
      <c r="CC256" s="609"/>
      <c r="CD256" s="609"/>
      <c r="CE256" s="609"/>
      <c r="CF256" s="609"/>
      <c r="CG256" s="609"/>
      <c r="CH256" s="609"/>
      <c r="CI256" s="609"/>
      <c r="CJ256" s="609"/>
      <c r="CK256" s="609"/>
      <c r="CL256" s="609"/>
      <c r="CM256" s="609"/>
      <c r="CN256" s="609"/>
      <c r="CO256" s="609"/>
      <c r="CP256" s="609"/>
      <c r="CQ256" s="609"/>
      <c r="CR256" s="609"/>
      <c r="CS256" s="609"/>
      <c r="CT256" s="609"/>
      <c r="CU256" s="609"/>
      <c r="CV256" s="609"/>
      <c r="CW256" s="609"/>
      <c r="CX256" s="609"/>
      <c r="CY256" s="609"/>
      <c r="CZ256" s="609"/>
      <c r="DA256" s="609"/>
      <c r="DB256" s="609"/>
      <c r="DC256" s="609"/>
      <c r="DD256" s="609"/>
      <c r="DE256" s="609"/>
      <c r="DF256" s="609"/>
      <c r="DG256" s="609"/>
      <c r="DH256" s="609"/>
      <c r="DI256" s="609"/>
      <c r="DJ256" s="609"/>
      <c r="DK256" s="609"/>
    </row>
    <row r="257" spans="69:115">
      <c r="BQ257" s="609"/>
      <c r="BR257" s="609"/>
      <c r="BS257" s="609"/>
      <c r="BT257" s="609"/>
      <c r="BU257" s="609"/>
      <c r="BV257" s="609"/>
      <c r="BW257" s="609"/>
      <c r="BX257" s="609"/>
      <c r="BY257" s="609"/>
      <c r="BZ257" s="609"/>
      <c r="CA257" s="609"/>
      <c r="CB257" s="609"/>
      <c r="CC257" s="609"/>
      <c r="CD257" s="609"/>
      <c r="CE257" s="609"/>
      <c r="CF257" s="609"/>
      <c r="CG257" s="609"/>
      <c r="CH257" s="609"/>
      <c r="CI257" s="609"/>
      <c r="CJ257" s="609"/>
      <c r="CK257" s="609"/>
      <c r="CL257" s="609"/>
      <c r="CM257" s="609"/>
      <c r="CN257" s="609"/>
      <c r="CO257" s="609"/>
      <c r="CP257" s="609"/>
      <c r="CQ257" s="609"/>
      <c r="CR257" s="609"/>
      <c r="CS257" s="609"/>
      <c r="CT257" s="609"/>
      <c r="CU257" s="609"/>
      <c r="CV257" s="609"/>
      <c r="CW257" s="609"/>
      <c r="CX257" s="609"/>
      <c r="CY257" s="609"/>
      <c r="CZ257" s="609"/>
      <c r="DA257" s="609"/>
      <c r="DB257" s="609"/>
      <c r="DC257" s="609"/>
      <c r="DD257" s="609"/>
      <c r="DE257" s="609"/>
      <c r="DF257" s="609"/>
      <c r="DG257" s="609"/>
      <c r="DH257" s="609"/>
      <c r="DI257" s="609"/>
      <c r="DJ257" s="609"/>
      <c r="DK257" s="609"/>
    </row>
    <row r="258" spans="69:115">
      <c r="BQ258" s="609"/>
      <c r="BR258" s="609"/>
      <c r="BS258" s="609"/>
      <c r="BT258" s="609"/>
      <c r="BU258" s="609"/>
      <c r="BV258" s="609"/>
      <c r="BW258" s="609"/>
      <c r="BX258" s="609"/>
      <c r="BY258" s="609"/>
      <c r="BZ258" s="609"/>
      <c r="CA258" s="609"/>
      <c r="CB258" s="609"/>
      <c r="CC258" s="609"/>
      <c r="CD258" s="609"/>
      <c r="CE258" s="609"/>
      <c r="CF258" s="609"/>
      <c r="CG258" s="609"/>
      <c r="CH258" s="609"/>
      <c r="CI258" s="609"/>
      <c r="CJ258" s="609"/>
      <c r="CK258" s="609"/>
      <c r="CL258" s="609"/>
      <c r="CM258" s="609"/>
      <c r="CN258" s="609"/>
      <c r="CO258" s="609"/>
      <c r="CP258" s="609"/>
      <c r="CQ258" s="609"/>
      <c r="CR258" s="609"/>
      <c r="CS258" s="609"/>
      <c r="CT258" s="609"/>
      <c r="CU258" s="609"/>
      <c r="CV258" s="609"/>
      <c r="CW258" s="609"/>
      <c r="CX258" s="609"/>
      <c r="CY258" s="609"/>
      <c r="CZ258" s="609"/>
      <c r="DA258" s="609"/>
      <c r="DB258" s="609"/>
      <c r="DC258" s="609"/>
      <c r="DD258" s="609"/>
      <c r="DE258" s="609"/>
      <c r="DF258" s="609"/>
      <c r="DG258" s="609"/>
      <c r="DH258" s="609"/>
      <c r="DI258" s="609"/>
      <c r="DJ258" s="609"/>
      <c r="DK258" s="609"/>
    </row>
    <row r="259" spans="69:115">
      <c r="BQ259" s="609"/>
      <c r="BR259" s="609"/>
      <c r="BS259" s="609"/>
      <c r="BT259" s="609"/>
      <c r="BU259" s="609"/>
      <c r="BV259" s="609"/>
      <c r="BW259" s="609"/>
      <c r="BX259" s="609"/>
      <c r="BY259" s="609"/>
      <c r="BZ259" s="609"/>
      <c r="CA259" s="609"/>
      <c r="CB259" s="609"/>
      <c r="CC259" s="609"/>
      <c r="CD259" s="609"/>
      <c r="CE259" s="609"/>
      <c r="CF259" s="609"/>
      <c r="CG259" s="609"/>
      <c r="CH259" s="609"/>
      <c r="CI259" s="609"/>
      <c r="CJ259" s="609"/>
      <c r="CK259" s="609"/>
      <c r="CL259" s="609"/>
      <c r="CM259" s="609"/>
      <c r="CN259" s="609"/>
      <c r="CO259" s="609"/>
      <c r="CP259" s="609"/>
      <c r="CQ259" s="609"/>
      <c r="CR259" s="609"/>
      <c r="CS259" s="609"/>
      <c r="CT259" s="609"/>
      <c r="CU259" s="609"/>
      <c r="CV259" s="609"/>
      <c r="CW259" s="609"/>
      <c r="CX259" s="609"/>
      <c r="CY259" s="609"/>
      <c r="CZ259" s="609"/>
      <c r="DA259" s="609"/>
      <c r="DB259" s="609"/>
      <c r="DC259" s="609"/>
      <c r="DD259" s="609"/>
      <c r="DE259" s="609"/>
      <c r="DF259" s="609"/>
      <c r="DG259" s="609"/>
      <c r="DH259" s="609"/>
      <c r="DI259" s="609"/>
      <c r="DJ259" s="609"/>
      <c r="DK259" s="609"/>
    </row>
    <row r="260" spans="69:115">
      <c r="BQ260" s="609"/>
      <c r="BR260" s="609"/>
      <c r="BS260" s="609"/>
      <c r="BT260" s="609"/>
      <c r="BU260" s="609"/>
      <c r="BV260" s="609"/>
      <c r="BW260" s="609"/>
      <c r="BX260" s="609"/>
      <c r="BY260" s="609"/>
      <c r="BZ260" s="609"/>
      <c r="CA260" s="609"/>
      <c r="CB260" s="609"/>
      <c r="CC260" s="609"/>
      <c r="CD260" s="609"/>
      <c r="CE260" s="609"/>
      <c r="CF260" s="609"/>
      <c r="CG260" s="609"/>
      <c r="CH260" s="609"/>
      <c r="CI260" s="609"/>
      <c r="CJ260" s="609"/>
      <c r="CK260" s="609"/>
      <c r="CL260" s="609"/>
      <c r="CM260" s="609"/>
      <c r="CN260" s="609"/>
      <c r="CO260" s="609"/>
      <c r="CP260" s="609"/>
      <c r="CQ260" s="609"/>
      <c r="CR260" s="609"/>
      <c r="CS260" s="609"/>
      <c r="CT260" s="609"/>
      <c r="CU260" s="609"/>
      <c r="CV260" s="609"/>
      <c r="CW260" s="609"/>
      <c r="CX260" s="609"/>
      <c r="CY260" s="609"/>
      <c r="CZ260" s="609"/>
      <c r="DA260" s="609"/>
      <c r="DB260" s="609"/>
      <c r="DC260" s="609"/>
      <c r="DD260" s="609"/>
      <c r="DE260" s="609"/>
      <c r="DF260" s="609"/>
      <c r="DG260" s="609"/>
      <c r="DH260" s="609"/>
      <c r="DI260" s="609"/>
      <c r="DJ260" s="609"/>
      <c r="DK260" s="609"/>
    </row>
    <row r="261" spans="69:115">
      <c r="BQ261" s="609"/>
      <c r="BR261" s="609"/>
      <c r="BS261" s="609"/>
      <c r="BT261" s="609"/>
      <c r="BU261" s="609"/>
      <c r="BV261" s="609"/>
      <c r="BW261" s="609"/>
      <c r="BX261" s="609"/>
      <c r="BY261" s="609"/>
      <c r="BZ261" s="609"/>
      <c r="CA261" s="609"/>
      <c r="CB261" s="609"/>
      <c r="CC261" s="609"/>
      <c r="CD261" s="609"/>
      <c r="CE261" s="609"/>
      <c r="CF261" s="609"/>
      <c r="CG261" s="609"/>
      <c r="CH261" s="609"/>
      <c r="CI261" s="609"/>
      <c r="CJ261" s="609"/>
      <c r="CK261" s="609"/>
      <c r="CL261" s="609"/>
      <c r="CM261" s="609"/>
      <c r="CN261" s="609"/>
      <c r="CO261" s="609"/>
      <c r="CP261" s="609"/>
      <c r="CQ261" s="609"/>
      <c r="CR261" s="609"/>
      <c r="CS261" s="609"/>
      <c r="CT261" s="609"/>
      <c r="CU261" s="609"/>
      <c r="CV261" s="609"/>
      <c r="CW261" s="609"/>
      <c r="CX261" s="609"/>
      <c r="CY261" s="609"/>
      <c r="CZ261" s="609"/>
      <c r="DA261" s="609"/>
      <c r="DB261" s="609"/>
      <c r="DC261" s="609"/>
      <c r="DD261" s="609"/>
      <c r="DE261" s="609"/>
      <c r="DF261" s="609"/>
      <c r="DG261" s="609"/>
      <c r="DH261" s="609"/>
      <c r="DI261" s="609"/>
      <c r="DJ261" s="609"/>
      <c r="DK261" s="609"/>
    </row>
    <row r="262" spans="69:115">
      <c r="BQ262" s="609"/>
      <c r="BR262" s="609"/>
      <c r="BS262" s="609"/>
      <c r="BT262" s="609"/>
      <c r="BU262" s="609"/>
      <c r="BV262" s="609"/>
      <c r="BW262" s="609"/>
      <c r="BX262" s="609"/>
      <c r="BY262" s="609"/>
      <c r="BZ262" s="609"/>
      <c r="CA262" s="609"/>
      <c r="CB262" s="609"/>
      <c r="CC262" s="609"/>
      <c r="CD262" s="609"/>
      <c r="CE262" s="609"/>
      <c r="CF262" s="609"/>
      <c r="CG262" s="609"/>
      <c r="CH262" s="609"/>
      <c r="CI262" s="609"/>
      <c r="CJ262" s="609"/>
      <c r="CK262" s="609"/>
      <c r="CL262" s="609"/>
      <c r="CM262" s="609"/>
      <c r="CN262" s="609"/>
      <c r="CO262" s="609"/>
      <c r="CP262" s="609"/>
      <c r="CQ262" s="609"/>
      <c r="CR262" s="609"/>
      <c r="CS262" s="609"/>
      <c r="CT262" s="609"/>
      <c r="CU262" s="609"/>
      <c r="CV262" s="609"/>
      <c r="CW262" s="609"/>
      <c r="CX262" s="609"/>
      <c r="CY262" s="609"/>
      <c r="CZ262" s="609"/>
      <c r="DA262" s="609"/>
      <c r="DB262" s="609"/>
      <c r="DC262" s="609"/>
      <c r="DD262" s="609"/>
      <c r="DE262" s="609"/>
      <c r="DF262" s="609"/>
      <c r="DG262" s="609"/>
      <c r="DH262" s="609"/>
      <c r="DI262" s="609"/>
      <c r="DJ262" s="609"/>
      <c r="DK262" s="609"/>
    </row>
    <row r="263" spans="69:115">
      <c r="BQ263" s="609"/>
      <c r="BR263" s="609"/>
      <c r="BS263" s="609"/>
      <c r="BT263" s="609"/>
      <c r="BU263" s="609"/>
      <c r="BV263" s="609"/>
      <c r="BW263" s="609"/>
      <c r="BX263" s="609"/>
      <c r="BY263" s="609"/>
      <c r="BZ263" s="609"/>
      <c r="CA263" s="609"/>
      <c r="CB263" s="609"/>
      <c r="CC263" s="609"/>
      <c r="CD263" s="609"/>
      <c r="CE263" s="609"/>
      <c r="CF263" s="609"/>
      <c r="CG263" s="609"/>
      <c r="CH263" s="609"/>
      <c r="CI263" s="609"/>
      <c r="CJ263" s="609"/>
      <c r="CK263" s="609"/>
      <c r="CL263" s="609"/>
      <c r="CM263" s="609"/>
      <c r="CN263" s="609"/>
      <c r="CO263" s="609"/>
      <c r="CP263" s="609"/>
      <c r="CQ263" s="609"/>
      <c r="CR263" s="609"/>
      <c r="CS263" s="609"/>
      <c r="CT263" s="609"/>
      <c r="CU263" s="609"/>
      <c r="CV263" s="609"/>
      <c r="CW263" s="609"/>
      <c r="CX263" s="609"/>
      <c r="CY263" s="609"/>
      <c r="CZ263" s="609"/>
      <c r="DA263" s="609"/>
      <c r="DB263" s="609"/>
      <c r="DC263" s="609"/>
      <c r="DD263" s="609"/>
      <c r="DE263" s="609"/>
      <c r="DF263" s="609"/>
      <c r="DG263" s="609"/>
      <c r="DH263" s="609"/>
      <c r="DI263" s="609"/>
      <c r="DJ263" s="609"/>
      <c r="DK263" s="609"/>
    </row>
    <row r="264" spans="69:115">
      <c r="BQ264" s="609"/>
      <c r="BR264" s="609"/>
      <c r="BS264" s="609"/>
      <c r="BT264" s="609"/>
      <c r="BU264" s="609"/>
      <c r="BV264" s="609"/>
      <c r="BW264" s="609"/>
      <c r="BX264" s="609"/>
      <c r="BY264" s="609"/>
      <c r="BZ264" s="609"/>
      <c r="CA264" s="609"/>
      <c r="CB264" s="609"/>
      <c r="CC264" s="609"/>
      <c r="CD264" s="609"/>
      <c r="CE264" s="609"/>
      <c r="CF264" s="609"/>
      <c r="CG264" s="609"/>
      <c r="CH264" s="609"/>
      <c r="CI264" s="609"/>
      <c r="CJ264" s="609"/>
      <c r="CK264" s="609"/>
      <c r="CL264" s="609"/>
      <c r="CM264" s="609"/>
      <c r="CN264" s="609"/>
      <c r="CO264" s="609"/>
      <c r="CP264" s="609"/>
      <c r="CQ264" s="609"/>
      <c r="CR264" s="609"/>
      <c r="CS264" s="609"/>
      <c r="CT264" s="609"/>
      <c r="CU264" s="609"/>
      <c r="CV264" s="609"/>
      <c r="CW264" s="609"/>
      <c r="CX264" s="609"/>
      <c r="CY264" s="609"/>
      <c r="CZ264" s="609"/>
      <c r="DA264" s="609"/>
      <c r="DB264" s="609"/>
      <c r="DC264" s="609"/>
      <c r="DD264" s="609"/>
      <c r="DE264" s="609"/>
      <c r="DF264" s="609"/>
      <c r="DG264" s="609"/>
      <c r="DH264" s="609"/>
      <c r="DI264" s="609"/>
      <c r="DJ264" s="609"/>
      <c r="DK264" s="609"/>
    </row>
    <row r="265" spans="69:115">
      <c r="BQ265" s="609"/>
      <c r="BR265" s="609"/>
      <c r="BS265" s="609"/>
      <c r="BT265" s="609"/>
      <c r="BU265" s="609"/>
      <c r="BV265" s="609"/>
      <c r="BW265" s="609"/>
      <c r="BX265" s="609"/>
      <c r="BY265" s="609"/>
      <c r="BZ265" s="609"/>
      <c r="CA265" s="609"/>
      <c r="CB265" s="609"/>
      <c r="CC265" s="609"/>
      <c r="CD265" s="609"/>
      <c r="CE265" s="609"/>
      <c r="CF265" s="609"/>
      <c r="CG265" s="609"/>
      <c r="CH265" s="609"/>
      <c r="CI265" s="609"/>
      <c r="CJ265" s="609"/>
      <c r="CK265" s="609"/>
      <c r="CL265" s="609"/>
      <c r="CM265" s="609"/>
      <c r="CN265" s="609"/>
      <c r="CO265" s="609"/>
      <c r="CP265" s="609"/>
      <c r="CQ265" s="609"/>
      <c r="CR265" s="609"/>
      <c r="CS265" s="609"/>
      <c r="CT265" s="609"/>
      <c r="CU265" s="609"/>
      <c r="CV265" s="609"/>
      <c r="CW265" s="609"/>
      <c r="CX265" s="609"/>
      <c r="CY265" s="609"/>
      <c r="CZ265" s="609"/>
      <c r="DA265" s="609"/>
      <c r="DB265" s="609"/>
      <c r="DC265" s="609"/>
      <c r="DD265" s="609"/>
      <c r="DE265" s="609"/>
      <c r="DF265" s="609"/>
      <c r="DG265" s="609"/>
      <c r="DH265" s="609"/>
      <c r="DI265" s="609"/>
      <c r="DJ265" s="609"/>
      <c r="DK265" s="609"/>
    </row>
    <row r="266" spans="69:115">
      <c r="BQ266" s="609"/>
      <c r="BR266" s="609"/>
      <c r="BS266" s="609"/>
      <c r="BT266" s="609"/>
      <c r="BU266" s="609"/>
      <c r="BV266" s="609"/>
      <c r="BW266" s="609"/>
      <c r="BX266" s="609"/>
      <c r="BY266" s="609"/>
      <c r="BZ266" s="609"/>
      <c r="CA266" s="609"/>
      <c r="CB266" s="609"/>
      <c r="CC266" s="609"/>
      <c r="CD266" s="609"/>
      <c r="CE266" s="609"/>
      <c r="CF266" s="609"/>
      <c r="CG266" s="609"/>
      <c r="CH266" s="609"/>
      <c r="CI266" s="609"/>
      <c r="CJ266" s="609"/>
      <c r="CK266" s="609"/>
      <c r="CL266" s="609"/>
      <c r="CM266" s="609"/>
      <c r="CN266" s="609"/>
      <c r="CO266" s="609"/>
      <c r="CP266" s="609"/>
      <c r="CQ266" s="609"/>
      <c r="CR266" s="609"/>
      <c r="CS266" s="609"/>
      <c r="CT266" s="609"/>
      <c r="CU266" s="609"/>
      <c r="CV266" s="609"/>
      <c r="CW266" s="609"/>
      <c r="CX266" s="609"/>
      <c r="CY266" s="609"/>
      <c r="CZ266" s="609"/>
      <c r="DA266" s="609"/>
      <c r="DB266" s="609"/>
      <c r="DC266" s="609"/>
      <c r="DD266" s="609"/>
      <c r="DE266" s="609"/>
      <c r="DF266" s="609"/>
      <c r="DG266" s="609"/>
      <c r="DH266" s="609"/>
      <c r="DI266" s="609"/>
      <c r="DJ266" s="609"/>
      <c r="DK266" s="609"/>
    </row>
    <row r="267" spans="69:115">
      <c r="BQ267" s="609"/>
      <c r="BR267" s="609"/>
      <c r="BS267" s="609"/>
      <c r="BT267" s="609"/>
      <c r="BU267" s="609"/>
      <c r="BV267" s="609"/>
      <c r="BW267" s="609"/>
      <c r="BX267" s="609"/>
      <c r="BY267" s="609"/>
      <c r="BZ267" s="609"/>
      <c r="CA267" s="609"/>
      <c r="CB267" s="609"/>
      <c r="CC267" s="609"/>
      <c r="CD267" s="609"/>
      <c r="CE267" s="609"/>
      <c r="CF267" s="609"/>
      <c r="CG267" s="609"/>
      <c r="CH267" s="609"/>
      <c r="CI267" s="609"/>
      <c r="CJ267" s="609"/>
      <c r="CK267" s="609"/>
      <c r="CL267" s="609"/>
      <c r="CM267" s="609"/>
      <c r="CN267" s="609"/>
      <c r="CO267" s="609"/>
      <c r="CP267" s="609"/>
      <c r="CQ267" s="609"/>
      <c r="CR267" s="609"/>
      <c r="CS267" s="609"/>
      <c r="CT267" s="609"/>
      <c r="CU267" s="609"/>
      <c r="CV267" s="609"/>
      <c r="CW267" s="609"/>
      <c r="CX267" s="609"/>
      <c r="CY267" s="609"/>
      <c r="CZ267" s="609"/>
      <c r="DA267" s="609"/>
      <c r="DB267" s="609"/>
      <c r="DC267" s="609"/>
      <c r="DD267" s="609"/>
      <c r="DE267" s="609"/>
      <c r="DF267" s="609"/>
      <c r="DG267" s="609"/>
      <c r="DH267" s="609"/>
      <c r="DI267" s="609"/>
      <c r="DJ267" s="609"/>
      <c r="DK267" s="609"/>
    </row>
    <row r="268" spans="69:115">
      <c r="BQ268" s="609"/>
      <c r="BR268" s="609"/>
      <c r="BS268" s="609"/>
      <c r="BT268" s="609"/>
      <c r="BU268" s="609"/>
      <c r="BV268" s="609"/>
      <c r="BW268" s="609"/>
      <c r="BX268" s="609"/>
      <c r="BY268" s="609"/>
      <c r="BZ268" s="609"/>
      <c r="CA268" s="609"/>
      <c r="CB268" s="609"/>
      <c r="CC268" s="609"/>
      <c r="CD268" s="609"/>
      <c r="CE268" s="609"/>
      <c r="CF268" s="609"/>
      <c r="CG268" s="609"/>
      <c r="CH268" s="609"/>
      <c r="CI268" s="609"/>
      <c r="CJ268" s="609"/>
      <c r="CK268" s="609"/>
      <c r="CL268" s="609"/>
      <c r="CM268" s="609"/>
      <c r="CN268" s="609"/>
      <c r="CO268" s="609"/>
      <c r="CP268" s="609"/>
      <c r="CQ268" s="609"/>
      <c r="CR268" s="609"/>
      <c r="CS268" s="609"/>
      <c r="CT268" s="609"/>
      <c r="CU268" s="609"/>
      <c r="CV268" s="609"/>
      <c r="CW268" s="609"/>
      <c r="CX268" s="609"/>
      <c r="CY268" s="609"/>
      <c r="CZ268" s="609"/>
      <c r="DA268" s="609"/>
      <c r="DB268" s="609"/>
      <c r="DC268" s="609"/>
      <c r="DD268" s="609"/>
      <c r="DE268" s="609"/>
      <c r="DF268" s="609"/>
      <c r="DG268" s="609"/>
      <c r="DH268" s="609"/>
      <c r="DI268" s="609"/>
      <c r="DJ268" s="609"/>
      <c r="DK268" s="609"/>
    </row>
    <row r="269" spans="69:115">
      <c r="BQ269" s="609"/>
      <c r="BR269" s="609"/>
      <c r="BS269" s="609"/>
      <c r="BT269" s="609"/>
      <c r="BU269" s="609"/>
      <c r="BV269" s="609"/>
      <c r="BW269" s="609"/>
      <c r="BX269" s="609"/>
      <c r="BY269" s="609"/>
      <c r="BZ269" s="609"/>
      <c r="CA269" s="609"/>
      <c r="CB269" s="609"/>
      <c r="CC269" s="609"/>
      <c r="CD269" s="609"/>
      <c r="CE269" s="609"/>
      <c r="CF269" s="609"/>
      <c r="CG269" s="609"/>
      <c r="CH269" s="609"/>
      <c r="CI269" s="609"/>
      <c r="CJ269" s="609"/>
      <c r="CK269" s="609"/>
      <c r="CL269" s="609"/>
      <c r="CM269" s="609"/>
      <c r="CN269" s="609"/>
      <c r="CO269" s="609"/>
      <c r="CP269" s="609"/>
      <c r="CQ269" s="609"/>
      <c r="CR269" s="609"/>
      <c r="CS269" s="609"/>
      <c r="CT269" s="609"/>
      <c r="CU269" s="609"/>
      <c r="CV269" s="609"/>
      <c r="CW269" s="609"/>
      <c r="CX269" s="609"/>
      <c r="CY269" s="609"/>
      <c r="CZ269" s="609"/>
      <c r="DA269" s="609"/>
      <c r="DB269" s="609"/>
      <c r="DC269" s="609"/>
      <c r="DD269" s="609"/>
      <c r="DE269" s="609"/>
      <c r="DF269" s="609"/>
      <c r="DG269" s="609"/>
      <c r="DH269" s="609"/>
      <c r="DI269" s="609"/>
      <c r="DJ269" s="609"/>
      <c r="DK269" s="609"/>
    </row>
    <row r="270" spans="69:115">
      <c r="BQ270" s="609"/>
      <c r="BR270" s="609"/>
      <c r="BS270" s="609"/>
      <c r="BT270" s="609"/>
      <c r="BU270" s="609"/>
      <c r="BV270" s="609"/>
      <c r="BW270" s="609"/>
      <c r="BX270" s="609"/>
      <c r="BY270" s="609"/>
      <c r="BZ270" s="609"/>
      <c r="CA270" s="609"/>
      <c r="CB270" s="609"/>
      <c r="CC270" s="609"/>
      <c r="CD270" s="609"/>
      <c r="CE270" s="609"/>
      <c r="CF270" s="609"/>
      <c r="CG270" s="609"/>
      <c r="CH270" s="609"/>
      <c r="CI270" s="609"/>
      <c r="CJ270" s="609"/>
      <c r="CK270" s="609"/>
      <c r="CL270" s="609"/>
      <c r="CM270" s="609"/>
      <c r="CN270" s="609"/>
      <c r="CO270" s="609"/>
      <c r="CP270" s="609"/>
      <c r="CQ270" s="609"/>
      <c r="CR270" s="609"/>
      <c r="CS270" s="609"/>
      <c r="CT270" s="609"/>
      <c r="CU270" s="609"/>
      <c r="CV270" s="609"/>
      <c r="CW270" s="609"/>
      <c r="CX270" s="609"/>
      <c r="CY270" s="609"/>
      <c r="CZ270" s="609"/>
      <c r="DA270" s="609"/>
      <c r="DB270" s="609"/>
      <c r="DC270" s="609"/>
      <c r="DD270" s="609"/>
      <c r="DE270" s="609"/>
      <c r="DF270" s="609"/>
      <c r="DG270" s="609"/>
      <c r="DH270" s="609"/>
      <c r="DI270" s="609"/>
      <c r="DJ270" s="609"/>
      <c r="DK270" s="609"/>
    </row>
    <row r="271" spans="69:115">
      <c r="BQ271" s="609"/>
      <c r="BR271" s="609"/>
      <c r="BS271" s="609"/>
      <c r="BT271" s="609"/>
      <c r="BU271" s="609"/>
      <c r="BV271" s="609"/>
      <c r="BW271" s="609"/>
      <c r="BX271" s="609"/>
      <c r="BY271" s="609"/>
      <c r="BZ271" s="609"/>
      <c r="CA271" s="609"/>
      <c r="CB271" s="609"/>
      <c r="CC271" s="609"/>
      <c r="CD271" s="609"/>
      <c r="CE271" s="609"/>
      <c r="CF271" s="609"/>
      <c r="CG271" s="609"/>
      <c r="CH271" s="609"/>
      <c r="CI271" s="609"/>
      <c r="CJ271" s="609"/>
      <c r="CK271" s="609"/>
      <c r="CL271" s="609"/>
      <c r="CM271" s="609"/>
      <c r="CN271" s="609"/>
      <c r="CO271" s="609"/>
      <c r="CP271" s="609"/>
      <c r="CQ271" s="609"/>
      <c r="CR271" s="609"/>
      <c r="CS271" s="609"/>
      <c r="CT271" s="609"/>
      <c r="CU271" s="609"/>
      <c r="CV271" s="609"/>
      <c r="CW271" s="609"/>
      <c r="CX271" s="609"/>
      <c r="CY271" s="609"/>
      <c r="CZ271" s="609"/>
      <c r="DA271" s="609"/>
      <c r="DB271" s="609"/>
      <c r="DC271" s="609"/>
      <c r="DD271" s="609"/>
      <c r="DE271" s="609"/>
      <c r="DF271" s="609"/>
      <c r="DG271" s="609"/>
      <c r="DH271" s="609"/>
      <c r="DI271" s="609"/>
      <c r="DJ271" s="609"/>
      <c r="DK271" s="609"/>
    </row>
    <row r="272" spans="69:115">
      <c r="BQ272" s="609"/>
      <c r="BR272" s="609"/>
      <c r="BS272" s="609"/>
      <c r="BT272" s="609"/>
      <c r="BU272" s="609"/>
      <c r="BV272" s="609"/>
      <c r="BW272" s="609"/>
      <c r="BX272" s="609"/>
      <c r="BY272" s="609"/>
      <c r="BZ272" s="609"/>
      <c r="CA272" s="609"/>
      <c r="CB272" s="609"/>
      <c r="CC272" s="609"/>
      <c r="CD272" s="609"/>
      <c r="CE272" s="609"/>
      <c r="CF272" s="609"/>
      <c r="CG272" s="609"/>
      <c r="CH272" s="609"/>
      <c r="CI272" s="609"/>
      <c r="CJ272" s="609"/>
      <c r="CK272" s="609"/>
      <c r="CL272" s="609"/>
      <c r="CM272" s="609"/>
      <c r="CN272" s="609"/>
      <c r="CO272" s="609"/>
      <c r="CP272" s="609"/>
      <c r="CQ272" s="609"/>
      <c r="CR272" s="609"/>
      <c r="CS272" s="609"/>
      <c r="CT272" s="609"/>
      <c r="CU272" s="609"/>
      <c r="CV272" s="609"/>
      <c r="CW272" s="609"/>
      <c r="CX272" s="609"/>
      <c r="CY272" s="609"/>
      <c r="CZ272" s="609"/>
      <c r="DA272" s="609"/>
      <c r="DB272" s="609"/>
      <c r="DC272" s="609"/>
      <c r="DD272" s="609"/>
      <c r="DE272" s="609"/>
      <c r="DF272" s="609"/>
      <c r="DG272" s="609"/>
      <c r="DH272" s="609"/>
      <c r="DI272" s="609"/>
      <c r="DJ272" s="609"/>
      <c r="DK272" s="609"/>
    </row>
    <row r="273" spans="69:115">
      <c r="BQ273" s="609"/>
      <c r="BR273" s="609"/>
      <c r="BS273" s="609"/>
      <c r="BT273" s="609"/>
      <c r="BU273" s="609"/>
      <c r="BV273" s="609"/>
      <c r="BW273" s="609"/>
      <c r="BX273" s="609"/>
      <c r="BY273" s="609"/>
      <c r="BZ273" s="609"/>
      <c r="CA273" s="609"/>
      <c r="CB273" s="609"/>
      <c r="CC273" s="609"/>
      <c r="CD273" s="609"/>
      <c r="CE273" s="609"/>
      <c r="CF273" s="609"/>
      <c r="CG273" s="609"/>
      <c r="CH273" s="609"/>
      <c r="CI273" s="609"/>
      <c r="CJ273" s="609"/>
      <c r="CK273" s="609"/>
      <c r="CL273" s="609"/>
      <c r="CM273" s="609"/>
      <c r="CN273" s="609"/>
      <c r="CO273" s="609"/>
      <c r="CP273" s="609"/>
      <c r="CQ273" s="609"/>
      <c r="CR273" s="609"/>
      <c r="CS273" s="609"/>
      <c r="CT273" s="609"/>
      <c r="CU273" s="609"/>
      <c r="CV273" s="609"/>
      <c r="CW273" s="609"/>
      <c r="CX273" s="609"/>
      <c r="CY273" s="609"/>
      <c r="CZ273" s="609"/>
      <c r="DA273" s="609"/>
      <c r="DB273" s="609"/>
      <c r="DC273" s="609"/>
      <c r="DD273" s="609"/>
      <c r="DE273" s="609"/>
      <c r="DF273" s="609"/>
      <c r="DG273" s="609"/>
      <c r="DH273" s="609"/>
      <c r="DI273" s="609"/>
      <c r="DJ273" s="609"/>
      <c r="DK273" s="609"/>
    </row>
    <row r="274" spans="69:115">
      <c r="BQ274" s="609"/>
      <c r="BR274" s="609"/>
      <c r="BS274" s="609"/>
      <c r="BT274" s="609"/>
      <c r="BU274" s="609"/>
      <c r="BV274" s="609"/>
      <c r="BW274" s="609"/>
      <c r="BX274" s="609"/>
      <c r="BY274" s="609"/>
      <c r="BZ274" s="609"/>
      <c r="CA274" s="609"/>
      <c r="CB274" s="609"/>
      <c r="CC274" s="609"/>
      <c r="CD274" s="609"/>
      <c r="CE274" s="609"/>
      <c r="CF274" s="609"/>
      <c r="CG274" s="609"/>
      <c r="CH274" s="609"/>
      <c r="CI274" s="609"/>
      <c r="CJ274" s="609"/>
      <c r="CK274" s="609"/>
      <c r="CL274" s="609"/>
      <c r="CM274" s="609"/>
      <c r="CN274" s="609"/>
      <c r="CO274" s="609"/>
      <c r="CP274" s="609"/>
      <c r="CQ274" s="609"/>
      <c r="CR274" s="609"/>
      <c r="CS274" s="609"/>
      <c r="CT274" s="609"/>
      <c r="CU274" s="609"/>
      <c r="CV274" s="609"/>
      <c r="CW274" s="609"/>
      <c r="CX274" s="609"/>
      <c r="CY274" s="609"/>
      <c r="CZ274" s="609"/>
      <c r="DA274" s="609"/>
      <c r="DB274" s="609"/>
      <c r="DC274" s="609"/>
      <c r="DD274" s="609"/>
      <c r="DE274" s="609"/>
      <c r="DF274" s="609"/>
      <c r="DG274" s="609"/>
      <c r="DH274" s="609"/>
      <c r="DI274" s="609"/>
      <c r="DJ274" s="609"/>
      <c r="DK274" s="609"/>
    </row>
    <row r="275" spans="69:115">
      <c r="BQ275" s="609"/>
      <c r="BR275" s="609"/>
      <c r="BS275" s="609"/>
      <c r="BT275" s="609"/>
      <c r="BU275" s="609"/>
      <c r="BV275" s="609"/>
      <c r="BW275" s="609"/>
      <c r="BX275" s="609"/>
      <c r="BY275" s="609"/>
      <c r="BZ275" s="609"/>
      <c r="CA275" s="609"/>
      <c r="CB275" s="609"/>
      <c r="CC275" s="609"/>
      <c r="CD275" s="609"/>
      <c r="CE275" s="609"/>
      <c r="CF275" s="609"/>
      <c r="CG275" s="609"/>
      <c r="CH275" s="609"/>
      <c r="CI275" s="609"/>
      <c r="CJ275" s="609"/>
      <c r="CK275" s="609"/>
      <c r="CL275" s="609"/>
      <c r="CM275" s="609"/>
      <c r="CN275" s="609"/>
      <c r="CO275" s="609"/>
      <c r="CP275" s="609"/>
      <c r="CQ275" s="609"/>
      <c r="CR275" s="609"/>
      <c r="CS275" s="609"/>
      <c r="CT275" s="609"/>
      <c r="CU275" s="609"/>
      <c r="CV275" s="609"/>
      <c r="CW275" s="609"/>
      <c r="CX275" s="609"/>
      <c r="CY275" s="609"/>
      <c r="CZ275" s="609"/>
      <c r="DA275" s="609"/>
      <c r="DB275" s="609"/>
      <c r="DC275" s="609"/>
      <c r="DD275" s="609"/>
      <c r="DE275" s="609"/>
      <c r="DF275" s="609"/>
      <c r="DG275" s="609"/>
      <c r="DH275" s="609"/>
      <c r="DI275" s="609"/>
      <c r="DJ275" s="609"/>
      <c r="DK275" s="609"/>
    </row>
    <row r="276" spans="69:115">
      <c r="BQ276" s="609"/>
      <c r="BR276" s="609"/>
      <c r="BS276" s="609"/>
      <c r="BT276" s="609"/>
      <c r="BU276" s="609"/>
      <c r="BV276" s="609"/>
      <c r="BW276" s="609"/>
      <c r="BX276" s="609"/>
      <c r="BY276" s="609"/>
      <c r="BZ276" s="609"/>
      <c r="CA276" s="609"/>
      <c r="CB276" s="609"/>
      <c r="CC276" s="609"/>
      <c r="CD276" s="609"/>
      <c r="CE276" s="609"/>
      <c r="CF276" s="609"/>
      <c r="CG276" s="609"/>
      <c r="CH276" s="609"/>
      <c r="CI276" s="609"/>
      <c r="CJ276" s="609"/>
      <c r="CK276" s="609"/>
      <c r="CL276" s="609"/>
      <c r="CM276" s="609"/>
      <c r="CN276" s="609"/>
      <c r="CO276" s="609"/>
      <c r="CP276" s="609"/>
      <c r="CQ276" s="609"/>
      <c r="CR276" s="609"/>
      <c r="CS276" s="609"/>
      <c r="CT276" s="609"/>
      <c r="CU276" s="609"/>
      <c r="CV276" s="609"/>
      <c r="CW276" s="609"/>
      <c r="CX276" s="609"/>
      <c r="CY276" s="609"/>
      <c r="CZ276" s="609"/>
      <c r="DA276" s="609"/>
      <c r="DB276" s="609"/>
      <c r="DC276" s="609"/>
      <c r="DD276" s="609"/>
      <c r="DE276" s="609"/>
      <c r="DF276" s="609"/>
      <c r="DG276" s="609"/>
      <c r="DH276" s="609"/>
      <c r="DI276" s="609"/>
      <c r="DJ276" s="609"/>
      <c r="DK276" s="609"/>
    </row>
    <row r="277" spans="69:115">
      <c r="BQ277" s="609"/>
      <c r="BR277" s="609"/>
      <c r="BS277" s="609"/>
      <c r="BT277" s="609"/>
      <c r="BU277" s="609"/>
      <c r="BV277" s="609"/>
      <c r="BW277" s="609"/>
      <c r="BX277" s="609"/>
      <c r="BY277" s="609"/>
      <c r="BZ277" s="609"/>
      <c r="CA277" s="609"/>
      <c r="CB277" s="609"/>
      <c r="CC277" s="609"/>
      <c r="CD277" s="609"/>
      <c r="CE277" s="609"/>
      <c r="CF277" s="609"/>
      <c r="CG277" s="609"/>
      <c r="CH277" s="609"/>
      <c r="CI277" s="609"/>
      <c r="CJ277" s="609"/>
      <c r="CK277" s="609"/>
      <c r="CL277" s="609"/>
      <c r="CM277" s="609"/>
      <c r="CN277" s="609"/>
      <c r="CO277" s="609"/>
      <c r="CP277" s="609"/>
      <c r="CQ277" s="609"/>
      <c r="CR277" s="609"/>
      <c r="CS277" s="609"/>
      <c r="CT277" s="609"/>
      <c r="CU277" s="609"/>
      <c r="CV277" s="609"/>
      <c r="CW277" s="609"/>
      <c r="CX277" s="609"/>
      <c r="CY277" s="609"/>
      <c r="CZ277" s="609"/>
      <c r="DA277" s="609"/>
      <c r="DB277" s="609"/>
      <c r="DC277" s="609"/>
      <c r="DD277" s="609"/>
      <c r="DE277" s="609"/>
      <c r="DF277" s="609"/>
      <c r="DG277" s="609"/>
      <c r="DH277" s="609"/>
      <c r="DI277" s="609"/>
      <c r="DJ277" s="609"/>
      <c r="DK277" s="609"/>
    </row>
    <row r="278" spans="69:115">
      <c r="BQ278" s="609"/>
      <c r="BR278" s="609"/>
      <c r="BS278" s="609"/>
      <c r="BT278" s="609"/>
      <c r="BU278" s="609"/>
      <c r="BV278" s="609"/>
      <c r="BW278" s="609"/>
      <c r="BX278" s="609"/>
      <c r="BY278" s="609"/>
      <c r="BZ278" s="609"/>
      <c r="CA278" s="609"/>
      <c r="CB278" s="609"/>
      <c r="CC278" s="609"/>
      <c r="CD278" s="609"/>
      <c r="CE278" s="609"/>
      <c r="CF278" s="609"/>
      <c r="CG278" s="609"/>
      <c r="CH278" s="609"/>
      <c r="CI278" s="609"/>
      <c r="CJ278" s="609"/>
      <c r="CK278" s="609"/>
      <c r="CL278" s="609"/>
      <c r="CM278" s="609"/>
      <c r="CN278" s="609"/>
      <c r="CO278" s="609"/>
      <c r="CP278" s="609"/>
      <c r="CQ278" s="609"/>
      <c r="CR278" s="609"/>
      <c r="CS278" s="609"/>
      <c r="CT278" s="609"/>
      <c r="CU278" s="609"/>
      <c r="CV278" s="609"/>
      <c r="CW278" s="609"/>
      <c r="CX278" s="609"/>
      <c r="CY278" s="609"/>
      <c r="CZ278" s="609"/>
      <c r="DA278" s="609"/>
      <c r="DB278" s="609"/>
      <c r="DC278" s="609"/>
      <c r="DD278" s="609"/>
      <c r="DE278" s="609"/>
      <c r="DF278" s="609"/>
      <c r="DG278" s="609"/>
      <c r="DH278" s="609"/>
      <c r="DI278" s="609"/>
      <c r="DJ278" s="609"/>
      <c r="DK278" s="609"/>
    </row>
    <row r="279" spans="69:115">
      <c r="BQ279" s="609"/>
      <c r="BR279" s="609"/>
      <c r="BS279" s="609"/>
      <c r="BT279" s="609"/>
      <c r="BU279" s="609"/>
      <c r="BV279" s="609"/>
      <c r="BW279" s="609"/>
      <c r="BX279" s="609"/>
      <c r="BY279" s="609"/>
      <c r="BZ279" s="609"/>
      <c r="CA279" s="609"/>
      <c r="CB279" s="609"/>
      <c r="CC279" s="609"/>
      <c r="CD279" s="609"/>
      <c r="CE279" s="609"/>
      <c r="CF279" s="609"/>
      <c r="CG279" s="609"/>
      <c r="CH279" s="609"/>
      <c r="CI279" s="609"/>
      <c r="CJ279" s="609"/>
      <c r="CK279" s="609"/>
      <c r="CL279" s="609"/>
      <c r="CM279" s="609"/>
      <c r="CN279" s="609"/>
      <c r="CO279" s="609"/>
      <c r="CP279" s="609"/>
      <c r="CQ279" s="609"/>
      <c r="CR279" s="609"/>
      <c r="CS279" s="609"/>
      <c r="CT279" s="609"/>
      <c r="CU279" s="609"/>
      <c r="CV279" s="609"/>
      <c r="CW279" s="609"/>
      <c r="CX279" s="609"/>
      <c r="CY279" s="609"/>
      <c r="CZ279" s="609"/>
      <c r="DA279" s="609"/>
      <c r="DB279" s="609"/>
      <c r="DC279" s="609"/>
      <c r="DD279" s="609"/>
      <c r="DE279" s="609"/>
      <c r="DF279" s="609"/>
      <c r="DG279" s="609"/>
      <c r="DH279" s="609"/>
      <c r="DI279" s="609"/>
      <c r="DJ279" s="609"/>
      <c r="DK279" s="609"/>
    </row>
    <row r="280" spans="69:115">
      <c r="BQ280" s="609"/>
      <c r="BR280" s="609"/>
      <c r="BS280" s="609"/>
      <c r="BT280" s="609"/>
      <c r="BU280" s="609"/>
      <c r="BV280" s="609"/>
      <c r="BW280" s="609"/>
      <c r="BX280" s="609"/>
      <c r="BY280" s="609"/>
      <c r="BZ280" s="609"/>
      <c r="CA280" s="609"/>
      <c r="CB280" s="609"/>
      <c r="CC280" s="609"/>
      <c r="CD280" s="609"/>
      <c r="CE280" s="609"/>
      <c r="CF280" s="609"/>
      <c r="CG280" s="609"/>
      <c r="CH280" s="609"/>
      <c r="CI280" s="609"/>
      <c r="CJ280" s="609"/>
      <c r="CK280" s="609"/>
      <c r="CL280" s="609"/>
      <c r="CM280" s="609"/>
      <c r="CN280" s="609"/>
      <c r="CO280" s="609"/>
      <c r="CP280" s="609"/>
      <c r="CQ280" s="609"/>
      <c r="CR280" s="609"/>
      <c r="CS280" s="609"/>
      <c r="CT280" s="609"/>
      <c r="CU280" s="609"/>
      <c r="CV280" s="609"/>
      <c r="CW280" s="609"/>
      <c r="CX280" s="609"/>
      <c r="CY280" s="609"/>
      <c r="CZ280" s="609"/>
      <c r="DA280" s="609"/>
      <c r="DB280" s="609"/>
      <c r="DC280" s="609"/>
      <c r="DD280" s="609"/>
      <c r="DE280" s="609"/>
      <c r="DF280" s="609"/>
      <c r="DG280" s="609"/>
      <c r="DH280" s="609"/>
      <c r="DI280" s="609"/>
      <c r="DJ280" s="609"/>
      <c r="DK280" s="609"/>
    </row>
    <row r="281" spans="69:115">
      <c r="BQ281" s="609"/>
      <c r="BR281" s="609"/>
      <c r="BS281" s="609"/>
      <c r="BT281" s="609"/>
      <c r="BU281" s="609"/>
      <c r="BV281" s="609"/>
      <c r="BW281" s="609"/>
      <c r="BX281" s="609"/>
      <c r="BY281" s="609"/>
      <c r="BZ281" s="609"/>
      <c r="CA281" s="609"/>
      <c r="CB281" s="609"/>
      <c r="CC281" s="609"/>
      <c r="CD281" s="609"/>
      <c r="CE281" s="609"/>
      <c r="CF281" s="609"/>
      <c r="CG281" s="609"/>
      <c r="CH281" s="609"/>
      <c r="CI281" s="609"/>
      <c r="CJ281" s="609"/>
      <c r="CK281" s="609"/>
      <c r="CL281" s="609"/>
      <c r="CM281" s="609"/>
      <c r="CN281" s="609"/>
      <c r="CO281" s="609"/>
      <c r="CP281" s="609"/>
      <c r="CQ281" s="609"/>
      <c r="CR281" s="609"/>
      <c r="CS281" s="609"/>
      <c r="CT281" s="609"/>
      <c r="CU281" s="609"/>
      <c r="CV281" s="609"/>
      <c r="CW281" s="609"/>
      <c r="CX281" s="609"/>
      <c r="CY281" s="609"/>
      <c r="CZ281" s="609"/>
      <c r="DA281" s="609"/>
      <c r="DB281" s="609"/>
      <c r="DC281" s="609"/>
      <c r="DD281" s="609"/>
      <c r="DE281" s="609"/>
      <c r="DF281" s="609"/>
      <c r="DG281" s="609"/>
      <c r="DH281" s="609"/>
      <c r="DI281" s="609"/>
      <c r="DJ281" s="609"/>
      <c r="DK281" s="609"/>
    </row>
    <row r="282" spans="69:115">
      <c r="BQ282" s="609"/>
      <c r="BR282" s="609"/>
      <c r="BS282" s="609"/>
      <c r="BT282" s="609"/>
      <c r="BU282" s="609"/>
      <c r="BV282" s="609"/>
      <c r="BW282" s="609"/>
      <c r="BX282" s="609"/>
      <c r="BY282" s="609"/>
      <c r="BZ282" s="609"/>
      <c r="CA282" s="609"/>
      <c r="CB282" s="609"/>
      <c r="CC282" s="609"/>
      <c r="CD282" s="609"/>
      <c r="CE282" s="609"/>
      <c r="CF282" s="609"/>
      <c r="CG282" s="609"/>
      <c r="CH282" s="609"/>
      <c r="CI282" s="609"/>
      <c r="CJ282" s="609"/>
      <c r="CK282" s="609"/>
      <c r="CL282" s="609"/>
      <c r="CM282" s="609"/>
      <c r="CN282" s="609"/>
      <c r="CO282" s="609"/>
      <c r="CP282" s="609"/>
      <c r="CQ282" s="609"/>
      <c r="CR282" s="609"/>
      <c r="CS282" s="609"/>
      <c r="CT282" s="609"/>
      <c r="CU282" s="609"/>
      <c r="CV282" s="609"/>
      <c r="CW282" s="609"/>
      <c r="CX282" s="609"/>
      <c r="CY282" s="609"/>
      <c r="CZ282" s="609"/>
      <c r="DA282" s="609"/>
      <c r="DB282" s="609"/>
      <c r="DC282" s="609"/>
      <c r="DD282" s="609"/>
      <c r="DE282" s="609"/>
      <c r="DF282" s="609"/>
      <c r="DG282" s="609"/>
      <c r="DH282" s="609"/>
      <c r="DI282" s="609"/>
      <c r="DJ282" s="609"/>
      <c r="DK282" s="609"/>
    </row>
    <row r="283" spans="69:115">
      <c r="BQ283" s="609"/>
      <c r="BR283" s="609"/>
      <c r="BS283" s="609"/>
      <c r="BT283" s="609"/>
      <c r="BU283" s="609"/>
      <c r="BV283" s="609"/>
      <c r="BW283" s="609"/>
      <c r="BX283" s="609"/>
      <c r="BY283" s="609"/>
      <c r="BZ283" s="609"/>
      <c r="CA283" s="609"/>
      <c r="CB283" s="609"/>
      <c r="CC283" s="609"/>
      <c r="CD283" s="609"/>
      <c r="CE283" s="609"/>
      <c r="CF283" s="609"/>
      <c r="CG283" s="609"/>
      <c r="CH283" s="609"/>
      <c r="CI283" s="609"/>
      <c r="CJ283" s="609"/>
      <c r="CK283" s="609"/>
      <c r="CL283" s="609"/>
      <c r="CM283" s="609"/>
      <c r="CN283" s="609"/>
      <c r="CO283" s="609"/>
      <c r="CP283" s="609"/>
      <c r="CQ283" s="609"/>
      <c r="CR283" s="609"/>
      <c r="CS283" s="609"/>
      <c r="CT283" s="609"/>
      <c r="CU283" s="609"/>
      <c r="CV283" s="609"/>
      <c r="CW283" s="609"/>
      <c r="CX283" s="609"/>
      <c r="CY283" s="609"/>
      <c r="CZ283" s="609"/>
      <c r="DA283" s="609"/>
      <c r="DB283" s="609"/>
      <c r="DC283" s="609"/>
      <c r="DD283" s="609"/>
      <c r="DE283" s="609"/>
      <c r="DF283" s="609"/>
      <c r="DG283" s="609"/>
      <c r="DH283" s="609"/>
      <c r="DI283" s="609"/>
      <c r="DJ283" s="609"/>
      <c r="DK283" s="609"/>
    </row>
    <row r="284" spans="69:115">
      <c r="BQ284" s="609"/>
      <c r="BR284" s="609"/>
      <c r="BS284" s="609"/>
      <c r="BT284" s="609"/>
      <c r="BU284" s="609"/>
      <c r="BV284" s="609"/>
      <c r="BW284" s="609"/>
      <c r="BX284" s="609"/>
      <c r="BY284" s="609"/>
      <c r="BZ284" s="609"/>
      <c r="CA284" s="609"/>
      <c r="CB284" s="609"/>
      <c r="CC284" s="609"/>
      <c r="CD284" s="609"/>
      <c r="CE284" s="609"/>
      <c r="CF284" s="609"/>
      <c r="CG284" s="609"/>
      <c r="CH284" s="609"/>
      <c r="CI284" s="609"/>
      <c r="CJ284" s="609"/>
      <c r="CK284" s="609"/>
      <c r="CL284" s="609"/>
      <c r="CM284" s="609"/>
      <c r="CN284" s="609"/>
      <c r="CO284" s="609"/>
      <c r="CP284" s="609"/>
      <c r="CQ284" s="609"/>
      <c r="CR284" s="609"/>
      <c r="CS284" s="609"/>
      <c r="CT284" s="609"/>
      <c r="CU284" s="609"/>
      <c r="CV284" s="609"/>
      <c r="CW284" s="609"/>
      <c r="CX284" s="609"/>
      <c r="CY284" s="609"/>
      <c r="CZ284" s="609"/>
      <c r="DA284" s="609"/>
      <c r="DB284" s="609"/>
      <c r="DC284" s="609"/>
      <c r="DD284" s="609"/>
      <c r="DE284" s="609"/>
      <c r="DF284" s="609"/>
      <c r="DG284" s="609"/>
      <c r="DH284" s="609"/>
      <c r="DI284" s="609"/>
      <c r="DJ284" s="609"/>
      <c r="DK284" s="609"/>
    </row>
    <row r="285" spans="69:115">
      <c r="BQ285" s="609"/>
      <c r="BR285" s="609"/>
      <c r="BS285" s="609"/>
      <c r="BT285" s="609"/>
      <c r="BU285" s="609"/>
      <c r="BV285" s="609"/>
      <c r="BW285" s="609"/>
      <c r="BX285" s="609"/>
      <c r="BY285" s="609"/>
      <c r="BZ285" s="609"/>
      <c r="CA285" s="609"/>
      <c r="CB285" s="609"/>
      <c r="CC285" s="609"/>
      <c r="CD285" s="609"/>
      <c r="CE285" s="609"/>
      <c r="CF285" s="609"/>
      <c r="CG285" s="609"/>
      <c r="CH285" s="609"/>
      <c r="CI285" s="609"/>
      <c r="CJ285" s="609"/>
      <c r="CK285" s="609"/>
      <c r="CL285" s="609"/>
      <c r="CM285" s="609"/>
      <c r="CN285" s="609"/>
      <c r="CO285" s="609"/>
      <c r="CP285" s="609"/>
      <c r="CQ285" s="609"/>
      <c r="CR285" s="609"/>
      <c r="CS285" s="609"/>
      <c r="CT285" s="609"/>
      <c r="CU285" s="609"/>
      <c r="CV285" s="609"/>
      <c r="CW285" s="609"/>
      <c r="CX285" s="609"/>
      <c r="CY285" s="609"/>
      <c r="CZ285" s="609"/>
      <c r="DA285" s="609"/>
      <c r="DB285" s="609"/>
      <c r="DC285" s="609"/>
      <c r="DD285" s="609"/>
      <c r="DE285" s="609"/>
      <c r="DF285" s="609"/>
      <c r="DG285" s="609"/>
      <c r="DH285" s="609"/>
      <c r="DI285" s="609"/>
      <c r="DJ285" s="609"/>
      <c r="DK285" s="609"/>
    </row>
    <row r="286" spans="69:115">
      <c r="BQ286" s="609"/>
      <c r="BR286" s="609"/>
      <c r="BS286" s="609"/>
      <c r="BT286" s="609"/>
      <c r="BU286" s="609"/>
      <c r="BV286" s="609"/>
      <c r="BW286" s="609"/>
      <c r="BX286" s="609"/>
      <c r="BY286" s="609"/>
      <c r="BZ286" s="609"/>
      <c r="CA286" s="609"/>
      <c r="CB286" s="609"/>
      <c r="CC286" s="609"/>
      <c r="CD286" s="609"/>
      <c r="CE286" s="609"/>
      <c r="CF286" s="609"/>
      <c r="CG286" s="609"/>
      <c r="CH286" s="609"/>
      <c r="CI286" s="609"/>
      <c r="CJ286" s="609"/>
      <c r="CK286" s="609"/>
      <c r="CL286" s="609"/>
      <c r="CM286" s="609"/>
      <c r="CN286" s="609"/>
      <c r="CO286" s="609"/>
      <c r="CP286" s="609"/>
      <c r="CQ286" s="609"/>
      <c r="CR286" s="609"/>
      <c r="CS286" s="609"/>
      <c r="CT286" s="609"/>
      <c r="CU286" s="609"/>
      <c r="CV286" s="609"/>
      <c r="CW286" s="609"/>
      <c r="CX286" s="609"/>
      <c r="CY286" s="609"/>
      <c r="CZ286" s="609"/>
      <c r="DA286" s="609"/>
      <c r="DB286" s="609"/>
      <c r="DC286" s="609"/>
      <c r="DD286" s="609"/>
      <c r="DE286" s="609"/>
      <c r="DF286" s="609"/>
      <c r="DG286" s="609"/>
      <c r="DH286" s="609"/>
      <c r="DI286" s="609"/>
      <c r="DJ286" s="609"/>
      <c r="DK286" s="609"/>
    </row>
    <row r="287" spans="69:115">
      <c r="BQ287" s="609"/>
      <c r="BR287" s="609"/>
      <c r="BS287" s="609"/>
      <c r="BT287" s="609"/>
      <c r="BU287" s="609"/>
      <c r="BV287" s="609"/>
      <c r="BW287" s="609"/>
      <c r="BX287" s="609"/>
      <c r="BY287" s="609"/>
      <c r="BZ287" s="609"/>
      <c r="CA287" s="609"/>
      <c r="CB287" s="609"/>
      <c r="CC287" s="609"/>
      <c r="CD287" s="609"/>
      <c r="CE287" s="609"/>
      <c r="CF287" s="609"/>
      <c r="CG287" s="609"/>
      <c r="CH287" s="609"/>
      <c r="CI287" s="609"/>
      <c r="CJ287" s="609"/>
      <c r="CK287" s="609"/>
      <c r="CL287" s="609"/>
      <c r="CM287" s="609"/>
      <c r="CN287" s="609"/>
      <c r="CO287" s="609"/>
      <c r="CP287" s="609"/>
      <c r="CQ287" s="609"/>
      <c r="CR287" s="609"/>
      <c r="CS287" s="609"/>
      <c r="CT287" s="609"/>
      <c r="CU287" s="609"/>
      <c r="CV287" s="609"/>
      <c r="CW287" s="609"/>
      <c r="CX287" s="609"/>
      <c r="CY287" s="609"/>
      <c r="CZ287" s="609"/>
      <c r="DA287" s="609"/>
      <c r="DB287" s="609"/>
      <c r="DC287" s="609"/>
      <c r="DD287" s="609"/>
      <c r="DE287" s="609"/>
      <c r="DF287" s="609"/>
      <c r="DG287" s="609"/>
      <c r="DH287" s="609"/>
      <c r="DI287" s="609"/>
      <c r="DJ287" s="609"/>
      <c r="DK287" s="609"/>
    </row>
    <row r="288" spans="69:115">
      <c r="BQ288" s="609"/>
      <c r="BR288" s="609"/>
      <c r="BS288" s="609"/>
      <c r="BT288" s="609"/>
      <c r="BU288" s="609"/>
      <c r="BV288" s="609"/>
      <c r="BW288" s="609"/>
      <c r="BX288" s="609"/>
      <c r="BY288" s="609"/>
      <c r="BZ288" s="609"/>
      <c r="CA288" s="609"/>
      <c r="CB288" s="609"/>
      <c r="CC288" s="609"/>
      <c r="CD288" s="609"/>
      <c r="CE288" s="609"/>
      <c r="CF288" s="609"/>
      <c r="CG288" s="609"/>
      <c r="CH288" s="609"/>
      <c r="CI288" s="609"/>
      <c r="CJ288" s="609"/>
      <c r="CK288" s="609"/>
      <c r="CL288" s="609"/>
      <c r="CM288" s="609"/>
      <c r="CN288" s="609"/>
      <c r="CO288" s="609"/>
      <c r="CP288" s="609"/>
      <c r="CQ288" s="609"/>
      <c r="CR288" s="609"/>
      <c r="CS288" s="609"/>
      <c r="CT288" s="609"/>
      <c r="CU288" s="609"/>
      <c r="CV288" s="609"/>
      <c r="CW288" s="609"/>
      <c r="CX288" s="609"/>
      <c r="CY288" s="609"/>
      <c r="CZ288" s="609"/>
      <c r="DA288" s="609"/>
      <c r="DB288" s="609"/>
      <c r="DC288" s="609"/>
      <c r="DD288" s="609"/>
      <c r="DE288" s="609"/>
      <c r="DF288" s="609"/>
      <c r="DG288" s="609"/>
      <c r="DH288" s="609"/>
      <c r="DI288" s="609"/>
      <c r="DJ288" s="609"/>
      <c r="DK288" s="609"/>
    </row>
    <row r="289" spans="69:115">
      <c r="BQ289" s="609"/>
      <c r="BR289" s="609"/>
      <c r="BS289" s="609"/>
      <c r="BT289" s="609"/>
      <c r="BU289" s="609"/>
      <c r="BV289" s="609"/>
      <c r="BW289" s="609"/>
      <c r="BX289" s="609"/>
      <c r="BY289" s="609"/>
      <c r="BZ289" s="609"/>
      <c r="CA289" s="609"/>
      <c r="CB289" s="609"/>
      <c r="CC289" s="609"/>
      <c r="CD289" s="609"/>
      <c r="CE289" s="609"/>
      <c r="CF289" s="609"/>
      <c r="CG289" s="609"/>
      <c r="CH289" s="609"/>
      <c r="CI289" s="609"/>
      <c r="CJ289" s="609"/>
      <c r="CK289" s="609"/>
      <c r="CL289" s="609"/>
      <c r="CM289" s="609"/>
      <c r="CN289" s="609"/>
      <c r="CO289" s="609"/>
      <c r="CP289" s="609"/>
      <c r="CQ289" s="609"/>
      <c r="CR289" s="609"/>
      <c r="CS289" s="609"/>
      <c r="CT289" s="609"/>
      <c r="CU289" s="609"/>
      <c r="CV289" s="609"/>
      <c r="CW289" s="609"/>
      <c r="CX289" s="609"/>
      <c r="CY289" s="609"/>
      <c r="CZ289" s="609"/>
      <c r="DA289" s="609"/>
      <c r="DB289" s="609"/>
      <c r="DC289" s="609"/>
      <c r="DD289" s="609"/>
      <c r="DE289" s="609"/>
      <c r="DF289" s="609"/>
      <c r="DG289" s="609"/>
      <c r="DH289" s="609"/>
      <c r="DI289" s="609"/>
      <c r="DJ289" s="609"/>
      <c r="DK289" s="609"/>
    </row>
    <row r="290" spans="69:115">
      <c r="BQ290" s="609"/>
      <c r="BR290" s="609"/>
      <c r="BS290" s="609"/>
      <c r="BT290" s="609"/>
      <c r="BU290" s="609"/>
      <c r="BV290" s="609"/>
      <c r="BW290" s="609"/>
      <c r="BX290" s="609"/>
      <c r="BY290" s="609"/>
      <c r="BZ290" s="609"/>
      <c r="CA290" s="609"/>
      <c r="CB290" s="609"/>
      <c r="CC290" s="609"/>
      <c r="CD290" s="609"/>
      <c r="CE290" s="609"/>
      <c r="CF290" s="609"/>
      <c r="CG290" s="609"/>
      <c r="CH290" s="609"/>
      <c r="CI290" s="609"/>
      <c r="CJ290" s="609"/>
      <c r="CK290" s="609"/>
      <c r="CL290" s="609"/>
      <c r="CM290" s="609"/>
      <c r="CN290" s="609"/>
      <c r="CO290" s="609"/>
      <c r="CP290" s="609"/>
      <c r="CQ290" s="609"/>
      <c r="CR290" s="609"/>
      <c r="CS290" s="609"/>
      <c r="CT290" s="609"/>
      <c r="CU290" s="609"/>
      <c r="CV290" s="609"/>
      <c r="CW290" s="609"/>
      <c r="CX290" s="609"/>
      <c r="CY290" s="609"/>
      <c r="CZ290" s="609"/>
      <c r="DA290" s="609"/>
      <c r="DB290" s="609"/>
      <c r="DC290" s="609"/>
      <c r="DD290" s="609"/>
      <c r="DE290" s="609"/>
      <c r="DF290" s="609"/>
      <c r="DG290" s="609"/>
      <c r="DH290" s="609"/>
      <c r="DI290" s="609"/>
      <c r="DJ290" s="609"/>
      <c r="DK290" s="609"/>
    </row>
    <row r="291" spans="69:115">
      <c r="BQ291" s="609"/>
      <c r="BR291" s="609"/>
      <c r="BS291" s="609"/>
      <c r="BT291" s="609"/>
      <c r="BU291" s="609"/>
      <c r="BV291" s="609"/>
      <c r="BW291" s="609"/>
      <c r="BX291" s="609"/>
      <c r="BY291" s="609"/>
      <c r="BZ291" s="609"/>
      <c r="CA291" s="609"/>
      <c r="CB291" s="609"/>
      <c r="CC291" s="609"/>
      <c r="CD291" s="609"/>
      <c r="CE291" s="609"/>
      <c r="CF291" s="609"/>
      <c r="CG291" s="609"/>
      <c r="CH291" s="609"/>
      <c r="CI291" s="609"/>
      <c r="CJ291" s="609"/>
      <c r="CK291" s="609"/>
      <c r="CL291" s="609"/>
      <c r="CM291" s="609"/>
      <c r="CN291" s="609"/>
      <c r="CO291" s="609"/>
      <c r="CP291" s="609"/>
      <c r="CQ291" s="609"/>
      <c r="CR291" s="609"/>
      <c r="CS291" s="609"/>
      <c r="CT291" s="609"/>
      <c r="CU291" s="609"/>
      <c r="CV291" s="609"/>
      <c r="CW291" s="609"/>
      <c r="CX291" s="609"/>
      <c r="CY291" s="609"/>
      <c r="CZ291" s="609"/>
      <c r="DA291" s="609"/>
      <c r="DB291" s="609"/>
      <c r="DC291" s="609"/>
      <c r="DD291" s="609"/>
      <c r="DE291" s="609"/>
      <c r="DF291" s="609"/>
      <c r="DG291" s="609"/>
      <c r="DH291" s="609"/>
      <c r="DI291" s="609"/>
      <c r="DJ291" s="609"/>
      <c r="DK291" s="609"/>
    </row>
    <row r="292" spans="69:115">
      <c r="BQ292" s="609"/>
      <c r="BR292" s="609"/>
      <c r="BS292" s="609"/>
      <c r="BT292" s="609"/>
      <c r="BU292" s="609"/>
      <c r="BV292" s="609"/>
      <c r="BW292" s="609"/>
      <c r="BX292" s="609"/>
      <c r="BY292" s="609"/>
      <c r="BZ292" s="609"/>
      <c r="CA292" s="609"/>
      <c r="CB292" s="609"/>
      <c r="CC292" s="609"/>
      <c r="CD292" s="609"/>
      <c r="CE292" s="609"/>
      <c r="CF292" s="609"/>
      <c r="CG292" s="609"/>
      <c r="CH292" s="609"/>
      <c r="CI292" s="609"/>
      <c r="CJ292" s="609"/>
      <c r="CK292" s="609"/>
      <c r="CL292" s="609"/>
      <c r="CM292" s="609"/>
      <c r="CN292" s="609"/>
      <c r="CO292" s="609"/>
      <c r="CP292" s="609"/>
      <c r="CQ292" s="609"/>
      <c r="CR292" s="609"/>
      <c r="CS292" s="609"/>
      <c r="CT292" s="609"/>
      <c r="CU292" s="609"/>
      <c r="CV292" s="609"/>
      <c r="CW292" s="609"/>
      <c r="CX292" s="609"/>
      <c r="CY292" s="609"/>
      <c r="CZ292" s="609"/>
      <c r="DA292" s="609"/>
      <c r="DB292" s="609"/>
      <c r="DC292" s="609"/>
      <c r="DD292" s="609"/>
      <c r="DE292" s="609"/>
      <c r="DF292" s="609"/>
      <c r="DG292" s="609"/>
      <c r="DH292" s="609"/>
      <c r="DI292" s="609"/>
      <c r="DJ292" s="609"/>
      <c r="DK292" s="609"/>
    </row>
    <row r="293" spans="69:115">
      <c r="BQ293" s="609"/>
      <c r="BR293" s="609"/>
      <c r="BS293" s="609"/>
      <c r="BT293" s="609"/>
      <c r="BU293" s="609"/>
      <c r="BV293" s="609"/>
      <c r="BW293" s="609"/>
      <c r="BX293" s="609"/>
      <c r="BY293" s="609"/>
      <c r="BZ293" s="609"/>
      <c r="CA293" s="609"/>
      <c r="CB293" s="609"/>
      <c r="CC293" s="609"/>
      <c r="CD293" s="609"/>
      <c r="CE293" s="609"/>
      <c r="CF293" s="609"/>
      <c r="CG293" s="609"/>
      <c r="CH293" s="609"/>
      <c r="CI293" s="609"/>
      <c r="CJ293" s="609"/>
      <c r="CK293" s="609"/>
      <c r="CL293" s="609"/>
      <c r="CM293" s="609"/>
      <c r="CN293" s="609"/>
      <c r="CO293" s="609"/>
      <c r="CP293" s="609"/>
      <c r="CQ293" s="609"/>
      <c r="CR293" s="609"/>
      <c r="CS293" s="609"/>
      <c r="CT293" s="609"/>
      <c r="CU293" s="609"/>
      <c r="CV293" s="609"/>
      <c r="CW293" s="609"/>
      <c r="CX293" s="609"/>
      <c r="CY293" s="609"/>
      <c r="CZ293" s="609"/>
      <c r="DA293" s="609"/>
      <c r="DB293" s="609"/>
      <c r="DC293" s="609"/>
      <c r="DD293" s="609"/>
      <c r="DE293" s="609"/>
      <c r="DF293" s="609"/>
      <c r="DG293" s="609"/>
      <c r="DH293" s="609"/>
      <c r="DI293" s="609"/>
      <c r="DJ293" s="609"/>
      <c r="DK293" s="609"/>
    </row>
    <row r="294" spans="69:115">
      <c r="BQ294" s="609"/>
      <c r="BR294" s="609"/>
      <c r="BS294" s="609"/>
      <c r="BT294" s="609"/>
      <c r="BU294" s="609"/>
      <c r="BV294" s="609"/>
      <c r="BW294" s="609"/>
      <c r="BX294" s="609"/>
      <c r="BY294" s="609"/>
      <c r="BZ294" s="609"/>
      <c r="CA294" s="609"/>
      <c r="CB294" s="609"/>
      <c r="CC294" s="609"/>
      <c r="CD294" s="609"/>
      <c r="CE294" s="609"/>
      <c r="CF294" s="609"/>
      <c r="CG294" s="609"/>
      <c r="CH294" s="609"/>
      <c r="CI294" s="609"/>
      <c r="CJ294" s="609"/>
      <c r="CK294" s="609"/>
      <c r="CL294" s="609"/>
      <c r="CM294" s="609"/>
      <c r="CN294" s="609"/>
      <c r="CO294" s="609"/>
      <c r="CP294" s="609"/>
      <c r="CQ294" s="609"/>
      <c r="CR294" s="609"/>
      <c r="CS294" s="609"/>
      <c r="CT294" s="609"/>
      <c r="CU294" s="609"/>
      <c r="CV294" s="609"/>
      <c r="CW294" s="609"/>
      <c r="CX294" s="609"/>
      <c r="CY294" s="609"/>
      <c r="CZ294" s="609"/>
      <c r="DA294" s="609"/>
      <c r="DB294" s="609"/>
      <c r="DC294" s="609"/>
      <c r="DD294" s="609"/>
      <c r="DE294" s="609"/>
      <c r="DF294" s="609"/>
      <c r="DG294" s="609"/>
      <c r="DH294" s="609"/>
      <c r="DI294" s="609"/>
      <c r="DJ294" s="609"/>
      <c r="DK294" s="609"/>
    </row>
    <row r="295" spans="69:115">
      <c r="BQ295" s="609"/>
      <c r="BR295" s="609"/>
      <c r="BS295" s="609"/>
      <c r="BT295" s="609"/>
      <c r="BU295" s="609"/>
      <c r="BV295" s="609"/>
      <c r="BW295" s="609"/>
      <c r="BX295" s="609"/>
      <c r="BY295" s="609"/>
      <c r="BZ295" s="609"/>
      <c r="CA295" s="609"/>
      <c r="CB295" s="609"/>
      <c r="CC295" s="609"/>
      <c r="CD295" s="609"/>
      <c r="CE295" s="609"/>
      <c r="CF295" s="609"/>
      <c r="CG295" s="609"/>
      <c r="CH295" s="609"/>
      <c r="CI295" s="609"/>
      <c r="CJ295" s="609"/>
      <c r="CK295" s="609"/>
      <c r="CL295" s="609"/>
      <c r="CM295" s="609"/>
      <c r="CN295" s="609"/>
      <c r="CO295" s="609"/>
      <c r="CP295" s="609"/>
      <c r="CQ295" s="609"/>
      <c r="CR295" s="609"/>
      <c r="CS295" s="609"/>
      <c r="CT295" s="609"/>
      <c r="CU295" s="609"/>
      <c r="CV295" s="609"/>
      <c r="CW295" s="609"/>
      <c r="CX295" s="609"/>
      <c r="CY295" s="609"/>
      <c r="CZ295" s="609"/>
      <c r="DA295" s="609"/>
      <c r="DB295" s="609"/>
      <c r="DC295" s="609"/>
      <c r="DD295" s="609"/>
      <c r="DE295" s="609"/>
      <c r="DF295" s="609"/>
      <c r="DG295" s="609"/>
      <c r="DH295" s="609"/>
      <c r="DI295" s="609"/>
      <c r="DJ295" s="609"/>
      <c r="DK295" s="609"/>
    </row>
    <row r="296" spans="69:115">
      <c r="BQ296" s="609"/>
      <c r="BR296" s="609"/>
      <c r="BS296" s="609"/>
      <c r="BT296" s="609"/>
      <c r="BU296" s="609"/>
      <c r="BV296" s="609"/>
      <c r="BW296" s="609"/>
      <c r="BX296" s="609"/>
      <c r="BY296" s="609"/>
      <c r="BZ296" s="609"/>
      <c r="CA296" s="609"/>
      <c r="CB296" s="609"/>
      <c r="CC296" s="609"/>
      <c r="CD296" s="609"/>
      <c r="CE296" s="609"/>
      <c r="CF296" s="609"/>
      <c r="CG296" s="609"/>
      <c r="CH296" s="609"/>
      <c r="CI296" s="609"/>
      <c r="CJ296" s="609"/>
      <c r="CK296" s="609"/>
      <c r="CL296" s="609"/>
      <c r="CM296" s="609"/>
      <c r="CN296" s="609"/>
      <c r="CO296" s="609"/>
      <c r="CP296" s="609"/>
      <c r="CQ296" s="609"/>
      <c r="CR296" s="609"/>
      <c r="CS296" s="609"/>
      <c r="CT296" s="609"/>
      <c r="CU296" s="609"/>
      <c r="CV296" s="609"/>
      <c r="CW296" s="609"/>
      <c r="CX296" s="609"/>
      <c r="CY296" s="609"/>
      <c r="CZ296" s="609"/>
      <c r="DA296" s="609"/>
      <c r="DB296" s="609"/>
      <c r="DC296" s="609"/>
      <c r="DD296" s="609"/>
      <c r="DE296" s="609"/>
      <c r="DF296" s="609"/>
      <c r="DG296" s="609"/>
      <c r="DH296" s="609"/>
      <c r="DI296" s="609"/>
      <c r="DJ296" s="609"/>
      <c r="DK296" s="609"/>
    </row>
    <row r="297" spans="69:115">
      <c r="BQ297" s="609"/>
      <c r="BR297" s="609"/>
      <c r="BS297" s="609"/>
      <c r="BT297" s="609"/>
      <c r="BU297" s="609"/>
      <c r="BV297" s="609"/>
      <c r="BW297" s="609"/>
      <c r="BX297" s="609"/>
      <c r="BY297" s="609"/>
      <c r="BZ297" s="609"/>
      <c r="CA297" s="609"/>
      <c r="CB297" s="609"/>
      <c r="CC297" s="609"/>
      <c r="CD297" s="609"/>
      <c r="CE297" s="609"/>
      <c r="CF297" s="609"/>
      <c r="CG297" s="609"/>
      <c r="CH297" s="609"/>
      <c r="CI297" s="609"/>
      <c r="CJ297" s="609"/>
      <c r="CK297" s="609"/>
      <c r="CL297" s="609"/>
      <c r="CM297" s="609"/>
      <c r="CN297" s="609"/>
      <c r="CO297" s="609"/>
      <c r="CP297" s="609"/>
      <c r="CQ297" s="609"/>
      <c r="CR297" s="609"/>
      <c r="CS297" s="609"/>
      <c r="CT297" s="609"/>
      <c r="CU297" s="609"/>
      <c r="CV297" s="609"/>
      <c r="CW297" s="609"/>
      <c r="CX297" s="609"/>
      <c r="CY297" s="609"/>
      <c r="CZ297" s="609"/>
      <c r="DA297" s="609"/>
      <c r="DB297" s="609"/>
      <c r="DC297" s="609"/>
      <c r="DD297" s="609"/>
      <c r="DE297" s="609"/>
      <c r="DF297" s="609"/>
      <c r="DG297" s="609"/>
      <c r="DH297" s="609"/>
      <c r="DI297" s="609"/>
      <c r="DJ297" s="609"/>
      <c r="DK297" s="609"/>
    </row>
    <row r="298" spans="69:115">
      <c r="BQ298" s="609"/>
      <c r="BR298" s="609"/>
      <c r="BS298" s="609"/>
      <c r="BT298" s="609"/>
      <c r="BU298" s="609"/>
      <c r="BV298" s="609"/>
      <c r="BW298" s="609"/>
      <c r="BX298" s="609"/>
      <c r="BY298" s="609"/>
      <c r="BZ298" s="609"/>
      <c r="CA298" s="609"/>
      <c r="CB298" s="609"/>
      <c r="CC298" s="609"/>
      <c r="CD298" s="609"/>
      <c r="CE298" s="609"/>
      <c r="CF298" s="609"/>
      <c r="CG298" s="609"/>
      <c r="CH298" s="609"/>
      <c r="CI298" s="609"/>
      <c r="CJ298" s="609"/>
      <c r="CK298" s="609"/>
      <c r="CL298" s="609"/>
      <c r="CM298" s="609"/>
      <c r="CN298" s="609"/>
      <c r="CO298" s="609"/>
      <c r="CP298" s="609"/>
      <c r="CQ298" s="609"/>
      <c r="CR298" s="609"/>
      <c r="CS298" s="609"/>
      <c r="CT298" s="609"/>
      <c r="CU298" s="609"/>
      <c r="CV298" s="609"/>
      <c r="CW298" s="609"/>
      <c r="CX298" s="609"/>
      <c r="CY298" s="609"/>
      <c r="CZ298" s="609"/>
      <c r="DA298" s="609"/>
      <c r="DB298" s="609"/>
      <c r="DC298" s="609"/>
      <c r="DD298" s="609"/>
      <c r="DE298" s="609"/>
      <c r="DF298" s="609"/>
      <c r="DG298" s="609"/>
      <c r="DH298" s="609"/>
      <c r="DI298" s="609"/>
      <c r="DJ298" s="609"/>
      <c r="DK298" s="609"/>
    </row>
    <row r="299" spans="69:115">
      <c r="BQ299" s="609"/>
      <c r="BR299" s="609"/>
      <c r="BS299" s="609"/>
      <c r="BT299" s="609"/>
      <c r="BU299" s="609"/>
      <c r="BV299" s="609"/>
      <c r="BW299" s="609"/>
      <c r="BX299" s="609"/>
      <c r="BY299" s="609"/>
      <c r="BZ299" s="609"/>
      <c r="CA299" s="609"/>
      <c r="CB299" s="609"/>
      <c r="CC299" s="609"/>
      <c r="CD299" s="609"/>
      <c r="CE299" s="609"/>
      <c r="CF299" s="609"/>
      <c r="CG299" s="609"/>
      <c r="CH299" s="609"/>
      <c r="CI299" s="609"/>
      <c r="CJ299" s="609"/>
      <c r="CK299" s="609"/>
      <c r="CL299" s="609"/>
      <c r="CM299" s="609"/>
      <c r="CN299" s="609"/>
      <c r="CO299" s="609"/>
      <c r="CP299" s="609"/>
      <c r="CQ299" s="609"/>
      <c r="CR299" s="609"/>
      <c r="CS299" s="609"/>
      <c r="CT299" s="609"/>
      <c r="CU299" s="609"/>
      <c r="CV299" s="609"/>
      <c r="CW299" s="609"/>
      <c r="CX299" s="609"/>
      <c r="CY299" s="609"/>
      <c r="CZ299" s="609"/>
      <c r="DA299" s="609"/>
      <c r="DB299" s="609"/>
      <c r="DC299" s="609"/>
      <c r="DD299" s="609"/>
      <c r="DE299" s="609"/>
      <c r="DF299" s="609"/>
      <c r="DG299" s="609"/>
      <c r="DH299" s="609"/>
      <c r="DI299" s="609"/>
      <c r="DJ299" s="609"/>
      <c r="DK299" s="609"/>
    </row>
    <row r="300" spans="69:115">
      <c r="BQ300" s="609"/>
      <c r="BR300" s="609"/>
      <c r="BS300" s="609"/>
      <c r="BT300" s="609"/>
      <c r="BU300" s="609"/>
      <c r="BV300" s="609"/>
      <c r="BW300" s="609"/>
      <c r="BX300" s="609"/>
      <c r="BY300" s="609"/>
      <c r="BZ300" s="609"/>
      <c r="CA300" s="609"/>
      <c r="CB300" s="609"/>
      <c r="CC300" s="609"/>
      <c r="CD300" s="609"/>
      <c r="CE300" s="609"/>
      <c r="CF300" s="609"/>
      <c r="CG300" s="609"/>
      <c r="CH300" s="609"/>
      <c r="CI300" s="609"/>
      <c r="CJ300" s="609"/>
      <c r="CK300" s="609"/>
      <c r="CL300" s="609"/>
      <c r="CM300" s="609"/>
      <c r="CN300" s="609"/>
      <c r="CO300" s="609"/>
      <c r="CP300" s="609"/>
      <c r="CQ300" s="609"/>
      <c r="CR300" s="609"/>
      <c r="CS300" s="609"/>
      <c r="CT300" s="609"/>
      <c r="CU300" s="609"/>
      <c r="CV300" s="609"/>
      <c r="CW300" s="609"/>
      <c r="CX300" s="609"/>
      <c r="CY300" s="609"/>
      <c r="CZ300" s="609"/>
      <c r="DA300" s="609"/>
      <c r="DB300" s="609"/>
      <c r="DC300" s="609"/>
      <c r="DD300" s="609"/>
      <c r="DE300" s="609"/>
      <c r="DF300" s="609"/>
      <c r="DG300" s="609"/>
      <c r="DH300" s="609"/>
      <c r="DI300" s="609"/>
      <c r="DJ300" s="609"/>
      <c r="DK300" s="609"/>
    </row>
    <row r="301" spans="69:115">
      <c r="BQ301" s="609"/>
      <c r="BR301" s="609"/>
      <c r="BS301" s="609"/>
      <c r="BT301" s="609"/>
      <c r="BU301" s="609"/>
      <c r="BV301" s="609"/>
      <c r="BW301" s="609"/>
      <c r="BX301" s="609"/>
      <c r="BY301" s="609"/>
      <c r="BZ301" s="609"/>
      <c r="CA301" s="609"/>
      <c r="CB301" s="609"/>
      <c r="CC301" s="609"/>
      <c r="CD301" s="609"/>
      <c r="CE301" s="609"/>
      <c r="CF301" s="609"/>
      <c r="CG301" s="609"/>
      <c r="CH301" s="609"/>
      <c r="CI301" s="609"/>
      <c r="CJ301" s="609"/>
      <c r="CK301" s="609"/>
      <c r="CL301" s="609"/>
      <c r="CM301" s="609"/>
      <c r="CN301" s="609"/>
      <c r="CO301" s="609"/>
      <c r="CP301" s="609"/>
      <c r="CQ301" s="609"/>
      <c r="CR301" s="609"/>
      <c r="CS301" s="609"/>
      <c r="CT301" s="609"/>
      <c r="CU301" s="609"/>
      <c r="CV301" s="609"/>
      <c r="CW301" s="609"/>
      <c r="CX301" s="609"/>
      <c r="CY301" s="609"/>
      <c r="CZ301" s="609"/>
      <c r="DA301" s="609"/>
      <c r="DB301" s="609"/>
      <c r="DC301" s="609"/>
      <c r="DD301" s="609"/>
      <c r="DE301" s="609"/>
      <c r="DF301" s="609"/>
      <c r="DG301" s="609"/>
      <c r="DH301" s="609"/>
      <c r="DI301" s="609"/>
      <c r="DJ301" s="609"/>
      <c r="DK301" s="609"/>
    </row>
    <row r="302" spans="69:115">
      <c r="BQ302" s="609"/>
      <c r="BR302" s="609"/>
      <c r="BS302" s="609"/>
      <c r="BT302" s="609"/>
      <c r="BU302" s="609"/>
      <c r="BV302" s="609"/>
      <c r="BW302" s="609"/>
      <c r="BX302" s="609"/>
      <c r="BY302" s="609"/>
      <c r="BZ302" s="609"/>
      <c r="CA302" s="609"/>
      <c r="CB302" s="609"/>
      <c r="CC302" s="609"/>
      <c r="CD302" s="609"/>
      <c r="CE302" s="609"/>
      <c r="CF302" s="609"/>
      <c r="CG302" s="609"/>
      <c r="CH302" s="609"/>
      <c r="CI302" s="609"/>
      <c r="CJ302" s="609"/>
      <c r="CK302" s="609"/>
      <c r="CL302" s="609"/>
      <c r="CM302" s="609"/>
      <c r="CN302" s="609"/>
      <c r="CO302" s="609"/>
      <c r="CP302" s="609"/>
      <c r="CQ302" s="609"/>
      <c r="CR302" s="609"/>
      <c r="CS302" s="609"/>
      <c r="CT302" s="609"/>
      <c r="CU302" s="609"/>
      <c r="CV302" s="609"/>
      <c r="CW302" s="609"/>
      <c r="CX302" s="609"/>
      <c r="CY302" s="609"/>
      <c r="CZ302" s="609"/>
      <c r="DA302" s="609"/>
      <c r="DB302" s="609"/>
      <c r="DC302" s="609"/>
      <c r="DD302" s="609"/>
      <c r="DE302" s="609"/>
      <c r="DF302" s="609"/>
      <c r="DG302" s="609"/>
      <c r="DH302" s="609"/>
      <c r="DI302" s="609"/>
      <c r="DJ302" s="609"/>
      <c r="DK302" s="609"/>
    </row>
    <row r="303" spans="69:115">
      <c r="BQ303" s="609"/>
      <c r="BR303" s="609"/>
      <c r="BS303" s="609"/>
      <c r="BT303" s="609"/>
      <c r="BU303" s="609"/>
      <c r="BV303" s="609"/>
      <c r="BW303" s="609"/>
      <c r="BX303" s="609"/>
      <c r="BY303" s="609"/>
      <c r="BZ303" s="609"/>
      <c r="CA303" s="609"/>
      <c r="CB303" s="609"/>
      <c r="CC303" s="609"/>
      <c r="CD303" s="609"/>
      <c r="CE303" s="609"/>
      <c r="CF303" s="609"/>
      <c r="CG303" s="609"/>
      <c r="CH303" s="609"/>
      <c r="CI303" s="609"/>
      <c r="CJ303" s="609"/>
      <c r="CK303" s="609"/>
      <c r="CL303" s="609"/>
      <c r="CM303" s="609"/>
      <c r="CN303" s="609"/>
      <c r="CO303" s="609"/>
      <c r="CP303" s="609"/>
      <c r="CQ303" s="609"/>
      <c r="CR303" s="609"/>
      <c r="CS303" s="609"/>
      <c r="CT303" s="609"/>
      <c r="CU303" s="609"/>
      <c r="CV303" s="609"/>
      <c r="CW303" s="609"/>
      <c r="CX303" s="609"/>
      <c r="CY303" s="609"/>
      <c r="CZ303" s="609"/>
      <c r="DA303" s="609"/>
      <c r="DB303" s="609"/>
      <c r="DC303" s="609"/>
      <c r="DD303" s="609"/>
      <c r="DE303" s="609"/>
      <c r="DF303" s="609"/>
      <c r="DG303" s="609"/>
      <c r="DH303" s="609"/>
      <c r="DI303" s="609"/>
      <c r="DJ303" s="609"/>
      <c r="DK303" s="609"/>
    </row>
    <row r="304" spans="69:115">
      <c r="BQ304" s="609"/>
      <c r="BR304" s="609"/>
      <c r="BS304" s="609"/>
      <c r="BT304" s="609"/>
      <c r="BU304" s="609"/>
      <c r="BV304" s="609"/>
      <c r="BW304" s="609"/>
      <c r="BX304" s="609"/>
      <c r="BY304" s="609"/>
      <c r="BZ304" s="609"/>
      <c r="CA304" s="609"/>
      <c r="CB304" s="609"/>
      <c r="CC304" s="609"/>
      <c r="CD304" s="609"/>
      <c r="CE304" s="609"/>
      <c r="CF304" s="609"/>
      <c r="CG304" s="609"/>
      <c r="CH304" s="609"/>
      <c r="CI304" s="609"/>
      <c r="CJ304" s="609"/>
      <c r="CK304" s="609"/>
      <c r="CL304" s="609"/>
      <c r="CM304" s="609"/>
      <c r="CN304" s="609"/>
      <c r="CO304" s="609"/>
      <c r="CP304" s="609"/>
      <c r="CQ304" s="609"/>
      <c r="CR304" s="609"/>
      <c r="CS304" s="609"/>
      <c r="CT304" s="609"/>
      <c r="CU304" s="609"/>
      <c r="CV304" s="609"/>
      <c r="CW304" s="609"/>
      <c r="CX304" s="609"/>
      <c r="CY304" s="609"/>
      <c r="CZ304" s="609"/>
      <c r="DA304" s="609"/>
      <c r="DB304" s="609"/>
      <c r="DC304" s="609"/>
      <c r="DD304" s="609"/>
      <c r="DE304" s="609"/>
      <c r="DF304" s="609"/>
      <c r="DG304" s="609"/>
      <c r="DH304" s="609"/>
      <c r="DI304" s="609"/>
      <c r="DJ304" s="609"/>
      <c r="DK304" s="609"/>
    </row>
    <row r="305" spans="69:115">
      <c r="BQ305" s="609"/>
      <c r="BR305" s="609"/>
      <c r="BS305" s="609"/>
      <c r="BT305" s="609"/>
      <c r="BU305" s="609"/>
      <c r="BV305" s="609"/>
      <c r="BW305" s="609"/>
      <c r="BX305" s="609"/>
      <c r="BY305" s="609"/>
      <c r="BZ305" s="609"/>
      <c r="CA305" s="609"/>
      <c r="CB305" s="609"/>
      <c r="CC305" s="609"/>
      <c r="CD305" s="609"/>
      <c r="CE305" s="609"/>
      <c r="CF305" s="609"/>
      <c r="CG305" s="609"/>
      <c r="CH305" s="609"/>
      <c r="CI305" s="609"/>
      <c r="CJ305" s="609"/>
      <c r="CK305" s="609"/>
      <c r="CL305" s="609"/>
      <c r="CM305" s="609"/>
      <c r="CN305" s="609"/>
      <c r="CO305" s="609"/>
      <c r="CP305" s="609"/>
      <c r="CQ305" s="609"/>
      <c r="CR305" s="609"/>
      <c r="CS305" s="609"/>
      <c r="CT305" s="609"/>
      <c r="CU305" s="609"/>
      <c r="CV305" s="609"/>
      <c r="CW305" s="609"/>
      <c r="CX305" s="609"/>
      <c r="CY305" s="609"/>
      <c r="CZ305" s="609"/>
      <c r="DA305" s="609"/>
      <c r="DB305" s="609"/>
      <c r="DC305" s="609"/>
      <c r="DD305" s="609"/>
      <c r="DE305" s="609"/>
      <c r="DF305" s="609"/>
      <c r="DG305" s="609"/>
      <c r="DH305" s="609"/>
      <c r="DI305" s="609"/>
      <c r="DJ305" s="609"/>
      <c r="DK305" s="609"/>
    </row>
    <row r="306" spans="69:115">
      <c r="BQ306" s="609"/>
      <c r="BR306" s="609"/>
      <c r="BS306" s="609"/>
      <c r="BT306" s="609"/>
      <c r="BU306" s="609"/>
      <c r="BV306" s="609"/>
      <c r="BW306" s="609"/>
      <c r="BX306" s="609"/>
      <c r="BY306" s="609"/>
      <c r="BZ306" s="609"/>
      <c r="CA306" s="609"/>
      <c r="CB306" s="609"/>
      <c r="CC306" s="609"/>
      <c r="CD306" s="609"/>
      <c r="CE306" s="609"/>
      <c r="CF306" s="609"/>
      <c r="CG306" s="609"/>
      <c r="CH306" s="609"/>
      <c r="CI306" s="609"/>
      <c r="CJ306" s="609"/>
      <c r="CK306" s="609"/>
      <c r="CL306" s="609"/>
      <c r="CM306" s="609"/>
      <c r="CN306" s="609"/>
      <c r="CO306" s="609"/>
      <c r="CP306" s="609"/>
      <c r="CQ306" s="609"/>
      <c r="CR306" s="609"/>
      <c r="CS306" s="609"/>
      <c r="CT306" s="609"/>
      <c r="CU306" s="609"/>
      <c r="CV306" s="609"/>
      <c r="CW306" s="609"/>
      <c r="CX306" s="609"/>
      <c r="CY306" s="609"/>
      <c r="CZ306" s="609"/>
      <c r="DA306" s="609"/>
      <c r="DB306" s="609"/>
      <c r="DC306" s="609"/>
      <c r="DD306" s="609"/>
      <c r="DE306" s="609"/>
      <c r="DF306" s="609"/>
      <c r="DG306" s="609"/>
      <c r="DH306" s="609"/>
      <c r="DI306" s="609"/>
      <c r="DJ306" s="609"/>
      <c r="DK306" s="609"/>
    </row>
    <row r="307" spans="69:115">
      <c r="BQ307" s="609"/>
      <c r="BR307" s="609"/>
      <c r="BS307" s="609"/>
      <c r="BT307" s="609"/>
      <c r="BU307" s="609"/>
      <c r="BV307" s="609"/>
      <c r="BW307" s="609"/>
      <c r="BX307" s="609"/>
      <c r="BY307" s="609"/>
      <c r="BZ307" s="609"/>
      <c r="CA307" s="609"/>
      <c r="CB307" s="609"/>
      <c r="CC307" s="609"/>
      <c r="CD307" s="609"/>
      <c r="CE307" s="609"/>
      <c r="CF307" s="609"/>
      <c r="CG307" s="609"/>
      <c r="CH307" s="609"/>
      <c r="CI307" s="609"/>
      <c r="CJ307" s="609"/>
      <c r="CK307" s="609"/>
      <c r="CL307" s="609"/>
      <c r="CM307" s="609"/>
      <c r="CN307" s="609"/>
      <c r="CO307" s="609"/>
      <c r="CP307" s="609"/>
      <c r="CQ307" s="609"/>
      <c r="CR307" s="609"/>
      <c r="CS307" s="609"/>
      <c r="CT307" s="609"/>
      <c r="CU307" s="609"/>
      <c r="CV307" s="609"/>
      <c r="CW307" s="609"/>
      <c r="CX307" s="609"/>
      <c r="CY307" s="609"/>
      <c r="CZ307" s="609"/>
      <c r="DA307" s="609"/>
      <c r="DB307" s="609"/>
      <c r="DC307" s="609"/>
      <c r="DD307" s="609"/>
      <c r="DE307" s="609"/>
      <c r="DF307" s="609"/>
      <c r="DG307" s="609"/>
      <c r="DH307" s="609"/>
      <c r="DI307" s="609"/>
      <c r="DJ307" s="609"/>
      <c r="DK307" s="609"/>
    </row>
    <row r="308" spans="69:115">
      <c r="BQ308" s="609"/>
      <c r="BR308" s="609"/>
      <c r="BS308" s="609"/>
      <c r="BT308" s="609"/>
      <c r="BU308" s="609"/>
      <c r="BV308" s="609"/>
      <c r="BW308" s="609"/>
      <c r="BX308" s="609"/>
      <c r="BY308" s="609"/>
      <c r="BZ308" s="609"/>
      <c r="CA308" s="609"/>
      <c r="CB308" s="609"/>
      <c r="CC308" s="609"/>
      <c r="CD308" s="609"/>
      <c r="CE308" s="609"/>
      <c r="CF308" s="609"/>
      <c r="CG308" s="609"/>
      <c r="CH308" s="609"/>
      <c r="CI308" s="609"/>
      <c r="CJ308" s="609"/>
      <c r="CK308" s="609"/>
      <c r="CL308" s="609"/>
      <c r="CM308" s="609"/>
      <c r="CN308" s="609"/>
      <c r="CO308" s="609"/>
      <c r="CP308" s="609"/>
      <c r="CQ308" s="609"/>
      <c r="CR308" s="609"/>
      <c r="CS308" s="609"/>
      <c r="CT308" s="609"/>
      <c r="CU308" s="609"/>
      <c r="CV308" s="609"/>
      <c r="CW308" s="609"/>
      <c r="CX308" s="609"/>
      <c r="CY308" s="609"/>
      <c r="CZ308" s="609"/>
      <c r="DA308" s="609"/>
      <c r="DB308" s="609"/>
      <c r="DC308" s="609"/>
      <c r="DD308" s="609"/>
      <c r="DE308" s="609"/>
      <c r="DF308" s="609"/>
      <c r="DG308" s="609"/>
      <c r="DH308" s="609"/>
      <c r="DI308" s="609"/>
      <c r="DJ308" s="609"/>
      <c r="DK308" s="609"/>
    </row>
    <row r="309" spans="69:115">
      <c r="BQ309" s="609"/>
      <c r="BR309" s="609"/>
      <c r="BS309" s="609"/>
      <c r="BT309" s="609"/>
      <c r="BU309" s="609"/>
      <c r="BV309" s="609"/>
      <c r="BW309" s="609"/>
      <c r="BX309" s="609"/>
      <c r="BY309" s="609"/>
      <c r="BZ309" s="609"/>
      <c r="CA309" s="609"/>
      <c r="CB309" s="609"/>
      <c r="CC309" s="609"/>
      <c r="CD309" s="609"/>
      <c r="CE309" s="609"/>
      <c r="CF309" s="609"/>
      <c r="CG309" s="609"/>
      <c r="CH309" s="609"/>
      <c r="CI309" s="609"/>
      <c r="CJ309" s="609"/>
      <c r="CK309" s="609"/>
      <c r="CL309" s="609"/>
      <c r="CM309" s="609"/>
      <c r="CN309" s="609"/>
      <c r="CO309" s="609"/>
      <c r="CP309" s="609"/>
      <c r="CQ309" s="609"/>
      <c r="CR309" s="609"/>
      <c r="CS309" s="609"/>
      <c r="CT309" s="609"/>
      <c r="CU309" s="609"/>
      <c r="CV309" s="609"/>
      <c r="CW309" s="609"/>
      <c r="CX309" s="609"/>
      <c r="CY309" s="609"/>
      <c r="CZ309" s="609"/>
      <c r="DA309" s="609"/>
      <c r="DB309" s="609"/>
      <c r="DC309" s="609"/>
      <c r="DD309" s="609"/>
      <c r="DE309" s="609"/>
      <c r="DF309" s="609"/>
      <c r="DG309" s="609"/>
      <c r="DH309" s="609"/>
      <c r="DI309" s="609"/>
      <c r="DJ309" s="609"/>
      <c r="DK309" s="609"/>
    </row>
    <row r="310" spans="69:115">
      <c r="BQ310" s="609"/>
      <c r="BR310" s="609"/>
      <c r="BS310" s="609"/>
      <c r="BT310" s="609"/>
      <c r="BU310" s="609"/>
      <c r="BV310" s="609"/>
      <c r="BW310" s="609"/>
      <c r="BX310" s="609"/>
      <c r="BY310" s="609"/>
      <c r="BZ310" s="609"/>
      <c r="CA310" s="609"/>
      <c r="CB310" s="609"/>
      <c r="CC310" s="609"/>
      <c r="CD310" s="609"/>
      <c r="CE310" s="609"/>
      <c r="CF310" s="609"/>
      <c r="CG310" s="609"/>
      <c r="CH310" s="609"/>
      <c r="CI310" s="609"/>
      <c r="CJ310" s="609"/>
      <c r="CK310" s="609"/>
      <c r="CL310" s="609"/>
      <c r="CM310" s="609"/>
      <c r="CN310" s="609"/>
      <c r="CO310" s="609"/>
      <c r="CP310" s="609"/>
      <c r="CQ310" s="609"/>
      <c r="CR310" s="609"/>
      <c r="CS310" s="609"/>
      <c r="CT310" s="609"/>
      <c r="CU310" s="609"/>
      <c r="CV310" s="609"/>
      <c r="CW310" s="609"/>
      <c r="CX310" s="609"/>
      <c r="CY310" s="609"/>
      <c r="CZ310" s="609"/>
      <c r="DA310" s="609"/>
      <c r="DB310" s="609"/>
      <c r="DC310" s="609"/>
      <c r="DD310" s="609"/>
      <c r="DE310" s="609"/>
      <c r="DF310" s="609"/>
      <c r="DG310" s="609"/>
      <c r="DH310" s="609"/>
      <c r="DI310" s="609"/>
      <c r="DJ310" s="609"/>
      <c r="DK310" s="609"/>
    </row>
    <row r="311" spans="69:115">
      <c r="BQ311" s="609"/>
      <c r="BR311" s="609"/>
      <c r="BS311" s="609"/>
      <c r="BT311" s="609"/>
      <c r="BU311" s="609"/>
      <c r="BV311" s="609"/>
      <c r="BW311" s="609"/>
      <c r="BX311" s="609"/>
      <c r="BY311" s="609"/>
      <c r="BZ311" s="609"/>
      <c r="CA311" s="609"/>
      <c r="CB311" s="609"/>
      <c r="CC311" s="609"/>
      <c r="CD311" s="609"/>
      <c r="CE311" s="609"/>
      <c r="CF311" s="609"/>
      <c r="CG311" s="609"/>
      <c r="CH311" s="609"/>
      <c r="CI311" s="609"/>
      <c r="CJ311" s="609"/>
      <c r="CK311" s="609"/>
      <c r="CL311" s="609"/>
      <c r="CM311" s="609"/>
      <c r="CN311" s="609"/>
      <c r="CO311" s="609"/>
      <c r="CP311" s="609"/>
      <c r="CQ311" s="609"/>
      <c r="CR311" s="609"/>
      <c r="CS311" s="609"/>
      <c r="CT311" s="609"/>
      <c r="CU311" s="609"/>
      <c r="CV311" s="609"/>
      <c r="CW311" s="609"/>
      <c r="CX311" s="609"/>
      <c r="CY311" s="609"/>
      <c r="CZ311" s="609"/>
      <c r="DA311" s="609"/>
      <c r="DB311" s="609"/>
      <c r="DC311" s="609"/>
      <c r="DD311" s="609"/>
      <c r="DE311" s="609"/>
      <c r="DF311" s="609"/>
      <c r="DG311" s="609"/>
      <c r="DH311" s="609"/>
      <c r="DI311" s="609"/>
      <c r="DJ311" s="609"/>
      <c r="DK311" s="609"/>
    </row>
    <row r="312" spans="69:115">
      <c r="BQ312" s="609"/>
      <c r="BR312" s="609"/>
      <c r="BS312" s="609"/>
      <c r="BT312" s="609"/>
      <c r="BU312" s="609"/>
      <c r="BV312" s="609"/>
      <c r="BW312" s="609"/>
      <c r="BX312" s="609"/>
      <c r="BY312" s="609"/>
      <c r="BZ312" s="609"/>
      <c r="CA312" s="609"/>
      <c r="CB312" s="609"/>
      <c r="CC312" s="609"/>
      <c r="CD312" s="609"/>
      <c r="CE312" s="609"/>
      <c r="CF312" s="609"/>
      <c r="CG312" s="609"/>
      <c r="CH312" s="609"/>
      <c r="CI312" s="609"/>
      <c r="CJ312" s="609"/>
      <c r="CK312" s="609"/>
      <c r="CL312" s="609"/>
      <c r="CM312" s="609"/>
      <c r="CN312" s="609"/>
      <c r="CO312" s="609"/>
      <c r="CP312" s="609"/>
      <c r="CQ312" s="609"/>
      <c r="CR312" s="609"/>
      <c r="CS312" s="609"/>
      <c r="CT312" s="609"/>
      <c r="CU312" s="609"/>
      <c r="CV312" s="609"/>
      <c r="CW312" s="609"/>
      <c r="CX312" s="609"/>
      <c r="CY312" s="609"/>
      <c r="CZ312" s="609"/>
      <c r="DA312" s="609"/>
      <c r="DB312" s="609"/>
      <c r="DC312" s="609"/>
      <c r="DD312" s="609"/>
      <c r="DE312" s="609"/>
      <c r="DF312" s="609"/>
      <c r="DG312" s="609"/>
      <c r="DH312" s="609"/>
      <c r="DI312" s="609"/>
      <c r="DJ312" s="609"/>
      <c r="DK312" s="609"/>
    </row>
    <row r="313" spans="69:115">
      <c r="BQ313" s="609"/>
      <c r="BR313" s="609"/>
      <c r="BS313" s="609"/>
      <c r="BT313" s="609"/>
      <c r="BU313" s="609"/>
      <c r="BV313" s="609"/>
      <c r="BW313" s="609"/>
      <c r="BX313" s="609"/>
      <c r="BY313" s="609"/>
      <c r="BZ313" s="609"/>
      <c r="CA313" s="609"/>
      <c r="CB313" s="609"/>
      <c r="CC313" s="609"/>
      <c r="CD313" s="609"/>
      <c r="CE313" s="609"/>
      <c r="CF313" s="609"/>
      <c r="CG313" s="609"/>
      <c r="CH313" s="609"/>
      <c r="CI313" s="609"/>
      <c r="CJ313" s="609"/>
      <c r="CK313" s="609"/>
      <c r="CL313" s="609"/>
      <c r="CM313" s="609"/>
      <c r="CN313" s="609"/>
      <c r="CO313" s="609"/>
      <c r="CP313" s="609"/>
      <c r="CQ313" s="609"/>
      <c r="CR313" s="609"/>
      <c r="CS313" s="609"/>
      <c r="CT313" s="609"/>
      <c r="CU313" s="609"/>
      <c r="CV313" s="609"/>
      <c r="CW313" s="609"/>
      <c r="CX313" s="609"/>
      <c r="CY313" s="609"/>
      <c r="CZ313" s="609"/>
      <c r="DA313" s="609"/>
      <c r="DB313" s="609"/>
      <c r="DC313" s="609"/>
      <c r="DD313" s="609"/>
      <c r="DE313" s="609"/>
      <c r="DF313" s="609"/>
      <c r="DG313" s="609"/>
      <c r="DH313" s="609"/>
      <c r="DI313" s="609"/>
      <c r="DJ313" s="609"/>
      <c r="DK313" s="609"/>
    </row>
    <row r="314" spans="69:115">
      <c r="BQ314" s="609"/>
      <c r="BR314" s="609"/>
      <c r="BS314" s="609"/>
      <c r="BT314" s="609"/>
      <c r="BU314" s="609"/>
      <c r="BV314" s="609"/>
      <c r="BW314" s="609"/>
      <c r="BX314" s="609"/>
      <c r="BY314" s="609"/>
      <c r="BZ314" s="609"/>
      <c r="CA314" s="609"/>
      <c r="CB314" s="609"/>
      <c r="CC314" s="609"/>
      <c r="CD314" s="609"/>
      <c r="CE314" s="609"/>
      <c r="CF314" s="609"/>
      <c r="CG314" s="609"/>
      <c r="CH314" s="609"/>
      <c r="CI314" s="609"/>
      <c r="CJ314" s="609"/>
      <c r="CK314" s="609"/>
      <c r="CL314" s="609"/>
      <c r="CM314" s="609"/>
      <c r="CN314" s="609"/>
      <c r="CO314" s="609"/>
      <c r="CP314" s="609"/>
      <c r="CQ314" s="609"/>
      <c r="CR314" s="609"/>
      <c r="CS314" s="609"/>
      <c r="CT314" s="609"/>
      <c r="CU314" s="609"/>
      <c r="CV314" s="609"/>
      <c r="CW314" s="609"/>
      <c r="CX314" s="609"/>
      <c r="CY314" s="609"/>
      <c r="CZ314" s="609"/>
      <c r="DA314" s="609"/>
      <c r="DB314" s="609"/>
      <c r="DC314" s="609"/>
      <c r="DD314" s="609"/>
      <c r="DE314" s="609"/>
      <c r="DF314" s="609"/>
      <c r="DG314" s="609"/>
      <c r="DH314" s="609"/>
      <c r="DI314" s="609"/>
      <c r="DJ314" s="609"/>
      <c r="DK314" s="609"/>
    </row>
    <row r="315" spans="69:115">
      <c r="BQ315" s="609"/>
      <c r="BR315" s="609"/>
      <c r="BS315" s="609"/>
      <c r="BT315" s="609"/>
      <c r="BU315" s="609"/>
      <c r="BV315" s="609"/>
      <c r="BW315" s="609"/>
      <c r="BX315" s="609"/>
      <c r="BY315" s="609"/>
      <c r="BZ315" s="609"/>
      <c r="CA315" s="609"/>
      <c r="CB315" s="609"/>
      <c r="CC315" s="609"/>
      <c r="CD315" s="609"/>
      <c r="CE315" s="609"/>
      <c r="CF315" s="609"/>
      <c r="CG315" s="609"/>
      <c r="CH315" s="609"/>
      <c r="CI315" s="609"/>
      <c r="CJ315" s="609"/>
      <c r="CK315" s="609"/>
      <c r="CL315" s="609"/>
      <c r="CM315" s="609"/>
      <c r="CN315" s="609"/>
      <c r="CO315" s="609"/>
      <c r="CP315" s="609"/>
      <c r="CQ315" s="609"/>
      <c r="CR315" s="609"/>
      <c r="CS315" s="609"/>
      <c r="CT315" s="609"/>
      <c r="CU315" s="609"/>
      <c r="CV315" s="609"/>
      <c r="CW315" s="609"/>
      <c r="CX315" s="609"/>
      <c r="CY315" s="609"/>
      <c r="CZ315" s="609"/>
      <c r="DA315" s="609"/>
      <c r="DB315" s="609"/>
      <c r="DC315" s="609"/>
      <c r="DD315" s="609"/>
      <c r="DE315" s="609"/>
      <c r="DF315" s="609"/>
      <c r="DG315" s="609"/>
      <c r="DH315" s="609"/>
      <c r="DI315" s="609"/>
      <c r="DJ315" s="609"/>
      <c r="DK315" s="609"/>
    </row>
    <row r="316" spans="69:115">
      <c r="BQ316" s="609"/>
      <c r="BR316" s="609"/>
      <c r="BS316" s="609"/>
      <c r="BT316" s="609"/>
      <c r="BU316" s="609"/>
      <c r="BV316" s="609"/>
      <c r="BW316" s="609"/>
      <c r="BX316" s="609"/>
      <c r="BY316" s="609"/>
      <c r="BZ316" s="609"/>
      <c r="CA316" s="609"/>
      <c r="CB316" s="609"/>
      <c r="CC316" s="609"/>
      <c r="CD316" s="609"/>
      <c r="CE316" s="609"/>
      <c r="CF316" s="609"/>
      <c r="CG316" s="609"/>
      <c r="CH316" s="609"/>
      <c r="CI316" s="609"/>
      <c r="CJ316" s="609"/>
      <c r="CK316" s="609"/>
      <c r="CL316" s="609"/>
      <c r="CM316" s="609"/>
      <c r="CN316" s="609"/>
      <c r="CO316" s="609"/>
      <c r="CP316" s="609"/>
      <c r="CQ316" s="609"/>
      <c r="CR316" s="609"/>
      <c r="CS316" s="609"/>
      <c r="CT316" s="609"/>
      <c r="CU316" s="609"/>
      <c r="CV316" s="609"/>
      <c r="CW316" s="609"/>
      <c r="CX316" s="609"/>
      <c r="CY316" s="609"/>
      <c r="CZ316" s="609"/>
      <c r="DA316" s="609"/>
      <c r="DB316" s="609"/>
      <c r="DC316" s="609"/>
      <c r="DD316" s="609"/>
      <c r="DE316" s="609"/>
      <c r="DF316" s="609"/>
      <c r="DG316" s="609"/>
      <c r="DH316" s="609"/>
      <c r="DI316" s="609"/>
      <c r="DJ316" s="609"/>
      <c r="DK316" s="609"/>
    </row>
    <row r="317" spans="69:115">
      <c r="BQ317" s="609"/>
      <c r="BR317" s="609"/>
      <c r="BS317" s="609"/>
      <c r="BT317" s="609"/>
      <c r="BU317" s="609"/>
      <c r="BV317" s="609"/>
      <c r="BW317" s="609"/>
      <c r="BX317" s="609"/>
      <c r="BY317" s="609"/>
      <c r="BZ317" s="609"/>
      <c r="CA317" s="609"/>
      <c r="CB317" s="609"/>
      <c r="CC317" s="609"/>
      <c r="CD317" s="609"/>
      <c r="CE317" s="609"/>
      <c r="CF317" s="609"/>
      <c r="CG317" s="609"/>
      <c r="CH317" s="609"/>
      <c r="CI317" s="609"/>
      <c r="CJ317" s="609"/>
      <c r="CK317" s="609"/>
      <c r="CL317" s="609"/>
      <c r="CM317" s="609"/>
      <c r="CN317" s="609"/>
      <c r="CO317" s="609"/>
      <c r="CP317" s="609"/>
      <c r="CQ317" s="609"/>
      <c r="CR317" s="609"/>
      <c r="CS317" s="609"/>
      <c r="CT317" s="609"/>
      <c r="CU317" s="609"/>
      <c r="CV317" s="609"/>
      <c r="CW317" s="609"/>
      <c r="CX317" s="609"/>
      <c r="CY317" s="609"/>
      <c r="CZ317" s="609"/>
      <c r="DA317" s="609"/>
      <c r="DB317" s="609"/>
      <c r="DC317" s="609"/>
      <c r="DD317" s="609"/>
      <c r="DE317" s="609"/>
      <c r="DF317" s="609"/>
      <c r="DG317" s="609"/>
      <c r="DH317" s="609"/>
      <c r="DI317" s="609"/>
      <c r="DJ317" s="609"/>
      <c r="DK317" s="609"/>
    </row>
    <row r="318" spans="69:115">
      <c r="BQ318" s="609"/>
      <c r="BR318" s="609"/>
      <c r="BS318" s="609"/>
      <c r="BT318" s="609"/>
      <c r="BU318" s="609"/>
      <c r="BV318" s="609"/>
      <c r="BW318" s="609"/>
      <c r="BX318" s="609"/>
      <c r="BY318" s="609"/>
      <c r="BZ318" s="609"/>
      <c r="CA318" s="609"/>
      <c r="CB318" s="609"/>
      <c r="CC318" s="609"/>
      <c r="CD318" s="609"/>
      <c r="CE318" s="609"/>
      <c r="CF318" s="609"/>
      <c r="CG318" s="609"/>
      <c r="CH318" s="609"/>
      <c r="CI318" s="609"/>
      <c r="CJ318" s="609"/>
      <c r="CK318" s="609"/>
      <c r="CL318" s="609"/>
      <c r="CM318" s="609"/>
      <c r="CN318" s="609"/>
      <c r="CO318" s="609"/>
      <c r="CP318" s="609"/>
      <c r="CQ318" s="609"/>
      <c r="CR318" s="609"/>
      <c r="CS318" s="609"/>
      <c r="CT318" s="609"/>
      <c r="CU318" s="609"/>
      <c r="CV318" s="609"/>
      <c r="CW318" s="609"/>
      <c r="CX318" s="609"/>
      <c r="CY318" s="609"/>
      <c r="CZ318" s="609"/>
      <c r="DA318" s="609"/>
      <c r="DB318" s="609"/>
      <c r="DC318" s="609"/>
      <c r="DD318" s="609"/>
      <c r="DE318" s="609"/>
      <c r="DF318" s="609"/>
      <c r="DG318" s="609"/>
      <c r="DH318" s="609"/>
      <c r="DI318" s="609"/>
      <c r="DJ318" s="609"/>
      <c r="DK318" s="609"/>
    </row>
    <row r="319" spans="69:115">
      <c r="BQ319" s="609"/>
      <c r="BR319" s="609"/>
      <c r="BS319" s="609"/>
      <c r="BT319" s="609"/>
      <c r="BU319" s="609"/>
      <c r="BV319" s="609"/>
      <c r="BW319" s="609"/>
      <c r="BX319" s="609"/>
      <c r="BY319" s="609"/>
      <c r="BZ319" s="609"/>
      <c r="CA319" s="609"/>
      <c r="CB319" s="609"/>
      <c r="CC319" s="609"/>
      <c r="CD319" s="609"/>
      <c r="CE319" s="609"/>
      <c r="CF319" s="609"/>
      <c r="CG319" s="609"/>
      <c r="CH319" s="609"/>
      <c r="CI319" s="609"/>
      <c r="CJ319" s="609"/>
      <c r="CK319" s="609"/>
      <c r="CL319" s="609"/>
      <c r="CM319" s="609"/>
      <c r="CN319" s="609"/>
      <c r="CO319" s="609"/>
      <c r="CP319" s="609"/>
      <c r="CQ319" s="609"/>
      <c r="CR319" s="609"/>
      <c r="CS319" s="609"/>
      <c r="CT319" s="609"/>
      <c r="CU319" s="609"/>
      <c r="CV319" s="609"/>
      <c r="CW319" s="609"/>
      <c r="CX319" s="609"/>
      <c r="CY319" s="609"/>
      <c r="CZ319" s="609"/>
      <c r="DA319" s="609"/>
      <c r="DB319" s="609"/>
      <c r="DC319" s="609"/>
      <c r="DD319" s="609"/>
      <c r="DE319" s="609"/>
      <c r="DF319" s="609"/>
      <c r="DG319" s="609"/>
      <c r="DH319" s="609"/>
      <c r="DI319" s="609"/>
      <c r="DJ319" s="609"/>
      <c r="DK319" s="609"/>
    </row>
    <row r="320" spans="69:115">
      <c r="BQ320" s="609"/>
      <c r="BR320" s="609"/>
      <c r="BS320" s="609"/>
      <c r="BT320" s="609"/>
      <c r="BU320" s="609"/>
      <c r="BV320" s="609"/>
      <c r="BW320" s="609"/>
      <c r="BX320" s="609"/>
      <c r="BY320" s="609"/>
      <c r="BZ320" s="609"/>
      <c r="CA320" s="609"/>
      <c r="CB320" s="609"/>
      <c r="CC320" s="609"/>
      <c r="CD320" s="609"/>
      <c r="CE320" s="609"/>
      <c r="CF320" s="609"/>
      <c r="CG320" s="609"/>
      <c r="CH320" s="609"/>
      <c r="CI320" s="609"/>
      <c r="CJ320" s="609"/>
      <c r="CK320" s="609"/>
      <c r="CL320" s="609"/>
      <c r="CM320" s="609"/>
      <c r="CN320" s="609"/>
      <c r="CO320" s="609"/>
      <c r="CP320" s="609"/>
      <c r="CQ320" s="609"/>
      <c r="CR320" s="609"/>
      <c r="CS320" s="609"/>
      <c r="CT320" s="609"/>
      <c r="CU320" s="609"/>
      <c r="CV320" s="609"/>
      <c r="CW320" s="609"/>
      <c r="CX320" s="609"/>
      <c r="CY320" s="609"/>
      <c r="CZ320" s="609"/>
      <c r="DA320" s="609"/>
      <c r="DB320" s="609"/>
      <c r="DC320" s="609"/>
      <c r="DD320" s="609"/>
      <c r="DE320" s="609"/>
      <c r="DF320" s="609"/>
      <c r="DG320" s="609"/>
      <c r="DH320" s="609"/>
      <c r="DI320" s="609"/>
      <c r="DJ320" s="609"/>
      <c r="DK320" s="609"/>
    </row>
    <row r="321" spans="69:115">
      <c r="BQ321" s="609"/>
      <c r="BR321" s="609"/>
      <c r="BS321" s="609"/>
      <c r="BT321" s="609"/>
      <c r="BU321" s="609"/>
      <c r="BV321" s="609"/>
      <c r="BW321" s="609"/>
      <c r="BX321" s="609"/>
      <c r="BY321" s="609"/>
      <c r="BZ321" s="609"/>
      <c r="CA321" s="609"/>
      <c r="CB321" s="609"/>
      <c r="CC321" s="609"/>
      <c r="CD321" s="609"/>
      <c r="CE321" s="609"/>
      <c r="CF321" s="609"/>
      <c r="CG321" s="609"/>
      <c r="CH321" s="609"/>
      <c r="CI321" s="609"/>
      <c r="CJ321" s="609"/>
      <c r="CK321" s="609"/>
      <c r="CL321" s="609"/>
      <c r="CM321" s="609"/>
      <c r="CN321" s="609"/>
      <c r="CO321" s="609"/>
      <c r="CP321" s="609"/>
      <c r="CQ321" s="609"/>
      <c r="CR321" s="609"/>
      <c r="CS321" s="609"/>
      <c r="CT321" s="609"/>
      <c r="CU321" s="609"/>
      <c r="CV321" s="609"/>
      <c r="CW321" s="609"/>
      <c r="CX321" s="609"/>
      <c r="CY321" s="609"/>
      <c r="CZ321" s="609"/>
      <c r="DA321" s="609"/>
      <c r="DB321" s="609"/>
      <c r="DC321" s="609"/>
      <c r="DD321" s="609"/>
      <c r="DE321" s="609"/>
      <c r="DF321" s="609"/>
      <c r="DG321" s="609"/>
      <c r="DH321" s="609"/>
      <c r="DI321" s="609"/>
      <c r="DJ321" s="609"/>
      <c r="DK321" s="609"/>
    </row>
    <row r="322" spans="69:115">
      <c r="BQ322" s="609"/>
      <c r="BR322" s="609"/>
      <c r="BS322" s="609"/>
      <c r="BT322" s="609"/>
      <c r="BU322" s="609"/>
      <c r="BV322" s="609"/>
      <c r="BW322" s="609"/>
      <c r="BX322" s="609"/>
      <c r="BY322" s="609"/>
      <c r="BZ322" s="609"/>
      <c r="CA322" s="609"/>
      <c r="CB322" s="609"/>
      <c r="CC322" s="609"/>
      <c r="CD322" s="609"/>
      <c r="CE322" s="609"/>
      <c r="CF322" s="609"/>
      <c r="CG322" s="609"/>
      <c r="CH322" s="609"/>
      <c r="CI322" s="609"/>
      <c r="CJ322" s="609"/>
      <c r="CK322" s="609"/>
      <c r="CL322" s="609"/>
      <c r="CM322" s="609"/>
      <c r="CN322" s="609"/>
      <c r="CO322" s="609"/>
      <c r="CP322" s="609"/>
      <c r="CQ322" s="609"/>
      <c r="CR322" s="609"/>
      <c r="CS322" s="609"/>
      <c r="CT322" s="609"/>
      <c r="CU322" s="609"/>
      <c r="CV322" s="609"/>
      <c r="CW322" s="609"/>
      <c r="CX322" s="609"/>
      <c r="CY322" s="609"/>
      <c r="CZ322" s="609"/>
      <c r="DA322" s="609"/>
      <c r="DB322" s="609"/>
      <c r="DC322" s="609"/>
      <c r="DD322" s="609"/>
      <c r="DE322" s="609"/>
      <c r="DF322" s="609"/>
      <c r="DG322" s="609"/>
      <c r="DH322" s="609"/>
      <c r="DI322" s="609"/>
      <c r="DJ322" s="609"/>
      <c r="DK322" s="609"/>
    </row>
    <row r="323" spans="69:115">
      <c r="BQ323" s="609"/>
      <c r="BR323" s="609"/>
      <c r="BS323" s="609"/>
      <c r="BT323" s="609"/>
      <c r="BU323" s="609"/>
      <c r="BV323" s="609"/>
      <c r="BW323" s="609"/>
      <c r="BX323" s="609"/>
      <c r="BY323" s="609"/>
      <c r="BZ323" s="609"/>
      <c r="CA323" s="609"/>
      <c r="CB323" s="609"/>
      <c r="CC323" s="609"/>
      <c r="CD323" s="609"/>
      <c r="CE323" s="609"/>
      <c r="CF323" s="609"/>
      <c r="CG323" s="609"/>
      <c r="CH323" s="609"/>
      <c r="CI323" s="609"/>
      <c r="CJ323" s="609"/>
      <c r="CK323" s="609"/>
      <c r="CL323" s="609"/>
      <c r="CM323" s="609"/>
      <c r="CN323" s="609"/>
      <c r="CO323" s="609"/>
      <c r="CP323" s="609"/>
      <c r="CQ323" s="609"/>
      <c r="CR323" s="609"/>
      <c r="CS323" s="609"/>
      <c r="CT323" s="609"/>
      <c r="CU323" s="609"/>
      <c r="CV323" s="609"/>
      <c r="CW323" s="609"/>
      <c r="CX323" s="609"/>
      <c r="CY323" s="609"/>
      <c r="CZ323" s="609"/>
      <c r="DA323" s="609"/>
      <c r="DB323" s="609"/>
      <c r="DC323" s="609"/>
      <c r="DD323" s="609"/>
      <c r="DE323" s="609"/>
      <c r="DF323" s="609"/>
      <c r="DG323" s="609"/>
      <c r="DH323" s="609"/>
      <c r="DI323" s="609"/>
      <c r="DJ323" s="609"/>
      <c r="DK323" s="609"/>
    </row>
    <row r="324" spans="69:115">
      <c r="BQ324" s="609"/>
      <c r="BR324" s="609"/>
      <c r="BS324" s="609"/>
      <c r="BT324" s="609"/>
      <c r="BU324" s="609"/>
      <c r="BV324" s="609"/>
      <c r="BW324" s="609"/>
      <c r="BX324" s="609"/>
      <c r="BY324" s="609"/>
      <c r="BZ324" s="609"/>
      <c r="CA324" s="609"/>
      <c r="CB324" s="609"/>
      <c r="CC324" s="609"/>
      <c r="CD324" s="609"/>
      <c r="CE324" s="609"/>
      <c r="CF324" s="609"/>
      <c r="CG324" s="609"/>
      <c r="CH324" s="609"/>
      <c r="CI324" s="609"/>
      <c r="CJ324" s="609"/>
      <c r="CK324" s="609"/>
      <c r="CL324" s="609"/>
      <c r="CM324" s="609"/>
      <c r="CN324" s="609"/>
      <c r="CO324" s="609"/>
      <c r="CP324" s="609"/>
      <c r="CQ324" s="609"/>
      <c r="CR324" s="609"/>
      <c r="CS324" s="609"/>
      <c r="CT324" s="609"/>
      <c r="CU324" s="609"/>
      <c r="CV324" s="609"/>
      <c r="CW324" s="609"/>
      <c r="CX324" s="609"/>
      <c r="CY324" s="609"/>
      <c r="CZ324" s="609"/>
      <c r="DA324" s="609"/>
      <c r="DB324" s="609"/>
      <c r="DC324" s="609"/>
      <c r="DD324" s="609"/>
      <c r="DE324" s="609"/>
      <c r="DF324" s="609"/>
      <c r="DG324" s="609"/>
      <c r="DH324" s="609"/>
      <c r="DI324" s="609"/>
      <c r="DJ324" s="609"/>
      <c r="DK324" s="609"/>
    </row>
    <row r="325" spans="69:115">
      <c r="BQ325" s="609"/>
      <c r="BR325" s="609"/>
      <c r="BS325" s="609"/>
      <c r="BT325" s="609"/>
      <c r="BU325" s="609"/>
      <c r="BV325" s="609"/>
      <c r="BW325" s="609"/>
      <c r="BX325" s="609"/>
      <c r="BY325" s="609"/>
      <c r="BZ325" s="609"/>
      <c r="CA325" s="609"/>
      <c r="CB325" s="609"/>
      <c r="CC325" s="609"/>
      <c r="CD325" s="609"/>
      <c r="CE325" s="609"/>
      <c r="CF325" s="609"/>
      <c r="CG325" s="609"/>
      <c r="CH325" s="609"/>
      <c r="CI325" s="609"/>
      <c r="CJ325" s="609"/>
      <c r="CK325" s="609"/>
      <c r="CL325" s="609"/>
      <c r="CM325" s="609"/>
      <c r="CN325" s="609"/>
      <c r="CO325" s="609"/>
      <c r="CP325" s="609"/>
      <c r="CQ325" s="609"/>
      <c r="CR325" s="609"/>
      <c r="CS325" s="609"/>
      <c r="CT325" s="609"/>
      <c r="CU325" s="609"/>
      <c r="CV325" s="609"/>
      <c r="CW325" s="609"/>
      <c r="CX325" s="609"/>
      <c r="CY325" s="609"/>
      <c r="CZ325" s="609"/>
      <c r="DA325" s="609"/>
      <c r="DB325" s="609"/>
      <c r="DC325" s="609"/>
      <c r="DD325" s="609"/>
      <c r="DE325" s="609"/>
      <c r="DF325" s="609"/>
      <c r="DG325" s="609"/>
      <c r="DH325" s="609"/>
      <c r="DI325" s="609"/>
      <c r="DJ325" s="609"/>
      <c r="DK325" s="609"/>
    </row>
    <row r="326" spans="69:115">
      <c r="BQ326" s="609"/>
      <c r="BR326" s="609"/>
      <c r="BS326" s="609"/>
      <c r="BT326" s="609"/>
      <c r="BU326" s="609"/>
      <c r="BV326" s="609"/>
      <c r="BW326" s="609"/>
      <c r="BX326" s="609"/>
      <c r="BY326" s="609"/>
      <c r="BZ326" s="609"/>
      <c r="CA326" s="609"/>
      <c r="CB326" s="609"/>
      <c r="CC326" s="609"/>
      <c r="CD326" s="609"/>
      <c r="CE326" s="609"/>
      <c r="CF326" s="609"/>
      <c r="CG326" s="609"/>
      <c r="CH326" s="609"/>
      <c r="CI326" s="609"/>
      <c r="CJ326" s="609"/>
      <c r="CK326" s="609"/>
      <c r="CL326" s="609"/>
      <c r="CM326" s="609"/>
      <c r="CN326" s="609"/>
      <c r="CO326" s="609"/>
      <c r="CP326" s="609"/>
      <c r="CQ326" s="609"/>
      <c r="CR326" s="609"/>
      <c r="CS326" s="609"/>
      <c r="CT326" s="609"/>
      <c r="CU326" s="609"/>
      <c r="CV326" s="609"/>
      <c r="CW326" s="609"/>
      <c r="CX326" s="609"/>
      <c r="CY326" s="609"/>
      <c r="CZ326" s="609"/>
      <c r="DA326" s="609"/>
      <c r="DB326" s="609"/>
      <c r="DC326" s="609"/>
      <c r="DD326" s="609"/>
      <c r="DE326" s="609"/>
      <c r="DF326" s="609"/>
      <c r="DG326" s="609"/>
      <c r="DH326" s="609"/>
      <c r="DI326" s="609"/>
      <c r="DJ326" s="609"/>
      <c r="DK326" s="609"/>
    </row>
    <row r="327" spans="69:115">
      <c r="BQ327" s="609"/>
      <c r="BR327" s="609"/>
      <c r="BS327" s="609"/>
      <c r="BT327" s="609"/>
      <c r="BU327" s="609"/>
      <c r="BV327" s="609"/>
      <c r="BW327" s="609"/>
      <c r="BX327" s="609"/>
      <c r="BY327" s="609"/>
      <c r="BZ327" s="609"/>
      <c r="CA327" s="609"/>
      <c r="CB327" s="609"/>
      <c r="CC327" s="609"/>
      <c r="CD327" s="609"/>
      <c r="CE327" s="609"/>
      <c r="CF327" s="609"/>
      <c r="CG327" s="609"/>
      <c r="CH327" s="609"/>
      <c r="CI327" s="609"/>
      <c r="CJ327" s="609"/>
      <c r="CK327" s="609"/>
      <c r="CL327" s="609"/>
      <c r="CM327" s="609"/>
      <c r="CN327" s="609"/>
      <c r="CO327" s="609"/>
      <c r="CP327" s="609"/>
      <c r="CQ327" s="609"/>
      <c r="CR327" s="609"/>
      <c r="CS327" s="609"/>
      <c r="CT327" s="609"/>
      <c r="CU327" s="609"/>
      <c r="CV327" s="609"/>
      <c r="CW327" s="609"/>
      <c r="CX327" s="609"/>
      <c r="CY327" s="609"/>
      <c r="CZ327" s="609"/>
      <c r="DA327" s="609"/>
      <c r="DB327" s="609"/>
      <c r="DC327" s="609"/>
      <c r="DD327" s="609"/>
      <c r="DE327" s="609"/>
      <c r="DF327" s="609"/>
      <c r="DG327" s="609"/>
      <c r="DH327" s="609"/>
      <c r="DI327" s="609"/>
      <c r="DJ327" s="609"/>
      <c r="DK327" s="609"/>
    </row>
    <row r="328" spans="69:115">
      <c r="BQ328" s="609"/>
      <c r="BR328" s="609"/>
      <c r="BS328" s="609"/>
      <c r="BT328" s="609"/>
      <c r="BU328" s="609"/>
      <c r="BV328" s="609"/>
      <c r="BW328" s="609"/>
      <c r="BX328" s="609"/>
      <c r="BY328" s="609"/>
      <c r="BZ328" s="609"/>
      <c r="CA328" s="609"/>
      <c r="CB328" s="609"/>
      <c r="CC328" s="609"/>
      <c r="CD328" s="609"/>
      <c r="CE328" s="609"/>
      <c r="CF328" s="609"/>
      <c r="CG328" s="609"/>
      <c r="CH328" s="609"/>
      <c r="CI328" s="609"/>
      <c r="CJ328" s="609"/>
      <c r="CK328" s="609"/>
      <c r="CL328" s="609"/>
      <c r="CM328" s="609"/>
      <c r="CN328" s="609"/>
      <c r="CO328" s="609"/>
      <c r="CP328" s="609"/>
      <c r="CQ328" s="609"/>
      <c r="CR328" s="609"/>
      <c r="CS328" s="609"/>
      <c r="CT328" s="609"/>
      <c r="CU328" s="609"/>
      <c r="CV328" s="609"/>
      <c r="CW328" s="609"/>
      <c r="CX328" s="609"/>
      <c r="CY328" s="609"/>
      <c r="CZ328" s="609"/>
      <c r="DA328" s="609"/>
      <c r="DB328" s="609"/>
      <c r="DC328" s="609"/>
      <c r="DD328" s="609"/>
      <c r="DE328" s="609"/>
      <c r="DF328" s="609"/>
      <c r="DG328" s="609"/>
      <c r="DH328" s="609"/>
      <c r="DI328" s="609"/>
      <c r="DJ328" s="609"/>
      <c r="DK328" s="609"/>
    </row>
    <row r="329" spans="69:115">
      <c r="BQ329" s="609"/>
      <c r="BR329" s="609"/>
      <c r="BS329" s="609"/>
      <c r="BT329" s="609"/>
      <c r="BU329" s="609"/>
      <c r="BV329" s="609"/>
      <c r="BW329" s="609"/>
      <c r="BX329" s="609"/>
      <c r="BY329" s="609"/>
      <c r="BZ329" s="609"/>
      <c r="CA329" s="609"/>
      <c r="CB329" s="609"/>
      <c r="CC329" s="609"/>
      <c r="CD329" s="609"/>
      <c r="CE329" s="609"/>
      <c r="CF329" s="609"/>
      <c r="CG329" s="609"/>
      <c r="CH329" s="609"/>
      <c r="CI329" s="609"/>
      <c r="CJ329" s="609"/>
      <c r="CK329" s="609"/>
      <c r="CL329" s="609"/>
      <c r="CM329" s="609"/>
      <c r="CN329" s="609"/>
      <c r="CO329" s="609"/>
      <c r="CP329" s="609"/>
      <c r="CQ329" s="609"/>
      <c r="CR329" s="609"/>
      <c r="CS329" s="609"/>
      <c r="CT329" s="609"/>
      <c r="CU329" s="609"/>
      <c r="CV329" s="609"/>
      <c r="CW329" s="609"/>
      <c r="CX329" s="609"/>
      <c r="CY329" s="609"/>
      <c r="CZ329" s="609"/>
      <c r="DA329" s="609"/>
      <c r="DB329" s="609"/>
      <c r="DC329" s="609"/>
      <c r="DD329" s="609"/>
      <c r="DE329" s="609"/>
      <c r="DF329" s="609"/>
      <c r="DG329" s="609"/>
      <c r="DH329" s="609"/>
      <c r="DI329" s="609"/>
      <c r="DJ329" s="609"/>
      <c r="DK329" s="609"/>
    </row>
    <row r="330" spans="69:115">
      <c r="BQ330" s="609"/>
      <c r="BR330" s="609"/>
      <c r="BS330" s="609"/>
      <c r="BT330" s="609"/>
      <c r="BU330" s="609"/>
      <c r="BV330" s="609"/>
      <c r="BW330" s="609"/>
      <c r="BX330" s="609"/>
      <c r="BY330" s="609"/>
      <c r="BZ330" s="609"/>
      <c r="CA330" s="609"/>
      <c r="CB330" s="609"/>
      <c r="CC330" s="609"/>
      <c r="CD330" s="609"/>
      <c r="CE330" s="609"/>
      <c r="CF330" s="609"/>
      <c r="CG330" s="609"/>
      <c r="CH330" s="609"/>
      <c r="CI330" s="609"/>
      <c r="CJ330" s="609"/>
      <c r="CK330" s="609"/>
      <c r="CL330" s="609"/>
      <c r="CM330" s="609"/>
      <c r="CN330" s="609"/>
      <c r="CO330" s="609"/>
      <c r="CP330" s="609"/>
      <c r="CQ330" s="609"/>
      <c r="CR330" s="609"/>
      <c r="CS330" s="609"/>
      <c r="CT330" s="609"/>
      <c r="CU330" s="609"/>
      <c r="CV330" s="609"/>
      <c r="CW330" s="609"/>
      <c r="CX330" s="609"/>
      <c r="CY330" s="609"/>
      <c r="CZ330" s="609"/>
      <c r="DA330" s="609"/>
      <c r="DB330" s="609"/>
      <c r="DC330" s="609"/>
      <c r="DD330" s="609"/>
      <c r="DE330" s="609"/>
      <c r="DF330" s="609"/>
      <c r="DG330" s="609"/>
      <c r="DH330" s="609"/>
      <c r="DI330" s="609"/>
      <c r="DJ330" s="609"/>
      <c r="DK330" s="609"/>
    </row>
    <row r="331" spans="69:115">
      <c r="BQ331" s="609"/>
      <c r="BR331" s="609"/>
      <c r="BS331" s="609"/>
      <c r="BT331" s="609"/>
      <c r="BU331" s="609"/>
      <c r="BV331" s="609"/>
      <c r="BW331" s="609"/>
      <c r="BX331" s="609"/>
      <c r="BY331" s="609"/>
      <c r="BZ331" s="609"/>
      <c r="CA331" s="609"/>
      <c r="CB331" s="609"/>
      <c r="CC331" s="609"/>
      <c r="CD331" s="609"/>
      <c r="CE331" s="609"/>
      <c r="CF331" s="609"/>
      <c r="CG331" s="609"/>
      <c r="CH331" s="609"/>
      <c r="CI331" s="609"/>
      <c r="CJ331" s="609"/>
      <c r="CK331" s="609"/>
      <c r="CL331" s="609"/>
      <c r="CM331" s="609"/>
      <c r="CN331" s="609"/>
      <c r="CO331" s="609"/>
      <c r="CP331" s="609"/>
      <c r="CQ331" s="609"/>
      <c r="CR331" s="609"/>
      <c r="CS331" s="609"/>
      <c r="CT331" s="609"/>
      <c r="CU331" s="609"/>
      <c r="CV331" s="609"/>
      <c r="CW331" s="609"/>
      <c r="CX331" s="609"/>
      <c r="CY331" s="609"/>
      <c r="CZ331" s="609"/>
      <c r="DA331" s="609"/>
      <c r="DB331" s="609"/>
      <c r="DC331" s="609"/>
      <c r="DD331" s="609"/>
      <c r="DE331" s="609"/>
      <c r="DF331" s="609"/>
      <c r="DG331" s="609"/>
      <c r="DH331" s="609"/>
      <c r="DI331" s="609"/>
      <c r="DJ331" s="609"/>
      <c r="DK331" s="609"/>
    </row>
    <row r="332" spans="69:115">
      <c r="BQ332" s="609"/>
      <c r="BR332" s="609"/>
      <c r="BS332" s="609"/>
      <c r="BT332" s="609"/>
      <c r="BU332" s="609"/>
      <c r="BV332" s="609"/>
      <c r="BW332" s="609"/>
      <c r="BX332" s="609"/>
      <c r="BY332" s="609"/>
      <c r="BZ332" s="609"/>
      <c r="CA332" s="609"/>
      <c r="CB332" s="609"/>
      <c r="CC332" s="609"/>
      <c r="CD332" s="609"/>
      <c r="CE332" s="609"/>
      <c r="CF332" s="609"/>
      <c r="CG332" s="609"/>
      <c r="CH332" s="609"/>
      <c r="CI332" s="609"/>
      <c r="CJ332" s="609"/>
      <c r="CK332" s="609"/>
      <c r="CL332" s="609"/>
      <c r="CM332" s="609"/>
      <c r="CN332" s="609"/>
      <c r="CO332" s="609"/>
      <c r="CP332" s="609"/>
      <c r="CQ332" s="609"/>
      <c r="CR332" s="609"/>
      <c r="CS332" s="609"/>
      <c r="CT332" s="609"/>
      <c r="CU332" s="609"/>
      <c r="CV332" s="609"/>
      <c r="CW332" s="609"/>
      <c r="CX332" s="609"/>
      <c r="CY332" s="609"/>
      <c r="CZ332" s="609"/>
      <c r="DA332" s="609"/>
      <c r="DB332" s="609"/>
      <c r="DC332" s="609"/>
      <c r="DD332" s="609"/>
      <c r="DE332" s="609"/>
      <c r="DF332" s="609"/>
      <c r="DG332" s="609"/>
      <c r="DH332" s="609"/>
      <c r="DI332" s="609"/>
      <c r="DJ332" s="609"/>
      <c r="DK332" s="609"/>
    </row>
    <row r="333" spans="69:115">
      <c r="BQ333" s="609"/>
      <c r="BR333" s="609"/>
      <c r="BS333" s="609"/>
      <c r="BT333" s="609"/>
      <c r="BU333" s="609"/>
      <c r="BV333" s="609"/>
      <c r="BW333" s="609"/>
      <c r="BX333" s="609"/>
      <c r="BY333" s="609"/>
      <c r="BZ333" s="609"/>
      <c r="CA333" s="609"/>
      <c r="CB333" s="609"/>
      <c r="CC333" s="609"/>
      <c r="CD333" s="609"/>
      <c r="CE333" s="609"/>
      <c r="CF333" s="609"/>
      <c r="CG333" s="609"/>
      <c r="CH333" s="609"/>
      <c r="CI333" s="609"/>
      <c r="CJ333" s="609"/>
      <c r="CK333" s="609"/>
      <c r="CL333" s="609"/>
      <c r="CM333" s="609"/>
      <c r="CN333" s="609"/>
      <c r="CO333" s="609"/>
      <c r="CP333" s="609"/>
      <c r="CQ333" s="609"/>
      <c r="CR333" s="609"/>
      <c r="CS333" s="609"/>
      <c r="CT333" s="609"/>
      <c r="CU333" s="609"/>
      <c r="CV333" s="609"/>
      <c r="CW333" s="609"/>
      <c r="CX333" s="609"/>
      <c r="CY333" s="609"/>
      <c r="CZ333" s="609"/>
      <c r="DA333" s="609"/>
      <c r="DB333" s="609"/>
      <c r="DC333" s="609"/>
      <c r="DD333" s="609"/>
      <c r="DE333" s="609"/>
      <c r="DF333" s="609"/>
      <c r="DG333" s="609"/>
      <c r="DH333" s="609"/>
      <c r="DI333" s="609"/>
      <c r="DJ333" s="609"/>
      <c r="DK333" s="609"/>
    </row>
    <row r="334" spans="69:115">
      <c r="BQ334" s="609"/>
      <c r="BR334" s="609"/>
      <c r="BS334" s="609"/>
      <c r="BT334" s="609"/>
      <c r="BU334" s="609"/>
      <c r="BV334" s="609"/>
      <c r="BW334" s="609"/>
      <c r="BX334" s="609"/>
      <c r="BY334" s="609"/>
      <c r="BZ334" s="609"/>
      <c r="CA334" s="609"/>
      <c r="CB334" s="609"/>
      <c r="CC334" s="609"/>
      <c r="CD334" s="609"/>
      <c r="CE334" s="609"/>
      <c r="CF334" s="609"/>
      <c r="CG334" s="609"/>
      <c r="CH334" s="609"/>
      <c r="CI334" s="609"/>
      <c r="CJ334" s="609"/>
      <c r="CK334" s="609"/>
      <c r="CL334" s="609"/>
      <c r="CM334" s="609"/>
      <c r="CN334" s="609"/>
      <c r="CO334" s="609"/>
      <c r="CP334" s="609"/>
      <c r="CQ334" s="609"/>
      <c r="CR334" s="609"/>
      <c r="CS334" s="609"/>
      <c r="CT334" s="609"/>
      <c r="CU334" s="609"/>
      <c r="CV334" s="609"/>
      <c r="CW334" s="609"/>
      <c r="CX334" s="609"/>
      <c r="CY334" s="609"/>
      <c r="CZ334" s="609"/>
      <c r="DA334" s="609"/>
      <c r="DB334" s="609"/>
      <c r="DC334" s="609"/>
      <c r="DD334" s="609"/>
      <c r="DE334" s="609"/>
      <c r="DF334" s="609"/>
      <c r="DG334" s="609"/>
      <c r="DH334" s="609"/>
      <c r="DI334" s="609"/>
      <c r="DJ334" s="609"/>
      <c r="DK334" s="609"/>
    </row>
    <row r="335" spans="69:115">
      <c r="BQ335" s="609"/>
      <c r="BR335" s="609"/>
      <c r="BS335" s="609"/>
      <c r="BT335" s="609"/>
      <c r="BU335" s="609"/>
      <c r="BV335" s="609"/>
      <c r="BW335" s="609"/>
      <c r="BX335" s="609"/>
      <c r="BY335" s="609"/>
      <c r="BZ335" s="609"/>
      <c r="CA335" s="609"/>
      <c r="CB335" s="609"/>
      <c r="CC335" s="609"/>
      <c r="CD335" s="609"/>
      <c r="CE335" s="609"/>
      <c r="CF335" s="609"/>
      <c r="CG335" s="609"/>
      <c r="CH335" s="609"/>
      <c r="CI335" s="609"/>
      <c r="CJ335" s="609"/>
      <c r="CK335" s="609"/>
      <c r="CL335" s="609"/>
      <c r="CM335" s="609"/>
      <c r="CN335" s="609"/>
      <c r="CO335" s="609"/>
      <c r="CP335" s="609"/>
      <c r="CQ335" s="609"/>
      <c r="CR335" s="609"/>
      <c r="CS335" s="609"/>
      <c r="CT335" s="609"/>
      <c r="CU335" s="609"/>
      <c r="CV335" s="609"/>
      <c r="CW335" s="609"/>
      <c r="CX335" s="609"/>
      <c r="CY335" s="609"/>
      <c r="CZ335" s="609"/>
      <c r="DA335" s="609"/>
      <c r="DB335" s="609"/>
      <c r="DC335" s="609"/>
      <c r="DD335" s="609"/>
      <c r="DE335" s="609"/>
      <c r="DF335" s="609"/>
      <c r="DG335" s="609"/>
      <c r="DH335" s="609"/>
      <c r="DI335" s="609"/>
      <c r="DJ335" s="609"/>
      <c r="DK335" s="609"/>
    </row>
    <row r="336" spans="69:115">
      <c r="BQ336" s="609"/>
      <c r="BR336" s="609"/>
      <c r="BS336" s="609"/>
      <c r="BT336" s="609"/>
      <c r="BU336" s="609"/>
      <c r="BV336" s="609"/>
      <c r="BW336" s="609"/>
      <c r="BX336" s="609"/>
      <c r="BY336" s="609"/>
      <c r="BZ336" s="609"/>
      <c r="CA336" s="609"/>
      <c r="CB336" s="609"/>
      <c r="CC336" s="609"/>
      <c r="CD336" s="609"/>
      <c r="CE336" s="609"/>
      <c r="CF336" s="609"/>
      <c r="CG336" s="609"/>
      <c r="CH336" s="609"/>
      <c r="CI336" s="609"/>
      <c r="CJ336" s="609"/>
      <c r="CK336" s="609"/>
      <c r="CL336" s="609"/>
      <c r="CM336" s="609"/>
      <c r="CN336" s="609"/>
      <c r="CO336" s="609"/>
      <c r="CP336" s="609"/>
      <c r="CQ336" s="609"/>
      <c r="CR336" s="609"/>
      <c r="CS336" s="609"/>
      <c r="CT336" s="609"/>
      <c r="CU336" s="609"/>
      <c r="CV336" s="609"/>
      <c r="CW336" s="609"/>
      <c r="CX336" s="609"/>
      <c r="CY336" s="609"/>
      <c r="CZ336" s="609"/>
      <c r="DA336" s="609"/>
      <c r="DB336" s="609"/>
      <c r="DC336" s="609"/>
      <c r="DD336" s="609"/>
      <c r="DE336" s="609"/>
      <c r="DF336" s="609"/>
      <c r="DG336" s="609"/>
      <c r="DH336" s="609"/>
      <c r="DI336" s="609"/>
      <c r="DJ336" s="609"/>
      <c r="DK336" s="609"/>
    </row>
    <row r="337" spans="69:115">
      <c r="BQ337" s="609"/>
      <c r="BR337" s="609"/>
      <c r="BS337" s="609"/>
      <c r="BT337" s="609"/>
      <c r="BU337" s="609"/>
      <c r="BV337" s="609"/>
      <c r="BW337" s="609"/>
      <c r="BX337" s="609"/>
      <c r="BY337" s="609"/>
      <c r="BZ337" s="609"/>
      <c r="CA337" s="609"/>
      <c r="CB337" s="609"/>
      <c r="CC337" s="609"/>
      <c r="CD337" s="609"/>
      <c r="CE337" s="609"/>
      <c r="CF337" s="609"/>
      <c r="CG337" s="609"/>
      <c r="CH337" s="609"/>
      <c r="CI337" s="609"/>
      <c r="CJ337" s="609"/>
      <c r="CK337" s="609"/>
      <c r="CL337" s="609"/>
      <c r="CM337" s="609"/>
      <c r="CN337" s="609"/>
      <c r="CO337" s="609"/>
      <c r="CP337" s="609"/>
      <c r="CQ337" s="609"/>
      <c r="CR337" s="609"/>
      <c r="CS337" s="609"/>
      <c r="CT337" s="609"/>
      <c r="CU337" s="609"/>
      <c r="CV337" s="609"/>
      <c r="CW337" s="609"/>
      <c r="CX337" s="609"/>
      <c r="CY337" s="609"/>
      <c r="CZ337" s="609"/>
      <c r="DA337" s="609"/>
      <c r="DB337" s="609"/>
      <c r="DC337" s="609"/>
      <c r="DD337" s="609"/>
      <c r="DE337" s="609"/>
      <c r="DF337" s="609"/>
      <c r="DG337" s="609"/>
      <c r="DH337" s="609"/>
      <c r="DI337" s="609"/>
      <c r="DJ337" s="609"/>
      <c r="DK337" s="609"/>
    </row>
    <row r="338" spans="69:115">
      <c r="BQ338" s="609"/>
      <c r="BR338" s="609"/>
      <c r="BS338" s="609"/>
      <c r="BT338" s="609"/>
      <c r="BU338" s="609"/>
      <c r="BV338" s="609"/>
      <c r="BW338" s="609"/>
      <c r="BX338" s="609"/>
      <c r="BY338" s="609"/>
      <c r="BZ338" s="609"/>
      <c r="CA338" s="609"/>
      <c r="CB338" s="609"/>
      <c r="CC338" s="609"/>
      <c r="CD338" s="609"/>
      <c r="CE338" s="609"/>
      <c r="CF338" s="609"/>
      <c r="CG338" s="609"/>
      <c r="CH338" s="609"/>
      <c r="CI338" s="609"/>
      <c r="CJ338" s="609"/>
      <c r="CK338" s="609"/>
      <c r="CL338" s="609"/>
      <c r="CM338" s="609"/>
      <c r="CN338" s="609"/>
      <c r="CO338" s="609"/>
      <c r="CP338" s="609"/>
      <c r="CQ338" s="609"/>
      <c r="CR338" s="609"/>
      <c r="CS338" s="609"/>
      <c r="CT338" s="609"/>
      <c r="CU338" s="609"/>
      <c r="CV338" s="609"/>
      <c r="CW338" s="609"/>
      <c r="CX338" s="609"/>
      <c r="CY338" s="609"/>
      <c r="CZ338" s="609"/>
      <c r="DA338" s="609"/>
      <c r="DB338" s="609"/>
      <c r="DC338" s="609"/>
      <c r="DD338" s="609"/>
      <c r="DE338" s="609"/>
      <c r="DF338" s="609"/>
      <c r="DG338" s="609"/>
      <c r="DH338" s="609"/>
      <c r="DI338" s="609"/>
      <c r="DJ338" s="609"/>
      <c r="DK338" s="609"/>
    </row>
    <row r="339" spans="69:115">
      <c r="BQ339" s="609"/>
      <c r="BR339" s="609"/>
      <c r="BS339" s="609"/>
      <c r="BT339" s="609"/>
      <c r="BU339" s="609"/>
      <c r="BV339" s="609"/>
      <c r="BW339" s="609"/>
      <c r="BX339" s="609"/>
      <c r="BY339" s="609"/>
      <c r="BZ339" s="609"/>
      <c r="CA339" s="609"/>
      <c r="CB339" s="609"/>
      <c r="CC339" s="609"/>
      <c r="CD339" s="609"/>
      <c r="CE339" s="609"/>
      <c r="CF339" s="609"/>
      <c r="CG339" s="609"/>
      <c r="CH339" s="609"/>
      <c r="CI339" s="609"/>
      <c r="CJ339" s="609"/>
      <c r="CK339" s="609"/>
      <c r="CL339" s="609"/>
      <c r="CM339" s="609"/>
      <c r="CN339" s="609"/>
      <c r="CO339" s="609"/>
      <c r="CP339" s="609"/>
      <c r="CQ339" s="609"/>
      <c r="CR339" s="609"/>
      <c r="CS339" s="609"/>
      <c r="CT339" s="609"/>
      <c r="CU339" s="609"/>
      <c r="CV339" s="609"/>
      <c r="CW339" s="609"/>
      <c r="CX339" s="609"/>
      <c r="CY339" s="609"/>
      <c r="CZ339" s="609"/>
      <c r="DA339" s="609"/>
      <c r="DB339" s="609"/>
      <c r="DC339" s="609"/>
      <c r="DD339" s="609"/>
      <c r="DE339" s="609"/>
      <c r="DF339" s="609"/>
      <c r="DG339" s="609"/>
      <c r="DH339" s="609"/>
      <c r="DI339" s="609"/>
      <c r="DJ339" s="609"/>
      <c r="DK339" s="609"/>
    </row>
    <row r="340" spans="69:115">
      <c r="BQ340" s="609"/>
      <c r="BR340" s="609"/>
      <c r="BS340" s="609"/>
      <c r="BT340" s="609"/>
      <c r="BU340" s="609"/>
      <c r="BV340" s="609"/>
      <c r="BW340" s="609"/>
      <c r="BX340" s="609"/>
      <c r="BY340" s="609"/>
      <c r="BZ340" s="609"/>
      <c r="CA340" s="609"/>
      <c r="CB340" s="609"/>
      <c r="CC340" s="609"/>
      <c r="CD340" s="609"/>
      <c r="CE340" s="609"/>
      <c r="CF340" s="609"/>
      <c r="CG340" s="609"/>
      <c r="CH340" s="609"/>
      <c r="CI340" s="609"/>
      <c r="CJ340" s="609"/>
      <c r="CK340" s="609"/>
      <c r="CL340" s="609"/>
      <c r="CM340" s="609"/>
      <c r="CN340" s="609"/>
      <c r="CO340" s="609"/>
      <c r="CP340" s="609"/>
      <c r="CQ340" s="609"/>
      <c r="CR340" s="609"/>
      <c r="CS340" s="609"/>
      <c r="CT340" s="609"/>
      <c r="CU340" s="609"/>
      <c r="CV340" s="609"/>
      <c r="CW340" s="609"/>
      <c r="CX340" s="609"/>
      <c r="CY340" s="609"/>
      <c r="CZ340" s="609"/>
      <c r="DA340" s="609"/>
      <c r="DB340" s="609"/>
      <c r="DC340" s="609"/>
      <c r="DD340" s="609"/>
      <c r="DE340" s="609"/>
      <c r="DF340" s="609"/>
      <c r="DG340" s="609"/>
      <c r="DH340" s="609"/>
      <c r="DI340" s="609"/>
      <c r="DJ340" s="609"/>
      <c r="DK340" s="609"/>
    </row>
    <row r="341" spans="69:115">
      <c r="BQ341" s="609"/>
      <c r="BR341" s="609"/>
      <c r="BS341" s="609"/>
      <c r="BT341" s="609"/>
      <c r="BU341" s="609"/>
      <c r="BV341" s="609"/>
      <c r="BW341" s="609"/>
      <c r="BX341" s="609"/>
      <c r="BY341" s="609"/>
      <c r="BZ341" s="609"/>
      <c r="CA341" s="609"/>
      <c r="CB341" s="609"/>
      <c r="CC341" s="609"/>
      <c r="CD341" s="609"/>
      <c r="CE341" s="609"/>
      <c r="CF341" s="609"/>
      <c r="CG341" s="609"/>
      <c r="CH341" s="609"/>
      <c r="CI341" s="609"/>
      <c r="CJ341" s="609"/>
      <c r="CK341" s="609"/>
      <c r="CL341" s="609"/>
      <c r="CM341" s="609"/>
      <c r="CN341" s="609"/>
      <c r="CO341" s="609"/>
      <c r="CP341" s="609"/>
      <c r="CQ341" s="609"/>
      <c r="CR341" s="609"/>
      <c r="CS341" s="609"/>
      <c r="CT341" s="609"/>
      <c r="CU341" s="609"/>
      <c r="CV341" s="609"/>
      <c r="CW341" s="609"/>
      <c r="CX341" s="609"/>
      <c r="CY341" s="609"/>
      <c r="CZ341" s="609"/>
      <c r="DA341" s="609"/>
      <c r="DB341" s="609"/>
      <c r="DC341" s="609"/>
      <c r="DD341" s="609"/>
      <c r="DE341" s="609"/>
      <c r="DF341" s="609"/>
      <c r="DG341" s="609"/>
      <c r="DH341" s="609"/>
      <c r="DI341" s="609"/>
      <c r="DJ341" s="609"/>
      <c r="DK341" s="609"/>
    </row>
    <row r="342" spans="69:115">
      <c r="BQ342" s="609"/>
      <c r="BR342" s="609"/>
      <c r="BS342" s="609"/>
      <c r="BT342" s="609"/>
      <c r="BU342" s="609"/>
      <c r="BV342" s="609"/>
      <c r="BW342" s="609"/>
      <c r="BX342" s="609"/>
      <c r="BY342" s="609"/>
      <c r="BZ342" s="609"/>
      <c r="CA342" s="609"/>
      <c r="CB342" s="609"/>
      <c r="CC342" s="609"/>
      <c r="CD342" s="609"/>
      <c r="CE342" s="609"/>
      <c r="CF342" s="609"/>
      <c r="CG342" s="609"/>
      <c r="CH342" s="609"/>
      <c r="CI342" s="609"/>
      <c r="CJ342" s="609"/>
      <c r="CK342" s="609"/>
      <c r="CL342" s="609"/>
      <c r="CM342" s="609"/>
      <c r="CN342" s="609"/>
      <c r="CO342" s="609"/>
      <c r="CP342" s="609"/>
      <c r="CQ342" s="609"/>
      <c r="CR342" s="609"/>
      <c r="CS342" s="609"/>
      <c r="CT342" s="609"/>
      <c r="CU342" s="609"/>
      <c r="CV342" s="609"/>
      <c r="CW342" s="609"/>
      <c r="CX342" s="609"/>
      <c r="CY342" s="609"/>
      <c r="CZ342" s="609"/>
      <c r="DA342" s="609"/>
      <c r="DB342" s="609"/>
      <c r="DC342" s="609"/>
      <c r="DD342" s="609"/>
      <c r="DE342" s="609"/>
      <c r="DF342" s="609"/>
      <c r="DG342" s="609"/>
      <c r="DH342" s="609"/>
      <c r="DI342" s="609"/>
      <c r="DJ342" s="609"/>
      <c r="DK342" s="609"/>
    </row>
    <row r="343" spans="69:115">
      <c r="BQ343" s="609"/>
      <c r="BR343" s="609"/>
      <c r="BS343" s="609"/>
      <c r="BT343" s="609"/>
      <c r="BU343" s="609"/>
      <c r="BV343" s="609"/>
      <c r="BW343" s="609"/>
      <c r="BX343" s="609"/>
      <c r="BY343" s="609"/>
      <c r="BZ343" s="609"/>
      <c r="CA343" s="609"/>
      <c r="CB343" s="609"/>
      <c r="CC343" s="609"/>
      <c r="CD343" s="609"/>
      <c r="CE343" s="609"/>
      <c r="CF343" s="609"/>
      <c r="CG343" s="609"/>
      <c r="CH343" s="609"/>
      <c r="CI343" s="609"/>
      <c r="CJ343" s="609"/>
      <c r="CK343" s="609"/>
      <c r="CL343" s="609"/>
      <c r="CM343" s="609"/>
      <c r="CN343" s="609"/>
      <c r="CO343" s="609"/>
      <c r="CP343" s="609"/>
      <c r="CQ343" s="609"/>
      <c r="CR343" s="609"/>
      <c r="CS343" s="609"/>
      <c r="CT343" s="609"/>
      <c r="CU343" s="609"/>
      <c r="CV343" s="609"/>
      <c r="CW343" s="609"/>
      <c r="CX343" s="609"/>
      <c r="CY343" s="609"/>
      <c r="CZ343" s="609"/>
      <c r="DA343" s="609"/>
      <c r="DB343" s="609"/>
      <c r="DC343" s="609"/>
      <c r="DD343" s="609"/>
      <c r="DE343" s="609"/>
      <c r="DF343" s="609"/>
      <c r="DG343" s="609"/>
      <c r="DH343" s="609"/>
      <c r="DI343" s="609"/>
      <c r="DJ343" s="609"/>
      <c r="DK343" s="609"/>
    </row>
    <row r="344" spans="69:115">
      <c r="BQ344" s="609"/>
      <c r="BR344" s="609"/>
      <c r="BS344" s="609"/>
      <c r="BT344" s="609"/>
      <c r="BU344" s="609"/>
      <c r="BV344" s="609"/>
      <c r="BW344" s="609"/>
      <c r="BX344" s="609"/>
      <c r="BY344" s="609"/>
      <c r="BZ344" s="609"/>
      <c r="CA344" s="609"/>
      <c r="CB344" s="609"/>
      <c r="CC344" s="609"/>
      <c r="CD344" s="609"/>
      <c r="CE344" s="609"/>
      <c r="CF344" s="609"/>
      <c r="CG344" s="609"/>
      <c r="CH344" s="609"/>
      <c r="CI344" s="609"/>
      <c r="CJ344" s="609"/>
      <c r="CK344" s="609"/>
      <c r="CL344" s="609"/>
      <c r="CM344" s="609"/>
      <c r="CN344" s="609"/>
      <c r="CO344" s="609"/>
      <c r="CP344" s="609"/>
      <c r="CQ344" s="609"/>
      <c r="CR344" s="609"/>
      <c r="CS344" s="609"/>
      <c r="CT344" s="609"/>
      <c r="CU344" s="609"/>
      <c r="CV344" s="609"/>
      <c r="CW344" s="609"/>
      <c r="CX344" s="609"/>
      <c r="CY344" s="609"/>
      <c r="CZ344" s="609"/>
      <c r="DA344" s="609"/>
      <c r="DB344" s="609"/>
      <c r="DC344" s="609"/>
      <c r="DD344" s="609"/>
      <c r="DE344" s="609"/>
      <c r="DF344" s="609"/>
      <c r="DG344" s="609"/>
      <c r="DH344" s="609"/>
      <c r="DI344" s="609"/>
      <c r="DJ344" s="609"/>
      <c r="DK344" s="609"/>
    </row>
    <row r="345" spans="69:115">
      <c r="BQ345" s="609"/>
      <c r="BR345" s="609"/>
      <c r="BS345" s="609"/>
      <c r="BT345" s="609"/>
      <c r="BU345" s="609"/>
      <c r="BV345" s="609"/>
      <c r="BW345" s="609"/>
      <c r="BX345" s="609"/>
      <c r="BY345" s="609"/>
      <c r="BZ345" s="609"/>
      <c r="CA345" s="609"/>
      <c r="CB345" s="609"/>
      <c r="CC345" s="609"/>
      <c r="CD345" s="609"/>
      <c r="CE345" s="609"/>
      <c r="CF345" s="609"/>
      <c r="CG345" s="609"/>
      <c r="CH345" s="609"/>
      <c r="CI345" s="609"/>
      <c r="CJ345" s="609"/>
      <c r="CK345" s="609"/>
      <c r="CL345" s="609"/>
      <c r="CM345" s="609"/>
      <c r="CN345" s="609"/>
      <c r="CO345" s="609"/>
      <c r="CP345" s="609"/>
      <c r="CQ345" s="609"/>
      <c r="CR345" s="609"/>
      <c r="CS345" s="609"/>
      <c r="CT345" s="609"/>
      <c r="CU345" s="609"/>
      <c r="CV345" s="609"/>
      <c r="CW345" s="609"/>
      <c r="CX345" s="609"/>
      <c r="CY345" s="609"/>
      <c r="CZ345" s="609"/>
      <c r="DA345" s="609"/>
      <c r="DB345" s="609"/>
      <c r="DC345" s="609"/>
      <c r="DD345" s="609"/>
      <c r="DE345" s="609"/>
      <c r="DF345" s="609"/>
      <c r="DG345" s="609"/>
      <c r="DH345" s="609"/>
      <c r="DI345" s="609"/>
      <c r="DJ345" s="609"/>
      <c r="DK345" s="609"/>
    </row>
    <row r="346" spans="69:115">
      <c r="BQ346" s="609"/>
      <c r="BR346" s="609"/>
      <c r="BS346" s="609"/>
      <c r="BT346" s="609"/>
      <c r="BU346" s="609"/>
      <c r="BV346" s="609"/>
      <c r="BW346" s="609"/>
      <c r="BX346" s="609"/>
      <c r="BY346" s="609"/>
      <c r="BZ346" s="609"/>
      <c r="CA346" s="609"/>
      <c r="CB346" s="609"/>
      <c r="CC346" s="609"/>
      <c r="CD346" s="609"/>
      <c r="CE346" s="609"/>
      <c r="CF346" s="609"/>
      <c r="CG346" s="609"/>
      <c r="CH346" s="609"/>
      <c r="CI346" s="609"/>
      <c r="CJ346" s="609"/>
      <c r="CK346" s="609"/>
      <c r="CL346" s="609"/>
      <c r="CM346" s="609"/>
      <c r="CN346" s="609"/>
      <c r="CO346" s="609"/>
      <c r="CP346" s="609"/>
      <c r="CQ346" s="609"/>
      <c r="CR346" s="609"/>
      <c r="CS346" s="609"/>
      <c r="CT346" s="609"/>
      <c r="CU346" s="609"/>
      <c r="CV346" s="609"/>
      <c r="CW346" s="609"/>
      <c r="CX346" s="609"/>
      <c r="CY346" s="609"/>
      <c r="CZ346" s="609"/>
      <c r="DA346" s="609"/>
      <c r="DB346" s="609"/>
      <c r="DC346" s="609"/>
      <c r="DD346" s="609"/>
      <c r="DE346" s="609"/>
      <c r="DF346" s="609"/>
      <c r="DG346" s="609"/>
      <c r="DH346" s="609"/>
      <c r="DI346" s="609"/>
      <c r="DJ346" s="609"/>
      <c r="DK346" s="609"/>
    </row>
    <row r="347" spans="69:115">
      <c r="BQ347" s="609"/>
      <c r="BR347" s="609"/>
      <c r="BS347" s="609"/>
      <c r="BT347" s="609"/>
      <c r="BU347" s="609"/>
      <c r="BV347" s="609"/>
      <c r="BW347" s="609"/>
      <c r="BX347" s="609"/>
      <c r="BY347" s="609"/>
      <c r="BZ347" s="609"/>
      <c r="CA347" s="609"/>
      <c r="CB347" s="609"/>
      <c r="CC347" s="609"/>
      <c r="CD347" s="609"/>
      <c r="CE347" s="609"/>
      <c r="CF347" s="609"/>
      <c r="CG347" s="609"/>
      <c r="CH347" s="609"/>
      <c r="CI347" s="609"/>
      <c r="CJ347" s="609"/>
      <c r="CK347" s="609"/>
      <c r="CL347" s="609"/>
      <c r="CM347" s="609"/>
      <c r="CN347" s="609"/>
      <c r="CO347" s="609"/>
      <c r="CP347" s="609"/>
      <c r="CQ347" s="609"/>
      <c r="CR347" s="609"/>
      <c r="CS347" s="609"/>
      <c r="CT347" s="609"/>
      <c r="CU347" s="609"/>
      <c r="CV347" s="609"/>
      <c r="CW347" s="609"/>
      <c r="CX347" s="609"/>
      <c r="CY347" s="609"/>
      <c r="CZ347" s="609"/>
      <c r="DA347" s="609"/>
      <c r="DB347" s="609"/>
      <c r="DC347" s="609"/>
      <c r="DD347" s="609"/>
      <c r="DE347" s="609"/>
      <c r="DF347" s="609"/>
      <c r="DG347" s="609"/>
      <c r="DH347" s="609"/>
      <c r="DI347" s="609"/>
      <c r="DJ347" s="609"/>
      <c r="DK347" s="609"/>
    </row>
    <row r="348" spans="69:115">
      <c r="BQ348" s="609"/>
      <c r="BR348" s="609"/>
      <c r="BS348" s="609"/>
      <c r="BT348" s="609"/>
      <c r="BU348" s="609"/>
      <c r="BV348" s="609"/>
      <c r="BW348" s="609"/>
      <c r="BX348" s="609"/>
      <c r="BY348" s="609"/>
      <c r="BZ348" s="609"/>
      <c r="CA348" s="609"/>
      <c r="CB348" s="609"/>
      <c r="CC348" s="609"/>
      <c r="CD348" s="609"/>
      <c r="CE348" s="609"/>
      <c r="CF348" s="609"/>
      <c r="CG348" s="609"/>
      <c r="CH348" s="609"/>
      <c r="CI348" s="609"/>
      <c r="CJ348" s="609"/>
      <c r="CK348" s="609"/>
      <c r="CL348" s="609"/>
      <c r="CM348" s="609"/>
      <c r="CN348" s="609"/>
      <c r="CO348" s="609"/>
      <c r="CP348" s="609"/>
      <c r="CQ348" s="609"/>
      <c r="CR348" s="609"/>
      <c r="CS348" s="609"/>
      <c r="CT348" s="609"/>
      <c r="CU348" s="609"/>
      <c r="CV348" s="609"/>
      <c r="CW348" s="609"/>
      <c r="CX348" s="609"/>
      <c r="CY348" s="609"/>
      <c r="CZ348" s="609"/>
      <c r="DA348" s="609"/>
      <c r="DB348" s="609"/>
      <c r="DC348" s="609"/>
      <c r="DD348" s="609"/>
      <c r="DE348" s="609"/>
      <c r="DF348" s="609"/>
      <c r="DG348" s="609"/>
      <c r="DH348" s="609"/>
      <c r="DI348" s="609"/>
      <c r="DJ348" s="609"/>
      <c r="DK348" s="609"/>
    </row>
    <row r="349" spans="69:115">
      <c r="BQ349" s="609"/>
      <c r="BR349" s="609"/>
      <c r="BS349" s="609"/>
      <c r="BT349" s="609"/>
      <c r="BU349" s="609"/>
      <c r="BV349" s="609"/>
      <c r="BW349" s="609"/>
      <c r="BX349" s="609"/>
      <c r="BY349" s="609"/>
      <c r="BZ349" s="609"/>
      <c r="CA349" s="609"/>
      <c r="CB349" s="609"/>
      <c r="CC349" s="609"/>
      <c r="CD349" s="609"/>
      <c r="CE349" s="609"/>
      <c r="CF349" s="609"/>
      <c r="CG349" s="609"/>
      <c r="CH349" s="609"/>
      <c r="CI349" s="609"/>
      <c r="CJ349" s="609"/>
      <c r="CK349" s="609"/>
      <c r="CL349" s="609"/>
      <c r="CM349" s="609"/>
      <c r="CN349" s="609"/>
      <c r="CO349" s="609"/>
      <c r="CP349" s="609"/>
      <c r="CQ349" s="609"/>
      <c r="CR349" s="609"/>
      <c r="CS349" s="609"/>
      <c r="CT349" s="609"/>
      <c r="CU349" s="609"/>
      <c r="CV349" s="609"/>
      <c r="CW349" s="609"/>
      <c r="CX349" s="609"/>
      <c r="CY349" s="609"/>
      <c r="CZ349" s="609"/>
      <c r="DA349" s="609"/>
      <c r="DB349" s="609"/>
      <c r="DC349" s="609"/>
      <c r="DD349" s="609"/>
      <c r="DE349" s="609"/>
      <c r="DF349" s="609"/>
      <c r="DG349" s="609"/>
      <c r="DH349" s="609"/>
      <c r="DI349" s="609"/>
      <c r="DJ349" s="609"/>
      <c r="DK349" s="609"/>
    </row>
    <row r="350" spans="69:115">
      <c r="BQ350" s="609"/>
      <c r="BR350" s="609"/>
      <c r="BS350" s="609"/>
      <c r="BT350" s="609"/>
      <c r="BU350" s="609"/>
      <c r="BV350" s="609"/>
      <c r="BW350" s="609"/>
      <c r="BX350" s="609"/>
      <c r="BY350" s="609"/>
      <c r="BZ350" s="609"/>
      <c r="CA350" s="609"/>
      <c r="CB350" s="609"/>
      <c r="CC350" s="609"/>
      <c r="CD350" s="609"/>
      <c r="CE350" s="609"/>
      <c r="CF350" s="609"/>
      <c r="CG350" s="609"/>
      <c r="CH350" s="609"/>
      <c r="CI350" s="609"/>
      <c r="CJ350" s="609"/>
      <c r="CK350" s="609"/>
      <c r="CL350" s="609"/>
      <c r="CM350" s="609"/>
      <c r="CN350" s="609"/>
      <c r="CO350" s="609"/>
      <c r="CP350" s="609"/>
      <c r="CQ350" s="609"/>
      <c r="CR350" s="609"/>
      <c r="CS350" s="609"/>
      <c r="CT350" s="609"/>
      <c r="CU350" s="609"/>
      <c r="CV350" s="609"/>
      <c r="CW350" s="609"/>
      <c r="CX350" s="609"/>
      <c r="CY350" s="609"/>
      <c r="CZ350" s="609"/>
      <c r="DA350" s="609"/>
      <c r="DB350" s="609"/>
      <c r="DC350" s="609"/>
      <c r="DD350" s="609"/>
      <c r="DE350" s="609"/>
      <c r="DF350" s="609"/>
      <c r="DG350" s="609"/>
      <c r="DH350" s="609"/>
      <c r="DI350" s="609"/>
      <c r="DJ350" s="609"/>
      <c r="DK350" s="609"/>
    </row>
    <row r="351" spans="69:115">
      <c r="BQ351" s="609"/>
      <c r="BR351" s="609"/>
      <c r="BS351" s="609"/>
      <c r="BT351" s="609"/>
      <c r="BU351" s="609"/>
      <c r="BV351" s="609"/>
      <c r="BW351" s="609"/>
      <c r="BX351" s="609"/>
      <c r="BY351" s="609"/>
      <c r="BZ351" s="609"/>
      <c r="CA351" s="609"/>
      <c r="CB351" s="609"/>
      <c r="CC351" s="609"/>
      <c r="CD351" s="609"/>
      <c r="CE351" s="609"/>
      <c r="CF351" s="609"/>
      <c r="CG351" s="609"/>
      <c r="CH351" s="609"/>
      <c r="CI351" s="609"/>
      <c r="CJ351" s="609"/>
      <c r="CK351" s="609"/>
      <c r="CL351" s="609"/>
      <c r="CM351" s="609"/>
      <c r="CN351" s="609"/>
      <c r="CO351" s="609"/>
      <c r="CP351" s="609"/>
      <c r="CQ351" s="609"/>
      <c r="CR351" s="609"/>
      <c r="CS351" s="609"/>
      <c r="CT351" s="609"/>
      <c r="CU351" s="609"/>
      <c r="CV351" s="609"/>
      <c r="CW351" s="609"/>
      <c r="CX351" s="609"/>
      <c r="CY351" s="609"/>
      <c r="CZ351" s="609"/>
      <c r="DA351" s="609"/>
      <c r="DB351" s="609"/>
      <c r="DC351" s="609"/>
      <c r="DD351" s="609"/>
      <c r="DE351" s="609"/>
      <c r="DF351" s="609"/>
      <c r="DG351" s="609"/>
      <c r="DH351" s="609"/>
      <c r="DI351" s="609"/>
      <c r="DJ351" s="609"/>
      <c r="DK351" s="609"/>
    </row>
    <row r="352" spans="69:115">
      <c r="BQ352" s="609"/>
      <c r="BR352" s="609"/>
      <c r="BS352" s="609"/>
      <c r="BT352" s="609"/>
      <c r="BU352" s="609"/>
      <c r="BV352" s="609"/>
      <c r="BW352" s="609"/>
      <c r="BX352" s="609"/>
      <c r="BY352" s="609"/>
      <c r="BZ352" s="609"/>
      <c r="CA352" s="609"/>
      <c r="CB352" s="609"/>
      <c r="CC352" s="609"/>
      <c r="CD352" s="609"/>
      <c r="CE352" s="609"/>
      <c r="CF352" s="609"/>
      <c r="CG352" s="609"/>
      <c r="CH352" s="609"/>
      <c r="CI352" s="609"/>
      <c r="CJ352" s="609"/>
      <c r="CK352" s="609"/>
      <c r="CL352" s="609"/>
      <c r="CM352" s="609"/>
      <c r="CN352" s="609"/>
      <c r="CO352" s="609"/>
      <c r="CP352" s="609"/>
      <c r="CQ352" s="609"/>
      <c r="CR352" s="609"/>
      <c r="CS352" s="609"/>
      <c r="CT352" s="609"/>
      <c r="CU352" s="609"/>
      <c r="CV352" s="609"/>
      <c r="CW352" s="609"/>
      <c r="CX352" s="609"/>
      <c r="CY352" s="609"/>
      <c r="CZ352" s="609"/>
      <c r="DA352" s="609"/>
      <c r="DB352" s="609"/>
      <c r="DC352" s="609"/>
      <c r="DD352" s="609"/>
      <c r="DE352" s="609"/>
      <c r="DF352" s="609"/>
      <c r="DG352" s="609"/>
      <c r="DH352" s="609"/>
      <c r="DI352" s="609"/>
      <c r="DJ352" s="609"/>
      <c r="DK352" s="609"/>
    </row>
    <row r="353" spans="69:115">
      <c r="BQ353" s="609"/>
      <c r="BR353" s="609"/>
      <c r="BS353" s="609"/>
      <c r="BT353" s="609"/>
      <c r="BU353" s="609"/>
      <c r="BV353" s="609"/>
      <c r="BW353" s="609"/>
      <c r="BX353" s="609"/>
      <c r="BY353" s="609"/>
      <c r="BZ353" s="609"/>
      <c r="CA353" s="609"/>
      <c r="CB353" s="609"/>
      <c r="CC353" s="609"/>
      <c r="CD353" s="609"/>
      <c r="CE353" s="609"/>
      <c r="CF353" s="609"/>
      <c r="CG353" s="609"/>
      <c r="CH353" s="609"/>
      <c r="CI353" s="609"/>
      <c r="CJ353" s="609"/>
      <c r="CK353" s="609"/>
      <c r="CL353" s="609"/>
      <c r="CM353" s="609"/>
      <c r="CN353" s="609"/>
      <c r="CO353" s="609"/>
      <c r="CP353" s="609"/>
      <c r="CQ353" s="609"/>
      <c r="CR353" s="609"/>
      <c r="CS353" s="609"/>
      <c r="CT353" s="609"/>
      <c r="CU353" s="609"/>
      <c r="CV353" s="609"/>
      <c r="CW353" s="609"/>
      <c r="CX353" s="609"/>
      <c r="CY353" s="609"/>
      <c r="CZ353" s="609"/>
      <c r="DA353" s="609"/>
      <c r="DB353" s="609"/>
      <c r="DC353" s="609"/>
      <c r="DD353" s="609"/>
      <c r="DE353" s="609"/>
      <c r="DF353" s="609"/>
      <c r="DG353" s="609"/>
      <c r="DH353" s="609"/>
      <c r="DI353" s="609"/>
      <c r="DJ353" s="609"/>
      <c r="DK353" s="609"/>
    </row>
    <row r="354" spans="69:115">
      <c r="BQ354" s="609"/>
      <c r="BR354" s="609"/>
      <c r="BS354" s="609"/>
      <c r="BT354" s="609"/>
      <c r="BU354" s="609"/>
      <c r="BV354" s="609"/>
      <c r="BW354" s="609"/>
      <c r="BX354" s="609"/>
      <c r="BY354" s="609"/>
      <c r="BZ354" s="609"/>
      <c r="CA354" s="609"/>
      <c r="CB354" s="609"/>
      <c r="CC354" s="609"/>
      <c r="CD354" s="609"/>
      <c r="CE354" s="609"/>
      <c r="CF354" s="609"/>
      <c r="CG354" s="609"/>
      <c r="CH354" s="609"/>
      <c r="CI354" s="609"/>
      <c r="CJ354" s="609"/>
      <c r="CK354" s="609"/>
      <c r="CL354" s="609"/>
      <c r="CM354" s="609"/>
      <c r="CN354" s="609"/>
      <c r="CO354" s="609"/>
      <c r="CP354" s="609"/>
      <c r="CQ354" s="609"/>
      <c r="CR354" s="609"/>
      <c r="CS354" s="609"/>
      <c r="CT354" s="609"/>
      <c r="CU354" s="609"/>
      <c r="CV354" s="609"/>
      <c r="CW354" s="609"/>
      <c r="CX354" s="609"/>
      <c r="CY354" s="609"/>
      <c r="CZ354" s="609"/>
      <c r="DA354" s="609"/>
      <c r="DB354" s="609"/>
      <c r="DC354" s="609"/>
      <c r="DD354" s="609"/>
      <c r="DE354" s="609"/>
      <c r="DF354" s="609"/>
      <c r="DG354" s="609"/>
      <c r="DH354" s="609"/>
      <c r="DI354" s="609"/>
      <c r="DJ354" s="609"/>
      <c r="DK354" s="609"/>
    </row>
    <row r="355" spans="69:115">
      <c r="BQ355" s="609"/>
      <c r="BR355" s="609"/>
      <c r="BS355" s="609"/>
      <c r="BT355" s="609"/>
      <c r="BU355" s="609"/>
      <c r="BV355" s="609"/>
      <c r="BW355" s="609"/>
      <c r="BX355" s="609"/>
      <c r="BY355" s="609"/>
      <c r="BZ355" s="609"/>
      <c r="CA355" s="609"/>
      <c r="CB355" s="609"/>
      <c r="CC355" s="609"/>
      <c r="CD355" s="609"/>
      <c r="CE355" s="609"/>
      <c r="CF355" s="609"/>
      <c r="CG355" s="609"/>
      <c r="CH355" s="609"/>
      <c r="CI355" s="609"/>
      <c r="CJ355" s="609"/>
      <c r="CK355" s="609"/>
      <c r="CL355" s="609"/>
      <c r="CM355" s="609"/>
      <c r="CN355" s="609"/>
      <c r="CO355" s="609"/>
      <c r="CP355" s="609"/>
      <c r="CQ355" s="609"/>
      <c r="CR355" s="609"/>
      <c r="CS355" s="609"/>
      <c r="CT355" s="609"/>
      <c r="CU355" s="609"/>
      <c r="CV355" s="609"/>
      <c r="CW355" s="609"/>
      <c r="CX355" s="609"/>
      <c r="CY355" s="609"/>
      <c r="CZ355" s="609"/>
      <c r="DA355" s="609"/>
      <c r="DB355" s="609"/>
      <c r="DC355" s="609"/>
      <c r="DD355" s="609"/>
      <c r="DE355" s="609"/>
      <c r="DF355" s="609"/>
      <c r="DG355" s="609"/>
      <c r="DH355" s="609"/>
      <c r="DI355" s="609"/>
      <c r="DJ355" s="609"/>
      <c r="DK355" s="609"/>
    </row>
    <row r="356" spans="69:115">
      <c r="BQ356" s="609"/>
      <c r="BR356" s="609"/>
      <c r="BS356" s="609"/>
      <c r="BT356" s="609"/>
      <c r="BU356" s="609"/>
      <c r="BV356" s="609"/>
      <c r="BW356" s="609"/>
      <c r="BX356" s="609"/>
      <c r="BY356" s="609"/>
      <c r="BZ356" s="609"/>
      <c r="CA356" s="609"/>
      <c r="CB356" s="609"/>
      <c r="CC356" s="609"/>
      <c r="CD356" s="609"/>
      <c r="CE356" s="609"/>
      <c r="CF356" s="609"/>
      <c r="CG356" s="609"/>
      <c r="CH356" s="609"/>
      <c r="CI356" s="609"/>
      <c r="CJ356" s="609"/>
      <c r="CK356" s="609"/>
      <c r="CL356" s="609"/>
      <c r="CM356" s="609"/>
      <c r="CN356" s="609"/>
      <c r="CO356" s="609"/>
      <c r="CP356" s="609"/>
      <c r="CQ356" s="609"/>
      <c r="CR356" s="609"/>
      <c r="CS356" s="609"/>
      <c r="CT356" s="609"/>
      <c r="CU356" s="609"/>
      <c r="CV356" s="609"/>
      <c r="CW356" s="609"/>
      <c r="CX356" s="609"/>
      <c r="CY356" s="609"/>
      <c r="CZ356" s="609"/>
      <c r="DA356" s="609"/>
      <c r="DB356" s="609"/>
      <c r="DC356" s="609"/>
      <c r="DD356" s="609"/>
      <c r="DE356" s="609"/>
      <c r="DF356" s="609"/>
      <c r="DG356" s="609"/>
      <c r="DH356" s="609"/>
      <c r="DI356" s="609"/>
      <c r="DJ356" s="609"/>
      <c r="DK356" s="609"/>
    </row>
    <row r="357" spans="69:115">
      <c r="BQ357" s="609"/>
      <c r="BR357" s="609"/>
      <c r="BS357" s="609"/>
      <c r="BT357" s="609"/>
      <c r="BU357" s="609"/>
      <c r="BV357" s="609"/>
      <c r="BW357" s="609"/>
      <c r="BX357" s="609"/>
      <c r="BY357" s="609"/>
      <c r="BZ357" s="609"/>
      <c r="CA357" s="609"/>
      <c r="CB357" s="609"/>
      <c r="CC357" s="609"/>
      <c r="CD357" s="609"/>
      <c r="CE357" s="609"/>
      <c r="CF357" s="609"/>
      <c r="CG357" s="609"/>
      <c r="CH357" s="609"/>
      <c r="CI357" s="609"/>
      <c r="CJ357" s="609"/>
      <c r="CK357" s="609"/>
      <c r="CL357" s="609"/>
      <c r="CM357" s="609"/>
      <c r="CN357" s="609"/>
      <c r="CO357" s="609"/>
      <c r="CP357" s="609"/>
      <c r="CQ357" s="609"/>
      <c r="CR357" s="609"/>
      <c r="CS357" s="609"/>
      <c r="CT357" s="609"/>
      <c r="CU357" s="609"/>
      <c r="CV357" s="609"/>
      <c r="CW357" s="609"/>
      <c r="CX357" s="609"/>
      <c r="CY357" s="609"/>
      <c r="CZ357" s="609"/>
      <c r="DA357" s="609"/>
      <c r="DB357" s="609"/>
      <c r="DC357" s="609"/>
      <c r="DD357" s="609"/>
      <c r="DE357" s="609"/>
      <c r="DF357" s="609"/>
      <c r="DG357" s="609"/>
      <c r="DH357" s="609"/>
      <c r="DI357" s="609"/>
      <c r="DJ357" s="609"/>
      <c r="DK357" s="609"/>
    </row>
    <row r="358" spans="69:115">
      <c r="BQ358" s="609"/>
      <c r="BR358" s="609"/>
      <c r="BS358" s="609"/>
      <c r="BT358" s="609"/>
      <c r="BU358" s="609"/>
      <c r="BV358" s="609"/>
      <c r="BW358" s="609"/>
      <c r="BX358" s="609"/>
      <c r="BY358" s="609"/>
      <c r="BZ358" s="609"/>
      <c r="CA358" s="609"/>
      <c r="CB358" s="609"/>
      <c r="CC358" s="609"/>
      <c r="CD358" s="609"/>
      <c r="CE358" s="609"/>
      <c r="CF358" s="609"/>
      <c r="CG358" s="609"/>
      <c r="CH358" s="609"/>
      <c r="CI358" s="609"/>
      <c r="CJ358" s="609"/>
      <c r="CK358" s="609"/>
      <c r="CL358" s="609"/>
      <c r="CM358" s="609"/>
      <c r="CN358" s="609"/>
      <c r="CO358" s="609"/>
      <c r="CP358" s="609"/>
      <c r="CQ358" s="609"/>
      <c r="CR358" s="609"/>
      <c r="CS358" s="609"/>
      <c r="CT358" s="609"/>
      <c r="CU358" s="609"/>
      <c r="CV358" s="609"/>
      <c r="CW358" s="609"/>
      <c r="CX358" s="609"/>
      <c r="CY358" s="609"/>
      <c r="CZ358" s="609"/>
      <c r="DA358" s="609"/>
      <c r="DB358" s="609"/>
      <c r="DC358" s="609"/>
      <c r="DD358" s="609"/>
      <c r="DE358" s="609"/>
      <c r="DF358" s="609"/>
      <c r="DG358" s="609"/>
      <c r="DH358" s="609"/>
      <c r="DI358" s="609"/>
      <c r="DJ358" s="609"/>
      <c r="DK358" s="609"/>
    </row>
    <row r="359" spans="69:115">
      <c r="BQ359" s="609"/>
      <c r="BR359" s="609"/>
      <c r="BS359" s="609"/>
      <c r="BT359" s="609"/>
      <c r="BU359" s="609"/>
      <c r="BV359" s="609"/>
      <c r="BW359" s="609"/>
      <c r="BX359" s="609"/>
      <c r="BY359" s="609"/>
      <c r="BZ359" s="609"/>
      <c r="CA359" s="609"/>
      <c r="CB359" s="609"/>
      <c r="CC359" s="609"/>
      <c r="CD359" s="609"/>
      <c r="CE359" s="609"/>
      <c r="CF359" s="609"/>
      <c r="CG359" s="609"/>
      <c r="CH359" s="609"/>
      <c r="CI359" s="609"/>
      <c r="CJ359" s="609"/>
      <c r="CK359" s="609"/>
      <c r="CL359" s="609"/>
      <c r="CM359" s="609"/>
      <c r="CN359" s="609"/>
      <c r="CO359" s="609"/>
      <c r="CP359" s="609"/>
      <c r="CQ359" s="609"/>
      <c r="CR359" s="609"/>
      <c r="CS359" s="609"/>
      <c r="CT359" s="609"/>
      <c r="CU359" s="609"/>
      <c r="CV359" s="609"/>
      <c r="CW359" s="609"/>
      <c r="CX359" s="609"/>
      <c r="CY359" s="609"/>
      <c r="CZ359" s="609"/>
      <c r="DA359" s="609"/>
      <c r="DB359" s="609"/>
      <c r="DC359" s="609"/>
      <c r="DD359" s="609"/>
      <c r="DE359" s="609"/>
      <c r="DF359" s="609"/>
      <c r="DG359" s="609"/>
      <c r="DH359" s="609"/>
      <c r="DI359" s="609"/>
      <c r="DJ359" s="609"/>
      <c r="DK359" s="609"/>
    </row>
    <row r="360" spans="69:115">
      <c r="BQ360" s="609"/>
      <c r="BR360" s="609"/>
      <c r="BS360" s="609"/>
      <c r="BT360" s="609"/>
      <c r="BU360" s="609"/>
      <c r="BV360" s="609"/>
      <c r="BW360" s="609"/>
      <c r="BX360" s="609"/>
      <c r="BY360" s="609"/>
      <c r="BZ360" s="609"/>
      <c r="CA360" s="609"/>
      <c r="CB360" s="609"/>
      <c r="CC360" s="609"/>
      <c r="CD360" s="609"/>
      <c r="CE360" s="609"/>
      <c r="CF360" s="609"/>
      <c r="CG360" s="609"/>
      <c r="CH360" s="609"/>
      <c r="CI360" s="609"/>
      <c r="CJ360" s="609"/>
      <c r="CK360" s="609"/>
      <c r="CL360" s="609"/>
      <c r="CM360" s="609"/>
      <c r="CN360" s="609"/>
      <c r="CO360" s="609"/>
      <c r="CP360" s="609"/>
      <c r="CQ360" s="609"/>
      <c r="CR360" s="609"/>
      <c r="CS360" s="609"/>
      <c r="CT360" s="609"/>
      <c r="CU360" s="609"/>
      <c r="CV360" s="609"/>
      <c r="CW360" s="609"/>
      <c r="CX360" s="609"/>
      <c r="CY360" s="609"/>
      <c r="CZ360" s="609"/>
      <c r="DA360" s="609"/>
      <c r="DB360" s="609"/>
      <c r="DC360" s="609"/>
      <c r="DD360" s="609"/>
      <c r="DE360" s="609"/>
      <c r="DF360" s="609"/>
      <c r="DG360" s="609"/>
      <c r="DH360" s="609"/>
      <c r="DI360" s="609"/>
      <c r="DJ360" s="609"/>
      <c r="DK360" s="609"/>
    </row>
    <row r="361" spans="69:115">
      <c r="BQ361" s="609"/>
      <c r="BR361" s="609"/>
      <c r="BS361" s="609"/>
      <c r="BT361" s="609"/>
      <c r="BU361" s="609"/>
      <c r="BV361" s="609"/>
      <c r="BW361" s="609"/>
      <c r="BX361" s="609"/>
      <c r="BY361" s="609"/>
      <c r="BZ361" s="609"/>
      <c r="CA361" s="609"/>
      <c r="CB361" s="609"/>
      <c r="CC361" s="609"/>
      <c r="CD361" s="609"/>
      <c r="CE361" s="609"/>
      <c r="CF361" s="609"/>
      <c r="CG361" s="609"/>
      <c r="CH361" s="609"/>
      <c r="CI361" s="609"/>
      <c r="CJ361" s="609"/>
      <c r="CK361" s="609"/>
      <c r="CL361" s="609"/>
      <c r="CM361" s="609"/>
      <c r="CN361" s="609"/>
      <c r="CO361" s="609"/>
      <c r="CP361" s="609"/>
      <c r="CQ361" s="609"/>
      <c r="CR361" s="609"/>
      <c r="CS361" s="609"/>
      <c r="CT361" s="609"/>
      <c r="CU361" s="609"/>
      <c r="CV361" s="609"/>
      <c r="CW361" s="609"/>
      <c r="CX361" s="609"/>
      <c r="CY361" s="609"/>
      <c r="CZ361" s="609"/>
      <c r="DA361" s="609"/>
      <c r="DB361" s="609"/>
      <c r="DC361" s="609"/>
      <c r="DD361" s="609"/>
      <c r="DE361" s="609"/>
      <c r="DF361" s="609"/>
      <c r="DG361" s="609"/>
      <c r="DH361" s="609"/>
      <c r="DI361" s="609"/>
      <c r="DJ361" s="609"/>
      <c r="DK361" s="609"/>
    </row>
    <row r="362" spans="69:115">
      <c r="BQ362" s="609"/>
      <c r="BR362" s="609"/>
      <c r="BS362" s="609"/>
      <c r="BT362" s="609"/>
      <c r="BU362" s="609"/>
      <c r="BV362" s="609"/>
      <c r="BW362" s="609"/>
      <c r="BX362" s="609"/>
      <c r="BY362" s="609"/>
      <c r="BZ362" s="609"/>
      <c r="CA362" s="609"/>
      <c r="CB362" s="609"/>
      <c r="CC362" s="609"/>
      <c r="CD362" s="609"/>
      <c r="CE362" s="609"/>
      <c r="CF362" s="609"/>
      <c r="CG362" s="609"/>
      <c r="CH362" s="609"/>
      <c r="CI362" s="609"/>
      <c r="CJ362" s="609"/>
      <c r="CK362" s="609"/>
      <c r="CL362" s="609"/>
      <c r="CM362" s="609"/>
      <c r="CN362" s="609"/>
      <c r="CO362" s="609"/>
      <c r="CP362" s="609"/>
      <c r="CQ362" s="609"/>
      <c r="CR362" s="609"/>
      <c r="CS362" s="609"/>
      <c r="CT362" s="609"/>
      <c r="CU362" s="609"/>
      <c r="CV362" s="609"/>
      <c r="CW362" s="609"/>
      <c r="CX362" s="609"/>
      <c r="CY362" s="609"/>
      <c r="CZ362" s="609"/>
      <c r="DA362" s="609"/>
      <c r="DB362" s="609"/>
      <c r="DC362" s="609"/>
      <c r="DD362" s="609"/>
      <c r="DE362" s="609"/>
      <c r="DF362" s="609"/>
      <c r="DG362" s="609"/>
      <c r="DH362" s="609"/>
      <c r="DI362" s="609"/>
      <c r="DJ362" s="609"/>
      <c r="DK362" s="609"/>
    </row>
    <row r="363" spans="69:115">
      <c r="BQ363" s="609"/>
      <c r="BR363" s="609"/>
      <c r="BS363" s="609"/>
      <c r="BT363" s="609"/>
      <c r="BU363" s="609"/>
      <c r="BV363" s="609"/>
      <c r="BW363" s="609"/>
      <c r="BX363" s="609"/>
      <c r="BY363" s="609"/>
      <c r="BZ363" s="609"/>
      <c r="CA363" s="609"/>
      <c r="CB363" s="609"/>
      <c r="CC363" s="609"/>
      <c r="CD363" s="609"/>
      <c r="CE363" s="609"/>
      <c r="CF363" s="609"/>
      <c r="CG363" s="609"/>
      <c r="CH363" s="609"/>
      <c r="CI363" s="609"/>
      <c r="CJ363" s="609"/>
      <c r="CK363" s="609"/>
      <c r="CL363" s="609"/>
      <c r="CM363" s="609"/>
      <c r="CN363" s="609"/>
      <c r="CO363" s="609"/>
      <c r="CP363" s="609"/>
      <c r="CQ363" s="609"/>
      <c r="CR363" s="609"/>
      <c r="CS363" s="609"/>
      <c r="CT363" s="609"/>
      <c r="CU363" s="609"/>
      <c r="CV363" s="609"/>
      <c r="CW363" s="609"/>
      <c r="CX363" s="609"/>
      <c r="CY363" s="609"/>
      <c r="CZ363" s="609"/>
      <c r="DA363" s="609"/>
      <c r="DB363" s="609"/>
      <c r="DC363" s="609"/>
      <c r="DD363" s="609"/>
      <c r="DE363" s="609"/>
      <c r="DF363" s="609"/>
      <c r="DG363" s="609"/>
      <c r="DH363" s="609"/>
      <c r="DI363" s="609"/>
      <c r="DJ363" s="609"/>
      <c r="DK363" s="609"/>
    </row>
    <row r="364" spans="69:115">
      <c r="BQ364" s="609"/>
      <c r="BR364" s="609"/>
      <c r="BS364" s="609"/>
      <c r="BT364" s="609"/>
      <c r="BU364" s="609"/>
      <c r="BV364" s="609"/>
      <c r="BW364" s="609"/>
      <c r="BX364" s="609"/>
      <c r="BY364" s="609"/>
      <c r="BZ364" s="609"/>
      <c r="CA364" s="609"/>
      <c r="CB364" s="609"/>
      <c r="CC364" s="609"/>
      <c r="CD364" s="609"/>
      <c r="CE364" s="609"/>
      <c r="CF364" s="609"/>
      <c r="CG364" s="609"/>
      <c r="CH364" s="609"/>
      <c r="CI364" s="609"/>
      <c r="CJ364" s="609"/>
      <c r="CK364" s="609"/>
      <c r="CL364" s="609"/>
      <c r="CM364" s="609"/>
      <c r="CN364" s="609"/>
      <c r="CO364" s="609"/>
      <c r="CP364" s="609"/>
      <c r="CQ364" s="609"/>
      <c r="CR364" s="609"/>
      <c r="CS364" s="609"/>
      <c r="CT364" s="609"/>
      <c r="CU364" s="609"/>
      <c r="CV364" s="609"/>
      <c r="CW364" s="609"/>
      <c r="CX364" s="609"/>
      <c r="CY364" s="609"/>
      <c r="CZ364" s="609"/>
      <c r="DA364" s="609"/>
      <c r="DB364" s="609"/>
      <c r="DC364" s="609"/>
      <c r="DD364" s="609"/>
      <c r="DE364" s="609"/>
      <c r="DF364" s="609"/>
      <c r="DG364" s="609"/>
      <c r="DH364" s="609"/>
      <c r="DI364" s="609"/>
      <c r="DJ364" s="609"/>
      <c r="DK364" s="609"/>
    </row>
    <row r="365" spans="69:115">
      <c r="BQ365" s="609"/>
      <c r="BR365" s="609"/>
      <c r="BS365" s="609"/>
      <c r="BT365" s="609"/>
      <c r="BU365" s="609"/>
      <c r="BV365" s="609"/>
      <c r="BW365" s="609"/>
      <c r="BX365" s="609"/>
      <c r="BY365" s="609"/>
      <c r="BZ365" s="609"/>
      <c r="CA365" s="609"/>
      <c r="CB365" s="609"/>
      <c r="CC365" s="609"/>
      <c r="CD365" s="609"/>
      <c r="CE365" s="609"/>
      <c r="CF365" s="609"/>
      <c r="CG365" s="609"/>
      <c r="CH365" s="609"/>
      <c r="CI365" s="609"/>
      <c r="CJ365" s="609"/>
      <c r="CK365" s="609"/>
      <c r="CL365" s="609"/>
      <c r="CM365" s="609"/>
      <c r="CN365" s="609"/>
      <c r="CO365" s="609"/>
      <c r="CP365" s="609"/>
      <c r="CQ365" s="609"/>
      <c r="CR365" s="609"/>
      <c r="CS365" s="609"/>
      <c r="CT365" s="609"/>
      <c r="CU365" s="609"/>
      <c r="CV365" s="609"/>
      <c r="CW365" s="609"/>
      <c r="CX365" s="609"/>
      <c r="CY365" s="609"/>
      <c r="CZ365" s="609"/>
      <c r="DA365" s="609"/>
      <c r="DB365" s="609"/>
      <c r="DC365" s="609"/>
      <c r="DD365" s="609"/>
      <c r="DE365" s="609"/>
      <c r="DF365" s="609"/>
      <c r="DG365" s="609"/>
      <c r="DH365" s="609"/>
      <c r="DI365" s="609"/>
      <c r="DJ365" s="609"/>
      <c r="DK365" s="609"/>
    </row>
    <row r="366" spans="69:115">
      <c r="BQ366" s="609"/>
      <c r="BR366" s="609"/>
      <c r="BS366" s="609"/>
      <c r="BT366" s="609"/>
      <c r="BU366" s="609"/>
      <c r="BV366" s="609"/>
      <c r="BW366" s="609"/>
      <c r="BX366" s="609"/>
      <c r="BY366" s="609"/>
      <c r="BZ366" s="609"/>
      <c r="CA366" s="609"/>
      <c r="CB366" s="609"/>
      <c r="CC366" s="609"/>
      <c r="CD366" s="609"/>
      <c r="CE366" s="609"/>
      <c r="CF366" s="609"/>
      <c r="CG366" s="609"/>
      <c r="CH366" s="609"/>
      <c r="CI366" s="609"/>
      <c r="CJ366" s="609"/>
      <c r="CK366" s="609"/>
      <c r="CL366" s="609"/>
      <c r="CM366" s="609"/>
      <c r="CN366" s="609"/>
      <c r="CO366" s="609"/>
      <c r="CP366" s="609"/>
      <c r="CQ366" s="609"/>
      <c r="CR366" s="609"/>
      <c r="CS366" s="609"/>
      <c r="CT366" s="609"/>
      <c r="CU366" s="609"/>
      <c r="CV366" s="609"/>
      <c r="CW366" s="609"/>
      <c r="CX366" s="609"/>
      <c r="CY366" s="609"/>
      <c r="CZ366" s="609"/>
      <c r="DA366" s="609"/>
      <c r="DB366" s="609"/>
      <c r="DC366" s="609"/>
      <c r="DD366" s="609"/>
      <c r="DE366" s="609"/>
      <c r="DF366" s="609"/>
      <c r="DG366" s="609"/>
      <c r="DH366" s="609"/>
      <c r="DI366" s="609"/>
      <c r="DJ366" s="609"/>
      <c r="DK366" s="609"/>
    </row>
    <row r="367" spans="69:115">
      <c r="BQ367" s="609"/>
      <c r="BR367" s="609"/>
      <c r="BS367" s="609"/>
      <c r="BT367" s="609"/>
      <c r="BU367" s="609"/>
      <c r="BV367" s="609"/>
      <c r="BW367" s="609"/>
      <c r="BX367" s="609"/>
      <c r="BY367" s="609"/>
      <c r="BZ367" s="609"/>
      <c r="CA367" s="609"/>
      <c r="CB367" s="609"/>
      <c r="CC367" s="609"/>
      <c r="CD367" s="609"/>
      <c r="CE367" s="609"/>
      <c r="CF367" s="609"/>
      <c r="CG367" s="609"/>
      <c r="CH367" s="609"/>
      <c r="CI367" s="609"/>
      <c r="CJ367" s="609"/>
      <c r="CK367" s="609"/>
      <c r="CL367" s="609"/>
      <c r="CM367" s="609"/>
      <c r="CN367" s="609"/>
      <c r="CO367" s="609"/>
      <c r="CP367" s="609"/>
      <c r="CQ367" s="609"/>
      <c r="CR367" s="609"/>
      <c r="CS367" s="609"/>
      <c r="CT367" s="609"/>
      <c r="CU367" s="609"/>
      <c r="CV367" s="609"/>
      <c r="CW367" s="609"/>
      <c r="CX367" s="609"/>
      <c r="CY367" s="609"/>
      <c r="CZ367" s="609"/>
      <c r="DA367" s="609"/>
      <c r="DB367" s="609"/>
      <c r="DC367" s="609"/>
      <c r="DD367" s="609"/>
      <c r="DE367" s="609"/>
      <c r="DF367" s="609"/>
      <c r="DG367" s="609"/>
      <c r="DH367" s="609"/>
      <c r="DI367" s="609"/>
      <c r="DJ367" s="609"/>
      <c r="DK367" s="609"/>
    </row>
    <row r="368" spans="69:115">
      <c r="BQ368" s="609"/>
      <c r="BR368" s="609"/>
      <c r="BS368" s="609"/>
      <c r="BT368" s="609"/>
      <c r="BU368" s="609"/>
      <c r="BV368" s="609"/>
      <c r="BW368" s="609"/>
      <c r="BX368" s="609"/>
      <c r="BY368" s="609"/>
      <c r="BZ368" s="609"/>
      <c r="CA368" s="609"/>
      <c r="CB368" s="609"/>
      <c r="CC368" s="609"/>
      <c r="CD368" s="609"/>
      <c r="CE368" s="609"/>
      <c r="CF368" s="609"/>
      <c r="CG368" s="609"/>
      <c r="CH368" s="609"/>
      <c r="CI368" s="609"/>
      <c r="CJ368" s="609"/>
      <c r="CK368" s="609"/>
      <c r="CL368" s="609"/>
      <c r="CM368" s="609"/>
      <c r="CN368" s="609"/>
      <c r="CO368" s="609"/>
      <c r="CP368" s="609"/>
      <c r="CQ368" s="609"/>
      <c r="CR368" s="609"/>
      <c r="CS368" s="609"/>
      <c r="CT368" s="609"/>
      <c r="CU368" s="609"/>
      <c r="CV368" s="609"/>
      <c r="CW368" s="609"/>
      <c r="CX368" s="609"/>
      <c r="CY368" s="609"/>
      <c r="CZ368" s="609"/>
      <c r="DA368" s="609"/>
      <c r="DB368" s="609"/>
      <c r="DC368" s="609"/>
      <c r="DD368" s="609"/>
      <c r="DE368" s="609"/>
      <c r="DF368" s="609"/>
      <c r="DG368" s="609"/>
      <c r="DH368" s="609"/>
      <c r="DI368" s="609"/>
      <c r="DJ368" s="609"/>
      <c r="DK368" s="609"/>
    </row>
    <row r="369" spans="69:115">
      <c r="BQ369" s="609"/>
      <c r="BR369" s="609"/>
      <c r="BS369" s="609"/>
      <c r="BT369" s="609"/>
      <c r="BU369" s="609"/>
      <c r="BV369" s="609"/>
      <c r="BW369" s="609"/>
      <c r="BX369" s="609"/>
      <c r="BY369" s="609"/>
      <c r="BZ369" s="609"/>
      <c r="CA369" s="609"/>
      <c r="CB369" s="609"/>
      <c r="CC369" s="609"/>
      <c r="CD369" s="609"/>
      <c r="CE369" s="609"/>
      <c r="CF369" s="609"/>
      <c r="CG369" s="609"/>
      <c r="CH369" s="609"/>
      <c r="CI369" s="609"/>
      <c r="CJ369" s="609"/>
      <c r="CK369" s="609"/>
      <c r="CL369" s="609"/>
      <c r="CM369" s="609"/>
      <c r="CN369" s="609"/>
      <c r="CO369" s="609"/>
      <c r="CP369" s="609"/>
      <c r="CQ369" s="609"/>
      <c r="CR369" s="609"/>
      <c r="CS369" s="609"/>
      <c r="CT369" s="609"/>
      <c r="CU369" s="609"/>
      <c r="CV369" s="609"/>
      <c r="CW369" s="609"/>
      <c r="CX369" s="609"/>
      <c r="CY369" s="609"/>
      <c r="CZ369" s="609"/>
      <c r="DA369" s="609"/>
      <c r="DB369" s="609"/>
      <c r="DC369" s="609"/>
      <c r="DD369" s="609"/>
      <c r="DE369" s="609"/>
      <c r="DF369" s="609"/>
      <c r="DG369" s="609"/>
      <c r="DH369" s="609"/>
      <c r="DI369" s="609"/>
      <c r="DJ369" s="609"/>
      <c r="DK369" s="609"/>
    </row>
    <row r="370" spans="69:115">
      <c r="BQ370" s="609"/>
      <c r="BR370" s="609"/>
      <c r="BS370" s="609"/>
      <c r="BT370" s="609"/>
      <c r="BU370" s="609"/>
      <c r="BV370" s="609"/>
      <c r="BW370" s="609"/>
      <c r="BX370" s="609"/>
      <c r="BY370" s="609"/>
      <c r="BZ370" s="609"/>
      <c r="CA370" s="609"/>
      <c r="CB370" s="609"/>
      <c r="CC370" s="609"/>
      <c r="CD370" s="609"/>
      <c r="CE370" s="609"/>
      <c r="CF370" s="609"/>
      <c r="CG370" s="609"/>
      <c r="CH370" s="609"/>
      <c r="CI370" s="609"/>
      <c r="CJ370" s="609"/>
      <c r="CK370" s="609"/>
      <c r="CL370" s="609"/>
      <c r="CM370" s="609"/>
      <c r="CN370" s="609"/>
      <c r="CO370" s="609"/>
      <c r="CP370" s="609"/>
      <c r="CQ370" s="609"/>
      <c r="CR370" s="609"/>
      <c r="CS370" s="609"/>
      <c r="CT370" s="609"/>
      <c r="CU370" s="609"/>
      <c r="CV370" s="609"/>
      <c r="CW370" s="609"/>
      <c r="CX370" s="609"/>
      <c r="CY370" s="609"/>
      <c r="CZ370" s="609"/>
      <c r="DA370" s="609"/>
      <c r="DB370" s="609"/>
      <c r="DC370" s="609"/>
      <c r="DD370" s="609"/>
      <c r="DE370" s="609"/>
      <c r="DF370" s="609"/>
      <c r="DG370" s="609"/>
      <c r="DH370" s="609"/>
      <c r="DI370" s="609"/>
      <c r="DJ370" s="609"/>
      <c r="DK370" s="609"/>
    </row>
    <row r="371" spans="69:115">
      <c r="BQ371" s="609"/>
      <c r="BR371" s="609"/>
      <c r="BS371" s="609"/>
      <c r="BT371" s="609"/>
      <c r="BU371" s="609"/>
      <c r="BV371" s="609"/>
      <c r="BW371" s="609"/>
      <c r="BX371" s="609"/>
      <c r="BY371" s="609"/>
      <c r="BZ371" s="609"/>
      <c r="CA371" s="609"/>
      <c r="CB371" s="609"/>
      <c r="CC371" s="609"/>
      <c r="CD371" s="609"/>
      <c r="CE371" s="609"/>
      <c r="CF371" s="609"/>
      <c r="CG371" s="609"/>
      <c r="CH371" s="609"/>
      <c r="CI371" s="609"/>
      <c r="CJ371" s="609"/>
      <c r="CK371" s="609"/>
      <c r="CL371" s="609"/>
      <c r="CM371" s="609"/>
      <c r="CN371" s="609"/>
      <c r="CO371" s="609"/>
      <c r="CP371" s="609"/>
      <c r="CQ371" s="609"/>
      <c r="CR371" s="609"/>
      <c r="CS371" s="609"/>
      <c r="CT371" s="609"/>
      <c r="CU371" s="609"/>
      <c r="CV371" s="609"/>
      <c r="CW371" s="609"/>
      <c r="CX371" s="609"/>
      <c r="CY371" s="609"/>
      <c r="CZ371" s="609"/>
      <c r="DA371" s="609"/>
      <c r="DB371" s="609"/>
      <c r="DC371" s="609"/>
      <c r="DD371" s="609"/>
      <c r="DE371" s="609"/>
      <c r="DF371" s="609"/>
      <c r="DG371" s="609"/>
      <c r="DH371" s="609"/>
      <c r="DI371" s="609"/>
      <c r="DJ371" s="609"/>
      <c r="DK371" s="609"/>
    </row>
    <row r="372" spans="69:115">
      <c r="BQ372" s="609"/>
      <c r="BR372" s="609"/>
      <c r="BS372" s="609"/>
      <c r="BT372" s="609"/>
      <c r="BU372" s="609"/>
      <c r="BV372" s="609"/>
      <c r="BW372" s="609"/>
      <c r="BX372" s="609"/>
      <c r="BY372" s="609"/>
      <c r="BZ372" s="609"/>
      <c r="CA372" s="609"/>
      <c r="CB372" s="609"/>
      <c r="CC372" s="609"/>
      <c r="CD372" s="609"/>
      <c r="CE372" s="609"/>
      <c r="CF372" s="609"/>
      <c r="CG372" s="609"/>
      <c r="CH372" s="609"/>
      <c r="CI372" s="609"/>
      <c r="CJ372" s="609"/>
      <c r="CK372" s="609"/>
      <c r="CL372" s="609"/>
      <c r="CM372" s="609"/>
      <c r="CN372" s="609"/>
      <c r="CO372" s="609"/>
      <c r="CP372" s="609"/>
      <c r="CQ372" s="609"/>
      <c r="CR372" s="609"/>
      <c r="CS372" s="609"/>
      <c r="CT372" s="609"/>
      <c r="CU372" s="609"/>
      <c r="CV372" s="609"/>
      <c r="CW372" s="609"/>
      <c r="CX372" s="609"/>
      <c r="CY372" s="609"/>
      <c r="CZ372" s="609"/>
      <c r="DA372" s="609"/>
      <c r="DB372" s="609"/>
      <c r="DC372" s="609"/>
      <c r="DD372" s="609"/>
      <c r="DE372" s="609"/>
      <c r="DF372" s="609"/>
      <c r="DG372" s="609"/>
      <c r="DH372" s="609"/>
      <c r="DI372" s="609"/>
      <c r="DJ372" s="609"/>
      <c r="DK372" s="609"/>
    </row>
    <row r="373" spans="69:115">
      <c r="BQ373" s="609"/>
      <c r="BR373" s="609"/>
      <c r="BS373" s="609"/>
      <c r="BT373" s="609"/>
      <c r="BU373" s="609"/>
      <c r="BV373" s="609"/>
      <c r="BW373" s="609"/>
      <c r="BX373" s="609"/>
      <c r="BY373" s="609"/>
      <c r="BZ373" s="609"/>
      <c r="CA373" s="609"/>
      <c r="CB373" s="609"/>
      <c r="CC373" s="609"/>
      <c r="CD373" s="609"/>
      <c r="CE373" s="609"/>
      <c r="CF373" s="609"/>
      <c r="CG373" s="609"/>
      <c r="CH373" s="609"/>
      <c r="CI373" s="609"/>
      <c r="CJ373" s="609"/>
      <c r="CK373" s="609"/>
      <c r="CL373" s="609"/>
      <c r="CM373" s="609"/>
      <c r="CN373" s="609"/>
      <c r="CO373" s="609"/>
      <c r="CP373" s="609"/>
      <c r="CQ373" s="609"/>
      <c r="CR373" s="609"/>
      <c r="CS373" s="609"/>
      <c r="CT373" s="609"/>
      <c r="CU373" s="609"/>
      <c r="CV373" s="609"/>
      <c r="CW373" s="609"/>
      <c r="CX373" s="609"/>
      <c r="CY373" s="609"/>
      <c r="CZ373" s="609"/>
      <c r="DA373" s="609"/>
      <c r="DB373" s="609"/>
      <c r="DC373" s="609"/>
      <c r="DD373" s="609"/>
      <c r="DE373" s="609"/>
      <c r="DF373" s="609"/>
      <c r="DG373" s="609"/>
      <c r="DH373" s="609"/>
      <c r="DI373" s="609"/>
      <c r="DJ373" s="609"/>
      <c r="DK373" s="609"/>
    </row>
    <row r="374" spans="69:115">
      <c r="BQ374" s="609"/>
      <c r="BR374" s="609"/>
      <c r="BS374" s="609"/>
      <c r="BT374" s="609"/>
      <c r="BU374" s="609"/>
      <c r="BV374" s="609"/>
      <c r="BW374" s="609"/>
      <c r="BX374" s="609"/>
      <c r="BY374" s="609"/>
      <c r="BZ374" s="609"/>
      <c r="CA374" s="609"/>
      <c r="CB374" s="609"/>
      <c r="CC374" s="609"/>
      <c r="CD374" s="609"/>
      <c r="CE374" s="609"/>
      <c r="CF374" s="609"/>
      <c r="CG374" s="609"/>
      <c r="CH374" s="609"/>
      <c r="CI374" s="609"/>
      <c r="CJ374" s="609"/>
      <c r="CK374" s="609"/>
      <c r="CL374" s="609"/>
      <c r="CM374" s="609"/>
      <c r="CN374" s="609"/>
      <c r="CO374" s="609"/>
      <c r="CP374" s="609"/>
      <c r="CQ374" s="609"/>
      <c r="CR374" s="609"/>
      <c r="CS374" s="609"/>
      <c r="CT374" s="609"/>
      <c r="CU374" s="609"/>
      <c r="CV374" s="609"/>
      <c r="CW374" s="609"/>
      <c r="CX374" s="609"/>
      <c r="CY374" s="609"/>
      <c r="CZ374" s="609"/>
      <c r="DA374" s="609"/>
      <c r="DB374" s="609"/>
      <c r="DC374" s="609"/>
      <c r="DD374" s="609"/>
      <c r="DE374" s="609"/>
      <c r="DF374" s="609"/>
      <c r="DG374" s="609"/>
      <c r="DH374" s="609"/>
      <c r="DI374" s="609"/>
      <c r="DJ374" s="609"/>
      <c r="DK374" s="609"/>
    </row>
    <row r="375" spans="69:115">
      <c r="BQ375" s="609"/>
      <c r="BR375" s="609"/>
      <c r="BS375" s="609"/>
      <c r="BT375" s="609"/>
      <c r="BU375" s="609"/>
      <c r="BV375" s="609"/>
      <c r="BW375" s="609"/>
      <c r="BX375" s="609"/>
      <c r="BY375" s="609"/>
      <c r="BZ375" s="609"/>
      <c r="CA375" s="609"/>
      <c r="CB375" s="609"/>
      <c r="CC375" s="609"/>
      <c r="CD375" s="609"/>
      <c r="CE375" s="609"/>
      <c r="CF375" s="609"/>
      <c r="CG375" s="609"/>
      <c r="CH375" s="609"/>
      <c r="CI375" s="609"/>
      <c r="CJ375" s="609"/>
      <c r="CK375" s="609"/>
      <c r="CL375" s="609"/>
      <c r="CM375" s="609"/>
      <c r="CN375" s="609"/>
      <c r="CO375" s="609"/>
      <c r="CP375" s="609"/>
      <c r="CQ375" s="609"/>
      <c r="CR375" s="609"/>
      <c r="CS375" s="609"/>
      <c r="CT375" s="609"/>
      <c r="CU375" s="609"/>
      <c r="CV375" s="609"/>
      <c r="CW375" s="609"/>
      <c r="CX375" s="609"/>
      <c r="CY375" s="609"/>
      <c r="CZ375" s="609"/>
      <c r="DA375" s="609"/>
      <c r="DB375" s="609"/>
      <c r="DC375" s="609"/>
      <c r="DD375" s="609"/>
      <c r="DE375" s="609"/>
      <c r="DF375" s="609"/>
      <c r="DG375" s="609"/>
      <c r="DH375" s="609"/>
      <c r="DI375" s="609"/>
      <c r="DJ375" s="609"/>
      <c r="DK375" s="609"/>
    </row>
    <row r="376" spans="69:115">
      <c r="BQ376" s="609"/>
      <c r="BR376" s="609"/>
      <c r="BS376" s="609"/>
      <c r="BT376" s="609"/>
      <c r="BU376" s="609"/>
      <c r="BV376" s="609"/>
      <c r="BW376" s="609"/>
      <c r="BX376" s="609"/>
      <c r="BY376" s="609"/>
      <c r="BZ376" s="609"/>
      <c r="CA376" s="609"/>
      <c r="CB376" s="609"/>
      <c r="CC376" s="609"/>
      <c r="CD376" s="609"/>
      <c r="CE376" s="609"/>
      <c r="CF376" s="609"/>
      <c r="CG376" s="609"/>
      <c r="CH376" s="609"/>
      <c r="CI376" s="609"/>
      <c r="CJ376" s="609"/>
      <c r="CK376" s="609"/>
      <c r="CL376" s="609"/>
      <c r="CM376" s="609"/>
      <c r="CN376" s="609"/>
      <c r="CO376" s="609"/>
      <c r="CP376" s="609"/>
      <c r="CQ376" s="609"/>
      <c r="CR376" s="609"/>
      <c r="CS376" s="609"/>
      <c r="CT376" s="609"/>
      <c r="CU376" s="609"/>
      <c r="CV376" s="609"/>
      <c r="CW376" s="609"/>
      <c r="CX376" s="609"/>
      <c r="CY376" s="609"/>
      <c r="CZ376" s="609"/>
      <c r="DA376" s="609"/>
      <c r="DB376" s="609"/>
      <c r="DC376" s="609"/>
      <c r="DD376" s="609"/>
      <c r="DE376" s="609"/>
      <c r="DF376" s="609"/>
      <c r="DG376" s="609"/>
      <c r="DH376" s="609"/>
      <c r="DI376" s="609"/>
      <c r="DJ376" s="609"/>
      <c r="DK376" s="609"/>
    </row>
    <row r="377" spans="69:115">
      <c r="BQ377" s="609"/>
      <c r="BR377" s="609"/>
      <c r="BS377" s="609"/>
      <c r="BT377" s="609"/>
      <c r="BU377" s="609"/>
      <c r="BV377" s="609"/>
      <c r="BW377" s="609"/>
      <c r="BX377" s="609"/>
      <c r="BY377" s="609"/>
      <c r="BZ377" s="609"/>
      <c r="CA377" s="609"/>
      <c r="CB377" s="609"/>
      <c r="CC377" s="609"/>
      <c r="CD377" s="609"/>
      <c r="CE377" s="609"/>
      <c r="CF377" s="609"/>
      <c r="CG377" s="609"/>
      <c r="CH377" s="609"/>
      <c r="CI377" s="609"/>
      <c r="CJ377" s="609"/>
      <c r="CK377" s="609"/>
      <c r="CL377" s="609"/>
      <c r="CM377" s="609"/>
      <c r="CN377" s="609"/>
      <c r="CO377" s="609"/>
      <c r="CP377" s="609"/>
      <c r="CQ377" s="609"/>
      <c r="CR377" s="609"/>
      <c r="CS377" s="609"/>
      <c r="CT377" s="609"/>
      <c r="CU377" s="609"/>
      <c r="CV377" s="609"/>
      <c r="CW377" s="609"/>
      <c r="CX377" s="609"/>
      <c r="CY377" s="609"/>
      <c r="CZ377" s="609"/>
      <c r="DA377" s="609"/>
      <c r="DB377" s="609"/>
      <c r="DC377" s="609"/>
      <c r="DD377" s="609"/>
      <c r="DE377" s="609"/>
      <c r="DF377" s="609"/>
      <c r="DG377" s="609"/>
      <c r="DH377" s="609"/>
      <c r="DI377" s="609"/>
      <c r="DJ377" s="609"/>
      <c r="DK377" s="609"/>
    </row>
    <row r="378" spans="69:115">
      <c r="BQ378" s="609"/>
      <c r="BR378" s="609"/>
      <c r="BS378" s="609"/>
      <c r="BT378" s="609"/>
      <c r="BU378" s="609"/>
      <c r="BV378" s="609"/>
      <c r="BW378" s="609"/>
      <c r="BX378" s="609"/>
      <c r="BY378" s="609"/>
      <c r="BZ378" s="609"/>
      <c r="CA378" s="609"/>
      <c r="CB378" s="609"/>
      <c r="CC378" s="609"/>
      <c r="CD378" s="609"/>
      <c r="CE378" s="609"/>
      <c r="CF378" s="609"/>
      <c r="CG378" s="609"/>
      <c r="CH378" s="609"/>
      <c r="CI378" s="609"/>
      <c r="CJ378" s="609"/>
      <c r="CK378" s="609"/>
      <c r="CL378" s="609"/>
      <c r="CM378" s="609"/>
      <c r="CN378" s="609"/>
      <c r="CO378" s="609"/>
      <c r="CP378" s="609"/>
      <c r="CQ378" s="609"/>
      <c r="CR378" s="609"/>
      <c r="CS378" s="609"/>
      <c r="CT378" s="609"/>
      <c r="CU378" s="609"/>
      <c r="CV378" s="609"/>
      <c r="CW378" s="609"/>
      <c r="CX378" s="609"/>
      <c r="CY378" s="609"/>
      <c r="CZ378" s="609"/>
      <c r="DA378" s="609"/>
      <c r="DB378" s="609"/>
      <c r="DC378" s="609"/>
      <c r="DD378" s="609"/>
      <c r="DE378" s="609"/>
      <c r="DF378" s="609"/>
      <c r="DG378" s="609"/>
      <c r="DH378" s="609"/>
      <c r="DI378" s="609"/>
      <c r="DJ378" s="609"/>
      <c r="DK378" s="609"/>
    </row>
    <row r="379" spans="69:115">
      <c r="BQ379" s="609"/>
      <c r="BR379" s="609"/>
      <c r="BS379" s="609"/>
      <c r="BT379" s="609"/>
      <c r="BU379" s="609"/>
      <c r="BV379" s="609"/>
      <c r="BW379" s="609"/>
      <c r="BX379" s="609"/>
      <c r="BY379" s="609"/>
      <c r="BZ379" s="609"/>
      <c r="CA379" s="609"/>
      <c r="CB379" s="609"/>
      <c r="CC379" s="609"/>
      <c r="CD379" s="609"/>
      <c r="CE379" s="609"/>
      <c r="CF379" s="609"/>
      <c r="CG379" s="609"/>
      <c r="CH379" s="609"/>
      <c r="CI379" s="609"/>
      <c r="CJ379" s="609"/>
      <c r="CK379" s="609"/>
      <c r="CL379" s="609"/>
      <c r="CM379" s="609"/>
      <c r="CN379" s="609"/>
      <c r="CO379" s="609"/>
      <c r="CP379" s="609"/>
      <c r="CQ379" s="609"/>
      <c r="CR379" s="609"/>
      <c r="CS379" s="609"/>
      <c r="CT379" s="609"/>
      <c r="CU379" s="609"/>
      <c r="CV379" s="609"/>
      <c r="CW379" s="609"/>
      <c r="CX379" s="609"/>
      <c r="CY379" s="609"/>
      <c r="CZ379" s="609"/>
      <c r="DA379" s="609"/>
      <c r="DB379" s="609"/>
      <c r="DC379" s="609"/>
      <c r="DD379" s="609"/>
      <c r="DE379" s="609"/>
      <c r="DF379" s="609"/>
      <c r="DG379" s="609"/>
      <c r="DH379" s="609"/>
      <c r="DI379" s="609"/>
      <c r="DJ379" s="609"/>
      <c r="DK379" s="609"/>
    </row>
    <row r="380" spans="69:115">
      <c r="BQ380" s="609"/>
      <c r="BR380" s="609"/>
      <c r="BS380" s="609"/>
      <c r="BT380" s="609"/>
      <c r="BU380" s="609"/>
      <c r="BV380" s="609"/>
      <c r="BW380" s="609"/>
      <c r="BX380" s="609"/>
      <c r="BY380" s="609"/>
      <c r="BZ380" s="609"/>
      <c r="CA380" s="609"/>
      <c r="CB380" s="609"/>
      <c r="CC380" s="609"/>
      <c r="CD380" s="609"/>
      <c r="CE380" s="609"/>
      <c r="CF380" s="609"/>
      <c r="CG380" s="609"/>
      <c r="CH380" s="609"/>
      <c r="CI380" s="609"/>
      <c r="CJ380" s="609"/>
      <c r="CK380" s="609"/>
      <c r="CL380" s="609"/>
      <c r="CM380" s="609"/>
      <c r="CN380" s="609"/>
      <c r="CO380" s="609"/>
      <c r="CP380" s="609"/>
      <c r="CQ380" s="609"/>
      <c r="CR380" s="609"/>
      <c r="CS380" s="609"/>
      <c r="CT380" s="609"/>
      <c r="CU380" s="609"/>
      <c r="CV380" s="609"/>
      <c r="CW380" s="609"/>
      <c r="CX380" s="609"/>
      <c r="CY380" s="609"/>
      <c r="CZ380" s="609"/>
      <c r="DA380" s="609"/>
      <c r="DB380" s="609"/>
      <c r="DC380" s="609"/>
      <c r="DD380" s="609"/>
      <c r="DE380" s="609"/>
      <c r="DF380" s="609"/>
      <c r="DG380" s="609"/>
      <c r="DH380" s="609"/>
      <c r="DI380" s="609"/>
      <c r="DJ380" s="609"/>
      <c r="DK380" s="609"/>
    </row>
    <row r="381" spans="69:115">
      <c r="BQ381" s="609"/>
      <c r="BR381" s="609"/>
      <c r="BS381" s="609"/>
      <c r="BT381" s="609"/>
      <c r="BU381" s="609"/>
      <c r="BV381" s="609"/>
      <c r="BW381" s="609"/>
      <c r="BX381" s="609"/>
      <c r="BY381" s="609"/>
      <c r="BZ381" s="609"/>
      <c r="CA381" s="609"/>
      <c r="CB381" s="609"/>
      <c r="CC381" s="609"/>
      <c r="CD381" s="609"/>
      <c r="CE381" s="609"/>
      <c r="CF381" s="609"/>
      <c r="CG381" s="609"/>
      <c r="CH381" s="609"/>
      <c r="CI381" s="609"/>
      <c r="CJ381" s="609"/>
      <c r="CK381" s="609"/>
      <c r="CL381" s="609"/>
      <c r="CM381" s="609"/>
      <c r="CN381" s="609"/>
      <c r="CO381" s="609"/>
      <c r="CP381" s="609"/>
      <c r="CQ381" s="609"/>
      <c r="CR381" s="609"/>
      <c r="CS381" s="609"/>
      <c r="CT381" s="609"/>
      <c r="CU381" s="609"/>
      <c r="CV381" s="609"/>
      <c r="CW381" s="609"/>
      <c r="CX381" s="609"/>
      <c r="CY381" s="609"/>
      <c r="CZ381" s="609"/>
      <c r="DA381" s="609"/>
      <c r="DB381" s="609"/>
      <c r="DC381" s="609"/>
      <c r="DD381" s="609"/>
      <c r="DE381" s="609"/>
      <c r="DF381" s="609"/>
      <c r="DG381" s="609"/>
      <c r="DH381" s="609"/>
      <c r="DI381" s="609"/>
      <c r="DJ381" s="609"/>
      <c r="DK381" s="609"/>
    </row>
    <row r="382" spans="69:115">
      <c r="BQ382" s="609"/>
      <c r="BR382" s="609"/>
      <c r="BS382" s="609"/>
      <c r="BT382" s="609"/>
      <c r="BU382" s="609"/>
      <c r="BV382" s="609"/>
      <c r="BW382" s="609"/>
      <c r="BX382" s="609"/>
      <c r="BY382" s="609"/>
      <c r="BZ382" s="609"/>
      <c r="CA382" s="609"/>
      <c r="CB382" s="609"/>
      <c r="CC382" s="609"/>
      <c r="CD382" s="609"/>
      <c r="CE382" s="609"/>
      <c r="CF382" s="609"/>
      <c r="CG382" s="609"/>
      <c r="CH382" s="609"/>
      <c r="CI382" s="609"/>
      <c r="CJ382" s="609"/>
      <c r="CK382" s="609"/>
      <c r="CL382" s="609"/>
      <c r="CM382" s="609"/>
      <c r="CN382" s="609"/>
      <c r="CO382" s="609"/>
      <c r="CP382" s="609"/>
      <c r="CQ382" s="609"/>
      <c r="CR382" s="609"/>
      <c r="CS382" s="609"/>
      <c r="CT382" s="609"/>
      <c r="CU382" s="609"/>
      <c r="CV382" s="609"/>
      <c r="CW382" s="609"/>
      <c r="CX382" s="609"/>
      <c r="CY382" s="609"/>
      <c r="CZ382" s="609"/>
      <c r="DA382" s="609"/>
      <c r="DB382" s="609"/>
      <c r="DC382" s="609"/>
      <c r="DD382" s="609"/>
      <c r="DE382" s="609"/>
      <c r="DF382" s="609"/>
      <c r="DG382" s="609"/>
      <c r="DH382" s="609"/>
      <c r="DI382" s="609"/>
      <c r="DJ382" s="609"/>
      <c r="DK382" s="609"/>
    </row>
    <row r="383" spans="69:115">
      <c r="BQ383" s="609"/>
      <c r="BR383" s="609"/>
      <c r="BS383" s="609"/>
      <c r="BT383" s="609"/>
      <c r="BU383" s="609"/>
      <c r="BV383" s="609"/>
      <c r="BW383" s="609"/>
      <c r="BX383" s="609"/>
      <c r="BY383" s="609"/>
      <c r="BZ383" s="609"/>
      <c r="CA383" s="609"/>
      <c r="CB383" s="609"/>
      <c r="CC383" s="609"/>
      <c r="CD383" s="609"/>
      <c r="CE383" s="609"/>
      <c r="CF383" s="609"/>
      <c r="CG383" s="609"/>
      <c r="CH383" s="609"/>
      <c r="CI383" s="609"/>
      <c r="CJ383" s="609"/>
      <c r="CK383" s="609"/>
      <c r="CL383" s="609"/>
      <c r="CM383" s="609"/>
      <c r="CN383" s="609"/>
      <c r="CO383" s="609"/>
      <c r="CP383" s="609"/>
      <c r="CQ383" s="609"/>
      <c r="CR383" s="609"/>
      <c r="CS383" s="609"/>
      <c r="CT383" s="609"/>
      <c r="CU383" s="609"/>
      <c r="CV383" s="609"/>
      <c r="CW383" s="609"/>
      <c r="CX383" s="609"/>
      <c r="CY383" s="609"/>
      <c r="CZ383" s="609"/>
      <c r="DA383" s="609"/>
      <c r="DB383" s="609"/>
      <c r="DC383" s="609"/>
      <c r="DD383" s="609"/>
      <c r="DE383" s="609"/>
      <c r="DF383" s="609"/>
      <c r="DG383" s="609"/>
      <c r="DH383" s="609"/>
      <c r="DI383" s="609"/>
      <c r="DJ383" s="609"/>
      <c r="DK383" s="609"/>
    </row>
    <row r="384" spans="69:115">
      <c r="BQ384" s="609"/>
      <c r="BR384" s="609"/>
      <c r="BS384" s="609"/>
      <c r="BT384" s="609"/>
      <c r="BU384" s="609"/>
      <c r="BV384" s="609"/>
      <c r="BW384" s="609"/>
      <c r="BX384" s="609"/>
      <c r="BY384" s="609"/>
      <c r="BZ384" s="609"/>
      <c r="CA384" s="609"/>
      <c r="CB384" s="609"/>
      <c r="CC384" s="609"/>
      <c r="CD384" s="609"/>
      <c r="CE384" s="609"/>
      <c r="CF384" s="609"/>
      <c r="CG384" s="609"/>
      <c r="CH384" s="609"/>
      <c r="CI384" s="609"/>
      <c r="CJ384" s="609"/>
      <c r="CK384" s="609"/>
      <c r="CL384" s="609"/>
      <c r="CM384" s="609"/>
      <c r="CN384" s="609"/>
      <c r="CO384" s="609"/>
      <c r="CP384" s="609"/>
      <c r="CQ384" s="609"/>
      <c r="CR384" s="609"/>
      <c r="CS384" s="609"/>
      <c r="CT384" s="609"/>
      <c r="CU384" s="609"/>
      <c r="CV384" s="609"/>
      <c r="CW384" s="609"/>
      <c r="CX384" s="609"/>
      <c r="CY384" s="609"/>
      <c r="CZ384" s="609"/>
      <c r="DA384" s="609"/>
      <c r="DB384" s="609"/>
      <c r="DC384" s="609"/>
      <c r="DD384" s="609"/>
      <c r="DE384" s="609"/>
      <c r="DF384" s="609"/>
      <c r="DG384" s="609"/>
      <c r="DH384" s="609"/>
      <c r="DI384" s="609"/>
      <c r="DJ384" s="609"/>
      <c r="DK384" s="609"/>
    </row>
    <row r="385" spans="69:115">
      <c r="BQ385" s="609"/>
      <c r="BR385" s="609"/>
      <c r="BS385" s="609"/>
      <c r="BT385" s="609"/>
      <c r="BU385" s="609"/>
      <c r="BV385" s="609"/>
      <c r="BW385" s="609"/>
      <c r="BX385" s="609"/>
      <c r="BY385" s="609"/>
      <c r="BZ385" s="609"/>
      <c r="CA385" s="609"/>
      <c r="CB385" s="609"/>
      <c r="CC385" s="609"/>
      <c r="CD385" s="609"/>
      <c r="CE385" s="609"/>
      <c r="CF385" s="609"/>
      <c r="CG385" s="609"/>
      <c r="CH385" s="609"/>
      <c r="CI385" s="609"/>
      <c r="CJ385" s="609"/>
      <c r="CK385" s="609"/>
      <c r="CL385" s="609"/>
      <c r="CM385" s="609"/>
      <c r="CN385" s="609"/>
      <c r="CO385" s="609"/>
      <c r="CP385" s="609"/>
      <c r="CQ385" s="609"/>
      <c r="CR385" s="609"/>
      <c r="CS385" s="609"/>
      <c r="CT385" s="609"/>
      <c r="CU385" s="609"/>
      <c r="CV385" s="609"/>
      <c r="CW385" s="609"/>
      <c r="CX385" s="609"/>
      <c r="CY385" s="609"/>
      <c r="CZ385" s="609"/>
      <c r="DA385" s="609"/>
      <c r="DB385" s="609"/>
      <c r="DC385" s="609"/>
      <c r="DD385" s="609"/>
      <c r="DE385" s="609"/>
      <c r="DF385" s="609"/>
      <c r="DG385" s="609"/>
      <c r="DH385" s="609"/>
      <c r="DI385" s="609"/>
      <c r="DJ385" s="609"/>
      <c r="DK385" s="609"/>
    </row>
    <row r="386" spans="69:115">
      <c r="BQ386" s="609"/>
      <c r="BR386" s="609"/>
      <c r="BS386" s="609"/>
      <c r="BT386" s="609"/>
      <c r="BU386" s="609"/>
      <c r="BV386" s="609"/>
      <c r="BW386" s="609"/>
      <c r="BX386" s="609"/>
      <c r="BY386" s="609"/>
      <c r="BZ386" s="609"/>
      <c r="CA386" s="609"/>
      <c r="CB386" s="609"/>
      <c r="CC386" s="609"/>
      <c r="CD386" s="609"/>
      <c r="CE386" s="609"/>
      <c r="CF386" s="609"/>
      <c r="CG386" s="609"/>
      <c r="CH386" s="609"/>
      <c r="CI386" s="609"/>
      <c r="CJ386" s="609"/>
      <c r="CK386" s="609"/>
      <c r="CL386" s="609"/>
      <c r="CM386" s="609"/>
      <c r="CN386" s="609"/>
      <c r="CO386" s="609"/>
      <c r="CP386" s="609"/>
      <c r="CQ386" s="609"/>
      <c r="CR386" s="609"/>
      <c r="CS386" s="609"/>
      <c r="CT386" s="609"/>
      <c r="CU386" s="609"/>
      <c r="CV386" s="609"/>
      <c r="CW386" s="609"/>
      <c r="CX386" s="609"/>
      <c r="CY386" s="609"/>
      <c r="CZ386" s="609"/>
      <c r="DA386" s="609"/>
      <c r="DB386" s="609"/>
      <c r="DC386" s="609"/>
      <c r="DD386" s="609"/>
      <c r="DE386" s="609"/>
      <c r="DF386" s="609"/>
      <c r="DG386" s="609"/>
      <c r="DH386" s="609"/>
      <c r="DI386" s="609"/>
      <c r="DJ386" s="609"/>
      <c r="DK386" s="609"/>
    </row>
    <row r="387" spans="69:115">
      <c r="BQ387" s="609"/>
      <c r="BR387" s="609"/>
      <c r="BS387" s="609"/>
      <c r="BT387" s="609"/>
      <c r="BU387" s="609"/>
      <c r="BV387" s="609"/>
      <c r="BW387" s="609"/>
      <c r="BX387" s="609"/>
      <c r="BY387" s="609"/>
      <c r="BZ387" s="609"/>
      <c r="CA387" s="609"/>
      <c r="CB387" s="609"/>
      <c r="CC387" s="609"/>
      <c r="CD387" s="609"/>
      <c r="CE387" s="609"/>
      <c r="CF387" s="609"/>
      <c r="CG387" s="609"/>
      <c r="CH387" s="609"/>
      <c r="CI387" s="609"/>
      <c r="CJ387" s="609"/>
      <c r="CK387" s="609"/>
      <c r="CL387" s="609"/>
      <c r="CM387" s="609"/>
      <c r="CN387" s="609"/>
      <c r="CO387" s="609"/>
      <c r="CP387" s="609"/>
      <c r="CQ387" s="609"/>
      <c r="CR387" s="609"/>
      <c r="CS387" s="609"/>
      <c r="CT387" s="609"/>
      <c r="CU387" s="609"/>
      <c r="CV387" s="609"/>
      <c r="CW387" s="609"/>
      <c r="CX387" s="609"/>
      <c r="CY387" s="609"/>
      <c r="CZ387" s="609"/>
      <c r="DA387" s="609"/>
      <c r="DB387" s="609"/>
      <c r="DC387" s="609"/>
      <c r="DD387" s="609"/>
      <c r="DE387" s="609"/>
      <c r="DF387" s="609"/>
      <c r="DG387" s="609"/>
      <c r="DH387" s="609"/>
      <c r="DI387" s="609"/>
      <c r="DJ387" s="609"/>
      <c r="DK387" s="609"/>
    </row>
    <row r="388" spans="69:115">
      <c r="BQ388" s="609"/>
      <c r="BR388" s="609"/>
      <c r="BS388" s="609"/>
      <c r="BT388" s="609"/>
      <c r="BU388" s="609"/>
      <c r="BV388" s="609"/>
      <c r="BW388" s="609"/>
      <c r="BX388" s="609"/>
      <c r="BY388" s="609"/>
      <c r="BZ388" s="609"/>
      <c r="CA388" s="609"/>
      <c r="CB388" s="609"/>
      <c r="CC388" s="609"/>
      <c r="CD388" s="609"/>
      <c r="CE388" s="609"/>
      <c r="CF388" s="609"/>
      <c r="CG388" s="609"/>
      <c r="CH388" s="609"/>
      <c r="CI388" s="609"/>
      <c r="CJ388" s="609"/>
      <c r="CK388" s="609"/>
      <c r="CL388" s="609"/>
      <c r="CM388" s="609"/>
      <c r="CN388" s="609"/>
      <c r="CO388" s="609"/>
      <c r="CP388" s="609"/>
      <c r="CQ388" s="609"/>
      <c r="CR388" s="609"/>
      <c r="CS388" s="609"/>
      <c r="CT388" s="609"/>
      <c r="CU388" s="609"/>
      <c r="CV388" s="609"/>
      <c r="CW388" s="609"/>
      <c r="CX388" s="609"/>
      <c r="CY388" s="609"/>
      <c r="CZ388" s="609"/>
      <c r="DA388" s="609"/>
      <c r="DB388" s="609"/>
      <c r="DC388" s="609"/>
      <c r="DD388" s="609"/>
      <c r="DE388" s="609"/>
      <c r="DF388" s="609"/>
      <c r="DG388" s="609"/>
      <c r="DH388" s="609"/>
      <c r="DI388" s="609"/>
      <c r="DJ388" s="609"/>
      <c r="DK388" s="609"/>
    </row>
    <row r="389" spans="69:115">
      <c r="BQ389" s="609"/>
      <c r="BR389" s="609"/>
      <c r="BS389" s="609"/>
      <c r="BT389" s="609"/>
      <c r="BU389" s="609"/>
      <c r="BV389" s="609"/>
      <c r="BW389" s="609"/>
      <c r="BX389" s="609"/>
      <c r="BY389" s="609"/>
      <c r="BZ389" s="609"/>
      <c r="CA389" s="609"/>
      <c r="CB389" s="609"/>
      <c r="CC389" s="609"/>
      <c r="CD389" s="609"/>
      <c r="CE389" s="609"/>
      <c r="CF389" s="609"/>
      <c r="CG389" s="609"/>
      <c r="CH389" s="609"/>
      <c r="CI389" s="609"/>
      <c r="CJ389" s="609"/>
      <c r="CK389" s="609"/>
      <c r="CL389" s="609"/>
      <c r="CM389" s="609"/>
      <c r="CN389" s="609"/>
      <c r="CO389" s="609"/>
      <c r="CP389" s="609"/>
      <c r="CQ389" s="609"/>
      <c r="CR389" s="609"/>
      <c r="CS389" s="609"/>
      <c r="CT389" s="609"/>
      <c r="CU389" s="609"/>
      <c r="CV389" s="609"/>
      <c r="CW389" s="609"/>
      <c r="CX389" s="609"/>
      <c r="CY389" s="609"/>
      <c r="CZ389" s="609"/>
      <c r="DA389" s="609"/>
      <c r="DB389" s="609"/>
      <c r="DC389" s="609"/>
      <c r="DD389" s="609"/>
      <c r="DE389" s="609"/>
      <c r="DF389" s="609"/>
      <c r="DG389" s="609"/>
      <c r="DH389" s="609"/>
      <c r="DI389" s="609"/>
      <c r="DJ389" s="609"/>
      <c r="DK389" s="609"/>
    </row>
    <row r="390" spans="69:115">
      <c r="BQ390" s="609"/>
      <c r="BR390" s="609"/>
      <c r="BS390" s="609"/>
      <c r="BT390" s="609"/>
      <c r="BU390" s="609"/>
      <c r="BV390" s="609"/>
      <c r="BW390" s="609"/>
      <c r="BX390" s="609"/>
      <c r="BY390" s="609"/>
      <c r="BZ390" s="609"/>
      <c r="CA390" s="609"/>
      <c r="CB390" s="609"/>
      <c r="CC390" s="609"/>
      <c r="CD390" s="609"/>
      <c r="CE390" s="609"/>
      <c r="CF390" s="609"/>
      <c r="CG390" s="609"/>
      <c r="CH390" s="609"/>
      <c r="CI390" s="609"/>
      <c r="CJ390" s="609"/>
      <c r="CK390" s="609"/>
      <c r="CL390" s="609"/>
      <c r="CM390" s="609"/>
      <c r="CN390" s="609"/>
      <c r="CO390" s="609"/>
      <c r="CP390" s="609"/>
      <c r="CQ390" s="609"/>
      <c r="CR390" s="609"/>
      <c r="CS390" s="609"/>
      <c r="CT390" s="609"/>
      <c r="CU390" s="609"/>
      <c r="CV390" s="609"/>
      <c r="CW390" s="609"/>
      <c r="CX390" s="609"/>
      <c r="CY390" s="609"/>
      <c r="CZ390" s="609"/>
      <c r="DA390" s="609"/>
      <c r="DB390" s="609"/>
      <c r="DC390" s="609"/>
      <c r="DD390" s="609"/>
      <c r="DE390" s="609"/>
      <c r="DF390" s="609"/>
      <c r="DG390" s="609"/>
      <c r="DH390" s="609"/>
      <c r="DI390" s="609"/>
      <c r="DJ390" s="609"/>
      <c r="DK390" s="609"/>
    </row>
    <row r="391" spans="69:115">
      <c r="BQ391" s="609"/>
      <c r="BR391" s="609"/>
      <c r="BS391" s="609"/>
      <c r="BT391" s="609"/>
      <c r="BU391" s="609"/>
      <c r="BV391" s="609"/>
      <c r="BW391" s="609"/>
      <c r="BX391" s="609"/>
      <c r="BY391" s="609"/>
      <c r="BZ391" s="609"/>
      <c r="CA391" s="609"/>
      <c r="CB391" s="609"/>
      <c r="CC391" s="609"/>
      <c r="CD391" s="609"/>
      <c r="CE391" s="609"/>
      <c r="CF391" s="609"/>
      <c r="CG391" s="609"/>
      <c r="CH391" s="609"/>
      <c r="CI391" s="609"/>
      <c r="CJ391" s="609"/>
      <c r="CK391" s="609"/>
      <c r="CL391" s="609"/>
      <c r="CM391" s="609"/>
      <c r="CN391" s="609"/>
      <c r="CO391" s="609"/>
      <c r="CP391" s="609"/>
      <c r="CQ391" s="609"/>
      <c r="CR391" s="609"/>
      <c r="CS391" s="609"/>
      <c r="CT391" s="609"/>
      <c r="CU391" s="609"/>
      <c r="CV391" s="609"/>
      <c r="CW391" s="609"/>
      <c r="CX391" s="609"/>
      <c r="CY391" s="609"/>
      <c r="CZ391" s="609"/>
      <c r="DA391" s="609"/>
      <c r="DB391" s="609"/>
      <c r="DC391" s="609"/>
      <c r="DD391" s="609"/>
      <c r="DE391" s="609"/>
      <c r="DF391" s="609"/>
      <c r="DG391" s="609"/>
      <c r="DH391" s="609"/>
      <c r="DI391" s="609"/>
      <c r="DJ391" s="609"/>
      <c r="DK391" s="609"/>
    </row>
    <row r="392" spans="69:115">
      <c r="BQ392" s="609"/>
      <c r="BR392" s="609"/>
      <c r="BS392" s="609"/>
      <c r="BT392" s="609"/>
      <c r="BU392" s="609"/>
      <c r="BV392" s="609"/>
      <c r="BW392" s="609"/>
      <c r="BX392" s="609"/>
      <c r="BY392" s="609"/>
      <c r="BZ392" s="609"/>
      <c r="CA392" s="609"/>
      <c r="CB392" s="609"/>
      <c r="CC392" s="609"/>
      <c r="CD392" s="609"/>
      <c r="CE392" s="609"/>
      <c r="CF392" s="609"/>
      <c r="CG392" s="609"/>
      <c r="CH392" s="609"/>
      <c r="CI392" s="609"/>
      <c r="CJ392" s="609"/>
      <c r="CK392" s="609"/>
      <c r="CL392" s="609"/>
      <c r="CM392" s="609"/>
      <c r="CN392" s="609"/>
      <c r="CO392" s="609"/>
      <c r="CP392" s="609"/>
      <c r="CQ392" s="609"/>
      <c r="CR392" s="609"/>
      <c r="CS392" s="609"/>
      <c r="CT392" s="609"/>
      <c r="CU392" s="609"/>
      <c r="CV392" s="609"/>
      <c r="CW392" s="609"/>
      <c r="CX392" s="609"/>
      <c r="CY392" s="609"/>
      <c r="CZ392" s="609"/>
      <c r="DA392" s="609"/>
      <c r="DB392" s="609"/>
      <c r="DC392" s="609"/>
      <c r="DD392" s="609"/>
      <c r="DE392" s="609"/>
      <c r="DF392" s="609"/>
      <c r="DG392" s="609"/>
      <c r="DH392" s="609"/>
      <c r="DI392" s="609"/>
      <c r="DJ392" s="609"/>
      <c r="DK392" s="609"/>
    </row>
    <row r="393" spans="69:115">
      <c r="BQ393" s="609"/>
      <c r="BR393" s="609"/>
      <c r="BS393" s="609"/>
      <c r="BT393" s="609"/>
      <c r="BU393" s="609"/>
      <c r="BV393" s="609"/>
      <c r="BW393" s="609"/>
      <c r="BX393" s="609"/>
      <c r="BY393" s="609"/>
      <c r="BZ393" s="609"/>
      <c r="CA393" s="609"/>
      <c r="CB393" s="609"/>
      <c r="CC393" s="609"/>
      <c r="CD393" s="609"/>
      <c r="CE393" s="609"/>
      <c r="CF393" s="609"/>
      <c r="CG393" s="609"/>
      <c r="CH393" s="609"/>
      <c r="CI393" s="609"/>
      <c r="CJ393" s="609"/>
      <c r="CK393" s="609"/>
      <c r="CL393" s="609"/>
      <c r="CM393" s="609"/>
      <c r="CN393" s="609"/>
      <c r="CO393" s="609"/>
      <c r="CP393" s="609"/>
      <c r="CQ393" s="609"/>
      <c r="CR393" s="609"/>
      <c r="CS393" s="609"/>
      <c r="CT393" s="609"/>
      <c r="CU393" s="609"/>
      <c r="CV393" s="609"/>
      <c r="CW393" s="609"/>
      <c r="CX393" s="609"/>
      <c r="CY393" s="609"/>
      <c r="CZ393" s="609"/>
      <c r="DA393" s="609"/>
      <c r="DB393" s="609"/>
      <c r="DC393" s="609"/>
      <c r="DD393" s="609"/>
      <c r="DE393" s="609"/>
      <c r="DF393" s="609"/>
      <c r="DG393" s="609"/>
      <c r="DH393" s="609"/>
      <c r="DI393" s="609"/>
      <c r="DJ393" s="609"/>
      <c r="DK393" s="609"/>
    </row>
    <row r="394" spans="69:115">
      <c r="BQ394" s="609"/>
      <c r="BR394" s="609"/>
      <c r="BS394" s="609"/>
      <c r="BT394" s="609"/>
      <c r="BU394" s="609"/>
      <c r="BV394" s="609"/>
      <c r="BW394" s="609"/>
      <c r="BX394" s="609"/>
      <c r="BY394" s="609"/>
      <c r="BZ394" s="609"/>
      <c r="CA394" s="609"/>
      <c r="CB394" s="609"/>
      <c r="CC394" s="609"/>
      <c r="CD394" s="609"/>
      <c r="CE394" s="609"/>
      <c r="CF394" s="609"/>
      <c r="CG394" s="609"/>
      <c r="CH394" s="609"/>
      <c r="CI394" s="609"/>
      <c r="CJ394" s="609"/>
      <c r="CK394" s="609"/>
      <c r="CL394" s="609"/>
      <c r="CM394" s="609"/>
      <c r="CN394" s="609"/>
      <c r="CO394" s="609"/>
      <c r="CP394" s="609"/>
      <c r="CQ394" s="609"/>
      <c r="CR394" s="609"/>
      <c r="CS394" s="609"/>
      <c r="CT394" s="609"/>
      <c r="CU394" s="609"/>
      <c r="CV394" s="609"/>
      <c r="CW394" s="609"/>
      <c r="CX394" s="609"/>
      <c r="CY394" s="609"/>
      <c r="CZ394" s="609"/>
      <c r="DA394" s="609"/>
      <c r="DB394" s="609"/>
      <c r="DC394" s="609"/>
      <c r="DD394" s="609"/>
      <c r="DE394" s="609"/>
      <c r="DF394" s="609"/>
      <c r="DG394" s="609"/>
      <c r="DH394" s="609"/>
      <c r="DI394" s="609"/>
      <c r="DJ394" s="609"/>
      <c r="DK394" s="609"/>
    </row>
    <row r="395" spans="69:115">
      <c r="BQ395" s="609"/>
      <c r="BR395" s="609"/>
      <c r="BS395" s="609"/>
      <c r="BT395" s="609"/>
      <c r="BU395" s="609"/>
      <c r="BV395" s="609"/>
      <c r="BW395" s="609"/>
      <c r="BX395" s="609"/>
      <c r="BY395" s="609"/>
      <c r="BZ395" s="609"/>
      <c r="CA395" s="609"/>
      <c r="CB395" s="609"/>
      <c r="CC395" s="609"/>
      <c r="CD395" s="609"/>
      <c r="CE395" s="609"/>
      <c r="CF395" s="609"/>
      <c r="CG395" s="609"/>
      <c r="CH395" s="609"/>
      <c r="CI395" s="609"/>
      <c r="CJ395" s="609"/>
      <c r="CK395" s="609"/>
      <c r="CL395" s="609"/>
      <c r="CM395" s="609"/>
      <c r="CN395" s="609"/>
      <c r="CO395" s="609"/>
      <c r="CP395" s="609"/>
      <c r="CQ395" s="609"/>
      <c r="CR395" s="609"/>
      <c r="CS395" s="609"/>
      <c r="CT395" s="609"/>
      <c r="CU395" s="609"/>
      <c r="CV395" s="609"/>
      <c r="CW395" s="609"/>
      <c r="CX395" s="609"/>
      <c r="CY395" s="609"/>
      <c r="CZ395" s="609"/>
      <c r="DA395" s="609"/>
      <c r="DB395" s="609"/>
      <c r="DC395" s="609"/>
      <c r="DD395" s="609"/>
      <c r="DE395" s="609"/>
      <c r="DF395" s="609"/>
      <c r="DG395" s="609"/>
      <c r="DH395" s="609"/>
      <c r="DI395" s="609"/>
      <c r="DJ395" s="609"/>
      <c r="DK395" s="609"/>
    </row>
    <row r="396" spans="69:115">
      <c r="BQ396" s="609"/>
      <c r="BR396" s="609"/>
      <c r="BS396" s="609"/>
      <c r="BT396" s="609"/>
      <c r="BU396" s="609"/>
      <c r="BV396" s="609"/>
      <c r="BW396" s="609"/>
      <c r="BX396" s="609"/>
      <c r="BY396" s="609"/>
      <c r="BZ396" s="609"/>
      <c r="CA396" s="609"/>
      <c r="CB396" s="609"/>
      <c r="CC396" s="609"/>
      <c r="CD396" s="609"/>
      <c r="CE396" s="609"/>
      <c r="CF396" s="609"/>
      <c r="CG396" s="609"/>
      <c r="CH396" s="609"/>
      <c r="CI396" s="609"/>
      <c r="CJ396" s="609"/>
      <c r="CK396" s="609"/>
      <c r="CL396" s="609"/>
      <c r="CM396" s="609"/>
      <c r="CN396" s="609"/>
      <c r="CO396" s="609"/>
      <c r="CP396" s="609"/>
      <c r="CQ396" s="609"/>
      <c r="CR396" s="609"/>
      <c r="CS396" s="609"/>
      <c r="CT396" s="609"/>
      <c r="CU396" s="609"/>
      <c r="CV396" s="609"/>
      <c r="CW396" s="609"/>
      <c r="CX396" s="609"/>
      <c r="CY396" s="609"/>
      <c r="CZ396" s="609"/>
      <c r="DA396" s="609"/>
      <c r="DB396" s="609"/>
      <c r="DC396" s="609"/>
      <c r="DD396" s="609"/>
      <c r="DE396" s="609"/>
      <c r="DF396" s="609"/>
      <c r="DG396" s="609"/>
      <c r="DH396" s="609"/>
      <c r="DI396" s="609"/>
      <c r="DJ396" s="609"/>
      <c r="DK396" s="609"/>
    </row>
    <row r="397" spans="69:115">
      <c r="BQ397" s="609"/>
      <c r="BR397" s="609"/>
      <c r="BS397" s="609"/>
      <c r="BT397" s="609"/>
      <c r="BU397" s="609"/>
      <c r="BV397" s="609"/>
      <c r="BW397" s="609"/>
      <c r="BX397" s="609"/>
      <c r="BY397" s="609"/>
      <c r="BZ397" s="609"/>
      <c r="CA397" s="609"/>
      <c r="CB397" s="609"/>
      <c r="CC397" s="609"/>
      <c r="CD397" s="609"/>
      <c r="CE397" s="609"/>
      <c r="CF397" s="609"/>
      <c r="CG397" s="609"/>
      <c r="CH397" s="609"/>
      <c r="CI397" s="609"/>
      <c r="CJ397" s="609"/>
      <c r="CK397" s="609"/>
      <c r="CL397" s="609"/>
      <c r="CM397" s="609"/>
      <c r="CN397" s="609"/>
      <c r="CO397" s="609"/>
      <c r="CP397" s="609"/>
      <c r="CQ397" s="609"/>
      <c r="CR397" s="609"/>
      <c r="CS397" s="609"/>
      <c r="CT397" s="609"/>
      <c r="CU397" s="609"/>
      <c r="CV397" s="609"/>
      <c r="CW397" s="609"/>
      <c r="CX397" s="609"/>
      <c r="CY397" s="609"/>
      <c r="CZ397" s="609"/>
      <c r="DA397" s="609"/>
      <c r="DB397" s="609"/>
      <c r="DC397" s="609"/>
      <c r="DD397" s="609"/>
      <c r="DE397" s="609"/>
      <c r="DF397" s="609"/>
      <c r="DG397" s="609"/>
      <c r="DH397" s="609"/>
      <c r="DI397" s="609"/>
      <c r="DJ397" s="609"/>
      <c r="DK397" s="609"/>
    </row>
    <row r="398" spans="69:115">
      <c r="BQ398" s="609"/>
      <c r="BR398" s="609"/>
      <c r="BS398" s="609"/>
      <c r="BT398" s="609"/>
      <c r="BU398" s="609"/>
      <c r="BV398" s="609"/>
      <c r="BW398" s="609"/>
      <c r="BX398" s="609"/>
      <c r="BY398" s="609"/>
      <c r="BZ398" s="609"/>
      <c r="CA398" s="609"/>
      <c r="CB398" s="609"/>
      <c r="CC398" s="609"/>
      <c r="CD398" s="609"/>
      <c r="CE398" s="609"/>
      <c r="CF398" s="609"/>
      <c r="CG398" s="609"/>
      <c r="CH398" s="609"/>
      <c r="CI398" s="609"/>
      <c r="CJ398" s="609"/>
      <c r="CK398" s="609"/>
      <c r="CL398" s="609"/>
      <c r="CM398" s="609"/>
      <c r="CN398" s="609"/>
      <c r="CO398" s="609"/>
      <c r="CP398" s="609"/>
      <c r="CQ398" s="609"/>
      <c r="CR398" s="609"/>
      <c r="CS398" s="609"/>
      <c r="CT398" s="609"/>
      <c r="CU398" s="609"/>
      <c r="CV398" s="609"/>
      <c r="CW398" s="609"/>
      <c r="CX398" s="609"/>
      <c r="CY398" s="609"/>
      <c r="CZ398" s="609"/>
      <c r="DA398" s="609"/>
      <c r="DB398" s="609"/>
      <c r="DC398" s="609"/>
      <c r="DD398" s="609"/>
      <c r="DE398" s="609"/>
      <c r="DF398" s="609"/>
      <c r="DG398" s="609"/>
      <c r="DH398" s="609"/>
      <c r="DI398" s="609"/>
      <c r="DJ398" s="609"/>
      <c r="DK398" s="609"/>
    </row>
    <row r="399" spans="69:115">
      <c r="BQ399" s="609"/>
      <c r="BR399" s="609"/>
      <c r="BS399" s="609"/>
      <c r="BT399" s="609"/>
      <c r="BU399" s="609"/>
      <c r="BV399" s="609"/>
      <c r="BW399" s="609"/>
      <c r="BX399" s="609"/>
      <c r="BY399" s="609"/>
      <c r="BZ399" s="609"/>
      <c r="CA399" s="609"/>
      <c r="CB399" s="609"/>
      <c r="CC399" s="609"/>
      <c r="CD399" s="609"/>
      <c r="CE399" s="609"/>
      <c r="CF399" s="609"/>
      <c r="CG399" s="609"/>
      <c r="CH399" s="609"/>
      <c r="CI399" s="609"/>
      <c r="CJ399" s="609"/>
      <c r="CK399" s="609"/>
      <c r="CL399" s="609"/>
      <c r="CM399" s="609"/>
      <c r="CN399" s="609"/>
      <c r="CO399" s="609"/>
      <c r="CP399" s="609"/>
      <c r="CQ399" s="609"/>
      <c r="CR399" s="609"/>
      <c r="CS399" s="609"/>
      <c r="CT399" s="609"/>
      <c r="CU399" s="609"/>
      <c r="CV399" s="609"/>
      <c r="CW399" s="609"/>
      <c r="CX399" s="609"/>
      <c r="CY399" s="609"/>
      <c r="CZ399" s="609"/>
      <c r="DA399" s="609"/>
      <c r="DB399" s="609"/>
      <c r="DC399" s="609"/>
      <c r="DD399" s="609"/>
      <c r="DE399" s="609"/>
      <c r="DF399" s="609"/>
      <c r="DG399" s="609"/>
      <c r="DH399" s="609"/>
      <c r="DI399" s="609"/>
      <c r="DJ399" s="609"/>
      <c r="DK399" s="609"/>
    </row>
    <row r="400" spans="69:115">
      <c r="BQ400" s="609"/>
      <c r="BR400" s="609"/>
      <c r="BS400" s="609"/>
      <c r="BT400" s="609"/>
      <c r="BU400" s="609"/>
      <c r="BV400" s="609"/>
      <c r="BW400" s="609"/>
      <c r="BX400" s="609"/>
      <c r="BY400" s="609"/>
      <c r="BZ400" s="609"/>
      <c r="CA400" s="609"/>
      <c r="CB400" s="609"/>
      <c r="CC400" s="609"/>
      <c r="CD400" s="609"/>
      <c r="CE400" s="609"/>
      <c r="CF400" s="609"/>
      <c r="CG400" s="609"/>
      <c r="CH400" s="609"/>
      <c r="CI400" s="609"/>
      <c r="CJ400" s="609"/>
      <c r="CK400" s="609"/>
      <c r="CL400" s="609"/>
      <c r="CM400" s="609"/>
      <c r="CN400" s="609"/>
      <c r="CO400" s="609"/>
      <c r="CP400" s="609"/>
      <c r="CQ400" s="609"/>
      <c r="CR400" s="609"/>
      <c r="CS400" s="609"/>
      <c r="CT400" s="609"/>
      <c r="CU400" s="609"/>
      <c r="CV400" s="609"/>
      <c r="CW400" s="609"/>
      <c r="CX400" s="609"/>
      <c r="CY400" s="609"/>
      <c r="CZ400" s="609"/>
      <c r="DA400" s="609"/>
      <c r="DB400" s="609"/>
      <c r="DC400" s="609"/>
      <c r="DD400" s="609"/>
      <c r="DE400" s="609"/>
      <c r="DF400" s="609"/>
      <c r="DG400" s="609"/>
      <c r="DH400" s="609"/>
      <c r="DI400" s="609"/>
      <c r="DJ400" s="609"/>
      <c r="DK400" s="609"/>
    </row>
    <row r="401" spans="69:115">
      <c r="BQ401" s="609"/>
      <c r="BR401" s="609"/>
      <c r="BS401" s="609"/>
      <c r="BT401" s="609"/>
      <c r="BU401" s="609"/>
      <c r="BV401" s="609"/>
      <c r="BW401" s="609"/>
      <c r="BX401" s="609"/>
      <c r="BY401" s="609"/>
      <c r="BZ401" s="609"/>
      <c r="CA401" s="609"/>
      <c r="CB401" s="609"/>
      <c r="CC401" s="609"/>
      <c r="CD401" s="609"/>
      <c r="CE401" s="609"/>
      <c r="CF401" s="609"/>
      <c r="CG401" s="609"/>
      <c r="CH401" s="609"/>
      <c r="CI401" s="609"/>
      <c r="CJ401" s="609"/>
      <c r="CK401" s="609"/>
      <c r="CL401" s="609"/>
      <c r="CM401" s="609"/>
      <c r="CN401" s="609"/>
      <c r="CO401" s="609"/>
      <c r="CP401" s="609"/>
      <c r="CQ401" s="609"/>
      <c r="CR401" s="609"/>
      <c r="CS401" s="609"/>
      <c r="CT401" s="609"/>
      <c r="CU401" s="609"/>
      <c r="CV401" s="609"/>
      <c r="CW401" s="609"/>
      <c r="CX401" s="609"/>
      <c r="CY401" s="609"/>
      <c r="CZ401" s="609"/>
      <c r="DA401" s="609"/>
      <c r="DB401" s="609"/>
      <c r="DC401" s="609"/>
      <c r="DD401" s="609"/>
      <c r="DE401" s="609"/>
      <c r="DF401" s="609"/>
      <c r="DG401" s="609"/>
      <c r="DH401" s="609"/>
      <c r="DI401" s="609"/>
      <c r="DJ401" s="609"/>
      <c r="DK401" s="609"/>
    </row>
    <row r="402" spans="69:115">
      <c r="BQ402" s="609"/>
      <c r="BR402" s="609"/>
      <c r="BS402" s="609"/>
      <c r="BT402" s="609"/>
      <c r="BU402" s="609"/>
      <c r="BV402" s="609"/>
      <c r="BW402" s="609"/>
      <c r="BX402" s="609"/>
      <c r="BY402" s="609"/>
      <c r="BZ402" s="609"/>
      <c r="CA402" s="609"/>
      <c r="CB402" s="609"/>
      <c r="CC402" s="609"/>
      <c r="CD402" s="609"/>
      <c r="CE402" s="609"/>
      <c r="CF402" s="609"/>
      <c r="CG402" s="609"/>
      <c r="CH402" s="609"/>
      <c r="CI402" s="609"/>
      <c r="CJ402" s="609"/>
      <c r="CK402" s="609"/>
      <c r="CL402" s="609"/>
      <c r="CM402" s="609"/>
      <c r="CN402" s="609"/>
      <c r="CO402" s="609"/>
      <c r="CP402" s="609"/>
      <c r="CQ402" s="609"/>
      <c r="CR402" s="609"/>
      <c r="CS402" s="609"/>
      <c r="CT402" s="609"/>
      <c r="CU402" s="609"/>
      <c r="CV402" s="609"/>
      <c r="CW402" s="609"/>
      <c r="CX402" s="609"/>
      <c r="CY402" s="609"/>
      <c r="CZ402" s="609"/>
      <c r="DA402" s="609"/>
      <c r="DB402" s="609"/>
      <c r="DC402" s="609"/>
      <c r="DD402" s="609"/>
      <c r="DE402" s="609"/>
      <c r="DF402" s="609"/>
      <c r="DG402" s="609"/>
      <c r="DH402" s="609"/>
      <c r="DI402" s="609"/>
      <c r="DJ402" s="609"/>
      <c r="DK402" s="609"/>
    </row>
    <row r="403" spans="69:115">
      <c r="BQ403" s="609"/>
      <c r="BR403" s="609"/>
      <c r="BS403" s="609"/>
      <c r="BT403" s="609"/>
      <c r="BU403" s="609"/>
      <c r="BV403" s="609"/>
      <c r="BW403" s="609"/>
      <c r="BX403" s="609"/>
      <c r="BY403" s="609"/>
      <c r="BZ403" s="609"/>
      <c r="CA403" s="609"/>
      <c r="CB403" s="609"/>
      <c r="CC403" s="609"/>
      <c r="CD403" s="609"/>
      <c r="CE403" s="609"/>
      <c r="CF403" s="609"/>
      <c r="CG403" s="609"/>
      <c r="CH403" s="609"/>
      <c r="CI403" s="609"/>
      <c r="CJ403" s="609"/>
      <c r="CK403" s="609"/>
      <c r="CL403" s="609"/>
      <c r="CM403" s="609"/>
      <c r="CN403" s="609"/>
      <c r="CO403" s="609"/>
      <c r="CP403" s="609"/>
      <c r="CQ403" s="609"/>
      <c r="CR403" s="609"/>
      <c r="CS403" s="609"/>
      <c r="CT403" s="609"/>
      <c r="CU403" s="609"/>
      <c r="CV403" s="609"/>
      <c r="CW403" s="609"/>
      <c r="CX403" s="609"/>
      <c r="CY403" s="609"/>
      <c r="CZ403" s="609"/>
      <c r="DA403" s="609"/>
      <c r="DB403" s="609"/>
      <c r="DC403" s="609"/>
      <c r="DD403" s="609"/>
      <c r="DE403" s="609"/>
      <c r="DF403" s="609"/>
      <c r="DG403" s="609"/>
      <c r="DH403" s="609"/>
      <c r="DI403" s="609"/>
      <c r="DJ403" s="609"/>
      <c r="DK403" s="609"/>
    </row>
    <row r="404" spans="69:115">
      <c r="BQ404" s="609"/>
      <c r="BR404" s="609"/>
      <c r="BS404" s="609"/>
      <c r="BT404" s="609"/>
      <c r="BU404" s="609"/>
      <c r="BV404" s="609"/>
      <c r="BW404" s="609"/>
      <c r="BX404" s="609"/>
      <c r="BY404" s="609"/>
      <c r="BZ404" s="609"/>
      <c r="CA404" s="609"/>
      <c r="CB404" s="609"/>
      <c r="CC404" s="609"/>
      <c r="CD404" s="609"/>
      <c r="CE404" s="609"/>
      <c r="CF404" s="609"/>
      <c r="CG404" s="609"/>
      <c r="CH404" s="609"/>
      <c r="CI404" s="609"/>
      <c r="CJ404" s="609"/>
      <c r="CK404" s="609"/>
      <c r="CL404" s="609"/>
      <c r="CM404" s="609"/>
      <c r="CN404" s="609"/>
      <c r="CO404" s="609"/>
      <c r="CP404" s="609"/>
      <c r="CQ404" s="609"/>
      <c r="CR404" s="609"/>
      <c r="CS404" s="609"/>
      <c r="CT404" s="609"/>
      <c r="CU404" s="609"/>
      <c r="CV404" s="609"/>
      <c r="CW404" s="609"/>
      <c r="CX404" s="609"/>
      <c r="CY404" s="609"/>
      <c r="CZ404" s="609"/>
      <c r="DA404" s="609"/>
      <c r="DB404" s="609"/>
      <c r="DC404" s="609"/>
      <c r="DD404" s="609"/>
      <c r="DE404" s="609"/>
      <c r="DF404" s="609"/>
      <c r="DG404" s="609"/>
      <c r="DH404" s="609"/>
      <c r="DI404" s="609"/>
      <c r="DJ404" s="609"/>
      <c r="DK404" s="609"/>
    </row>
    <row r="405" spans="69:115">
      <c r="BQ405" s="609"/>
      <c r="BR405" s="609"/>
      <c r="BS405" s="609"/>
      <c r="BT405" s="609"/>
      <c r="BU405" s="609"/>
      <c r="BV405" s="609"/>
      <c r="BW405" s="609"/>
      <c r="BX405" s="609"/>
      <c r="BY405" s="609"/>
      <c r="BZ405" s="609"/>
      <c r="CA405" s="609"/>
      <c r="CB405" s="609"/>
      <c r="CC405" s="609"/>
      <c r="CD405" s="609"/>
      <c r="CE405" s="609"/>
      <c r="CF405" s="609"/>
      <c r="CG405" s="609"/>
      <c r="CH405" s="609"/>
      <c r="CI405" s="609"/>
      <c r="CJ405" s="609"/>
      <c r="CK405" s="609"/>
      <c r="CL405" s="609"/>
      <c r="CM405" s="609"/>
      <c r="CN405" s="609"/>
      <c r="CO405" s="609"/>
      <c r="CP405" s="609"/>
      <c r="CQ405" s="609"/>
      <c r="CR405" s="609"/>
      <c r="CS405" s="609"/>
      <c r="CT405" s="609"/>
      <c r="CU405" s="609"/>
      <c r="CV405" s="609"/>
      <c r="CW405" s="609"/>
      <c r="CX405" s="609"/>
      <c r="CY405" s="609"/>
      <c r="CZ405" s="609"/>
      <c r="DA405" s="609"/>
      <c r="DB405" s="609"/>
      <c r="DC405" s="609"/>
      <c r="DD405" s="609"/>
      <c r="DE405" s="609"/>
      <c r="DF405" s="609"/>
      <c r="DG405" s="609"/>
      <c r="DH405" s="609"/>
      <c r="DI405" s="609"/>
      <c r="DJ405" s="609"/>
      <c r="DK405" s="609"/>
    </row>
    <row r="406" spans="69:115">
      <c r="BQ406" s="609"/>
      <c r="BR406" s="609"/>
      <c r="BS406" s="609"/>
      <c r="BT406" s="609"/>
      <c r="BU406" s="609"/>
      <c r="BV406" s="609"/>
      <c r="BW406" s="609"/>
      <c r="BX406" s="609"/>
      <c r="BY406" s="609"/>
      <c r="BZ406" s="609"/>
      <c r="CA406" s="609"/>
      <c r="CB406" s="609"/>
      <c r="CC406" s="609"/>
      <c r="CD406" s="609"/>
      <c r="CE406" s="609"/>
      <c r="CF406" s="609"/>
      <c r="CG406" s="609"/>
      <c r="CH406" s="609"/>
      <c r="CI406" s="609"/>
      <c r="CJ406" s="609"/>
      <c r="CK406" s="609"/>
      <c r="CL406" s="609"/>
      <c r="CM406" s="609"/>
      <c r="CN406" s="609"/>
      <c r="CO406" s="609"/>
      <c r="CP406" s="609"/>
      <c r="CQ406" s="609"/>
      <c r="CR406" s="609"/>
      <c r="CS406" s="609"/>
      <c r="CT406" s="609"/>
      <c r="CU406" s="609"/>
      <c r="CV406" s="609"/>
      <c r="CW406" s="609"/>
      <c r="CX406" s="609"/>
      <c r="CY406" s="609"/>
      <c r="CZ406" s="609"/>
      <c r="DA406" s="609"/>
      <c r="DB406" s="609"/>
      <c r="DC406" s="609"/>
      <c r="DD406" s="609"/>
      <c r="DE406" s="609"/>
      <c r="DF406" s="609"/>
      <c r="DG406" s="609"/>
      <c r="DH406" s="609"/>
      <c r="DI406" s="609"/>
      <c r="DJ406" s="609"/>
      <c r="DK406" s="609"/>
    </row>
    <row r="407" spans="69:115">
      <c r="BQ407" s="609"/>
      <c r="BR407" s="609"/>
      <c r="BS407" s="609"/>
      <c r="BT407" s="609"/>
      <c r="BU407" s="609"/>
      <c r="BV407" s="609"/>
      <c r="BW407" s="609"/>
      <c r="BX407" s="609"/>
      <c r="BY407" s="609"/>
      <c r="BZ407" s="609"/>
      <c r="CA407" s="609"/>
      <c r="CB407" s="609"/>
      <c r="CC407" s="609"/>
      <c r="CD407" s="609"/>
      <c r="CE407" s="609"/>
      <c r="CF407" s="609"/>
      <c r="CG407" s="609"/>
      <c r="CH407" s="609"/>
      <c r="CI407" s="609"/>
      <c r="CJ407" s="609"/>
      <c r="CK407" s="609"/>
      <c r="CL407" s="609"/>
      <c r="CM407" s="609"/>
      <c r="CN407" s="609"/>
      <c r="CO407" s="609"/>
      <c r="CP407" s="609"/>
      <c r="CQ407" s="609"/>
      <c r="CR407" s="609"/>
      <c r="CS407" s="609"/>
      <c r="CT407" s="609"/>
      <c r="CU407" s="609"/>
      <c r="CV407" s="609"/>
      <c r="CW407" s="609"/>
      <c r="CX407" s="609"/>
      <c r="CY407" s="609"/>
      <c r="CZ407" s="609"/>
      <c r="DA407" s="609"/>
      <c r="DB407" s="609"/>
      <c r="DC407" s="609"/>
      <c r="DD407" s="609"/>
      <c r="DE407" s="609"/>
      <c r="DF407" s="609"/>
      <c r="DG407" s="609"/>
      <c r="DH407" s="609"/>
      <c r="DI407" s="609"/>
      <c r="DJ407" s="609"/>
      <c r="DK407" s="609"/>
    </row>
    <row r="408" spans="69:115">
      <c r="BQ408" s="609"/>
      <c r="BR408" s="609"/>
      <c r="BS408" s="609"/>
      <c r="BT408" s="609"/>
      <c r="BU408" s="609"/>
      <c r="BV408" s="609"/>
      <c r="BW408" s="609"/>
      <c r="BX408" s="609"/>
      <c r="BY408" s="609"/>
      <c r="BZ408" s="609"/>
      <c r="CA408" s="609"/>
      <c r="CB408" s="609"/>
      <c r="CC408" s="609"/>
      <c r="CD408" s="609"/>
      <c r="CE408" s="609"/>
      <c r="CF408" s="609"/>
      <c r="CG408" s="609"/>
      <c r="CH408" s="609"/>
      <c r="CI408" s="609"/>
      <c r="CJ408" s="609"/>
      <c r="CK408" s="609"/>
      <c r="CL408" s="609"/>
      <c r="CM408" s="609"/>
      <c r="CN408" s="609"/>
      <c r="CO408" s="609"/>
      <c r="CP408" s="609"/>
      <c r="CQ408" s="609"/>
      <c r="CR408" s="609"/>
      <c r="CS408" s="609"/>
      <c r="CT408" s="609"/>
      <c r="CU408" s="609"/>
      <c r="CV408" s="609"/>
      <c r="CW408" s="609"/>
      <c r="CX408" s="609"/>
      <c r="CY408" s="609"/>
      <c r="CZ408" s="609"/>
      <c r="DA408" s="609"/>
      <c r="DB408" s="609"/>
      <c r="DC408" s="609"/>
      <c r="DD408" s="609"/>
      <c r="DE408" s="609"/>
      <c r="DF408" s="609"/>
      <c r="DG408" s="609"/>
      <c r="DH408" s="609"/>
      <c r="DI408" s="609"/>
      <c r="DJ408" s="609"/>
      <c r="DK408" s="609"/>
    </row>
    <row r="409" spans="69:115">
      <c r="BQ409" s="609"/>
      <c r="BR409" s="609"/>
      <c r="BS409" s="609"/>
      <c r="BT409" s="609"/>
      <c r="BU409" s="609"/>
      <c r="BV409" s="609"/>
      <c r="BW409" s="609"/>
      <c r="BX409" s="609"/>
      <c r="BY409" s="609"/>
      <c r="BZ409" s="609"/>
      <c r="CA409" s="609"/>
      <c r="CB409" s="609"/>
      <c r="CC409" s="609"/>
      <c r="CD409" s="609"/>
      <c r="CE409" s="609"/>
      <c r="CF409" s="609"/>
      <c r="CG409" s="609"/>
      <c r="CH409" s="609"/>
      <c r="CI409" s="609"/>
      <c r="CJ409" s="609"/>
      <c r="CK409" s="609"/>
      <c r="CL409" s="609"/>
      <c r="CM409" s="609"/>
      <c r="CN409" s="609"/>
      <c r="CO409" s="609"/>
      <c r="CP409" s="609"/>
      <c r="CQ409" s="609"/>
      <c r="CR409" s="609"/>
      <c r="CS409" s="609"/>
      <c r="CT409" s="609"/>
      <c r="CU409" s="609"/>
      <c r="CV409" s="609"/>
      <c r="CW409" s="609"/>
      <c r="CX409" s="609"/>
      <c r="CY409" s="609"/>
      <c r="CZ409" s="609"/>
      <c r="DA409" s="609"/>
      <c r="DB409" s="609"/>
      <c r="DC409" s="609"/>
      <c r="DD409" s="609"/>
      <c r="DE409" s="609"/>
      <c r="DF409" s="609"/>
      <c r="DG409" s="609"/>
      <c r="DH409" s="609"/>
      <c r="DI409" s="609"/>
      <c r="DJ409" s="609"/>
      <c r="DK409" s="609"/>
    </row>
    <row r="410" spans="69:115">
      <c r="BQ410" s="609"/>
      <c r="BR410" s="609"/>
      <c r="BS410" s="609"/>
      <c r="BT410" s="609"/>
      <c r="BU410" s="609"/>
      <c r="BV410" s="609"/>
      <c r="BW410" s="609"/>
      <c r="BX410" s="609"/>
      <c r="BY410" s="609"/>
      <c r="BZ410" s="609"/>
      <c r="CA410" s="609"/>
      <c r="CB410" s="609"/>
      <c r="CC410" s="609"/>
      <c r="CD410" s="609"/>
      <c r="CE410" s="609"/>
      <c r="CF410" s="609"/>
      <c r="CG410" s="609"/>
      <c r="CH410" s="609"/>
      <c r="CI410" s="609"/>
      <c r="CJ410" s="609"/>
      <c r="CK410" s="609"/>
      <c r="CL410" s="609"/>
      <c r="CM410" s="609"/>
      <c r="CN410" s="609"/>
      <c r="CO410" s="609"/>
      <c r="CP410" s="609"/>
      <c r="CQ410" s="609"/>
      <c r="CR410" s="609"/>
      <c r="CS410" s="609"/>
      <c r="CT410" s="609"/>
      <c r="CU410" s="609"/>
      <c r="CV410" s="609"/>
      <c r="CW410" s="609"/>
      <c r="CX410" s="609"/>
      <c r="CY410" s="609"/>
      <c r="CZ410" s="609"/>
      <c r="DA410" s="609"/>
      <c r="DB410" s="609"/>
      <c r="DC410" s="609"/>
      <c r="DD410" s="609"/>
      <c r="DE410" s="609"/>
      <c r="DF410" s="609"/>
      <c r="DG410" s="609"/>
      <c r="DH410" s="609"/>
      <c r="DI410" s="609"/>
      <c r="DJ410" s="609"/>
      <c r="DK410" s="609"/>
    </row>
    <row r="411" spans="69:115">
      <c r="BQ411" s="609"/>
      <c r="BR411" s="609"/>
      <c r="BS411" s="609"/>
      <c r="BT411" s="609"/>
      <c r="BU411" s="609"/>
      <c r="BV411" s="609"/>
      <c r="BW411" s="609"/>
      <c r="BX411" s="609"/>
      <c r="BY411" s="609"/>
      <c r="BZ411" s="609"/>
      <c r="CA411" s="609"/>
      <c r="CB411" s="609"/>
      <c r="CC411" s="609"/>
      <c r="CD411" s="609"/>
      <c r="CE411" s="609"/>
      <c r="CF411" s="609"/>
      <c r="CG411" s="609"/>
      <c r="CH411" s="609"/>
      <c r="CI411" s="609"/>
      <c r="CJ411" s="609"/>
      <c r="CK411" s="609"/>
      <c r="CL411" s="609"/>
      <c r="CM411" s="609"/>
      <c r="CN411" s="609"/>
      <c r="CO411" s="609"/>
      <c r="CP411" s="609"/>
      <c r="CQ411" s="609"/>
      <c r="CR411" s="609"/>
      <c r="CS411" s="609"/>
      <c r="CT411" s="609"/>
      <c r="CU411" s="609"/>
      <c r="CV411" s="609"/>
      <c r="CW411" s="609"/>
      <c r="CX411" s="609"/>
      <c r="CY411" s="609"/>
      <c r="CZ411" s="609"/>
      <c r="DA411" s="609"/>
      <c r="DB411" s="609"/>
      <c r="DC411" s="609"/>
      <c r="DD411" s="609"/>
      <c r="DE411" s="609"/>
      <c r="DF411" s="609"/>
      <c r="DG411" s="609"/>
      <c r="DH411" s="609"/>
      <c r="DI411" s="609"/>
      <c r="DJ411" s="609"/>
      <c r="DK411" s="609"/>
    </row>
    <row r="412" spans="69:115">
      <c r="BQ412" s="609"/>
      <c r="BR412" s="609"/>
      <c r="BS412" s="609"/>
      <c r="BT412" s="609"/>
      <c r="BU412" s="609"/>
      <c r="BV412" s="609"/>
      <c r="BW412" s="609"/>
      <c r="BX412" s="609"/>
      <c r="BY412" s="609"/>
      <c r="BZ412" s="609"/>
      <c r="CA412" s="609"/>
      <c r="CB412" s="609"/>
      <c r="CC412" s="609"/>
      <c r="CD412" s="609"/>
      <c r="CE412" s="609"/>
      <c r="CF412" s="609"/>
      <c r="CG412" s="609"/>
      <c r="CH412" s="609"/>
      <c r="CI412" s="609"/>
      <c r="CJ412" s="609"/>
      <c r="CK412" s="609"/>
      <c r="CL412" s="609"/>
      <c r="CM412" s="609"/>
      <c r="CN412" s="609"/>
      <c r="CO412" s="609"/>
      <c r="CP412" s="609"/>
      <c r="CQ412" s="609"/>
      <c r="CR412" s="609"/>
      <c r="CS412" s="609"/>
      <c r="CT412" s="609"/>
      <c r="CU412" s="609"/>
      <c r="CV412" s="609"/>
      <c r="CW412" s="609"/>
      <c r="CX412" s="609"/>
      <c r="CY412" s="609"/>
      <c r="CZ412" s="609"/>
      <c r="DA412" s="609"/>
      <c r="DB412" s="609"/>
      <c r="DC412" s="609"/>
      <c r="DD412" s="609"/>
      <c r="DE412" s="609"/>
      <c r="DF412" s="609"/>
      <c r="DG412" s="609"/>
      <c r="DH412" s="609"/>
      <c r="DI412" s="609"/>
      <c r="DJ412" s="609"/>
      <c r="DK412" s="609"/>
    </row>
    <row r="413" spans="69:115">
      <c r="BQ413" s="609"/>
      <c r="BR413" s="609"/>
      <c r="BS413" s="609"/>
      <c r="BT413" s="609"/>
      <c r="BU413" s="609"/>
      <c r="BV413" s="609"/>
      <c r="BW413" s="609"/>
      <c r="BX413" s="609"/>
      <c r="BY413" s="609"/>
      <c r="BZ413" s="609"/>
      <c r="CA413" s="609"/>
      <c r="CB413" s="609"/>
      <c r="CC413" s="609"/>
      <c r="CD413" s="609"/>
      <c r="CE413" s="609"/>
      <c r="CF413" s="609"/>
      <c r="CG413" s="609"/>
      <c r="CH413" s="609"/>
      <c r="CI413" s="609"/>
      <c r="CJ413" s="609"/>
      <c r="CK413" s="609"/>
      <c r="CL413" s="609"/>
      <c r="CM413" s="609"/>
      <c r="CN413" s="609"/>
      <c r="CO413" s="609"/>
      <c r="CP413" s="609"/>
      <c r="CQ413" s="609"/>
      <c r="CR413" s="609"/>
      <c r="CS413" s="609"/>
      <c r="CT413" s="609"/>
      <c r="CU413" s="609"/>
      <c r="CV413" s="609"/>
      <c r="CW413" s="609"/>
      <c r="CX413" s="609"/>
      <c r="CY413" s="609"/>
      <c r="CZ413" s="609"/>
      <c r="DA413" s="609"/>
      <c r="DB413" s="609"/>
      <c r="DC413" s="609"/>
      <c r="DD413" s="609"/>
      <c r="DE413" s="609"/>
      <c r="DF413" s="609"/>
      <c r="DG413" s="609"/>
      <c r="DH413" s="609"/>
      <c r="DI413" s="609"/>
      <c r="DJ413" s="609"/>
      <c r="DK413" s="609"/>
    </row>
    <row r="414" spans="69:115">
      <c r="BQ414" s="609"/>
      <c r="BR414" s="609"/>
      <c r="BS414" s="609"/>
      <c r="BT414" s="609"/>
      <c r="BU414" s="609"/>
      <c r="BV414" s="609"/>
      <c r="BW414" s="609"/>
      <c r="BX414" s="609"/>
      <c r="BY414" s="609"/>
      <c r="BZ414" s="609"/>
      <c r="CA414" s="609"/>
      <c r="CB414" s="609"/>
      <c r="CC414" s="609"/>
      <c r="CD414" s="609"/>
      <c r="CE414" s="609"/>
      <c r="CF414" s="609"/>
      <c r="CG414" s="609"/>
      <c r="CH414" s="609"/>
      <c r="CI414" s="609"/>
      <c r="CJ414" s="609"/>
      <c r="CK414" s="609"/>
      <c r="CL414" s="609"/>
      <c r="CM414" s="609"/>
      <c r="CN414" s="609"/>
      <c r="CO414" s="609"/>
      <c r="CP414" s="609"/>
      <c r="CQ414" s="609"/>
      <c r="CR414" s="609"/>
      <c r="CS414" s="609"/>
      <c r="CT414" s="609"/>
      <c r="CU414" s="609"/>
      <c r="CV414" s="609"/>
      <c r="CW414" s="609"/>
      <c r="CX414" s="609"/>
      <c r="CY414" s="609"/>
      <c r="CZ414" s="609"/>
      <c r="DA414" s="609"/>
      <c r="DB414" s="609"/>
      <c r="DC414" s="609"/>
      <c r="DD414" s="609"/>
      <c r="DE414" s="609"/>
      <c r="DF414" s="609"/>
      <c r="DG414" s="609"/>
      <c r="DH414" s="609"/>
      <c r="DI414" s="609"/>
      <c r="DJ414" s="609"/>
      <c r="DK414" s="609"/>
    </row>
    <row r="415" spans="69:115">
      <c r="BQ415" s="609"/>
      <c r="BR415" s="609"/>
      <c r="BS415" s="609"/>
      <c r="BT415" s="609"/>
      <c r="BU415" s="609"/>
      <c r="BV415" s="609"/>
      <c r="BW415" s="609"/>
      <c r="BX415" s="609"/>
      <c r="BY415" s="609"/>
      <c r="BZ415" s="609"/>
      <c r="CA415" s="609"/>
      <c r="CB415" s="609"/>
      <c r="CC415" s="609"/>
      <c r="CD415" s="609"/>
      <c r="CE415" s="609"/>
      <c r="CF415" s="609"/>
      <c r="CG415" s="609"/>
      <c r="CH415" s="609"/>
      <c r="CI415" s="609"/>
      <c r="CJ415" s="609"/>
      <c r="CK415" s="609"/>
      <c r="CL415" s="609"/>
      <c r="CM415" s="609"/>
      <c r="CN415" s="609"/>
      <c r="CO415" s="609"/>
      <c r="CP415" s="609"/>
      <c r="CQ415" s="609"/>
      <c r="CR415" s="609"/>
      <c r="CS415" s="609"/>
      <c r="CT415" s="609"/>
      <c r="CU415" s="609"/>
      <c r="CV415" s="609"/>
      <c r="CW415" s="609"/>
      <c r="CX415" s="609"/>
      <c r="CY415" s="609"/>
      <c r="CZ415" s="609"/>
      <c r="DA415" s="609"/>
      <c r="DB415" s="609"/>
      <c r="DC415" s="609"/>
      <c r="DD415" s="609"/>
      <c r="DE415" s="609"/>
      <c r="DF415" s="609"/>
      <c r="DG415" s="609"/>
      <c r="DH415" s="609"/>
      <c r="DI415" s="609"/>
      <c r="DJ415" s="609"/>
      <c r="DK415" s="609"/>
    </row>
    <row r="416" spans="69:115">
      <c r="BQ416" s="609"/>
      <c r="BR416" s="609"/>
      <c r="BS416" s="609"/>
      <c r="BT416" s="609"/>
      <c r="BU416" s="609"/>
      <c r="BV416" s="609"/>
      <c r="BW416" s="609"/>
      <c r="BX416" s="609"/>
      <c r="BY416" s="609"/>
      <c r="BZ416" s="609"/>
      <c r="CA416" s="609"/>
      <c r="CB416" s="609"/>
      <c r="CC416" s="609"/>
      <c r="CD416" s="609"/>
      <c r="CE416" s="609"/>
      <c r="CF416" s="609"/>
      <c r="CG416" s="609"/>
      <c r="CH416" s="609"/>
      <c r="CI416" s="609"/>
      <c r="CJ416" s="609"/>
      <c r="CK416" s="609"/>
      <c r="CL416" s="609"/>
      <c r="CM416" s="609"/>
      <c r="CN416" s="609"/>
      <c r="CO416" s="609"/>
      <c r="CP416" s="609"/>
      <c r="CQ416" s="609"/>
      <c r="CR416" s="609"/>
      <c r="CS416" s="609"/>
      <c r="CT416" s="609"/>
      <c r="CU416" s="609"/>
      <c r="CV416" s="609"/>
      <c r="CW416" s="609"/>
      <c r="CX416" s="609"/>
      <c r="CY416" s="609"/>
      <c r="CZ416" s="609"/>
      <c r="DA416" s="609"/>
      <c r="DB416" s="609"/>
      <c r="DC416" s="609"/>
      <c r="DD416" s="609"/>
      <c r="DE416" s="609"/>
      <c r="DF416" s="609"/>
      <c r="DG416" s="609"/>
      <c r="DH416" s="609"/>
      <c r="DI416" s="609"/>
      <c r="DJ416" s="609"/>
      <c r="DK416" s="609"/>
    </row>
    <row r="417" spans="69:115">
      <c r="BQ417" s="609"/>
      <c r="BR417" s="609"/>
      <c r="BS417" s="609"/>
      <c r="BT417" s="609"/>
      <c r="BU417" s="609"/>
      <c r="BV417" s="609"/>
      <c r="BW417" s="609"/>
      <c r="BX417" s="609"/>
      <c r="BY417" s="609"/>
      <c r="BZ417" s="609"/>
      <c r="CA417" s="609"/>
      <c r="CB417" s="609"/>
      <c r="CC417" s="609"/>
      <c r="CD417" s="609"/>
      <c r="CE417" s="609"/>
      <c r="CF417" s="609"/>
      <c r="CG417" s="609"/>
      <c r="CH417" s="609"/>
      <c r="CI417" s="609"/>
      <c r="CJ417" s="609"/>
      <c r="CK417" s="609"/>
      <c r="CL417" s="609"/>
      <c r="CM417" s="609"/>
      <c r="CN417" s="609"/>
      <c r="CO417" s="609"/>
      <c r="CP417" s="609"/>
      <c r="CQ417" s="609"/>
      <c r="CR417" s="609"/>
      <c r="CS417" s="609"/>
      <c r="CT417" s="609"/>
      <c r="CU417" s="609"/>
      <c r="CV417" s="609"/>
      <c r="CW417" s="609"/>
      <c r="CX417" s="609"/>
      <c r="CY417" s="609"/>
      <c r="CZ417" s="609"/>
      <c r="DA417" s="609"/>
      <c r="DB417" s="609"/>
      <c r="DC417" s="609"/>
      <c r="DD417" s="609"/>
      <c r="DE417" s="609"/>
      <c r="DF417" s="609"/>
      <c r="DG417" s="609"/>
      <c r="DH417" s="609"/>
      <c r="DI417" s="609"/>
      <c r="DJ417" s="609"/>
      <c r="DK417" s="609"/>
    </row>
    <row r="418" spans="69:115">
      <c r="BQ418" s="609"/>
      <c r="BR418" s="609"/>
      <c r="BS418" s="609"/>
      <c r="BT418" s="609"/>
      <c r="BU418" s="609"/>
      <c r="BV418" s="609"/>
      <c r="BW418" s="609"/>
      <c r="BX418" s="609"/>
      <c r="BY418" s="609"/>
      <c r="BZ418" s="609"/>
      <c r="CA418" s="609"/>
      <c r="CB418" s="609"/>
      <c r="CC418" s="609"/>
      <c r="CD418" s="609"/>
      <c r="CE418" s="609"/>
      <c r="CF418" s="609"/>
      <c r="CG418" s="609"/>
      <c r="CH418" s="609"/>
      <c r="CI418" s="609"/>
      <c r="CJ418" s="609"/>
      <c r="CK418" s="609"/>
      <c r="CL418" s="609"/>
      <c r="CM418" s="609"/>
      <c r="CN418" s="609"/>
      <c r="CO418" s="609"/>
      <c r="CP418" s="609"/>
      <c r="CQ418" s="609"/>
      <c r="CR418" s="609"/>
      <c r="CS418" s="609"/>
      <c r="CT418" s="609"/>
      <c r="CU418" s="609"/>
      <c r="CV418" s="609"/>
      <c r="CW418" s="609"/>
      <c r="CX418" s="609"/>
      <c r="CY418" s="609"/>
      <c r="CZ418" s="609"/>
      <c r="DA418" s="609"/>
      <c r="DB418" s="609"/>
      <c r="DC418" s="609"/>
      <c r="DD418" s="609"/>
      <c r="DE418" s="609"/>
      <c r="DF418" s="609"/>
      <c r="DG418" s="609"/>
      <c r="DH418" s="609"/>
      <c r="DI418" s="609"/>
      <c r="DJ418" s="609"/>
      <c r="DK418" s="609"/>
    </row>
    <row r="419" spans="69:115">
      <c r="BQ419" s="609"/>
      <c r="BR419" s="609"/>
      <c r="BS419" s="609"/>
      <c r="BT419" s="609"/>
      <c r="BU419" s="609"/>
      <c r="BV419" s="609"/>
      <c r="BW419" s="609"/>
      <c r="BX419" s="609"/>
      <c r="BY419" s="609"/>
      <c r="BZ419" s="609"/>
      <c r="CA419" s="609"/>
      <c r="CB419" s="609"/>
      <c r="CC419" s="609"/>
      <c r="CD419" s="609"/>
      <c r="CE419" s="609"/>
      <c r="CF419" s="609"/>
      <c r="CG419" s="609"/>
      <c r="CH419" s="609"/>
      <c r="CI419" s="609"/>
      <c r="CJ419" s="609"/>
      <c r="CK419" s="609"/>
      <c r="CL419" s="609"/>
      <c r="CM419" s="609"/>
      <c r="CN419" s="609"/>
      <c r="CO419" s="609"/>
      <c r="CP419" s="609"/>
      <c r="CQ419" s="609"/>
      <c r="CR419" s="609"/>
      <c r="CS419" s="609"/>
      <c r="CT419" s="609"/>
      <c r="CU419" s="609"/>
      <c r="CV419" s="609"/>
      <c r="CW419" s="609"/>
      <c r="CX419" s="609"/>
      <c r="CY419" s="609"/>
      <c r="CZ419" s="609"/>
      <c r="DA419" s="609"/>
      <c r="DB419" s="609"/>
      <c r="DC419" s="609"/>
      <c r="DD419" s="609"/>
      <c r="DE419" s="609"/>
      <c r="DF419" s="609"/>
      <c r="DG419" s="609"/>
      <c r="DH419" s="609"/>
      <c r="DI419" s="609"/>
      <c r="DJ419" s="609"/>
      <c r="DK419" s="609"/>
    </row>
    <row r="420" spans="69:115">
      <c r="BQ420" s="609"/>
      <c r="BR420" s="609"/>
      <c r="BS420" s="609"/>
      <c r="BT420" s="609"/>
      <c r="BU420" s="609"/>
      <c r="BV420" s="609"/>
      <c r="BW420" s="609"/>
      <c r="BX420" s="609"/>
      <c r="BY420" s="609"/>
      <c r="BZ420" s="609"/>
      <c r="CA420" s="609"/>
      <c r="CB420" s="609"/>
      <c r="CC420" s="609"/>
      <c r="CD420" s="609"/>
      <c r="CE420" s="609"/>
      <c r="CF420" s="609"/>
      <c r="CG420" s="609"/>
      <c r="CH420" s="609"/>
      <c r="CI420" s="609"/>
      <c r="CJ420" s="609"/>
      <c r="CK420" s="609"/>
      <c r="CL420" s="609"/>
      <c r="CM420" s="609"/>
      <c r="CN420" s="609"/>
      <c r="CO420" s="609"/>
      <c r="CP420" s="609"/>
      <c r="CQ420" s="609"/>
      <c r="CR420" s="609"/>
      <c r="CS420" s="609"/>
      <c r="CT420" s="609"/>
      <c r="CU420" s="609"/>
      <c r="CV420" s="609"/>
      <c r="CW420" s="609"/>
      <c r="CX420" s="609"/>
      <c r="CY420" s="609"/>
      <c r="CZ420" s="609"/>
      <c r="DA420" s="609"/>
      <c r="DB420" s="609"/>
      <c r="DC420" s="609"/>
      <c r="DD420" s="609"/>
      <c r="DE420" s="609"/>
      <c r="DF420" s="609"/>
      <c r="DG420" s="609"/>
      <c r="DH420" s="609"/>
      <c r="DI420" s="609"/>
      <c r="DJ420" s="609"/>
      <c r="DK420" s="609"/>
    </row>
    <row r="421" spans="69:115">
      <c r="BQ421" s="609"/>
      <c r="BR421" s="609"/>
      <c r="BS421" s="609"/>
      <c r="BT421" s="609"/>
      <c r="BU421" s="609"/>
      <c r="BV421" s="609"/>
      <c r="BW421" s="609"/>
      <c r="BX421" s="609"/>
      <c r="BY421" s="609"/>
      <c r="BZ421" s="609"/>
      <c r="CA421" s="609"/>
      <c r="CB421" s="609"/>
      <c r="CC421" s="609"/>
      <c r="CD421" s="609"/>
      <c r="CE421" s="609"/>
      <c r="CF421" s="609"/>
      <c r="CG421" s="609"/>
      <c r="CH421" s="609"/>
      <c r="CI421" s="609"/>
      <c r="CJ421" s="609"/>
      <c r="CK421" s="609"/>
      <c r="CL421" s="609"/>
      <c r="CM421" s="609"/>
      <c r="CN421" s="609"/>
      <c r="CO421" s="609"/>
      <c r="CP421" s="609"/>
      <c r="CQ421" s="609"/>
      <c r="CR421" s="609"/>
      <c r="CS421" s="609"/>
      <c r="CT421" s="609"/>
      <c r="CU421" s="609"/>
      <c r="CV421" s="609"/>
      <c r="CW421" s="609"/>
      <c r="CX421" s="609"/>
      <c r="CY421" s="609"/>
      <c r="CZ421" s="609"/>
      <c r="DA421" s="609"/>
      <c r="DB421" s="609"/>
      <c r="DC421" s="609"/>
      <c r="DD421" s="609"/>
      <c r="DE421" s="609"/>
      <c r="DF421" s="609"/>
      <c r="DG421" s="609"/>
      <c r="DH421" s="609"/>
      <c r="DI421" s="609"/>
      <c r="DJ421" s="609"/>
      <c r="DK421" s="609"/>
    </row>
    <row r="422" spans="69:115">
      <c r="BQ422" s="609"/>
      <c r="BR422" s="609"/>
      <c r="BS422" s="609"/>
      <c r="BT422" s="609"/>
      <c r="BU422" s="609"/>
      <c r="BV422" s="609"/>
      <c r="BW422" s="609"/>
      <c r="BX422" s="609"/>
      <c r="BY422" s="609"/>
      <c r="BZ422" s="609"/>
      <c r="CA422" s="609"/>
      <c r="CB422" s="609"/>
      <c r="CC422" s="609"/>
      <c r="CD422" s="609"/>
      <c r="CE422" s="609"/>
      <c r="CF422" s="609"/>
      <c r="CG422" s="609"/>
      <c r="CH422" s="609"/>
      <c r="CI422" s="609"/>
      <c r="CJ422" s="609"/>
      <c r="CK422" s="609"/>
      <c r="CL422" s="609"/>
      <c r="CM422" s="609"/>
      <c r="CN422" s="609"/>
      <c r="CO422" s="609"/>
      <c r="CP422" s="609"/>
      <c r="CQ422" s="609"/>
      <c r="CR422" s="609"/>
      <c r="CS422" s="609"/>
      <c r="CT422" s="609"/>
      <c r="CU422" s="609"/>
      <c r="CV422" s="609"/>
      <c r="CW422" s="609"/>
      <c r="CX422" s="609"/>
      <c r="CY422" s="609"/>
      <c r="CZ422" s="609"/>
      <c r="DA422" s="609"/>
      <c r="DB422" s="609"/>
      <c r="DC422" s="609"/>
      <c r="DD422" s="609"/>
      <c r="DE422" s="609"/>
      <c r="DF422" s="609"/>
      <c r="DG422" s="609"/>
      <c r="DH422" s="609"/>
      <c r="DI422" s="609"/>
      <c r="DJ422" s="609"/>
      <c r="DK422" s="609"/>
    </row>
    <row r="423" spans="69:115">
      <c r="BQ423" s="609"/>
      <c r="BR423" s="609"/>
      <c r="BS423" s="609"/>
      <c r="BT423" s="609"/>
      <c r="BU423" s="609"/>
      <c r="BV423" s="609"/>
      <c r="BW423" s="609"/>
      <c r="BX423" s="609"/>
      <c r="BY423" s="609"/>
      <c r="BZ423" s="609"/>
      <c r="CA423" s="609"/>
      <c r="CB423" s="609"/>
      <c r="CC423" s="609"/>
      <c r="CD423" s="609"/>
      <c r="CE423" s="609"/>
      <c r="CF423" s="609"/>
      <c r="CG423" s="609"/>
      <c r="CH423" s="609"/>
      <c r="CI423" s="609"/>
      <c r="CJ423" s="609"/>
      <c r="CK423" s="609"/>
      <c r="CL423" s="609"/>
      <c r="CM423" s="609"/>
      <c r="CN423" s="609"/>
      <c r="CO423" s="609"/>
      <c r="CP423" s="609"/>
      <c r="CQ423" s="609"/>
      <c r="CR423" s="609"/>
      <c r="CS423" s="609"/>
      <c r="CT423" s="609"/>
      <c r="CU423" s="609"/>
      <c r="CV423" s="609"/>
      <c r="CW423" s="609"/>
      <c r="CX423" s="609"/>
      <c r="CY423" s="609"/>
      <c r="CZ423" s="609"/>
      <c r="DA423" s="609"/>
      <c r="DB423" s="609"/>
      <c r="DC423" s="609"/>
      <c r="DD423" s="609"/>
      <c r="DE423" s="609"/>
      <c r="DF423" s="609"/>
      <c r="DG423" s="609"/>
      <c r="DH423" s="609"/>
      <c r="DI423" s="609"/>
      <c r="DJ423" s="609"/>
      <c r="DK423" s="609"/>
    </row>
    <row r="424" spans="69:115">
      <c r="BQ424" s="609"/>
      <c r="BR424" s="609"/>
      <c r="BS424" s="609"/>
      <c r="BT424" s="609"/>
      <c r="BU424" s="609"/>
      <c r="BV424" s="609"/>
      <c r="BW424" s="609"/>
      <c r="BX424" s="609"/>
      <c r="BY424" s="609"/>
      <c r="BZ424" s="609"/>
      <c r="CA424" s="609"/>
      <c r="CB424" s="609"/>
      <c r="CC424" s="609"/>
      <c r="CD424" s="609"/>
      <c r="CE424" s="609"/>
      <c r="CF424" s="609"/>
      <c r="CG424" s="609"/>
      <c r="CH424" s="609"/>
      <c r="CI424" s="609"/>
      <c r="CJ424" s="609"/>
      <c r="CK424" s="609"/>
      <c r="CL424" s="609"/>
      <c r="CM424" s="609"/>
      <c r="CN424" s="609"/>
      <c r="CO424" s="609"/>
      <c r="CP424" s="609"/>
      <c r="CQ424" s="609"/>
      <c r="CR424" s="609"/>
      <c r="CS424" s="609"/>
      <c r="CT424" s="609"/>
      <c r="CU424" s="609"/>
      <c r="CV424" s="609"/>
      <c r="CW424" s="609"/>
      <c r="CX424" s="609"/>
      <c r="CY424" s="609"/>
      <c r="CZ424" s="609"/>
      <c r="DA424" s="609"/>
      <c r="DB424" s="609"/>
      <c r="DC424" s="609"/>
      <c r="DD424" s="609"/>
      <c r="DE424" s="609"/>
      <c r="DF424" s="609"/>
      <c r="DG424" s="609"/>
      <c r="DH424" s="609"/>
      <c r="DI424" s="609"/>
      <c r="DJ424" s="609"/>
      <c r="DK424" s="609"/>
    </row>
    <row r="425" spans="69:115">
      <c r="BQ425" s="609"/>
      <c r="BR425" s="609"/>
      <c r="BS425" s="609"/>
      <c r="BT425" s="609"/>
      <c r="BU425" s="609"/>
      <c r="BV425" s="609"/>
      <c r="BW425" s="609"/>
      <c r="BX425" s="609"/>
      <c r="BY425" s="609"/>
      <c r="BZ425" s="609"/>
      <c r="CA425" s="609"/>
      <c r="CB425" s="609"/>
      <c r="CC425" s="609"/>
      <c r="CD425" s="609"/>
      <c r="CE425" s="609"/>
      <c r="CF425" s="609"/>
      <c r="CG425" s="609"/>
      <c r="CH425" s="609"/>
      <c r="CI425" s="609"/>
      <c r="CJ425" s="609"/>
      <c r="CK425" s="609"/>
      <c r="CL425" s="609"/>
      <c r="CM425" s="609"/>
      <c r="CN425" s="609"/>
      <c r="CO425" s="609"/>
      <c r="CP425" s="609"/>
      <c r="CQ425" s="609"/>
      <c r="CR425" s="609"/>
      <c r="CS425" s="609"/>
      <c r="CT425" s="609"/>
      <c r="CU425" s="609"/>
      <c r="CV425" s="609"/>
      <c r="CW425" s="609"/>
      <c r="CX425" s="609"/>
      <c r="CY425" s="609"/>
      <c r="CZ425" s="609"/>
      <c r="DA425" s="609"/>
      <c r="DB425" s="609"/>
      <c r="DC425" s="609"/>
      <c r="DD425" s="609"/>
      <c r="DE425" s="609"/>
      <c r="DF425" s="609"/>
      <c r="DG425" s="609"/>
      <c r="DH425" s="609"/>
      <c r="DI425" s="609"/>
      <c r="DJ425" s="609"/>
      <c r="DK425" s="609"/>
    </row>
    <row r="426" spans="69:115">
      <c r="BQ426" s="609"/>
      <c r="BR426" s="609"/>
      <c r="BS426" s="609"/>
      <c r="BT426" s="609"/>
      <c r="BU426" s="609"/>
      <c r="BV426" s="609"/>
      <c r="BW426" s="609"/>
      <c r="BX426" s="609"/>
      <c r="BY426" s="609"/>
      <c r="BZ426" s="609"/>
      <c r="CA426" s="609"/>
      <c r="CB426" s="609"/>
      <c r="CC426" s="609"/>
      <c r="CD426" s="609"/>
      <c r="CE426" s="609"/>
      <c r="CF426" s="609"/>
      <c r="CG426" s="609"/>
      <c r="CH426" s="609"/>
      <c r="CI426" s="609"/>
      <c r="CJ426" s="609"/>
      <c r="CK426" s="609"/>
      <c r="CL426" s="609"/>
      <c r="CM426" s="609"/>
      <c r="CN426" s="609"/>
      <c r="CO426" s="609"/>
      <c r="CP426" s="609"/>
      <c r="CQ426" s="609"/>
      <c r="CR426" s="609"/>
      <c r="CS426" s="609"/>
      <c r="CT426" s="609"/>
      <c r="CU426" s="609"/>
      <c r="CV426" s="609"/>
      <c r="CW426" s="609"/>
      <c r="CX426" s="609"/>
      <c r="CY426" s="609"/>
      <c r="CZ426" s="609"/>
      <c r="DA426" s="609"/>
      <c r="DB426" s="609"/>
      <c r="DC426" s="609"/>
      <c r="DD426" s="609"/>
      <c r="DE426" s="609"/>
      <c r="DF426" s="609"/>
      <c r="DG426" s="609"/>
      <c r="DH426" s="609"/>
      <c r="DI426" s="609"/>
      <c r="DJ426" s="609"/>
      <c r="DK426" s="609"/>
    </row>
    <row r="427" spans="69:115">
      <c r="BQ427" s="609"/>
      <c r="BR427" s="609"/>
      <c r="BS427" s="609"/>
      <c r="BT427" s="609"/>
      <c r="BU427" s="609"/>
      <c r="BV427" s="609"/>
      <c r="BW427" s="609"/>
      <c r="BX427" s="609"/>
      <c r="BY427" s="609"/>
      <c r="BZ427" s="609"/>
      <c r="CA427" s="609"/>
      <c r="CB427" s="609"/>
      <c r="CC427" s="609"/>
      <c r="CD427" s="609"/>
      <c r="CE427" s="609"/>
      <c r="CF427" s="609"/>
      <c r="CG427" s="609"/>
      <c r="CH427" s="609"/>
      <c r="CI427" s="609"/>
      <c r="CJ427" s="609"/>
      <c r="CK427" s="609"/>
      <c r="CL427" s="609"/>
      <c r="CM427" s="609"/>
      <c r="CN427" s="609"/>
      <c r="CO427" s="609"/>
      <c r="CP427" s="609"/>
      <c r="CQ427" s="609"/>
      <c r="CR427" s="609"/>
      <c r="CS427" s="609"/>
      <c r="CT427" s="609"/>
      <c r="CU427" s="609"/>
      <c r="CV427" s="609"/>
      <c r="CW427" s="609"/>
      <c r="CX427" s="609"/>
      <c r="CY427" s="609"/>
      <c r="CZ427" s="609"/>
      <c r="DA427" s="609"/>
      <c r="DB427" s="609"/>
      <c r="DC427" s="609"/>
      <c r="DD427" s="609"/>
      <c r="DE427" s="609"/>
      <c r="DF427" s="609"/>
      <c r="DG427" s="609"/>
      <c r="DH427" s="609"/>
      <c r="DI427" s="609"/>
      <c r="DJ427" s="609"/>
      <c r="DK427" s="609"/>
    </row>
    <row r="428" spans="69:115">
      <c r="BQ428" s="609"/>
      <c r="BR428" s="609"/>
      <c r="BS428" s="609"/>
      <c r="BT428" s="609"/>
      <c r="BU428" s="609"/>
      <c r="BV428" s="609"/>
      <c r="BW428" s="609"/>
      <c r="BX428" s="609"/>
      <c r="BY428" s="609"/>
      <c r="BZ428" s="609"/>
      <c r="CA428" s="609"/>
      <c r="CB428" s="609"/>
      <c r="CC428" s="609"/>
      <c r="CD428" s="609"/>
      <c r="CE428" s="609"/>
      <c r="CF428" s="609"/>
      <c r="CG428" s="609"/>
      <c r="CH428" s="609"/>
      <c r="CI428" s="609"/>
      <c r="CJ428" s="609"/>
      <c r="CK428" s="609"/>
      <c r="CL428" s="609"/>
      <c r="CM428" s="609"/>
      <c r="CN428" s="609"/>
      <c r="CO428" s="609"/>
      <c r="CP428" s="609"/>
      <c r="CQ428" s="609"/>
      <c r="CR428" s="609"/>
      <c r="CS428" s="609"/>
      <c r="CT428" s="609"/>
      <c r="CU428" s="609"/>
      <c r="CV428" s="609"/>
      <c r="CW428" s="609"/>
      <c r="CX428" s="609"/>
      <c r="CY428" s="609"/>
      <c r="CZ428" s="609"/>
      <c r="DA428" s="609"/>
      <c r="DB428" s="609"/>
      <c r="DC428" s="609"/>
      <c r="DD428" s="609"/>
      <c r="DE428" s="609"/>
      <c r="DF428" s="609"/>
      <c r="DG428" s="609"/>
      <c r="DH428" s="609"/>
      <c r="DI428" s="609"/>
      <c r="DJ428" s="609"/>
      <c r="DK428" s="609"/>
    </row>
    <row r="429" spans="69:115">
      <c r="BQ429" s="609"/>
      <c r="BR429" s="609"/>
      <c r="BS429" s="609"/>
      <c r="BT429" s="609"/>
      <c r="BU429" s="609"/>
      <c r="BV429" s="609"/>
      <c r="BW429" s="609"/>
      <c r="BX429" s="609"/>
      <c r="BY429" s="609"/>
      <c r="BZ429" s="609"/>
      <c r="CA429" s="609"/>
      <c r="CB429" s="609"/>
      <c r="CC429" s="609"/>
      <c r="CD429" s="609"/>
      <c r="CE429" s="609"/>
      <c r="CF429" s="609"/>
      <c r="CG429" s="609"/>
      <c r="CH429" s="609"/>
      <c r="CI429" s="609"/>
      <c r="CJ429" s="609"/>
      <c r="CK429" s="609"/>
      <c r="CL429" s="609"/>
      <c r="CM429" s="609"/>
      <c r="CN429" s="609"/>
      <c r="CO429" s="609"/>
      <c r="CP429" s="609"/>
      <c r="CQ429" s="609"/>
      <c r="CR429" s="609"/>
      <c r="CS429" s="609"/>
      <c r="CT429" s="609"/>
      <c r="CU429" s="609"/>
      <c r="CV429" s="609"/>
      <c r="CW429" s="609"/>
      <c r="CX429" s="609"/>
      <c r="CY429" s="609"/>
      <c r="CZ429" s="609"/>
      <c r="DA429" s="609"/>
      <c r="DB429" s="609"/>
      <c r="DC429" s="609"/>
      <c r="DD429" s="609"/>
      <c r="DE429" s="609"/>
      <c r="DF429" s="609"/>
      <c r="DG429" s="609"/>
      <c r="DH429" s="609"/>
      <c r="DI429" s="609"/>
      <c r="DJ429" s="609"/>
      <c r="DK429" s="609"/>
    </row>
    <row r="430" spans="69:115">
      <c r="BQ430" s="609"/>
      <c r="BR430" s="609"/>
      <c r="BS430" s="609"/>
      <c r="BT430" s="609"/>
      <c r="BU430" s="609"/>
      <c r="BV430" s="609"/>
      <c r="BW430" s="609"/>
      <c r="BX430" s="609"/>
      <c r="BY430" s="609"/>
      <c r="BZ430" s="609"/>
      <c r="CA430" s="609"/>
      <c r="CB430" s="609"/>
      <c r="CC430" s="609"/>
      <c r="CD430" s="609"/>
      <c r="CE430" s="609"/>
      <c r="CF430" s="609"/>
      <c r="CG430" s="609"/>
      <c r="CH430" s="609"/>
      <c r="CI430" s="609"/>
      <c r="CJ430" s="609"/>
      <c r="CK430" s="609"/>
      <c r="CL430" s="609"/>
      <c r="CM430" s="609"/>
      <c r="CN430" s="609"/>
      <c r="CO430" s="609"/>
      <c r="CP430" s="609"/>
      <c r="CQ430" s="609"/>
      <c r="CR430" s="609"/>
      <c r="CS430" s="609"/>
      <c r="CT430" s="609"/>
      <c r="CU430" s="609"/>
      <c r="CV430" s="609"/>
      <c r="CW430" s="609"/>
      <c r="CX430" s="609"/>
      <c r="CY430" s="609"/>
      <c r="CZ430" s="609"/>
      <c r="DA430" s="609"/>
      <c r="DB430" s="609"/>
      <c r="DC430" s="609"/>
      <c r="DD430" s="609"/>
      <c r="DE430" s="609"/>
      <c r="DF430" s="609"/>
      <c r="DG430" s="609"/>
      <c r="DH430" s="609"/>
      <c r="DI430" s="609"/>
      <c r="DJ430" s="609"/>
      <c r="DK430" s="609"/>
    </row>
    <row r="431" spans="69:115">
      <c r="BQ431" s="609"/>
      <c r="BR431" s="609"/>
      <c r="BS431" s="609"/>
      <c r="BT431" s="609"/>
      <c r="BU431" s="609"/>
      <c r="BV431" s="609"/>
      <c r="BW431" s="609"/>
      <c r="BX431" s="609"/>
      <c r="BY431" s="609"/>
      <c r="BZ431" s="609"/>
      <c r="CA431" s="609"/>
      <c r="CB431" s="609"/>
      <c r="CC431" s="609"/>
      <c r="CD431" s="609"/>
      <c r="CE431" s="609"/>
      <c r="CF431" s="609"/>
      <c r="CG431" s="609"/>
      <c r="CH431" s="609"/>
      <c r="CI431" s="609"/>
      <c r="CJ431" s="609"/>
      <c r="CK431" s="609"/>
      <c r="CL431" s="609"/>
      <c r="CM431" s="609"/>
      <c r="CN431" s="609"/>
      <c r="CO431" s="609"/>
      <c r="CP431" s="609"/>
      <c r="CQ431" s="609"/>
      <c r="CR431" s="609"/>
      <c r="CS431" s="609"/>
      <c r="CT431" s="609"/>
      <c r="CU431" s="609"/>
      <c r="CV431" s="609"/>
      <c r="CW431" s="609"/>
      <c r="CX431" s="609"/>
      <c r="CY431" s="609"/>
      <c r="CZ431" s="609"/>
      <c r="DA431" s="609"/>
      <c r="DB431" s="609"/>
      <c r="DC431" s="609"/>
      <c r="DD431" s="609"/>
      <c r="DE431" s="609"/>
      <c r="DF431" s="609"/>
      <c r="DG431" s="609"/>
      <c r="DH431" s="609"/>
      <c r="DI431" s="609"/>
      <c r="DJ431" s="609"/>
      <c r="DK431" s="609"/>
    </row>
    <row r="432" spans="69:115">
      <c r="BQ432" s="609"/>
      <c r="BR432" s="609"/>
      <c r="BS432" s="609"/>
      <c r="BT432" s="609"/>
      <c r="BU432" s="609"/>
      <c r="BV432" s="609"/>
      <c r="BW432" s="609"/>
      <c r="BX432" s="609"/>
      <c r="BY432" s="609"/>
      <c r="BZ432" s="609"/>
      <c r="CA432" s="609"/>
      <c r="CB432" s="609"/>
      <c r="CC432" s="609"/>
      <c r="CD432" s="609"/>
      <c r="CE432" s="609"/>
      <c r="CF432" s="609"/>
      <c r="CG432" s="609"/>
      <c r="CH432" s="609"/>
      <c r="CI432" s="609"/>
      <c r="CJ432" s="609"/>
      <c r="CK432" s="609"/>
      <c r="CL432" s="609"/>
      <c r="CM432" s="609"/>
      <c r="CN432" s="609"/>
      <c r="CO432" s="609"/>
      <c r="CP432" s="609"/>
      <c r="CQ432" s="609"/>
      <c r="CR432" s="609"/>
      <c r="CS432" s="609"/>
      <c r="CT432" s="609"/>
      <c r="CU432" s="609"/>
      <c r="CV432" s="609"/>
      <c r="CW432" s="609"/>
      <c r="CX432" s="609"/>
      <c r="CY432" s="609"/>
      <c r="CZ432" s="609"/>
      <c r="DA432" s="609"/>
      <c r="DB432" s="609"/>
      <c r="DC432" s="609"/>
      <c r="DD432" s="609"/>
      <c r="DE432" s="609"/>
      <c r="DF432" s="609"/>
      <c r="DG432" s="609"/>
      <c r="DH432" s="609"/>
      <c r="DI432" s="609"/>
      <c r="DJ432" s="609"/>
      <c r="DK432" s="609"/>
    </row>
    <row r="433" spans="69:115">
      <c r="BQ433" s="609"/>
      <c r="BR433" s="609"/>
      <c r="BS433" s="609"/>
      <c r="BT433" s="609"/>
      <c r="BU433" s="609"/>
      <c r="BV433" s="609"/>
      <c r="BW433" s="609"/>
      <c r="BX433" s="609"/>
      <c r="BY433" s="609"/>
      <c r="BZ433" s="609"/>
      <c r="CA433" s="609"/>
      <c r="CB433" s="609"/>
      <c r="CC433" s="609"/>
      <c r="CD433" s="609"/>
      <c r="CE433" s="609"/>
      <c r="CF433" s="609"/>
      <c r="CG433" s="609"/>
      <c r="CH433" s="609"/>
      <c r="CI433" s="609"/>
      <c r="CJ433" s="609"/>
      <c r="CK433" s="609"/>
      <c r="CL433" s="609"/>
      <c r="CM433" s="609"/>
      <c r="CN433" s="609"/>
      <c r="CO433" s="609"/>
      <c r="CP433" s="609"/>
      <c r="CQ433" s="609"/>
      <c r="CR433" s="609"/>
      <c r="CS433" s="609"/>
      <c r="CT433" s="609"/>
      <c r="CU433" s="609"/>
      <c r="CV433" s="609"/>
      <c r="CW433" s="609"/>
      <c r="CX433" s="609"/>
      <c r="CY433" s="609"/>
      <c r="CZ433" s="609"/>
      <c r="DA433" s="609"/>
      <c r="DB433" s="609"/>
      <c r="DC433" s="609"/>
      <c r="DD433" s="609"/>
      <c r="DE433" s="609"/>
      <c r="DF433" s="609"/>
      <c r="DG433" s="609"/>
      <c r="DH433" s="609"/>
      <c r="DI433" s="609"/>
      <c r="DJ433" s="609"/>
      <c r="DK433" s="609"/>
    </row>
    <row r="434" spans="69:115">
      <c r="BQ434" s="609"/>
      <c r="BR434" s="609"/>
      <c r="BS434" s="609"/>
      <c r="BT434" s="609"/>
      <c r="BU434" s="609"/>
      <c r="BV434" s="609"/>
      <c r="BW434" s="609"/>
      <c r="BX434" s="609"/>
      <c r="BY434" s="609"/>
      <c r="BZ434" s="609"/>
      <c r="CA434" s="609"/>
      <c r="CB434" s="609"/>
      <c r="CC434" s="609"/>
      <c r="CD434" s="609"/>
      <c r="CE434" s="609"/>
      <c r="CF434" s="609"/>
      <c r="CG434" s="609"/>
      <c r="CH434" s="609"/>
      <c r="CI434" s="609"/>
      <c r="CJ434" s="609"/>
      <c r="CK434" s="609"/>
      <c r="CL434" s="609"/>
      <c r="CM434" s="609"/>
      <c r="CN434" s="609"/>
      <c r="CO434" s="609"/>
      <c r="CP434" s="609"/>
      <c r="CQ434" s="609"/>
      <c r="CR434" s="609"/>
      <c r="CS434" s="609"/>
      <c r="CT434" s="609"/>
      <c r="CU434" s="609"/>
      <c r="CV434" s="609"/>
      <c r="CW434" s="609"/>
      <c r="CX434" s="609"/>
      <c r="CY434" s="609"/>
      <c r="CZ434" s="609"/>
      <c r="DA434" s="609"/>
      <c r="DB434" s="609"/>
      <c r="DC434" s="609"/>
      <c r="DD434" s="609"/>
      <c r="DE434" s="609"/>
      <c r="DF434" s="609"/>
      <c r="DG434" s="609"/>
      <c r="DH434" s="609"/>
      <c r="DI434" s="609"/>
      <c r="DJ434" s="609"/>
      <c r="DK434" s="609"/>
    </row>
    <row r="435" spans="69:115">
      <c r="BQ435" s="609"/>
      <c r="BR435" s="609"/>
      <c r="BS435" s="609"/>
      <c r="BT435" s="609"/>
      <c r="BU435" s="609"/>
      <c r="BV435" s="609"/>
      <c r="BW435" s="609"/>
      <c r="BX435" s="609"/>
      <c r="BY435" s="609"/>
      <c r="BZ435" s="609"/>
      <c r="CA435" s="609"/>
      <c r="CB435" s="609"/>
      <c r="CC435" s="609"/>
      <c r="CD435" s="609"/>
      <c r="CE435" s="609"/>
      <c r="CF435" s="609"/>
      <c r="CG435" s="609"/>
      <c r="CH435" s="609"/>
      <c r="CI435" s="609"/>
      <c r="CJ435" s="609"/>
      <c r="CK435" s="609"/>
      <c r="CL435" s="609"/>
      <c r="CM435" s="609"/>
      <c r="CN435" s="609"/>
      <c r="CO435" s="609"/>
      <c r="CP435" s="609"/>
      <c r="CQ435" s="609"/>
      <c r="CR435" s="609"/>
      <c r="CS435" s="609"/>
      <c r="CT435" s="609"/>
      <c r="CU435" s="609"/>
      <c r="CV435" s="609"/>
      <c r="CW435" s="609"/>
      <c r="CX435" s="609"/>
      <c r="CY435" s="609"/>
      <c r="CZ435" s="609"/>
      <c r="DA435" s="609"/>
      <c r="DB435" s="609"/>
      <c r="DC435" s="609"/>
      <c r="DD435" s="609"/>
      <c r="DE435" s="609"/>
      <c r="DF435" s="609"/>
      <c r="DG435" s="609"/>
      <c r="DH435" s="609"/>
      <c r="DI435" s="609"/>
      <c r="DJ435" s="609"/>
      <c r="DK435" s="609"/>
    </row>
    <row r="436" spans="69:115">
      <c r="BQ436" s="609"/>
      <c r="BR436" s="609"/>
      <c r="BS436" s="609"/>
      <c r="BT436" s="609"/>
      <c r="BU436" s="609"/>
      <c r="BV436" s="609"/>
      <c r="BW436" s="609"/>
      <c r="BX436" s="609"/>
      <c r="BY436" s="609"/>
      <c r="BZ436" s="609"/>
      <c r="CA436" s="609"/>
      <c r="CB436" s="609"/>
      <c r="CC436" s="609"/>
      <c r="CD436" s="609"/>
      <c r="CE436" s="609"/>
      <c r="CF436" s="609"/>
      <c r="CG436" s="609"/>
      <c r="CH436" s="609"/>
      <c r="CI436" s="609"/>
      <c r="CJ436" s="609"/>
      <c r="CK436" s="609"/>
      <c r="CL436" s="609"/>
      <c r="CM436" s="609"/>
      <c r="CN436" s="609"/>
      <c r="CO436" s="609"/>
      <c r="CP436" s="609"/>
      <c r="CQ436" s="609"/>
      <c r="CR436" s="609"/>
      <c r="CS436" s="609"/>
      <c r="CT436" s="609"/>
      <c r="CU436" s="609"/>
      <c r="CV436" s="609"/>
      <c r="CW436" s="609"/>
      <c r="CX436" s="609"/>
      <c r="CY436" s="609"/>
      <c r="CZ436" s="609"/>
      <c r="DA436" s="609"/>
      <c r="DB436" s="609"/>
      <c r="DC436" s="609"/>
      <c r="DD436" s="609"/>
      <c r="DE436" s="609"/>
      <c r="DF436" s="609"/>
      <c r="DG436" s="609"/>
      <c r="DH436" s="609"/>
      <c r="DI436" s="609"/>
      <c r="DJ436" s="609"/>
      <c r="DK436" s="609"/>
    </row>
    <row r="437" spans="69:115">
      <c r="BQ437" s="609"/>
      <c r="BR437" s="609"/>
      <c r="BS437" s="609"/>
      <c r="BT437" s="609"/>
      <c r="BU437" s="609"/>
      <c r="BV437" s="609"/>
      <c r="BW437" s="609"/>
      <c r="BX437" s="609"/>
      <c r="BY437" s="609"/>
      <c r="BZ437" s="609"/>
      <c r="CA437" s="609"/>
      <c r="CB437" s="609"/>
      <c r="CC437" s="609"/>
      <c r="CD437" s="609"/>
      <c r="CE437" s="609"/>
      <c r="CF437" s="609"/>
      <c r="CG437" s="609"/>
      <c r="CH437" s="609"/>
      <c r="CI437" s="609"/>
      <c r="CJ437" s="609"/>
      <c r="CK437" s="609"/>
      <c r="CL437" s="609"/>
      <c r="CM437" s="609"/>
      <c r="CN437" s="609"/>
      <c r="CO437" s="609"/>
      <c r="CP437" s="609"/>
      <c r="CQ437" s="609"/>
      <c r="CR437" s="609"/>
      <c r="CS437" s="609"/>
      <c r="CT437" s="609"/>
      <c r="CU437" s="609"/>
      <c r="CV437" s="609"/>
      <c r="CW437" s="609"/>
      <c r="CX437" s="609"/>
      <c r="CY437" s="609"/>
      <c r="CZ437" s="609"/>
      <c r="DA437" s="609"/>
      <c r="DB437" s="609"/>
      <c r="DC437" s="609"/>
      <c r="DD437" s="609"/>
      <c r="DE437" s="609"/>
      <c r="DF437" s="609"/>
      <c r="DG437" s="609"/>
      <c r="DH437" s="609"/>
      <c r="DI437" s="609"/>
      <c r="DJ437" s="609"/>
      <c r="DK437" s="609"/>
    </row>
    <row r="438" spans="69:115">
      <c r="BQ438" s="609"/>
      <c r="BR438" s="609"/>
      <c r="BS438" s="609"/>
      <c r="BT438" s="609"/>
      <c r="BU438" s="609"/>
      <c r="BV438" s="609"/>
      <c r="BW438" s="609"/>
      <c r="BX438" s="609"/>
      <c r="BY438" s="609"/>
      <c r="BZ438" s="609"/>
      <c r="CA438" s="609"/>
      <c r="CB438" s="609"/>
      <c r="CC438" s="609"/>
      <c r="CD438" s="609"/>
      <c r="CE438" s="609"/>
      <c r="CF438" s="609"/>
      <c r="CG438" s="609"/>
      <c r="CH438" s="609"/>
      <c r="CI438" s="609"/>
      <c r="CJ438" s="609"/>
      <c r="CK438" s="609"/>
      <c r="CL438" s="609"/>
      <c r="CM438" s="609"/>
      <c r="CN438" s="609"/>
      <c r="CO438" s="609"/>
      <c r="CP438" s="609"/>
      <c r="CQ438" s="609"/>
      <c r="CR438" s="609"/>
      <c r="CS438" s="609"/>
      <c r="CT438" s="609"/>
      <c r="CU438" s="609"/>
      <c r="CV438" s="609"/>
      <c r="CW438" s="609"/>
      <c r="CX438" s="609"/>
      <c r="CY438" s="609"/>
      <c r="CZ438" s="609"/>
      <c r="DA438" s="609"/>
      <c r="DB438" s="609"/>
      <c r="DC438" s="609"/>
      <c r="DD438" s="609"/>
      <c r="DE438" s="609"/>
      <c r="DF438" s="609"/>
      <c r="DG438" s="609"/>
      <c r="DH438" s="609"/>
      <c r="DI438" s="609"/>
      <c r="DJ438" s="609"/>
      <c r="DK438" s="609"/>
    </row>
    <row r="439" spans="69:115">
      <c r="BQ439" s="609"/>
      <c r="BR439" s="609"/>
      <c r="BS439" s="609"/>
      <c r="BT439" s="609"/>
      <c r="BU439" s="609"/>
      <c r="BV439" s="609"/>
      <c r="BW439" s="609"/>
      <c r="BX439" s="609"/>
      <c r="BY439" s="609"/>
      <c r="BZ439" s="609"/>
      <c r="CA439" s="609"/>
      <c r="CB439" s="609"/>
      <c r="CC439" s="609"/>
      <c r="CD439" s="609"/>
      <c r="CE439" s="609"/>
      <c r="CF439" s="609"/>
      <c r="CG439" s="609"/>
      <c r="CH439" s="609"/>
      <c r="CI439" s="609"/>
      <c r="CJ439" s="609"/>
      <c r="CK439" s="609"/>
      <c r="CL439" s="609"/>
      <c r="CM439" s="609"/>
      <c r="CN439" s="609"/>
      <c r="CO439" s="609"/>
      <c r="CP439" s="609"/>
      <c r="CQ439" s="609"/>
      <c r="CR439" s="609"/>
      <c r="CS439" s="609"/>
      <c r="CT439" s="609"/>
      <c r="CU439" s="609"/>
      <c r="CV439" s="609"/>
      <c r="CW439" s="609"/>
      <c r="CX439" s="609"/>
      <c r="CY439" s="609"/>
      <c r="CZ439" s="609"/>
      <c r="DA439" s="609"/>
      <c r="DB439" s="609"/>
      <c r="DC439" s="609"/>
      <c r="DD439" s="609"/>
      <c r="DE439" s="609"/>
      <c r="DF439" s="609"/>
      <c r="DG439" s="609"/>
      <c r="DH439" s="609"/>
      <c r="DI439" s="609"/>
      <c r="DJ439" s="609"/>
      <c r="DK439" s="609"/>
    </row>
  </sheetData>
  <sheetProtection selectLockedCells="1" selectUnlockedCells="1"/>
  <mergeCells count="90">
    <mergeCell ref="BA7:BB7"/>
    <mergeCell ref="X13:AG13"/>
    <mergeCell ref="BC13:BL13"/>
    <mergeCell ref="AI13:AL13"/>
    <mergeCell ref="AI4:BL4"/>
    <mergeCell ref="AQ5:AY5"/>
    <mergeCell ref="BA5:BL5"/>
    <mergeCell ref="AQ6:AY6"/>
    <mergeCell ref="BA6:BL6"/>
    <mergeCell ref="AJ7:AL7"/>
    <mergeCell ref="AN7:AW7"/>
    <mergeCell ref="BA25:BD25"/>
    <mergeCell ref="AE25:AH25"/>
    <mergeCell ref="M18:BL18"/>
    <mergeCell ref="AF9:AN9"/>
    <mergeCell ref="I14:AT14"/>
    <mergeCell ref="BC14:BL14"/>
    <mergeCell ref="T15:AT15"/>
    <mergeCell ref="BC15:BL15"/>
    <mergeCell ref="M17:BL17"/>
    <mergeCell ref="A10:BB11"/>
    <mergeCell ref="BC11:BL11"/>
    <mergeCell ref="BC12:BL12"/>
    <mergeCell ref="T13:V13"/>
    <mergeCell ref="AA24:AB24"/>
    <mergeCell ref="AU24:AY24"/>
    <mergeCell ref="AD24:AL24"/>
    <mergeCell ref="AN24:AQ24"/>
    <mergeCell ref="Q25:R25"/>
    <mergeCell ref="T25:AC25"/>
    <mergeCell ref="AM25:AN25"/>
    <mergeCell ref="AP25:AY25"/>
    <mergeCell ref="A19:BL19"/>
    <mergeCell ref="A20:BL20"/>
    <mergeCell ref="A21:BL21"/>
    <mergeCell ref="A22:BL22"/>
    <mergeCell ref="A23:BK23"/>
    <mergeCell ref="BE25:BL25"/>
    <mergeCell ref="AN35:BL35"/>
    <mergeCell ref="AV32:BE32"/>
    <mergeCell ref="BI32:BJ32"/>
    <mergeCell ref="AS33:AT33"/>
    <mergeCell ref="AV33:BE33"/>
    <mergeCell ref="BI33:BJ33"/>
    <mergeCell ref="M26:BK26"/>
    <mergeCell ref="AS32:AT32"/>
    <mergeCell ref="Y28:BK28"/>
    <mergeCell ref="Y29:BK29"/>
    <mergeCell ref="AW31:AX31"/>
    <mergeCell ref="AZ31:BF31"/>
    <mergeCell ref="BI31:BJ31"/>
    <mergeCell ref="AQ31:AS31"/>
    <mergeCell ref="M27:BK27"/>
    <mergeCell ref="C33:G33"/>
    <mergeCell ref="K33:L33"/>
    <mergeCell ref="N33:W33"/>
    <mergeCell ref="AA33:AB33"/>
    <mergeCell ref="AK33:AO33"/>
    <mergeCell ref="C32:G32"/>
    <mergeCell ref="K32:L32"/>
    <mergeCell ref="N32:W32"/>
    <mergeCell ref="AA32:AB32"/>
    <mergeCell ref="AK32:AO32"/>
    <mergeCell ref="A41:BL41"/>
    <mergeCell ref="C45:G45"/>
    <mergeCell ref="A42:BL42"/>
    <mergeCell ref="AW44:BF44"/>
    <mergeCell ref="BH44:BK44"/>
    <mergeCell ref="AS44:AU44"/>
    <mergeCell ref="AI44:AO44"/>
    <mergeCell ref="A36:BL36"/>
    <mergeCell ref="A37:BL37"/>
    <mergeCell ref="A38:BL38"/>
    <mergeCell ref="A39:BL39"/>
    <mergeCell ref="A40:BL40"/>
    <mergeCell ref="B56:D56"/>
    <mergeCell ref="F56:O56"/>
    <mergeCell ref="S56:T56"/>
    <mergeCell ref="N49:AB49"/>
    <mergeCell ref="N53:AB53"/>
    <mergeCell ref="P54:AA54"/>
    <mergeCell ref="AE54:AP54"/>
    <mergeCell ref="AT54:BL54"/>
    <mergeCell ref="AE49:AP49"/>
    <mergeCell ref="P50:AA50"/>
    <mergeCell ref="AS53:BL53"/>
    <mergeCell ref="AE53:AP53"/>
    <mergeCell ref="AE50:AP50"/>
    <mergeCell ref="AS49:BL49"/>
    <mergeCell ref="AT50:BL50"/>
  </mergeCells>
  <pageMargins left="0.78740157480314965" right="0.39370078740157483" top="0.39370078740157483" bottom="0.39370078740157483" header="0.27559055118110237" footer="0.27559055118110237"/>
  <pageSetup paperSize="9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>
  <sheetPr codeName="Лист33">
    <pageSetUpPr fitToPage="1"/>
  </sheetPr>
  <dimension ref="A1:GC21"/>
  <sheetViews>
    <sheetView view="pageBreakPreview" zoomScaleNormal="100" workbookViewId="0">
      <selection activeCell="AG14" sqref="AG14:AN14"/>
    </sheetView>
  </sheetViews>
  <sheetFormatPr defaultColWidth="0.85546875" defaultRowHeight="11.25"/>
  <cols>
    <col min="1" max="5" width="0.85546875" style="321"/>
    <col min="6" max="6" width="20.28515625" style="321" customWidth="1"/>
    <col min="7" max="148" width="0.85546875" style="321"/>
    <col min="149" max="149" width="2" style="321" customWidth="1"/>
    <col min="150" max="151" width="0.85546875" style="321"/>
    <col min="152" max="152" width="1.7109375" style="321" customWidth="1"/>
    <col min="153" max="159" width="0.85546875" style="321"/>
    <col min="160" max="160" width="1.42578125" style="321" customWidth="1"/>
    <col min="161" max="16384" width="0.85546875" style="321"/>
  </cols>
  <sheetData>
    <row r="1" spans="1:185" ht="12" thickBot="1">
      <c r="FE1" s="2025" t="s">
        <v>266</v>
      </c>
      <c r="FF1" s="2026"/>
      <c r="FG1" s="2026"/>
      <c r="FH1" s="2026"/>
      <c r="FI1" s="2026"/>
      <c r="FJ1" s="2026"/>
      <c r="FK1" s="2026"/>
      <c r="FL1" s="2026"/>
      <c r="FM1" s="2026"/>
      <c r="FN1" s="2026"/>
      <c r="FO1" s="2026"/>
      <c r="FP1" s="2026"/>
      <c r="FQ1" s="2026"/>
      <c r="FR1" s="2026"/>
      <c r="FS1" s="2026"/>
      <c r="FT1" s="2026"/>
      <c r="FU1" s="2026"/>
      <c r="FV1" s="2026"/>
      <c r="FW1" s="2026"/>
      <c r="FX1" s="2026"/>
      <c r="FY1" s="2026"/>
      <c r="FZ1" s="2026"/>
      <c r="GA1" s="2026"/>
      <c r="GB1" s="2026"/>
      <c r="GC1" s="2027"/>
    </row>
    <row r="2" spans="1:185" ht="13.7" customHeight="1">
      <c r="AS2" s="626" t="s">
        <v>500</v>
      </c>
      <c r="AT2" s="352"/>
      <c r="AU2" s="352"/>
      <c r="AV2" s="352"/>
      <c r="AW2" s="352"/>
      <c r="AX2" s="352"/>
      <c r="AY2" s="352"/>
      <c r="AZ2" s="352"/>
      <c r="BA2" s="352"/>
      <c r="BB2" s="352"/>
      <c r="BC2" s="352"/>
      <c r="BD2" s="352"/>
      <c r="BE2" s="352"/>
      <c r="BF2" s="352"/>
      <c r="BG2" s="352"/>
      <c r="BH2" s="352"/>
      <c r="BI2" s="352"/>
      <c r="BJ2" s="352"/>
      <c r="BK2" s="352"/>
      <c r="BL2" s="352"/>
      <c r="BM2" s="352"/>
      <c r="BN2" s="352"/>
      <c r="BO2" s="352"/>
      <c r="BP2" s="352"/>
      <c r="BQ2" s="352"/>
      <c r="BR2" s="352"/>
      <c r="BS2" s="352"/>
      <c r="BU2" s="345"/>
      <c r="BV2" s="352"/>
      <c r="BW2" s="352"/>
      <c r="BX2" s="352"/>
      <c r="BY2" s="352"/>
      <c r="BZ2" s="352"/>
      <c r="CA2" s="352"/>
      <c r="CB2" s="352"/>
      <c r="CC2" s="352"/>
      <c r="CD2" s="352"/>
      <c r="CE2" s="352"/>
      <c r="CF2" s="352"/>
      <c r="CG2" s="352"/>
      <c r="CH2" s="352"/>
      <c r="CI2" s="352"/>
      <c r="CJ2" s="352"/>
      <c r="CK2" s="352"/>
      <c r="CL2" s="352"/>
      <c r="CM2" s="352"/>
      <c r="CN2" s="352"/>
      <c r="CO2" s="352"/>
      <c r="CP2" s="352"/>
      <c r="CQ2" s="352"/>
      <c r="CR2" s="352"/>
      <c r="CS2" s="352"/>
      <c r="CT2" s="352"/>
      <c r="CU2" s="352"/>
      <c r="CV2" s="352"/>
      <c r="CW2" s="352"/>
      <c r="CX2" s="352"/>
      <c r="CY2" s="352"/>
      <c r="CZ2" s="352"/>
      <c r="DA2" s="352"/>
      <c r="DB2" s="352"/>
      <c r="DC2" s="352"/>
      <c r="DD2" s="2028" t="s">
        <v>293</v>
      </c>
      <c r="DE2" s="2028"/>
      <c r="DF2" s="2028"/>
      <c r="DG2" s="2028"/>
      <c r="DH2" s="2028"/>
      <c r="DI2" s="2028"/>
      <c r="DJ2" s="2028"/>
      <c r="DK2" s="2028"/>
      <c r="DL2" s="352"/>
      <c r="DM2" s="352"/>
      <c r="DN2" s="352"/>
      <c r="FC2" s="320" t="s">
        <v>56</v>
      </c>
      <c r="FE2" s="1494" t="s">
        <v>515</v>
      </c>
      <c r="FF2" s="1495"/>
      <c r="FG2" s="1495"/>
      <c r="FH2" s="1495"/>
      <c r="FI2" s="1495"/>
      <c r="FJ2" s="1495"/>
      <c r="FK2" s="1495"/>
      <c r="FL2" s="1495"/>
      <c r="FM2" s="1495"/>
      <c r="FN2" s="1495"/>
      <c r="FO2" s="1495"/>
      <c r="FP2" s="1495"/>
      <c r="FQ2" s="1495"/>
      <c r="FR2" s="1495"/>
      <c r="FS2" s="1495"/>
      <c r="FT2" s="1495"/>
      <c r="FU2" s="1495"/>
      <c r="FV2" s="1495"/>
      <c r="FW2" s="1495"/>
      <c r="FX2" s="1495"/>
      <c r="FY2" s="1495"/>
      <c r="FZ2" s="1495"/>
      <c r="GA2" s="1495"/>
      <c r="GB2" s="1495"/>
      <c r="GC2" s="1496"/>
    </row>
    <row r="3" spans="1:185" ht="13.7" customHeight="1">
      <c r="F3" s="321" t="s">
        <v>517</v>
      </c>
      <c r="BM3" s="320" t="s">
        <v>516</v>
      </c>
      <c r="BN3" s="2029" t="s">
        <v>435</v>
      </c>
      <c r="BO3" s="2029"/>
      <c r="BP3" s="2029"/>
      <c r="BQ3" s="2029"/>
      <c r="BR3" s="2029"/>
      <c r="BS3" s="321" t="s">
        <v>279</v>
      </c>
      <c r="BU3" s="2029" t="s">
        <v>436</v>
      </c>
      <c r="BV3" s="2029"/>
      <c r="BW3" s="2029"/>
      <c r="BX3" s="2029"/>
      <c r="BY3" s="2029"/>
      <c r="BZ3" s="2029"/>
      <c r="CA3" s="2029"/>
      <c r="CB3" s="2029"/>
      <c r="CC3" s="2029"/>
      <c r="CD3" s="2029"/>
      <c r="CE3" s="2029"/>
      <c r="CF3" s="2029"/>
      <c r="CG3" s="2029"/>
      <c r="CH3" s="2029"/>
      <c r="CI3" s="2029"/>
      <c r="CJ3" s="2029"/>
      <c r="CK3" s="2029"/>
      <c r="CL3" s="2029"/>
      <c r="CM3" s="2029"/>
      <c r="CN3" s="2029"/>
      <c r="CO3" s="367"/>
      <c r="CP3" s="1283" t="s">
        <v>437</v>
      </c>
      <c r="CQ3" s="1283"/>
      <c r="CR3" s="1283"/>
      <c r="CS3" s="1283"/>
      <c r="CT3" s="1283"/>
      <c r="CU3" s="1283"/>
      <c r="CV3" s="321" t="s">
        <v>147</v>
      </c>
      <c r="FC3" s="320" t="s">
        <v>269</v>
      </c>
      <c r="FE3" s="1497" t="s">
        <v>31</v>
      </c>
      <c r="FF3" s="1498"/>
      <c r="FG3" s="1498"/>
      <c r="FH3" s="1498"/>
      <c r="FI3" s="1498"/>
      <c r="FJ3" s="1498"/>
      <c r="FK3" s="1498"/>
      <c r="FL3" s="1498"/>
      <c r="FM3" s="1498"/>
      <c r="FN3" s="1498"/>
      <c r="FO3" s="1498"/>
      <c r="FP3" s="1498"/>
      <c r="FQ3" s="1498"/>
      <c r="FR3" s="1498"/>
      <c r="FS3" s="1498"/>
      <c r="FT3" s="1498"/>
      <c r="FU3" s="1498"/>
      <c r="FV3" s="1498"/>
      <c r="FW3" s="1498"/>
      <c r="FX3" s="1498"/>
      <c r="FY3" s="1498"/>
      <c r="FZ3" s="1498"/>
      <c r="GA3" s="1498"/>
      <c r="GB3" s="1498"/>
      <c r="GC3" s="1499"/>
    </row>
    <row r="4" spans="1:185">
      <c r="F4" s="321" t="s">
        <v>518</v>
      </c>
      <c r="FE4" s="2030"/>
      <c r="FF4" s="2031"/>
      <c r="FG4" s="2031"/>
      <c r="FH4" s="2031"/>
      <c r="FI4" s="2031"/>
      <c r="FJ4" s="2031"/>
      <c r="FK4" s="2031"/>
      <c r="FL4" s="2031"/>
      <c r="FM4" s="2031"/>
      <c r="FN4" s="2031"/>
      <c r="FO4" s="2031"/>
      <c r="FP4" s="2031"/>
      <c r="FQ4" s="2031"/>
      <c r="FR4" s="2031"/>
      <c r="FS4" s="2031"/>
      <c r="FT4" s="2031"/>
      <c r="FU4" s="2031"/>
      <c r="FV4" s="2031"/>
      <c r="FW4" s="2031"/>
      <c r="FX4" s="2031"/>
      <c r="FY4" s="2031"/>
      <c r="FZ4" s="2031"/>
      <c r="GA4" s="2031"/>
      <c r="GB4" s="2031"/>
      <c r="GC4" s="2032"/>
    </row>
    <row r="5" spans="1:185">
      <c r="F5" s="321" t="s">
        <v>519</v>
      </c>
      <c r="G5" s="1491" t="s">
        <v>35</v>
      </c>
      <c r="H5" s="1491"/>
      <c r="I5" s="1491"/>
      <c r="J5" s="1491"/>
      <c r="K5" s="1491"/>
      <c r="L5" s="1491"/>
      <c r="M5" s="1491"/>
      <c r="N5" s="1491"/>
      <c r="O5" s="1491"/>
      <c r="P5" s="1491"/>
      <c r="Q5" s="1491"/>
      <c r="R5" s="1491"/>
      <c r="S5" s="1491"/>
      <c r="T5" s="1491"/>
      <c r="U5" s="1491"/>
      <c r="V5" s="1491"/>
      <c r="W5" s="1491"/>
      <c r="X5" s="1491"/>
      <c r="Y5" s="1491"/>
      <c r="Z5" s="1491"/>
      <c r="AA5" s="1491"/>
      <c r="AB5" s="1491"/>
      <c r="AC5" s="1491"/>
      <c r="AD5" s="1491"/>
      <c r="AE5" s="1491"/>
      <c r="AF5" s="1491"/>
      <c r="AG5" s="1491"/>
      <c r="AH5" s="1491"/>
      <c r="AI5" s="1491"/>
      <c r="AJ5" s="1491"/>
      <c r="AK5" s="1491"/>
      <c r="AL5" s="1491"/>
      <c r="AM5" s="1491"/>
      <c r="AN5" s="1491"/>
      <c r="AO5" s="1491"/>
      <c r="AP5" s="1491"/>
      <c r="AQ5" s="1491"/>
      <c r="AR5" s="1491"/>
      <c r="AS5" s="1491"/>
      <c r="AT5" s="1491"/>
      <c r="AU5" s="1491"/>
      <c r="AV5" s="1491"/>
      <c r="AW5" s="1491"/>
      <c r="AX5" s="1491"/>
      <c r="AY5" s="1491"/>
      <c r="AZ5" s="1491"/>
      <c r="BA5" s="1491"/>
      <c r="BB5" s="1491"/>
      <c r="BC5" s="1491"/>
      <c r="BD5" s="1491"/>
      <c r="BE5" s="1491"/>
      <c r="BF5" s="1491"/>
      <c r="BG5" s="1491"/>
      <c r="BH5" s="1491"/>
      <c r="BI5" s="1491"/>
      <c r="BJ5" s="1491"/>
      <c r="BK5" s="1491"/>
      <c r="BL5" s="1491"/>
      <c r="BM5" s="1491"/>
      <c r="BN5" s="1491"/>
      <c r="BO5" s="1491"/>
      <c r="BP5" s="1491"/>
      <c r="BQ5" s="1491"/>
      <c r="BR5" s="1491"/>
      <c r="BS5" s="1491"/>
      <c r="BT5" s="1491"/>
      <c r="BU5" s="1491"/>
      <c r="BV5" s="1491"/>
      <c r="BW5" s="1491"/>
      <c r="BX5" s="1491"/>
      <c r="BY5" s="1491"/>
      <c r="BZ5" s="1491"/>
      <c r="CA5" s="1491"/>
      <c r="CB5" s="1491"/>
      <c r="CC5" s="1491"/>
      <c r="CD5" s="1491"/>
      <c r="CE5" s="1491"/>
      <c r="CF5" s="1491"/>
      <c r="CG5" s="1491"/>
      <c r="CH5" s="1491"/>
      <c r="CI5" s="1491"/>
      <c r="CJ5" s="1491"/>
      <c r="CK5" s="1491"/>
      <c r="CL5" s="1491"/>
      <c r="CM5" s="1491"/>
      <c r="CN5" s="1491"/>
      <c r="CO5" s="1491"/>
      <c r="CP5" s="1491"/>
      <c r="CQ5" s="1491"/>
      <c r="CR5" s="1491"/>
      <c r="CS5" s="1491"/>
      <c r="CT5" s="1491"/>
      <c r="CU5" s="1491"/>
      <c r="CV5" s="1491"/>
      <c r="CW5" s="1491"/>
      <c r="CX5" s="1491"/>
      <c r="CY5" s="1491"/>
      <c r="CZ5" s="1491"/>
      <c r="DA5" s="1491"/>
      <c r="DB5" s="1491"/>
      <c r="DC5" s="1491"/>
      <c r="DD5" s="1491"/>
      <c r="DE5" s="1491"/>
      <c r="DF5" s="1491"/>
      <c r="DG5" s="1491"/>
      <c r="DH5" s="1491"/>
      <c r="DI5" s="1491"/>
      <c r="DJ5" s="1491"/>
      <c r="DK5" s="1491"/>
      <c r="DL5" s="1491"/>
      <c r="DM5" s="1491"/>
      <c r="DN5" s="1491"/>
      <c r="DO5" s="1491"/>
      <c r="DP5" s="1491"/>
      <c r="DQ5" s="1491"/>
      <c r="DR5" s="1491"/>
      <c r="DS5" s="1491"/>
      <c r="DT5" s="1491"/>
      <c r="DU5" s="1491"/>
      <c r="DV5" s="1491"/>
      <c r="DW5" s="1491"/>
      <c r="DX5" s="1491"/>
      <c r="DY5" s="1491"/>
      <c r="DZ5" s="1491"/>
      <c r="EA5" s="1491"/>
      <c r="EB5" s="1491"/>
      <c r="EC5" s="1491"/>
      <c r="ED5" s="1491"/>
      <c r="EE5" s="1491"/>
      <c r="EF5" s="1491"/>
      <c r="EG5" s="1491"/>
      <c r="EH5" s="1491"/>
      <c r="EI5" s="1491"/>
      <c r="EJ5" s="1491"/>
      <c r="EK5" s="1491"/>
      <c r="EL5" s="1491"/>
      <c r="EM5" s="1491"/>
      <c r="EN5" s="1491"/>
      <c r="EO5" s="1491"/>
      <c r="EP5" s="1491"/>
      <c r="EQ5" s="1491"/>
      <c r="ER5" s="1491"/>
      <c r="ES5" s="1491"/>
      <c r="FE5" s="2033"/>
      <c r="FF5" s="1492"/>
      <c r="FG5" s="1492"/>
      <c r="FH5" s="1492"/>
      <c r="FI5" s="1492"/>
      <c r="FJ5" s="1492"/>
      <c r="FK5" s="1492"/>
      <c r="FL5" s="1492"/>
      <c r="FM5" s="1492"/>
      <c r="FN5" s="1492"/>
      <c r="FO5" s="1492"/>
      <c r="FP5" s="1492"/>
      <c r="FQ5" s="1492"/>
      <c r="FR5" s="1492"/>
      <c r="FS5" s="1492"/>
      <c r="FT5" s="1492"/>
      <c r="FU5" s="1492"/>
      <c r="FV5" s="1492"/>
      <c r="FW5" s="1492"/>
      <c r="FX5" s="1492"/>
      <c r="FY5" s="1492"/>
      <c r="FZ5" s="1492"/>
      <c r="GA5" s="1492"/>
      <c r="GB5" s="1492"/>
      <c r="GC5" s="2034"/>
    </row>
    <row r="6" spans="1:185">
      <c r="F6" s="321" t="s">
        <v>271</v>
      </c>
      <c r="I6" s="1491" t="s">
        <v>32</v>
      </c>
      <c r="J6" s="1491"/>
      <c r="K6" s="1491"/>
      <c r="L6" s="1491"/>
      <c r="M6" s="1491"/>
      <c r="N6" s="1491"/>
      <c r="O6" s="1491"/>
      <c r="P6" s="1491"/>
      <c r="Q6" s="1491"/>
      <c r="R6" s="1491"/>
      <c r="S6" s="1491"/>
      <c r="T6" s="1491"/>
      <c r="U6" s="1491"/>
      <c r="V6" s="1491"/>
      <c r="W6" s="1491"/>
      <c r="X6" s="1491"/>
      <c r="Y6" s="1491"/>
      <c r="Z6" s="1491"/>
      <c r="AA6" s="1491"/>
      <c r="AB6" s="1491"/>
      <c r="AC6" s="1491"/>
      <c r="AD6" s="1491"/>
      <c r="AE6" s="1491"/>
      <c r="AF6" s="1491"/>
      <c r="AG6" s="1491"/>
      <c r="AH6" s="1491"/>
      <c r="AI6" s="1491"/>
      <c r="AJ6" s="1491"/>
      <c r="AK6" s="1491"/>
      <c r="AL6" s="1491"/>
      <c r="AM6" s="1491"/>
      <c r="AN6" s="1491"/>
      <c r="AO6" s="1491"/>
      <c r="AP6" s="1491"/>
      <c r="AQ6" s="1491"/>
      <c r="AR6" s="1491"/>
      <c r="AS6" s="1491"/>
      <c r="AT6" s="1491"/>
      <c r="AU6" s="1491"/>
      <c r="AV6" s="1491"/>
      <c r="AW6" s="1491"/>
      <c r="AX6" s="1491"/>
      <c r="AY6" s="1491"/>
      <c r="AZ6" s="1491"/>
      <c r="BA6" s="1491"/>
      <c r="BB6" s="1491"/>
      <c r="BC6" s="1491"/>
      <c r="BD6" s="1491"/>
      <c r="BE6" s="1491"/>
      <c r="BF6" s="1491"/>
      <c r="BG6" s="1491"/>
      <c r="BH6" s="1491"/>
      <c r="BI6" s="1491"/>
      <c r="BJ6" s="1491"/>
      <c r="BK6" s="1491"/>
      <c r="BL6" s="1491"/>
      <c r="BM6" s="1491"/>
      <c r="BN6" s="1491"/>
      <c r="BO6" s="1491"/>
      <c r="BP6" s="1491"/>
      <c r="BQ6" s="1491"/>
      <c r="BR6" s="1491"/>
      <c r="BS6" s="1491"/>
      <c r="BT6" s="1491"/>
      <c r="BU6" s="1491"/>
      <c r="BV6" s="1491"/>
      <c r="BW6" s="1491"/>
      <c r="BX6" s="1491"/>
      <c r="BY6" s="1491"/>
      <c r="BZ6" s="1491"/>
      <c r="CA6" s="1491"/>
      <c r="CB6" s="1491"/>
      <c r="CC6" s="1491"/>
      <c r="CD6" s="1491"/>
      <c r="CE6" s="1491"/>
      <c r="CF6" s="1491"/>
      <c r="CG6" s="1491"/>
      <c r="CH6" s="1491"/>
      <c r="CI6" s="1491"/>
      <c r="CJ6" s="1491"/>
      <c r="CK6" s="1491"/>
      <c r="CL6" s="1491"/>
      <c r="CM6" s="1491"/>
      <c r="CN6" s="1491"/>
      <c r="CO6" s="1491"/>
      <c r="CP6" s="1491"/>
      <c r="CQ6" s="1491"/>
      <c r="CR6" s="1491"/>
      <c r="CS6" s="1491"/>
      <c r="CT6" s="1491"/>
      <c r="CU6" s="1491"/>
      <c r="CV6" s="1491"/>
      <c r="CW6" s="1491"/>
      <c r="CX6" s="1491"/>
      <c r="CY6" s="1491"/>
      <c r="CZ6" s="1491"/>
      <c r="DA6" s="1491"/>
      <c r="DB6" s="1491"/>
      <c r="DC6" s="1491"/>
      <c r="DD6" s="1491"/>
      <c r="DE6" s="1491"/>
      <c r="DF6" s="1491"/>
      <c r="DG6" s="1491"/>
      <c r="DH6" s="1491"/>
      <c r="DI6" s="1491"/>
      <c r="DJ6" s="1491"/>
      <c r="DK6" s="1491"/>
      <c r="DL6" s="1491"/>
      <c r="DM6" s="1491"/>
      <c r="DN6" s="1491"/>
      <c r="DO6" s="1491"/>
      <c r="DP6" s="1491"/>
      <c r="DQ6" s="1491"/>
      <c r="DR6" s="1491"/>
      <c r="DS6" s="1491"/>
      <c r="DT6" s="1491"/>
      <c r="DU6" s="1491"/>
      <c r="DV6" s="1491"/>
      <c r="DW6" s="1491"/>
      <c r="DX6" s="1491"/>
      <c r="DY6" s="1491"/>
      <c r="DZ6" s="1491"/>
      <c r="EA6" s="1491"/>
      <c r="EB6" s="1491"/>
      <c r="EC6" s="1491"/>
      <c r="ED6" s="1491"/>
      <c r="EE6" s="1491"/>
      <c r="EF6" s="1491"/>
      <c r="EG6" s="1491"/>
      <c r="EH6" s="1491"/>
      <c r="EI6" s="1491"/>
      <c r="EJ6" s="1491"/>
      <c r="EK6" s="1491"/>
      <c r="EL6" s="1491"/>
      <c r="EM6" s="1491"/>
      <c r="EN6" s="1491"/>
      <c r="EO6" s="1491"/>
      <c r="EP6" s="1491"/>
      <c r="EQ6" s="1491"/>
      <c r="ER6" s="1491"/>
      <c r="ES6" s="1491"/>
      <c r="FC6" s="320" t="s">
        <v>57</v>
      </c>
      <c r="FE6" s="1497" t="s">
        <v>34</v>
      </c>
      <c r="FF6" s="1498"/>
      <c r="FG6" s="1498"/>
      <c r="FH6" s="1498"/>
      <c r="FI6" s="1498"/>
      <c r="FJ6" s="1498"/>
      <c r="FK6" s="1498"/>
      <c r="FL6" s="1498"/>
      <c r="FM6" s="1498"/>
      <c r="FN6" s="1498"/>
      <c r="FO6" s="1498"/>
      <c r="FP6" s="1498"/>
      <c r="FQ6" s="1498"/>
      <c r="FR6" s="1498"/>
      <c r="FS6" s="1498"/>
      <c r="FT6" s="1498"/>
      <c r="FU6" s="1498"/>
      <c r="FV6" s="1498"/>
      <c r="FW6" s="1498"/>
      <c r="FX6" s="1498"/>
      <c r="FY6" s="1498"/>
      <c r="FZ6" s="1498"/>
      <c r="GA6" s="1498"/>
      <c r="GB6" s="1498"/>
      <c r="GC6" s="1499"/>
    </row>
    <row r="7" spans="1:185" ht="13.7" customHeight="1" thickBot="1">
      <c r="FE7" s="1507"/>
      <c r="FF7" s="1508"/>
      <c r="FG7" s="1508"/>
      <c r="FH7" s="1508"/>
      <c r="FI7" s="1508"/>
      <c r="FJ7" s="1508"/>
      <c r="FK7" s="1508"/>
      <c r="FL7" s="1508"/>
      <c r="FM7" s="1508"/>
      <c r="FN7" s="1508"/>
      <c r="FO7" s="1508"/>
      <c r="FP7" s="1508"/>
      <c r="FQ7" s="1508"/>
      <c r="FR7" s="1508"/>
      <c r="FS7" s="1508"/>
      <c r="FT7" s="1508"/>
      <c r="FU7" s="1508"/>
      <c r="FV7" s="1508"/>
      <c r="FW7" s="1508"/>
      <c r="FX7" s="1508"/>
      <c r="FY7" s="1508"/>
      <c r="FZ7" s="1508"/>
      <c r="GA7" s="1508"/>
      <c r="GB7" s="1508"/>
      <c r="GC7" s="1509"/>
    </row>
    <row r="9" spans="1:185">
      <c r="A9" s="2035" t="s">
        <v>283</v>
      </c>
      <c r="B9" s="2036"/>
      <c r="C9" s="2036"/>
      <c r="D9" s="2036"/>
      <c r="E9" s="2037"/>
      <c r="F9" s="2035" t="s">
        <v>520</v>
      </c>
      <c r="G9" s="2035" t="s">
        <v>521</v>
      </c>
      <c r="H9" s="2036"/>
      <c r="I9" s="2036"/>
      <c r="J9" s="2036"/>
      <c r="K9" s="2036"/>
      <c r="L9" s="2036"/>
      <c r="M9" s="2036"/>
      <c r="N9" s="2036"/>
      <c r="O9" s="2036"/>
      <c r="P9" s="2036"/>
      <c r="Q9" s="2036"/>
      <c r="R9" s="2036"/>
      <c r="S9" s="2036"/>
      <c r="T9" s="2036"/>
      <c r="U9" s="2036"/>
      <c r="V9" s="2036"/>
      <c r="W9" s="2035" t="s">
        <v>153</v>
      </c>
      <c r="X9" s="2036"/>
      <c r="Y9" s="2036"/>
      <c r="Z9" s="2036"/>
      <c r="AA9" s="2036"/>
      <c r="AB9" s="2036"/>
      <c r="AC9" s="2036"/>
      <c r="AD9" s="2036"/>
      <c r="AE9" s="2036"/>
      <c r="AF9" s="2036"/>
      <c r="AG9" s="2036"/>
      <c r="AH9" s="2036"/>
      <c r="AI9" s="2036"/>
      <c r="AJ9" s="2036"/>
      <c r="AK9" s="2036"/>
      <c r="AL9" s="2036"/>
      <c r="AM9" s="2036"/>
      <c r="AN9" s="2037"/>
      <c r="AO9" s="2035" t="s">
        <v>522</v>
      </c>
      <c r="AP9" s="2036"/>
      <c r="AQ9" s="2036"/>
      <c r="AR9" s="2036"/>
      <c r="AS9" s="2036"/>
      <c r="AT9" s="2036"/>
      <c r="AU9" s="2036"/>
      <c r="AV9" s="2036"/>
      <c r="AW9" s="2036"/>
      <c r="AX9" s="2036"/>
      <c r="AY9" s="2036"/>
      <c r="AZ9" s="2036"/>
      <c r="BA9" s="2036"/>
      <c r="BB9" s="2036"/>
      <c r="BC9" s="2037"/>
      <c r="BD9" s="1544" t="s">
        <v>523</v>
      </c>
      <c r="BE9" s="1544"/>
      <c r="BF9" s="1544"/>
      <c r="BG9" s="1544"/>
      <c r="BH9" s="1544"/>
      <c r="BI9" s="1544"/>
      <c r="BJ9" s="1544"/>
      <c r="BK9" s="1544"/>
      <c r="BL9" s="1544"/>
      <c r="BM9" s="1544"/>
      <c r="BN9" s="1544"/>
      <c r="BO9" s="1544"/>
      <c r="BP9" s="1544"/>
      <c r="BQ9" s="1544"/>
      <c r="BR9" s="1544"/>
      <c r="BS9" s="1544"/>
      <c r="BT9" s="1544"/>
      <c r="BU9" s="1544"/>
      <c r="BV9" s="1544"/>
      <c r="BW9" s="1544"/>
      <c r="BX9" s="1544"/>
      <c r="BY9" s="1544"/>
      <c r="BZ9" s="1544"/>
      <c r="CA9" s="1544"/>
      <c r="CB9" s="1544"/>
      <c r="CC9" s="1544"/>
      <c r="CD9" s="1544"/>
      <c r="CE9" s="1544"/>
      <c r="CF9" s="1544"/>
      <c r="CG9" s="1544"/>
      <c r="CH9" s="1544"/>
      <c r="CI9" s="1544"/>
      <c r="CJ9" s="1544"/>
      <c r="CK9" s="1544"/>
      <c r="CL9" s="1544"/>
      <c r="CM9" s="1544"/>
      <c r="CN9" s="1544"/>
      <c r="CO9" s="1544"/>
      <c r="CP9" s="1544"/>
      <c r="CQ9" s="1544"/>
      <c r="CR9" s="1544"/>
      <c r="CS9" s="1544"/>
      <c r="CT9" s="1544"/>
      <c r="CU9" s="1544"/>
      <c r="CV9" s="1544"/>
      <c r="CW9" s="1544"/>
      <c r="CX9" s="1544"/>
      <c r="CY9" s="1544"/>
      <c r="CZ9" s="1544"/>
      <c r="DA9" s="1544"/>
      <c r="DB9" s="1544"/>
      <c r="DC9" s="1544"/>
      <c r="DD9" s="1544"/>
      <c r="DE9" s="1544"/>
      <c r="DF9" s="1544"/>
      <c r="DG9" s="1544"/>
      <c r="DH9" s="1544"/>
      <c r="DI9" s="1544"/>
      <c r="DJ9" s="1544"/>
      <c r="DK9" s="1544"/>
      <c r="DL9" s="1544"/>
      <c r="DM9" s="1544"/>
      <c r="DN9" s="1544"/>
      <c r="DO9" s="1544"/>
      <c r="DP9" s="1544"/>
      <c r="DQ9" s="1544"/>
      <c r="DR9" s="1544"/>
      <c r="DS9" s="1544"/>
      <c r="DT9" s="1544"/>
      <c r="DU9" s="1544"/>
      <c r="DV9" s="1544"/>
      <c r="DW9" s="1544"/>
      <c r="DX9" s="1544"/>
      <c r="DY9" s="1544"/>
      <c r="DZ9" s="1544"/>
      <c r="EA9" s="1544"/>
      <c r="EB9" s="1544"/>
      <c r="EC9" s="1544"/>
      <c r="ED9" s="1544"/>
      <c r="EE9" s="1544"/>
      <c r="EF9" s="1544"/>
      <c r="EG9" s="1544"/>
      <c r="EH9" s="1544"/>
      <c r="EI9" s="1544"/>
      <c r="EJ9" s="1544"/>
      <c r="EK9" s="1544"/>
      <c r="EL9" s="1544"/>
      <c r="EM9" s="1544"/>
      <c r="EN9" s="1544"/>
      <c r="EO9" s="1544"/>
      <c r="EP9" s="1544"/>
      <c r="EQ9" s="1544"/>
      <c r="ER9" s="1544"/>
      <c r="ES9" s="1544"/>
      <c r="ET9" s="1544"/>
      <c r="EU9" s="1544"/>
      <c r="EV9" s="1544"/>
      <c r="EW9" s="1544"/>
      <c r="EX9" s="1544"/>
      <c r="EY9" s="1544"/>
      <c r="EZ9" s="1544"/>
      <c r="FA9" s="1544"/>
      <c r="FB9" s="1544"/>
      <c r="FC9" s="1544"/>
      <c r="FD9" s="1544"/>
      <c r="FE9" s="1544"/>
      <c r="FF9" s="1544"/>
      <c r="FG9" s="1544"/>
      <c r="FH9" s="1544"/>
      <c r="FI9" s="1544"/>
      <c r="FJ9" s="1544"/>
      <c r="FK9" s="1544"/>
      <c r="FL9" s="1544"/>
      <c r="FM9" s="1544"/>
      <c r="FN9" s="1544"/>
      <c r="FO9" s="1544"/>
      <c r="FP9" s="1544"/>
      <c r="FQ9" s="1544"/>
      <c r="FR9" s="1544"/>
      <c r="FS9" s="1544"/>
      <c r="FT9" s="1544"/>
      <c r="FU9" s="1544"/>
      <c r="FV9" s="1544"/>
      <c r="FW9" s="1544"/>
      <c r="FX9" s="1544"/>
      <c r="FY9" s="1544"/>
      <c r="FZ9" s="1544"/>
      <c r="GA9" s="1544"/>
      <c r="GB9" s="1544"/>
      <c r="GC9" s="1544"/>
    </row>
    <row r="10" spans="1:185">
      <c r="A10" s="2041"/>
      <c r="B10" s="2042"/>
      <c r="C10" s="2042"/>
      <c r="D10" s="2042"/>
      <c r="E10" s="2043"/>
      <c r="F10" s="2041"/>
      <c r="G10" s="2041"/>
      <c r="H10" s="2042"/>
      <c r="I10" s="2042"/>
      <c r="J10" s="2042"/>
      <c r="K10" s="2042"/>
      <c r="L10" s="2042"/>
      <c r="M10" s="2042"/>
      <c r="N10" s="2042"/>
      <c r="O10" s="2042"/>
      <c r="P10" s="2042"/>
      <c r="Q10" s="2042"/>
      <c r="R10" s="2042"/>
      <c r="S10" s="2042"/>
      <c r="T10" s="2042"/>
      <c r="U10" s="2042"/>
      <c r="V10" s="2042"/>
      <c r="W10" s="2038"/>
      <c r="X10" s="2039"/>
      <c r="Y10" s="2039"/>
      <c r="Z10" s="2039"/>
      <c r="AA10" s="2039"/>
      <c r="AB10" s="2039"/>
      <c r="AC10" s="2039"/>
      <c r="AD10" s="2039"/>
      <c r="AE10" s="2039"/>
      <c r="AF10" s="2039"/>
      <c r="AG10" s="2039"/>
      <c r="AH10" s="2039"/>
      <c r="AI10" s="2039"/>
      <c r="AJ10" s="2039"/>
      <c r="AK10" s="2039"/>
      <c r="AL10" s="2039"/>
      <c r="AM10" s="2039"/>
      <c r="AN10" s="2040"/>
      <c r="AO10" s="2041"/>
      <c r="AP10" s="2042"/>
      <c r="AQ10" s="2042"/>
      <c r="AR10" s="2042"/>
      <c r="AS10" s="2042"/>
      <c r="AT10" s="2042"/>
      <c r="AU10" s="2042"/>
      <c r="AV10" s="2042"/>
      <c r="AW10" s="2042"/>
      <c r="AX10" s="2042"/>
      <c r="AY10" s="2042"/>
      <c r="AZ10" s="2042"/>
      <c r="BA10" s="2042"/>
      <c r="BB10" s="2042"/>
      <c r="BC10" s="2043"/>
      <c r="BD10" s="1996" t="s">
        <v>524</v>
      </c>
      <c r="BE10" s="1997"/>
      <c r="BF10" s="1997"/>
      <c r="BG10" s="1997"/>
      <c r="BH10" s="1997"/>
      <c r="BI10" s="1997"/>
      <c r="BJ10" s="1997"/>
      <c r="BK10" s="1997"/>
      <c r="BL10" s="1997"/>
      <c r="BM10" s="1997"/>
      <c r="BN10" s="1997"/>
      <c r="BO10" s="1997"/>
      <c r="BP10" s="1997"/>
      <c r="BQ10" s="1997"/>
      <c r="BR10" s="1997"/>
      <c r="BS10" s="1997"/>
      <c r="BT10" s="1997"/>
      <c r="BU10" s="1997"/>
      <c r="BV10" s="1997"/>
      <c r="BW10" s="1997"/>
      <c r="BX10" s="1997"/>
      <c r="BY10" s="1997"/>
      <c r="BZ10" s="1997"/>
      <c r="CA10" s="1997"/>
      <c r="CB10" s="1997"/>
      <c r="CC10" s="1997"/>
      <c r="CD10" s="1997"/>
      <c r="CE10" s="1997"/>
      <c r="CF10" s="1997"/>
      <c r="CG10" s="1997"/>
      <c r="CH10" s="1997"/>
      <c r="CI10" s="1997"/>
      <c r="CJ10" s="1997"/>
      <c r="CK10" s="1997"/>
      <c r="CL10" s="1997"/>
      <c r="CM10" s="1997"/>
      <c r="CN10" s="1997"/>
      <c r="CO10" s="1997"/>
      <c r="CP10" s="1997"/>
      <c r="CQ10" s="1997"/>
      <c r="CR10" s="1997"/>
      <c r="CS10" s="1997"/>
      <c r="CT10" s="1997"/>
      <c r="CU10" s="1997"/>
      <c r="CV10" s="1997"/>
      <c r="CW10" s="1997"/>
      <c r="CX10" s="1997"/>
      <c r="CY10" s="1997"/>
      <c r="CZ10" s="1997"/>
      <c r="DA10" s="1997"/>
      <c r="DB10" s="1997"/>
      <c r="DC10" s="1997"/>
      <c r="DD10" s="1997"/>
      <c r="DE10" s="1997"/>
      <c r="DF10" s="1997"/>
      <c r="DG10" s="1997"/>
      <c r="DH10" s="1997"/>
      <c r="DI10" s="1997"/>
      <c r="DJ10" s="1997"/>
      <c r="DK10" s="1997"/>
      <c r="DL10" s="1997"/>
      <c r="DM10" s="1997"/>
      <c r="DN10" s="1997"/>
      <c r="DO10" s="1997"/>
      <c r="DP10" s="1997"/>
      <c r="DQ10" s="1997"/>
      <c r="DR10" s="1997"/>
      <c r="DS10" s="1997"/>
      <c r="DT10" s="1997"/>
      <c r="DU10" s="1997"/>
      <c r="DV10" s="1997"/>
      <c r="DW10" s="1997"/>
      <c r="DX10" s="1997"/>
      <c r="DY10" s="1997"/>
      <c r="DZ10" s="1997"/>
      <c r="EA10" s="1997"/>
      <c r="EB10" s="1997"/>
      <c r="EC10" s="1997"/>
      <c r="ED10" s="1997"/>
      <c r="EE10" s="1997"/>
      <c r="EF10" s="1997"/>
      <c r="EG10" s="1997"/>
      <c r="EH10" s="1997"/>
      <c r="EI10" s="1997"/>
      <c r="EJ10" s="1997"/>
      <c r="EK10" s="1997"/>
      <c r="EL10" s="1997"/>
      <c r="EM10" s="1997"/>
      <c r="EN10" s="1997"/>
      <c r="EO10" s="1997"/>
      <c r="EP10" s="1997"/>
      <c r="EQ10" s="1997"/>
      <c r="ER10" s="1997"/>
      <c r="ES10" s="1997"/>
      <c r="ET10" s="1997"/>
      <c r="EU10" s="1997"/>
      <c r="EV10" s="1997"/>
      <c r="EW10" s="1997"/>
      <c r="EX10" s="1997"/>
      <c r="EY10" s="1997"/>
      <c r="EZ10" s="1997"/>
      <c r="FA10" s="1997"/>
      <c r="FB10" s="1997"/>
      <c r="FC10" s="1997"/>
      <c r="FD10" s="1998"/>
      <c r="FE10" s="1996" t="s">
        <v>525</v>
      </c>
      <c r="FF10" s="1997"/>
      <c r="FG10" s="1997"/>
      <c r="FH10" s="1997"/>
      <c r="FI10" s="1997"/>
      <c r="FJ10" s="1997"/>
      <c r="FK10" s="1997"/>
      <c r="FL10" s="1997"/>
      <c r="FM10" s="1997"/>
      <c r="FN10" s="1997"/>
      <c r="FO10" s="1997"/>
      <c r="FP10" s="1997"/>
      <c r="FQ10" s="1997"/>
      <c r="FR10" s="1997"/>
      <c r="FS10" s="1997"/>
      <c r="FT10" s="1997"/>
      <c r="FU10" s="1997"/>
      <c r="FV10" s="1997"/>
      <c r="FW10" s="1997"/>
      <c r="FX10" s="1997"/>
      <c r="FY10" s="1997"/>
      <c r="FZ10" s="1997"/>
      <c r="GA10" s="1997"/>
      <c r="GB10" s="1997"/>
      <c r="GC10" s="1998"/>
    </row>
    <row r="11" spans="1:185" ht="23.25" customHeight="1">
      <c r="A11" s="2041"/>
      <c r="B11" s="2042"/>
      <c r="C11" s="2042"/>
      <c r="D11" s="2042"/>
      <c r="E11" s="2043"/>
      <c r="F11" s="2041"/>
      <c r="G11" s="2041"/>
      <c r="H11" s="2042"/>
      <c r="I11" s="2042"/>
      <c r="J11" s="2042"/>
      <c r="K11" s="2042"/>
      <c r="L11" s="2042"/>
      <c r="M11" s="2042"/>
      <c r="N11" s="2042"/>
      <c r="O11" s="2042"/>
      <c r="P11" s="2042"/>
      <c r="Q11" s="2042"/>
      <c r="R11" s="2042"/>
      <c r="S11" s="2042"/>
      <c r="T11" s="2042"/>
      <c r="U11" s="2042"/>
      <c r="V11" s="2042"/>
      <c r="W11" s="2035" t="s">
        <v>355</v>
      </c>
      <c r="X11" s="2036"/>
      <c r="Y11" s="2036"/>
      <c r="Z11" s="2036"/>
      <c r="AA11" s="2036"/>
      <c r="AB11" s="2036"/>
      <c r="AC11" s="2036"/>
      <c r="AD11" s="2036"/>
      <c r="AE11" s="2036"/>
      <c r="AF11" s="2037"/>
      <c r="AG11" s="2035" t="s">
        <v>7</v>
      </c>
      <c r="AH11" s="2036"/>
      <c r="AI11" s="2036"/>
      <c r="AJ11" s="2036"/>
      <c r="AK11" s="2036"/>
      <c r="AL11" s="2036"/>
      <c r="AM11" s="2036"/>
      <c r="AN11" s="2037"/>
      <c r="AO11" s="2041"/>
      <c r="AP11" s="2042"/>
      <c r="AQ11" s="2042"/>
      <c r="AR11" s="2042"/>
      <c r="AS11" s="2042"/>
      <c r="AT11" s="2042"/>
      <c r="AU11" s="2042"/>
      <c r="AV11" s="2042"/>
      <c r="AW11" s="2042"/>
      <c r="AX11" s="2042"/>
      <c r="AY11" s="2042"/>
      <c r="AZ11" s="2042"/>
      <c r="BA11" s="2042"/>
      <c r="BB11" s="2042"/>
      <c r="BC11" s="2043"/>
      <c r="BD11" s="2035" t="s">
        <v>526</v>
      </c>
      <c r="BE11" s="2036"/>
      <c r="BF11" s="2036"/>
      <c r="BG11" s="2036"/>
      <c r="BH11" s="2036"/>
      <c r="BI11" s="2036"/>
      <c r="BJ11" s="2036"/>
      <c r="BK11" s="2036"/>
      <c r="BL11" s="2036"/>
      <c r="BM11" s="2036"/>
      <c r="BN11" s="2036"/>
      <c r="BO11" s="2036"/>
      <c r="BP11" s="2036"/>
      <c r="BQ11" s="2036"/>
      <c r="BR11" s="2036"/>
      <c r="BS11" s="2036"/>
      <c r="BT11" s="2037"/>
      <c r="BU11" s="1999" t="s">
        <v>527</v>
      </c>
      <c r="BV11" s="2000"/>
      <c r="BW11" s="2000"/>
      <c r="BX11" s="2000"/>
      <c r="BY11" s="2000"/>
      <c r="BZ11" s="2000"/>
      <c r="CA11" s="2000"/>
      <c r="CB11" s="2000"/>
      <c r="CC11" s="2000"/>
      <c r="CD11" s="2000"/>
      <c r="CE11" s="2000"/>
      <c r="CF11" s="2000"/>
      <c r="CG11" s="2000"/>
      <c r="CH11" s="2000"/>
      <c r="CI11" s="2000"/>
      <c r="CJ11" s="2000"/>
      <c r="CK11" s="2000"/>
      <c r="CL11" s="2000"/>
      <c r="CM11" s="2000"/>
      <c r="CN11" s="2000"/>
      <c r="CO11" s="2000"/>
      <c r="CP11" s="2000"/>
      <c r="CQ11" s="2000"/>
      <c r="CR11" s="2000"/>
      <c r="CS11" s="2000"/>
      <c r="CT11" s="2001"/>
      <c r="CU11" s="2035" t="s">
        <v>528</v>
      </c>
      <c r="CV11" s="2036"/>
      <c r="CW11" s="2036"/>
      <c r="CX11" s="2036"/>
      <c r="CY11" s="2036"/>
      <c r="CZ11" s="2036"/>
      <c r="DA11" s="2036"/>
      <c r="DB11" s="2036"/>
      <c r="DC11" s="2036"/>
      <c r="DD11" s="2036"/>
      <c r="DE11" s="2036"/>
      <c r="DF11" s="2036"/>
      <c r="DG11" s="2036"/>
      <c r="DH11" s="2036"/>
      <c r="DI11" s="2036"/>
      <c r="DJ11" s="2036"/>
      <c r="DK11" s="2037"/>
      <c r="DL11" s="1999" t="s">
        <v>529</v>
      </c>
      <c r="DM11" s="2000"/>
      <c r="DN11" s="2000"/>
      <c r="DO11" s="2000"/>
      <c r="DP11" s="2000"/>
      <c r="DQ11" s="2000"/>
      <c r="DR11" s="2000"/>
      <c r="DS11" s="2000"/>
      <c r="DT11" s="2000"/>
      <c r="DU11" s="2000"/>
      <c r="DV11" s="2000"/>
      <c r="DW11" s="2000"/>
      <c r="DX11" s="2000"/>
      <c r="DY11" s="2000"/>
      <c r="DZ11" s="2000"/>
      <c r="EA11" s="2000"/>
      <c r="EB11" s="2000"/>
      <c r="EC11" s="2000"/>
      <c r="ED11" s="2000"/>
      <c r="EE11" s="2000"/>
      <c r="EF11" s="2000"/>
      <c r="EG11" s="2000"/>
      <c r="EH11" s="2000"/>
      <c r="EI11" s="2000"/>
      <c r="EJ11" s="2000"/>
      <c r="EK11" s="2001"/>
      <c r="EL11" s="2035" t="s">
        <v>530</v>
      </c>
      <c r="EM11" s="2036"/>
      <c r="EN11" s="2036"/>
      <c r="EO11" s="2036"/>
      <c r="EP11" s="2036"/>
      <c r="EQ11" s="2036"/>
      <c r="ER11" s="2036"/>
      <c r="ES11" s="2036"/>
      <c r="ET11" s="2036"/>
      <c r="EU11" s="2036"/>
      <c r="EV11" s="2036"/>
      <c r="EW11" s="2036"/>
      <c r="EX11" s="2036"/>
      <c r="EY11" s="2036"/>
      <c r="EZ11" s="2036"/>
      <c r="FA11" s="2036"/>
      <c r="FB11" s="2036"/>
      <c r="FC11" s="2036"/>
      <c r="FD11" s="2037"/>
      <c r="FE11" s="2035" t="s">
        <v>286</v>
      </c>
      <c r="FF11" s="2036"/>
      <c r="FG11" s="2036"/>
      <c r="FH11" s="2036"/>
      <c r="FI11" s="2036"/>
      <c r="FJ11" s="2036"/>
      <c r="FK11" s="2036"/>
      <c r="FL11" s="2036"/>
      <c r="FM11" s="2036"/>
      <c r="FN11" s="2037"/>
      <c r="FO11" s="2035" t="s">
        <v>360</v>
      </c>
      <c r="FP11" s="2036"/>
      <c r="FQ11" s="2036"/>
      <c r="FR11" s="2036"/>
      <c r="FS11" s="2036"/>
      <c r="FT11" s="2036"/>
      <c r="FU11" s="2036"/>
      <c r="FV11" s="2036"/>
      <c r="FW11" s="2036"/>
      <c r="FX11" s="2036"/>
      <c r="FY11" s="2036"/>
      <c r="FZ11" s="2036"/>
      <c r="GA11" s="2036"/>
      <c r="GB11" s="2036"/>
      <c r="GC11" s="2037"/>
    </row>
    <row r="12" spans="1:185" ht="21.75" customHeight="1">
      <c r="A12" s="2038"/>
      <c r="B12" s="2039"/>
      <c r="C12" s="2039"/>
      <c r="D12" s="2039"/>
      <c r="E12" s="2040"/>
      <c r="F12" s="2038"/>
      <c r="G12" s="2038"/>
      <c r="H12" s="2039"/>
      <c r="I12" s="2039"/>
      <c r="J12" s="2039"/>
      <c r="K12" s="2039"/>
      <c r="L12" s="2039"/>
      <c r="M12" s="2039"/>
      <c r="N12" s="2039"/>
      <c r="O12" s="2039"/>
      <c r="P12" s="2039"/>
      <c r="Q12" s="2039"/>
      <c r="R12" s="2039"/>
      <c r="S12" s="2039"/>
      <c r="T12" s="2039"/>
      <c r="U12" s="2039"/>
      <c r="V12" s="2039"/>
      <c r="W12" s="2038"/>
      <c r="X12" s="2039"/>
      <c r="Y12" s="2039"/>
      <c r="Z12" s="2039"/>
      <c r="AA12" s="2039"/>
      <c r="AB12" s="2039"/>
      <c r="AC12" s="2039"/>
      <c r="AD12" s="2039"/>
      <c r="AE12" s="2039"/>
      <c r="AF12" s="2040"/>
      <c r="AG12" s="2038"/>
      <c r="AH12" s="2039"/>
      <c r="AI12" s="2039"/>
      <c r="AJ12" s="2039"/>
      <c r="AK12" s="2039"/>
      <c r="AL12" s="2039"/>
      <c r="AM12" s="2039"/>
      <c r="AN12" s="2040"/>
      <c r="AO12" s="2038"/>
      <c r="AP12" s="2039"/>
      <c r="AQ12" s="2039"/>
      <c r="AR12" s="2039"/>
      <c r="AS12" s="2039"/>
      <c r="AT12" s="2039"/>
      <c r="AU12" s="2039"/>
      <c r="AV12" s="2039"/>
      <c r="AW12" s="2039"/>
      <c r="AX12" s="2039"/>
      <c r="AY12" s="2039"/>
      <c r="AZ12" s="2039"/>
      <c r="BA12" s="2039"/>
      <c r="BB12" s="2039"/>
      <c r="BC12" s="2040"/>
      <c r="BD12" s="2038"/>
      <c r="BE12" s="2039"/>
      <c r="BF12" s="2039"/>
      <c r="BG12" s="2039"/>
      <c r="BH12" s="2039"/>
      <c r="BI12" s="2039"/>
      <c r="BJ12" s="2039"/>
      <c r="BK12" s="2039"/>
      <c r="BL12" s="2039"/>
      <c r="BM12" s="2039"/>
      <c r="BN12" s="2039"/>
      <c r="BO12" s="2039"/>
      <c r="BP12" s="2039"/>
      <c r="BQ12" s="2039"/>
      <c r="BR12" s="2039"/>
      <c r="BS12" s="2039"/>
      <c r="BT12" s="2040"/>
      <c r="BU12" s="1999" t="s">
        <v>286</v>
      </c>
      <c r="BV12" s="2000"/>
      <c r="BW12" s="2000"/>
      <c r="BX12" s="2000"/>
      <c r="BY12" s="2000"/>
      <c r="BZ12" s="2000"/>
      <c r="CA12" s="2000"/>
      <c r="CB12" s="2000"/>
      <c r="CC12" s="2001"/>
      <c r="CD12" s="1999" t="s">
        <v>360</v>
      </c>
      <c r="CE12" s="2000"/>
      <c r="CF12" s="2000"/>
      <c r="CG12" s="2000"/>
      <c r="CH12" s="2000"/>
      <c r="CI12" s="2000"/>
      <c r="CJ12" s="2000"/>
      <c r="CK12" s="2000"/>
      <c r="CL12" s="2000"/>
      <c r="CM12" s="2000"/>
      <c r="CN12" s="2000"/>
      <c r="CO12" s="2000"/>
      <c r="CP12" s="2000"/>
      <c r="CQ12" s="2000"/>
      <c r="CR12" s="2000"/>
      <c r="CS12" s="2000"/>
      <c r="CT12" s="2001"/>
      <c r="CU12" s="2038"/>
      <c r="CV12" s="2039"/>
      <c r="CW12" s="2039"/>
      <c r="CX12" s="2039"/>
      <c r="CY12" s="2039"/>
      <c r="CZ12" s="2039"/>
      <c r="DA12" s="2039"/>
      <c r="DB12" s="2039"/>
      <c r="DC12" s="2039"/>
      <c r="DD12" s="2039"/>
      <c r="DE12" s="2039"/>
      <c r="DF12" s="2039"/>
      <c r="DG12" s="2039"/>
      <c r="DH12" s="2039"/>
      <c r="DI12" s="2039"/>
      <c r="DJ12" s="2039"/>
      <c r="DK12" s="2040"/>
      <c r="DL12" s="1999" t="s">
        <v>286</v>
      </c>
      <c r="DM12" s="2000"/>
      <c r="DN12" s="2000"/>
      <c r="DO12" s="2000"/>
      <c r="DP12" s="2000"/>
      <c r="DQ12" s="2000"/>
      <c r="DR12" s="2000"/>
      <c r="DS12" s="2000"/>
      <c r="DT12" s="2001"/>
      <c r="DU12" s="1999" t="s">
        <v>360</v>
      </c>
      <c r="DV12" s="2000"/>
      <c r="DW12" s="2000"/>
      <c r="DX12" s="2000"/>
      <c r="DY12" s="2000"/>
      <c r="DZ12" s="2000"/>
      <c r="EA12" s="2000"/>
      <c r="EB12" s="2000"/>
      <c r="EC12" s="2000"/>
      <c r="ED12" s="2000"/>
      <c r="EE12" s="2000"/>
      <c r="EF12" s="2000"/>
      <c r="EG12" s="2000"/>
      <c r="EH12" s="2000"/>
      <c r="EI12" s="2000"/>
      <c r="EJ12" s="2000"/>
      <c r="EK12" s="2001"/>
      <c r="EL12" s="2038"/>
      <c r="EM12" s="2039"/>
      <c r="EN12" s="2039"/>
      <c r="EO12" s="2039"/>
      <c r="EP12" s="2039"/>
      <c r="EQ12" s="2039"/>
      <c r="ER12" s="2039"/>
      <c r="ES12" s="2039"/>
      <c r="ET12" s="2039"/>
      <c r="EU12" s="2039"/>
      <c r="EV12" s="2039"/>
      <c r="EW12" s="2039"/>
      <c r="EX12" s="2039"/>
      <c r="EY12" s="2039"/>
      <c r="EZ12" s="2039"/>
      <c r="FA12" s="2039"/>
      <c r="FB12" s="2039"/>
      <c r="FC12" s="2039"/>
      <c r="FD12" s="2040"/>
      <c r="FE12" s="2038"/>
      <c r="FF12" s="2039"/>
      <c r="FG12" s="2039"/>
      <c r="FH12" s="2039"/>
      <c r="FI12" s="2039"/>
      <c r="FJ12" s="2039"/>
      <c r="FK12" s="2039"/>
      <c r="FL12" s="2039"/>
      <c r="FM12" s="2039"/>
      <c r="FN12" s="2040"/>
      <c r="FO12" s="2038"/>
      <c r="FP12" s="2039"/>
      <c r="FQ12" s="2039"/>
      <c r="FR12" s="2039"/>
      <c r="FS12" s="2039"/>
      <c r="FT12" s="2039"/>
      <c r="FU12" s="2039"/>
      <c r="FV12" s="2039"/>
      <c r="FW12" s="2039"/>
      <c r="FX12" s="2039"/>
      <c r="FY12" s="2039"/>
      <c r="FZ12" s="2039"/>
      <c r="GA12" s="2039"/>
      <c r="GB12" s="2039"/>
      <c r="GC12" s="2040"/>
    </row>
    <row r="13" spans="1:185" ht="12.75" customHeight="1">
      <c r="A13" s="1996">
        <v>1</v>
      </c>
      <c r="B13" s="1997"/>
      <c r="C13" s="1997"/>
      <c r="D13" s="1997"/>
      <c r="E13" s="1998"/>
      <c r="F13" s="628">
        <v>2</v>
      </c>
      <c r="G13" s="1996">
        <v>3</v>
      </c>
      <c r="H13" s="1997"/>
      <c r="I13" s="1997"/>
      <c r="J13" s="1997"/>
      <c r="K13" s="1997"/>
      <c r="L13" s="1997"/>
      <c r="M13" s="1997"/>
      <c r="N13" s="1997"/>
      <c r="O13" s="1997"/>
      <c r="P13" s="1997"/>
      <c r="Q13" s="1997"/>
      <c r="R13" s="1997"/>
      <c r="S13" s="1997"/>
      <c r="T13" s="1997"/>
      <c r="U13" s="1997"/>
      <c r="V13" s="1997"/>
      <c r="W13" s="1996">
        <v>4</v>
      </c>
      <c r="X13" s="1997"/>
      <c r="Y13" s="1997"/>
      <c r="Z13" s="1997"/>
      <c r="AA13" s="1997"/>
      <c r="AB13" s="1997"/>
      <c r="AC13" s="1997"/>
      <c r="AD13" s="1997"/>
      <c r="AE13" s="1997"/>
      <c r="AF13" s="1998"/>
      <c r="AG13" s="1996">
        <v>5</v>
      </c>
      <c r="AH13" s="1997"/>
      <c r="AI13" s="1997"/>
      <c r="AJ13" s="1997"/>
      <c r="AK13" s="1997"/>
      <c r="AL13" s="1997"/>
      <c r="AM13" s="1997"/>
      <c r="AN13" s="1998"/>
      <c r="AO13" s="1996">
        <v>6</v>
      </c>
      <c r="AP13" s="1997"/>
      <c r="AQ13" s="1997"/>
      <c r="AR13" s="1997"/>
      <c r="AS13" s="1997"/>
      <c r="AT13" s="1997"/>
      <c r="AU13" s="1997"/>
      <c r="AV13" s="1997"/>
      <c r="AW13" s="1997"/>
      <c r="AX13" s="1997"/>
      <c r="AY13" s="1997"/>
      <c r="AZ13" s="1997"/>
      <c r="BA13" s="1997"/>
      <c r="BB13" s="1997"/>
      <c r="BC13" s="1998"/>
      <c r="BD13" s="1996">
        <v>7</v>
      </c>
      <c r="BE13" s="1997"/>
      <c r="BF13" s="1997"/>
      <c r="BG13" s="1997"/>
      <c r="BH13" s="1997"/>
      <c r="BI13" s="1997"/>
      <c r="BJ13" s="1997"/>
      <c r="BK13" s="1997"/>
      <c r="BL13" s="1997"/>
      <c r="BM13" s="1997"/>
      <c r="BN13" s="1997"/>
      <c r="BO13" s="1997"/>
      <c r="BP13" s="1997"/>
      <c r="BQ13" s="1997"/>
      <c r="BR13" s="1997"/>
      <c r="BS13" s="1997"/>
      <c r="BT13" s="1998"/>
      <c r="BU13" s="1996">
        <v>8</v>
      </c>
      <c r="BV13" s="1997"/>
      <c r="BW13" s="1997"/>
      <c r="BX13" s="1997"/>
      <c r="BY13" s="1997"/>
      <c r="BZ13" s="1997"/>
      <c r="CA13" s="1997"/>
      <c r="CB13" s="1997"/>
      <c r="CC13" s="1998"/>
      <c r="CD13" s="1996">
        <v>9</v>
      </c>
      <c r="CE13" s="1997"/>
      <c r="CF13" s="1997"/>
      <c r="CG13" s="1997"/>
      <c r="CH13" s="1997"/>
      <c r="CI13" s="1997"/>
      <c r="CJ13" s="1997"/>
      <c r="CK13" s="1997"/>
      <c r="CL13" s="1997"/>
      <c r="CM13" s="1997"/>
      <c r="CN13" s="1997"/>
      <c r="CO13" s="1997"/>
      <c r="CP13" s="1997"/>
      <c r="CQ13" s="1997"/>
      <c r="CR13" s="1997"/>
      <c r="CS13" s="1997"/>
      <c r="CT13" s="1998"/>
      <c r="CU13" s="1996">
        <v>10</v>
      </c>
      <c r="CV13" s="1997"/>
      <c r="CW13" s="1997"/>
      <c r="CX13" s="1997"/>
      <c r="CY13" s="1997"/>
      <c r="CZ13" s="1997"/>
      <c r="DA13" s="1997"/>
      <c r="DB13" s="1997"/>
      <c r="DC13" s="1997"/>
      <c r="DD13" s="1997"/>
      <c r="DE13" s="1997"/>
      <c r="DF13" s="1997"/>
      <c r="DG13" s="1997"/>
      <c r="DH13" s="1997"/>
      <c r="DI13" s="1997"/>
      <c r="DJ13" s="1997"/>
      <c r="DK13" s="1998"/>
      <c r="DL13" s="1996">
        <v>11</v>
      </c>
      <c r="DM13" s="1997"/>
      <c r="DN13" s="1997"/>
      <c r="DO13" s="1997"/>
      <c r="DP13" s="1997"/>
      <c r="DQ13" s="1997"/>
      <c r="DR13" s="1997"/>
      <c r="DS13" s="1997"/>
      <c r="DT13" s="1998"/>
      <c r="DU13" s="1996">
        <v>12</v>
      </c>
      <c r="DV13" s="1997"/>
      <c r="DW13" s="1997"/>
      <c r="DX13" s="1997"/>
      <c r="DY13" s="1997"/>
      <c r="DZ13" s="1997"/>
      <c r="EA13" s="1997"/>
      <c r="EB13" s="1997"/>
      <c r="EC13" s="1997"/>
      <c r="ED13" s="1997"/>
      <c r="EE13" s="1997"/>
      <c r="EF13" s="1997"/>
      <c r="EG13" s="1997"/>
      <c r="EH13" s="1997"/>
      <c r="EI13" s="1997"/>
      <c r="EJ13" s="1997"/>
      <c r="EK13" s="1998"/>
      <c r="EL13" s="1996">
        <v>13</v>
      </c>
      <c r="EM13" s="1997"/>
      <c r="EN13" s="1997"/>
      <c r="EO13" s="1997"/>
      <c r="EP13" s="1997"/>
      <c r="EQ13" s="1997"/>
      <c r="ER13" s="1997"/>
      <c r="ES13" s="1997"/>
      <c r="ET13" s="1997"/>
      <c r="EU13" s="1997"/>
      <c r="EV13" s="1997"/>
      <c r="EW13" s="1997"/>
      <c r="EX13" s="1997"/>
      <c r="EY13" s="1997"/>
      <c r="EZ13" s="1997"/>
      <c r="FA13" s="1997"/>
      <c r="FB13" s="1997"/>
      <c r="FC13" s="1997"/>
      <c r="FD13" s="1998"/>
      <c r="FE13" s="1996">
        <v>14</v>
      </c>
      <c r="FF13" s="1997"/>
      <c r="FG13" s="1997"/>
      <c r="FH13" s="1997"/>
      <c r="FI13" s="1997"/>
      <c r="FJ13" s="1997"/>
      <c r="FK13" s="1997"/>
      <c r="FL13" s="1997"/>
      <c r="FM13" s="1997"/>
      <c r="FN13" s="1998"/>
      <c r="FO13" s="1996">
        <v>15</v>
      </c>
      <c r="FP13" s="1997"/>
      <c r="FQ13" s="1997"/>
      <c r="FR13" s="1997"/>
      <c r="FS13" s="1997"/>
      <c r="FT13" s="1997"/>
      <c r="FU13" s="1997"/>
      <c r="FV13" s="1997"/>
      <c r="FW13" s="1997"/>
      <c r="FX13" s="1997"/>
      <c r="FY13" s="1997"/>
      <c r="FZ13" s="1997"/>
      <c r="GA13" s="1997"/>
      <c r="GB13" s="1997"/>
      <c r="GC13" s="1998"/>
    </row>
    <row r="14" spans="1:185">
      <c r="A14" s="2016" t="s">
        <v>4</v>
      </c>
      <c r="B14" s="2017"/>
      <c r="C14" s="2017"/>
      <c r="D14" s="2017"/>
      <c r="E14" s="2018"/>
      <c r="F14" s="629" t="s">
        <v>6</v>
      </c>
      <c r="G14" s="2019" t="s">
        <v>7</v>
      </c>
      <c r="H14" s="2020"/>
      <c r="I14" s="2020"/>
      <c r="J14" s="2020"/>
      <c r="K14" s="2020"/>
      <c r="L14" s="2020"/>
      <c r="M14" s="2020"/>
      <c r="N14" s="2020"/>
      <c r="O14" s="2020"/>
      <c r="P14" s="2020"/>
      <c r="Q14" s="2020"/>
      <c r="R14" s="2020"/>
      <c r="S14" s="2020"/>
      <c r="T14" s="2020"/>
      <c r="U14" s="2020"/>
      <c r="V14" s="2020"/>
      <c r="W14" s="2021" t="s">
        <v>8</v>
      </c>
      <c r="X14" s="2022"/>
      <c r="Y14" s="2022"/>
      <c r="Z14" s="2022"/>
      <c r="AA14" s="2022"/>
      <c r="AB14" s="2022"/>
      <c r="AC14" s="2022"/>
      <c r="AD14" s="2022"/>
      <c r="AE14" s="2022"/>
      <c r="AF14" s="2023"/>
      <c r="AG14" s="2019"/>
      <c r="AH14" s="2020"/>
      <c r="AI14" s="2020"/>
      <c r="AJ14" s="2020"/>
      <c r="AK14" s="2020"/>
      <c r="AL14" s="2020"/>
      <c r="AM14" s="2020"/>
      <c r="AN14" s="2024"/>
      <c r="AO14" s="2019" t="s">
        <v>5</v>
      </c>
      <c r="AP14" s="2020"/>
      <c r="AQ14" s="2020"/>
      <c r="AR14" s="2020"/>
      <c r="AS14" s="2020"/>
      <c r="AT14" s="2020"/>
      <c r="AU14" s="2020"/>
      <c r="AV14" s="2020"/>
      <c r="AW14" s="2020"/>
      <c r="AX14" s="2020"/>
      <c r="AY14" s="2020"/>
      <c r="AZ14" s="2020"/>
      <c r="BA14" s="2020"/>
      <c r="BB14" s="2020"/>
      <c r="BC14" s="2024"/>
      <c r="BD14" s="2010"/>
      <c r="BE14" s="2011"/>
      <c r="BF14" s="2011"/>
      <c r="BG14" s="2011"/>
      <c r="BH14" s="2011"/>
      <c r="BI14" s="2011"/>
      <c r="BJ14" s="2011"/>
      <c r="BK14" s="2011"/>
      <c r="BL14" s="2011"/>
      <c r="BM14" s="2011"/>
      <c r="BN14" s="2011"/>
      <c r="BO14" s="2011"/>
      <c r="BP14" s="2011"/>
      <c r="BQ14" s="2011"/>
      <c r="BR14" s="2011"/>
      <c r="BS14" s="2011"/>
      <c r="BT14" s="2012"/>
      <c r="BU14" s="2003" t="s">
        <v>12</v>
      </c>
      <c r="BV14" s="2004"/>
      <c r="BW14" s="2004"/>
      <c r="BX14" s="2004"/>
      <c r="BY14" s="2004"/>
      <c r="BZ14" s="2004"/>
      <c r="CA14" s="2004"/>
      <c r="CB14" s="2004"/>
      <c r="CC14" s="2005"/>
      <c r="CD14" s="2007" t="s">
        <v>13</v>
      </c>
      <c r="CE14" s="2008"/>
      <c r="CF14" s="2008"/>
      <c r="CG14" s="2008"/>
      <c r="CH14" s="2008"/>
      <c r="CI14" s="2008"/>
      <c r="CJ14" s="2008"/>
      <c r="CK14" s="2008"/>
      <c r="CL14" s="2008"/>
      <c r="CM14" s="2008"/>
      <c r="CN14" s="2008"/>
      <c r="CO14" s="2008"/>
      <c r="CP14" s="2008"/>
      <c r="CQ14" s="2008"/>
      <c r="CR14" s="2008"/>
      <c r="CS14" s="2008"/>
      <c r="CT14" s="2009"/>
      <c r="CU14" s="2007"/>
      <c r="CV14" s="2008"/>
      <c r="CW14" s="2008"/>
      <c r="CX14" s="2008"/>
      <c r="CY14" s="2008"/>
      <c r="CZ14" s="2008"/>
      <c r="DA14" s="2008"/>
      <c r="DB14" s="2008"/>
      <c r="DC14" s="2008"/>
      <c r="DD14" s="2008"/>
      <c r="DE14" s="2008"/>
      <c r="DF14" s="2008"/>
      <c r="DG14" s="2008"/>
      <c r="DH14" s="2008"/>
      <c r="DI14" s="2008"/>
      <c r="DJ14" s="2008"/>
      <c r="DK14" s="2009"/>
      <c r="DL14" s="2007"/>
      <c r="DM14" s="2008"/>
      <c r="DN14" s="2008"/>
      <c r="DO14" s="2008"/>
      <c r="DP14" s="2008"/>
      <c r="DQ14" s="2008"/>
      <c r="DR14" s="2008"/>
      <c r="DS14" s="2008"/>
      <c r="DT14" s="2009"/>
      <c r="DU14" s="2007"/>
      <c r="DV14" s="2008"/>
      <c r="DW14" s="2008"/>
      <c r="DX14" s="2008"/>
      <c r="DY14" s="2008"/>
      <c r="DZ14" s="2008"/>
      <c r="EA14" s="2008"/>
      <c r="EB14" s="2008"/>
      <c r="EC14" s="2008"/>
      <c r="ED14" s="2008"/>
      <c r="EE14" s="2008"/>
      <c r="EF14" s="2008"/>
      <c r="EG14" s="2008"/>
      <c r="EH14" s="2008"/>
      <c r="EI14" s="2008"/>
      <c r="EJ14" s="2008"/>
      <c r="EK14" s="2009"/>
      <c r="EL14" s="2013"/>
      <c r="EM14" s="2014"/>
      <c r="EN14" s="2014"/>
      <c r="EO14" s="2014"/>
      <c r="EP14" s="2014"/>
      <c r="EQ14" s="2014"/>
      <c r="ER14" s="2014"/>
      <c r="ES14" s="2014"/>
      <c r="ET14" s="2014"/>
      <c r="EU14" s="2014"/>
      <c r="EV14" s="2014"/>
      <c r="EW14" s="2014"/>
      <c r="EX14" s="2014"/>
      <c r="EY14" s="2014"/>
      <c r="EZ14" s="2014"/>
      <c r="FA14" s="2014"/>
      <c r="FB14" s="2014"/>
      <c r="FC14" s="2014"/>
      <c r="FD14" s="2015"/>
      <c r="FE14" s="2003" t="s">
        <v>10</v>
      </c>
      <c r="FF14" s="2004"/>
      <c r="FG14" s="2004"/>
      <c r="FH14" s="2004"/>
      <c r="FI14" s="2004"/>
      <c r="FJ14" s="2004"/>
      <c r="FK14" s="2004"/>
      <c r="FL14" s="2004"/>
      <c r="FM14" s="2004"/>
      <c r="FN14" s="2005"/>
      <c r="FO14" s="2007" t="s">
        <v>11</v>
      </c>
      <c r="FP14" s="2008"/>
      <c r="FQ14" s="2008"/>
      <c r="FR14" s="2008"/>
      <c r="FS14" s="2008"/>
      <c r="FT14" s="2008"/>
      <c r="FU14" s="2008"/>
      <c r="FV14" s="2008"/>
      <c r="FW14" s="2008"/>
      <c r="FX14" s="2008"/>
      <c r="FY14" s="2008"/>
      <c r="FZ14" s="2008"/>
      <c r="GA14" s="2008"/>
      <c r="GB14" s="2008"/>
      <c r="GC14" s="2009"/>
    </row>
    <row r="15" spans="1:185" ht="11.1" customHeight="1"/>
    <row r="16" spans="1:185" ht="11.1" customHeight="1"/>
    <row r="17" spans="1:150">
      <c r="F17" s="321" t="s">
        <v>531</v>
      </c>
      <c r="G17" s="1493"/>
      <c r="H17" s="1493"/>
      <c r="I17" s="1493"/>
      <c r="J17" s="1493"/>
      <c r="K17" s="1493"/>
      <c r="L17" s="1493"/>
      <c r="M17" s="1493"/>
      <c r="N17" s="1493"/>
      <c r="O17" s="1493"/>
      <c r="P17" s="1493"/>
      <c r="Q17" s="1493"/>
      <c r="R17" s="1493"/>
      <c r="S17" s="1493"/>
      <c r="T17" s="1493"/>
      <c r="U17" s="1493"/>
      <c r="Y17" s="1576" t="s">
        <v>534</v>
      </c>
      <c r="Z17" s="1576"/>
      <c r="AA17" s="1576"/>
      <c r="AB17" s="1576"/>
      <c r="AC17" s="1576"/>
      <c r="AD17" s="1576"/>
      <c r="AE17" s="1576"/>
      <c r="AF17" s="1576"/>
      <c r="AG17" s="1576"/>
      <c r="AH17" s="1576"/>
      <c r="AI17" s="1576"/>
      <c r="AJ17" s="1576"/>
      <c r="AK17" s="1576"/>
      <c r="AL17" s="1576"/>
      <c r="AM17" s="1576"/>
      <c r="AN17" s="1576"/>
      <c r="AO17" s="1576"/>
      <c r="AP17" s="1576"/>
      <c r="AQ17" s="1576"/>
      <c r="AR17" s="1576"/>
      <c r="AS17" s="1576"/>
      <c r="AT17" s="1576"/>
      <c r="AU17" s="1576"/>
      <c r="AV17" s="1576"/>
      <c r="AW17" s="1576"/>
      <c r="AX17" s="1576"/>
      <c r="AY17" s="1576"/>
      <c r="AZ17" s="1576"/>
      <c r="BA17" s="1576"/>
      <c r="BU17" s="321" t="s">
        <v>532</v>
      </c>
      <c r="CH17" s="1493"/>
      <c r="CI17" s="1493"/>
      <c r="CJ17" s="1493"/>
      <c r="CK17" s="1493"/>
      <c r="CL17" s="1493"/>
      <c r="CM17" s="1493"/>
      <c r="CN17" s="1493"/>
      <c r="CO17" s="1493"/>
      <c r="CP17" s="1493"/>
      <c r="CQ17" s="1493"/>
      <c r="CR17" s="1493"/>
      <c r="CS17" s="1493"/>
      <c r="CT17" s="1493"/>
      <c r="CU17" s="1493"/>
      <c r="CV17" s="1493"/>
      <c r="CW17" s="1493"/>
      <c r="CX17" s="1493"/>
      <c r="CY17" s="1493"/>
      <c r="CZ17" s="1493"/>
      <c r="DA17" s="1493"/>
      <c r="DE17" s="1493"/>
      <c r="DF17" s="1493"/>
      <c r="DG17" s="1493"/>
      <c r="DH17" s="1493"/>
      <c r="DI17" s="1493"/>
      <c r="DJ17" s="1493"/>
      <c r="DK17" s="1493"/>
      <c r="DL17" s="1493"/>
      <c r="DM17" s="1493"/>
      <c r="DN17" s="1493"/>
      <c r="DO17" s="1493"/>
      <c r="DP17" s="1493"/>
      <c r="DQ17" s="1493"/>
      <c r="DR17" s="1493"/>
      <c r="DS17" s="1493"/>
      <c r="DW17" s="627"/>
      <c r="DX17" s="627"/>
      <c r="DY17" s="627"/>
      <c r="DZ17" s="627"/>
      <c r="EA17" s="627"/>
      <c r="EB17" s="627"/>
      <c r="EC17" s="627"/>
      <c r="ED17" s="627"/>
      <c r="EE17" s="627"/>
      <c r="EF17" s="627"/>
      <c r="EG17" s="627"/>
      <c r="EH17" s="627"/>
      <c r="EI17" s="627"/>
      <c r="EJ17" s="627"/>
      <c r="EK17" s="627"/>
      <c r="EL17" s="627"/>
      <c r="EM17" s="627"/>
      <c r="EN17" s="627"/>
      <c r="EO17" s="627"/>
      <c r="EP17" s="627"/>
      <c r="EQ17" s="627"/>
      <c r="ER17" s="627"/>
      <c r="ES17" s="627"/>
      <c r="ET17" s="627"/>
    </row>
    <row r="18" spans="1:150" s="625" customFormat="1">
      <c r="F18" s="321"/>
      <c r="G18" s="2002" t="s">
        <v>80</v>
      </c>
      <c r="H18" s="2002"/>
      <c r="I18" s="2002"/>
      <c r="J18" s="2002"/>
      <c r="K18" s="2002"/>
      <c r="L18" s="2002"/>
      <c r="M18" s="2002"/>
      <c r="N18" s="2002"/>
      <c r="O18" s="2002"/>
      <c r="P18" s="2002"/>
      <c r="Q18" s="2002"/>
      <c r="R18" s="2002"/>
      <c r="S18" s="2002"/>
      <c r="T18" s="2002"/>
      <c r="U18" s="2002"/>
      <c r="Y18" s="2006" t="s">
        <v>182</v>
      </c>
      <c r="Z18" s="2006"/>
      <c r="AA18" s="2006"/>
      <c r="AB18" s="2006"/>
      <c r="AC18" s="2006"/>
      <c r="AD18" s="2006"/>
      <c r="AE18" s="2006"/>
      <c r="AF18" s="2006"/>
      <c r="AG18" s="2006"/>
      <c r="AH18" s="2006"/>
      <c r="AI18" s="2006"/>
      <c r="AJ18" s="2006"/>
      <c r="AK18" s="2006"/>
      <c r="AL18" s="2006"/>
      <c r="AM18" s="2006"/>
      <c r="AN18" s="2006"/>
      <c r="AO18" s="2006"/>
      <c r="AP18" s="2006"/>
      <c r="AQ18" s="2006"/>
      <c r="AR18" s="2006"/>
      <c r="AS18" s="2006"/>
      <c r="AT18" s="2006"/>
      <c r="AU18" s="2006"/>
      <c r="AV18" s="2006"/>
      <c r="AW18" s="2006"/>
      <c r="AX18" s="2006"/>
      <c r="AY18" s="2006"/>
      <c r="AZ18" s="2006"/>
      <c r="BA18" s="2006"/>
      <c r="CH18" s="2002" t="s">
        <v>183</v>
      </c>
      <c r="CI18" s="2002"/>
      <c r="CJ18" s="2002"/>
      <c r="CK18" s="2002"/>
      <c r="CL18" s="2002"/>
      <c r="CM18" s="2002"/>
      <c r="CN18" s="2002"/>
      <c r="CO18" s="2002"/>
      <c r="CP18" s="2002"/>
      <c r="CQ18" s="2002"/>
      <c r="CR18" s="2002"/>
      <c r="CS18" s="2002"/>
      <c r="CT18" s="2002"/>
      <c r="CU18" s="2002"/>
      <c r="CV18" s="2002"/>
      <c r="CW18" s="2002"/>
      <c r="CX18" s="2002"/>
      <c r="CY18" s="2002"/>
      <c r="CZ18" s="2002"/>
      <c r="DA18" s="2002"/>
      <c r="DE18" s="2002" t="s">
        <v>80</v>
      </c>
      <c r="DF18" s="2002"/>
      <c r="DG18" s="2002"/>
      <c r="DH18" s="2002"/>
      <c r="DI18" s="2002"/>
      <c r="DJ18" s="2002"/>
      <c r="DK18" s="2002"/>
      <c r="DL18" s="2002"/>
      <c r="DM18" s="2002"/>
      <c r="DN18" s="2002"/>
      <c r="DO18" s="2002"/>
      <c r="DP18" s="2002"/>
      <c r="DQ18" s="2002"/>
      <c r="DR18" s="2002"/>
      <c r="DS18" s="2002"/>
      <c r="DW18" s="2002" t="s">
        <v>182</v>
      </c>
      <c r="DX18" s="2002"/>
      <c r="DY18" s="2002"/>
      <c r="DZ18" s="2002"/>
      <c r="EA18" s="2002"/>
      <c r="EB18" s="2002"/>
      <c r="EC18" s="2002"/>
      <c r="ED18" s="2002"/>
      <c r="EE18" s="2002"/>
      <c r="EF18" s="2002"/>
      <c r="EG18" s="2002"/>
      <c r="EH18" s="2002"/>
      <c r="EI18" s="2002"/>
      <c r="EJ18" s="2002"/>
      <c r="EK18" s="2002"/>
      <c r="EL18" s="2002"/>
      <c r="EM18" s="2002"/>
      <c r="EN18" s="2002"/>
      <c r="EO18" s="2002"/>
      <c r="EP18" s="2002"/>
      <c r="EQ18" s="2002"/>
      <c r="ER18" s="2002"/>
      <c r="ES18" s="2002"/>
      <c r="ET18" s="2002"/>
    </row>
    <row r="19" spans="1:150">
      <c r="F19" s="625"/>
      <c r="G19" s="625"/>
      <c r="H19" s="625"/>
      <c r="I19" s="625"/>
      <c r="J19" s="625"/>
      <c r="K19" s="625"/>
      <c r="L19" s="625"/>
      <c r="M19" s="625"/>
      <c r="N19" s="625"/>
      <c r="O19" s="625"/>
      <c r="P19" s="625"/>
      <c r="Q19" s="625"/>
      <c r="R19" s="625"/>
      <c r="S19" s="625"/>
      <c r="T19" s="625"/>
      <c r="U19" s="625"/>
    </row>
    <row r="20" spans="1:150" ht="3.2" customHeight="1">
      <c r="Y20" s="625"/>
      <c r="Z20" s="625"/>
      <c r="AA20" s="625"/>
      <c r="AB20" s="625"/>
      <c r="AC20" s="625"/>
      <c r="AD20" s="625"/>
      <c r="AE20" s="625"/>
      <c r="AF20" s="625"/>
      <c r="AG20" s="625"/>
      <c r="AH20" s="625"/>
      <c r="AI20" s="625"/>
      <c r="AJ20" s="625"/>
      <c r="AK20" s="625"/>
      <c r="AL20" s="625"/>
      <c r="AM20" s="625"/>
      <c r="AN20" s="625"/>
      <c r="AO20" s="625"/>
      <c r="AP20" s="625"/>
      <c r="AQ20" s="625"/>
      <c r="AR20" s="625"/>
      <c r="AS20" s="625"/>
      <c r="AT20" s="625"/>
      <c r="AU20" s="625"/>
      <c r="AV20" s="625"/>
      <c r="AW20" s="625"/>
    </row>
    <row r="21" spans="1:150">
      <c r="A21" s="320" t="s">
        <v>279</v>
      </c>
      <c r="B21" s="362"/>
      <c r="C21" s="362"/>
      <c r="D21" s="362"/>
      <c r="E21" s="320" t="s">
        <v>279</v>
      </c>
      <c r="F21" s="362"/>
      <c r="H21" s="362"/>
      <c r="I21" s="362"/>
      <c r="J21" s="362"/>
      <c r="K21" s="362"/>
      <c r="M21" s="367" t="s">
        <v>147</v>
      </c>
      <c r="N21" s="367"/>
      <c r="O21" s="367"/>
      <c r="P21" s="367"/>
      <c r="Q21" s="367"/>
    </row>
  </sheetData>
  <mergeCells count="70">
    <mergeCell ref="A9:E12"/>
    <mergeCell ref="F9:F12"/>
    <mergeCell ref="G9:V12"/>
    <mergeCell ref="W9:AN10"/>
    <mergeCell ref="AO9:BC12"/>
    <mergeCell ref="W11:AF12"/>
    <mergeCell ref="AG11:AN12"/>
    <mergeCell ref="FE7:GC7"/>
    <mergeCell ref="FE10:GC10"/>
    <mergeCell ref="BD11:BT12"/>
    <mergeCell ref="BD9:GC9"/>
    <mergeCell ref="BD10:FD10"/>
    <mergeCell ref="EL11:FD12"/>
    <mergeCell ref="BU11:CT11"/>
    <mergeCell ref="CU11:DK12"/>
    <mergeCell ref="DL11:EK11"/>
    <mergeCell ref="FE11:FN12"/>
    <mergeCell ref="FO11:GC12"/>
    <mergeCell ref="BU12:CC12"/>
    <mergeCell ref="FE1:GC1"/>
    <mergeCell ref="DD2:DK2"/>
    <mergeCell ref="FE2:GC2"/>
    <mergeCell ref="FE6:GC6"/>
    <mergeCell ref="I6:ES6"/>
    <mergeCell ref="BN3:BR3"/>
    <mergeCell ref="BU3:CN3"/>
    <mergeCell ref="FE4:GC5"/>
    <mergeCell ref="G5:ES5"/>
    <mergeCell ref="CP3:CU3"/>
    <mergeCell ref="FE3:GC3"/>
    <mergeCell ref="A13:E13"/>
    <mergeCell ref="G13:V13"/>
    <mergeCell ref="W13:AF13"/>
    <mergeCell ref="AG13:AN13"/>
    <mergeCell ref="AO13:BC13"/>
    <mergeCell ref="A14:E14"/>
    <mergeCell ref="G14:V14"/>
    <mergeCell ref="W14:AF14"/>
    <mergeCell ref="AG14:AN14"/>
    <mergeCell ref="AO14:BC14"/>
    <mergeCell ref="FO14:GC14"/>
    <mergeCell ref="G17:U17"/>
    <mergeCell ref="CH17:DA17"/>
    <mergeCell ref="DE17:DS17"/>
    <mergeCell ref="BU14:CC14"/>
    <mergeCell ref="CD14:CT14"/>
    <mergeCell ref="BD14:BT14"/>
    <mergeCell ref="DU14:EK14"/>
    <mergeCell ref="Y17:BA17"/>
    <mergeCell ref="EL14:FD14"/>
    <mergeCell ref="CU14:DK14"/>
    <mergeCell ref="DL14:DT14"/>
    <mergeCell ref="G18:U18"/>
    <mergeCell ref="CH18:DA18"/>
    <mergeCell ref="DE18:DS18"/>
    <mergeCell ref="FE14:FN14"/>
    <mergeCell ref="DW18:ET18"/>
    <mergeCell ref="Y18:BA18"/>
    <mergeCell ref="FO13:GC13"/>
    <mergeCell ref="BD13:BT13"/>
    <mergeCell ref="CD12:CT12"/>
    <mergeCell ref="DL12:DT12"/>
    <mergeCell ref="DU12:EK12"/>
    <mergeCell ref="BU13:CC13"/>
    <mergeCell ref="CD13:CT13"/>
    <mergeCell ref="CU13:DK13"/>
    <mergeCell ref="EL13:FD13"/>
    <mergeCell ref="FE13:FN13"/>
    <mergeCell ref="DL13:DT13"/>
    <mergeCell ref="DU13:EK13"/>
  </mergeCells>
  <printOptions horizontalCentered="1"/>
  <pageMargins left="0.51181102362204722" right="0.31496062992125984" top="0.39370078740157483" bottom="0.35433070866141736" header="0.19685039370078741" footer="0.19685039370078741"/>
  <pageSetup paperSize="8" scale="78" orientation="landscape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>
  <sheetPr codeName="Лист34"/>
  <dimension ref="A1:Y49"/>
  <sheetViews>
    <sheetView view="pageBreakPreview" zoomScaleNormal="100" workbookViewId="0">
      <selection activeCell="Q44" sqref="Q44"/>
    </sheetView>
  </sheetViews>
  <sheetFormatPr defaultRowHeight="12.75"/>
  <cols>
    <col min="1" max="1" width="6.42578125" customWidth="1"/>
    <col min="2" max="2" width="21.28515625" customWidth="1"/>
    <col min="3" max="3" width="5" customWidth="1"/>
    <col min="4" max="4" width="1.42578125" customWidth="1"/>
    <col min="5" max="5" width="4.7109375" customWidth="1"/>
    <col min="6" max="6" width="6.85546875" customWidth="1"/>
    <col min="7" max="7" width="1.5703125" customWidth="1"/>
    <col min="8" max="8" width="6.42578125" customWidth="1"/>
    <col min="9" max="9" width="8" customWidth="1"/>
    <col min="10" max="10" width="9.7109375" customWidth="1"/>
    <col min="11" max="11" width="5.7109375" customWidth="1"/>
    <col min="12" max="12" width="2" customWidth="1"/>
    <col min="13" max="13" width="7.7109375" customWidth="1"/>
    <col min="14" max="14" width="8.28515625" customWidth="1"/>
    <col min="15" max="15" width="1.85546875" customWidth="1"/>
    <col min="16" max="16" width="5.7109375" customWidth="1"/>
    <col min="17" max="17" width="7.85546875" customWidth="1"/>
    <col min="18" max="18" width="1.7109375" customWidth="1"/>
    <col min="19" max="19" width="1.140625" customWidth="1"/>
    <col min="20" max="20" width="5" customWidth="1"/>
    <col min="21" max="21" width="4.28515625" customWidth="1"/>
    <col min="22" max="22" width="0.5703125" customWidth="1"/>
    <col min="23" max="23" width="2.5703125" customWidth="1"/>
    <col min="25" max="25" width="6.42578125" customWidth="1"/>
  </cols>
  <sheetData>
    <row r="1" spans="1:25" s="437" customFormat="1" ht="11.1" customHeight="1">
      <c r="A1" s="761"/>
      <c r="C1" s="761"/>
      <c r="D1" s="761"/>
      <c r="E1" s="761"/>
      <c r="F1" s="761"/>
      <c r="G1" s="761"/>
      <c r="H1" s="761"/>
      <c r="I1" s="761"/>
      <c r="J1" s="761"/>
      <c r="K1" s="761"/>
      <c r="L1" s="761"/>
      <c r="M1" s="761"/>
      <c r="N1" s="761"/>
      <c r="O1" s="761"/>
      <c r="P1" s="761"/>
      <c r="Q1" s="808" t="s">
        <v>566</v>
      </c>
      <c r="R1" s="792"/>
      <c r="S1" s="791"/>
      <c r="T1" s="791"/>
      <c r="U1" s="791"/>
      <c r="V1" s="791"/>
      <c r="W1" s="791"/>
      <c r="X1" s="791"/>
      <c r="Y1" s="791"/>
    </row>
    <row r="2" spans="1:25" s="437" customFormat="1" ht="11.1" customHeight="1">
      <c r="A2" s="761"/>
      <c r="C2" s="761"/>
      <c r="D2" s="761"/>
      <c r="E2" s="761"/>
      <c r="F2" s="761"/>
      <c r="G2" s="761"/>
      <c r="H2" s="761"/>
      <c r="I2" s="761"/>
      <c r="J2" s="761"/>
      <c r="K2" s="761"/>
      <c r="L2" s="761"/>
      <c r="M2" s="761"/>
      <c r="N2" s="761"/>
      <c r="O2" s="761"/>
      <c r="P2" s="761"/>
      <c r="Q2" s="808" t="s">
        <v>399</v>
      </c>
      <c r="R2" s="792"/>
      <c r="S2" s="791"/>
      <c r="T2" s="791"/>
      <c r="U2" s="791"/>
      <c r="V2" s="791"/>
      <c r="W2" s="791"/>
      <c r="X2" s="791"/>
      <c r="Y2" s="791"/>
    </row>
    <row r="3" spans="1:25" s="437" customFormat="1" ht="11.1" customHeight="1">
      <c r="A3" s="761"/>
      <c r="C3" s="761"/>
      <c r="D3" s="761"/>
      <c r="E3" s="761"/>
      <c r="F3" s="761"/>
      <c r="G3" s="761"/>
      <c r="H3" s="761"/>
      <c r="I3" s="761"/>
      <c r="J3" s="761"/>
      <c r="K3" s="761"/>
      <c r="L3" s="761"/>
      <c r="M3" s="761"/>
      <c r="N3" s="761"/>
      <c r="O3" s="761"/>
      <c r="P3" s="761"/>
      <c r="Q3" s="808" t="s">
        <v>400</v>
      </c>
      <c r="R3" s="792"/>
      <c r="S3" s="791"/>
      <c r="T3" s="791"/>
      <c r="U3" s="791"/>
      <c r="V3" s="791"/>
      <c r="W3" s="791"/>
      <c r="X3" s="791"/>
      <c r="Y3" s="791"/>
    </row>
    <row r="4" spans="1:25" s="437" customFormat="1" ht="3.2" customHeight="1">
      <c r="A4" s="761"/>
      <c r="C4" s="761"/>
      <c r="D4" s="761"/>
      <c r="E4" s="761"/>
      <c r="F4" s="761"/>
      <c r="G4" s="761"/>
      <c r="H4" s="761"/>
      <c r="I4" s="761"/>
      <c r="J4" s="761"/>
      <c r="K4" s="761"/>
      <c r="L4" s="761"/>
      <c r="M4" s="761"/>
      <c r="N4" s="761"/>
      <c r="O4" s="761"/>
      <c r="P4" s="761"/>
      <c r="R4" s="761"/>
      <c r="S4" s="761"/>
      <c r="T4" s="761"/>
      <c r="U4" s="761"/>
      <c r="V4" s="761"/>
      <c r="W4" s="761"/>
      <c r="X4" s="761"/>
      <c r="Y4" s="761"/>
    </row>
    <row r="5" spans="1:25" s="437" customFormat="1" ht="15.75" customHeight="1" thickBot="1">
      <c r="A5" s="761"/>
      <c r="B5" s="761"/>
      <c r="C5" s="761"/>
      <c r="D5" s="761"/>
      <c r="E5" s="761"/>
      <c r="F5" s="761"/>
      <c r="G5" s="761"/>
      <c r="H5" s="761"/>
      <c r="I5" s="761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  <c r="U5" s="761"/>
      <c r="V5" s="761"/>
      <c r="W5" s="1676" t="s">
        <v>55</v>
      </c>
      <c r="X5" s="1677"/>
      <c r="Y5" s="1678"/>
    </row>
    <row r="6" spans="1:25" s="437" customFormat="1" ht="18.75" customHeight="1">
      <c r="A6" s="761"/>
      <c r="B6" s="761"/>
      <c r="C6" s="761"/>
      <c r="D6" s="761"/>
      <c r="E6" s="761"/>
      <c r="F6" s="761"/>
      <c r="G6" s="761"/>
      <c r="H6" s="761"/>
      <c r="I6" s="761"/>
      <c r="J6" s="761"/>
      <c r="K6" s="761"/>
      <c r="L6" s="761"/>
      <c r="M6" s="761"/>
      <c r="N6" s="761"/>
      <c r="O6" s="761"/>
      <c r="P6" s="761"/>
      <c r="Q6" s="2080" t="s">
        <v>56</v>
      </c>
      <c r="R6" s="2080"/>
      <c r="S6" s="2080"/>
      <c r="T6" s="2080"/>
      <c r="U6" s="2080"/>
      <c r="V6" s="762"/>
      <c r="W6" s="2081" t="s">
        <v>567</v>
      </c>
      <c r="X6" s="2082"/>
      <c r="Y6" s="2083"/>
    </row>
    <row r="7" spans="1:25" s="437" customFormat="1" ht="18.75" customHeight="1">
      <c r="A7" s="2084" t="s">
        <v>35</v>
      </c>
      <c r="B7" s="2084"/>
      <c r="C7" s="2084"/>
      <c r="D7" s="2084"/>
      <c r="E7" s="2084"/>
      <c r="F7" s="2084"/>
      <c r="G7" s="2084"/>
      <c r="H7" s="2084"/>
      <c r="I7" s="2084"/>
      <c r="J7" s="2084"/>
      <c r="K7" s="2084"/>
      <c r="L7" s="2084"/>
      <c r="M7" s="2084"/>
      <c r="N7" s="2084"/>
      <c r="O7" s="2084"/>
      <c r="P7" s="2084"/>
      <c r="Q7" s="2084"/>
      <c r="R7" s="2080" t="s">
        <v>57</v>
      </c>
      <c r="S7" s="2080"/>
      <c r="T7" s="2080"/>
      <c r="U7" s="2080"/>
      <c r="V7" s="654"/>
      <c r="W7" s="2077" t="s">
        <v>34</v>
      </c>
      <c r="X7" s="2078"/>
      <c r="Y7" s="2079"/>
    </row>
    <row r="8" spans="1:25" s="437" customFormat="1" ht="8.4499999999999993" customHeight="1">
      <c r="A8" s="2073" t="s">
        <v>58</v>
      </c>
      <c r="B8" s="2073"/>
      <c r="C8" s="2073"/>
      <c r="D8" s="2073"/>
      <c r="E8" s="2073"/>
      <c r="F8" s="2073"/>
      <c r="G8" s="2073"/>
      <c r="H8" s="2073"/>
      <c r="I8" s="2073"/>
      <c r="J8" s="2073"/>
      <c r="K8" s="2073"/>
      <c r="L8" s="2073"/>
      <c r="M8" s="2073"/>
      <c r="N8" s="2073"/>
      <c r="O8" s="2073"/>
      <c r="P8" s="2073"/>
      <c r="Q8" s="2073"/>
      <c r="R8" s="761"/>
      <c r="S8" s="761"/>
      <c r="T8" s="761"/>
      <c r="U8" s="761"/>
      <c r="V8" s="761"/>
      <c r="W8" s="2052"/>
      <c r="X8" s="2053"/>
      <c r="Y8" s="2054"/>
    </row>
    <row r="9" spans="1:25" s="437" customFormat="1" ht="11.1" customHeight="1">
      <c r="A9" s="2084" t="s">
        <v>32</v>
      </c>
      <c r="B9" s="2084"/>
      <c r="C9" s="2084"/>
      <c r="D9" s="2084"/>
      <c r="E9" s="2084"/>
      <c r="F9" s="2084"/>
      <c r="G9" s="2084"/>
      <c r="H9" s="2084"/>
      <c r="I9" s="2084"/>
      <c r="J9" s="2084"/>
      <c r="K9" s="2084"/>
      <c r="L9" s="2084"/>
      <c r="M9" s="2084"/>
      <c r="N9" s="2084"/>
      <c r="O9" s="2084"/>
      <c r="P9" s="2084"/>
      <c r="Q9" s="2084"/>
      <c r="R9" s="2084"/>
      <c r="S9" s="2084"/>
      <c r="T9" s="2084"/>
      <c r="U9" s="2084"/>
      <c r="V9" s="763"/>
      <c r="W9" s="2055"/>
      <c r="X9" s="2056"/>
      <c r="Y9" s="2057"/>
    </row>
    <row r="10" spans="1:25" s="437" customFormat="1" ht="8.4499999999999993" customHeight="1">
      <c r="B10" s="764"/>
      <c r="C10" s="2073"/>
      <c r="D10" s="2073"/>
      <c r="E10" s="2073"/>
      <c r="F10" s="2073"/>
      <c r="G10" s="2073"/>
      <c r="H10" s="2073"/>
      <c r="I10" s="2073"/>
      <c r="J10" s="2073"/>
      <c r="K10" s="2073"/>
      <c r="L10" s="2073"/>
      <c r="M10" s="2073"/>
      <c r="N10" s="765"/>
      <c r="O10" s="765"/>
      <c r="P10" s="765"/>
      <c r="Q10" s="2049" t="s">
        <v>60</v>
      </c>
      <c r="R10" s="2049"/>
      <c r="S10" s="2049"/>
      <c r="T10" s="2049"/>
      <c r="U10" s="2049"/>
      <c r="V10" s="758"/>
      <c r="W10" s="2052"/>
      <c r="X10" s="2053"/>
      <c r="Y10" s="2054"/>
    </row>
    <row r="11" spans="1:25" s="437" customFormat="1" ht="10.5" customHeight="1">
      <c r="A11" s="761"/>
      <c r="B11" s="761"/>
      <c r="C11" s="761"/>
      <c r="D11" s="761"/>
      <c r="E11" s="761"/>
      <c r="F11" s="761"/>
      <c r="G11" s="761"/>
      <c r="H11" s="761"/>
      <c r="I11" s="761"/>
      <c r="J11" s="761"/>
      <c r="K11" s="761"/>
      <c r="L11" s="761"/>
      <c r="M11" s="761"/>
      <c r="N11" s="761"/>
      <c r="O11" s="761"/>
      <c r="P11" s="761"/>
      <c r="Q11" s="2074"/>
      <c r="R11" s="2074"/>
      <c r="S11" s="2074"/>
      <c r="T11" s="2074"/>
      <c r="U11" s="2074"/>
      <c r="V11" s="766"/>
      <c r="W11" s="2055"/>
      <c r="X11" s="2056"/>
      <c r="Y11" s="2057"/>
    </row>
    <row r="12" spans="1:25" s="437" customFormat="1" ht="15.75">
      <c r="A12" s="767" t="s">
        <v>61</v>
      </c>
      <c r="B12" s="761"/>
      <c r="C12" s="761"/>
      <c r="D12" s="761"/>
      <c r="E12" s="761"/>
      <c r="F12" s="761"/>
      <c r="G12" s="761"/>
      <c r="H12" s="761"/>
      <c r="I12" s="1853" t="s">
        <v>139</v>
      </c>
      <c r="J12" s="1853"/>
      <c r="K12" s="1853"/>
      <c r="L12" s="1853"/>
      <c r="M12" s="1853"/>
      <c r="N12" s="1853"/>
      <c r="O12" s="1853"/>
      <c r="P12" s="1853"/>
      <c r="Q12" s="1853"/>
      <c r="R12" s="1853"/>
      <c r="S12" s="1853"/>
      <c r="T12" s="2075" t="s">
        <v>4</v>
      </c>
      <c r="U12" s="2076"/>
      <c r="V12" s="768"/>
      <c r="W12" s="2077" t="s">
        <v>331</v>
      </c>
      <c r="X12" s="2078"/>
      <c r="Y12" s="2079"/>
    </row>
    <row r="13" spans="1:25" s="437" customFormat="1" ht="6.75" customHeight="1">
      <c r="A13" s="761"/>
      <c r="B13" s="761"/>
      <c r="C13" s="761"/>
      <c r="D13" s="761"/>
      <c r="E13" s="761"/>
      <c r="F13" s="761"/>
      <c r="G13" s="761"/>
      <c r="H13" s="761"/>
      <c r="I13" s="2044" t="s">
        <v>63</v>
      </c>
      <c r="J13" s="2044"/>
      <c r="K13" s="2044"/>
      <c r="L13" s="2044"/>
      <c r="M13" s="2044"/>
      <c r="N13" s="2044"/>
      <c r="O13" s="2044"/>
      <c r="P13" s="2044"/>
      <c r="Q13" s="2044"/>
      <c r="R13" s="2044"/>
      <c r="S13" s="2045"/>
      <c r="T13" s="2048" t="s">
        <v>64</v>
      </c>
      <c r="U13" s="2049"/>
      <c r="V13" s="769"/>
      <c r="W13" s="2052" t="s">
        <v>332</v>
      </c>
      <c r="X13" s="2053"/>
      <c r="Y13" s="2054"/>
    </row>
    <row r="14" spans="1:25" s="437" customFormat="1" ht="8.4499999999999993" customHeight="1">
      <c r="A14" s="761"/>
      <c r="B14" s="761"/>
      <c r="C14" s="761"/>
      <c r="D14" s="761"/>
      <c r="E14" s="761"/>
      <c r="F14" s="761"/>
      <c r="G14" s="761"/>
      <c r="H14" s="761"/>
      <c r="I14" s="2046"/>
      <c r="J14" s="2046"/>
      <c r="K14" s="2046"/>
      <c r="L14" s="2046"/>
      <c r="M14" s="2046"/>
      <c r="N14" s="2046"/>
      <c r="O14" s="2046"/>
      <c r="P14" s="2046"/>
      <c r="Q14" s="2046"/>
      <c r="R14" s="2046"/>
      <c r="S14" s="2047"/>
      <c r="T14" s="2050"/>
      <c r="U14" s="2051"/>
      <c r="V14" s="770"/>
      <c r="W14" s="2055"/>
      <c r="X14" s="2056"/>
      <c r="Y14" s="2057"/>
    </row>
    <row r="15" spans="1:25" s="437" customFormat="1" ht="15">
      <c r="D15" s="1024"/>
      <c r="F15" s="761"/>
      <c r="G15" s="761"/>
      <c r="H15" s="761"/>
      <c r="I15" s="761"/>
      <c r="J15" s="761"/>
      <c r="K15" s="761"/>
      <c r="L15" s="761"/>
      <c r="M15" s="761"/>
      <c r="N15" s="771"/>
      <c r="O15" s="2098" t="s">
        <v>65</v>
      </c>
      <c r="P15" s="2098"/>
      <c r="Q15" s="2098"/>
      <c r="R15" s="2098"/>
      <c r="S15" s="2098"/>
      <c r="T15" s="2098"/>
      <c r="U15" s="2098"/>
      <c r="V15" s="2099"/>
      <c r="W15" s="2077" t="s">
        <v>31</v>
      </c>
      <c r="X15" s="2078"/>
      <c r="Y15" s="2079"/>
    </row>
    <row r="16" spans="1:25" s="437" customFormat="1" ht="15.75">
      <c r="A16" s="767"/>
      <c r="B16" s="767"/>
      <c r="C16" s="536"/>
      <c r="D16" s="536"/>
      <c r="E16" s="772"/>
      <c r="F16" s="761"/>
      <c r="G16" s="761"/>
      <c r="H16" s="761"/>
      <c r="I16" s="761"/>
      <c r="J16" s="761"/>
      <c r="K16" s="761"/>
      <c r="L16" s="761"/>
      <c r="M16" s="761"/>
      <c r="N16" s="2074" t="s">
        <v>66</v>
      </c>
      <c r="O16" s="2074"/>
      <c r="P16" s="2074"/>
      <c r="Q16" s="2074"/>
      <c r="R16" s="2074"/>
      <c r="S16" s="2074"/>
      <c r="T16" s="2074"/>
      <c r="U16" s="2074"/>
      <c r="V16" s="773"/>
      <c r="W16" s="2077" t="s">
        <v>330</v>
      </c>
      <c r="X16" s="2078"/>
      <c r="Y16" s="2079"/>
    </row>
    <row r="17" spans="1:25" s="437" customFormat="1" ht="15.75" thickBot="1">
      <c r="A17" s="761"/>
      <c r="B17" s="761"/>
      <c r="C17" s="761"/>
      <c r="D17" s="761"/>
      <c r="E17" s="761"/>
      <c r="F17" s="761"/>
      <c r="G17" s="761"/>
      <c r="H17" s="761"/>
      <c r="I17" s="761"/>
      <c r="J17" s="761"/>
      <c r="K17" s="761"/>
      <c r="L17" s="761"/>
      <c r="M17" s="761"/>
      <c r="N17" s="774"/>
      <c r="O17" s="774"/>
      <c r="P17" s="775"/>
      <c r="Q17" s="2087" t="s">
        <v>67</v>
      </c>
      <c r="R17" s="2087"/>
      <c r="S17" s="2087"/>
      <c r="T17" s="2087"/>
      <c r="U17" s="2087"/>
      <c r="V17" s="761"/>
      <c r="W17" s="2100"/>
      <c r="X17" s="2101"/>
      <c r="Y17" s="2102"/>
    </row>
    <row r="18" spans="1:25" s="437" customFormat="1" ht="8.4499999999999993" customHeight="1">
      <c r="A18" s="761"/>
      <c r="B18" s="761"/>
      <c r="C18" s="761"/>
      <c r="D18" s="761"/>
      <c r="E18" s="761"/>
      <c r="F18" s="761"/>
      <c r="G18" s="761"/>
      <c r="H18" s="761"/>
      <c r="I18" s="761"/>
      <c r="J18" s="761"/>
      <c r="K18" s="761"/>
      <c r="S18" s="761"/>
      <c r="T18" s="761"/>
      <c r="U18" s="761"/>
      <c r="V18" s="761"/>
      <c r="W18" s="776"/>
      <c r="X18" s="776"/>
      <c r="Y18" s="776"/>
    </row>
    <row r="19" spans="1:25" s="437" customFormat="1" ht="16.5" thickBot="1">
      <c r="A19" s="761"/>
      <c r="B19" s="761"/>
      <c r="C19" s="761"/>
      <c r="D19" s="761"/>
      <c r="E19" s="761"/>
      <c r="F19" s="761"/>
      <c r="G19" s="761"/>
      <c r="H19" s="761"/>
      <c r="I19" s="761"/>
      <c r="J19" s="761"/>
      <c r="K19" s="761"/>
      <c r="L19" s="2088" t="s">
        <v>140</v>
      </c>
      <c r="M19" s="2089"/>
      <c r="N19" s="2089"/>
      <c r="O19" s="2090"/>
      <c r="P19" s="2088" t="s">
        <v>69</v>
      </c>
      <c r="Q19" s="2089"/>
      <c r="R19" s="2090"/>
      <c r="S19" s="761"/>
      <c r="T19" s="761"/>
      <c r="U19" s="761"/>
      <c r="V19" s="761"/>
      <c r="W19" s="776"/>
      <c r="X19" s="776"/>
      <c r="Y19" s="776"/>
    </row>
    <row r="20" spans="1:25" s="437" customFormat="1" ht="16.5" thickBot="1">
      <c r="A20" s="761"/>
      <c r="B20" s="761"/>
      <c r="C20" s="761"/>
      <c r="D20" s="761"/>
      <c r="E20" s="761"/>
      <c r="F20" s="761"/>
      <c r="G20" s="761"/>
      <c r="H20" s="761"/>
      <c r="I20" s="761"/>
      <c r="J20" s="761"/>
      <c r="K20" s="777" t="s">
        <v>568</v>
      </c>
      <c r="L20" s="2091" t="s">
        <v>293</v>
      </c>
      <c r="M20" s="2092"/>
      <c r="N20" s="2092"/>
      <c r="O20" s="2093"/>
      <c r="P20" s="2094" t="str">
        <f>W15</f>
        <v>Дата_Инвентар</v>
      </c>
      <c r="Q20" s="2095"/>
      <c r="R20" s="2096"/>
      <c r="S20" s="761"/>
      <c r="T20" s="761"/>
      <c r="U20" s="761"/>
      <c r="V20" s="761"/>
      <c r="W20" s="776"/>
      <c r="X20" s="776"/>
      <c r="Y20" s="776"/>
    </row>
    <row r="21" spans="1:25" s="437" customFormat="1" ht="15.75">
      <c r="A21" s="761"/>
      <c r="B21" s="761"/>
      <c r="C21" s="2097"/>
      <c r="D21" s="2097"/>
      <c r="E21" s="2097"/>
      <c r="F21" s="2097"/>
      <c r="G21" s="2097"/>
      <c r="H21" s="2097"/>
      <c r="I21" s="2097"/>
      <c r="J21" s="2097"/>
      <c r="K21" s="2097"/>
      <c r="L21" s="2097"/>
      <c r="M21" s="2097"/>
      <c r="N21" s="2097"/>
      <c r="O21" s="2097"/>
      <c r="P21" s="2097"/>
      <c r="Q21" s="2097"/>
      <c r="R21" s="2097"/>
      <c r="S21" s="2097"/>
      <c r="T21" s="2097"/>
      <c r="U21" s="761"/>
      <c r="V21" s="761"/>
      <c r="W21" s="776"/>
      <c r="X21" s="776"/>
      <c r="Y21" s="776"/>
    </row>
    <row r="22" spans="1:25" s="437" customFormat="1" ht="15.75">
      <c r="A22" s="2085" t="s">
        <v>569</v>
      </c>
      <c r="B22" s="2085"/>
      <c r="C22" s="804" t="s">
        <v>435</v>
      </c>
      <c r="D22" s="536"/>
      <c r="E22" s="2086" t="s">
        <v>436</v>
      </c>
      <c r="F22" s="2086"/>
      <c r="G22" s="779"/>
      <c r="H22" s="804" t="s">
        <v>437</v>
      </c>
      <c r="I22" s="759" t="s">
        <v>697</v>
      </c>
      <c r="K22" s="778"/>
      <c r="L22" s="778"/>
      <c r="M22" s="778"/>
      <c r="N22" s="778"/>
      <c r="O22" s="778"/>
      <c r="P22" s="778"/>
      <c r="Q22" s="778"/>
      <c r="R22" s="778"/>
      <c r="S22" s="778"/>
      <c r="T22" s="778"/>
      <c r="U22" s="761"/>
      <c r="V22" s="761"/>
      <c r="W22" s="776"/>
      <c r="X22" s="776"/>
      <c r="Y22" s="776"/>
    </row>
    <row r="23" spans="1:25" s="437" customFormat="1" ht="15.75">
      <c r="A23" s="536" t="s">
        <v>698</v>
      </c>
      <c r="B23" s="761"/>
      <c r="C23" s="778"/>
      <c r="D23" s="1027"/>
      <c r="E23" s="778"/>
      <c r="F23" s="778"/>
      <c r="G23" s="778"/>
      <c r="H23" s="778"/>
      <c r="I23" s="778"/>
      <c r="J23" s="778"/>
      <c r="K23" s="778"/>
      <c r="L23" s="778"/>
      <c r="M23" s="778"/>
      <c r="N23" s="778"/>
      <c r="O23" s="778"/>
      <c r="P23" s="778"/>
      <c r="Q23" s="778"/>
      <c r="R23" s="778"/>
      <c r="S23" s="778"/>
      <c r="T23" s="778"/>
      <c r="U23" s="761"/>
      <c r="V23" s="761"/>
      <c r="W23" s="776"/>
      <c r="X23" s="776"/>
      <c r="Y23" s="776"/>
    </row>
    <row r="24" spans="1:25" s="437" customFormat="1" ht="15.75">
      <c r="A24" s="767" t="s">
        <v>570</v>
      </c>
      <c r="B24" s="761"/>
      <c r="C24" s="778"/>
      <c r="D24" s="1027"/>
      <c r="E24" s="778"/>
      <c r="F24" s="778"/>
      <c r="G24" s="778"/>
      <c r="H24" s="778"/>
      <c r="I24" s="778"/>
      <c r="J24" s="778"/>
      <c r="K24" s="778"/>
      <c r="L24" s="778"/>
      <c r="M24" s="778"/>
      <c r="N24" s="778"/>
      <c r="O24" s="778"/>
      <c r="P24" s="778"/>
      <c r="Q24" s="778"/>
      <c r="R24" s="778"/>
      <c r="S24" s="778"/>
      <c r="T24" s="778"/>
      <c r="U24" s="761"/>
      <c r="V24" s="761"/>
      <c r="W24" s="776"/>
      <c r="X24" s="776"/>
      <c r="Y24" s="776"/>
    </row>
    <row r="25" spans="1:25" s="437" customFormat="1" ht="8.4499999999999993" customHeight="1">
      <c r="A25" s="759"/>
      <c r="B25" s="761"/>
      <c r="C25" s="761"/>
      <c r="D25" s="761"/>
      <c r="E25" s="761"/>
      <c r="F25" s="761"/>
      <c r="G25" s="761"/>
      <c r="H25" s="761"/>
      <c r="I25" s="761"/>
      <c r="J25" s="761"/>
      <c r="K25" s="761"/>
      <c r="L25" s="761"/>
      <c r="M25" s="761"/>
      <c r="N25" s="761"/>
      <c r="O25" s="761"/>
      <c r="P25" s="761"/>
      <c r="Q25" s="761"/>
      <c r="R25" s="761"/>
      <c r="S25" s="761"/>
      <c r="T25" s="761"/>
      <c r="U25" s="761"/>
      <c r="V25" s="761"/>
      <c r="W25" s="761"/>
      <c r="X25" s="761"/>
      <c r="Y25" s="761"/>
    </row>
    <row r="26" spans="1:25" s="437" customFormat="1" ht="24" customHeight="1">
      <c r="A26" s="2063" t="s">
        <v>571</v>
      </c>
      <c r="B26" s="2069" t="s">
        <v>572</v>
      </c>
      <c r="C26" s="2070"/>
      <c r="D26" s="2070"/>
      <c r="E26" s="2071"/>
      <c r="F26" s="2069" t="s">
        <v>573</v>
      </c>
      <c r="G26" s="2070"/>
      <c r="H26" s="2071"/>
      <c r="I26" s="2063" t="s">
        <v>574</v>
      </c>
      <c r="J26" s="2067" t="s">
        <v>575</v>
      </c>
      <c r="K26" s="2072"/>
      <c r="L26" s="2068"/>
      <c r="M26" s="2067" t="s">
        <v>576</v>
      </c>
      <c r="N26" s="2072"/>
      <c r="O26" s="2072"/>
      <c r="P26" s="2072"/>
      <c r="Q26" s="2072"/>
      <c r="R26" s="2072"/>
      <c r="S26" s="2072"/>
      <c r="T26" s="2072"/>
      <c r="U26" s="2072"/>
      <c r="V26" s="2072"/>
      <c r="W26" s="2072"/>
      <c r="X26" s="2068"/>
      <c r="Y26" s="2063" t="s">
        <v>577</v>
      </c>
    </row>
    <row r="27" spans="1:25" s="437" customFormat="1" ht="24.75" customHeight="1">
      <c r="A27" s="2104"/>
      <c r="B27" s="2107" t="s">
        <v>159</v>
      </c>
      <c r="C27" s="2107" t="s">
        <v>578</v>
      </c>
      <c r="D27" s="2111"/>
      <c r="E27" s="2108"/>
      <c r="F27" s="2064" t="s">
        <v>160</v>
      </c>
      <c r="G27" s="2107" t="s">
        <v>579</v>
      </c>
      <c r="H27" s="2108"/>
      <c r="I27" s="2064"/>
      <c r="J27" s="2063" t="s">
        <v>263</v>
      </c>
      <c r="K27" s="2107" t="s">
        <v>580</v>
      </c>
      <c r="L27" s="2108"/>
      <c r="M27" s="2069" t="s">
        <v>581</v>
      </c>
      <c r="N27" s="2070"/>
      <c r="O27" s="2070"/>
      <c r="P27" s="2070"/>
      <c r="Q27" s="2070"/>
      <c r="R27" s="2070"/>
      <c r="S27" s="2070"/>
      <c r="T27" s="2071"/>
      <c r="U27" s="2069" t="s">
        <v>582</v>
      </c>
      <c r="V27" s="2070"/>
      <c r="W27" s="2070"/>
      <c r="X27" s="2071"/>
      <c r="Y27" s="2064"/>
    </row>
    <row r="28" spans="1:25" s="437" customFormat="1" ht="25.5" customHeight="1">
      <c r="A28" s="2105"/>
      <c r="B28" s="2105"/>
      <c r="C28" s="2105"/>
      <c r="D28" s="2112"/>
      <c r="E28" s="2109"/>
      <c r="F28" s="2065"/>
      <c r="G28" s="2105"/>
      <c r="H28" s="2109"/>
      <c r="I28" s="2065"/>
      <c r="J28" s="2065"/>
      <c r="K28" s="2105"/>
      <c r="L28" s="2109"/>
      <c r="M28" s="780" t="s">
        <v>263</v>
      </c>
      <c r="N28" s="781" t="s">
        <v>64</v>
      </c>
      <c r="O28" s="2067" t="s">
        <v>4</v>
      </c>
      <c r="P28" s="2068"/>
      <c r="Q28" s="780" t="s">
        <v>167</v>
      </c>
      <c r="R28" s="2069" t="s">
        <v>583</v>
      </c>
      <c r="S28" s="2070"/>
      <c r="T28" s="2071"/>
      <c r="U28" s="2069" t="s">
        <v>170</v>
      </c>
      <c r="V28" s="2070"/>
      <c r="W28" s="2071"/>
      <c r="X28" s="780" t="s">
        <v>168</v>
      </c>
      <c r="Y28" s="2065"/>
    </row>
    <row r="29" spans="1:25" s="446" customFormat="1">
      <c r="A29" s="782">
        <v>1</v>
      </c>
      <c r="B29" s="1026">
        <v>2</v>
      </c>
      <c r="C29" s="2058">
        <v>3</v>
      </c>
      <c r="D29" s="2062"/>
      <c r="E29" s="2059"/>
      <c r="F29" s="783">
        <v>4</v>
      </c>
      <c r="G29" s="2060">
        <v>5</v>
      </c>
      <c r="H29" s="2061"/>
      <c r="I29" s="782">
        <v>6</v>
      </c>
      <c r="J29" s="782">
        <v>7</v>
      </c>
      <c r="K29" s="2058">
        <v>8</v>
      </c>
      <c r="L29" s="2059"/>
      <c r="M29" s="782">
        <v>9</v>
      </c>
      <c r="N29" s="782">
        <v>10</v>
      </c>
      <c r="O29" s="2060">
        <v>11</v>
      </c>
      <c r="P29" s="2061"/>
      <c r="Q29" s="783">
        <v>12</v>
      </c>
      <c r="R29" s="2058">
        <v>13</v>
      </c>
      <c r="S29" s="2062"/>
      <c r="T29" s="2059"/>
      <c r="U29" s="2060">
        <v>14</v>
      </c>
      <c r="V29" s="2066"/>
      <c r="W29" s="2061"/>
      <c r="X29" s="782">
        <v>15</v>
      </c>
      <c r="Y29" s="782">
        <v>16</v>
      </c>
    </row>
    <row r="30" spans="1:25" s="805" customFormat="1" ht="24">
      <c r="A30" s="1025" t="s">
        <v>4</v>
      </c>
      <c r="B30" s="1025" t="s">
        <v>6</v>
      </c>
      <c r="C30" s="2110" t="s">
        <v>7</v>
      </c>
      <c r="D30" s="2110"/>
      <c r="E30" s="2110"/>
      <c r="F30" s="728" t="s">
        <v>336</v>
      </c>
      <c r="G30" s="2110" t="s">
        <v>8</v>
      </c>
      <c r="H30" s="2110"/>
      <c r="I30" s="807" t="s">
        <v>591</v>
      </c>
      <c r="J30" s="829" t="s">
        <v>592</v>
      </c>
      <c r="K30" s="2106" t="s">
        <v>593</v>
      </c>
      <c r="L30" s="2106"/>
      <c r="M30" s="829" t="s">
        <v>594</v>
      </c>
      <c r="N30" s="807" t="s">
        <v>596</v>
      </c>
      <c r="O30" s="2118" t="s">
        <v>595</v>
      </c>
      <c r="P30" s="2118"/>
      <c r="Q30" s="476" t="s">
        <v>597</v>
      </c>
      <c r="R30" s="2115" t="s">
        <v>598</v>
      </c>
      <c r="S30" s="2115"/>
      <c r="T30" s="2115"/>
      <c r="U30" s="2113" t="s">
        <v>18</v>
      </c>
      <c r="V30" s="2113"/>
      <c r="W30" s="2114"/>
      <c r="X30" s="1028" t="s">
        <v>19</v>
      </c>
      <c r="Y30" s="1029"/>
    </row>
    <row r="31" spans="1:25" s="784" customFormat="1" ht="15.75">
      <c r="A31" s="828" t="s">
        <v>93</v>
      </c>
      <c r="B31" s="828"/>
      <c r="C31" s="828"/>
      <c r="D31" s="828"/>
      <c r="E31" s="828"/>
      <c r="F31" s="828"/>
      <c r="G31" s="828"/>
      <c r="H31" s="828"/>
      <c r="I31" s="828"/>
      <c r="J31" s="828"/>
      <c r="K31" s="828"/>
      <c r="L31" s="828"/>
      <c r="M31" s="828"/>
      <c r="O31" s="795"/>
      <c r="P31" s="1030" t="s">
        <v>584</v>
      </c>
      <c r="Q31" s="741"/>
      <c r="R31" s="2116"/>
      <c r="S31" s="2116"/>
      <c r="T31" s="2116"/>
      <c r="U31" s="2117"/>
      <c r="V31" s="2116"/>
      <c r="W31" s="2116"/>
      <c r="X31" s="741"/>
      <c r="Y31" s="1031" t="s">
        <v>177</v>
      </c>
    </row>
    <row r="32" spans="1:25" s="761" customFormat="1">
      <c r="B32" s="827"/>
      <c r="C32" s="827"/>
      <c r="D32" s="827"/>
      <c r="E32" s="827"/>
      <c r="G32" s="827"/>
      <c r="H32" s="827"/>
      <c r="K32" s="827"/>
      <c r="L32" s="827"/>
      <c r="O32" s="827"/>
      <c r="P32" s="827"/>
      <c r="R32" s="826"/>
      <c r="S32" s="826"/>
      <c r="T32" s="826"/>
      <c r="U32" s="826"/>
      <c r="V32" s="826"/>
      <c r="W32" s="826"/>
      <c r="X32" s="825"/>
    </row>
    <row r="33" spans="1:25" s="761" customFormat="1"/>
    <row r="34" spans="1:25" s="761" customFormat="1" ht="13.5">
      <c r="A34" s="793" t="s">
        <v>585</v>
      </c>
      <c r="N34" s="794"/>
      <c r="O34" s="796"/>
      <c r="P34" s="796"/>
      <c r="Q34" s="796"/>
      <c r="R34" s="796"/>
      <c r="S34" s="796"/>
      <c r="T34" s="796"/>
      <c r="U34" s="796"/>
      <c r="V34" s="796"/>
      <c r="W34" s="796"/>
      <c r="X34" s="796"/>
      <c r="Y34" s="796"/>
    </row>
    <row r="35" spans="1:25" s="761" customFormat="1">
      <c r="N35" s="823"/>
      <c r="O35" s="823"/>
      <c r="P35" s="823"/>
      <c r="Q35" s="823"/>
      <c r="R35" s="823" t="s">
        <v>118</v>
      </c>
      <c r="S35" s="823"/>
      <c r="T35" s="823"/>
      <c r="U35" s="823"/>
      <c r="V35" s="823"/>
      <c r="W35" s="823"/>
      <c r="X35" s="823"/>
      <c r="Y35" s="823"/>
    </row>
    <row r="36" spans="1:25" s="761" customFormat="1" ht="13.5">
      <c r="A36" s="796"/>
      <c r="B36" s="796"/>
      <c r="C36" s="796"/>
      <c r="D36" s="796"/>
      <c r="E36" s="796"/>
      <c r="F36" s="796"/>
      <c r="G36" s="796"/>
      <c r="H36" s="796"/>
      <c r="I36" s="796"/>
      <c r="J36" s="796"/>
      <c r="K36" s="796"/>
      <c r="L36" s="796"/>
      <c r="M36" s="796"/>
      <c r="N36" s="796"/>
      <c r="O36" s="796"/>
      <c r="P36" s="796"/>
      <c r="Q36" s="796"/>
      <c r="R36" s="796"/>
      <c r="S36" s="796"/>
      <c r="T36" s="796"/>
      <c r="U36" s="798" t="s">
        <v>546</v>
      </c>
      <c r="V36" s="796"/>
      <c r="W36" s="796"/>
      <c r="X36" s="796"/>
      <c r="Y36" s="798" t="s">
        <v>547</v>
      </c>
    </row>
    <row r="37" spans="1:25" s="761" customFormat="1">
      <c r="S37" s="772"/>
      <c r="T37" s="442"/>
      <c r="U37" s="442"/>
      <c r="V37" s="442"/>
      <c r="W37" s="442"/>
      <c r="X37" s="442"/>
      <c r="Y37" s="442"/>
    </row>
    <row r="38" spans="1:25" s="761" customFormat="1" ht="15">
      <c r="A38" s="799" t="s">
        <v>124</v>
      </c>
      <c r="C38" s="2103" t="s">
        <v>125</v>
      </c>
      <c r="D38" s="2103"/>
      <c r="E38" s="2103"/>
      <c r="F38" s="2103"/>
      <c r="G38" s="2103"/>
      <c r="H38" s="2103"/>
      <c r="I38" s="2103"/>
      <c r="J38" s="800"/>
      <c r="K38" s="824"/>
      <c r="L38" s="824"/>
      <c r="M38" s="824"/>
      <c r="N38" s="824"/>
      <c r="O38" s="824"/>
      <c r="Q38" s="1973" t="s">
        <v>126</v>
      </c>
      <c r="R38" s="1973"/>
      <c r="S38" s="1973"/>
      <c r="T38" s="1973"/>
      <c r="U38" s="1973"/>
      <c r="V38" s="1973"/>
      <c r="W38" s="1973"/>
      <c r="X38" s="1973"/>
      <c r="Y38" s="800"/>
    </row>
    <row r="39" spans="1:25" s="761" customFormat="1" ht="15">
      <c r="A39" s="659"/>
      <c r="C39" s="823"/>
      <c r="D39" s="823"/>
      <c r="E39" s="823"/>
      <c r="F39" s="823" t="s">
        <v>183</v>
      </c>
      <c r="G39" s="823"/>
      <c r="H39" s="823"/>
      <c r="I39" s="823"/>
      <c r="K39" s="823"/>
      <c r="L39" s="823"/>
      <c r="M39" s="823" t="s">
        <v>80</v>
      </c>
      <c r="N39" s="823"/>
      <c r="O39" s="823"/>
      <c r="P39" s="787"/>
      <c r="Q39" s="823"/>
      <c r="R39" s="823"/>
      <c r="S39" s="823" t="s">
        <v>182</v>
      </c>
      <c r="T39" s="823"/>
      <c r="U39" s="823"/>
      <c r="V39" s="823"/>
      <c r="W39" s="823"/>
      <c r="X39" s="823"/>
      <c r="Y39" s="797"/>
    </row>
    <row r="40" spans="1:25" s="761" customFormat="1" ht="15">
      <c r="A40" s="799" t="s">
        <v>127</v>
      </c>
      <c r="C40" s="802"/>
      <c r="D40" s="802"/>
      <c r="E40" s="802"/>
      <c r="F40" s="802"/>
      <c r="G40" s="802"/>
      <c r="H40" s="802"/>
      <c r="I40" s="802"/>
      <c r="K40" s="802"/>
      <c r="L40" s="802"/>
      <c r="M40" s="802"/>
      <c r="N40" s="802"/>
      <c r="O40" s="802"/>
      <c r="P40" s="787"/>
      <c r="Q40" s="802"/>
      <c r="R40" s="802"/>
      <c r="S40" s="802"/>
      <c r="T40" s="802"/>
      <c r="U40" s="802"/>
      <c r="V40" s="802"/>
      <c r="W40" s="802"/>
      <c r="X40" s="802"/>
      <c r="Y40" s="797"/>
    </row>
    <row r="41" spans="1:25" s="761" customFormat="1" ht="15">
      <c r="C41" s="2103" t="s">
        <v>3</v>
      </c>
      <c r="D41" s="2103"/>
      <c r="E41" s="2103"/>
      <c r="F41" s="2103"/>
      <c r="G41" s="2103"/>
      <c r="H41" s="2103"/>
      <c r="I41" s="2103"/>
      <c r="J41" s="800"/>
      <c r="K41" s="824"/>
      <c r="L41" s="824"/>
      <c r="M41" s="824"/>
      <c r="N41" s="824"/>
      <c r="O41" s="824"/>
      <c r="Q41" s="1973" t="s">
        <v>1</v>
      </c>
      <c r="R41" s="1973"/>
      <c r="S41" s="1973"/>
      <c r="T41" s="1973"/>
      <c r="U41" s="1973"/>
      <c r="V41" s="1973"/>
      <c r="W41" s="1973"/>
      <c r="X41" s="1973"/>
      <c r="Y41" s="800"/>
    </row>
    <row r="42" spans="1:25" s="761" customFormat="1" ht="15">
      <c r="A42" s="785"/>
      <c r="B42" s="785"/>
      <c r="C42" s="823"/>
      <c r="D42" s="823"/>
      <c r="E42" s="823"/>
      <c r="F42" s="823" t="s">
        <v>183</v>
      </c>
      <c r="G42" s="823"/>
      <c r="H42" s="823"/>
      <c r="I42" s="823"/>
      <c r="K42" s="823"/>
      <c r="L42" s="823"/>
      <c r="M42" s="823" t="s">
        <v>80</v>
      </c>
      <c r="N42" s="823"/>
      <c r="O42" s="823"/>
      <c r="P42" s="787"/>
      <c r="Q42" s="823"/>
      <c r="R42" s="823"/>
      <c r="S42" s="823" t="s">
        <v>182</v>
      </c>
      <c r="T42" s="823"/>
      <c r="U42" s="823"/>
      <c r="V42" s="823"/>
      <c r="W42" s="823"/>
      <c r="X42" s="823"/>
      <c r="Y42" s="797"/>
    </row>
    <row r="43" spans="1:25" s="761" customFormat="1" ht="15">
      <c r="A43" s="785"/>
      <c r="B43" s="785"/>
      <c r="C43" s="1035"/>
      <c r="D43" s="1035"/>
      <c r="E43" s="1035"/>
      <c r="F43" s="1035"/>
      <c r="G43" s="1035"/>
      <c r="H43" s="1035"/>
      <c r="I43" s="1035"/>
      <c r="K43" s="1035"/>
      <c r="L43" s="1035"/>
      <c r="M43" s="1035"/>
      <c r="N43" s="1035"/>
      <c r="O43" s="1035"/>
      <c r="P43" s="787"/>
      <c r="Q43" s="1035"/>
      <c r="R43" s="1035"/>
      <c r="S43" s="1035"/>
      <c r="T43" s="1035"/>
      <c r="U43" s="1035"/>
      <c r="V43" s="1035"/>
      <c r="W43" s="1035"/>
      <c r="X43" s="1035"/>
      <c r="Y43" s="797"/>
    </row>
    <row r="44" spans="1:25" s="761" customFormat="1" ht="15">
      <c r="A44" s="785"/>
      <c r="B44" s="785"/>
      <c r="C44" s="797"/>
      <c r="D44" s="797"/>
      <c r="E44" s="797"/>
      <c r="F44" s="797" t="s">
        <v>183</v>
      </c>
      <c r="G44" s="797"/>
      <c r="H44" s="797"/>
      <c r="I44" s="797"/>
      <c r="K44" s="797"/>
      <c r="L44" s="797"/>
      <c r="M44" s="797" t="s">
        <v>80</v>
      </c>
      <c r="N44" s="797"/>
      <c r="O44" s="797"/>
      <c r="P44" s="787"/>
      <c r="Q44" s="797"/>
      <c r="R44" s="797"/>
      <c r="S44" s="797" t="s">
        <v>182</v>
      </c>
      <c r="T44" s="797"/>
      <c r="U44" s="797"/>
      <c r="V44" s="797"/>
      <c r="W44" s="797"/>
      <c r="X44" s="797"/>
      <c r="Y44" s="797"/>
    </row>
    <row r="45" spans="1:25" s="761" customFormat="1" ht="15">
      <c r="A45" s="785"/>
      <c r="B45" s="785"/>
      <c r="C45" s="797"/>
      <c r="D45" s="797"/>
      <c r="E45" s="797"/>
      <c r="F45" s="797"/>
      <c r="G45" s="797"/>
      <c r="H45" s="797"/>
      <c r="I45" s="797"/>
      <c r="K45" s="797"/>
      <c r="L45" s="797"/>
      <c r="M45" s="797"/>
      <c r="N45" s="797"/>
      <c r="O45" s="797"/>
      <c r="P45" s="787"/>
      <c r="Q45" s="797"/>
      <c r="R45" s="797"/>
      <c r="S45" s="797"/>
      <c r="T45" s="797"/>
      <c r="U45" s="797"/>
      <c r="V45" s="797"/>
      <c r="W45" s="797"/>
      <c r="X45" s="797"/>
      <c r="Y45" s="797"/>
    </row>
    <row r="46" spans="1:25" s="761" customFormat="1" ht="15">
      <c r="A46" s="788" t="s">
        <v>586</v>
      </c>
      <c r="J46" s="2119"/>
      <c r="K46" s="2119"/>
      <c r="L46" s="2119"/>
      <c r="M46" s="2119"/>
      <c r="N46" s="2119"/>
      <c r="O46" s="800"/>
      <c r="P46" s="2120"/>
      <c r="Q46" s="2120"/>
      <c r="R46" s="2120"/>
      <c r="S46" s="801"/>
      <c r="T46" s="806"/>
      <c r="U46" s="2120"/>
      <c r="V46" s="2120"/>
      <c r="W46" s="2120"/>
      <c r="X46" s="2120"/>
      <c r="Y46" s="2120"/>
    </row>
    <row r="47" spans="1:25" s="761" customFormat="1" ht="12.75" customHeight="1">
      <c r="J47" s="823"/>
      <c r="K47" s="823"/>
      <c r="L47" s="823" t="s">
        <v>183</v>
      </c>
      <c r="M47" s="823"/>
      <c r="N47" s="823"/>
      <c r="O47" s="797"/>
      <c r="P47" s="823"/>
      <c r="Q47" s="823" t="s">
        <v>80</v>
      </c>
      <c r="R47" s="823"/>
      <c r="S47" s="797"/>
      <c r="T47" s="823"/>
      <c r="U47" s="823" t="s">
        <v>182</v>
      </c>
      <c r="V47" s="823"/>
      <c r="W47" s="823"/>
      <c r="X47" s="823"/>
      <c r="Y47" s="823"/>
    </row>
    <row r="48" spans="1:25" s="761" customFormat="1"/>
    <row r="49" spans="10:19" s="761" customFormat="1" ht="15">
      <c r="J49" s="531" t="s">
        <v>279</v>
      </c>
      <c r="K49" s="786"/>
      <c r="L49" s="789" t="s">
        <v>279</v>
      </c>
      <c r="M49" s="824"/>
      <c r="N49" s="824"/>
      <c r="O49" s="789"/>
      <c r="P49" s="824"/>
      <c r="Q49" s="824"/>
      <c r="R49" s="824"/>
      <c r="S49" s="659" t="s">
        <v>147</v>
      </c>
    </row>
  </sheetData>
  <mergeCells count="70">
    <mergeCell ref="J46:N46"/>
    <mergeCell ref="P46:R46"/>
    <mergeCell ref="U46:Y46"/>
    <mergeCell ref="Q38:X38"/>
    <mergeCell ref="Q41:X41"/>
    <mergeCell ref="U30:W30"/>
    <mergeCell ref="R30:T30"/>
    <mergeCell ref="R31:T31"/>
    <mergeCell ref="U31:W31"/>
    <mergeCell ref="C38:I38"/>
    <mergeCell ref="O30:P30"/>
    <mergeCell ref="C41:I41"/>
    <mergeCell ref="A26:A28"/>
    <mergeCell ref="B26:E26"/>
    <mergeCell ref="F26:H26"/>
    <mergeCell ref="K30:L30"/>
    <mergeCell ref="K27:L28"/>
    <mergeCell ref="G30:H30"/>
    <mergeCell ref="C29:E29"/>
    <mergeCell ref="C30:E30"/>
    <mergeCell ref="G29:H29"/>
    <mergeCell ref="B27:B28"/>
    <mergeCell ref="C27:E28"/>
    <mergeCell ref="F27:F28"/>
    <mergeCell ref="G27:H28"/>
    <mergeCell ref="J27:J28"/>
    <mergeCell ref="A22:B22"/>
    <mergeCell ref="E22:F22"/>
    <mergeCell ref="W15:Y15"/>
    <mergeCell ref="N16:U16"/>
    <mergeCell ref="W16:Y16"/>
    <mergeCell ref="Q17:U17"/>
    <mergeCell ref="L19:O19"/>
    <mergeCell ref="P19:R19"/>
    <mergeCell ref="L20:O20"/>
    <mergeCell ref="P20:R20"/>
    <mergeCell ref="C21:T21"/>
    <mergeCell ref="O15:V15"/>
    <mergeCell ref="W17:Y17"/>
    <mergeCell ref="A8:Q8"/>
    <mergeCell ref="W8:Y9"/>
    <mergeCell ref="W5:Y5"/>
    <mergeCell ref="Q6:U6"/>
    <mergeCell ref="W6:Y6"/>
    <mergeCell ref="A7:Q7"/>
    <mergeCell ref="R7:U7"/>
    <mergeCell ref="W7:Y7"/>
    <mergeCell ref="A9:U9"/>
    <mergeCell ref="C10:M10"/>
    <mergeCell ref="Q10:U11"/>
    <mergeCell ref="W10:Y11"/>
    <mergeCell ref="I12:S12"/>
    <mergeCell ref="T12:U12"/>
    <mergeCell ref="W12:Y12"/>
    <mergeCell ref="I13:S14"/>
    <mergeCell ref="T13:U14"/>
    <mergeCell ref="W13:Y14"/>
    <mergeCell ref="K29:L29"/>
    <mergeCell ref="O29:P29"/>
    <mergeCell ref="R29:T29"/>
    <mergeCell ref="Y26:Y28"/>
    <mergeCell ref="U29:W29"/>
    <mergeCell ref="O28:P28"/>
    <mergeCell ref="M27:T27"/>
    <mergeCell ref="M26:X26"/>
    <mergeCell ref="R28:T28"/>
    <mergeCell ref="U28:W28"/>
    <mergeCell ref="U27:X27"/>
    <mergeCell ref="I26:I28"/>
    <mergeCell ref="J26:L26"/>
  </mergeCells>
  <pageMargins left="0.43307086614173229" right="0.39370078740157483" top="0.39370078740157483" bottom="0.39370078740157483" header="0" footer="0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>
  <sheetPr codeName="Лист39"/>
  <dimension ref="A1:Y9"/>
  <sheetViews>
    <sheetView view="pageBreakPreview" zoomScaleNormal="100" workbookViewId="0">
      <selection activeCell="Z1" sqref="Z1:Z1048576"/>
    </sheetView>
  </sheetViews>
  <sheetFormatPr defaultRowHeight="12.75"/>
  <cols>
    <col min="1" max="1" width="6.42578125" customWidth="1"/>
    <col min="2" max="2" width="15" customWidth="1"/>
    <col min="3" max="3" width="3.28515625" customWidth="1"/>
    <col min="4" max="4" width="1.85546875" customWidth="1"/>
    <col min="5" max="5" width="8.5703125" customWidth="1"/>
    <col min="6" max="6" width="6.85546875" customWidth="1"/>
    <col min="7" max="7" width="1.5703125" customWidth="1"/>
    <col min="8" max="8" width="5.42578125" customWidth="1"/>
    <col min="9" max="9" width="6.5703125" customWidth="1"/>
    <col min="10" max="10" width="9.7109375" customWidth="1"/>
    <col min="11" max="11" width="5.7109375" customWidth="1"/>
    <col min="12" max="12" width="2" customWidth="1"/>
    <col min="13" max="13" width="7.7109375" customWidth="1"/>
    <col min="14" max="14" width="5.140625" customWidth="1"/>
    <col min="15" max="15" width="1.5703125" customWidth="1"/>
    <col min="16" max="16" width="7" customWidth="1"/>
    <col min="17" max="17" width="7.85546875" customWidth="1"/>
    <col min="18" max="18" width="1.7109375" customWidth="1"/>
    <col min="19" max="19" width="1.140625" customWidth="1"/>
    <col min="20" max="20" width="5" customWidth="1"/>
    <col min="21" max="21" width="4.28515625" customWidth="1"/>
    <col min="22" max="22" width="0.5703125" customWidth="1"/>
    <col min="23" max="23" width="2.5703125" customWidth="1"/>
    <col min="25" max="25" width="10.140625" customWidth="1"/>
  </cols>
  <sheetData>
    <row r="1" spans="1:25" s="446" customFormat="1">
      <c r="A1" s="784" t="s">
        <v>93</v>
      </c>
      <c r="B1" s="784"/>
      <c r="C1" s="784"/>
      <c r="D1" s="784"/>
      <c r="E1" s="784"/>
      <c r="F1" s="784"/>
      <c r="G1" s="784"/>
      <c r="H1" s="784"/>
      <c r="I1" s="784"/>
      <c r="J1" s="784"/>
      <c r="K1" s="784"/>
      <c r="L1" s="784"/>
      <c r="M1" s="784"/>
      <c r="N1" s="784"/>
      <c r="O1" s="2121" t="s">
        <v>176</v>
      </c>
      <c r="P1" s="2121"/>
      <c r="Q1" s="1032"/>
      <c r="R1" s="2122"/>
      <c r="S1" s="2123"/>
      <c r="T1" s="2124"/>
      <c r="U1" s="2122"/>
      <c r="V1" s="2123"/>
      <c r="W1" s="2124"/>
      <c r="X1" s="1033"/>
      <c r="Y1" s="1034" t="s">
        <v>177</v>
      </c>
    </row>
    <row r="2" spans="1:25" s="446" customFormat="1" ht="15.75">
      <c r="A2" s="784"/>
      <c r="B2" s="784"/>
      <c r="C2" s="784"/>
      <c r="D2" s="784"/>
      <c r="E2" s="784"/>
      <c r="F2" s="784"/>
      <c r="G2" s="784"/>
      <c r="H2" s="784"/>
      <c r="I2" s="784"/>
      <c r="J2" s="784"/>
      <c r="K2" s="784"/>
      <c r="L2" s="784"/>
      <c r="M2" s="784"/>
      <c r="N2" s="784"/>
      <c r="O2" s="790"/>
      <c r="P2" s="790"/>
      <c r="Q2" s="803"/>
      <c r="R2" s="803"/>
      <c r="S2" s="803"/>
      <c r="T2" s="803"/>
      <c r="U2" s="803"/>
      <c r="V2" s="803"/>
      <c r="W2" s="803"/>
      <c r="X2" s="803"/>
      <c r="Y2" s="1023"/>
    </row>
    <row r="3" spans="1:25" s="1021" customFormat="1" ht="12.75" customHeight="1">
      <c r="A3" s="2127" t="s">
        <v>571</v>
      </c>
      <c r="B3" s="2127" t="s">
        <v>572</v>
      </c>
      <c r="C3" s="2127"/>
      <c r="D3" s="2127"/>
      <c r="E3" s="2127"/>
      <c r="F3" s="2127" t="s">
        <v>573</v>
      </c>
      <c r="G3" s="2127"/>
      <c r="H3" s="2127"/>
      <c r="I3" s="2127" t="s">
        <v>574</v>
      </c>
      <c r="J3" s="2125" t="s">
        <v>575</v>
      </c>
      <c r="K3" s="2125"/>
      <c r="L3" s="2125"/>
      <c r="M3" s="2125" t="s">
        <v>576</v>
      </c>
      <c r="N3" s="2125"/>
      <c r="O3" s="2125"/>
      <c r="P3" s="2125"/>
      <c r="Q3" s="2125"/>
      <c r="R3" s="2125"/>
      <c r="S3" s="2125"/>
      <c r="T3" s="2125"/>
      <c r="U3" s="2125"/>
      <c r="V3" s="2125"/>
      <c r="W3" s="2125"/>
      <c r="X3" s="2125"/>
      <c r="Y3" s="2127" t="s">
        <v>577</v>
      </c>
    </row>
    <row r="4" spans="1:25" s="1021" customFormat="1">
      <c r="A4" s="2127"/>
      <c r="B4" s="2127"/>
      <c r="C4" s="2127"/>
      <c r="D4" s="2127"/>
      <c r="E4" s="2127"/>
      <c r="F4" s="2127"/>
      <c r="G4" s="2127"/>
      <c r="H4" s="2127"/>
      <c r="I4" s="2127"/>
      <c r="J4" s="2125"/>
      <c r="K4" s="2125"/>
      <c r="L4" s="2125"/>
      <c r="M4" s="2125"/>
      <c r="N4" s="2125"/>
      <c r="O4" s="2125"/>
      <c r="P4" s="2125"/>
      <c r="Q4" s="2125"/>
      <c r="R4" s="2125"/>
      <c r="S4" s="2125"/>
      <c r="T4" s="2125"/>
      <c r="U4" s="2125"/>
      <c r="V4" s="2125"/>
      <c r="W4" s="2125"/>
      <c r="X4" s="2125"/>
      <c r="Y4" s="2127"/>
    </row>
    <row r="5" spans="1:25" s="1021" customFormat="1" ht="12.75" customHeight="1">
      <c r="A5" s="2127"/>
      <c r="B5" s="2127" t="s">
        <v>159</v>
      </c>
      <c r="C5" s="2127" t="s">
        <v>578</v>
      </c>
      <c r="D5" s="2127"/>
      <c r="E5" s="2127"/>
      <c r="F5" s="2127" t="s">
        <v>160</v>
      </c>
      <c r="G5" s="2127" t="s">
        <v>579</v>
      </c>
      <c r="H5" s="2127"/>
      <c r="I5" s="2127"/>
      <c r="J5" s="2127" t="s">
        <v>263</v>
      </c>
      <c r="K5" s="2127" t="s">
        <v>580</v>
      </c>
      <c r="L5" s="2127"/>
      <c r="M5" s="2127" t="s">
        <v>581</v>
      </c>
      <c r="N5" s="2127"/>
      <c r="O5" s="2127"/>
      <c r="P5" s="2127"/>
      <c r="Q5" s="2127"/>
      <c r="R5" s="2127"/>
      <c r="S5" s="2127"/>
      <c r="T5" s="2127"/>
      <c r="U5" s="2127" t="s">
        <v>582</v>
      </c>
      <c r="V5" s="2127"/>
      <c r="W5" s="2127"/>
      <c r="X5" s="2127"/>
      <c r="Y5" s="2127"/>
    </row>
    <row r="6" spans="1:25" s="1021" customFormat="1">
      <c r="A6" s="2127"/>
      <c r="B6" s="2127"/>
      <c r="C6" s="2127"/>
      <c r="D6" s="2127"/>
      <c r="E6" s="2127"/>
      <c r="F6" s="2127"/>
      <c r="G6" s="2127"/>
      <c r="H6" s="2127"/>
      <c r="I6" s="2127"/>
      <c r="J6" s="2127"/>
      <c r="K6" s="2127"/>
      <c r="L6" s="2127"/>
      <c r="M6" s="2127"/>
      <c r="N6" s="2127"/>
      <c r="O6" s="2127"/>
      <c r="P6" s="2127"/>
      <c r="Q6" s="2127"/>
      <c r="R6" s="2127"/>
      <c r="S6" s="2127"/>
      <c r="T6" s="2127"/>
      <c r="U6" s="2127"/>
      <c r="V6" s="2127"/>
      <c r="W6" s="2127"/>
      <c r="X6" s="2127"/>
      <c r="Y6" s="2127"/>
    </row>
    <row r="7" spans="1:25" s="1021" customFormat="1">
      <c r="A7" s="2127"/>
      <c r="B7" s="2127"/>
      <c r="C7" s="2127"/>
      <c r="D7" s="2127"/>
      <c r="E7" s="2127"/>
      <c r="F7" s="2127"/>
      <c r="G7" s="2127"/>
      <c r="H7" s="2127"/>
      <c r="I7" s="2127"/>
      <c r="J7" s="2127"/>
      <c r="K7" s="2127"/>
      <c r="L7" s="2127"/>
      <c r="M7" s="2127" t="s">
        <v>263</v>
      </c>
      <c r="N7" s="2125" t="s">
        <v>64</v>
      </c>
      <c r="O7" s="2125" t="s">
        <v>4</v>
      </c>
      <c r="P7" s="2125"/>
      <c r="Q7" s="2127" t="s">
        <v>167</v>
      </c>
      <c r="R7" s="2127" t="s">
        <v>583</v>
      </c>
      <c r="S7" s="2127"/>
      <c r="T7" s="2127"/>
      <c r="U7" s="2127" t="s">
        <v>170</v>
      </c>
      <c r="V7" s="2127"/>
      <c r="W7" s="2127"/>
      <c r="X7" s="2127" t="s">
        <v>168</v>
      </c>
      <c r="Y7" s="2127"/>
    </row>
    <row r="8" spans="1:25" s="1021" customFormat="1">
      <c r="A8" s="2127"/>
      <c r="B8" s="2127"/>
      <c r="C8" s="2127"/>
      <c r="D8" s="2127"/>
      <c r="E8" s="2127"/>
      <c r="F8" s="2127"/>
      <c r="G8" s="2127"/>
      <c r="H8" s="2127"/>
      <c r="I8" s="2127"/>
      <c r="J8" s="2127"/>
      <c r="K8" s="2127"/>
      <c r="L8" s="2127"/>
      <c r="M8" s="2127"/>
      <c r="N8" s="2125"/>
      <c r="O8" s="2125"/>
      <c r="P8" s="2125"/>
      <c r="Q8" s="2127"/>
      <c r="R8" s="2127"/>
      <c r="S8" s="2127"/>
      <c r="T8" s="2127"/>
      <c r="U8" s="2127"/>
      <c r="V8" s="2127"/>
      <c r="W8" s="2127"/>
      <c r="X8" s="2127"/>
      <c r="Y8" s="2127"/>
    </row>
    <row r="9" spans="1:25" s="446" customFormat="1">
      <c r="A9" s="782">
        <v>1</v>
      </c>
      <c r="B9" s="1022">
        <v>2</v>
      </c>
      <c r="C9" s="2126">
        <v>3</v>
      </c>
      <c r="D9" s="2126"/>
      <c r="E9" s="2126"/>
      <c r="F9" s="782">
        <v>4</v>
      </c>
      <c r="G9" s="2126">
        <v>5</v>
      </c>
      <c r="H9" s="2126"/>
      <c r="I9" s="782">
        <v>6</v>
      </c>
      <c r="J9" s="782">
        <v>7</v>
      </c>
      <c r="K9" s="2126">
        <v>8</v>
      </c>
      <c r="L9" s="2126"/>
      <c r="M9" s="782">
        <v>9</v>
      </c>
      <c r="N9" s="782">
        <v>10</v>
      </c>
      <c r="O9" s="2126">
        <v>11</v>
      </c>
      <c r="P9" s="2126"/>
      <c r="Q9" s="782">
        <v>12</v>
      </c>
      <c r="R9" s="2126">
        <v>13</v>
      </c>
      <c r="S9" s="2126"/>
      <c r="T9" s="2126"/>
      <c r="U9" s="2126">
        <v>14</v>
      </c>
      <c r="V9" s="2126"/>
      <c r="W9" s="2126"/>
      <c r="X9" s="782">
        <v>15</v>
      </c>
      <c r="Y9" s="782">
        <v>16</v>
      </c>
    </row>
  </sheetData>
  <mergeCells count="31">
    <mergeCell ref="Y3:Y8"/>
    <mergeCell ref="B5:B8"/>
    <mergeCell ref="C5:E8"/>
    <mergeCell ref="F5:F8"/>
    <mergeCell ref="G5:H8"/>
    <mergeCell ref="J5:J8"/>
    <mergeCell ref="K5:L8"/>
    <mergeCell ref="M5:T6"/>
    <mergeCell ref="U5:X6"/>
    <mergeCell ref="M7:M8"/>
    <mergeCell ref="N7:N8"/>
    <mergeCell ref="O7:P8"/>
    <mergeCell ref="Q7:Q8"/>
    <mergeCell ref="R7:T8"/>
    <mergeCell ref="U7:W8"/>
    <mergeCell ref="A3:A8"/>
    <mergeCell ref="B3:E4"/>
    <mergeCell ref="F3:H4"/>
    <mergeCell ref="I3:I8"/>
    <mergeCell ref="J3:L4"/>
    <mergeCell ref="O1:P1"/>
    <mergeCell ref="R1:T1"/>
    <mergeCell ref="U1:W1"/>
    <mergeCell ref="M3:X4"/>
    <mergeCell ref="C9:E9"/>
    <mergeCell ref="G9:H9"/>
    <mergeCell ref="K9:L9"/>
    <mergeCell ref="O9:P9"/>
    <mergeCell ref="R9:T9"/>
    <mergeCell ref="X7:X8"/>
    <mergeCell ref="U9:W9"/>
  </mergeCells>
  <pageMargins left="0.70866141732283472" right="0.39370078740157483" top="0.78740157480314965" bottom="0.31496062992125984" header="0.19685039370078741" footer="0.19685039370078741"/>
  <pageSetup paperSize="9" orientation="landscape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>
  <sheetPr codeName="Лист42"/>
  <dimension ref="A1:CA39"/>
  <sheetViews>
    <sheetView view="pageBreakPreview" topLeftCell="IHP1" zoomScaleNormal="100" workbookViewId="0">
      <selection activeCell="BT29" sqref="BT29:BW29"/>
    </sheetView>
  </sheetViews>
  <sheetFormatPr defaultColWidth="1.7109375" defaultRowHeight="12.75"/>
  <cols>
    <col min="1" max="51" width="1.7109375" style="437" customWidth="1"/>
    <col min="52" max="52" width="1.140625" style="437" customWidth="1"/>
    <col min="53" max="53" width="2.42578125" style="437" customWidth="1"/>
    <col min="54" max="66" width="1.7109375" style="437" customWidth="1"/>
    <col min="67" max="67" width="2.42578125" style="437" customWidth="1"/>
    <col min="68" max="68" width="0.85546875" style="437" customWidth="1"/>
    <col min="69" max="75" width="1.7109375" style="437"/>
    <col min="76" max="76" width="1.7109375" style="437" customWidth="1"/>
    <col min="77" max="16384" width="1.7109375" style="437"/>
  </cols>
  <sheetData>
    <row r="1" spans="1:79" ht="11.1" customHeight="1">
      <c r="A1" s="545"/>
      <c r="B1" s="545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545"/>
      <c r="V1" s="545"/>
      <c r="W1" s="545"/>
      <c r="X1" s="545"/>
      <c r="Y1" s="545"/>
      <c r="Z1" s="545"/>
      <c r="AA1" s="545"/>
      <c r="AB1" s="545"/>
      <c r="AC1" s="545"/>
      <c r="AD1" s="545"/>
      <c r="AE1" s="545"/>
      <c r="AF1" s="545"/>
      <c r="AG1" s="545"/>
      <c r="AH1" s="545"/>
      <c r="AI1" s="545"/>
      <c r="AJ1" s="545"/>
      <c r="AK1" s="545"/>
      <c r="AL1" s="545"/>
      <c r="AM1" s="545"/>
      <c r="AN1" s="545"/>
      <c r="AO1" s="545"/>
      <c r="AP1"/>
      <c r="AQ1" s="545"/>
      <c r="AR1" s="545"/>
      <c r="AS1" s="545"/>
      <c r="AT1" s="545"/>
      <c r="AU1" s="545"/>
      <c r="AV1" s="545"/>
      <c r="AW1" s="545"/>
      <c r="AX1" s="545"/>
      <c r="AY1" s="545"/>
      <c r="AZ1" s="545"/>
      <c r="BA1" s="545"/>
      <c r="BB1" s="545"/>
      <c r="BC1" s="545"/>
      <c r="BD1" s="545"/>
      <c r="BE1" s="545"/>
      <c r="BF1" s="545"/>
      <c r="BG1"/>
      <c r="BJ1" s="858" t="s">
        <v>615</v>
      </c>
    </row>
    <row r="2" spans="1:79" ht="11.1" customHeight="1">
      <c r="A2" s="545"/>
      <c r="B2" s="545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5"/>
      <c r="S2" s="545"/>
      <c r="T2" s="545"/>
      <c r="U2" s="545"/>
      <c r="V2" s="545"/>
      <c r="W2" s="545"/>
      <c r="X2" s="545"/>
      <c r="Y2" s="545"/>
      <c r="Z2" s="545"/>
      <c r="AA2" s="545"/>
      <c r="AB2" s="545"/>
      <c r="AC2" s="545"/>
      <c r="AD2" s="545"/>
      <c r="AE2" s="545"/>
      <c r="AF2" s="545"/>
      <c r="AG2" s="545"/>
      <c r="AH2" s="545"/>
      <c r="AI2" s="545"/>
      <c r="AJ2" s="545"/>
      <c r="AK2" s="545"/>
      <c r="AL2" s="545"/>
      <c r="AM2" s="545"/>
      <c r="AN2" s="545"/>
      <c r="AO2" s="545"/>
      <c r="AP2"/>
      <c r="AQ2" s="545"/>
      <c r="AR2" s="545"/>
      <c r="AS2" s="545"/>
      <c r="AT2" s="545"/>
      <c r="AU2" s="545"/>
      <c r="AV2" s="545"/>
      <c r="AW2" s="545"/>
      <c r="AX2" s="545"/>
      <c r="AY2" s="545"/>
      <c r="AZ2" s="545"/>
      <c r="BA2" s="545"/>
      <c r="BB2" s="545"/>
      <c r="BC2" s="545"/>
      <c r="BD2" s="545"/>
      <c r="BE2"/>
      <c r="BF2"/>
      <c r="BG2"/>
      <c r="BJ2" s="858" t="s">
        <v>399</v>
      </c>
    </row>
    <row r="3" spans="1:79" ht="11.1" customHeight="1">
      <c r="A3" s="545"/>
      <c r="B3" s="545"/>
      <c r="C3" s="545"/>
      <c r="D3" s="545"/>
      <c r="E3" s="545"/>
      <c r="F3" s="545"/>
      <c r="G3" s="545"/>
      <c r="H3" s="545"/>
      <c r="I3" s="545"/>
      <c r="J3" s="545"/>
      <c r="K3" s="545"/>
      <c r="L3" s="545"/>
      <c r="M3" s="545"/>
      <c r="N3" s="545"/>
      <c r="O3" s="545"/>
      <c r="P3" s="545"/>
      <c r="Q3" s="545"/>
      <c r="R3" s="545"/>
      <c r="S3" s="545"/>
      <c r="T3" s="545"/>
      <c r="U3" s="545"/>
      <c r="V3" s="545"/>
      <c r="W3" s="545"/>
      <c r="X3" s="545"/>
      <c r="Y3" s="545"/>
      <c r="Z3" s="545"/>
      <c r="AA3" s="545"/>
      <c r="AB3" s="545"/>
      <c r="AC3" s="545"/>
      <c r="AD3" s="545"/>
      <c r="AE3" s="545"/>
      <c r="AF3" s="545"/>
      <c r="AG3" s="545"/>
      <c r="AH3" s="545"/>
      <c r="AI3" s="545"/>
      <c r="BD3" s="545"/>
      <c r="BE3" s="545"/>
      <c r="BF3" s="545"/>
      <c r="BG3"/>
      <c r="BJ3" s="858" t="s">
        <v>616</v>
      </c>
    </row>
    <row r="4" spans="1:79" ht="17.25" customHeight="1" thickBot="1">
      <c r="A4" s="2217" t="s">
        <v>35</v>
      </c>
      <c r="B4" s="2217"/>
      <c r="C4" s="2217"/>
      <c r="D4" s="2217"/>
      <c r="E4" s="2217"/>
      <c r="F4" s="2217"/>
      <c r="G4" s="2217"/>
      <c r="H4" s="2217"/>
      <c r="I4" s="2217"/>
      <c r="J4" s="2217"/>
      <c r="K4" s="2217"/>
      <c r="L4" s="2217"/>
      <c r="M4" s="2217"/>
      <c r="N4" s="2217"/>
      <c r="O4" s="2217"/>
      <c r="P4" s="2217"/>
      <c r="Q4" s="2217"/>
      <c r="R4" s="2217"/>
      <c r="S4" s="2217"/>
      <c r="T4" s="2217"/>
      <c r="U4" s="2217"/>
      <c r="V4" s="2217"/>
      <c r="W4" s="2217"/>
      <c r="X4" s="2217"/>
      <c r="Y4" s="2217"/>
      <c r="Z4" s="2217"/>
      <c r="AA4" s="2217"/>
      <c r="AB4" s="2217"/>
      <c r="AC4" s="2217"/>
      <c r="AD4" s="2217"/>
      <c r="AE4" s="2217"/>
      <c r="AF4" s="2217"/>
      <c r="AG4" s="2217"/>
      <c r="AH4" s="2217"/>
      <c r="AI4" s="2217"/>
      <c r="AJ4" s="2217"/>
      <c r="AK4" s="2217"/>
      <c r="AL4" s="2217"/>
      <c r="AM4" s="2217"/>
      <c r="AN4" s="2217"/>
      <c r="AO4" s="2217"/>
      <c r="AP4" s="2217"/>
      <c r="AQ4" s="2217"/>
      <c r="AR4" s="2217"/>
      <c r="AS4" s="2217"/>
      <c r="AT4" s="2217"/>
      <c r="AU4" s="2217"/>
      <c r="AV4" s="2217"/>
      <c r="AW4" s="2217"/>
      <c r="AX4" s="2217"/>
      <c r="AY4" s="2217"/>
      <c r="AZ4" s="2217"/>
      <c r="BA4" s="2217"/>
      <c r="BB4" s="2217"/>
      <c r="BC4" s="2217"/>
      <c r="BD4" s="2217"/>
      <c r="BE4" s="2217"/>
      <c r="BF4" s="2217"/>
      <c r="BG4" s="2217"/>
      <c r="BH4" s="2217"/>
      <c r="BI4" s="2217"/>
      <c r="BJ4"/>
      <c r="BK4"/>
      <c r="BL4"/>
      <c r="BM4"/>
      <c r="BN4"/>
      <c r="BO4"/>
      <c r="BP4"/>
      <c r="BQ4"/>
      <c r="BR4"/>
      <c r="BS4"/>
      <c r="BT4" s="2155" t="s">
        <v>55</v>
      </c>
      <c r="BU4" s="2155"/>
      <c r="BV4" s="2155"/>
      <c r="BW4" s="2155"/>
      <c r="BX4" s="2155"/>
      <c r="BY4" s="2155"/>
      <c r="BZ4" s="2155"/>
      <c r="CA4" s="2155"/>
    </row>
    <row r="5" spans="1:79" ht="17.25" customHeight="1">
      <c r="A5" s="2217"/>
      <c r="B5" s="2217"/>
      <c r="C5" s="2217"/>
      <c r="D5" s="2217"/>
      <c r="E5" s="2217"/>
      <c r="F5" s="2217"/>
      <c r="G5" s="2217"/>
      <c r="H5" s="2217"/>
      <c r="I5" s="2217"/>
      <c r="J5" s="2217"/>
      <c r="K5" s="2217"/>
      <c r="L5" s="2217"/>
      <c r="M5" s="2217"/>
      <c r="N5" s="2217"/>
      <c r="O5" s="2217"/>
      <c r="P5" s="2217"/>
      <c r="Q5" s="2217"/>
      <c r="R5" s="2217"/>
      <c r="S5" s="2217"/>
      <c r="T5" s="2217"/>
      <c r="U5" s="2217"/>
      <c r="V5" s="2217"/>
      <c r="W5" s="2217"/>
      <c r="X5" s="2217"/>
      <c r="Y5" s="2217"/>
      <c r="Z5" s="2217"/>
      <c r="AA5" s="2217"/>
      <c r="AB5" s="2217"/>
      <c r="AC5" s="2217"/>
      <c r="AD5" s="2217"/>
      <c r="AE5" s="2217"/>
      <c r="AF5" s="2217"/>
      <c r="AG5" s="2217"/>
      <c r="AH5" s="2217"/>
      <c r="AI5" s="2217"/>
      <c r="AJ5" s="2217"/>
      <c r="AK5" s="2217"/>
      <c r="AL5" s="2217"/>
      <c r="AM5" s="2217"/>
      <c r="AN5" s="2217"/>
      <c r="AO5" s="2217"/>
      <c r="AP5" s="2217"/>
      <c r="AQ5" s="2217"/>
      <c r="AR5" s="2217"/>
      <c r="AS5" s="2217"/>
      <c r="AT5" s="2217"/>
      <c r="AU5" s="2217"/>
      <c r="AV5" s="2217"/>
      <c r="AW5" s="2217"/>
      <c r="AX5" s="2217"/>
      <c r="AY5" s="2217"/>
      <c r="AZ5" s="2217"/>
      <c r="BA5" s="2217"/>
      <c r="BB5" s="2217"/>
      <c r="BC5" s="2217"/>
      <c r="BD5" s="2217"/>
      <c r="BE5" s="2217"/>
      <c r="BF5" s="2217"/>
      <c r="BG5" s="2217"/>
      <c r="BH5" s="2217"/>
      <c r="BI5" s="2217"/>
      <c r="BK5" s="41"/>
      <c r="BL5" s="41"/>
      <c r="BM5" s="41"/>
      <c r="BN5" s="41"/>
      <c r="BO5" s="41"/>
      <c r="BP5" s="41"/>
      <c r="BQ5" s="41"/>
      <c r="BR5" s="41" t="s">
        <v>56</v>
      </c>
      <c r="BS5" s="859"/>
      <c r="BT5" s="2203" t="s">
        <v>617</v>
      </c>
      <c r="BU5" s="2204"/>
      <c r="BV5" s="2204"/>
      <c r="BW5" s="2204"/>
      <c r="BX5" s="2204"/>
      <c r="BY5" s="2204"/>
      <c r="BZ5" s="2204"/>
      <c r="CA5" s="2205"/>
    </row>
    <row r="6" spans="1:79" ht="17.25" customHeight="1">
      <c r="A6" s="2218"/>
      <c r="B6" s="2218"/>
      <c r="C6" s="2218"/>
      <c r="D6" s="2218"/>
      <c r="E6" s="2218"/>
      <c r="F6" s="2218"/>
      <c r="G6" s="2218"/>
      <c r="H6" s="2218"/>
      <c r="I6" s="2218"/>
      <c r="J6" s="2218"/>
      <c r="K6" s="2218"/>
      <c r="L6" s="2218"/>
      <c r="M6" s="2218"/>
      <c r="N6" s="2218"/>
      <c r="O6" s="2218"/>
      <c r="P6" s="2218"/>
      <c r="Q6" s="2218"/>
      <c r="R6" s="2218"/>
      <c r="S6" s="2218"/>
      <c r="T6" s="2218"/>
      <c r="U6" s="2218"/>
      <c r="V6" s="2218"/>
      <c r="W6" s="2218"/>
      <c r="X6" s="2218"/>
      <c r="Y6" s="2218"/>
      <c r="Z6" s="2218"/>
      <c r="AA6" s="2218"/>
      <c r="AB6" s="2218"/>
      <c r="AC6" s="2218"/>
      <c r="AD6" s="2218"/>
      <c r="AE6" s="2218"/>
      <c r="AF6" s="2218"/>
      <c r="AG6" s="2218"/>
      <c r="AH6" s="2218"/>
      <c r="AI6" s="2218"/>
      <c r="AJ6" s="2218"/>
      <c r="AK6" s="2218"/>
      <c r="AL6" s="2218"/>
      <c r="AM6" s="2218"/>
      <c r="AN6" s="2218"/>
      <c r="AO6" s="2218"/>
      <c r="AP6" s="2218"/>
      <c r="AQ6" s="2218"/>
      <c r="AR6" s="2218"/>
      <c r="AS6" s="2218"/>
      <c r="AT6" s="2218"/>
      <c r="AU6" s="2218"/>
      <c r="AV6" s="2218"/>
      <c r="AW6" s="2218"/>
      <c r="AX6" s="2218"/>
      <c r="AY6" s="2218"/>
      <c r="AZ6" s="2218"/>
      <c r="BA6" s="2218"/>
      <c r="BB6" s="2218"/>
      <c r="BC6" s="2218"/>
      <c r="BD6" s="2218"/>
      <c r="BE6" s="2218"/>
      <c r="BF6" s="2218"/>
      <c r="BG6" s="2218"/>
      <c r="BH6" s="2218"/>
      <c r="BI6" s="2218"/>
      <c r="BJ6"/>
      <c r="BK6"/>
      <c r="BL6"/>
      <c r="BM6"/>
      <c r="BR6" s="41" t="s">
        <v>57</v>
      </c>
      <c r="BT6" s="2206" t="s">
        <v>34</v>
      </c>
      <c r="BU6" s="2207"/>
      <c r="BV6" s="2207"/>
      <c r="BW6" s="2207"/>
      <c r="BX6" s="2207"/>
      <c r="BY6" s="2207"/>
      <c r="BZ6" s="2207"/>
      <c r="CA6" s="2208"/>
    </row>
    <row r="7" spans="1:79" ht="9" customHeight="1">
      <c r="A7" s="860"/>
      <c r="B7" s="860"/>
      <c r="C7" s="860"/>
      <c r="D7" s="860"/>
      <c r="E7" s="860"/>
      <c r="F7" s="860"/>
      <c r="G7" s="860"/>
      <c r="H7" s="860"/>
      <c r="I7" s="860"/>
      <c r="J7" s="860"/>
      <c r="K7" s="860"/>
      <c r="L7" s="860"/>
      <c r="M7" s="860"/>
      <c r="N7" s="860"/>
      <c r="O7" s="860"/>
      <c r="P7" s="860"/>
      <c r="Q7" s="860"/>
      <c r="R7" s="860"/>
      <c r="S7" s="860"/>
      <c r="T7" s="860"/>
      <c r="U7" s="860"/>
      <c r="V7" s="860"/>
      <c r="W7" s="860"/>
      <c r="X7" s="860"/>
      <c r="Y7" s="860"/>
      <c r="Z7" s="860"/>
      <c r="AA7" s="860"/>
      <c r="AB7" s="861" t="s">
        <v>58</v>
      </c>
      <c r="AC7" s="860"/>
      <c r="AD7" s="860"/>
      <c r="AE7" s="860"/>
      <c r="AF7" s="860"/>
      <c r="AG7" s="860"/>
      <c r="AH7" s="860"/>
      <c r="AI7" s="860"/>
      <c r="AJ7" s="860"/>
      <c r="AK7" s="860"/>
      <c r="AL7" s="860"/>
      <c r="AM7" s="860"/>
      <c r="AN7" s="860"/>
      <c r="AO7" s="860"/>
      <c r="AP7" s="860"/>
      <c r="AQ7" s="860"/>
      <c r="AR7" s="860"/>
      <c r="AS7" s="860"/>
      <c r="AT7" s="860"/>
      <c r="AU7" s="860"/>
      <c r="AV7" s="860"/>
      <c r="AW7" s="860"/>
      <c r="AX7" s="860"/>
      <c r="AY7" s="860"/>
      <c r="AZ7" s="860"/>
      <c r="BA7" s="860"/>
      <c r="BB7" s="860"/>
      <c r="BC7" s="860"/>
      <c r="BD7" s="860"/>
      <c r="BE7" s="860"/>
      <c r="BF7" s="860"/>
      <c r="BG7" s="860"/>
      <c r="BH7" s="860"/>
      <c r="BI7" s="860"/>
      <c r="BJ7" s="860"/>
      <c r="BK7" s="860"/>
      <c r="BL7" s="860"/>
      <c r="BM7" s="860"/>
      <c r="BR7" s="41"/>
      <c r="BT7" s="2209"/>
      <c r="BU7" s="2210"/>
      <c r="BV7" s="2210"/>
      <c r="BW7" s="2210"/>
      <c r="BX7" s="2210"/>
      <c r="BY7" s="2210"/>
      <c r="BZ7" s="2210"/>
      <c r="CA7" s="2211"/>
    </row>
    <row r="8" spans="1:79" ht="11.1" customHeight="1">
      <c r="A8" s="2215" t="s">
        <v>32</v>
      </c>
      <c r="B8" s="2215"/>
      <c r="C8" s="2215"/>
      <c r="D8" s="2215"/>
      <c r="E8" s="2215"/>
      <c r="F8" s="2215"/>
      <c r="G8" s="2215"/>
      <c r="H8" s="2215"/>
      <c r="I8" s="2215"/>
      <c r="J8" s="2215"/>
      <c r="K8" s="2215"/>
      <c r="L8" s="2215"/>
      <c r="M8" s="2215"/>
      <c r="N8" s="2215"/>
      <c r="O8" s="2215"/>
      <c r="P8" s="2215"/>
      <c r="Q8" s="2215"/>
      <c r="R8" s="2215"/>
      <c r="S8" s="2215"/>
      <c r="T8" s="2215"/>
      <c r="U8" s="2215"/>
      <c r="V8" s="2215"/>
      <c r="W8" s="2215"/>
      <c r="X8" s="2215"/>
      <c r="Y8" s="2215"/>
      <c r="Z8" s="2215"/>
      <c r="AA8" s="2215"/>
      <c r="AB8" s="2215"/>
      <c r="AC8" s="2215"/>
      <c r="AD8" s="2215"/>
      <c r="AE8" s="2215"/>
      <c r="AF8" s="2215"/>
      <c r="AG8" s="2215"/>
      <c r="AH8" s="2215"/>
      <c r="AI8" s="2215"/>
      <c r="AJ8" s="2215"/>
      <c r="AK8" s="2215"/>
      <c r="AL8" s="2215"/>
      <c r="AM8" s="2215"/>
      <c r="AN8" s="2215"/>
      <c r="AO8" s="2215"/>
      <c r="AP8" s="2215"/>
      <c r="AQ8" s="2215"/>
      <c r="AR8" s="2215"/>
      <c r="AS8" s="2215"/>
      <c r="AT8" s="2215"/>
      <c r="AU8" s="2215"/>
      <c r="AV8" s="2215"/>
      <c r="AW8" s="2215"/>
      <c r="AX8" s="2215"/>
      <c r="AY8" s="2215"/>
      <c r="AZ8" s="2215"/>
      <c r="BA8" s="2215"/>
      <c r="BB8" s="2215"/>
      <c r="BC8" s="2215"/>
      <c r="BD8" s="2215"/>
      <c r="BE8" s="2215"/>
      <c r="BF8" s="2215"/>
      <c r="BG8" s="2215"/>
      <c r="BH8" s="2215"/>
      <c r="BI8" s="2215"/>
      <c r="BJ8" s="2215"/>
      <c r="BK8" s="2215"/>
      <c r="BL8" s="2215"/>
      <c r="BM8" s="2215"/>
      <c r="BN8" s="2215"/>
      <c r="BO8" s="2215"/>
      <c r="BP8" s="2215"/>
      <c r="BQ8" s="2215"/>
      <c r="BR8" s="2215"/>
      <c r="BS8" s="2216"/>
      <c r="BT8" s="2212"/>
      <c r="BU8" s="2213"/>
      <c r="BV8" s="2213"/>
      <c r="BW8" s="2213"/>
      <c r="BX8" s="2213"/>
      <c r="BY8" s="2213"/>
      <c r="BZ8" s="2213"/>
      <c r="CA8" s="2214"/>
    </row>
    <row r="9" spans="1:79" ht="17.25" customHeight="1">
      <c r="A9" s="862"/>
      <c r="B9" s="442"/>
      <c r="C9" s="442"/>
      <c r="D9" s="442"/>
      <c r="E9" s="442"/>
      <c r="F9" s="442"/>
      <c r="G9" s="442"/>
      <c r="H9" s="442"/>
      <c r="I9" s="442"/>
      <c r="J9" s="442"/>
      <c r="K9" s="66"/>
      <c r="L9" s="440"/>
      <c r="M9" s="440"/>
      <c r="N9" s="66"/>
      <c r="O9" s="863"/>
      <c r="P9" s="66"/>
      <c r="Q9" s="440"/>
      <c r="R9" s="864"/>
      <c r="S9" s="864"/>
      <c r="T9" s="864"/>
      <c r="U9" s="864"/>
      <c r="V9" s="864"/>
      <c r="W9" s="864"/>
      <c r="X9" s="440"/>
      <c r="Z9" s="865" t="s">
        <v>59</v>
      </c>
      <c r="AA9" s="866"/>
      <c r="AB9" s="866"/>
      <c r="AC9" s="866"/>
      <c r="AD9" s="866"/>
      <c r="AE9" s="442"/>
      <c r="AF9" s="442"/>
      <c r="AG9" s="442"/>
      <c r="AH9" s="442"/>
      <c r="AI9" s="442"/>
      <c r="AJ9" s="442"/>
      <c r="AK9" s="442"/>
      <c r="AL9" s="442"/>
      <c r="AM9" s="442"/>
      <c r="AN9" s="442"/>
      <c r="AO9" s="442"/>
      <c r="AP9" s="442"/>
      <c r="AQ9" s="442"/>
      <c r="AR9" s="442"/>
      <c r="AS9" s="442"/>
      <c r="AT9" s="442"/>
      <c r="AU9" s="442"/>
      <c r="AV9" s="442"/>
      <c r="AW9" s="442"/>
      <c r="AX9" s="442"/>
      <c r="AY9" s="442"/>
      <c r="AZ9" s="442"/>
      <c r="BA9" s="442"/>
      <c r="BB9" s="442"/>
      <c r="BC9" s="442"/>
      <c r="BD9" s="442"/>
      <c r="BE9" s="442"/>
      <c r="BF9"/>
      <c r="BG9" s="859"/>
      <c r="BH9" s="859"/>
      <c r="BI9" s="859"/>
      <c r="BJ9" s="859"/>
      <c r="BK9" s="859"/>
      <c r="BL9" s="859"/>
      <c r="BM9" s="859"/>
      <c r="BN9" s="859"/>
      <c r="BO9" s="859"/>
      <c r="BP9" s="859"/>
      <c r="BQ9" s="439"/>
      <c r="BR9" s="859" t="s">
        <v>618</v>
      </c>
      <c r="BS9" s="859"/>
      <c r="BT9" s="2193"/>
      <c r="BU9" s="2194"/>
      <c r="BV9" s="2194"/>
      <c r="BW9" s="2194"/>
      <c r="BX9" s="2194"/>
      <c r="BY9" s="2194"/>
      <c r="BZ9" s="2194"/>
      <c r="CA9" s="2195"/>
    </row>
    <row r="10" spans="1:79" ht="17.25" customHeight="1" thickBot="1">
      <c r="A10" s="440"/>
      <c r="B10" s="440"/>
      <c r="C10" s="440"/>
      <c r="D10" s="440"/>
      <c r="E10" s="440"/>
      <c r="F10" s="440"/>
      <c r="G10" s="440"/>
      <c r="H10" s="440"/>
      <c r="I10" s="440"/>
      <c r="J10" s="440"/>
      <c r="K10"/>
      <c r="L10" s="440"/>
      <c r="M10" s="440"/>
      <c r="N10" s="440"/>
      <c r="O10" s="864"/>
      <c r="P10" s="864"/>
      <c r="Q10" s="867"/>
      <c r="R10" s="864"/>
      <c r="S10" s="864"/>
      <c r="T10" s="864"/>
      <c r="U10" s="864"/>
      <c r="V10" s="864"/>
      <c r="W10" s="864"/>
      <c r="X10" s="864"/>
      <c r="Y10" s="866"/>
      <c r="Z10" s="866"/>
      <c r="AA10" s="866"/>
      <c r="AB10" s="866"/>
      <c r="AC10" s="866"/>
      <c r="AD10" s="866"/>
      <c r="AE10" s="442"/>
      <c r="AF10" s="442"/>
      <c r="AG10" s="442"/>
      <c r="AH10" s="442"/>
      <c r="AI10" s="440"/>
      <c r="AJ10" s="440"/>
      <c r="AK10" s="440"/>
      <c r="AL10" s="440"/>
      <c r="AM10" s="440"/>
      <c r="AN10" s="440"/>
      <c r="AO10" s="440"/>
      <c r="AP10" s="440"/>
      <c r="AQ10" s="440"/>
      <c r="AR10" s="440"/>
      <c r="AS10" s="440"/>
      <c r="AT10" s="440"/>
      <c r="AU10" s="440"/>
      <c r="AV10" s="440"/>
      <c r="AW10" s="440"/>
      <c r="AX10" s="440"/>
      <c r="AY10" s="440"/>
      <c r="AZ10" s="440"/>
      <c r="BA10" s="440"/>
      <c r="BB10" s="440"/>
      <c r="BC10" s="440"/>
      <c r="BD10" s="440"/>
      <c r="BE10" s="440"/>
      <c r="BM10" s="41"/>
      <c r="BN10" s="41"/>
      <c r="BO10" s="41"/>
      <c r="BP10" s="41"/>
      <c r="BQ10" s="440"/>
      <c r="BR10" s="41" t="s">
        <v>67</v>
      </c>
      <c r="BS10" s="859"/>
      <c r="BT10" s="2196"/>
      <c r="BU10" s="2197"/>
      <c r="BV10" s="2197"/>
      <c r="BW10" s="2197"/>
      <c r="BX10" s="2197"/>
      <c r="BY10" s="2197"/>
      <c r="BZ10" s="2197"/>
      <c r="CA10" s="2198"/>
    </row>
    <row r="11" spans="1:79" ht="12.75" customHeight="1" thickBot="1">
      <c r="A11" s="545"/>
      <c r="B11" s="545"/>
      <c r="C11" s="545"/>
      <c r="D11" s="545"/>
      <c r="E11" s="545"/>
      <c r="F11" s="545"/>
      <c r="G11" s="545"/>
      <c r="H11" s="545"/>
      <c r="I11" s="545"/>
      <c r="J11" s="545"/>
      <c r="K11" s="545"/>
      <c r="L11" s="545"/>
      <c r="M11" s="545"/>
      <c r="N11" s="545"/>
      <c r="O11" s="545"/>
      <c r="P11" s="545"/>
      <c r="Q11" s="545"/>
      <c r="R11" s="545"/>
      <c r="S11" s="545"/>
      <c r="T11" s="545"/>
      <c r="U11" s="545"/>
      <c r="V11" s="545"/>
      <c r="W11" s="545"/>
      <c r="X11" s="545"/>
      <c r="Y11" s="545"/>
      <c r="Z11" s="545"/>
      <c r="AA11" s="545"/>
      <c r="AB11" s="545"/>
      <c r="AC11" s="545"/>
      <c r="AD11" s="545"/>
      <c r="AE11" s="545"/>
      <c r="AF11" s="545"/>
      <c r="AG11" s="545"/>
      <c r="AH11" s="545"/>
      <c r="AI11" s="545"/>
      <c r="AQ11" s="652"/>
      <c r="AR11" s="652"/>
      <c r="AS11" s="2199" t="s">
        <v>140</v>
      </c>
      <c r="AT11" s="2199"/>
      <c r="AU11" s="2199"/>
      <c r="AV11" s="2199"/>
      <c r="AW11" s="2199"/>
      <c r="AX11" s="2199"/>
      <c r="AY11" s="2199"/>
      <c r="AZ11" s="2199"/>
      <c r="BA11" s="2199" t="s">
        <v>69</v>
      </c>
      <c r="BB11" s="2199"/>
      <c r="BC11" s="2199"/>
      <c r="BD11" s="2199"/>
      <c r="BE11" s="2199"/>
      <c r="BF11" s="2199"/>
      <c r="BG11" s="2199"/>
      <c r="BH11" s="2199"/>
      <c r="BL11" s="868"/>
      <c r="BM11" s="868"/>
      <c r="BN11" s="868"/>
      <c r="BO11" s="868"/>
      <c r="BP11" s="868"/>
      <c r="BQ11" s="868"/>
      <c r="BR11" s="649"/>
    </row>
    <row r="12" spans="1:79" ht="15" thickBot="1">
      <c r="A12" s="545"/>
      <c r="B12" s="545"/>
      <c r="C12" s="545"/>
      <c r="D12" s="545"/>
      <c r="E12" s="545"/>
      <c r="F12" s="545"/>
      <c r="G12" s="545"/>
      <c r="H12" s="545"/>
      <c r="I12" s="545"/>
      <c r="J12" s="545"/>
      <c r="K12" s="545"/>
      <c r="L12" s="545"/>
      <c r="M12" s="545"/>
      <c r="N12" s="545"/>
      <c r="O12" s="545"/>
      <c r="P12" s="545"/>
      <c r="Q12" s="545"/>
      <c r="R12" s="545"/>
      <c r="S12" s="545"/>
      <c r="T12" s="545"/>
      <c r="U12" s="545"/>
      <c r="V12" s="545"/>
      <c r="W12" s="545"/>
      <c r="X12" s="545"/>
      <c r="Y12" s="545"/>
      <c r="Z12" s="545"/>
      <c r="AA12" s="545"/>
      <c r="AB12" s="545"/>
      <c r="AC12" s="545"/>
      <c r="AD12" s="545"/>
      <c r="AE12" s="545"/>
      <c r="AF12" s="545"/>
      <c r="AG12" s="545"/>
      <c r="AH12" s="545"/>
      <c r="AI12" s="545"/>
      <c r="AO12" s="777" t="s">
        <v>619</v>
      </c>
      <c r="AQ12" s="652"/>
      <c r="AR12" s="652"/>
      <c r="AS12" s="2200" t="s">
        <v>293</v>
      </c>
      <c r="AT12" s="2201"/>
      <c r="AU12" s="2201"/>
      <c r="AV12" s="2201"/>
      <c r="AW12" s="2201"/>
      <c r="AX12" s="2201"/>
      <c r="AY12" s="2201"/>
      <c r="AZ12" s="2201"/>
      <c r="BA12" s="2201" t="s">
        <v>31</v>
      </c>
      <c r="BB12" s="2201"/>
      <c r="BC12" s="2201"/>
      <c r="BD12" s="2201"/>
      <c r="BE12" s="2201"/>
      <c r="BF12" s="2201"/>
      <c r="BG12" s="2201"/>
      <c r="BH12" s="2202"/>
      <c r="BL12" s="868"/>
      <c r="BM12" s="868"/>
      <c r="BN12" s="649"/>
      <c r="BO12" s="649"/>
      <c r="BP12" s="649"/>
      <c r="BQ12" s="649"/>
      <c r="BR12" s="649"/>
      <c r="BS12" s="649"/>
      <c r="BT12" s="649"/>
      <c r="BV12" s="440"/>
      <c r="BW12" s="440"/>
      <c r="BX12" s="440"/>
      <c r="BY12" s="440"/>
      <c r="BZ12" s="440"/>
      <c r="CA12" s="440"/>
    </row>
    <row r="13" spans="1:79" ht="14.25">
      <c r="A13" s="545"/>
      <c r="B13" s="545"/>
      <c r="C13" s="545"/>
      <c r="D13" s="545"/>
      <c r="E13" s="545"/>
      <c r="F13" s="545"/>
      <c r="G13" s="545"/>
      <c r="H13" s="545"/>
      <c r="I13" s="545"/>
      <c r="J13" s="545"/>
      <c r="K13" s="545"/>
      <c r="L13" s="545"/>
      <c r="M13" s="545"/>
      <c r="N13" s="545"/>
      <c r="P13" s="545"/>
      <c r="Q13" s="777" t="s">
        <v>620</v>
      </c>
      <c r="R13" s="545"/>
      <c r="S13" s="545"/>
      <c r="T13" s="545"/>
      <c r="V13" s="545"/>
      <c r="W13" s="545"/>
      <c r="Z13" s="545"/>
      <c r="AA13" s="545"/>
      <c r="AB13" s="545"/>
      <c r="AD13" s="869"/>
      <c r="AE13" s="545"/>
      <c r="AF13" s="545"/>
      <c r="AG13" s="545"/>
      <c r="AH13" s="869"/>
      <c r="AI13" s="545"/>
      <c r="AJ13" s="545"/>
      <c r="AK13" s="870"/>
      <c r="AL13" s="870"/>
      <c r="AM13" s="870"/>
      <c r="AN13" s="870"/>
      <c r="AO13" s="870"/>
      <c r="AP13" s="870"/>
      <c r="AQ13" s="870"/>
      <c r="AR13" s="870"/>
      <c r="AS13" s="871"/>
      <c r="AT13" s="871"/>
      <c r="AU13" s="871"/>
      <c r="AV13" s="871"/>
      <c r="AW13" s="871"/>
      <c r="AX13" s="871"/>
      <c r="AY13" s="871"/>
      <c r="AZ13" s="871"/>
      <c r="BA13" s="871"/>
      <c r="BB13" s="871"/>
      <c r="BC13" s="871"/>
      <c r="BD13" s="871"/>
      <c r="BE13" s="871"/>
      <c r="BF13" s="649"/>
      <c r="BG13" s="649"/>
      <c r="BH13" s="649"/>
      <c r="BI13" s="649"/>
      <c r="BJ13" s="649"/>
      <c r="BK13" s="649"/>
      <c r="BL13" s="649"/>
      <c r="BV13" s="538"/>
      <c r="BW13" s="538"/>
      <c r="BX13" s="538"/>
      <c r="BY13" s="538"/>
      <c r="BZ13" s="538"/>
      <c r="CA13" s="538"/>
    </row>
    <row r="14" spans="1:79" ht="6" customHeight="1">
      <c r="AP14" s="440"/>
      <c r="AQ14" s="440"/>
      <c r="AR14" s="440"/>
      <c r="AS14" s="440"/>
      <c r="AT14" s="440"/>
      <c r="AU14" s="440"/>
      <c r="AV14" s="440"/>
      <c r="AW14" s="440"/>
      <c r="AX14" s="440"/>
      <c r="AY14" s="440"/>
      <c r="AZ14" s="440"/>
      <c r="BA14" s="440"/>
      <c r="BB14" s="440"/>
      <c r="BC14" s="440"/>
      <c r="BD14" s="440"/>
      <c r="BE14" s="440"/>
    </row>
    <row r="15" spans="1:79">
      <c r="A15" s="437" t="s">
        <v>621</v>
      </c>
    </row>
    <row r="16" spans="1:79" ht="3" customHeight="1"/>
    <row r="17" spans="1:79" ht="14.1" customHeight="1" thickBot="1">
      <c r="A17" s="2163" t="s">
        <v>622</v>
      </c>
      <c r="B17" s="2164"/>
      <c r="C17" s="2164"/>
      <c r="D17" s="2164"/>
      <c r="E17" s="2164"/>
      <c r="F17" s="2164"/>
      <c r="G17" s="2164"/>
      <c r="H17" s="2164"/>
      <c r="I17" s="2164"/>
      <c r="J17" s="2164"/>
      <c r="K17" s="2164"/>
      <c r="L17" s="2164"/>
      <c r="M17" s="2164"/>
      <c r="N17" s="2164"/>
      <c r="O17" s="2165"/>
      <c r="P17" s="2177" t="s">
        <v>8</v>
      </c>
      <c r="Q17" s="2177"/>
      <c r="R17" s="2177"/>
      <c r="S17" s="2177"/>
      <c r="T17" s="2177"/>
      <c r="U17" s="2177"/>
      <c r="V17" s="2177"/>
      <c r="W17" s="2177"/>
      <c r="X17" s="2177">
        <v>1</v>
      </c>
      <c r="Y17" s="2177"/>
      <c r="Z17" s="2185"/>
      <c r="AA17" s="2185"/>
      <c r="AB17" s="2185"/>
      <c r="AC17" s="2185"/>
      <c r="AD17" s="2185"/>
      <c r="AE17" s="2185"/>
      <c r="AF17" s="2185"/>
      <c r="AG17" s="2185"/>
      <c r="AH17" s="2185"/>
      <c r="AI17" s="2185"/>
      <c r="AJ17" s="2185"/>
      <c r="AK17" s="2185"/>
      <c r="AL17" s="2185"/>
      <c r="AM17" s="2185"/>
      <c r="AN17" s="2185"/>
      <c r="AO17" s="2185"/>
      <c r="AP17" s="2185"/>
      <c r="AQ17" s="2185"/>
      <c r="AR17" s="2185"/>
      <c r="AS17" s="2185"/>
      <c r="AT17" s="2185"/>
      <c r="AU17" s="2185"/>
      <c r="AV17" s="2185"/>
      <c r="AW17" s="2185"/>
      <c r="AX17" s="2185"/>
      <c r="AY17" s="2185"/>
      <c r="AZ17" s="2185"/>
      <c r="BA17" s="2185"/>
      <c r="BB17" s="2185"/>
      <c r="BC17" s="2185"/>
      <c r="BD17" s="2185"/>
      <c r="BE17" s="2185"/>
      <c r="BF17" s="2185"/>
      <c r="BG17" s="2185"/>
      <c r="BH17" s="2186"/>
      <c r="BI17" s="2185"/>
      <c r="BJ17" s="2185"/>
      <c r="BK17" s="2185"/>
      <c r="BL17" s="2185"/>
      <c r="BM17" s="2185"/>
      <c r="BN17" s="2185"/>
      <c r="BO17" s="2185"/>
      <c r="BP17" s="2164" t="s">
        <v>623</v>
      </c>
      <c r="BQ17" s="2164"/>
      <c r="BR17" s="2164"/>
      <c r="BS17" s="2164"/>
      <c r="BT17" s="2164"/>
      <c r="BU17" s="2164"/>
      <c r="BV17" s="2164"/>
      <c r="BW17" s="2164"/>
      <c r="BX17" s="2164"/>
      <c r="BY17" s="2164"/>
      <c r="BZ17" s="2164"/>
      <c r="CA17" s="2165"/>
    </row>
    <row r="18" spans="1:79" ht="14.1" customHeight="1" thickBot="1">
      <c r="A18" s="2166"/>
      <c r="B18" s="2167"/>
      <c r="C18" s="2167"/>
      <c r="D18" s="2167"/>
      <c r="E18" s="2167"/>
      <c r="F18" s="2167"/>
      <c r="G18" s="2167"/>
      <c r="H18" s="2167"/>
      <c r="I18" s="2167"/>
      <c r="J18" s="2167"/>
      <c r="K18" s="2167"/>
      <c r="L18" s="2167"/>
      <c r="M18" s="2167"/>
      <c r="N18" s="2167"/>
      <c r="O18" s="2168"/>
      <c r="P18" s="2177" t="s">
        <v>7</v>
      </c>
      <c r="Q18" s="2177"/>
      <c r="R18" s="2177"/>
      <c r="S18" s="2177"/>
      <c r="T18" s="2177"/>
      <c r="U18" s="2177"/>
      <c r="V18" s="2177"/>
      <c r="W18" s="2177"/>
      <c r="X18" s="2177">
        <v>2</v>
      </c>
      <c r="Y18" s="2178"/>
      <c r="Z18" s="2187"/>
      <c r="AA18" s="2188"/>
      <c r="AB18" s="2188"/>
      <c r="AC18" s="2188"/>
      <c r="AD18" s="2188"/>
      <c r="AE18" s="2188"/>
      <c r="AF18" s="2188"/>
      <c r="AG18" s="2188"/>
      <c r="AH18" s="2188"/>
      <c r="AI18" s="2188"/>
      <c r="AJ18" s="2188"/>
      <c r="AK18" s="2188"/>
      <c r="AL18" s="2188"/>
      <c r="AM18" s="2188"/>
      <c r="AN18" s="2188"/>
      <c r="AO18" s="2188"/>
      <c r="AP18" s="2188"/>
      <c r="AQ18" s="2188"/>
      <c r="AR18" s="2188"/>
      <c r="AS18" s="2188"/>
      <c r="AT18" s="2188"/>
      <c r="AU18" s="2188"/>
      <c r="AV18" s="2188"/>
      <c r="AW18" s="2188"/>
      <c r="AX18" s="2188"/>
      <c r="AY18" s="2188"/>
      <c r="AZ18" s="2188"/>
      <c r="BA18" s="2188"/>
      <c r="BB18" s="2188"/>
      <c r="BC18" s="2188"/>
      <c r="BD18" s="2188"/>
      <c r="BE18" s="2188"/>
      <c r="BF18" s="2188"/>
      <c r="BG18" s="2188"/>
      <c r="BH18" s="2169"/>
      <c r="BI18" s="2188"/>
      <c r="BJ18" s="2188"/>
      <c r="BK18" s="2188"/>
      <c r="BL18" s="2188"/>
      <c r="BM18" s="2188"/>
      <c r="BN18" s="2188"/>
      <c r="BO18" s="2191"/>
      <c r="BP18" s="2167"/>
      <c r="BQ18" s="2167"/>
      <c r="BR18" s="2167"/>
      <c r="BS18" s="2167"/>
      <c r="BT18" s="2167"/>
      <c r="BU18" s="2167"/>
      <c r="BV18" s="2167"/>
      <c r="BW18" s="2167"/>
      <c r="BX18" s="2167"/>
      <c r="BY18" s="2167"/>
      <c r="BZ18" s="2167"/>
      <c r="CA18" s="2168"/>
    </row>
    <row r="19" spans="1:79" ht="18" customHeight="1" thickBot="1">
      <c r="A19" s="2166"/>
      <c r="B19" s="2167"/>
      <c r="C19" s="2167"/>
      <c r="D19" s="2167"/>
      <c r="E19" s="2167"/>
      <c r="F19" s="2167"/>
      <c r="G19" s="2167"/>
      <c r="H19" s="2167"/>
      <c r="I19" s="2167"/>
      <c r="J19" s="2167"/>
      <c r="K19" s="2167"/>
      <c r="L19" s="2167"/>
      <c r="M19" s="2167"/>
      <c r="N19" s="2167"/>
      <c r="O19" s="2168"/>
      <c r="P19" s="2192" t="s">
        <v>624</v>
      </c>
      <c r="Q19" s="2192"/>
      <c r="R19" s="2192"/>
      <c r="S19" s="2192"/>
      <c r="T19" s="2174" t="s">
        <v>263</v>
      </c>
      <c r="U19" s="2175"/>
      <c r="V19" s="2175"/>
      <c r="W19" s="2176"/>
      <c r="X19" s="2177">
        <v>3</v>
      </c>
      <c r="Y19" s="2177"/>
      <c r="Z19" s="2169"/>
      <c r="AA19" s="2170"/>
      <c r="AB19" s="2170"/>
      <c r="AC19" s="2170"/>
      <c r="AD19" s="2170"/>
      <c r="AE19" s="2170"/>
      <c r="AF19" s="2171"/>
      <c r="AG19" s="2172"/>
      <c r="AH19" s="2172"/>
      <c r="AI19" s="2172"/>
      <c r="AJ19" s="2172"/>
      <c r="AK19" s="2172"/>
      <c r="AL19" s="2172"/>
      <c r="AM19" s="2172"/>
      <c r="AN19" s="2172"/>
      <c r="AO19" s="2172"/>
      <c r="AP19" s="2172"/>
      <c r="AQ19" s="2172"/>
      <c r="AR19" s="2172"/>
      <c r="AS19" s="2172"/>
      <c r="AT19" s="2172"/>
      <c r="AU19" s="2172"/>
      <c r="AV19" s="2172"/>
      <c r="AW19" s="2172"/>
      <c r="AX19" s="2172"/>
      <c r="AY19" s="2172"/>
      <c r="AZ19" s="2172"/>
      <c r="BA19" s="2172"/>
      <c r="BB19" s="2172"/>
      <c r="BC19" s="2172"/>
      <c r="BD19" s="2172"/>
      <c r="BE19" s="2172"/>
      <c r="BF19" s="2172"/>
      <c r="BG19" s="2172"/>
      <c r="BH19" s="2173"/>
      <c r="BI19" s="2172"/>
      <c r="BJ19" s="2172"/>
      <c r="BK19" s="2172"/>
      <c r="BL19" s="2172"/>
      <c r="BM19" s="2172"/>
      <c r="BN19" s="2172"/>
      <c r="BO19" s="2172"/>
      <c r="BP19" s="2167"/>
      <c r="BQ19" s="2167"/>
      <c r="BR19" s="2167"/>
      <c r="BS19" s="2167"/>
      <c r="BT19" s="2167"/>
      <c r="BU19" s="2167"/>
      <c r="BV19" s="2167"/>
      <c r="BW19" s="2167"/>
      <c r="BX19" s="2167"/>
      <c r="BY19" s="2167"/>
      <c r="BZ19" s="2167"/>
      <c r="CA19" s="2168"/>
    </row>
    <row r="20" spans="1:79" ht="18" customHeight="1">
      <c r="A20" s="2166"/>
      <c r="B20" s="2167"/>
      <c r="C20" s="2167"/>
      <c r="D20" s="2167"/>
      <c r="E20" s="2167"/>
      <c r="F20" s="2167"/>
      <c r="G20" s="2167"/>
      <c r="H20" s="2167"/>
      <c r="I20" s="2167"/>
      <c r="J20" s="2167"/>
      <c r="K20" s="2167"/>
      <c r="L20" s="2167"/>
      <c r="M20" s="2167"/>
      <c r="N20" s="2167"/>
      <c r="O20" s="2168"/>
      <c r="P20" s="2192"/>
      <c r="Q20" s="2192"/>
      <c r="R20" s="2192"/>
      <c r="S20" s="2192"/>
      <c r="T20" s="2174" t="s">
        <v>160</v>
      </c>
      <c r="U20" s="2175"/>
      <c r="V20" s="2175"/>
      <c r="W20" s="2176"/>
      <c r="X20" s="2177">
        <v>4</v>
      </c>
      <c r="Y20" s="2178"/>
      <c r="Z20" s="2179"/>
      <c r="AA20" s="2180"/>
      <c r="AB20" s="2180"/>
      <c r="AC20" s="2180"/>
      <c r="AD20" s="2180"/>
      <c r="AE20" s="2180"/>
      <c r="AF20" s="2181"/>
      <c r="AG20" s="2182"/>
      <c r="AH20" s="2182"/>
      <c r="AI20" s="2182"/>
      <c r="AJ20" s="2182"/>
      <c r="AK20" s="2182"/>
      <c r="AL20" s="2182"/>
      <c r="AM20" s="2182"/>
      <c r="AN20" s="2182"/>
      <c r="AO20" s="2182"/>
      <c r="AP20" s="2182"/>
      <c r="AQ20" s="2182"/>
      <c r="AR20" s="2182"/>
      <c r="AS20" s="2182"/>
      <c r="AT20" s="2182"/>
      <c r="AU20" s="2182"/>
      <c r="AV20" s="2182"/>
      <c r="AW20" s="2182"/>
      <c r="AX20" s="2182"/>
      <c r="AY20" s="2182"/>
      <c r="AZ20" s="2182"/>
      <c r="BA20" s="2182"/>
      <c r="BB20" s="2182"/>
      <c r="BC20" s="2182"/>
      <c r="BD20" s="2182"/>
      <c r="BE20" s="2182"/>
      <c r="BF20" s="2182"/>
      <c r="BG20" s="2182"/>
      <c r="BH20" s="2183"/>
      <c r="BI20" s="2182"/>
      <c r="BJ20" s="2182"/>
      <c r="BK20" s="2182"/>
      <c r="BL20" s="2182"/>
      <c r="BM20" s="2182"/>
      <c r="BN20" s="2182"/>
      <c r="BO20" s="2184"/>
      <c r="BP20" s="2167"/>
      <c r="BQ20" s="2167"/>
      <c r="BR20" s="2167"/>
      <c r="BS20" s="2167"/>
      <c r="BT20" s="2167"/>
      <c r="BU20" s="2167"/>
      <c r="BV20" s="2167"/>
      <c r="BW20" s="2167"/>
      <c r="BX20" s="2167"/>
      <c r="BY20" s="2167"/>
      <c r="BZ20" s="2167"/>
      <c r="CA20" s="2168"/>
    </row>
    <row r="21" spans="1:79" ht="14.1" customHeight="1" thickBot="1">
      <c r="A21" s="2166"/>
      <c r="B21" s="2167"/>
      <c r="C21" s="2167"/>
      <c r="D21" s="2167"/>
      <c r="E21" s="2167"/>
      <c r="F21" s="2167"/>
      <c r="G21" s="2167"/>
      <c r="H21" s="2167"/>
      <c r="I21" s="2167"/>
      <c r="J21" s="2167"/>
      <c r="K21" s="2167"/>
      <c r="L21" s="2167"/>
      <c r="M21" s="2167"/>
      <c r="N21" s="2167"/>
      <c r="O21" s="2168"/>
      <c r="P21" s="2189" t="s">
        <v>18</v>
      </c>
      <c r="Q21" s="2189"/>
      <c r="R21" s="2189"/>
      <c r="S21" s="2189"/>
      <c r="T21" s="2189"/>
      <c r="U21" s="2189"/>
      <c r="V21" s="2189"/>
      <c r="W21" s="2189"/>
      <c r="X21" s="2189">
        <v>5</v>
      </c>
      <c r="Y21" s="2163"/>
      <c r="Z21" s="2190"/>
      <c r="AA21" s="2160"/>
      <c r="AB21" s="2160"/>
      <c r="AC21" s="2160"/>
      <c r="AD21" s="2160"/>
      <c r="AE21" s="2160"/>
      <c r="AF21" s="2160"/>
      <c r="AG21" s="2160"/>
      <c r="AH21" s="2160"/>
      <c r="AI21" s="2160"/>
      <c r="AJ21" s="2160"/>
      <c r="AK21" s="2160"/>
      <c r="AL21" s="2160"/>
      <c r="AM21" s="2160"/>
      <c r="AN21" s="2160"/>
      <c r="AO21" s="2160"/>
      <c r="AP21" s="2160"/>
      <c r="AQ21" s="2160"/>
      <c r="AR21" s="2160"/>
      <c r="AS21" s="2160"/>
      <c r="AT21" s="2160"/>
      <c r="AU21" s="2160"/>
      <c r="AV21" s="2160"/>
      <c r="AW21" s="2160"/>
      <c r="AX21" s="2160"/>
      <c r="AY21" s="2160"/>
      <c r="AZ21" s="2160"/>
      <c r="BA21" s="2160"/>
      <c r="BB21" s="2160"/>
      <c r="BC21" s="2160"/>
      <c r="BD21" s="2160"/>
      <c r="BE21" s="2160"/>
      <c r="BF21" s="2160"/>
      <c r="BG21" s="2160"/>
      <c r="BH21" s="2161"/>
      <c r="BI21" s="2160"/>
      <c r="BJ21" s="2160"/>
      <c r="BK21" s="2160"/>
      <c r="BL21" s="2160"/>
      <c r="BM21" s="2160"/>
      <c r="BN21" s="2160"/>
      <c r="BO21" s="2162"/>
      <c r="BP21" s="2167"/>
      <c r="BQ21" s="2167"/>
      <c r="BR21" s="2167"/>
      <c r="BS21" s="2167"/>
      <c r="BT21" s="2167"/>
      <c r="BU21" s="2167"/>
      <c r="BV21" s="2167"/>
      <c r="BW21" s="2167"/>
      <c r="BX21" s="2167"/>
      <c r="BY21" s="2167"/>
      <c r="BZ21" s="2167"/>
      <c r="CA21" s="2168"/>
    </row>
    <row r="22" spans="1:79" s="439" customFormat="1" ht="11.25" customHeight="1">
      <c r="A22" s="2157" t="s">
        <v>625</v>
      </c>
      <c r="B22" s="2157"/>
      <c r="C22" s="2157"/>
      <c r="D22" s="2157" t="s">
        <v>626</v>
      </c>
      <c r="E22" s="2157"/>
      <c r="F22" s="2157"/>
      <c r="G22" s="2157"/>
      <c r="H22" s="2157"/>
      <c r="I22" s="2157"/>
      <c r="J22" s="2157"/>
      <c r="K22" s="2157"/>
      <c r="L22" s="2157"/>
      <c r="M22" s="2157"/>
      <c r="N22" s="2157"/>
      <c r="O22" s="2157" t="s">
        <v>153</v>
      </c>
      <c r="P22" s="2157"/>
      <c r="Q22" s="2157"/>
      <c r="R22" s="2157"/>
      <c r="S22" s="2157"/>
      <c r="T22" s="2157"/>
      <c r="U22" s="2157" t="s">
        <v>627</v>
      </c>
      <c r="V22" s="2157"/>
      <c r="W22" s="2157"/>
      <c r="X22" s="2157"/>
      <c r="Y22" s="2157"/>
      <c r="Z22" s="2159" t="s">
        <v>628</v>
      </c>
      <c r="AA22" s="2159"/>
      <c r="AB22" s="2159"/>
      <c r="AC22" s="2159"/>
      <c r="AD22" s="2159"/>
      <c r="AE22" s="2159"/>
      <c r="AF22" s="2159"/>
      <c r="AG22" s="2159" t="s">
        <v>628</v>
      </c>
      <c r="AH22" s="2159"/>
      <c r="AI22" s="2159"/>
      <c r="AJ22" s="2159"/>
      <c r="AK22" s="2159"/>
      <c r="AL22" s="2159"/>
      <c r="AM22" s="2159"/>
      <c r="AN22" s="2159" t="s">
        <v>628</v>
      </c>
      <c r="AO22" s="2159"/>
      <c r="AP22" s="2159"/>
      <c r="AQ22" s="2159"/>
      <c r="AR22" s="2159"/>
      <c r="AS22" s="2159"/>
      <c r="AT22" s="2159"/>
      <c r="AU22" s="2159" t="s">
        <v>628</v>
      </c>
      <c r="AV22" s="2159"/>
      <c r="AW22" s="2159"/>
      <c r="AX22" s="2159"/>
      <c r="AY22" s="2159"/>
      <c r="AZ22" s="2159"/>
      <c r="BA22" s="2159"/>
      <c r="BB22" s="2159" t="s">
        <v>628</v>
      </c>
      <c r="BC22" s="2159"/>
      <c r="BD22" s="2159"/>
      <c r="BE22" s="2159"/>
      <c r="BF22" s="2159"/>
      <c r="BG22" s="2159"/>
      <c r="BH22" s="2159"/>
      <c r="BI22" s="2159" t="s">
        <v>628</v>
      </c>
      <c r="BJ22" s="2159"/>
      <c r="BK22" s="2159"/>
      <c r="BL22" s="2159"/>
      <c r="BM22" s="2159"/>
      <c r="BN22" s="2159"/>
      <c r="BO22" s="2159"/>
      <c r="BP22" s="2157" t="s">
        <v>629</v>
      </c>
      <c r="BQ22" s="2157"/>
      <c r="BR22" s="2157"/>
      <c r="BS22" s="2157"/>
      <c r="BT22" s="2157" t="s">
        <v>167</v>
      </c>
      <c r="BU22" s="2157"/>
      <c r="BV22" s="2157"/>
      <c r="BW22" s="2157"/>
      <c r="BX22" s="2157" t="s">
        <v>168</v>
      </c>
      <c r="BY22" s="2157"/>
      <c r="BZ22" s="2157"/>
      <c r="CA22" s="2157"/>
    </row>
    <row r="23" spans="1:79" s="439" customFormat="1" ht="11.25">
      <c r="A23" s="2157"/>
      <c r="B23" s="2157"/>
      <c r="C23" s="2157"/>
      <c r="D23" s="2157"/>
      <c r="E23" s="2157"/>
      <c r="F23" s="2157"/>
      <c r="G23" s="2157"/>
      <c r="H23" s="2157"/>
      <c r="I23" s="2157"/>
      <c r="J23" s="2157"/>
      <c r="K23" s="2157"/>
      <c r="L23" s="2157"/>
      <c r="M23" s="2157"/>
      <c r="N23" s="2157"/>
      <c r="O23" s="2157"/>
      <c r="P23" s="2157"/>
      <c r="Q23" s="2157"/>
      <c r="R23" s="2157"/>
      <c r="S23" s="2157"/>
      <c r="T23" s="2157"/>
      <c r="U23" s="2157"/>
      <c r="V23" s="2157"/>
      <c r="W23" s="2157"/>
      <c r="X23" s="2157"/>
      <c r="Y23" s="2157"/>
      <c r="Z23" s="2157"/>
      <c r="AA23" s="2157"/>
      <c r="AB23" s="2157"/>
      <c r="AC23" s="2157"/>
      <c r="AD23" s="2157"/>
      <c r="AE23" s="2157"/>
      <c r="AF23" s="2157"/>
      <c r="AG23" s="2157"/>
      <c r="AH23" s="2157"/>
      <c r="AI23" s="2157"/>
      <c r="AJ23" s="2157"/>
      <c r="AK23" s="2157"/>
      <c r="AL23" s="2157"/>
      <c r="AM23" s="2157"/>
      <c r="AN23" s="2157"/>
      <c r="AO23" s="2157"/>
      <c r="AP23" s="2157"/>
      <c r="AQ23" s="2157"/>
      <c r="AR23" s="2157"/>
      <c r="AS23" s="2157"/>
      <c r="AT23" s="2157"/>
      <c r="AU23" s="2157"/>
      <c r="AV23" s="2157"/>
      <c r="AW23" s="2157"/>
      <c r="AX23" s="2157"/>
      <c r="AY23" s="2157"/>
      <c r="AZ23" s="2157"/>
      <c r="BA23" s="2157"/>
      <c r="BB23" s="2157"/>
      <c r="BC23" s="2157"/>
      <c r="BD23" s="2157"/>
      <c r="BE23" s="2157"/>
      <c r="BF23" s="2157"/>
      <c r="BG23" s="2157"/>
      <c r="BH23" s="2157"/>
      <c r="BI23" s="2157"/>
      <c r="BJ23" s="2157"/>
      <c r="BK23" s="2157"/>
      <c r="BL23" s="2157"/>
      <c r="BM23" s="2157"/>
      <c r="BN23" s="2157"/>
      <c r="BO23" s="2157"/>
      <c r="BP23" s="2157"/>
      <c r="BQ23" s="2157"/>
      <c r="BR23" s="2157"/>
      <c r="BS23" s="2157"/>
      <c r="BT23" s="2157"/>
      <c r="BU23" s="2157"/>
      <c r="BV23" s="2157"/>
      <c r="BW23" s="2157"/>
      <c r="BX23" s="2157"/>
      <c r="BY23" s="2157"/>
      <c r="BZ23" s="2157"/>
      <c r="CA23" s="2157"/>
    </row>
    <row r="24" spans="1:79" s="439" customFormat="1" ht="11.25" customHeight="1">
      <c r="A24" s="2157"/>
      <c r="B24" s="2157"/>
      <c r="C24" s="2157"/>
      <c r="D24" s="2157" t="s">
        <v>8</v>
      </c>
      <c r="E24" s="2157"/>
      <c r="F24" s="2157"/>
      <c r="G24" s="2157"/>
      <c r="H24" s="2157"/>
      <c r="I24" s="2157"/>
      <c r="J24" s="2157"/>
      <c r="K24" s="2157"/>
      <c r="L24" s="2157" t="s">
        <v>7</v>
      </c>
      <c r="M24" s="2157"/>
      <c r="N24" s="2157"/>
      <c r="O24" s="2157" t="s">
        <v>579</v>
      </c>
      <c r="P24" s="2157"/>
      <c r="Q24" s="2157"/>
      <c r="R24" s="2157" t="s">
        <v>160</v>
      </c>
      <c r="S24" s="2157"/>
      <c r="T24" s="2157"/>
      <c r="U24" s="2157"/>
      <c r="V24" s="2157"/>
      <c r="W24" s="2157"/>
      <c r="X24" s="2157"/>
      <c r="Y24" s="2157"/>
      <c r="Z24" s="2157" t="s">
        <v>630</v>
      </c>
      <c r="AA24" s="2157"/>
      <c r="AB24" s="2157"/>
      <c r="AC24" s="2157" t="s">
        <v>631</v>
      </c>
      <c r="AD24" s="2157"/>
      <c r="AE24" s="2157"/>
      <c r="AF24" s="2157"/>
      <c r="AG24" s="2157" t="s">
        <v>630</v>
      </c>
      <c r="AH24" s="2157"/>
      <c r="AI24" s="2157"/>
      <c r="AJ24" s="2157" t="s">
        <v>631</v>
      </c>
      <c r="AK24" s="2157"/>
      <c r="AL24" s="2157"/>
      <c r="AM24" s="2157"/>
      <c r="AN24" s="2157" t="s">
        <v>630</v>
      </c>
      <c r="AO24" s="2157"/>
      <c r="AP24" s="2157"/>
      <c r="AQ24" s="2157" t="s">
        <v>631</v>
      </c>
      <c r="AR24" s="2157"/>
      <c r="AS24" s="2157"/>
      <c r="AT24" s="2157"/>
      <c r="AU24" s="2157" t="s">
        <v>630</v>
      </c>
      <c r="AV24" s="2157"/>
      <c r="AW24" s="2157"/>
      <c r="AX24" s="2157" t="s">
        <v>631</v>
      </c>
      <c r="AY24" s="2157"/>
      <c r="AZ24" s="2157"/>
      <c r="BA24" s="2157"/>
      <c r="BB24" s="2157" t="s">
        <v>630</v>
      </c>
      <c r="BC24" s="2157"/>
      <c r="BD24" s="2157"/>
      <c r="BE24" s="2157" t="s">
        <v>631</v>
      </c>
      <c r="BF24" s="2157"/>
      <c r="BG24" s="2157"/>
      <c r="BH24" s="2157"/>
      <c r="BI24" s="2157" t="s">
        <v>630</v>
      </c>
      <c r="BJ24" s="2157"/>
      <c r="BK24" s="2157"/>
      <c r="BL24" s="2157" t="s">
        <v>631</v>
      </c>
      <c r="BM24" s="2157"/>
      <c r="BN24" s="2157"/>
      <c r="BO24" s="2157"/>
      <c r="BP24" s="2157"/>
      <c r="BQ24" s="2157"/>
      <c r="BR24" s="2157"/>
      <c r="BS24" s="2157"/>
      <c r="BT24" s="2157"/>
      <c r="BU24" s="2157"/>
      <c r="BV24" s="2157"/>
      <c r="BW24" s="2157"/>
      <c r="BX24" s="2157"/>
      <c r="BY24" s="2157"/>
      <c r="BZ24" s="2157"/>
      <c r="CA24" s="2157"/>
    </row>
    <row r="25" spans="1:79" s="439" customFormat="1" ht="11.25">
      <c r="A25" s="2157"/>
      <c r="B25" s="2157"/>
      <c r="C25" s="2157"/>
      <c r="D25" s="2157"/>
      <c r="E25" s="2157"/>
      <c r="F25" s="2157"/>
      <c r="G25" s="2157"/>
      <c r="H25" s="2157"/>
      <c r="I25" s="2157"/>
      <c r="J25" s="2157"/>
      <c r="K25" s="2157"/>
      <c r="L25" s="2157"/>
      <c r="M25" s="2157"/>
      <c r="N25" s="2157"/>
      <c r="O25" s="2157"/>
      <c r="P25" s="2157"/>
      <c r="Q25" s="2157"/>
      <c r="R25" s="2157"/>
      <c r="S25" s="2157"/>
      <c r="T25" s="2157"/>
      <c r="U25" s="2157"/>
      <c r="V25" s="2157"/>
      <c r="W25" s="2157"/>
      <c r="X25" s="2157"/>
      <c r="Y25" s="2157"/>
      <c r="Z25" s="2157"/>
      <c r="AA25" s="2157"/>
      <c r="AB25" s="2157"/>
      <c r="AC25" s="2157"/>
      <c r="AD25" s="2157"/>
      <c r="AE25" s="2157"/>
      <c r="AF25" s="2157"/>
      <c r="AG25" s="2157"/>
      <c r="AH25" s="2157"/>
      <c r="AI25" s="2157"/>
      <c r="AJ25" s="2157"/>
      <c r="AK25" s="2157"/>
      <c r="AL25" s="2157"/>
      <c r="AM25" s="2157"/>
      <c r="AN25" s="2157"/>
      <c r="AO25" s="2157"/>
      <c r="AP25" s="2157"/>
      <c r="AQ25" s="2157"/>
      <c r="AR25" s="2157"/>
      <c r="AS25" s="2157"/>
      <c r="AT25" s="2157"/>
      <c r="AU25" s="2157"/>
      <c r="AV25" s="2157"/>
      <c r="AW25" s="2157"/>
      <c r="AX25" s="2157"/>
      <c r="AY25" s="2157"/>
      <c r="AZ25" s="2157"/>
      <c r="BA25" s="2157"/>
      <c r="BB25" s="2157"/>
      <c r="BC25" s="2157"/>
      <c r="BD25" s="2157"/>
      <c r="BE25" s="2157"/>
      <c r="BF25" s="2157"/>
      <c r="BG25" s="2157"/>
      <c r="BH25" s="2157"/>
      <c r="BI25" s="2157"/>
      <c r="BJ25" s="2157"/>
      <c r="BK25" s="2157"/>
      <c r="BL25" s="2157"/>
      <c r="BM25" s="2157"/>
      <c r="BN25" s="2157"/>
      <c r="BO25" s="2157"/>
      <c r="BP25" s="2157"/>
      <c r="BQ25" s="2157"/>
      <c r="BR25" s="2157"/>
      <c r="BS25" s="2157"/>
      <c r="BT25" s="2157"/>
      <c r="BU25" s="2157"/>
      <c r="BV25" s="2157"/>
      <c r="BW25" s="2157"/>
      <c r="BX25" s="2157"/>
      <c r="BY25" s="2157"/>
      <c r="BZ25" s="2157"/>
      <c r="CA25" s="2157"/>
    </row>
    <row r="26" spans="1:79" s="439" customFormat="1" ht="11.25">
      <c r="A26" s="2157"/>
      <c r="B26" s="2157"/>
      <c r="C26" s="2157"/>
      <c r="D26" s="2157"/>
      <c r="E26" s="2157"/>
      <c r="F26" s="2157"/>
      <c r="G26" s="2157"/>
      <c r="H26" s="2157"/>
      <c r="I26" s="2157"/>
      <c r="J26" s="2157"/>
      <c r="K26" s="2157"/>
      <c r="L26" s="2157"/>
      <c r="M26" s="2157"/>
      <c r="N26" s="2157"/>
      <c r="O26" s="2157"/>
      <c r="P26" s="2157"/>
      <c r="Q26" s="2157"/>
      <c r="R26" s="2157"/>
      <c r="S26" s="2157"/>
      <c r="T26" s="2157"/>
      <c r="U26" s="2157"/>
      <c r="V26" s="2157"/>
      <c r="W26" s="2157"/>
      <c r="X26" s="2157"/>
      <c r="Y26" s="2157"/>
      <c r="Z26" s="2157"/>
      <c r="AA26" s="2157"/>
      <c r="AB26" s="2157"/>
      <c r="AC26" s="2157"/>
      <c r="AD26" s="2157"/>
      <c r="AE26" s="2157"/>
      <c r="AF26" s="2157"/>
      <c r="AG26" s="2157"/>
      <c r="AH26" s="2157"/>
      <c r="AI26" s="2157"/>
      <c r="AJ26" s="2157"/>
      <c r="AK26" s="2157"/>
      <c r="AL26" s="2157"/>
      <c r="AM26" s="2157"/>
      <c r="AN26" s="2157"/>
      <c r="AO26" s="2157"/>
      <c r="AP26" s="2157"/>
      <c r="AQ26" s="2157"/>
      <c r="AR26" s="2157"/>
      <c r="AS26" s="2157"/>
      <c r="AT26" s="2157"/>
      <c r="AU26" s="2157"/>
      <c r="AV26" s="2157"/>
      <c r="AW26" s="2157"/>
      <c r="AX26" s="2157"/>
      <c r="AY26" s="2157"/>
      <c r="AZ26" s="2157"/>
      <c r="BA26" s="2157"/>
      <c r="BB26" s="2157"/>
      <c r="BC26" s="2157"/>
      <c r="BD26" s="2157"/>
      <c r="BE26" s="2157"/>
      <c r="BF26" s="2157"/>
      <c r="BG26" s="2157"/>
      <c r="BH26" s="2157"/>
      <c r="BI26" s="2157"/>
      <c r="BJ26" s="2157"/>
      <c r="BK26" s="2157"/>
      <c r="BL26" s="2157"/>
      <c r="BM26" s="2157"/>
      <c r="BN26" s="2157"/>
      <c r="BO26" s="2157"/>
      <c r="BP26" s="2157"/>
      <c r="BQ26" s="2157"/>
      <c r="BR26" s="2157"/>
      <c r="BS26" s="2157"/>
      <c r="BT26" s="2157"/>
      <c r="BU26" s="2157"/>
      <c r="BV26" s="2157"/>
      <c r="BW26" s="2157"/>
      <c r="BX26" s="2157"/>
      <c r="BY26" s="2157"/>
      <c r="BZ26" s="2157"/>
      <c r="CA26" s="2157"/>
    </row>
    <row r="27" spans="1:79" s="439" customFormat="1" ht="11.25">
      <c r="A27" s="2157"/>
      <c r="B27" s="2157"/>
      <c r="C27" s="2157"/>
      <c r="D27" s="2157"/>
      <c r="E27" s="2157"/>
      <c r="F27" s="2157"/>
      <c r="G27" s="2157"/>
      <c r="H27" s="2157"/>
      <c r="I27" s="2157"/>
      <c r="J27" s="2157"/>
      <c r="K27" s="2157"/>
      <c r="L27" s="2158"/>
      <c r="M27" s="2158"/>
      <c r="N27" s="2158"/>
      <c r="O27" s="2157"/>
      <c r="P27" s="2157"/>
      <c r="Q27" s="2157"/>
      <c r="R27" s="2157"/>
      <c r="S27" s="2157"/>
      <c r="T27" s="2157"/>
      <c r="U27" s="2157"/>
      <c r="V27" s="2157"/>
      <c r="W27" s="2157"/>
      <c r="X27" s="2157"/>
      <c r="Y27" s="2157"/>
      <c r="Z27" s="2157"/>
      <c r="AA27" s="2157"/>
      <c r="AB27" s="2157"/>
      <c r="AC27" s="2157"/>
      <c r="AD27" s="2157"/>
      <c r="AE27" s="2157"/>
      <c r="AF27" s="2157"/>
      <c r="AG27" s="2157"/>
      <c r="AH27" s="2157"/>
      <c r="AI27" s="2157"/>
      <c r="AJ27" s="2157"/>
      <c r="AK27" s="2157"/>
      <c r="AL27" s="2157"/>
      <c r="AM27" s="2157"/>
      <c r="AN27" s="2157"/>
      <c r="AO27" s="2157"/>
      <c r="AP27" s="2157"/>
      <c r="AQ27" s="2157"/>
      <c r="AR27" s="2157"/>
      <c r="AS27" s="2157"/>
      <c r="AT27" s="2157"/>
      <c r="AU27" s="2157"/>
      <c r="AV27" s="2157"/>
      <c r="AW27" s="2157"/>
      <c r="AX27" s="2157"/>
      <c r="AY27" s="2157"/>
      <c r="AZ27" s="2157"/>
      <c r="BA27" s="2157"/>
      <c r="BB27" s="2157"/>
      <c r="BC27" s="2157"/>
      <c r="BD27" s="2157"/>
      <c r="BE27" s="2157"/>
      <c r="BF27" s="2157"/>
      <c r="BG27" s="2157"/>
      <c r="BH27" s="2157"/>
      <c r="BI27" s="2157"/>
      <c r="BJ27" s="2157"/>
      <c r="BK27" s="2157"/>
      <c r="BL27" s="2157"/>
      <c r="BM27" s="2157"/>
      <c r="BN27" s="2157"/>
      <c r="BO27" s="2157"/>
      <c r="BP27" s="2157"/>
      <c r="BQ27" s="2157"/>
      <c r="BR27" s="2157"/>
      <c r="BS27" s="2157"/>
      <c r="BT27" s="2157"/>
      <c r="BU27" s="2157"/>
      <c r="BV27" s="2157"/>
      <c r="BW27" s="2157"/>
      <c r="BX27" s="2157"/>
      <c r="BY27" s="2157"/>
      <c r="BZ27" s="2157"/>
      <c r="CA27" s="2157"/>
    </row>
    <row r="28" spans="1:79" s="631" customFormat="1" ht="13.5" thickBot="1">
      <c r="A28" s="2156">
        <v>6</v>
      </c>
      <c r="B28" s="2156"/>
      <c r="C28" s="2156"/>
      <c r="D28" s="2156">
        <v>7</v>
      </c>
      <c r="E28" s="2156"/>
      <c r="F28" s="2156"/>
      <c r="G28" s="2156"/>
      <c r="H28" s="2156"/>
      <c r="I28" s="2156"/>
      <c r="J28" s="2156"/>
      <c r="K28" s="1602"/>
      <c r="L28" s="2155">
        <v>8</v>
      </c>
      <c r="M28" s="2155"/>
      <c r="N28" s="2155"/>
      <c r="O28" s="1603">
        <v>9</v>
      </c>
      <c r="P28" s="2156"/>
      <c r="Q28" s="2156"/>
      <c r="R28" s="2155">
        <v>10</v>
      </c>
      <c r="S28" s="2155"/>
      <c r="T28" s="2155"/>
      <c r="U28" s="2155">
        <v>11</v>
      </c>
      <c r="V28" s="2155"/>
      <c r="W28" s="2155"/>
      <c r="X28" s="2155"/>
      <c r="Y28" s="2155"/>
      <c r="Z28" s="2155">
        <v>12</v>
      </c>
      <c r="AA28" s="2155"/>
      <c r="AB28" s="2155"/>
      <c r="AC28" s="2155">
        <v>13</v>
      </c>
      <c r="AD28" s="2155"/>
      <c r="AE28" s="2155"/>
      <c r="AF28" s="2155"/>
      <c r="AG28" s="2155">
        <v>14</v>
      </c>
      <c r="AH28" s="2155"/>
      <c r="AI28" s="2155"/>
      <c r="AJ28" s="2155">
        <v>15</v>
      </c>
      <c r="AK28" s="2155"/>
      <c r="AL28" s="2155"/>
      <c r="AM28" s="2155"/>
      <c r="AN28" s="2155">
        <v>16</v>
      </c>
      <c r="AO28" s="2155"/>
      <c r="AP28" s="2155"/>
      <c r="AQ28" s="2155">
        <v>17</v>
      </c>
      <c r="AR28" s="2155"/>
      <c r="AS28" s="2155"/>
      <c r="AT28" s="2155"/>
      <c r="AU28" s="2155">
        <v>18</v>
      </c>
      <c r="AV28" s="2155"/>
      <c r="AW28" s="2155"/>
      <c r="AX28" s="2155">
        <v>19</v>
      </c>
      <c r="AY28" s="2155"/>
      <c r="AZ28" s="2155"/>
      <c r="BA28" s="2155"/>
      <c r="BB28" s="2155">
        <v>20</v>
      </c>
      <c r="BC28" s="2155"/>
      <c r="BD28" s="2155"/>
      <c r="BE28" s="2155">
        <v>21</v>
      </c>
      <c r="BF28" s="2155"/>
      <c r="BG28" s="2155"/>
      <c r="BH28" s="2155"/>
      <c r="BI28" s="2155">
        <v>22</v>
      </c>
      <c r="BJ28" s="2155"/>
      <c r="BK28" s="2155"/>
      <c r="BL28" s="2155">
        <v>23</v>
      </c>
      <c r="BM28" s="2155"/>
      <c r="BN28" s="2155"/>
      <c r="BO28" s="2155"/>
      <c r="BP28" s="2155">
        <v>24</v>
      </c>
      <c r="BQ28" s="2155"/>
      <c r="BR28" s="2155"/>
      <c r="BS28" s="2155"/>
      <c r="BT28" s="2155">
        <v>25</v>
      </c>
      <c r="BU28" s="2155"/>
      <c r="BV28" s="2155"/>
      <c r="BW28" s="2155"/>
      <c r="BX28" s="2155">
        <v>26</v>
      </c>
      <c r="BY28" s="2155"/>
      <c r="BZ28" s="2155"/>
      <c r="CA28" s="2155"/>
    </row>
    <row r="29" spans="1:79" s="446" customFormat="1">
      <c r="A29" s="2141" t="s">
        <v>4</v>
      </c>
      <c r="B29" s="2141"/>
      <c r="C29" s="2141"/>
      <c r="D29" s="2142" t="s">
        <v>6</v>
      </c>
      <c r="E29" s="2143"/>
      <c r="F29" s="2143"/>
      <c r="G29" s="2143"/>
      <c r="H29" s="2143"/>
      <c r="I29" s="2143"/>
      <c r="J29" s="2143"/>
      <c r="K29" s="2144"/>
      <c r="L29" s="2145" t="s">
        <v>7</v>
      </c>
      <c r="M29" s="2146"/>
      <c r="N29" s="2147"/>
      <c r="O29" s="2148" t="s">
        <v>8</v>
      </c>
      <c r="P29" s="2143"/>
      <c r="Q29" s="2144"/>
      <c r="R29" s="2145" t="s">
        <v>336</v>
      </c>
      <c r="S29" s="2146"/>
      <c r="T29" s="2149"/>
      <c r="U29" s="2150" t="s">
        <v>16</v>
      </c>
      <c r="V29" s="2151"/>
      <c r="W29" s="2151"/>
      <c r="X29" s="2151"/>
      <c r="Y29" s="2152"/>
      <c r="Z29" s="2133"/>
      <c r="AA29" s="2133"/>
      <c r="AB29" s="2133"/>
      <c r="AC29" s="2133"/>
      <c r="AD29" s="2133"/>
      <c r="AE29" s="2133"/>
      <c r="AF29" s="2133"/>
      <c r="AG29" s="2133"/>
      <c r="AH29" s="2133"/>
      <c r="AI29" s="2133"/>
      <c r="AJ29" s="2133"/>
      <c r="AK29" s="2133"/>
      <c r="AL29" s="2133"/>
      <c r="AM29" s="2133"/>
      <c r="AN29" s="2133"/>
      <c r="AO29" s="2133"/>
      <c r="AP29" s="2133"/>
      <c r="AQ29" s="2133"/>
      <c r="AR29" s="2133"/>
      <c r="AS29" s="2133"/>
      <c r="AT29" s="2133"/>
      <c r="AU29" s="2133"/>
      <c r="AV29" s="2133"/>
      <c r="AW29" s="2133"/>
      <c r="AX29" s="2133"/>
      <c r="AY29" s="2133"/>
      <c r="AZ29" s="2133"/>
      <c r="BA29" s="2133"/>
      <c r="BB29" s="2133"/>
      <c r="BC29" s="2133"/>
      <c r="BD29" s="2133"/>
      <c r="BE29" s="2133"/>
      <c r="BF29" s="2133"/>
      <c r="BG29" s="2133"/>
      <c r="BH29" s="2133"/>
      <c r="BI29" s="2134"/>
      <c r="BJ29" s="2135"/>
      <c r="BK29" s="2136"/>
      <c r="BL29" s="2134"/>
      <c r="BM29" s="2135"/>
      <c r="BN29" s="2135"/>
      <c r="BO29" s="2136"/>
      <c r="BP29" s="2130" t="s">
        <v>9</v>
      </c>
      <c r="BQ29" s="2131"/>
      <c r="BR29" s="2131"/>
      <c r="BS29" s="2137"/>
      <c r="BT29" s="2138" t="str">
        <f>U29</f>
        <v>ф_количество</v>
      </c>
      <c r="BU29" s="2139"/>
      <c r="BV29" s="2139"/>
      <c r="BW29" s="2140"/>
      <c r="BX29" s="2130" t="s">
        <v>17</v>
      </c>
      <c r="BY29" s="2131"/>
      <c r="BZ29" s="2131"/>
      <c r="CA29" s="2132"/>
    </row>
    <row r="30" spans="1:79">
      <c r="A30" s="439" t="s">
        <v>93</v>
      </c>
      <c r="B30" s="439"/>
      <c r="C30" s="439"/>
      <c r="D30" s="439"/>
      <c r="E30" s="439"/>
      <c r="F30" s="439"/>
      <c r="G30" s="439"/>
      <c r="H30" s="439"/>
      <c r="I30" s="439"/>
      <c r="J30" s="439"/>
      <c r="K30" s="439"/>
      <c r="L30" s="439"/>
      <c r="M30" s="439"/>
      <c r="N30" s="439"/>
      <c r="O30" s="439"/>
      <c r="P30" s="439"/>
      <c r="Q30" s="439"/>
      <c r="R30" s="439"/>
      <c r="S30" s="439"/>
      <c r="T30" s="439"/>
      <c r="U30" s="439"/>
      <c r="V30" s="439"/>
      <c r="W30" s="439"/>
      <c r="X30" s="439"/>
      <c r="Y30" s="439"/>
      <c r="Z30" s="439"/>
      <c r="AA30" s="439"/>
      <c r="AB30" s="439"/>
      <c r="AC30" s="439"/>
      <c r="AD30" s="439"/>
      <c r="AE30" s="439"/>
      <c r="AF30" s="439"/>
      <c r="AG30" s="439"/>
      <c r="AH30" s="439"/>
      <c r="AI30" s="439"/>
      <c r="AJ30" s="439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39"/>
      <c r="AV30" s="439"/>
      <c r="AW30" s="439"/>
      <c r="AX30" s="439"/>
      <c r="AY30" s="439"/>
      <c r="AZ30" s="439"/>
      <c r="BA30" s="439"/>
      <c r="BB30" s="439"/>
      <c r="BC30" s="439"/>
      <c r="BD30" s="439"/>
      <c r="BE30" s="439"/>
      <c r="BF30" s="439"/>
      <c r="BG30" s="439"/>
      <c r="BH30" s="439"/>
      <c r="BI30" s="439"/>
      <c r="BJ30" s="439"/>
      <c r="BK30" s="439"/>
      <c r="BL30" s="439"/>
      <c r="BM30" s="439"/>
      <c r="BN30" s="439"/>
      <c r="BO30" s="439"/>
      <c r="BP30" s="2153" t="s">
        <v>176</v>
      </c>
      <c r="BQ30" s="2153"/>
      <c r="BR30" s="2153"/>
      <c r="BS30" s="2153"/>
      <c r="BT30" s="2154"/>
      <c r="BU30" s="2154"/>
      <c r="BV30" s="2154"/>
      <c r="BW30" s="2154"/>
      <c r="BX30" s="1612">
        <f>SUM(GalRepTblFld_ф_сумма)</f>
        <v>0</v>
      </c>
      <c r="BY30" s="1613"/>
      <c r="BZ30" s="1613"/>
      <c r="CA30" s="1614"/>
    </row>
    <row r="31" spans="1:79">
      <c r="A31" s="437" t="s">
        <v>632</v>
      </c>
      <c r="I31" s="2128"/>
      <c r="J31" s="2128"/>
      <c r="K31" s="2128"/>
      <c r="L31" s="2128"/>
      <c r="M31" s="2128"/>
      <c r="N31" s="2128"/>
      <c r="O31" s="2128"/>
      <c r="P31" s="2128"/>
      <c r="Q31" s="2128"/>
      <c r="R31" s="2128"/>
      <c r="S31" s="2128"/>
      <c r="T31" s="2128"/>
      <c r="U31" s="2128"/>
      <c r="V31" s="2128"/>
      <c r="W31" s="2128"/>
      <c r="X31" s="2128"/>
      <c r="Y31" s="2128"/>
      <c r="Z31" s="2128"/>
      <c r="AA31" s="2128"/>
      <c r="AB31" s="2128"/>
      <c r="AC31" s="2128"/>
      <c r="AD31" s="2128"/>
      <c r="AE31" s="2128"/>
      <c r="AF31" s="2128"/>
      <c r="AG31" s="2128"/>
      <c r="AH31" s="2128"/>
      <c r="AI31" s="2128"/>
      <c r="AJ31" s="2128"/>
      <c r="AK31" s="2128"/>
      <c r="AL31" s="2128"/>
      <c r="AM31" s="2128"/>
      <c r="AN31" s="2128"/>
      <c r="AO31" s="2128"/>
      <c r="AP31" s="2128"/>
      <c r="AQ31" s="2128"/>
      <c r="AR31" s="2128"/>
      <c r="AS31" s="2128"/>
      <c r="AT31" s="2128"/>
      <c r="AU31" s="2128"/>
      <c r="AV31" s="2128"/>
      <c r="AW31" s="2128"/>
      <c r="AX31" s="2128"/>
      <c r="AY31" s="2128"/>
      <c r="AZ31" s="2128"/>
      <c r="BA31" s="2128"/>
      <c r="BB31" s="2128"/>
      <c r="BC31" s="2128"/>
      <c r="BD31" s="2128"/>
      <c r="BE31" s="2128"/>
      <c r="BF31" s="2128"/>
      <c r="BG31" s="2128"/>
      <c r="BH31" s="2128"/>
      <c r="BI31" s="2128"/>
      <c r="BJ31" s="2128"/>
      <c r="BK31" s="2128"/>
      <c r="BL31" s="2128"/>
      <c r="BM31" s="2128"/>
      <c r="BN31" s="2128"/>
      <c r="BO31" s="2128"/>
      <c r="BP31" s="2128"/>
      <c r="BQ31" s="2128"/>
      <c r="BR31" s="2128"/>
      <c r="BS31" s="2128"/>
      <c r="BT31" s="2128"/>
      <c r="BU31" s="2128"/>
      <c r="BV31" s="2128"/>
      <c r="BW31" s="2128"/>
      <c r="BX31" s="2128"/>
      <c r="BY31" s="2128"/>
      <c r="BZ31" s="2128"/>
      <c r="CA31" s="2128"/>
    </row>
    <row r="32" spans="1:79" ht="8.25" customHeight="1">
      <c r="I32" s="1653" t="s">
        <v>118</v>
      </c>
      <c r="J32" s="1653"/>
      <c r="K32" s="1653"/>
      <c r="L32" s="1653"/>
      <c r="M32" s="1653"/>
      <c r="N32" s="1653"/>
      <c r="O32" s="1653"/>
      <c r="P32" s="1653"/>
      <c r="Q32" s="1653"/>
      <c r="R32" s="1653"/>
      <c r="S32" s="1653"/>
      <c r="T32" s="1653"/>
      <c r="U32" s="1653"/>
      <c r="V32" s="1653"/>
      <c r="W32" s="1653"/>
      <c r="X32" s="1653"/>
      <c r="Y32" s="1653"/>
      <c r="Z32" s="1653"/>
      <c r="AA32" s="1653"/>
      <c r="AB32" s="1653"/>
      <c r="AC32" s="1653"/>
      <c r="AD32" s="1653"/>
      <c r="AE32" s="1653"/>
      <c r="AF32" s="1653"/>
      <c r="AG32" s="1653"/>
      <c r="AH32" s="1653"/>
      <c r="AI32" s="1653"/>
      <c r="AJ32" s="1653"/>
      <c r="AK32" s="1653"/>
      <c r="AL32" s="1653"/>
      <c r="AM32" s="1653"/>
      <c r="AN32" s="1653"/>
      <c r="AO32" s="1653"/>
      <c r="AP32" s="1653"/>
      <c r="AQ32" s="1653"/>
      <c r="AR32" s="1653"/>
      <c r="AS32" s="1653"/>
      <c r="AT32" s="1653"/>
      <c r="AU32" s="1653"/>
      <c r="AV32" s="1653"/>
      <c r="AW32" s="1653"/>
      <c r="AX32" s="1653"/>
      <c r="AY32" s="1653"/>
      <c r="AZ32" s="1653"/>
      <c r="BA32" s="1653"/>
      <c r="BB32" s="1653"/>
      <c r="BC32" s="1653"/>
      <c r="BD32" s="1653"/>
      <c r="BE32" s="1653"/>
      <c r="BF32" s="1653"/>
      <c r="BG32" s="1653"/>
      <c r="BH32" s="1653"/>
      <c r="BI32" s="1653"/>
      <c r="BJ32" s="1653"/>
      <c r="BK32" s="1653"/>
      <c r="BL32" s="1653"/>
      <c r="BM32" s="1653"/>
      <c r="BN32" s="1653"/>
      <c r="BO32" s="1653"/>
    </row>
    <row r="33" spans="1:79" ht="12" customHeight="1">
      <c r="B33" s="446" t="s">
        <v>127</v>
      </c>
      <c r="C33" s="446"/>
      <c r="D33" s="446"/>
      <c r="E33" s="446"/>
      <c r="F33" s="446"/>
      <c r="G33" s="446"/>
      <c r="H33" s="446"/>
      <c r="I33" s="446"/>
      <c r="J33" s="446"/>
      <c r="AQ33" s="877"/>
      <c r="AR33" s="857"/>
      <c r="AS33" s="857"/>
      <c r="AT33" s="857"/>
      <c r="AU33" s="857"/>
      <c r="AV33" s="857"/>
      <c r="AW33" s="857"/>
      <c r="AX33" s="856"/>
      <c r="AY33" s="856"/>
      <c r="AZ33" s="856"/>
      <c r="BA33" s="856"/>
      <c r="BB33" s="856"/>
      <c r="BC33" s="856"/>
      <c r="BD33" s="856"/>
      <c r="BE33" s="856"/>
      <c r="BF33" s="440"/>
      <c r="BG33" s="856"/>
      <c r="BH33" s="856"/>
      <c r="BI33" s="856"/>
      <c r="BJ33" s="856"/>
      <c r="BK33" s="856"/>
      <c r="BL33" s="856"/>
      <c r="BM33" s="856"/>
      <c r="BN33" s="856"/>
      <c r="BO33" s="440"/>
      <c r="BP33" s="856"/>
      <c r="BQ33" s="856"/>
      <c r="BR33" s="856"/>
      <c r="BS33" s="856"/>
      <c r="BT33" s="856"/>
      <c r="BU33" s="856"/>
      <c r="BV33" s="856"/>
      <c r="BW33" s="856"/>
      <c r="BX33" s="856"/>
      <c r="BY33" s="856"/>
      <c r="BZ33" s="856"/>
      <c r="CA33" s="856"/>
    </row>
    <row r="34" spans="1:79" s="881" customFormat="1" ht="12.75" customHeight="1">
      <c r="D34" s="2129" t="s">
        <v>3</v>
      </c>
      <c r="E34" s="2129"/>
      <c r="F34" s="2129"/>
      <c r="G34" s="2129"/>
      <c r="H34" s="2129"/>
      <c r="I34" s="2129"/>
      <c r="J34" s="2129"/>
      <c r="K34" s="2129"/>
      <c r="L34" s="2129"/>
      <c r="M34" s="2129"/>
      <c r="N34" s="2129"/>
      <c r="O34" s="2129"/>
      <c r="P34" s="2129"/>
      <c r="Q34" s="2129"/>
      <c r="R34" s="2129"/>
      <c r="S34" s="441"/>
      <c r="T34" s="1594"/>
      <c r="U34" s="1594"/>
      <c r="V34" s="1594"/>
      <c r="W34" s="1594"/>
      <c r="X34" s="1594"/>
      <c r="Y34" s="1594"/>
      <c r="Z34" s="1594"/>
      <c r="AA34" s="1594"/>
      <c r="AB34" s="441"/>
      <c r="AC34" s="2129" t="s">
        <v>1</v>
      </c>
      <c r="AD34" s="2129"/>
      <c r="AE34" s="2129"/>
      <c r="AF34" s="2129"/>
      <c r="AG34" s="2129"/>
      <c r="AH34" s="2129"/>
      <c r="AI34" s="2129"/>
      <c r="AJ34" s="2129"/>
      <c r="AK34" s="2129"/>
      <c r="AL34" s="2129"/>
      <c r="AM34" s="2129"/>
      <c r="AN34" s="2129"/>
      <c r="AO34" s="2129"/>
      <c r="AX34" s="879"/>
      <c r="AY34" s="879"/>
      <c r="AZ34" s="879"/>
      <c r="BA34" s="879"/>
      <c r="BB34" s="879"/>
      <c r="BC34" s="879"/>
      <c r="BD34" s="879"/>
      <c r="BE34" s="879"/>
      <c r="BF34" s="879"/>
      <c r="BG34" s="879"/>
      <c r="BH34" s="879"/>
      <c r="BI34" s="879"/>
      <c r="BJ34" s="879"/>
      <c r="BK34" s="879"/>
      <c r="BL34" s="879"/>
      <c r="BM34" s="879"/>
      <c r="BN34" s="879"/>
      <c r="BO34" s="879"/>
      <c r="BP34" s="879"/>
      <c r="BQ34" s="879"/>
      <c r="BR34" s="879"/>
      <c r="BS34" s="879"/>
      <c r="BT34" s="879"/>
      <c r="BU34" s="879"/>
      <c r="BV34" s="879"/>
      <c r="BW34" s="879"/>
      <c r="BX34" s="879"/>
      <c r="BY34" s="879"/>
      <c r="BZ34" s="879"/>
      <c r="CA34" s="879"/>
    </row>
    <row r="35" spans="1:79" ht="11.25" customHeight="1">
      <c r="D35" s="1711" t="s">
        <v>183</v>
      </c>
      <c r="E35" s="1711"/>
      <c r="F35" s="1711"/>
      <c r="G35" s="1711"/>
      <c r="H35" s="1711"/>
      <c r="I35" s="1711"/>
      <c r="J35" s="1711"/>
      <c r="K35" s="1711"/>
      <c r="L35" s="1711"/>
      <c r="M35" s="1711"/>
      <c r="N35" s="1711"/>
      <c r="O35" s="1711"/>
      <c r="P35" s="1711"/>
      <c r="Q35" s="1711"/>
      <c r="R35" s="1711"/>
      <c r="S35" s="660"/>
      <c r="T35" s="1653" t="s">
        <v>80</v>
      </c>
      <c r="U35" s="1653"/>
      <c r="V35" s="1653"/>
      <c r="W35" s="1653"/>
      <c r="X35" s="1653"/>
      <c r="Y35" s="1653"/>
      <c r="Z35" s="1653"/>
      <c r="AA35" s="1653"/>
      <c r="AB35" s="660"/>
      <c r="AC35" s="1653" t="s">
        <v>182</v>
      </c>
      <c r="AD35" s="1653"/>
      <c r="AE35" s="1653"/>
      <c r="AF35" s="1653"/>
      <c r="AG35" s="1653"/>
      <c r="AH35" s="1653"/>
      <c r="AI35" s="1653"/>
      <c r="AJ35" s="1653"/>
      <c r="AK35" s="1653"/>
      <c r="AL35" s="1653"/>
      <c r="AM35" s="1653"/>
      <c r="AN35" s="1653"/>
      <c r="AO35" s="1653"/>
      <c r="AP35" s="874"/>
      <c r="AX35" s="441"/>
      <c r="AY35" s="441"/>
      <c r="AZ35" s="441"/>
      <c r="BA35" s="441"/>
      <c r="BB35" s="441"/>
      <c r="BC35" s="441"/>
      <c r="BD35" s="441"/>
      <c r="BE35" s="441"/>
      <c r="BF35" s="880"/>
      <c r="BG35" s="441"/>
      <c r="BH35" s="441"/>
      <c r="BI35" s="441"/>
      <c r="BJ35" s="441"/>
      <c r="BK35" s="441"/>
      <c r="BL35" s="441"/>
      <c r="BM35" s="441"/>
      <c r="BN35" s="441"/>
      <c r="BO35" s="880"/>
      <c r="BP35" s="441"/>
      <c r="BQ35" s="441"/>
      <c r="BR35" s="441"/>
      <c r="BS35" s="441"/>
      <c r="BT35" s="441"/>
      <c r="BU35" s="441"/>
      <c r="BV35" s="441"/>
      <c r="BW35" s="441"/>
      <c r="BX35" s="441"/>
      <c r="BY35" s="441"/>
      <c r="BZ35" s="441"/>
      <c r="CA35" s="441"/>
    </row>
    <row r="36" spans="1:79">
      <c r="K36" s="876"/>
      <c r="L36" s="876"/>
      <c r="M36" s="876"/>
      <c r="N36" s="876"/>
      <c r="O36" s="876"/>
      <c r="P36" s="876"/>
      <c r="Q36" s="876"/>
      <c r="R36" s="876"/>
      <c r="S36" s="873"/>
      <c r="T36" s="1711"/>
      <c r="U36" s="1711"/>
      <c r="V36" s="1711"/>
      <c r="W36" s="1711"/>
      <c r="X36" s="1711"/>
      <c r="Y36" s="1711"/>
      <c r="Z36" s="1711"/>
      <c r="AA36" s="1711"/>
      <c r="AB36" s="873"/>
      <c r="AC36" s="876"/>
      <c r="AD36" s="876"/>
      <c r="AE36" s="876"/>
      <c r="AF36" s="876"/>
      <c r="AG36" s="876"/>
      <c r="AH36" s="876"/>
      <c r="AI36" s="876"/>
      <c r="AJ36" s="876"/>
      <c r="AK36" s="876"/>
      <c r="AL36" s="876"/>
      <c r="AM36" s="876"/>
      <c r="AN36" s="876"/>
      <c r="AO36" s="876"/>
      <c r="AQ36" s="878" t="s">
        <v>633</v>
      </c>
      <c r="AR36" s="874"/>
      <c r="AS36" s="874"/>
      <c r="AT36" s="874"/>
      <c r="AU36" s="874"/>
      <c r="AV36" s="874"/>
      <c r="AW36" s="874"/>
      <c r="AX36" s="1594"/>
      <c r="AY36" s="1594"/>
      <c r="AZ36" s="1594"/>
      <c r="BA36" s="1594"/>
      <c r="BB36" s="1594"/>
      <c r="BC36" s="1594"/>
      <c r="BD36" s="1594"/>
      <c r="BE36" s="1594"/>
      <c r="BG36" s="1594"/>
      <c r="BH36" s="1594"/>
      <c r="BI36" s="1594"/>
      <c r="BJ36" s="1594"/>
      <c r="BK36" s="1594"/>
      <c r="BL36" s="1594"/>
      <c r="BM36" s="1594"/>
      <c r="BN36" s="1594"/>
      <c r="BP36" s="1594"/>
      <c r="BQ36" s="1594"/>
      <c r="BR36" s="1594"/>
      <c r="BS36" s="1594"/>
      <c r="BT36" s="1594"/>
      <c r="BU36" s="1594"/>
      <c r="BV36" s="1594"/>
      <c r="BW36" s="1594"/>
      <c r="BX36" s="1594"/>
      <c r="BY36" s="1594"/>
      <c r="BZ36" s="1594"/>
      <c r="CA36" s="1594"/>
    </row>
    <row r="37" spans="1:79">
      <c r="K37" s="874"/>
      <c r="L37" s="874"/>
      <c r="M37" s="874"/>
      <c r="N37" s="874"/>
      <c r="O37" s="874"/>
      <c r="P37" s="874"/>
      <c r="Q37" s="874"/>
      <c r="R37" s="874"/>
      <c r="S37" s="440"/>
      <c r="T37" s="1643"/>
      <c r="U37" s="1643"/>
      <c r="V37" s="1643"/>
      <c r="W37" s="1643"/>
      <c r="X37" s="1643"/>
      <c r="Y37" s="1643"/>
      <c r="Z37" s="1643"/>
      <c r="AA37" s="1643"/>
      <c r="AB37" s="440"/>
      <c r="AC37" s="874"/>
      <c r="AD37" s="874"/>
      <c r="AE37" s="874"/>
      <c r="AF37" s="874"/>
      <c r="AG37" s="874"/>
      <c r="AH37" s="874"/>
      <c r="AI37" s="874"/>
      <c r="AJ37" s="874"/>
      <c r="AK37" s="874"/>
      <c r="AL37" s="874"/>
      <c r="AM37" s="874"/>
      <c r="AN37" s="874"/>
      <c r="AO37" s="874"/>
      <c r="AX37" s="1711" t="s">
        <v>183</v>
      </c>
      <c r="AY37" s="1711"/>
      <c r="AZ37" s="1711"/>
      <c r="BA37" s="1711"/>
      <c r="BB37" s="1711"/>
      <c r="BC37" s="1711"/>
      <c r="BD37" s="1711"/>
      <c r="BE37" s="1711"/>
      <c r="BF37" s="874"/>
      <c r="BG37" s="1711" t="s">
        <v>80</v>
      </c>
      <c r="BH37" s="1711"/>
      <c r="BI37" s="1711"/>
      <c r="BJ37" s="1711"/>
      <c r="BK37" s="1711"/>
      <c r="BL37" s="1711"/>
      <c r="BM37" s="1711"/>
      <c r="BN37" s="1711"/>
      <c r="BO37" s="874"/>
      <c r="BP37" s="1711" t="s">
        <v>182</v>
      </c>
      <c r="BQ37" s="1711"/>
      <c r="BR37" s="1711"/>
      <c r="BS37" s="1711"/>
      <c r="BT37" s="1711"/>
      <c r="BU37" s="1711"/>
      <c r="BV37" s="1711"/>
      <c r="BW37" s="1711"/>
      <c r="BX37" s="1711"/>
      <c r="BY37" s="1711"/>
      <c r="BZ37" s="1711"/>
      <c r="CA37" s="1711"/>
    </row>
    <row r="38" spans="1:79">
      <c r="K38" s="876"/>
      <c r="L38" s="876"/>
      <c r="M38" s="876"/>
      <c r="N38" s="876"/>
      <c r="O38" s="876"/>
      <c r="P38" s="876"/>
      <c r="Q38" s="876"/>
      <c r="R38" s="876"/>
      <c r="S38" s="873"/>
      <c r="T38" s="1711"/>
      <c r="U38" s="1711"/>
      <c r="V38" s="1711"/>
      <c r="W38" s="1711"/>
      <c r="X38" s="1711"/>
      <c r="Y38" s="1711"/>
      <c r="Z38" s="1711"/>
      <c r="AA38" s="1711"/>
      <c r="AB38" s="873"/>
      <c r="AC38" s="876"/>
      <c r="AD38" s="876"/>
      <c r="AE38" s="876"/>
      <c r="AF38" s="876"/>
      <c r="AG38" s="876"/>
      <c r="AH38" s="876"/>
      <c r="AI38" s="876"/>
      <c r="AJ38" s="876"/>
      <c r="AK38" s="876"/>
      <c r="AL38" s="876"/>
      <c r="AM38" s="876"/>
      <c r="AN38" s="876"/>
      <c r="AO38" s="876"/>
    </row>
    <row r="39" spans="1:79">
      <c r="A39" s="437" t="s">
        <v>634</v>
      </c>
      <c r="AZ39" s="41" t="s">
        <v>83</v>
      </c>
      <c r="BA39" s="855"/>
      <c r="BB39" s="532" t="s">
        <v>84</v>
      </c>
      <c r="BC39" s="875"/>
      <c r="BD39" s="875"/>
      <c r="BE39" s="875"/>
      <c r="BG39" s="875"/>
      <c r="BH39" s="875"/>
      <c r="BI39" s="875"/>
      <c r="BJ39" s="872"/>
      <c r="BK39" s="1566"/>
      <c r="BL39" s="1566"/>
      <c r="BM39" s="1566"/>
      <c r="BN39" s="437" t="s">
        <v>147</v>
      </c>
    </row>
  </sheetData>
  <mergeCells count="147">
    <mergeCell ref="BT9:CA9"/>
    <mergeCell ref="BT10:CA10"/>
    <mergeCell ref="AS11:AZ11"/>
    <mergeCell ref="BA11:BH11"/>
    <mergeCell ref="AS12:AZ12"/>
    <mergeCell ref="BA12:BH12"/>
    <mergeCell ref="BT4:CA4"/>
    <mergeCell ref="BT5:CA5"/>
    <mergeCell ref="BT6:CA6"/>
    <mergeCell ref="BT7:CA8"/>
    <mergeCell ref="A8:BS8"/>
    <mergeCell ref="A4:BI6"/>
    <mergeCell ref="AU17:BA17"/>
    <mergeCell ref="BB17:BH17"/>
    <mergeCell ref="BI17:BO17"/>
    <mergeCell ref="BP17:CA21"/>
    <mergeCell ref="P18:W18"/>
    <mergeCell ref="X18:Y18"/>
    <mergeCell ref="Z18:AF18"/>
    <mergeCell ref="AG18:AM18"/>
    <mergeCell ref="AN18:AT18"/>
    <mergeCell ref="AU18:BA18"/>
    <mergeCell ref="P17:W17"/>
    <mergeCell ref="X17:Y17"/>
    <mergeCell ref="Z17:AF17"/>
    <mergeCell ref="AG17:AM17"/>
    <mergeCell ref="AN17:AT17"/>
    <mergeCell ref="P21:W21"/>
    <mergeCell ref="X21:Y21"/>
    <mergeCell ref="Z21:AF21"/>
    <mergeCell ref="AG21:AM21"/>
    <mergeCell ref="BB18:BH18"/>
    <mergeCell ref="BI18:BO18"/>
    <mergeCell ref="P19:S20"/>
    <mergeCell ref="T19:W19"/>
    <mergeCell ref="X19:Y19"/>
    <mergeCell ref="AN19:AT19"/>
    <mergeCell ref="AU19:BA19"/>
    <mergeCell ref="BB19:BH19"/>
    <mergeCell ref="BI19:BO19"/>
    <mergeCell ref="T20:W20"/>
    <mergeCell ref="X20:Y20"/>
    <mergeCell ref="Z20:AF20"/>
    <mergeCell ref="AG20:AM20"/>
    <mergeCell ref="AN20:AT20"/>
    <mergeCell ref="AU20:BA20"/>
    <mergeCell ref="BB20:BH20"/>
    <mergeCell ref="BI20:BO20"/>
    <mergeCell ref="A22:C27"/>
    <mergeCell ref="D22:N23"/>
    <mergeCell ref="O22:T23"/>
    <mergeCell ref="U22:Y27"/>
    <mergeCell ref="Z22:AF23"/>
    <mergeCell ref="AG22:AM23"/>
    <mergeCell ref="A17:O21"/>
    <mergeCell ref="Z19:AF19"/>
    <mergeCell ref="AG19:AM19"/>
    <mergeCell ref="AU24:AW27"/>
    <mergeCell ref="AX24:BA27"/>
    <mergeCell ref="BB24:BD27"/>
    <mergeCell ref="BE24:BH27"/>
    <mergeCell ref="BI24:BK27"/>
    <mergeCell ref="BL24:BO27"/>
    <mergeCell ref="AN21:AT21"/>
    <mergeCell ref="AU21:BA21"/>
    <mergeCell ref="BB21:BH21"/>
    <mergeCell ref="BI21:BO21"/>
    <mergeCell ref="BT28:BW28"/>
    <mergeCell ref="BX28:CA28"/>
    <mergeCell ref="BB28:BD28"/>
    <mergeCell ref="BE28:BH28"/>
    <mergeCell ref="BI28:BK28"/>
    <mergeCell ref="BL28:BO28"/>
    <mergeCell ref="BP28:BS28"/>
    <mergeCell ref="BX22:CA27"/>
    <mergeCell ref="D24:K27"/>
    <mergeCell ref="L24:N27"/>
    <mergeCell ref="O24:Q27"/>
    <mergeCell ref="R24:T27"/>
    <mergeCell ref="Z24:AB27"/>
    <mergeCell ref="AC24:AF27"/>
    <mergeCell ref="AG24:AI27"/>
    <mergeCell ref="AJ24:AM27"/>
    <mergeCell ref="AN24:AP27"/>
    <mergeCell ref="AN22:AT23"/>
    <mergeCell ref="AU22:BA23"/>
    <mergeCell ref="BB22:BH23"/>
    <mergeCell ref="BI22:BO23"/>
    <mergeCell ref="BP22:BS27"/>
    <mergeCell ref="BT22:BW27"/>
    <mergeCell ref="AQ24:AT27"/>
    <mergeCell ref="AX28:BA28"/>
    <mergeCell ref="AC28:AF28"/>
    <mergeCell ref="AG28:AI28"/>
    <mergeCell ref="AJ28:AM28"/>
    <mergeCell ref="AN28:AP28"/>
    <mergeCell ref="AQ28:AT28"/>
    <mergeCell ref="AU28:AW28"/>
    <mergeCell ref="A28:C28"/>
    <mergeCell ref="D28:K28"/>
    <mergeCell ref="L28:N28"/>
    <mergeCell ref="O28:Q28"/>
    <mergeCell ref="R28:T28"/>
    <mergeCell ref="U28:Y28"/>
    <mergeCell ref="Z28:AB28"/>
    <mergeCell ref="BX30:CA30"/>
    <mergeCell ref="BX29:CA29"/>
    <mergeCell ref="BB29:BD29"/>
    <mergeCell ref="BE29:BH29"/>
    <mergeCell ref="BI29:BK29"/>
    <mergeCell ref="BL29:BO29"/>
    <mergeCell ref="BP29:BS29"/>
    <mergeCell ref="BT29:BW29"/>
    <mergeCell ref="A29:C29"/>
    <mergeCell ref="D29:K29"/>
    <mergeCell ref="L29:N29"/>
    <mergeCell ref="O29:Q29"/>
    <mergeCell ref="R29:T29"/>
    <mergeCell ref="U29:Y29"/>
    <mergeCell ref="Z29:AB29"/>
    <mergeCell ref="AC29:AF29"/>
    <mergeCell ref="AG29:AI29"/>
    <mergeCell ref="AJ29:AM29"/>
    <mergeCell ref="AN29:AP29"/>
    <mergeCell ref="AQ29:AT29"/>
    <mergeCell ref="AU29:AW29"/>
    <mergeCell ref="AX29:BA29"/>
    <mergeCell ref="BP30:BS30"/>
    <mergeCell ref="BT30:BW30"/>
    <mergeCell ref="I31:CA31"/>
    <mergeCell ref="T37:AA37"/>
    <mergeCell ref="BK39:BM39"/>
    <mergeCell ref="T38:AA38"/>
    <mergeCell ref="T36:AA36"/>
    <mergeCell ref="I32:BO32"/>
    <mergeCell ref="T34:AA34"/>
    <mergeCell ref="T35:AA35"/>
    <mergeCell ref="AC35:AO35"/>
    <mergeCell ref="AC34:AO34"/>
    <mergeCell ref="AX37:BE37"/>
    <mergeCell ref="BG37:BN37"/>
    <mergeCell ref="BP37:CA37"/>
    <mergeCell ref="AX36:BE36"/>
    <mergeCell ref="BG36:BN36"/>
    <mergeCell ref="BP36:CA36"/>
    <mergeCell ref="D34:R34"/>
    <mergeCell ref="D35:R35"/>
  </mergeCells>
  <pageMargins left="0.6692913385826772" right="0.39370078740157483" top="0.59055118110236227" bottom="0.31496062992125984" header="0.19685039370078741" footer="0.19685039370078741"/>
  <pageSetup paperSize="9" orientation="landscape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>
  <sheetPr codeName="Лист43"/>
  <dimension ref="A1:U26"/>
  <sheetViews>
    <sheetView view="pageBreakPreview" zoomScaleNormal="100" zoomScaleSheetLayoutView="100" workbookViewId="0">
      <selection activeCell="F14" sqref="F14"/>
    </sheetView>
  </sheetViews>
  <sheetFormatPr defaultRowHeight="12.75"/>
  <cols>
    <col min="1" max="1" width="2.7109375" style="313" customWidth="1"/>
    <col min="2" max="2" width="1.7109375" style="313" customWidth="1"/>
    <col min="3" max="3" width="1.5703125" style="313" customWidth="1"/>
    <col min="4" max="4" width="19.42578125" style="313" customWidth="1"/>
    <col min="5" max="5" width="3" style="313" customWidth="1"/>
    <col min="6" max="6" width="3.28515625" style="313" customWidth="1"/>
    <col min="7" max="7" width="12.85546875" style="313" customWidth="1"/>
    <col min="8" max="8" width="3" style="313" customWidth="1"/>
    <col min="9" max="9" width="6.42578125" style="313" customWidth="1"/>
    <col min="10" max="10" width="15.140625" style="313" customWidth="1"/>
    <col min="11" max="11" width="2.28515625" style="313" customWidth="1"/>
    <col min="12" max="12" width="14.7109375" style="313" customWidth="1"/>
    <col min="13" max="13" width="4" style="313" customWidth="1"/>
    <col min="14" max="14" width="7.5703125" style="313" customWidth="1"/>
    <col min="15" max="15" width="6.140625" style="313" customWidth="1"/>
    <col min="16" max="16" width="3.5703125" style="313" customWidth="1"/>
    <col min="17" max="17" width="6" style="313" customWidth="1"/>
    <col min="18" max="18" width="0.5703125" style="313" customWidth="1"/>
    <col min="19" max="19" width="12.42578125" style="313" customWidth="1"/>
    <col min="20" max="20" width="6.7109375" style="313" customWidth="1"/>
    <col min="21" max="256" width="9.140625" style="313"/>
    <col min="257" max="257" width="2.7109375" style="313" customWidth="1"/>
    <col min="258" max="258" width="1.7109375" style="313" customWidth="1"/>
    <col min="259" max="259" width="1.5703125" style="313" customWidth="1"/>
    <col min="260" max="260" width="19.42578125" style="313" customWidth="1"/>
    <col min="261" max="261" width="3" style="313" customWidth="1"/>
    <col min="262" max="262" width="3.28515625" style="313" customWidth="1"/>
    <col min="263" max="263" width="12.85546875" style="313" customWidth="1"/>
    <col min="264" max="264" width="3" style="313" customWidth="1"/>
    <col min="265" max="265" width="6.42578125" style="313" customWidth="1"/>
    <col min="266" max="266" width="15.140625" style="313" customWidth="1"/>
    <col min="267" max="267" width="2.28515625" style="313" customWidth="1"/>
    <col min="268" max="268" width="14.7109375" style="313" customWidth="1"/>
    <col min="269" max="269" width="4" style="313" customWidth="1"/>
    <col min="270" max="270" width="7.5703125" style="313" customWidth="1"/>
    <col min="271" max="271" width="6.140625" style="313" customWidth="1"/>
    <col min="272" max="272" width="3.5703125" style="313" customWidth="1"/>
    <col min="273" max="273" width="6" style="313" customWidth="1"/>
    <col min="274" max="274" width="0.5703125" style="313" customWidth="1"/>
    <col min="275" max="275" width="12.42578125" style="313" customWidth="1"/>
    <col min="276" max="276" width="6.7109375" style="313" customWidth="1"/>
    <col min="277" max="512" width="9.140625" style="313"/>
    <col min="513" max="513" width="2.7109375" style="313" customWidth="1"/>
    <col min="514" max="514" width="1.7109375" style="313" customWidth="1"/>
    <col min="515" max="515" width="1.5703125" style="313" customWidth="1"/>
    <col min="516" max="516" width="19.42578125" style="313" customWidth="1"/>
    <col min="517" max="517" width="3" style="313" customWidth="1"/>
    <col min="518" max="518" width="3.28515625" style="313" customWidth="1"/>
    <col min="519" max="519" width="12.85546875" style="313" customWidth="1"/>
    <col min="520" max="520" width="3" style="313" customWidth="1"/>
    <col min="521" max="521" width="6.42578125" style="313" customWidth="1"/>
    <col min="522" max="522" width="15.140625" style="313" customWidth="1"/>
    <col min="523" max="523" width="2.28515625" style="313" customWidth="1"/>
    <col min="524" max="524" width="14.7109375" style="313" customWidth="1"/>
    <col min="525" max="525" width="4" style="313" customWidth="1"/>
    <col min="526" max="526" width="7.5703125" style="313" customWidth="1"/>
    <col min="527" max="527" width="6.140625" style="313" customWidth="1"/>
    <col min="528" max="528" width="3.5703125" style="313" customWidth="1"/>
    <col min="529" max="529" width="6" style="313" customWidth="1"/>
    <col min="530" max="530" width="0.5703125" style="313" customWidth="1"/>
    <col min="531" max="531" width="12.42578125" style="313" customWidth="1"/>
    <col min="532" max="532" width="6.7109375" style="313" customWidth="1"/>
    <col min="533" max="768" width="9.140625" style="313"/>
    <col min="769" max="769" width="2.7109375" style="313" customWidth="1"/>
    <col min="770" max="770" width="1.7109375" style="313" customWidth="1"/>
    <col min="771" max="771" width="1.5703125" style="313" customWidth="1"/>
    <col min="772" max="772" width="19.42578125" style="313" customWidth="1"/>
    <col min="773" max="773" width="3" style="313" customWidth="1"/>
    <col min="774" max="774" width="3.28515625" style="313" customWidth="1"/>
    <col min="775" max="775" width="12.85546875" style="313" customWidth="1"/>
    <col min="776" max="776" width="3" style="313" customWidth="1"/>
    <col min="777" max="777" width="6.42578125" style="313" customWidth="1"/>
    <col min="778" max="778" width="15.140625" style="313" customWidth="1"/>
    <col min="779" max="779" width="2.28515625" style="313" customWidth="1"/>
    <col min="780" max="780" width="14.7109375" style="313" customWidth="1"/>
    <col min="781" max="781" width="4" style="313" customWidth="1"/>
    <col min="782" max="782" width="7.5703125" style="313" customWidth="1"/>
    <col min="783" max="783" width="6.140625" style="313" customWidth="1"/>
    <col min="784" max="784" width="3.5703125" style="313" customWidth="1"/>
    <col min="785" max="785" width="6" style="313" customWidth="1"/>
    <col min="786" max="786" width="0.5703125" style="313" customWidth="1"/>
    <col min="787" max="787" width="12.42578125" style="313" customWidth="1"/>
    <col min="788" max="788" width="6.7109375" style="313" customWidth="1"/>
    <col min="789" max="1024" width="9.140625" style="313"/>
    <col min="1025" max="1025" width="2.7109375" style="313" customWidth="1"/>
    <col min="1026" max="1026" width="1.7109375" style="313" customWidth="1"/>
    <col min="1027" max="1027" width="1.5703125" style="313" customWidth="1"/>
    <col min="1028" max="1028" width="19.42578125" style="313" customWidth="1"/>
    <col min="1029" max="1029" width="3" style="313" customWidth="1"/>
    <col min="1030" max="1030" width="3.28515625" style="313" customWidth="1"/>
    <col min="1031" max="1031" width="12.85546875" style="313" customWidth="1"/>
    <col min="1032" max="1032" width="3" style="313" customWidth="1"/>
    <col min="1033" max="1033" width="6.42578125" style="313" customWidth="1"/>
    <col min="1034" max="1034" width="15.140625" style="313" customWidth="1"/>
    <col min="1035" max="1035" width="2.28515625" style="313" customWidth="1"/>
    <col min="1036" max="1036" width="14.7109375" style="313" customWidth="1"/>
    <col min="1037" max="1037" width="4" style="313" customWidth="1"/>
    <col min="1038" max="1038" width="7.5703125" style="313" customWidth="1"/>
    <col min="1039" max="1039" width="6.140625" style="313" customWidth="1"/>
    <col min="1040" max="1040" width="3.5703125" style="313" customWidth="1"/>
    <col min="1041" max="1041" width="6" style="313" customWidth="1"/>
    <col min="1042" max="1042" width="0.5703125" style="313" customWidth="1"/>
    <col min="1043" max="1043" width="12.42578125" style="313" customWidth="1"/>
    <col min="1044" max="1044" width="6.7109375" style="313" customWidth="1"/>
    <col min="1045" max="1280" width="9.140625" style="313"/>
    <col min="1281" max="1281" width="2.7109375" style="313" customWidth="1"/>
    <col min="1282" max="1282" width="1.7109375" style="313" customWidth="1"/>
    <col min="1283" max="1283" width="1.5703125" style="313" customWidth="1"/>
    <col min="1284" max="1284" width="19.42578125" style="313" customWidth="1"/>
    <col min="1285" max="1285" width="3" style="313" customWidth="1"/>
    <col min="1286" max="1286" width="3.28515625" style="313" customWidth="1"/>
    <col min="1287" max="1287" width="12.85546875" style="313" customWidth="1"/>
    <col min="1288" max="1288" width="3" style="313" customWidth="1"/>
    <col min="1289" max="1289" width="6.42578125" style="313" customWidth="1"/>
    <col min="1290" max="1290" width="15.140625" style="313" customWidth="1"/>
    <col min="1291" max="1291" width="2.28515625" style="313" customWidth="1"/>
    <col min="1292" max="1292" width="14.7109375" style="313" customWidth="1"/>
    <col min="1293" max="1293" width="4" style="313" customWidth="1"/>
    <col min="1294" max="1294" width="7.5703125" style="313" customWidth="1"/>
    <col min="1295" max="1295" width="6.140625" style="313" customWidth="1"/>
    <col min="1296" max="1296" width="3.5703125" style="313" customWidth="1"/>
    <col min="1297" max="1297" width="6" style="313" customWidth="1"/>
    <col min="1298" max="1298" width="0.5703125" style="313" customWidth="1"/>
    <col min="1299" max="1299" width="12.42578125" style="313" customWidth="1"/>
    <col min="1300" max="1300" width="6.7109375" style="313" customWidth="1"/>
    <col min="1301" max="1536" width="9.140625" style="313"/>
    <col min="1537" max="1537" width="2.7109375" style="313" customWidth="1"/>
    <col min="1538" max="1538" width="1.7109375" style="313" customWidth="1"/>
    <col min="1539" max="1539" width="1.5703125" style="313" customWidth="1"/>
    <col min="1540" max="1540" width="19.42578125" style="313" customWidth="1"/>
    <col min="1541" max="1541" width="3" style="313" customWidth="1"/>
    <col min="1542" max="1542" width="3.28515625" style="313" customWidth="1"/>
    <col min="1543" max="1543" width="12.85546875" style="313" customWidth="1"/>
    <col min="1544" max="1544" width="3" style="313" customWidth="1"/>
    <col min="1545" max="1545" width="6.42578125" style="313" customWidth="1"/>
    <col min="1546" max="1546" width="15.140625" style="313" customWidth="1"/>
    <col min="1547" max="1547" width="2.28515625" style="313" customWidth="1"/>
    <col min="1548" max="1548" width="14.7109375" style="313" customWidth="1"/>
    <col min="1549" max="1549" width="4" style="313" customWidth="1"/>
    <col min="1550" max="1550" width="7.5703125" style="313" customWidth="1"/>
    <col min="1551" max="1551" width="6.140625" style="313" customWidth="1"/>
    <col min="1552" max="1552" width="3.5703125" style="313" customWidth="1"/>
    <col min="1553" max="1553" width="6" style="313" customWidth="1"/>
    <col min="1554" max="1554" width="0.5703125" style="313" customWidth="1"/>
    <col min="1555" max="1555" width="12.42578125" style="313" customWidth="1"/>
    <col min="1556" max="1556" width="6.7109375" style="313" customWidth="1"/>
    <col min="1557" max="1792" width="9.140625" style="313"/>
    <col min="1793" max="1793" width="2.7109375" style="313" customWidth="1"/>
    <col min="1794" max="1794" width="1.7109375" style="313" customWidth="1"/>
    <col min="1795" max="1795" width="1.5703125" style="313" customWidth="1"/>
    <col min="1796" max="1796" width="19.42578125" style="313" customWidth="1"/>
    <col min="1797" max="1797" width="3" style="313" customWidth="1"/>
    <col min="1798" max="1798" width="3.28515625" style="313" customWidth="1"/>
    <col min="1799" max="1799" width="12.85546875" style="313" customWidth="1"/>
    <col min="1800" max="1800" width="3" style="313" customWidth="1"/>
    <col min="1801" max="1801" width="6.42578125" style="313" customWidth="1"/>
    <col min="1802" max="1802" width="15.140625" style="313" customWidth="1"/>
    <col min="1803" max="1803" width="2.28515625" style="313" customWidth="1"/>
    <col min="1804" max="1804" width="14.7109375" style="313" customWidth="1"/>
    <col min="1805" max="1805" width="4" style="313" customWidth="1"/>
    <col min="1806" max="1806" width="7.5703125" style="313" customWidth="1"/>
    <col min="1807" max="1807" width="6.140625" style="313" customWidth="1"/>
    <col min="1808" max="1808" width="3.5703125" style="313" customWidth="1"/>
    <col min="1809" max="1809" width="6" style="313" customWidth="1"/>
    <col min="1810" max="1810" width="0.5703125" style="313" customWidth="1"/>
    <col min="1811" max="1811" width="12.42578125" style="313" customWidth="1"/>
    <col min="1812" max="1812" width="6.7109375" style="313" customWidth="1"/>
    <col min="1813" max="2048" width="9.140625" style="313"/>
    <col min="2049" max="2049" width="2.7109375" style="313" customWidth="1"/>
    <col min="2050" max="2050" width="1.7109375" style="313" customWidth="1"/>
    <col min="2051" max="2051" width="1.5703125" style="313" customWidth="1"/>
    <col min="2052" max="2052" width="19.42578125" style="313" customWidth="1"/>
    <col min="2053" max="2053" width="3" style="313" customWidth="1"/>
    <col min="2054" max="2054" width="3.28515625" style="313" customWidth="1"/>
    <col min="2055" max="2055" width="12.85546875" style="313" customWidth="1"/>
    <col min="2056" max="2056" width="3" style="313" customWidth="1"/>
    <col min="2057" max="2057" width="6.42578125" style="313" customWidth="1"/>
    <col min="2058" max="2058" width="15.140625" style="313" customWidth="1"/>
    <col min="2059" max="2059" width="2.28515625" style="313" customWidth="1"/>
    <col min="2060" max="2060" width="14.7109375" style="313" customWidth="1"/>
    <col min="2061" max="2061" width="4" style="313" customWidth="1"/>
    <col min="2062" max="2062" width="7.5703125" style="313" customWidth="1"/>
    <col min="2063" max="2063" width="6.140625" style="313" customWidth="1"/>
    <col min="2064" max="2064" width="3.5703125" style="313" customWidth="1"/>
    <col min="2065" max="2065" width="6" style="313" customWidth="1"/>
    <col min="2066" max="2066" width="0.5703125" style="313" customWidth="1"/>
    <col min="2067" max="2067" width="12.42578125" style="313" customWidth="1"/>
    <col min="2068" max="2068" width="6.7109375" style="313" customWidth="1"/>
    <col min="2069" max="2304" width="9.140625" style="313"/>
    <col min="2305" max="2305" width="2.7109375" style="313" customWidth="1"/>
    <col min="2306" max="2306" width="1.7109375" style="313" customWidth="1"/>
    <col min="2307" max="2307" width="1.5703125" style="313" customWidth="1"/>
    <col min="2308" max="2308" width="19.42578125" style="313" customWidth="1"/>
    <col min="2309" max="2309" width="3" style="313" customWidth="1"/>
    <col min="2310" max="2310" width="3.28515625" style="313" customWidth="1"/>
    <col min="2311" max="2311" width="12.85546875" style="313" customWidth="1"/>
    <col min="2312" max="2312" width="3" style="313" customWidth="1"/>
    <col min="2313" max="2313" width="6.42578125" style="313" customWidth="1"/>
    <col min="2314" max="2314" width="15.140625" style="313" customWidth="1"/>
    <col min="2315" max="2315" width="2.28515625" style="313" customWidth="1"/>
    <col min="2316" max="2316" width="14.7109375" style="313" customWidth="1"/>
    <col min="2317" max="2317" width="4" style="313" customWidth="1"/>
    <col min="2318" max="2318" width="7.5703125" style="313" customWidth="1"/>
    <col min="2319" max="2319" width="6.140625" style="313" customWidth="1"/>
    <col min="2320" max="2320" width="3.5703125" style="313" customWidth="1"/>
    <col min="2321" max="2321" width="6" style="313" customWidth="1"/>
    <col min="2322" max="2322" width="0.5703125" style="313" customWidth="1"/>
    <col min="2323" max="2323" width="12.42578125" style="313" customWidth="1"/>
    <col min="2324" max="2324" width="6.7109375" style="313" customWidth="1"/>
    <col min="2325" max="2560" width="9.140625" style="313"/>
    <col min="2561" max="2561" width="2.7109375" style="313" customWidth="1"/>
    <col min="2562" max="2562" width="1.7109375" style="313" customWidth="1"/>
    <col min="2563" max="2563" width="1.5703125" style="313" customWidth="1"/>
    <col min="2564" max="2564" width="19.42578125" style="313" customWidth="1"/>
    <col min="2565" max="2565" width="3" style="313" customWidth="1"/>
    <col min="2566" max="2566" width="3.28515625" style="313" customWidth="1"/>
    <col min="2567" max="2567" width="12.85546875" style="313" customWidth="1"/>
    <col min="2568" max="2568" width="3" style="313" customWidth="1"/>
    <col min="2569" max="2569" width="6.42578125" style="313" customWidth="1"/>
    <col min="2570" max="2570" width="15.140625" style="313" customWidth="1"/>
    <col min="2571" max="2571" width="2.28515625" style="313" customWidth="1"/>
    <col min="2572" max="2572" width="14.7109375" style="313" customWidth="1"/>
    <col min="2573" max="2573" width="4" style="313" customWidth="1"/>
    <col min="2574" max="2574" width="7.5703125" style="313" customWidth="1"/>
    <col min="2575" max="2575" width="6.140625" style="313" customWidth="1"/>
    <col min="2576" max="2576" width="3.5703125" style="313" customWidth="1"/>
    <col min="2577" max="2577" width="6" style="313" customWidth="1"/>
    <col min="2578" max="2578" width="0.5703125" style="313" customWidth="1"/>
    <col min="2579" max="2579" width="12.42578125" style="313" customWidth="1"/>
    <col min="2580" max="2580" width="6.7109375" style="313" customWidth="1"/>
    <col min="2581" max="2816" width="9.140625" style="313"/>
    <col min="2817" max="2817" width="2.7109375" style="313" customWidth="1"/>
    <col min="2818" max="2818" width="1.7109375" style="313" customWidth="1"/>
    <col min="2819" max="2819" width="1.5703125" style="313" customWidth="1"/>
    <col min="2820" max="2820" width="19.42578125" style="313" customWidth="1"/>
    <col min="2821" max="2821" width="3" style="313" customWidth="1"/>
    <col min="2822" max="2822" width="3.28515625" style="313" customWidth="1"/>
    <col min="2823" max="2823" width="12.85546875" style="313" customWidth="1"/>
    <col min="2824" max="2824" width="3" style="313" customWidth="1"/>
    <col min="2825" max="2825" width="6.42578125" style="313" customWidth="1"/>
    <col min="2826" max="2826" width="15.140625" style="313" customWidth="1"/>
    <col min="2827" max="2827" width="2.28515625" style="313" customWidth="1"/>
    <col min="2828" max="2828" width="14.7109375" style="313" customWidth="1"/>
    <col min="2829" max="2829" width="4" style="313" customWidth="1"/>
    <col min="2830" max="2830" width="7.5703125" style="313" customWidth="1"/>
    <col min="2831" max="2831" width="6.140625" style="313" customWidth="1"/>
    <col min="2832" max="2832" width="3.5703125" style="313" customWidth="1"/>
    <col min="2833" max="2833" width="6" style="313" customWidth="1"/>
    <col min="2834" max="2834" width="0.5703125" style="313" customWidth="1"/>
    <col min="2835" max="2835" width="12.42578125" style="313" customWidth="1"/>
    <col min="2836" max="2836" width="6.7109375" style="313" customWidth="1"/>
    <col min="2837" max="3072" width="9.140625" style="313"/>
    <col min="3073" max="3073" width="2.7109375" style="313" customWidth="1"/>
    <col min="3074" max="3074" width="1.7109375" style="313" customWidth="1"/>
    <col min="3075" max="3075" width="1.5703125" style="313" customWidth="1"/>
    <col min="3076" max="3076" width="19.42578125" style="313" customWidth="1"/>
    <col min="3077" max="3077" width="3" style="313" customWidth="1"/>
    <col min="3078" max="3078" width="3.28515625" style="313" customWidth="1"/>
    <col min="3079" max="3079" width="12.85546875" style="313" customWidth="1"/>
    <col min="3080" max="3080" width="3" style="313" customWidth="1"/>
    <col min="3081" max="3081" width="6.42578125" style="313" customWidth="1"/>
    <col min="3082" max="3082" width="15.140625" style="313" customWidth="1"/>
    <col min="3083" max="3083" width="2.28515625" style="313" customWidth="1"/>
    <col min="3084" max="3084" width="14.7109375" style="313" customWidth="1"/>
    <col min="3085" max="3085" width="4" style="313" customWidth="1"/>
    <col min="3086" max="3086" width="7.5703125" style="313" customWidth="1"/>
    <col min="3087" max="3087" width="6.140625" style="313" customWidth="1"/>
    <col min="3088" max="3088" width="3.5703125" style="313" customWidth="1"/>
    <col min="3089" max="3089" width="6" style="313" customWidth="1"/>
    <col min="3090" max="3090" width="0.5703125" style="313" customWidth="1"/>
    <col min="3091" max="3091" width="12.42578125" style="313" customWidth="1"/>
    <col min="3092" max="3092" width="6.7109375" style="313" customWidth="1"/>
    <col min="3093" max="3328" width="9.140625" style="313"/>
    <col min="3329" max="3329" width="2.7109375" style="313" customWidth="1"/>
    <col min="3330" max="3330" width="1.7109375" style="313" customWidth="1"/>
    <col min="3331" max="3331" width="1.5703125" style="313" customWidth="1"/>
    <col min="3332" max="3332" width="19.42578125" style="313" customWidth="1"/>
    <col min="3333" max="3333" width="3" style="313" customWidth="1"/>
    <col min="3334" max="3334" width="3.28515625" style="313" customWidth="1"/>
    <col min="3335" max="3335" width="12.85546875" style="313" customWidth="1"/>
    <col min="3336" max="3336" width="3" style="313" customWidth="1"/>
    <col min="3337" max="3337" width="6.42578125" style="313" customWidth="1"/>
    <col min="3338" max="3338" width="15.140625" style="313" customWidth="1"/>
    <col min="3339" max="3339" width="2.28515625" style="313" customWidth="1"/>
    <col min="3340" max="3340" width="14.7109375" style="313" customWidth="1"/>
    <col min="3341" max="3341" width="4" style="313" customWidth="1"/>
    <col min="3342" max="3342" width="7.5703125" style="313" customWidth="1"/>
    <col min="3343" max="3343" width="6.140625" style="313" customWidth="1"/>
    <col min="3344" max="3344" width="3.5703125" style="313" customWidth="1"/>
    <col min="3345" max="3345" width="6" style="313" customWidth="1"/>
    <col min="3346" max="3346" width="0.5703125" style="313" customWidth="1"/>
    <col min="3347" max="3347" width="12.42578125" style="313" customWidth="1"/>
    <col min="3348" max="3348" width="6.7109375" style="313" customWidth="1"/>
    <col min="3349" max="3584" width="9.140625" style="313"/>
    <col min="3585" max="3585" width="2.7109375" style="313" customWidth="1"/>
    <col min="3586" max="3586" width="1.7109375" style="313" customWidth="1"/>
    <col min="3587" max="3587" width="1.5703125" style="313" customWidth="1"/>
    <col min="3588" max="3588" width="19.42578125" style="313" customWidth="1"/>
    <col min="3589" max="3589" width="3" style="313" customWidth="1"/>
    <col min="3590" max="3590" width="3.28515625" style="313" customWidth="1"/>
    <col min="3591" max="3591" width="12.85546875" style="313" customWidth="1"/>
    <col min="3592" max="3592" width="3" style="313" customWidth="1"/>
    <col min="3593" max="3593" width="6.42578125" style="313" customWidth="1"/>
    <col min="3594" max="3594" width="15.140625" style="313" customWidth="1"/>
    <col min="3595" max="3595" width="2.28515625" style="313" customWidth="1"/>
    <col min="3596" max="3596" width="14.7109375" style="313" customWidth="1"/>
    <col min="3597" max="3597" width="4" style="313" customWidth="1"/>
    <col min="3598" max="3598" width="7.5703125" style="313" customWidth="1"/>
    <col min="3599" max="3599" width="6.140625" style="313" customWidth="1"/>
    <col min="3600" max="3600" width="3.5703125" style="313" customWidth="1"/>
    <col min="3601" max="3601" width="6" style="313" customWidth="1"/>
    <col min="3602" max="3602" width="0.5703125" style="313" customWidth="1"/>
    <col min="3603" max="3603" width="12.42578125" style="313" customWidth="1"/>
    <col min="3604" max="3604" width="6.7109375" style="313" customWidth="1"/>
    <col min="3605" max="3840" width="9.140625" style="313"/>
    <col min="3841" max="3841" width="2.7109375" style="313" customWidth="1"/>
    <col min="3842" max="3842" width="1.7109375" style="313" customWidth="1"/>
    <col min="3843" max="3843" width="1.5703125" style="313" customWidth="1"/>
    <col min="3844" max="3844" width="19.42578125" style="313" customWidth="1"/>
    <col min="3845" max="3845" width="3" style="313" customWidth="1"/>
    <col min="3846" max="3846" width="3.28515625" style="313" customWidth="1"/>
    <col min="3847" max="3847" width="12.85546875" style="313" customWidth="1"/>
    <col min="3848" max="3848" width="3" style="313" customWidth="1"/>
    <col min="3849" max="3849" width="6.42578125" style="313" customWidth="1"/>
    <col min="3850" max="3850" width="15.140625" style="313" customWidth="1"/>
    <col min="3851" max="3851" width="2.28515625" style="313" customWidth="1"/>
    <col min="3852" max="3852" width="14.7109375" style="313" customWidth="1"/>
    <col min="3853" max="3853" width="4" style="313" customWidth="1"/>
    <col min="3854" max="3854" width="7.5703125" style="313" customWidth="1"/>
    <col min="3855" max="3855" width="6.140625" style="313" customWidth="1"/>
    <col min="3856" max="3856" width="3.5703125" style="313" customWidth="1"/>
    <col min="3857" max="3857" width="6" style="313" customWidth="1"/>
    <col min="3858" max="3858" width="0.5703125" style="313" customWidth="1"/>
    <col min="3859" max="3859" width="12.42578125" style="313" customWidth="1"/>
    <col min="3860" max="3860" width="6.7109375" style="313" customWidth="1"/>
    <col min="3861" max="4096" width="9.140625" style="313"/>
    <col min="4097" max="4097" width="2.7109375" style="313" customWidth="1"/>
    <col min="4098" max="4098" width="1.7109375" style="313" customWidth="1"/>
    <col min="4099" max="4099" width="1.5703125" style="313" customWidth="1"/>
    <col min="4100" max="4100" width="19.42578125" style="313" customWidth="1"/>
    <col min="4101" max="4101" width="3" style="313" customWidth="1"/>
    <col min="4102" max="4102" width="3.28515625" style="313" customWidth="1"/>
    <col min="4103" max="4103" width="12.85546875" style="313" customWidth="1"/>
    <col min="4104" max="4104" width="3" style="313" customWidth="1"/>
    <col min="4105" max="4105" width="6.42578125" style="313" customWidth="1"/>
    <col min="4106" max="4106" width="15.140625" style="313" customWidth="1"/>
    <col min="4107" max="4107" width="2.28515625" style="313" customWidth="1"/>
    <col min="4108" max="4108" width="14.7109375" style="313" customWidth="1"/>
    <col min="4109" max="4109" width="4" style="313" customWidth="1"/>
    <col min="4110" max="4110" width="7.5703125" style="313" customWidth="1"/>
    <col min="4111" max="4111" width="6.140625" style="313" customWidth="1"/>
    <col min="4112" max="4112" width="3.5703125" style="313" customWidth="1"/>
    <col min="4113" max="4113" width="6" style="313" customWidth="1"/>
    <col min="4114" max="4114" width="0.5703125" style="313" customWidth="1"/>
    <col min="4115" max="4115" width="12.42578125" style="313" customWidth="1"/>
    <col min="4116" max="4116" width="6.7109375" style="313" customWidth="1"/>
    <col min="4117" max="4352" width="9.140625" style="313"/>
    <col min="4353" max="4353" width="2.7109375" style="313" customWidth="1"/>
    <col min="4354" max="4354" width="1.7109375" style="313" customWidth="1"/>
    <col min="4355" max="4355" width="1.5703125" style="313" customWidth="1"/>
    <col min="4356" max="4356" width="19.42578125" style="313" customWidth="1"/>
    <col min="4357" max="4357" width="3" style="313" customWidth="1"/>
    <col min="4358" max="4358" width="3.28515625" style="313" customWidth="1"/>
    <col min="4359" max="4359" width="12.85546875" style="313" customWidth="1"/>
    <col min="4360" max="4360" width="3" style="313" customWidth="1"/>
    <col min="4361" max="4361" width="6.42578125" style="313" customWidth="1"/>
    <col min="4362" max="4362" width="15.140625" style="313" customWidth="1"/>
    <col min="4363" max="4363" width="2.28515625" style="313" customWidth="1"/>
    <col min="4364" max="4364" width="14.7109375" style="313" customWidth="1"/>
    <col min="4365" max="4365" width="4" style="313" customWidth="1"/>
    <col min="4366" max="4366" width="7.5703125" style="313" customWidth="1"/>
    <col min="4367" max="4367" width="6.140625" style="313" customWidth="1"/>
    <col min="4368" max="4368" width="3.5703125" style="313" customWidth="1"/>
    <col min="4369" max="4369" width="6" style="313" customWidth="1"/>
    <col min="4370" max="4370" width="0.5703125" style="313" customWidth="1"/>
    <col min="4371" max="4371" width="12.42578125" style="313" customWidth="1"/>
    <col min="4372" max="4372" width="6.7109375" style="313" customWidth="1"/>
    <col min="4373" max="4608" width="9.140625" style="313"/>
    <col min="4609" max="4609" width="2.7109375" style="313" customWidth="1"/>
    <col min="4610" max="4610" width="1.7109375" style="313" customWidth="1"/>
    <col min="4611" max="4611" width="1.5703125" style="313" customWidth="1"/>
    <col min="4612" max="4612" width="19.42578125" style="313" customWidth="1"/>
    <col min="4613" max="4613" width="3" style="313" customWidth="1"/>
    <col min="4614" max="4614" width="3.28515625" style="313" customWidth="1"/>
    <col min="4615" max="4615" width="12.85546875" style="313" customWidth="1"/>
    <col min="4616" max="4616" width="3" style="313" customWidth="1"/>
    <col min="4617" max="4617" width="6.42578125" style="313" customWidth="1"/>
    <col min="4618" max="4618" width="15.140625" style="313" customWidth="1"/>
    <col min="4619" max="4619" width="2.28515625" style="313" customWidth="1"/>
    <col min="4620" max="4620" width="14.7109375" style="313" customWidth="1"/>
    <col min="4621" max="4621" width="4" style="313" customWidth="1"/>
    <col min="4622" max="4622" width="7.5703125" style="313" customWidth="1"/>
    <col min="4623" max="4623" width="6.140625" style="313" customWidth="1"/>
    <col min="4624" max="4624" width="3.5703125" style="313" customWidth="1"/>
    <col min="4625" max="4625" width="6" style="313" customWidth="1"/>
    <col min="4626" max="4626" width="0.5703125" style="313" customWidth="1"/>
    <col min="4627" max="4627" width="12.42578125" style="313" customWidth="1"/>
    <col min="4628" max="4628" width="6.7109375" style="313" customWidth="1"/>
    <col min="4629" max="4864" width="9.140625" style="313"/>
    <col min="4865" max="4865" width="2.7109375" style="313" customWidth="1"/>
    <col min="4866" max="4866" width="1.7109375" style="313" customWidth="1"/>
    <col min="4867" max="4867" width="1.5703125" style="313" customWidth="1"/>
    <col min="4868" max="4868" width="19.42578125" style="313" customWidth="1"/>
    <col min="4869" max="4869" width="3" style="313" customWidth="1"/>
    <col min="4870" max="4870" width="3.28515625" style="313" customWidth="1"/>
    <col min="4871" max="4871" width="12.85546875" style="313" customWidth="1"/>
    <col min="4872" max="4872" width="3" style="313" customWidth="1"/>
    <col min="4873" max="4873" width="6.42578125" style="313" customWidth="1"/>
    <col min="4874" max="4874" width="15.140625" style="313" customWidth="1"/>
    <col min="4875" max="4875" width="2.28515625" style="313" customWidth="1"/>
    <col min="4876" max="4876" width="14.7109375" style="313" customWidth="1"/>
    <col min="4877" max="4877" width="4" style="313" customWidth="1"/>
    <col min="4878" max="4878" width="7.5703125" style="313" customWidth="1"/>
    <col min="4879" max="4879" width="6.140625" style="313" customWidth="1"/>
    <col min="4880" max="4880" width="3.5703125" style="313" customWidth="1"/>
    <col min="4881" max="4881" width="6" style="313" customWidth="1"/>
    <col min="4882" max="4882" width="0.5703125" style="313" customWidth="1"/>
    <col min="4883" max="4883" width="12.42578125" style="313" customWidth="1"/>
    <col min="4884" max="4884" width="6.7109375" style="313" customWidth="1"/>
    <col min="4885" max="5120" width="9.140625" style="313"/>
    <col min="5121" max="5121" width="2.7109375" style="313" customWidth="1"/>
    <col min="5122" max="5122" width="1.7109375" style="313" customWidth="1"/>
    <col min="5123" max="5123" width="1.5703125" style="313" customWidth="1"/>
    <col min="5124" max="5124" width="19.42578125" style="313" customWidth="1"/>
    <col min="5125" max="5125" width="3" style="313" customWidth="1"/>
    <col min="5126" max="5126" width="3.28515625" style="313" customWidth="1"/>
    <col min="5127" max="5127" width="12.85546875" style="313" customWidth="1"/>
    <col min="5128" max="5128" width="3" style="313" customWidth="1"/>
    <col min="5129" max="5129" width="6.42578125" style="313" customWidth="1"/>
    <col min="5130" max="5130" width="15.140625" style="313" customWidth="1"/>
    <col min="5131" max="5131" width="2.28515625" style="313" customWidth="1"/>
    <col min="5132" max="5132" width="14.7109375" style="313" customWidth="1"/>
    <col min="5133" max="5133" width="4" style="313" customWidth="1"/>
    <col min="5134" max="5134" width="7.5703125" style="313" customWidth="1"/>
    <col min="5135" max="5135" width="6.140625" style="313" customWidth="1"/>
    <col min="5136" max="5136" width="3.5703125" style="313" customWidth="1"/>
    <col min="5137" max="5137" width="6" style="313" customWidth="1"/>
    <col min="5138" max="5138" width="0.5703125" style="313" customWidth="1"/>
    <col min="5139" max="5139" width="12.42578125" style="313" customWidth="1"/>
    <col min="5140" max="5140" width="6.7109375" style="313" customWidth="1"/>
    <col min="5141" max="5376" width="9.140625" style="313"/>
    <col min="5377" max="5377" width="2.7109375" style="313" customWidth="1"/>
    <col min="5378" max="5378" width="1.7109375" style="313" customWidth="1"/>
    <col min="5379" max="5379" width="1.5703125" style="313" customWidth="1"/>
    <col min="5380" max="5380" width="19.42578125" style="313" customWidth="1"/>
    <col min="5381" max="5381" width="3" style="313" customWidth="1"/>
    <col min="5382" max="5382" width="3.28515625" style="313" customWidth="1"/>
    <col min="5383" max="5383" width="12.85546875" style="313" customWidth="1"/>
    <col min="5384" max="5384" width="3" style="313" customWidth="1"/>
    <col min="5385" max="5385" width="6.42578125" style="313" customWidth="1"/>
    <col min="5386" max="5386" width="15.140625" style="313" customWidth="1"/>
    <col min="5387" max="5387" width="2.28515625" style="313" customWidth="1"/>
    <col min="5388" max="5388" width="14.7109375" style="313" customWidth="1"/>
    <col min="5389" max="5389" width="4" style="313" customWidth="1"/>
    <col min="5390" max="5390" width="7.5703125" style="313" customWidth="1"/>
    <col min="5391" max="5391" width="6.140625" style="313" customWidth="1"/>
    <col min="5392" max="5392" width="3.5703125" style="313" customWidth="1"/>
    <col min="5393" max="5393" width="6" style="313" customWidth="1"/>
    <col min="5394" max="5394" width="0.5703125" style="313" customWidth="1"/>
    <col min="5395" max="5395" width="12.42578125" style="313" customWidth="1"/>
    <col min="5396" max="5396" width="6.7109375" style="313" customWidth="1"/>
    <col min="5397" max="5632" width="9.140625" style="313"/>
    <col min="5633" max="5633" width="2.7109375" style="313" customWidth="1"/>
    <col min="5634" max="5634" width="1.7109375" style="313" customWidth="1"/>
    <col min="5635" max="5635" width="1.5703125" style="313" customWidth="1"/>
    <col min="5636" max="5636" width="19.42578125" style="313" customWidth="1"/>
    <col min="5637" max="5637" width="3" style="313" customWidth="1"/>
    <col min="5638" max="5638" width="3.28515625" style="313" customWidth="1"/>
    <col min="5639" max="5639" width="12.85546875" style="313" customWidth="1"/>
    <col min="5640" max="5640" width="3" style="313" customWidth="1"/>
    <col min="5641" max="5641" width="6.42578125" style="313" customWidth="1"/>
    <col min="5642" max="5642" width="15.140625" style="313" customWidth="1"/>
    <col min="5643" max="5643" width="2.28515625" style="313" customWidth="1"/>
    <col min="5644" max="5644" width="14.7109375" style="313" customWidth="1"/>
    <col min="5645" max="5645" width="4" style="313" customWidth="1"/>
    <col min="5646" max="5646" width="7.5703125" style="313" customWidth="1"/>
    <col min="5647" max="5647" width="6.140625" style="313" customWidth="1"/>
    <col min="5648" max="5648" width="3.5703125" style="313" customWidth="1"/>
    <col min="5649" max="5649" width="6" style="313" customWidth="1"/>
    <col min="5650" max="5650" width="0.5703125" style="313" customWidth="1"/>
    <col min="5651" max="5651" width="12.42578125" style="313" customWidth="1"/>
    <col min="5652" max="5652" width="6.7109375" style="313" customWidth="1"/>
    <col min="5653" max="5888" width="9.140625" style="313"/>
    <col min="5889" max="5889" width="2.7109375" style="313" customWidth="1"/>
    <col min="5890" max="5890" width="1.7109375" style="313" customWidth="1"/>
    <col min="5891" max="5891" width="1.5703125" style="313" customWidth="1"/>
    <col min="5892" max="5892" width="19.42578125" style="313" customWidth="1"/>
    <col min="5893" max="5893" width="3" style="313" customWidth="1"/>
    <col min="5894" max="5894" width="3.28515625" style="313" customWidth="1"/>
    <col min="5895" max="5895" width="12.85546875" style="313" customWidth="1"/>
    <col min="5896" max="5896" width="3" style="313" customWidth="1"/>
    <col min="5897" max="5897" width="6.42578125" style="313" customWidth="1"/>
    <col min="5898" max="5898" width="15.140625" style="313" customWidth="1"/>
    <col min="5899" max="5899" width="2.28515625" style="313" customWidth="1"/>
    <col min="5900" max="5900" width="14.7109375" style="313" customWidth="1"/>
    <col min="5901" max="5901" width="4" style="313" customWidth="1"/>
    <col min="5902" max="5902" width="7.5703125" style="313" customWidth="1"/>
    <col min="5903" max="5903" width="6.140625" style="313" customWidth="1"/>
    <col min="5904" max="5904" width="3.5703125" style="313" customWidth="1"/>
    <col min="5905" max="5905" width="6" style="313" customWidth="1"/>
    <col min="5906" max="5906" width="0.5703125" style="313" customWidth="1"/>
    <col min="5907" max="5907" width="12.42578125" style="313" customWidth="1"/>
    <col min="5908" max="5908" width="6.7109375" style="313" customWidth="1"/>
    <col min="5909" max="6144" width="9.140625" style="313"/>
    <col min="6145" max="6145" width="2.7109375" style="313" customWidth="1"/>
    <col min="6146" max="6146" width="1.7109375" style="313" customWidth="1"/>
    <col min="6147" max="6147" width="1.5703125" style="313" customWidth="1"/>
    <col min="6148" max="6148" width="19.42578125" style="313" customWidth="1"/>
    <col min="6149" max="6149" width="3" style="313" customWidth="1"/>
    <col min="6150" max="6150" width="3.28515625" style="313" customWidth="1"/>
    <col min="6151" max="6151" width="12.85546875" style="313" customWidth="1"/>
    <col min="6152" max="6152" width="3" style="313" customWidth="1"/>
    <col min="6153" max="6153" width="6.42578125" style="313" customWidth="1"/>
    <col min="6154" max="6154" width="15.140625" style="313" customWidth="1"/>
    <col min="6155" max="6155" width="2.28515625" style="313" customWidth="1"/>
    <col min="6156" max="6156" width="14.7109375" style="313" customWidth="1"/>
    <col min="6157" max="6157" width="4" style="313" customWidth="1"/>
    <col min="6158" max="6158" width="7.5703125" style="313" customWidth="1"/>
    <col min="6159" max="6159" width="6.140625" style="313" customWidth="1"/>
    <col min="6160" max="6160" width="3.5703125" style="313" customWidth="1"/>
    <col min="6161" max="6161" width="6" style="313" customWidth="1"/>
    <col min="6162" max="6162" width="0.5703125" style="313" customWidth="1"/>
    <col min="6163" max="6163" width="12.42578125" style="313" customWidth="1"/>
    <col min="6164" max="6164" width="6.7109375" style="313" customWidth="1"/>
    <col min="6165" max="6400" width="9.140625" style="313"/>
    <col min="6401" max="6401" width="2.7109375" style="313" customWidth="1"/>
    <col min="6402" max="6402" width="1.7109375" style="313" customWidth="1"/>
    <col min="6403" max="6403" width="1.5703125" style="313" customWidth="1"/>
    <col min="6404" max="6404" width="19.42578125" style="313" customWidth="1"/>
    <col min="6405" max="6405" width="3" style="313" customWidth="1"/>
    <col min="6406" max="6406" width="3.28515625" style="313" customWidth="1"/>
    <col min="6407" max="6407" width="12.85546875" style="313" customWidth="1"/>
    <col min="6408" max="6408" width="3" style="313" customWidth="1"/>
    <col min="6409" max="6409" width="6.42578125" style="313" customWidth="1"/>
    <col min="6410" max="6410" width="15.140625" style="313" customWidth="1"/>
    <col min="6411" max="6411" width="2.28515625" style="313" customWidth="1"/>
    <col min="6412" max="6412" width="14.7109375" style="313" customWidth="1"/>
    <col min="6413" max="6413" width="4" style="313" customWidth="1"/>
    <col min="6414" max="6414" width="7.5703125" style="313" customWidth="1"/>
    <col min="6415" max="6415" width="6.140625" style="313" customWidth="1"/>
    <col min="6416" max="6416" width="3.5703125" style="313" customWidth="1"/>
    <col min="6417" max="6417" width="6" style="313" customWidth="1"/>
    <col min="6418" max="6418" width="0.5703125" style="313" customWidth="1"/>
    <col min="6419" max="6419" width="12.42578125" style="313" customWidth="1"/>
    <col min="6420" max="6420" width="6.7109375" style="313" customWidth="1"/>
    <col min="6421" max="6656" width="9.140625" style="313"/>
    <col min="6657" max="6657" width="2.7109375" style="313" customWidth="1"/>
    <col min="6658" max="6658" width="1.7109375" style="313" customWidth="1"/>
    <col min="6659" max="6659" width="1.5703125" style="313" customWidth="1"/>
    <col min="6660" max="6660" width="19.42578125" style="313" customWidth="1"/>
    <col min="6661" max="6661" width="3" style="313" customWidth="1"/>
    <col min="6662" max="6662" width="3.28515625" style="313" customWidth="1"/>
    <col min="6663" max="6663" width="12.85546875" style="313" customWidth="1"/>
    <col min="6664" max="6664" width="3" style="313" customWidth="1"/>
    <col min="6665" max="6665" width="6.42578125" style="313" customWidth="1"/>
    <col min="6666" max="6666" width="15.140625" style="313" customWidth="1"/>
    <col min="6667" max="6667" width="2.28515625" style="313" customWidth="1"/>
    <col min="6668" max="6668" width="14.7109375" style="313" customWidth="1"/>
    <col min="6669" max="6669" width="4" style="313" customWidth="1"/>
    <col min="6670" max="6670" width="7.5703125" style="313" customWidth="1"/>
    <col min="6671" max="6671" width="6.140625" style="313" customWidth="1"/>
    <col min="6672" max="6672" width="3.5703125" style="313" customWidth="1"/>
    <col min="6673" max="6673" width="6" style="313" customWidth="1"/>
    <col min="6674" max="6674" width="0.5703125" style="313" customWidth="1"/>
    <col min="6675" max="6675" width="12.42578125" style="313" customWidth="1"/>
    <col min="6676" max="6676" width="6.7109375" style="313" customWidth="1"/>
    <col min="6677" max="6912" width="9.140625" style="313"/>
    <col min="6913" max="6913" width="2.7109375" style="313" customWidth="1"/>
    <col min="6914" max="6914" width="1.7109375" style="313" customWidth="1"/>
    <col min="6915" max="6915" width="1.5703125" style="313" customWidth="1"/>
    <col min="6916" max="6916" width="19.42578125" style="313" customWidth="1"/>
    <col min="6917" max="6917" width="3" style="313" customWidth="1"/>
    <col min="6918" max="6918" width="3.28515625" style="313" customWidth="1"/>
    <col min="6919" max="6919" width="12.85546875" style="313" customWidth="1"/>
    <col min="6920" max="6920" width="3" style="313" customWidth="1"/>
    <col min="6921" max="6921" width="6.42578125" style="313" customWidth="1"/>
    <col min="6922" max="6922" width="15.140625" style="313" customWidth="1"/>
    <col min="6923" max="6923" width="2.28515625" style="313" customWidth="1"/>
    <col min="6924" max="6924" width="14.7109375" style="313" customWidth="1"/>
    <col min="6925" max="6925" width="4" style="313" customWidth="1"/>
    <col min="6926" max="6926" width="7.5703125" style="313" customWidth="1"/>
    <col min="6927" max="6927" width="6.140625" style="313" customWidth="1"/>
    <col min="6928" max="6928" width="3.5703125" style="313" customWidth="1"/>
    <col min="6929" max="6929" width="6" style="313" customWidth="1"/>
    <col min="6930" max="6930" width="0.5703125" style="313" customWidth="1"/>
    <col min="6931" max="6931" width="12.42578125" style="313" customWidth="1"/>
    <col min="6932" max="6932" width="6.7109375" style="313" customWidth="1"/>
    <col min="6933" max="7168" width="9.140625" style="313"/>
    <col min="7169" max="7169" width="2.7109375" style="313" customWidth="1"/>
    <col min="7170" max="7170" width="1.7109375" style="313" customWidth="1"/>
    <col min="7171" max="7171" width="1.5703125" style="313" customWidth="1"/>
    <col min="7172" max="7172" width="19.42578125" style="313" customWidth="1"/>
    <col min="7173" max="7173" width="3" style="313" customWidth="1"/>
    <col min="7174" max="7174" width="3.28515625" style="313" customWidth="1"/>
    <col min="7175" max="7175" width="12.85546875" style="313" customWidth="1"/>
    <col min="7176" max="7176" width="3" style="313" customWidth="1"/>
    <col min="7177" max="7177" width="6.42578125" style="313" customWidth="1"/>
    <col min="7178" max="7178" width="15.140625" style="313" customWidth="1"/>
    <col min="7179" max="7179" width="2.28515625" style="313" customWidth="1"/>
    <col min="7180" max="7180" width="14.7109375" style="313" customWidth="1"/>
    <col min="7181" max="7181" width="4" style="313" customWidth="1"/>
    <col min="7182" max="7182" width="7.5703125" style="313" customWidth="1"/>
    <col min="7183" max="7183" width="6.140625" style="313" customWidth="1"/>
    <col min="7184" max="7184" width="3.5703125" style="313" customWidth="1"/>
    <col min="7185" max="7185" width="6" style="313" customWidth="1"/>
    <col min="7186" max="7186" width="0.5703125" style="313" customWidth="1"/>
    <col min="7187" max="7187" width="12.42578125" style="313" customWidth="1"/>
    <col min="7188" max="7188" width="6.7109375" style="313" customWidth="1"/>
    <col min="7189" max="7424" width="9.140625" style="313"/>
    <col min="7425" max="7425" width="2.7109375" style="313" customWidth="1"/>
    <col min="7426" max="7426" width="1.7109375" style="313" customWidth="1"/>
    <col min="7427" max="7427" width="1.5703125" style="313" customWidth="1"/>
    <col min="7428" max="7428" width="19.42578125" style="313" customWidth="1"/>
    <col min="7429" max="7429" width="3" style="313" customWidth="1"/>
    <col min="7430" max="7430" width="3.28515625" style="313" customWidth="1"/>
    <col min="7431" max="7431" width="12.85546875" style="313" customWidth="1"/>
    <col min="7432" max="7432" width="3" style="313" customWidth="1"/>
    <col min="7433" max="7433" width="6.42578125" style="313" customWidth="1"/>
    <col min="7434" max="7434" width="15.140625" style="313" customWidth="1"/>
    <col min="7435" max="7435" width="2.28515625" style="313" customWidth="1"/>
    <col min="7436" max="7436" width="14.7109375" style="313" customWidth="1"/>
    <col min="7437" max="7437" width="4" style="313" customWidth="1"/>
    <col min="7438" max="7438" width="7.5703125" style="313" customWidth="1"/>
    <col min="7439" max="7439" width="6.140625" style="313" customWidth="1"/>
    <col min="7440" max="7440" width="3.5703125" style="313" customWidth="1"/>
    <col min="7441" max="7441" width="6" style="313" customWidth="1"/>
    <col min="7442" max="7442" width="0.5703125" style="313" customWidth="1"/>
    <col min="7443" max="7443" width="12.42578125" style="313" customWidth="1"/>
    <col min="7444" max="7444" width="6.7109375" style="313" customWidth="1"/>
    <col min="7445" max="7680" width="9.140625" style="313"/>
    <col min="7681" max="7681" width="2.7109375" style="313" customWidth="1"/>
    <col min="7682" max="7682" width="1.7109375" style="313" customWidth="1"/>
    <col min="7683" max="7683" width="1.5703125" style="313" customWidth="1"/>
    <col min="7684" max="7684" width="19.42578125" style="313" customWidth="1"/>
    <col min="7685" max="7685" width="3" style="313" customWidth="1"/>
    <col min="7686" max="7686" width="3.28515625" style="313" customWidth="1"/>
    <col min="7687" max="7687" width="12.85546875" style="313" customWidth="1"/>
    <col min="7688" max="7688" width="3" style="313" customWidth="1"/>
    <col min="7689" max="7689" width="6.42578125" style="313" customWidth="1"/>
    <col min="7690" max="7690" width="15.140625" style="313" customWidth="1"/>
    <col min="7691" max="7691" width="2.28515625" style="313" customWidth="1"/>
    <col min="7692" max="7692" width="14.7109375" style="313" customWidth="1"/>
    <col min="7693" max="7693" width="4" style="313" customWidth="1"/>
    <col min="7694" max="7694" width="7.5703125" style="313" customWidth="1"/>
    <col min="7695" max="7695" width="6.140625" style="313" customWidth="1"/>
    <col min="7696" max="7696" width="3.5703125" style="313" customWidth="1"/>
    <col min="7697" max="7697" width="6" style="313" customWidth="1"/>
    <col min="7698" max="7698" width="0.5703125" style="313" customWidth="1"/>
    <col min="7699" max="7699" width="12.42578125" style="313" customWidth="1"/>
    <col min="7700" max="7700" width="6.7109375" style="313" customWidth="1"/>
    <col min="7701" max="7936" width="9.140625" style="313"/>
    <col min="7937" max="7937" width="2.7109375" style="313" customWidth="1"/>
    <col min="7938" max="7938" width="1.7109375" style="313" customWidth="1"/>
    <col min="7939" max="7939" width="1.5703125" style="313" customWidth="1"/>
    <col min="7940" max="7940" width="19.42578125" style="313" customWidth="1"/>
    <col min="7941" max="7941" width="3" style="313" customWidth="1"/>
    <col min="7942" max="7942" width="3.28515625" style="313" customWidth="1"/>
    <col min="7943" max="7943" width="12.85546875" style="313" customWidth="1"/>
    <col min="7944" max="7944" width="3" style="313" customWidth="1"/>
    <col min="7945" max="7945" width="6.42578125" style="313" customWidth="1"/>
    <col min="7946" max="7946" width="15.140625" style="313" customWidth="1"/>
    <col min="7947" max="7947" width="2.28515625" style="313" customWidth="1"/>
    <col min="7948" max="7948" width="14.7109375" style="313" customWidth="1"/>
    <col min="7949" max="7949" width="4" style="313" customWidth="1"/>
    <col min="7950" max="7950" width="7.5703125" style="313" customWidth="1"/>
    <col min="7951" max="7951" width="6.140625" style="313" customWidth="1"/>
    <col min="7952" max="7952" width="3.5703125" style="313" customWidth="1"/>
    <col min="7953" max="7953" width="6" style="313" customWidth="1"/>
    <col min="7954" max="7954" width="0.5703125" style="313" customWidth="1"/>
    <col min="7955" max="7955" width="12.42578125" style="313" customWidth="1"/>
    <col min="7956" max="7956" width="6.7109375" style="313" customWidth="1"/>
    <col min="7957" max="8192" width="9.140625" style="313"/>
    <col min="8193" max="8193" width="2.7109375" style="313" customWidth="1"/>
    <col min="8194" max="8194" width="1.7109375" style="313" customWidth="1"/>
    <col min="8195" max="8195" width="1.5703125" style="313" customWidth="1"/>
    <col min="8196" max="8196" width="19.42578125" style="313" customWidth="1"/>
    <col min="8197" max="8197" width="3" style="313" customWidth="1"/>
    <col min="8198" max="8198" width="3.28515625" style="313" customWidth="1"/>
    <col min="8199" max="8199" width="12.85546875" style="313" customWidth="1"/>
    <col min="8200" max="8200" width="3" style="313" customWidth="1"/>
    <col min="8201" max="8201" width="6.42578125" style="313" customWidth="1"/>
    <col min="8202" max="8202" width="15.140625" style="313" customWidth="1"/>
    <col min="8203" max="8203" width="2.28515625" style="313" customWidth="1"/>
    <col min="8204" max="8204" width="14.7109375" style="313" customWidth="1"/>
    <col min="8205" max="8205" width="4" style="313" customWidth="1"/>
    <col min="8206" max="8206" width="7.5703125" style="313" customWidth="1"/>
    <col min="8207" max="8207" width="6.140625" style="313" customWidth="1"/>
    <col min="8208" max="8208" width="3.5703125" style="313" customWidth="1"/>
    <col min="8209" max="8209" width="6" style="313" customWidth="1"/>
    <col min="8210" max="8210" width="0.5703125" style="313" customWidth="1"/>
    <col min="8211" max="8211" width="12.42578125" style="313" customWidth="1"/>
    <col min="8212" max="8212" width="6.7109375" style="313" customWidth="1"/>
    <col min="8213" max="8448" width="9.140625" style="313"/>
    <col min="8449" max="8449" width="2.7109375" style="313" customWidth="1"/>
    <col min="8450" max="8450" width="1.7109375" style="313" customWidth="1"/>
    <col min="8451" max="8451" width="1.5703125" style="313" customWidth="1"/>
    <col min="8452" max="8452" width="19.42578125" style="313" customWidth="1"/>
    <col min="8453" max="8453" width="3" style="313" customWidth="1"/>
    <col min="8454" max="8454" width="3.28515625" style="313" customWidth="1"/>
    <col min="8455" max="8455" width="12.85546875" style="313" customWidth="1"/>
    <col min="8456" max="8456" width="3" style="313" customWidth="1"/>
    <col min="8457" max="8457" width="6.42578125" style="313" customWidth="1"/>
    <col min="8458" max="8458" width="15.140625" style="313" customWidth="1"/>
    <col min="8459" max="8459" width="2.28515625" style="313" customWidth="1"/>
    <col min="8460" max="8460" width="14.7109375" style="313" customWidth="1"/>
    <col min="8461" max="8461" width="4" style="313" customWidth="1"/>
    <col min="8462" max="8462" width="7.5703125" style="313" customWidth="1"/>
    <col min="8463" max="8463" width="6.140625" style="313" customWidth="1"/>
    <col min="8464" max="8464" width="3.5703125" style="313" customWidth="1"/>
    <col min="8465" max="8465" width="6" style="313" customWidth="1"/>
    <col min="8466" max="8466" width="0.5703125" style="313" customWidth="1"/>
    <col min="8467" max="8467" width="12.42578125" style="313" customWidth="1"/>
    <col min="8468" max="8468" width="6.7109375" style="313" customWidth="1"/>
    <col min="8469" max="8704" width="9.140625" style="313"/>
    <col min="8705" max="8705" width="2.7109375" style="313" customWidth="1"/>
    <col min="8706" max="8706" width="1.7109375" style="313" customWidth="1"/>
    <col min="8707" max="8707" width="1.5703125" style="313" customWidth="1"/>
    <col min="8708" max="8708" width="19.42578125" style="313" customWidth="1"/>
    <col min="8709" max="8709" width="3" style="313" customWidth="1"/>
    <col min="8710" max="8710" width="3.28515625" style="313" customWidth="1"/>
    <col min="8711" max="8711" width="12.85546875" style="313" customWidth="1"/>
    <col min="8712" max="8712" width="3" style="313" customWidth="1"/>
    <col min="8713" max="8713" width="6.42578125" style="313" customWidth="1"/>
    <col min="8714" max="8714" width="15.140625" style="313" customWidth="1"/>
    <col min="8715" max="8715" width="2.28515625" style="313" customWidth="1"/>
    <col min="8716" max="8716" width="14.7109375" style="313" customWidth="1"/>
    <col min="8717" max="8717" width="4" style="313" customWidth="1"/>
    <col min="8718" max="8718" width="7.5703125" style="313" customWidth="1"/>
    <col min="8719" max="8719" width="6.140625" style="313" customWidth="1"/>
    <col min="8720" max="8720" width="3.5703125" style="313" customWidth="1"/>
    <col min="8721" max="8721" width="6" style="313" customWidth="1"/>
    <col min="8722" max="8722" width="0.5703125" style="313" customWidth="1"/>
    <col min="8723" max="8723" width="12.42578125" style="313" customWidth="1"/>
    <col min="8724" max="8724" width="6.7109375" style="313" customWidth="1"/>
    <col min="8725" max="8960" width="9.140625" style="313"/>
    <col min="8961" max="8961" width="2.7109375" style="313" customWidth="1"/>
    <col min="8962" max="8962" width="1.7109375" style="313" customWidth="1"/>
    <col min="8963" max="8963" width="1.5703125" style="313" customWidth="1"/>
    <col min="8964" max="8964" width="19.42578125" style="313" customWidth="1"/>
    <col min="8965" max="8965" width="3" style="313" customWidth="1"/>
    <col min="8966" max="8966" width="3.28515625" style="313" customWidth="1"/>
    <col min="8967" max="8967" width="12.85546875" style="313" customWidth="1"/>
    <col min="8968" max="8968" width="3" style="313" customWidth="1"/>
    <col min="8969" max="8969" width="6.42578125" style="313" customWidth="1"/>
    <col min="8970" max="8970" width="15.140625" style="313" customWidth="1"/>
    <col min="8971" max="8971" width="2.28515625" style="313" customWidth="1"/>
    <col min="8972" max="8972" width="14.7109375" style="313" customWidth="1"/>
    <col min="8973" max="8973" width="4" style="313" customWidth="1"/>
    <col min="8974" max="8974" width="7.5703125" style="313" customWidth="1"/>
    <col min="8975" max="8975" width="6.140625" style="313" customWidth="1"/>
    <col min="8976" max="8976" width="3.5703125" style="313" customWidth="1"/>
    <col min="8977" max="8977" width="6" style="313" customWidth="1"/>
    <col min="8978" max="8978" width="0.5703125" style="313" customWidth="1"/>
    <col min="8979" max="8979" width="12.42578125" style="313" customWidth="1"/>
    <col min="8980" max="8980" width="6.7109375" style="313" customWidth="1"/>
    <col min="8981" max="9216" width="9.140625" style="313"/>
    <col min="9217" max="9217" width="2.7109375" style="313" customWidth="1"/>
    <col min="9218" max="9218" width="1.7109375" style="313" customWidth="1"/>
    <col min="9219" max="9219" width="1.5703125" style="313" customWidth="1"/>
    <col min="9220" max="9220" width="19.42578125" style="313" customWidth="1"/>
    <col min="9221" max="9221" width="3" style="313" customWidth="1"/>
    <col min="9222" max="9222" width="3.28515625" style="313" customWidth="1"/>
    <col min="9223" max="9223" width="12.85546875" style="313" customWidth="1"/>
    <col min="9224" max="9224" width="3" style="313" customWidth="1"/>
    <col min="9225" max="9225" width="6.42578125" style="313" customWidth="1"/>
    <col min="9226" max="9226" width="15.140625" style="313" customWidth="1"/>
    <col min="9227" max="9227" width="2.28515625" style="313" customWidth="1"/>
    <col min="9228" max="9228" width="14.7109375" style="313" customWidth="1"/>
    <col min="9229" max="9229" width="4" style="313" customWidth="1"/>
    <col min="9230" max="9230" width="7.5703125" style="313" customWidth="1"/>
    <col min="9231" max="9231" width="6.140625" style="313" customWidth="1"/>
    <col min="9232" max="9232" width="3.5703125" style="313" customWidth="1"/>
    <col min="9233" max="9233" width="6" style="313" customWidth="1"/>
    <col min="9234" max="9234" width="0.5703125" style="313" customWidth="1"/>
    <col min="9235" max="9235" width="12.42578125" style="313" customWidth="1"/>
    <col min="9236" max="9236" width="6.7109375" style="313" customWidth="1"/>
    <col min="9237" max="9472" width="9.140625" style="313"/>
    <col min="9473" max="9473" width="2.7109375" style="313" customWidth="1"/>
    <col min="9474" max="9474" width="1.7109375" style="313" customWidth="1"/>
    <col min="9475" max="9475" width="1.5703125" style="313" customWidth="1"/>
    <col min="9476" max="9476" width="19.42578125" style="313" customWidth="1"/>
    <col min="9477" max="9477" width="3" style="313" customWidth="1"/>
    <col min="9478" max="9478" width="3.28515625" style="313" customWidth="1"/>
    <col min="9479" max="9479" width="12.85546875" style="313" customWidth="1"/>
    <col min="9480" max="9480" width="3" style="313" customWidth="1"/>
    <col min="9481" max="9481" width="6.42578125" style="313" customWidth="1"/>
    <col min="9482" max="9482" width="15.140625" style="313" customWidth="1"/>
    <col min="9483" max="9483" width="2.28515625" style="313" customWidth="1"/>
    <col min="9484" max="9484" width="14.7109375" style="313" customWidth="1"/>
    <col min="9485" max="9485" width="4" style="313" customWidth="1"/>
    <col min="9486" max="9486" width="7.5703125" style="313" customWidth="1"/>
    <col min="9487" max="9487" width="6.140625" style="313" customWidth="1"/>
    <col min="9488" max="9488" width="3.5703125" style="313" customWidth="1"/>
    <col min="9489" max="9489" width="6" style="313" customWidth="1"/>
    <col min="9490" max="9490" width="0.5703125" style="313" customWidth="1"/>
    <col min="9491" max="9491" width="12.42578125" style="313" customWidth="1"/>
    <col min="9492" max="9492" width="6.7109375" style="313" customWidth="1"/>
    <col min="9493" max="9728" width="9.140625" style="313"/>
    <col min="9729" max="9729" width="2.7109375" style="313" customWidth="1"/>
    <col min="9730" max="9730" width="1.7109375" style="313" customWidth="1"/>
    <col min="9731" max="9731" width="1.5703125" style="313" customWidth="1"/>
    <col min="9732" max="9732" width="19.42578125" style="313" customWidth="1"/>
    <col min="9733" max="9733" width="3" style="313" customWidth="1"/>
    <col min="9734" max="9734" width="3.28515625" style="313" customWidth="1"/>
    <col min="9735" max="9735" width="12.85546875" style="313" customWidth="1"/>
    <col min="9736" max="9736" width="3" style="313" customWidth="1"/>
    <col min="9737" max="9737" width="6.42578125" style="313" customWidth="1"/>
    <col min="9738" max="9738" width="15.140625" style="313" customWidth="1"/>
    <col min="9739" max="9739" width="2.28515625" style="313" customWidth="1"/>
    <col min="9740" max="9740" width="14.7109375" style="313" customWidth="1"/>
    <col min="9741" max="9741" width="4" style="313" customWidth="1"/>
    <col min="9742" max="9742" width="7.5703125" style="313" customWidth="1"/>
    <col min="9743" max="9743" width="6.140625" style="313" customWidth="1"/>
    <col min="9744" max="9744" width="3.5703125" style="313" customWidth="1"/>
    <col min="9745" max="9745" width="6" style="313" customWidth="1"/>
    <col min="9746" max="9746" width="0.5703125" style="313" customWidth="1"/>
    <col min="9747" max="9747" width="12.42578125" style="313" customWidth="1"/>
    <col min="9748" max="9748" width="6.7109375" style="313" customWidth="1"/>
    <col min="9749" max="9984" width="9.140625" style="313"/>
    <col min="9985" max="9985" width="2.7109375" style="313" customWidth="1"/>
    <col min="9986" max="9986" width="1.7109375" style="313" customWidth="1"/>
    <col min="9987" max="9987" width="1.5703125" style="313" customWidth="1"/>
    <col min="9988" max="9988" width="19.42578125" style="313" customWidth="1"/>
    <col min="9989" max="9989" width="3" style="313" customWidth="1"/>
    <col min="9990" max="9990" width="3.28515625" style="313" customWidth="1"/>
    <col min="9991" max="9991" width="12.85546875" style="313" customWidth="1"/>
    <col min="9992" max="9992" width="3" style="313" customWidth="1"/>
    <col min="9993" max="9993" width="6.42578125" style="313" customWidth="1"/>
    <col min="9994" max="9994" width="15.140625" style="313" customWidth="1"/>
    <col min="9995" max="9995" width="2.28515625" style="313" customWidth="1"/>
    <col min="9996" max="9996" width="14.7109375" style="313" customWidth="1"/>
    <col min="9997" max="9997" width="4" style="313" customWidth="1"/>
    <col min="9998" max="9998" width="7.5703125" style="313" customWidth="1"/>
    <col min="9999" max="9999" width="6.140625" style="313" customWidth="1"/>
    <col min="10000" max="10000" width="3.5703125" style="313" customWidth="1"/>
    <col min="10001" max="10001" width="6" style="313" customWidth="1"/>
    <col min="10002" max="10002" width="0.5703125" style="313" customWidth="1"/>
    <col min="10003" max="10003" width="12.42578125" style="313" customWidth="1"/>
    <col min="10004" max="10004" width="6.7109375" style="313" customWidth="1"/>
    <col min="10005" max="10240" width="9.140625" style="313"/>
    <col min="10241" max="10241" width="2.7109375" style="313" customWidth="1"/>
    <col min="10242" max="10242" width="1.7109375" style="313" customWidth="1"/>
    <col min="10243" max="10243" width="1.5703125" style="313" customWidth="1"/>
    <col min="10244" max="10244" width="19.42578125" style="313" customWidth="1"/>
    <col min="10245" max="10245" width="3" style="313" customWidth="1"/>
    <col min="10246" max="10246" width="3.28515625" style="313" customWidth="1"/>
    <col min="10247" max="10247" width="12.85546875" style="313" customWidth="1"/>
    <col min="10248" max="10248" width="3" style="313" customWidth="1"/>
    <col min="10249" max="10249" width="6.42578125" style="313" customWidth="1"/>
    <col min="10250" max="10250" width="15.140625" style="313" customWidth="1"/>
    <col min="10251" max="10251" width="2.28515625" style="313" customWidth="1"/>
    <col min="10252" max="10252" width="14.7109375" style="313" customWidth="1"/>
    <col min="10253" max="10253" width="4" style="313" customWidth="1"/>
    <col min="10254" max="10254" width="7.5703125" style="313" customWidth="1"/>
    <col min="10255" max="10255" width="6.140625" style="313" customWidth="1"/>
    <col min="10256" max="10256" width="3.5703125" style="313" customWidth="1"/>
    <col min="10257" max="10257" width="6" style="313" customWidth="1"/>
    <col min="10258" max="10258" width="0.5703125" style="313" customWidth="1"/>
    <col min="10259" max="10259" width="12.42578125" style="313" customWidth="1"/>
    <col min="10260" max="10260" width="6.7109375" style="313" customWidth="1"/>
    <col min="10261" max="10496" width="9.140625" style="313"/>
    <col min="10497" max="10497" width="2.7109375" style="313" customWidth="1"/>
    <col min="10498" max="10498" width="1.7109375" style="313" customWidth="1"/>
    <col min="10499" max="10499" width="1.5703125" style="313" customWidth="1"/>
    <col min="10500" max="10500" width="19.42578125" style="313" customWidth="1"/>
    <col min="10501" max="10501" width="3" style="313" customWidth="1"/>
    <col min="10502" max="10502" width="3.28515625" style="313" customWidth="1"/>
    <col min="10503" max="10503" width="12.85546875" style="313" customWidth="1"/>
    <col min="10504" max="10504" width="3" style="313" customWidth="1"/>
    <col min="10505" max="10505" width="6.42578125" style="313" customWidth="1"/>
    <col min="10506" max="10506" width="15.140625" style="313" customWidth="1"/>
    <col min="10507" max="10507" width="2.28515625" style="313" customWidth="1"/>
    <col min="10508" max="10508" width="14.7109375" style="313" customWidth="1"/>
    <col min="10509" max="10509" width="4" style="313" customWidth="1"/>
    <col min="10510" max="10510" width="7.5703125" style="313" customWidth="1"/>
    <col min="10511" max="10511" width="6.140625" style="313" customWidth="1"/>
    <col min="10512" max="10512" width="3.5703125" style="313" customWidth="1"/>
    <col min="10513" max="10513" width="6" style="313" customWidth="1"/>
    <col min="10514" max="10514" width="0.5703125" style="313" customWidth="1"/>
    <col min="10515" max="10515" width="12.42578125" style="313" customWidth="1"/>
    <col min="10516" max="10516" width="6.7109375" style="313" customWidth="1"/>
    <col min="10517" max="10752" width="9.140625" style="313"/>
    <col min="10753" max="10753" width="2.7109375" style="313" customWidth="1"/>
    <col min="10754" max="10754" width="1.7109375" style="313" customWidth="1"/>
    <col min="10755" max="10755" width="1.5703125" style="313" customWidth="1"/>
    <col min="10756" max="10756" width="19.42578125" style="313" customWidth="1"/>
    <col min="10757" max="10757" width="3" style="313" customWidth="1"/>
    <col min="10758" max="10758" width="3.28515625" style="313" customWidth="1"/>
    <col min="10759" max="10759" width="12.85546875" style="313" customWidth="1"/>
    <col min="10760" max="10760" width="3" style="313" customWidth="1"/>
    <col min="10761" max="10761" width="6.42578125" style="313" customWidth="1"/>
    <col min="10762" max="10762" width="15.140625" style="313" customWidth="1"/>
    <col min="10763" max="10763" width="2.28515625" style="313" customWidth="1"/>
    <col min="10764" max="10764" width="14.7109375" style="313" customWidth="1"/>
    <col min="10765" max="10765" width="4" style="313" customWidth="1"/>
    <col min="10766" max="10766" width="7.5703125" style="313" customWidth="1"/>
    <col min="10767" max="10767" width="6.140625" style="313" customWidth="1"/>
    <col min="10768" max="10768" width="3.5703125" style="313" customWidth="1"/>
    <col min="10769" max="10769" width="6" style="313" customWidth="1"/>
    <col min="10770" max="10770" width="0.5703125" style="313" customWidth="1"/>
    <col min="10771" max="10771" width="12.42578125" style="313" customWidth="1"/>
    <col min="10772" max="10772" width="6.7109375" style="313" customWidth="1"/>
    <col min="10773" max="11008" width="9.140625" style="313"/>
    <col min="11009" max="11009" width="2.7109375" style="313" customWidth="1"/>
    <col min="11010" max="11010" width="1.7109375" style="313" customWidth="1"/>
    <col min="11011" max="11011" width="1.5703125" style="313" customWidth="1"/>
    <col min="11012" max="11012" width="19.42578125" style="313" customWidth="1"/>
    <col min="11013" max="11013" width="3" style="313" customWidth="1"/>
    <col min="11014" max="11014" width="3.28515625" style="313" customWidth="1"/>
    <col min="11015" max="11015" width="12.85546875" style="313" customWidth="1"/>
    <col min="11016" max="11016" width="3" style="313" customWidth="1"/>
    <col min="11017" max="11017" width="6.42578125" style="313" customWidth="1"/>
    <col min="11018" max="11018" width="15.140625" style="313" customWidth="1"/>
    <col min="11019" max="11019" width="2.28515625" style="313" customWidth="1"/>
    <col min="11020" max="11020" width="14.7109375" style="313" customWidth="1"/>
    <col min="11021" max="11021" width="4" style="313" customWidth="1"/>
    <col min="11022" max="11022" width="7.5703125" style="313" customWidth="1"/>
    <col min="11023" max="11023" width="6.140625" style="313" customWidth="1"/>
    <col min="11024" max="11024" width="3.5703125" style="313" customWidth="1"/>
    <col min="11025" max="11025" width="6" style="313" customWidth="1"/>
    <col min="11026" max="11026" width="0.5703125" style="313" customWidth="1"/>
    <col min="11027" max="11027" width="12.42578125" style="313" customWidth="1"/>
    <col min="11028" max="11028" width="6.7109375" style="313" customWidth="1"/>
    <col min="11029" max="11264" width="9.140625" style="313"/>
    <col min="11265" max="11265" width="2.7109375" style="313" customWidth="1"/>
    <col min="11266" max="11266" width="1.7109375" style="313" customWidth="1"/>
    <col min="11267" max="11267" width="1.5703125" style="313" customWidth="1"/>
    <col min="11268" max="11268" width="19.42578125" style="313" customWidth="1"/>
    <col min="11269" max="11269" width="3" style="313" customWidth="1"/>
    <col min="11270" max="11270" width="3.28515625" style="313" customWidth="1"/>
    <col min="11271" max="11271" width="12.85546875" style="313" customWidth="1"/>
    <col min="11272" max="11272" width="3" style="313" customWidth="1"/>
    <col min="11273" max="11273" width="6.42578125" style="313" customWidth="1"/>
    <col min="11274" max="11274" width="15.140625" style="313" customWidth="1"/>
    <col min="11275" max="11275" width="2.28515625" style="313" customWidth="1"/>
    <col min="11276" max="11276" width="14.7109375" style="313" customWidth="1"/>
    <col min="11277" max="11277" width="4" style="313" customWidth="1"/>
    <col min="11278" max="11278" width="7.5703125" style="313" customWidth="1"/>
    <col min="11279" max="11279" width="6.140625" style="313" customWidth="1"/>
    <col min="11280" max="11280" width="3.5703125" style="313" customWidth="1"/>
    <col min="11281" max="11281" width="6" style="313" customWidth="1"/>
    <col min="11282" max="11282" width="0.5703125" style="313" customWidth="1"/>
    <col min="11283" max="11283" width="12.42578125" style="313" customWidth="1"/>
    <col min="11284" max="11284" width="6.7109375" style="313" customWidth="1"/>
    <col min="11285" max="11520" width="9.140625" style="313"/>
    <col min="11521" max="11521" width="2.7109375" style="313" customWidth="1"/>
    <col min="11522" max="11522" width="1.7109375" style="313" customWidth="1"/>
    <col min="11523" max="11523" width="1.5703125" style="313" customWidth="1"/>
    <col min="11524" max="11524" width="19.42578125" style="313" customWidth="1"/>
    <col min="11525" max="11525" width="3" style="313" customWidth="1"/>
    <col min="11526" max="11526" width="3.28515625" style="313" customWidth="1"/>
    <col min="11527" max="11527" width="12.85546875" style="313" customWidth="1"/>
    <col min="11528" max="11528" width="3" style="313" customWidth="1"/>
    <col min="11529" max="11529" width="6.42578125" style="313" customWidth="1"/>
    <col min="11530" max="11530" width="15.140625" style="313" customWidth="1"/>
    <col min="11531" max="11531" width="2.28515625" style="313" customWidth="1"/>
    <col min="11532" max="11532" width="14.7109375" style="313" customWidth="1"/>
    <col min="11533" max="11533" width="4" style="313" customWidth="1"/>
    <col min="11534" max="11534" width="7.5703125" style="313" customWidth="1"/>
    <col min="11535" max="11535" width="6.140625" style="313" customWidth="1"/>
    <col min="11536" max="11536" width="3.5703125" style="313" customWidth="1"/>
    <col min="11537" max="11537" width="6" style="313" customWidth="1"/>
    <col min="11538" max="11538" width="0.5703125" style="313" customWidth="1"/>
    <col min="11539" max="11539" width="12.42578125" style="313" customWidth="1"/>
    <col min="11540" max="11540" width="6.7109375" style="313" customWidth="1"/>
    <col min="11541" max="11776" width="9.140625" style="313"/>
    <col min="11777" max="11777" width="2.7109375" style="313" customWidth="1"/>
    <col min="11778" max="11778" width="1.7109375" style="313" customWidth="1"/>
    <col min="11779" max="11779" width="1.5703125" style="313" customWidth="1"/>
    <col min="11780" max="11780" width="19.42578125" style="313" customWidth="1"/>
    <col min="11781" max="11781" width="3" style="313" customWidth="1"/>
    <col min="11782" max="11782" width="3.28515625" style="313" customWidth="1"/>
    <col min="11783" max="11783" width="12.85546875" style="313" customWidth="1"/>
    <col min="11784" max="11784" width="3" style="313" customWidth="1"/>
    <col min="11785" max="11785" width="6.42578125" style="313" customWidth="1"/>
    <col min="11786" max="11786" width="15.140625" style="313" customWidth="1"/>
    <col min="11787" max="11787" width="2.28515625" style="313" customWidth="1"/>
    <col min="11788" max="11788" width="14.7109375" style="313" customWidth="1"/>
    <col min="11789" max="11789" width="4" style="313" customWidth="1"/>
    <col min="11790" max="11790" width="7.5703125" style="313" customWidth="1"/>
    <col min="11791" max="11791" width="6.140625" style="313" customWidth="1"/>
    <col min="11792" max="11792" width="3.5703125" style="313" customWidth="1"/>
    <col min="11793" max="11793" width="6" style="313" customWidth="1"/>
    <col min="11794" max="11794" width="0.5703125" style="313" customWidth="1"/>
    <col min="11795" max="11795" width="12.42578125" style="313" customWidth="1"/>
    <col min="11796" max="11796" width="6.7109375" style="313" customWidth="1"/>
    <col min="11797" max="12032" width="9.140625" style="313"/>
    <col min="12033" max="12033" width="2.7109375" style="313" customWidth="1"/>
    <col min="12034" max="12034" width="1.7109375" style="313" customWidth="1"/>
    <col min="12035" max="12035" width="1.5703125" style="313" customWidth="1"/>
    <col min="12036" max="12036" width="19.42578125" style="313" customWidth="1"/>
    <col min="12037" max="12037" width="3" style="313" customWidth="1"/>
    <col min="12038" max="12038" width="3.28515625" style="313" customWidth="1"/>
    <col min="12039" max="12039" width="12.85546875" style="313" customWidth="1"/>
    <col min="12040" max="12040" width="3" style="313" customWidth="1"/>
    <col min="12041" max="12041" width="6.42578125" style="313" customWidth="1"/>
    <col min="12042" max="12042" width="15.140625" style="313" customWidth="1"/>
    <col min="12043" max="12043" width="2.28515625" style="313" customWidth="1"/>
    <col min="12044" max="12044" width="14.7109375" style="313" customWidth="1"/>
    <col min="12045" max="12045" width="4" style="313" customWidth="1"/>
    <col min="12046" max="12046" width="7.5703125" style="313" customWidth="1"/>
    <col min="12047" max="12047" width="6.140625" style="313" customWidth="1"/>
    <col min="12048" max="12048" width="3.5703125" style="313" customWidth="1"/>
    <col min="12049" max="12049" width="6" style="313" customWidth="1"/>
    <col min="12050" max="12050" width="0.5703125" style="313" customWidth="1"/>
    <col min="12051" max="12051" width="12.42578125" style="313" customWidth="1"/>
    <col min="12052" max="12052" width="6.7109375" style="313" customWidth="1"/>
    <col min="12053" max="12288" width="9.140625" style="313"/>
    <col min="12289" max="12289" width="2.7109375" style="313" customWidth="1"/>
    <col min="12290" max="12290" width="1.7109375" style="313" customWidth="1"/>
    <col min="12291" max="12291" width="1.5703125" style="313" customWidth="1"/>
    <col min="12292" max="12292" width="19.42578125" style="313" customWidth="1"/>
    <col min="12293" max="12293" width="3" style="313" customWidth="1"/>
    <col min="12294" max="12294" width="3.28515625" style="313" customWidth="1"/>
    <col min="12295" max="12295" width="12.85546875" style="313" customWidth="1"/>
    <col min="12296" max="12296" width="3" style="313" customWidth="1"/>
    <col min="12297" max="12297" width="6.42578125" style="313" customWidth="1"/>
    <col min="12298" max="12298" width="15.140625" style="313" customWidth="1"/>
    <col min="12299" max="12299" width="2.28515625" style="313" customWidth="1"/>
    <col min="12300" max="12300" width="14.7109375" style="313" customWidth="1"/>
    <col min="12301" max="12301" width="4" style="313" customWidth="1"/>
    <col min="12302" max="12302" width="7.5703125" style="313" customWidth="1"/>
    <col min="12303" max="12303" width="6.140625" style="313" customWidth="1"/>
    <col min="12304" max="12304" width="3.5703125" style="313" customWidth="1"/>
    <col min="12305" max="12305" width="6" style="313" customWidth="1"/>
    <col min="12306" max="12306" width="0.5703125" style="313" customWidth="1"/>
    <col min="12307" max="12307" width="12.42578125" style="313" customWidth="1"/>
    <col min="12308" max="12308" width="6.7109375" style="313" customWidth="1"/>
    <col min="12309" max="12544" width="9.140625" style="313"/>
    <col min="12545" max="12545" width="2.7109375" style="313" customWidth="1"/>
    <col min="12546" max="12546" width="1.7109375" style="313" customWidth="1"/>
    <col min="12547" max="12547" width="1.5703125" style="313" customWidth="1"/>
    <col min="12548" max="12548" width="19.42578125" style="313" customWidth="1"/>
    <col min="12549" max="12549" width="3" style="313" customWidth="1"/>
    <col min="12550" max="12550" width="3.28515625" style="313" customWidth="1"/>
    <col min="12551" max="12551" width="12.85546875" style="313" customWidth="1"/>
    <col min="12552" max="12552" width="3" style="313" customWidth="1"/>
    <col min="12553" max="12553" width="6.42578125" style="313" customWidth="1"/>
    <col min="12554" max="12554" width="15.140625" style="313" customWidth="1"/>
    <col min="12555" max="12555" width="2.28515625" style="313" customWidth="1"/>
    <col min="12556" max="12556" width="14.7109375" style="313" customWidth="1"/>
    <col min="12557" max="12557" width="4" style="313" customWidth="1"/>
    <col min="12558" max="12558" width="7.5703125" style="313" customWidth="1"/>
    <col min="12559" max="12559" width="6.140625" style="313" customWidth="1"/>
    <col min="12560" max="12560" width="3.5703125" style="313" customWidth="1"/>
    <col min="12561" max="12561" width="6" style="313" customWidth="1"/>
    <col min="12562" max="12562" width="0.5703125" style="313" customWidth="1"/>
    <col min="12563" max="12563" width="12.42578125" style="313" customWidth="1"/>
    <col min="12564" max="12564" width="6.7109375" style="313" customWidth="1"/>
    <col min="12565" max="12800" width="9.140625" style="313"/>
    <col min="12801" max="12801" width="2.7109375" style="313" customWidth="1"/>
    <col min="12802" max="12802" width="1.7109375" style="313" customWidth="1"/>
    <col min="12803" max="12803" width="1.5703125" style="313" customWidth="1"/>
    <col min="12804" max="12804" width="19.42578125" style="313" customWidth="1"/>
    <col min="12805" max="12805" width="3" style="313" customWidth="1"/>
    <col min="12806" max="12806" width="3.28515625" style="313" customWidth="1"/>
    <col min="12807" max="12807" width="12.85546875" style="313" customWidth="1"/>
    <col min="12808" max="12808" width="3" style="313" customWidth="1"/>
    <col min="12809" max="12809" width="6.42578125" style="313" customWidth="1"/>
    <col min="12810" max="12810" width="15.140625" style="313" customWidth="1"/>
    <col min="12811" max="12811" width="2.28515625" style="313" customWidth="1"/>
    <col min="12812" max="12812" width="14.7109375" style="313" customWidth="1"/>
    <col min="12813" max="12813" width="4" style="313" customWidth="1"/>
    <col min="12814" max="12814" width="7.5703125" style="313" customWidth="1"/>
    <col min="12815" max="12815" width="6.140625" style="313" customWidth="1"/>
    <col min="12816" max="12816" width="3.5703125" style="313" customWidth="1"/>
    <col min="12817" max="12817" width="6" style="313" customWidth="1"/>
    <col min="12818" max="12818" width="0.5703125" style="313" customWidth="1"/>
    <col min="12819" max="12819" width="12.42578125" style="313" customWidth="1"/>
    <col min="12820" max="12820" width="6.7109375" style="313" customWidth="1"/>
    <col min="12821" max="13056" width="9.140625" style="313"/>
    <col min="13057" max="13057" width="2.7109375" style="313" customWidth="1"/>
    <col min="13058" max="13058" width="1.7109375" style="313" customWidth="1"/>
    <col min="13059" max="13059" width="1.5703125" style="313" customWidth="1"/>
    <col min="13060" max="13060" width="19.42578125" style="313" customWidth="1"/>
    <col min="13061" max="13061" width="3" style="313" customWidth="1"/>
    <col min="13062" max="13062" width="3.28515625" style="313" customWidth="1"/>
    <col min="13063" max="13063" width="12.85546875" style="313" customWidth="1"/>
    <col min="13064" max="13064" width="3" style="313" customWidth="1"/>
    <col min="13065" max="13065" width="6.42578125" style="313" customWidth="1"/>
    <col min="13066" max="13066" width="15.140625" style="313" customWidth="1"/>
    <col min="13067" max="13067" width="2.28515625" style="313" customWidth="1"/>
    <col min="13068" max="13068" width="14.7109375" style="313" customWidth="1"/>
    <col min="13069" max="13069" width="4" style="313" customWidth="1"/>
    <col min="13070" max="13070" width="7.5703125" style="313" customWidth="1"/>
    <col min="13071" max="13071" width="6.140625" style="313" customWidth="1"/>
    <col min="13072" max="13072" width="3.5703125" style="313" customWidth="1"/>
    <col min="13073" max="13073" width="6" style="313" customWidth="1"/>
    <col min="13074" max="13074" width="0.5703125" style="313" customWidth="1"/>
    <col min="13075" max="13075" width="12.42578125" style="313" customWidth="1"/>
    <col min="13076" max="13076" width="6.7109375" style="313" customWidth="1"/>
    <col min="13077" max="13312" width="9.140625" style="313"/>
    <col min="13313" max="13313" width="2.7109375" style="313" customWidth="1"/>
    <col min="13314" max="13314" width="1.7109375" style="313" customWidth="1"/>
    <col min="13315" max="13315" width="1.5703125" style="313" customWidth="1"/>
    <col min="13316" max="13316" width="19.42578125" style="313" customWidth="1"/>
    <col min="13317" max="13317" width="3" style="313" customWidth="1"/>
    <col min="13318" max="13318" width="3.28515625" style="313" customWidth="1"/>
    <col min="13319" max="13319" width="12.85546875" style="313" customWidth="1"/>
    <col min="13320" max="13320" width="3" style="313" customWidth="1"/>
    <col min="13321" max="13321" width="6.42578125" style="313" customWidth="1"/>
    <col min="13322" max="13322" width="15.140625" style="313" customWidth="1"/>
    <col min="13323" max="13323" width="2.28515625" style="313" customWidth="1"/>
    <col min="13324" max="13324" width="14.7109375" style="313" customWidth="1"/>
    <col min="13325" max="13325" width="4" style="313" customWidth="1"/>
    <col min="13326" max="13326" width="7.5703125" style="313" customWidth="1"/>
    <col min="13327" max="13327" width="6.140625" style="313" customWidth="1"/>
    <col min="13328" max="13328" width="3.5703125" style="313" customWidth="1"/>
    <col min="13329" max="13329" width="6" style="313" customWidth="1"/>
    <col min="13330" max="13330" width="0.5703125" style="313" customWidth="1"/>
    <col min="13331" max="13331" width="12.42578125" style="313" customWidth="1"/>
    <col min="13332" max="13332" width="6.7109375" style="313" customWidth="1"/>
    <col min="13333" max="13568" width="9.140625" style="313"/>
    <col min="13569" max="13569" width="2.7109375" style="313" customWidth="1"/>
    <col min="13570" max="13570" width="1.7109375" style="313" customWidth="1"/>
    <col min="13571" max="13571" width="1.5703125" style="313" customWidth="1"/>
    <col min="13572" max="13572" width="19.42578125" style="313" customWidth="1"/>
    <col min="13573" max="13573" width="3" style="313" customWidth="1"/>
    <col min="13574" max="13574" width="3.28515625" style="313" customWidth="1"/>
    <col min="13575" max="13575" width="12.85546875" style="313" customWidth="1"/>
    <col min="13576" max="13576" width="3" style="313" customWidth="1"/>
    <col min="13577" max="13577" width="6.42578125" style="313" customWidth="1"/>
    <col min="13578" max="13578" width="15.140625" style="313" customWidth="1"/>
    <col min="13579" max="13579" width="2.28515625" style="313" customWidth="1"/>
    <col min="13580" max="13580" width="14.7109375" style="313" customWidth="1"/>
    <col min="13581" max="13581" width="4" style="313" customWidth="1"/>
    <col min="13582" max="13582" width="7.5703125" style="313" customWidth="1"/>
    <col min="13583" max="13583" width="6.140625" style="313" customWidth="1"/>
    <col min="13584" max="13584" width="3.5703125" style="313" customWidth="1"/>
    <col min="13585" max="13585" width="6" style="313" customWidth="1"/>
    <col min="13586" max="13586" width="0.5703125" style="313" customWidth="1"/>
    <col min="13587" max="13587" width="12.42578125" style="313" customWidth="1"/>
    <col min="13588" max="13588" width="6.7109375" style="313" customWidth="1"/>
    <col min="13589" max="13824" width="9.140625" style="313"/>
    <col min="13825" max="13825" width="2.7109375" style="313" customWidth="1"/>
    <col min="13826" max="13826" width="1.7109375" style="313" customWidth="1"/>
    <col min="13827" max="13827" width="1.5703125" style="313" customWidth="1"/>
    <col min="13828" max="13828" width="19.42578125" style="313" customWidth="1"/>
    <col min="13829" max="13829" width="3" style="313" customWidth="1"/>
    <col min="13830" max="13830" width="3.28515625" style="313" customWidth="1"/>
    <col min="13831" max="13831" width="12.85546875" style="313" customWidth="1"/>
    <col min="13832" max="13832" width="3" style="313" customWidth="1"/>
    <col min="13833" max="13833" width="6.42578125" style="313" customWidth="1"/>
    <col min="13834" max="13834" width="15.140625" style="313" customWidth="1"/>
    <col min="13835" max="13835" width="2.28515625" style="313" customWidth="1"/>
    <col min="13836" max="13836" width="14.7109375" style="313" customWidth="1"/>
    <col min="13837" max="13837" width="4" style="313" customWidth="1"/>
    <col min="13838" max="13838" width="7.5703125" style="313" customWidth="1"/>
    <col min="13839" max="13839" width="6.140625" style="313" customWidth="1"/>
    <col min="13840" max="13840" width="3.5703125" style="313" customWidth="1"/>
    <col min="13841" max="13841" width="6" style="313" customWidth="1"/>
    <col min="13842" max="13842" width="0.5703125" style="313" customWidth="1"/>
    <col min="13843" max="13843" width="12.42578125" style="313" customWidth="1"/>
    <col min="13844" max="13844" width="6.7109375" style="313" customWidth="1"/>
    <col min="13845" max="14080" width="9.140625" style="313"/>
    <col min="14081" max="14081" width="2.7109375" style="313" customWidth="1"/>
    <col min="14082" max="14082" width="1.7109375" style="313" customWidth="1"/>
    <col min="14083" max="14083" width="1.5703125" style="313" customWidth="1"/>
    <col min="14084" max="14084" width="19.42578125" style="313" customWidth="1"/>
    <col min="14085" max="14085" width="3" style="313" customWidth="1"/>
    <col min="14086" max="14086" width="3.28515625" style="313" customWidth="1"/>
    <col min="14087" max="14087" width="12.85546875" style="313" customWidth="1"/>
    <col min="14088" max="14088" width="3" style="313" customWidth="1"/>
    <col min="14089" max="14089" width="6.42578125" style="313" customWidth="1"/>
    <col min="14090" max="14090" width="15.140625" style="313" customWidth="1"/>
    <col min="14091" max="14091" width="2.28515625" style="313" customWidth="1"/>
    <col min="14092" max="14092" width="14.7109375" style="313" customWidth="1"/>
    <col min="14093" max="14093" width="4" style="313" customWidth="1"/>
    <col min="14094" max="14094" width="7.5703125" style="313" customWidth="1"/>
    <col min="14095" max="14095" width="6.140625" style="313" customWidth="1"/>
    <col min="14096" max="14096" width="3.5703125" style="313" customWidth="1"/>
    <col min="14097" max="14097" width="6" style="313" customWidth="1"/>
    <col min="14098" max="14098" width="0.5703125" style="313" customWidth="1"/>
    <col min="14099" max="14099" width="12.42578125" style="313" customWidth="1"/>
    <col min="14100" max="14100" width="6.7109375" style="313" customWidth="1"/>
    <col min="14101" max="14336" width="9.140625" style="313"/>
    <col min="14337" max="14337" width="2.7109375" style="313" customWidth="1"/>
    <col min="14338" max="14338" width="1.7109375" style="313" customWidth="1"/>
    <col min="14339" max="14339" width="1.5703125" style="313" customWidth="1"/>
    <col min="14340" max="14340" width="19.42578125" style="313" customWidth="1"/>
    <col min="14341" max="14341" width="3" style="313" customWidth="1"/>
    <col min="14342" max="14342" width="3.28515625" style="313" customWidth="1"/>
    <col min="14343" max="14343" width="12.85546875" style="313" customWidth="1"/>
    <col min="14344" max="14344" width="3" style="313" customWidth="1"/>
    <col min="14345" max="14345" width="6.42578125" style="313" customWidth="1"/>
    <col min="14346" max="14346" width="15.140625" style="313" customWidth="1"/>
    <col min="14347" max="14347" width="2.28515625" style="313" customWidth="1"/>
    <col min="14348" max="14348" width="14.7109375" style="313" customWidth="1"/>
    <col min="14349" max="14349" width="4" style="313" customWidth="1"/>
    <col min="14350" max="14350" width="7.5703125" style="313" customWidth="1"/>
    <col min="14351" max="14351" width="6.140625" style="313" customWidth="1"/>
    <col min="14352" max="14352" width="3.5703125" style="313" customWidth="1"/>
    <col min="14353" max="14353" width="6" style="313" customWidth="1"/>
    <col min="14354" max="14354" width="0.5703125" style="313" customWidth="1"/>
    <col min="14355" max="14355" width="12.42578125" style="313" customWidth="1"/>
    <col min="14356" max="14356" width="6.7109375" style="313" customWidth="1"/>
    <col min="14357" max="14592" width="9.140625" style="313"/>
    <col min="14593" max="14593" width="2.7109375" style="313" customWidth="1"/>
    <col min="14594" max="14594" width="1.7109375" style="313" customWidth="1"/>
    <col min="14595" max="14595" width="1.5703125" style="313" customWidth="1"/>
    <col min="14596" max="14596" width="19.42578125" style="313" customWidth="1"/>
    <col min="14597" max="14597" width="3" style="313" customWidth="1"/>
    <col min="14598" max="14598" width="3.28515625" style="313" customWidth="1"/>
    <col min="14599" max="14599" width="12.85546875" style="313" customWidth="1"/>
    <col min="14600" max="14600" width="3" style="313" customWidth="1"/>
    <col min="14601" max="14601" width="6.42578125" style="313" customWidth="1"/>
    <col min="14602" max="14602" width="15.140625" style="313" customWidth="1"/>
    <col min="14603" max="14603" width="2.28515625" style="313" customWidth="1"/>
    <col min="14604" max="14604" width="14.7109375" style="313" customWidth="1"/>
    <col min="14605" max="14605" width="4" style="313" customWidth="1"/>
    <col min="14606" max="14606" width="7.5703125" style="313" customWidth="1"/>
    <col min="14607" max="14607" width="6.140625" style="313" customWidth="1"/>
    <col min="14608" max="14608" width="3.5703125" style="313" customWidth="1"/>
    <col min="14609" max="14609" width="6" style="313" customWidth="1"/>
    <col min="14610" max="14610" width="0.5703125" style="313" customWidth="1"/>
    <col min="14611" max="14611" width="12.42578125" style="313" customWidth="1"/>
    <col min="14612" max="14612" width="6.7109375" style="313" customWidth="1"/>
    <col min="14613" max="14848" width="9.140625" style="313"/>
    <col min="14849" max="14849" width="2.7109375" style="313" customWidth="1"/>
    <col min="14850" max="14850" width="1.7109375" style="313" customWidth="1"/>
    <col min="14851" max="14851" width="1.5703125" style="313" customWidth="1"/>
    <col min="14852" max="14852" width="19.42578125" style="313" customWidth="1"/>
    <col min="14853" max="14853" width="3" style="313" customWidth="1"/>
    <col min="14854" max="14854" width="3.28515625" style="313" customWidth="1"/>
    <col min="14855" max="14855" width="12.85546875" style="313" customWidth="1"/>
    <col min="14856" max="14856" width="3" style="313" customWidth="1"/>
    <col min="14857" max="14857" width="6.42578125" style="313" customWidth="1"/>
    <col min="14858" max="14858" width="15.140625" style="313" customWidth="1"/>
    <col min="14859" max="14859" width="2.28515625" style="313" customWidth="1"/>
    <col min="14860" max="14860" width="14.7109375" style="313" customWidth="1"/>
    <col min="14861" max="14861" width="4" style="313" customWidth="1"/>
    <col min="14862" max="14862" width="7.5703125" style="313" customWidth="1"/>
    <col min="14863" max="14863" width="6.140625" style="313" customWidth="1"/>
    <col min="14864" max="14864" width="3.5703125" style="313" customWidth="1"/>
    <col min="14865" max="14865" width="6" style="313" customWidth="1"/>
    <col min="14866" max="14866" width="0.5703125" style="313" customWidth="1"/>
    <col min="14867" max="14867" width="12.42578125" style="313" customWidth="1"/>
    <col min="14868" max="14868" width="6.7109375" style="313" customWidth="1"/>
    <col min="14869" max="15104" width="9.140625" style="313"/>
    <col min="15105" max="15105" width="2.7109375" style="313" customWidth="1"/>
    <col min="15106" max="15106" width="1.7109375" style="313" customWidth="1"/>
    <col min="15107" max="15107" width="1.5703125" style="313" customWidth="1"/>
    <col min="15108" max="15108" width="19.42578125" style="313" customWidth="1"/>
    <col min="15109" max="15109" width="3" style="313" customWidth="1"/>
    <col min="15110" max="15110" width="3.28515625" style="313" customWidth="1"/>
    <col min="15111" max="15111" width="12.85546875" style="313" customWidth="1"/>
    <col min="15112" max="15112" width="3" style="313" customWidth="1"/>
    <col min="15113" max="15113" width="6.42578125" style="313" customWidth="1"/>
    <col min="15114" max="15114" width="15.140625" style="313" customWidth="1"/>
    <col min="15115" max="15115" width="2.28515625" style="313" customWidth="1"/>
    <col min="15116" max="15116" width="14.7109375" style="313" customWidth="1"/>
    <col min="15117" max="15117" width="4" style="313" customWidth="1"/>
    <col min="15118" max="15118" width="7.5703125" style="313" customWidth="1"/>
    <col min="15119" max="15119" width="6.140625" style="313" customWidth="1"/>
    <col min="15120" max="15120" width="3.5703125" style="313" customWidth="1"/>
    <col min="15121" max="15121" width="6" style="313" customWidth="1"/>
    <col min="15122" max="15122" width="0.5703125" style="313" customWidth="1"/>
    <col min="15123" max="15123" width="12.42578125" style="313" customWidth="1"/>
    <col min="15124" max="15124" width="6.7109375" style="313" customWidth="1"/>
    <col min="15125" max="15360" width="9.140625" style="313"/>
    <col min="15361" max="15361" width="2.7109375" style="313" customWidth="1"/>
    <col min="15362" max="15362" width="1.7109375" style="313" customWidth="1"/>
    <col min="15363" max="15363" width="1.5703125" style="313" customWidth="1"/>
    <col min="15364" max="15364" width="19.42578125" style="313" customWidth="1"/>
    <col min="15365" max="15365" width="3" style="313" customWidth="1"/>
    <col min="15366" max="15366" width="3.28515625" style="313" customWidth="1"/>
    <col min="15367" max="15367" width="12.85546875" style="313" customWidth="1"/>
    <col min="15368" max="15368" width="3" style="313" customWidth="1"/>
    <col min="15369" max="15369" width="6.42578125" style="313" customWidth="1"/>
    <col min="15370" max="15370" width="15.140625" style="313" customWidth="1"/>
    <col min="15371" max="15371" width="2.28515625" style="313" customWidth="1"/>
    <col min="15372" max="15372" width="14.7109375" style="313" customWidth="1"/>
    <col min="15373" max="15373" width="4" style="313" customWidth="1"/>
    <col min="15374" max="15374" width="7.5703125" style="313" customWidth="1"/>
    <col min="15375" max="15375" width="6.140625" style="313" customWidth="1"/>
    <col min="15376" max="15376" width="3.5703125" style="313" customWidth="1"/>
    <col min="15377" max="15377" width="6" style="313" customWidth="1"/>
    <col min="15378" max="15378" width="0.5703125" style="313" customWidth="1"/>
    <col min="15379" max="15379" width="12.42578125" style="313" customWidth="1"/>
    <col min="15380" max="15380" width="6.7109375" style="313" customWidth="1"/>
    <col min="15381" max="15616" width="9.140625" style="313"/>
    <col min="15617" max="15617" width="2.7109375" style="313" customWidth="1"/>
    <col min="15618" max="15618" width="1.7109375" style="313" customWidth="1"/>
    <col min="15619" max="15619" width="1.5703125" style="313" customWidth="1"/>
    <col min="15620" max="15620" width="19.42578125" style="313" customWidth="1"/>
    <col min="15621" max="15621" width="3" style="313" customWidth="1"/>
    <col min="15622" max="15622" width="3.28515625" style="313" customWidth="1"/>
    <col min="15623" max="15623" width="12.85546875" style="313" customWidth="1"/>
    <col min="15624" max="15624" width="3" style="313" customWidth="1"/>
    <col min="15625" max="15625" width="6.42578125" style="313" customWidth="1"/>
    <col min="15626" max="15626" width="15.140625" style="313" customWidth="1"/>
    <col min="15627" max="15627" width="2.28515625" style="313" customWidth="1"/>
    <col min="15628" max="15628" width="14.7109375" style="313" customWidth="1"/>
    <col min="15629" max="15629" width="4" style="313" customWidth="1"/>
    <col min="15630" max="15630" width="7.5703125" style="313" customWidth="1"/>
    <col min="15631" max="15631" width="6.140625" style="313" customWidth="1"/>
    <col min="15632" max="15632" width="3.5703125" style="313" customWidth="1"/>
    <col min="15633" max="15633" width="6" style="313" customWidth="1"/>
    <col min="15634" max="15634" width="0.5703125" style="313" customWidth="1"/>
    <col min="15635" max="15635" width="12.42578125" style="313" customWidth="1"/>
    <col min="15636" max="15636" width="6.7109375" style="313" customWidth="1"/>
    <col min="15637" max="15872" width="9.140625" style="313"/>
    <col min="15873" max="15873" width="2.7109375" style="313" customWidth="1"/>
    <col min="15874" max="15874" width="1.7109375" style="313" customWidth="1"/>
    <col min="15875" max="15875" width="1.5703125" style="313" customWidth="1"/>
    <col min="15876" max="15876" width="19.42578125" style="313" customWidth="1"/>
    <col min="15877" max="15877" width="3" style="313" customWidth="1"/>
    <col min="15878" max="15878" width="3.28515625" style="313" customWidth="1"/>
    <col min="15879" max="15879" width="12.85546875" style="313" customWidth="1"/>
    <col min="15880" max="15880" width="3" style="313" customWidth="1"/>
    <col min="15881" max="15881" width="6.42578125" style="313" customWidth="1"/>
    <col min="15882" max="15882" width="15.140625" style="313" customWidth="1"/>
    <col min="15883" max="15883" width="2.28515625" style="313" customWidth="1"/>
    <col min="15884" max="15884" width="14.7109375" style="313" customWidth="1"/>
    <col min="15885" max="15885" width="4" style="313" customWidth="1"/>
    <col min="15886" max="15886" width="7.5703125" style="313" customWidth="1"/>
    <col min="15887" max="15887" width="6.140625" style="313" customWidth="1"/>
    <col min="15888" max="15888" width="3.5703125" style="313" customWidth="1"/>
    <col min="15889" max="15889" width="6" style="313" customWidth="1"/>
    <col min="15890" max="15890" width="0.5703125" style="313" customWidth="1"/>
    <col min="15891" max="15891" width="12.42578125" style="313" customWidth="1"/>
    <col min="15892" max="15892" width="6.7109375" style="313" customWidth="1"/>
    <col min="15893" max="16128" width="9.140625" style="313"/>
    <col min="16129" max="16129" width="2.7109375" style="313" customWidth="1"/>
    <col min="16130" max="16130" width="1.7109375" style="313" customWidth="1"/>
    <col min="16131" max="16131" width="1.5703125" style="313" customWidth="1"/>
    <col min="16132" max="16132" width="19.42578125" style="313" customWidth="1"/>
    <col min="16133" max="16133" width="3" style="313" customWidth="1"/>
    <col min="16134" max="16134" width="3.28515625" style="313" customWidth="1"/>
    <col min="16135" max="16135" width="12.85546875" style="313" customWidth="1"/>
    <col min="16136" max="16136" width="3" style="313" customWidth="1"/>
    <col min="16137" max="16137" width="6.42578125" style="313" customWidth="1"/>
    <col min="16138" max="16138" width="15.140625" style="313" customWidth="1"/>
    <col min="16139" max="16139" width="2.28515625" style="313" customWidth="1"/>
    <col min="16140" max="16140" width="14.7109375" style="313" customWidth="1"/>
    <col min="16141" max="16141" width="4" style="313" customWidth="1"/>
    <col min="16142" max="16142" width="7.5703125" style="313" customWidth="1"/>
    <col min="16143" max="16143" width="6.140625" style="313" customWidth="1"/>
    <col min="16144" max="16144" width="3.5703125" style="313" customWidth="1"/>
    <col min="16145" max="16145" width="6" style="313" customWidth="1"/>
    <col min="16146" max="16146" width="0.5703125" style="313" customWidth="1"/>
    <col min="16147" max="16147" width="12.42578125" style="313" customWidth="1"/>
    <col min="16148" max="16148" width="6.7109375" style="313" customWidth="1"/>
    <col min="16149" max="16384" width="9.140625" style="313"/>
  </cols>
  <sheetData>
    <row r="1" spans="1:21" ht="13.5">
      <c r="B1" s="931" t="s">
        <v>30</v>
      </c>
    </row>
    <row r="2" spans="1:21" ht="12" customHeight="1">
      <c r="B2" s="931"/>
      <c r="R2" s="932" t="s">
        <v>339</v>
      </c>
      <c r="U2" s="933"/>
    </row>
    <row r="3" spans="1:21" ht="12" customHeight="1">
      <c r="B3" s="931"/>
      <c r="R3" s="932" t="s">
        <v>220</v>
      </c>
      <c r="U3" s="933"/>
    </row>
    <row r="4" spans="1:21" ht="12" customHeight="1">
      <c r="B4" s="931"/>
      <c r="R4" s="932" t="s">
        <v>221</v>
      </c>
      <c r="U4" s="933"/>
    </row>
    <row r="5" spans="1:21" ht="12" customHeight="1">
      <c r="B5" s="931"/>
      <c r="R5" s="932" t="s">
        <v>222</v>
      </c>
      <c r="U5" s="933"/>
    </row>
    <row r="6" spans="1:21" ht="12" customHeight="1">
      <c r="B6" s="931"/>
      <c r="R6" s="932" t="s">
        <v>643</v>
      </c>
      <c r="U6" s="933"/>
    </row>
    <row r="7" spans="1:21" ht="12" customHeight="1">
      <c r="R7" s="931" t="s">
        <v>224</v>
      </c>
    </row>
    <row r="8" spans="1:21" ht="15.75">
      <c r="D8" s="2221" t="s">
        <v>644</v>
      </c>
      <c r="E8" s="2221"/>
      <c r="F8" s="2221"/>
      <c r="G8" s="2221"/>
      <c r="H8" s="2221"/>
      <c r="I8" s="2221"/>
      <c r="J8" s="2221"/>
      <c r="K8" s="2221"/>
      <c r="L8" s="2221"/>
      <c r="M8" s="2221"/>
      <c r="N8" s="2221"/>
      <c r="O8" s="2221"/>
      <c r="P8" s="2221"/>
      <c r="Q8" s="2221"/>
      <c r="R8" s="2221"/>
      <c r="S8" s="2221"/>
    </row>
    <row r="9" spans="1:21" ht="15.75">
      <c r="F9" s="934"/>
      <c r="G9" s="934"/>
      <c r="H9" s="934"/>
      <c r="I9" s="934"/>
      <c r="J9" s="934"/>
      <c r="K9" s="934"/>
      <c r="L9" s="935" t="s">
        <v>645</v>
      </c>
      <c r="M9" s="2222" t="s">
        <v>293</v>
      </c>
      <c r="N9" s="2222"/>
      <c r="O9" s="934"/>
      <c r="P9" s="934"/>
      <c r="Q9" s="934"/>
      <c r="R9" s="934"/>
      <c r="S9" s="934"/>
    </row>
    <row r="10" spans="1:21" ht="6.75" customHeight="1">
      <c r="D10" s="936"/>
      <c r="E10" s="936"/>
      <c r="F10" s="936"/>
      <c r="G10" s="936"/>
      <c r="H10" s="936"/>
      <c r="I10" s="936"/>
      <c r="J10" s="936"/>
      <c r="K10" s="936"/>
      <c r="L10" s="936"/>
      <c r="M10" s="936"/>
      <c r="N10" s="936"/>
      <c r="O10" s="936"/>
      <c r="P10" s="936"/>
      <c r="Q10" s="936"/>
      <c r="R10" s="936"/>
      <c r="S10" s="936"/>
    </row>
    <row r="11" spans="1:21" ht="9" customHeight="1"/>
    <row r="12" spans="1:21" ht="17.25" thickBot="1">
      <c r="S12" s="2223" t="s">
        <v>218</v>
      </c>
      <c r="T12" s="2224"/>
    </row>
    <row r="13" spans="1:21" ht="16.5">
      <c r="Q13" s="937" t="s">
        <v>646</v>
      </c>
      <c r="S13" s="2225" t="s">
        <v>647</v>
      </c>
      <c r="T13" s="2226"/>
    </row>
    <row r="14" spans="1:21" ht="16.5">
      <c r="A14" s="938" t="s">
        <v>259</v>
      </c>
      <c r="B14" s="939"/>
      <c r="C14" s="939"/>
      <c r="D14" s="939"/>
      <c r="E14" s="940"/>
      <c r="F14" s="971" t="s">
        <v>35</v>
      </c>
      <c r="G14" s="941"/>
      <c r="H14" s="941"/>
      <c r="I14" s="941"/>
      <c r="J14" s="941"/>
      <c r="K14" s="941"/>
      <c r="L14" s="941"/>
      <c r="M14" s="941"/>
      <c r="N14" s="941"/>
      <c r="O14" s="941"/>
      <c r="P14" s="942"/>
      <c r="Q14" s="943" t="s">
        <v>57</v>
      </c>
      <c r="R14" s="944"/>
      <c r="S14" s="2227" t="s">
        <v>34</v>
      </c>
      <c r="T14" s="2228"/>
    </row>
    <row r="15" spans="1:21" ht="14.25" customHeight="1">
      <c r="A15" s="938" t="s">
        <v>260</v>
      </c>
      <c r="B15" s="939"/>
      <c r="C15" s="939"/>
      <c r="D15" s="939"/>
      <c r="F15" s="970" t="s">
        <v>32</v>
      </c>
      <c r="G15" s="970"/>
      <c r="H15" s="941"/>
      <c r="I15" s="941"/>
      <c r="J15" s="941"/>
      <c r="K15" s="941"/>
      <c r="L15" s="941"/>
      <c r="M15" s="941"/>
      <c r="N15" s="941"/>
      <c r="O15" s="941"/>
      <c r="P15" s="941"/>
      <c r="Q15" s="941"/>
      <c r="R15" s="945"/>
      <c r="S15" s="2219"/>
      <c r="T15" s="2220"/>
    </row>
    <row r="16" spans="1:21" ht="16.5">
      <c r="C16" s="946" t="s">
        <v>61</v>
      </c>
      <c r="F16" s="969"/>
      <c r="I16" s="2229" t="s">
        <v>139</v>
      </c>
      <c r="J16" s="2229"/>
      <c r="K16" s="2229"/>
      <c r="L16" s="2229"/>
      <c r="M16" s="2229"/>
      <c r="N16" s="2229"/>
      <c r="O16" s="2230"/>
      <c r="P16" s="2231" t="s">
        <v>64</v>
      </c>
      <c r="Q16" s="2232"/>
      <c r="R16" s="947"/>
      <c r="S16" s="2227" t="s">
        <v>332</v>
      </c>
      <c r="T16" s="2228"/>
    </row>
    <row r="17" spans="1:20" ht="16.5">
      <c r="C17" s="946"/>
      <c r="F17" s="969"/>
      <c r="I17" s="2233" t="s">
        <v>63</v>
      </c>
      <c r="J17" s="2233"/>
      <c r="K17" s="2233"/>
      <c r="L17" s="2233"/>
      <c r="M17" s="2233"/>
      <c r="N17" s="2233"/>
      <c r="O17" s="2234"/>
      <c r="P17" s="2231" t="s">
        <v>4</v>
      </c>
      <c r="Q17" s="2232"/>
      <c r="R17" s="947"/>
      <c r="S17" s="2227" t="s">
        <v>331</v>
      </c>
      <c r="T17" s="2228"/>
    </row>
    <row r="18" spans="1:20" ht="16.5">
      <c r="C18" s="946"/>
      <c r="I18" s="948"/>
      <c r="J18" s="948"/>
      <c r="K18" s="948"/>
      <c r="L18" s="948"/>
      <c r="M18" s="948"/>
      <c r="N18" s="948"/>
      <c r="O18" s="948"/>
      <c r="P18" s="949"/>
      <c r="Q18" s="949" t="s">
        <v>65</v>
      </c>
      <c r="R18" s="940"/>
      <c r="S18" s="2227" t="s">
        <v>31</v>
      </c>
      <c r="T18" s="2228"/>
    </row>
    <row r="19" spans="1:20" ht="17.25" thickBot="1">
      <c r="C19" s="946"/>
      <c r="I19" s="948"/>
      <c r="J19" s="948"/>
      <c r="K19" s="948"/>
      <c r="L19" s="948"/>
      <c r="M19" s="948"/>
      <c r="N19" s="948"/>
      <c r="O19" s="948"/>
      <c r="P19" s="949"/>
      <c r="Q19" s="949" t="s">
        <v>66</v>
      </c>
      <c r="R19" s="940"/>
      <c r="S19" s="2235" t="s">
        <v>330</v>
      </c>
      <c r="T19" s="2236"/>
    </row>
    <row r="20" spans="1:20" ht="21" customHeight="1">
      <c r="J20" s="2237" t="s">
        <v>277</v>
      </c>
      <c r="K20" s="2237"/>
    </row>
    <row r="21" spans="1:20">
      <c r="A21" s="2238" t="s">
        <v>648</v>
      </c>
      <c r="B21" s="2239"/>
      <c r="C21" s="2239"/>
      <c r="D21" s="2239"/>
      <c r="E21" s="2239"/>
      <c r="F21" s="2239"/>
      <c r="G21" s="2239"/>
      <c r="H21" s="2239"/>
      <c r="I21" s="2239"/>
      <c r="J21" s="2239"/>
      <c r="K21" s="2239"/>
      <c r="L21" s="2239"/>
      <c r="M21" s="2239"/>
      <c r="N21" s="2239"/>
      <c r="O21" s="2239"/>
      <c r="P21" s="2239"/>
      <c r="Q21" s="2239"/>
      <c r="R21" s="2239"/>
      <c r="S21" s="2239"/>
      <c r="T21" s="2239"/>
    </row>
    <row r="22" spans="1:20" ht="37.5" customHeight="1">
      <c r="A22" s="2239"/>
      <c r="B22" s="2239"/>
      <c r="C22" s="2239"/>
      <c r="D22" s="2239"/>
      <c r="E22" s="2239"/>
      <c r="F22" s="2239"/>
      <c r="G22" s="2239"/>
      <c r="H22" s="2239"/>
      <c r="I22" s="2239"/>
      <c r="J22" s="2239"/>
      <c r="K22" s="2239"/>
      <c r="L22" s="2239"/>
      <c r="M22" s="2239"/>
      <c r="N22" s="2239"/>
      <c r="O22" s="2239"/>
      <c r="P22" s="2239"/>
      <c r="Q22" s="2239"/>
      <c r="R22" s="2239"/>
      <c r="S22" s="2239"/>
      <c r="T22" s="2239"/>
    </row>
    <row r="23" spans="1:20" ht="20.25" customHeight="1">
      <c r="C23" s="946"/>
      <c r="D23" s="946" t="s">
        <v>78</v>
      </c>
      <c r="I23" s="2240" t="s">
        <v>291</v>
      </c>
      <c r="J23" s="2240"/>
      <c r="L23" s="2241"/>
      <c r="M23" s="2241"/>
      <c r="O23" s="2240" t="s">
        <v>33</v>
      </c>
      <c r="P23" s="2240"/>
      <c r="Q23" s="2240"/>
      <c r="R23" s="2240"/>
      <c r="S23" s="2240"/>
      <c r="T23" s="2240"/>
    </row>
    <row r="24" spans="1:20">
      <c r="I24" s="2233" t="s">
        <v>405</v>
      </c>
      <c r="J24" s="2233"/>
      <c r="K24" s="950"/>
      <c r="L24" s="2233" t="s">
        <v>80</v>
      </c>
      <c r="M24" s="2233"/>
      <c r="N24" s="950"/>
      <c r="O24" s="2233" t="s">
        <v>182</v>
      </c>
      <c r="P24" s="2233"/>
      <c r="Q24" s="2233"/>
      <c r="R24" s="2233"/>
      <c r="S24" s="2233"/>
      <c r="T24" s="2233"/>
    </row>
    <row r="25" spans="1:20" ht="15.75">
      <c r="I25" s="2241"/>
      <c r="J25" s="2241"/>
      <c r="K25" s="951"/>
      <c r="L25" s="2241"/>
      <c r="M25" s="2241"/>
      <c r="N25" s="951"/>
      <c r="O25" s="2241"/>
      <c r="P25" s="2241"/>
      <c r="Q25" s="2241"/>
      <c r="R25" s="2241"/>
      <c r="S25" s="2241"/>
      <c r="T25" s="2241"/>
    </row>
    <row r="26" spans="1:20">
      <c r="I26" s="2233" t="s">
        <v>405</v>
      </c>
      <c r="J26" s="2233"/>
      <c r="K26" s="950"/>
      <c r="L26" s="2233" t="s">
        <v>80</v>
      </c>
      <c r="M26" s="2233"/>
      <c r="N26" s="950"/>
      <c r="O26" s="2233" t="s">
        <v>182</v>
      </c>
      <c r="P26" s="2233"/>
      <c r="Q26" s="2233"/>
      <c r="R26" s="2233"/>
      <c r="S26" s="2233"/>
      <c r="T26" s="2233"/>
    </row>
  </sheetData>
  <mergeCells count="28">
    <mergeCell ref="I26:J26"/>
    <mergeCell ref="L26:M26"/>
    <mergeCell ref="O26:T26"/>
    <mergeCell ref="I24:J24"/>
    <mergeCell ref="L24:M24"/>
    <mergeCell ref="O24:T24"/>
    <mergeCell ref="I25:J25"/>
    <mergeCell ref="L25:M25"/>
    <mergeCell ref="O25:T25"/>
    <mergeCell ref="S18:T18"/>
    <mergeCell ref="S19:T19"/>
    <mergeCell ref="J20:K20"/>
    <mergeCell ref="A21:T22"/>
    <mergeCell ref="I23:J23"/>
    <mergeCell ref="L23:M23"/>
    <mergeCell ref="O23:T23"/>
    <mergeCell ref="I16:O16"/>
    <mergeCell ref="P16:Q16"/>
    <mergeCell ref="S16:T16"/>
    <mergeCell ref="I17:O17"/>
    <mergeCell ref="P17:Q17"/>
    <mergeCell ref="S17:T17"/>
    <mergeCell ref="S15:T15"/>
    <mergeCell ref="D8:S8"/>
    <mergeCell ref="M9:N9"/>
    <mergeCell ref="S12:T12"/>
    <mergeCell ref="S13:T13"/>
    <mergeCell ref="S14:T14"/>
  </mergeCells>
  <pageMargins left="0.70866141732283472" right="0.39370078740157483" top="0.78740157480314965" bottom="0.39370078740157483" header="0.19685039370078741" footer="0.19685039370078741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>
  <sheetPr codeName="Лист45"/>
  <dimension ref="A1:AH25"/>
  <sheetViews>
    <sheetView view="pageBreakPreview" zoomScaleNormal="100" workbookViewId="0">
      <selection activeCell="F4" sqref="F4"/>
    </sheetView>
  </sheetViews>
  <sheetFormatPr defaultRowHeight="12.75"/>
  <cols>
    <col min="1" max="2" width="2.140625" style="974" customWidth="1"/>
    <col min="3" max="3" width="17.42578125" style="974" customWidth="1"/>
    <col min="4" max="4" width="0.5703125" style="974" customWidth="1"/>
    <col min="5" max="5" width="16.140625" style="974" customWidth="1"/>
    <col min="6" max="6" width="12.28515625" style="980" customWidth="1"/>
    <col min="7" max="7" width="8.7109375" style="974" customWidth="1"/>
    <col min="8" max="8" width="2.5703125" style="974" customWidth="1"/>
    <col min="9" max="10" width="3.7109375" style="974" customWidth="1"/>
    <col min="11" max="11" width="4.42578125" style="974" customWidth="1"/>
    <col min="12" max="12" width="4.28515625" style="974" customWidth="1"/>
    <col min="13" max="14" width="4.85546875" style="974" customWidth="1"/>
    <col min="15" max="17" width="3.42578125" style="974" customWidth="1"/>
    <col min="18" max="18" width="1.5703125" style="974" customWidth="1"/>
    <col min="19" max="19" width="7" style="974" customWidth="1"/>
    <col min="20" max="22" width="3.42578125" style="974" customWidth="1"/>
    <col min="23" max="23" width="2.7109375" style="974" customWidth="1"/>
    <col min="24" max="24" width="2.5703125" style="974" customWidth="1"/>
    <col min="25" max="25" width="2.42578125" style="974" customWidth="1"/>
    <col min="26" max="26" width="10.140625" style="974" customWidth="1"/>
    <col min="27" max="27" width="0.5703125" style="974" customWidth="1"/>
    <col min="28" max="28" width="0.7109375" style="974" customWidth="1"/>
    <col min="29" max="29" width="6.7109375" style="974" customWidth="1"/>
    <col min="30" max="30" width="2.5703125" style="974" customWidth="1"/>
    <col min="31" max="31" width="1.42578125" style="974" customWidth="1"/>
    <col min="32" max="32" width="3.7109375" style="974" customWidth="1"/>
    <col min="33" max="33" width="3.85546875" style="974" customWidth="1"/>
    <col min="34" max="34" width="2.42578125" style="974" customWidth="1"/>
    <col min="35" max="39" width="2" style="974" customWidth="1"/>
    <col min="40" max="45" width="2.7109375" style="974" customWidth="1"/>
    <col min="46" max="257" width="9.140625" style="974"/>
    <col min="258" max="259" width="2.140625" style="974" customWidth="1"/>
    <col min="260" max="260" width="17.42578125" style="974" customWidth="1"/>
    <col min="261" max="261" width="0.140625" style="974" customWidth="1"/>
    <col min="262" max="262" width="16.140625" style="974" customWidth="1"/>
    <col min="263" max="263" width="8.7109375" style="974" customWidth="1"/>
    <col min="264" max="264" width="2.5703125" style="974" customWidth="1"/>
    <col min="265" max="266" width="3.7109375" style="974" customWidth="1"/>
    <col min="267" max="267" width="4.42578125" style="974" customWidth="1"/>
    <col min="268" max="268" width="4.28515625" style="974" customWidth="1"/>
    <col min="269" max="270" width="4.85546875" style="974" customWidth="1"/>
    <col min="271" max="273" width="3.42578125" style="974" customWidth="1"/>
    <col min="274" max="275" width="4.85546875" style="974" customWidth="1"/>
    <col min="276" max="278" width="3.42578125" style="974" customWidth="1"/>
    <col min="279" max="279" width="2.7109375" style="974" customWidth="1"/>
    <col min="280" max="280" width="2.5703125" style="974" customWidth="1"/>
    <col min="281" max="281" width="2.42578125" style="974" customWidth="1"/>
    <col min="282" max="282" width="10.140625" style="974" customWidth="1"/>
    <col min="283" max="283" width="0.140625" style="974" customWidth="1"/>
    <col min="284" max="284" width="0" style="974" hidden="1" customWidth="1"/>
    <col min="285" max="285" width="6.7109375" style="974" customWidth="1"/>
    <col min="286" max="286" width="2.5703125" style="974" customWidth="1"/>
    <col min="287" max="287" width="1.42578125" style="974" customWidth="1"/>
    <col min="288" max="288" width="2.85546875" style="974" customWidth="1"/>
    <col min="289" max="289" width="3.85546875" style="974" customWidth="1"/>
    <col min="290" max="290" width="2.42578125" style="974" customWidth="1"/>
    <col min="291" max="295" width="2" style="974" customWidth="1"/>
    <col min="296" max="301" width="2.7109375" style="974" customWidth="1"/>
    <col min="302" max="513" width="9.140625" style="974"/>
    <col min="514" max="515" width="2.140625" style="974" customWidth="1"/>
    <col min="516" max="516" width="17.42578125" style="974" customWidth="1"/>
    <col min="517" max="517" width="0.140625" style="974" customWidth="1"/>
    <col min="518" max="518" width="16.140625" style="974" customWidth="1"/>
    <col min="519" max="519" width="8.7109375" style="974" customWidth="1"/>
    <col min="520" max="520" width="2.5703125" style="974" customWidth="1"/>
    <col min="521" max="522" width="3.7109375" style="974" customWidth="1"/>
    <col min="523" max="523" width="4.42578125" style="974" customWidth="1"/>
    <col min="524" max="524" width="4.28515625" style="974" customWidth="1"/>
    <col min="525" max="526" width="4.85546875" style="974" customWidth="1"/>
    <col min="527" max="529" width="3.42578125" style="974" customWidth="1"/>
    <col min="530" max="531" width="4.85546875" style="974" customWidth="1"/>
    <col min="532" max="534" width="3.42578125" style="974" customWidth="1"/>
    <col min="535" max="535" width="2.7109375" style="974" customWidth="1"/>
    <col min="536" max="536" width="2.5703125" style="974" customWidth="1"/>
    <col min="537" max="537" width="2.42578125" style="974" customWidth="1"/>
    <col min="538" max="538" width="10.140625" style="974" customWidth="1"/>
    <col min="539" max="539" width="0.140625" style="974" customWidth="1"/>
    <col min="540" max="540" width="0" style="974" hidden="1" customWidth="1"/>
    <col min="541" max="541" width="6.7109375" style="974" customWidth="1"/>
    <col min="542" max="542" width="2.5703125" style="974" customWidth="1"/>
    <col min="543" max="543" width="1.42578125" style="974" customWidth="1"/>
    <col min="544" max="544" width="2.85546875" style="974" customWidth="1"/>
    <col min="545" max="545" width="3.85546875" style="974" customWidth="1"/>
    <col min="546" max="546" width="2.42578125" style="974" customWidth="1"/>
    <col min="547" max="551" width="2" style="974" customWidth="1"/>
    <col min="552" max="557" width="2.7109375" style="974" customWidth="1"/>
    <col min="558" max="769" width="9.140625" style="974"/>
    <col min="770" max="771" width="2.140625" style="974" customWidth="1"/>
    <col min="772" max="772" width="17.42578125" style="974" customWidth="1"/>
    <col min="773" max="773" width="0.140625" style="974" customWidth="1"/>
    <col min="774" max="774" width="16.140625" style="974" customWidth="1"/>
    <col min="775" max="775" width="8.7109375" style="974" customWidth="1"/>
    <col min="776" max="776" width="2.5703125" style="974" customWidth="1"/>
    <col min="777" max="778" width="3.7109375" style="974" customWidth="1"/>
    <col min="779" max="779" width="4.42578125" style="974" customWidth="1"/>
    <col min="780" max="780" width="4.28515625" style="974" customWidth="1"/>
    <col min="781" max="782" width="4.85546875" style="974" customWidth="1"/>
    <col min="783" max="785" width="3.42578125" style="974" customWidth="1"/>
    <col min="786" max="787" width="4.85546875" style="974" customWidth="1"/>
    <col min="788" max="790" width="3.42578125" style="974" customWidth="1"/>
    <col min="791" max="791" width="2.7109375" style="974" customWidth="1"/>
    <col min="792" max="792" width="2.5703125" style="974" customWidth="1"/>
    <col min="793" max="793" width="2.42578125" style="974" customWidth="1"/>
    <col min="794" max="794" width="10.140625" style="974" customWidth="1"/>
    <col min="795" max="795" width="0.140625" style="974" customWidth="1"/>
    <col min="796" max="796" width="0" style="974" hidden="1" customWidth="1"/>
    <col min="797" max="797" width="6.7109375" style="974" customWidth="1"/>
    <col min="798" max="798" width="2.5703125" style="974" customWidth="1"/>
    <col min="799" max="799" width="1.42578125" style="974" customWidth="1"/>
    <col min="800" max="800" width="2.85546875" style="974" customWidth="1"/>
    <col min="801" max="801" width="3.85546875" style="974" customWidth="1"/>
    <col min="802" max="802" width="2.42578125" style="974" customWidth="1"/>
    <col min="803" max="807" width="2" style="974" customWidth="1"/>
    <col min="808" max="813" width="2.7109375" style="974" customWidth="1"/>
    <col min="814" max="1025" width="9.140625" style="974"/>
    <col min="1026" max="1027" width="2.140625" style="974" customWidth="1"/>
    <col min="1028" max="1028" width="17.42578125" style="974" customWidth="1"/>
    <col min="1029" max="1029" width="0.140625" style="974" customWidth="1"/>
    <col min="1030" max="1030" width="16.140625" style="974" customWidth="1"/>
    <col min="1031" max="1031" width="8.7109375" style="974" customWidth="1"/>
    <col min="1032" max="1032" width="2.5703125" style="974" customWidth="1"/>
    <col min="1033" max="1034" width="3.7109375" style="974" customWidth="1"/>
    <col min="1035" max="1035" width="4.42578125" style="974" customWidth="1"/>
    <col min="1036" max="1036" width="4.28515625" style="974" customWidth="1"/>
    <col min="1037" max="1038" width="4.85546875" style="974" customWidth="1"/>
    <col min="1039" max="1041" width="3.42578125" style="974" customWidth="1"/>
    <col min="1042" max="1043" width="4.85546875" style="974" customWidth="1"/>
    <col min="1044" max="1046" width="3.42578125" style="974" customWidth="1"/>
    <col min="1047" max="1047" width="2.7109375" style="974" customWidth="1"/>
    <col min="1048" max="1048" width="2.5703125" style="974" customWidth="1"/>
    <col min="1049" max="1049" width="2.42578125" style="974" customWidth="1"/>
    <col min="1050" max="1050" width="10.140625" style="974" customWidth="1"/>
    <col min="1051" max="1051" width="0.140625" style="974" customWidth="1"/>
    <col min="1052" max="1052" width="0" style="974" hidden="1" customWidth="1"/>
    <col min="1053" max="1053" width="6.7109375" style="974" customWidth="1"/>
    <col min="1054" max="1054" width="2.5703125" style="974" customWidth="1"/>
    <col min="1055" max="1055" width="1.42578125" style="974" customWidth="1"/>
    <col min="1056" max="1056" width="2.85546875" style="974" customWidth="1"/>
    <col min="1057" max="1057" width="3.85546875" style="974" customWidth="1"/>
    <col min="1058" max="1058" width="2.42578125" style="974" customWidth="1"/>
    <col min="1059" max="1063" width="2" style="974" customWidth="1"/>
    <col min="1064" max="1069" width="2.7109375" style="974" customWidth="1"/>
    <col min="1070" max="1281" width="9.140625" style="974"/>
    <col min="1282" max="1283" width="2.140625" style="974" customWidth="1"/>
    <col min="1284" max="1284" width="17.42578125" style="974" customWidth="1"/>
    <col min="1285" max="1285" width="0.140625" style="974" customWidth="1"/>
    <col min="1286" max="1286" width="16.140625" style="974" customWidth="1"/>
    <col min="1287" max="1287" width="8.7109375" style="974" customWidth="1"/>
    <col min="1288" max="1288" width="2.5703125" style="974" customWidth="1"/>
    <col min="1289" max="1290" width="3.7109375" style="974" customWidth="1"/>
    <col min="1291" max="1291" width="4.42578125" style="974" customWidth="1"/>
    <col min="1292" max="1292" width="4.28515625" style="974" customWidth="1"/>
    <col min="1293" max="1294" width="4.85546875" style="974" customWidth="1"/>
    <col min="1295" max="1297" width="3.42578125" style="974" customWidth="1"/>
    <col min="1298" max="1299" width="4.85546875" style="974" customWidth="1"/>
    <col min="1300" max="1302" width="3.42578125" style="974" customWidth="1"/>
    <col min="1303" max="1303" width="2.7109375" style="974" customWidth="1"/>
    <col min="1304" max="1304" width="2.5703125" style="974" customWidth="1"/>
    <col min="1305" max="1305" width="2.42578125" style="974" customWidth="1"/>
    <col min="1306" max="1306" width="10.140625" style="974" customWidth="1"/>
    <col min="1307" max="1307" width="0.140625" style="974" customWidth="1"/>
    <col min="1308" max="1308" width="0" style="974" hidden="1" customWidth="1"/>
    <col min="1309" max="1309" width="6.7109375" style="974" customWidth="1"/>
    <col min="1310" max="1310" width="2.5703125" style="974" customWidth="1"/>
    <col min="1311" max="1311" width="1.42578125" style="974" customWidth="1"/>
    <col min="1312" max="1312" width="2.85546875" style="974" customWidth="1"/>
    <col min="1313" max="1313" width="3.85546875" style="974" customWidth="1"/>
    <col min="1314" max="1314" width="2.42578125" style="974" customWidth="1"/>
    <col min="1315" max="1319" width="2" style="974" customWidth="1"/>
    <col min="1320" max="1325" width="2.7109375" style="974" customWidth="1"/>
    <col min="1326" max="1537" width="9.140625" style="974"/>
    <col min="1538" max="1539" width="2.140625" style="974" customWidth="1"/>
    <col min="1540" max="1540" width="17.42578125" style="974" customWidth="1"/>
    <col min="1541" max="1541" width="0.140625" style="974" customWidth="1"/>
    <col min="1542" max="1542" width="16.140625" style="974" customWidth="1"/>
    <col min="1543" max="1543" width="8.7109375" style="974" customWidth="1"/>
    <col min="1544" max="1544" width="2.5703125" style="974" customWidth="1"/>
    <col min="1545" max="1546" width="3.7109375" style="974" customWidth="1"/>
    <col min="1547" max="1547" width="4.42578125" style="974" customWidth="1"/>
    <col min="1548" max="1548" width="4.28515625" style="974" customWidth="1"/>
    <col min="1549" max="1550" width="4.85546875" style="974" customWidth="1"/>
    <col min="1551" max="1553" width="3.42578125" style="974" customWidth="1"/>
    <col min="1554" max="1555" width="4.85546875" style="974" customWidth="1"/>
    <col min="1556" max="1558" width="3.42578125" style="974" customWidth="1"/>
    <col min="1559" max="1559" width="2.7109375" style="974" customWidth="1"/>
    <col min="1560" max="1560" width="2.5703125" style="974" customWidth="1"/>
    <col min="1561" max="1561" width="2.42578125" style="974" customWidth="1"/>
    <col min="1562" max="1562" width="10.140625" style="974" customWidth="1"/>
    <col min="1563" max="1563" width="0.140625" style="974" customWidth="1"/>
    <col min="1564" max="1564" width="0" style="974" hidden="1" customWidth="1"/>
    <col min="1565" max="1565" width="6.7109375" style="974" customWidth="1"/>
    <col min="1566" max="1566" width="2.5703125" style="974" customWidth="1"/>
    <col min="1567" max="1567" width="1.42578125" style="974" customWidth="1"/>
    <col min="1568" max="1568" width="2.85546875" style="974" customWidth="1"/>
    <col min="1569" max="1569" width="3.85546875" style="974" customWidth="1"/>
    <col min="1570" max="1570" width="2.42578125" style="974" customWidth="1"/>
    <col min="1571" max="1575" width="2" style="974" customWidth="1"/>
    <col min="1576" max="1581" width="2.7109375" style="974" customWidth="1"/>
    <col min="1582" max="1793" width="9.140625" style="974"/>
    <col min="1794" max="1795" width="2.140625" style="974" customWidth="1"/>
    <col min="1796" max="1796" width="17.42578125" style="974" customWidth="1"/>
    <col min="1797" max="1797" width="0.140625" style="974" customWidth="1"/>
    <col min="1798" max="1798" width="16.140625" style="974" customWidth="1"/>
    <col min="1799" max="1799" width="8.7109375" style="974" customWidth="1"/>
    <col min="1800" max="1800" width="2.5703125" style="974" customWidth="1"/>
    <col min="1801" max="1802" width="3.7109375" style="974" customWidth="1"/>
    <col min="1803" max="1803" width="4.42578125" style="974" customWidth="1"/>
    <col min="1804" max="1804" width="4.28515625" style="974" customWidth="1"/>
    <col min="1805" max="1806" width="4.85546875" style="974" customWidth="1"/>
    <col min="1807" max="1809" width="3.42578125" style="974" customWidth="1"/>
    <col min="1810" max="1811" width="4.85546875" style="974" customWidth="1"/>
    <col min="1812" max="1814" width="3.42578125" style="974" customWidth="1"/>
    <col min="1815" max="1815" width="2.7109375" style="974" customWidth="1"/>
    <col min="1816" max="1816" width="2.5703125" style="974" customWidth="1"/>
    <col min="1817" max="1817" width="2.42578125" style="974" customWidth="1"/>
    <col min="1818" max="1818" width="10.140625" style="974" customWidth="1"/>
    <col min="1819" max="1819" width="0.140625" style="974" customWidth="1"/>
    <col min="1820" max="1820" width="0" style="974" hidden="1" customWidth="1"/>
    <col min="1821" max="1821" width="6.7109375" style="974" customWidth="1"/>
    <col min="1822" max="1822" width="2.5703125" style="974" customWidth="1"/>
    <col min="1823" max="1823" width="1.42578125" style="974" customWidth="1"/>
    <col min="1824" max="1824" width="2.85546875" style="974" customWidth="1"/>
    <col min="1825" max="1825" width="3.85546875" style="974" customWidth="1"/>
    <col min="1826" max="1826" width="2.42578125" style="974" customWidth="1"/>
    <col min="1827" max="1831" width="2" style="974" customWidth="1"/>
    <col min="1832" max="1837" width="2.7109375" style="974" customWidth="1"/>
    <col min="1838" max="2049" width="9.140625" style="974"/>
    <col min="2050" max="2051" width="2.140625" style="974" customWidth="1"/>
    <col min="2052" max="2052" width="17.42578125" style="974" customWidth="1"/>
    <col min="2053" max="2053" width="0.140625" style="974" customWidth="1"/>
    <col min="2054" max="2054" width="16.140625" style="974" customWidth="1"/>
    <col min="2055" max="2055" width="8.7109375" style="974" customWidth="1"/>
    <col min="2056" max="2056" width="2.5703125" style="974" customWidth="1"/>
    <col min="2057" max="2058" width="3.7109375" style="974" customWidth="1"/>
    <col min="2059" max="2059" width="4.42578125" style="974" customWidth="1"/>
    <col min="2060" max="2060" width="4.28515625" style="974" customWidth="1"/>
    <col min="2061" max="2062" width="4.85546875" style="974" customWidth="1"/>
    <col min="2063" max="2065" width="3.42578125" style="974" customWidth="1"/>
    <col min="2066" max="2067" width="4.85546875" style="974" customWidth="1"/>
    <col min="2068" max="2070" width="3.42578125" style="974" customWidth="1"/>
    <col min="2071" max="2071" width="2.7109375" style="974" customWidth="1"/>
    <col min="2072" max="2072" width="2.5703125" style="974" customWidth="1"/>
    <col min="2073" max="2073" width="2.42578125" style="974" customWidth="1"/>
    <col min="2074" max="2074" width="10.140625" style="974" customWidth="1"/>
    <col min="2075" max="2075" width="0.140625" style="974" customWidth="1"/>
    <col min="2076" max="2076" width="0" style="974" hidden="1" customWidth="1"/>
    <col min="2077" max="2077" width="6.7109375" style="974" customWidth="1"/>
    <col min="2078" max="2078" width="2.5703125" style="974" customWidth="1"/>
    <col min="2079" max="2079" width="1.42578125" style="974" customWidth="1"/>
    <col min="2080" max="2080" width="2.85546875" style="974" customWidth="1"/>
    <col min="2081" max="2081" width="3.85546875" style="974" customWidth="1"/>
    <col min="2082" max="2082" width="2.42578125" style="974" customWidth="1"/>
    <col min="2083" max="2087" width="2" style="974" customWidth="1"/>
    <col min="2088" max="2093" width="2.7109375" style="974" customWidth="1"/>
    <col min="2094" max="2305" width="9.140625" style="974"/>
    <col min="2306" max="2307" width="2.140625" style="974" customWidth="1"/>
    <col min="2308" max="2308" width="17.42578125" style="974" customWidth="1"/>
    <col min="2309" max="2309" width="0.140625" style="974" customWidth="1"/>
    <col min="2310" max="2310" width="16.140625" style="974" customWidth="1"/>
    <col min="2311" max="2311" width="8.7109375" style="974" customWidth="1"/>
    <col min="2312" max="2312" width="2.5703125" style="974" customWidth="1"/>
    <col min="2313" max="2314" width="3.7109375" style="974" customWidth="1"/>
    <col min="2315" max="2315" width="4.42578125" style="974" customWidth="1"/>
    <col min="2316" max="2316" width="4.28515625" style="974" customWidth="1"/>
    <col min="2317" max="2318" width="4.85546875" style="974" customWidth="1"/>
    <col min="2319" max="2321" width="3.42578125" style="974" customWidth="1"/>
    <col min="2322" max="2323" width="4.85546875" style="974" customWidth="1"/>
    <col min="2324" max="2326" width="3.42578125" style="974" customWidth="1"/>
    <col min="2327" max="2327" width="2.7109375" style="974" customWidth="1"/>
    <col min="2328" max="2328" width="2.5703125" style="974" customWidth="1"/>
    <col min="2329" max="2329" width="2.42578125" style="974" customWidth="1"/>
    <col min="2330" max="2330" width="10.140625" style="974" customWidth="1"/>
    <col min="2331" max="2331" width="0.140625" style="974" customWidth="1"/>
    <col min="2332" max="2332" width="0" style="974" hidden="1" customWidth="1"/>
    <col min="2333" max="2333" width="6.7109375" style="974" customWidth="1"/>
    <col min="2334" max="2334" width="2.5703125" style="974" customWidth="1"/>
    <col min="2335" max="2335" width="1.42578125" style="974" customWidth="1"/>
    <col min="2336" max="2336" width="2.85546875" style="974" customWidth="1"/>
    <col min="2337" max="2337" width="3.85546875" style="974" customWidth="1"/>
    <col min="2338" max="2338" width="2.42578125" style="974" customWidth="1"/>
    <col min="2339" max="2343" width="2" style="974" customWidth="1"/>
    <col min="2344" max="2349" width="2.7109375" style="974" customWidth="1"/>
    <col min="2350" max="2561" width="9.140625" style="974"/>
    <col min="2562" max="2563" width="2.140625" style="974" customWidth="1"/>
    <col min="2564" max="2564" width="17.42578125" style="974" customWidth="1"/>
    <col min="2565" max="2565" width="0.140625" style="974" customWidth="1"/>
    <col min="2566" max="2566" width="16.140625" style="974" customWidth="1"/>
    <col min="2567" max="2567" width="8.7109375" style="974" customWidth="1"/>
    <col min="2568" max="2568" width="2.5703125" style="974" customWidth="1"/>
    <col min="2569" max="2570" width="3.7109375" style="974" customWidth="1"/>
    <col min="2571" max="2571" width="4.42578125" style="974" customWidth="1"/>
    <col min="2572" max="2572" width="4.28515625" style="974" customWidth="1"/>
    <col min="2573" max="2574" width="4.85546875" style="974" customWidth="1"/>
    <col min="2575" max="2577" width="3.42578125" style="974" customWidth="1"/>
    <col min="2578" max="2579" width="4.85546875" style="974" customWidth="1"/>
    <col min="2580" max="2582" width="3.42578125" style="974" customWidth="1"/>
    <col min="2583" max="2583" width="2.7109375" style="974" customWidth="1"/>
    <col min="2584" max="2584" width="2.5703125" style="974" customWidth="1"/>
    <col min="2585" max="2585" width="2.42578125" style="974" customWidth="1"/>
    <col min="2586" max="2586" width="10.140625" style="974" customWidth="1"/>
    <col min="2587" max="2587" width="0.140625" style="974" customWidth="1"/>
    <col min="2588" max="2588" width="0" style="974" hidden="1" customWidth="1"/>
    <col min="2589" max="2589" width="6.7109375" style="974" customWidth="1"/>
    <col min="2590" max="2590" width="2.5703125" style="974" customWidth="1"/>
    <col min="2591" max="2591" width="1.42578125" style="974" customWidth="1"/>
    <col min="2592" max="2592" width="2.85546875" style="974" customWidth="1"/>
    <col min="2593" max="2593" width="3.85546875" style="974" customWidth="1"/>
    <col min="2594" max="2594" width="2.42578125" style="974" customWidth="1"/>
    <col min="2595" max="2599" width="2" style="974" customWidth="1"/>
    <col min="2600" max="2605" width="2.7109375" style="974" customWidth="1"/>
    <col min="2606" max="2817" width="9.140625" style="974"/>
    <col min="2818" max="2819" width="2.140625" style="974" customWidth="1"/>
    <col min="2820" max="2820" width="17.42578125" style="974" customWidth="1"/>
    <col min="2821" max="2821" width="0.140625" style="974" customWidth="1"/>
    <col min="2822" max="2822" width="16.140625" style="974" customWidth="1"/>
    <col min="2823" max="2823" width="8.7109375" style="974" customWidth="1"/>
    <col min="2824" max="2824" width="2.5703125" style="974" customWidth="1"/>
    <col min="2825" max="2826" width="3.7109375" style="974" customWidth="1"/>
    <col min="2827" max="2827" width="4.42578125" style="974" customWidth="1"/>
    <col min="2828" max="2828" width="4.28515625" style="974" customWidth="1"/>
    <col min="2829" max="2830" width="4.85546875" style="974" customWidth="1"/>
    <col min="2831" max="2833" width="3.42578125" style="974" customWidth="1"/>
    <col min="2834" max="2835" width="4.85546875" style="974" customWidth="1"/>
    <col min="2836" max="2838" width="3.42578125" style="974" customWidth="1"/>
    <col min="2839" max="2839" width="2.7109375" style="974" customWidth="1"/>
    <col min="2840" max="2840" width="2.5703125" style="974" customWidth="1"/>
    <col min="2841" max="2841" width="2.42578125" style="974" customWidth="1"/>
    <col min="2842" max="2842" width="10.140625" style="974" customWidth="1"/>
    <col min="2843" max="2843" width="0.140625" style="974" customWidth="1"/>
    <col min="2844" max="2844" width="0" style="974" hidden="1" customWidth="1"/>
    <col min="2845" max="2845" width="6.7109375" style="974" customWidth="1"/>
    <col min="2846" max="2846" width="2.5703125" style="974" customWidth="1"/>
    <col min="2847" max="2847" width="1.42578125" style="974" customWidth="1"/>
    <col min="2848" max="2848" width="2.85546875" style="974" customWidth="1"/>
    <col min="2849" max="2849" width="3.85546875" style="974" customWidth="1"/>
    <col min="2850" max="2850" width="2.42578125" style="974" customWidth="1"/>
    <col min="2851" max="2855" width="2" style="974" customWidth="1"/>
    <col min="2856" max="2861" width="2.7109375" style="974" customWidth="1"/>
    <col min="2862" max="3073" width="9.140625" style="974"/>
    <col min="3074" max="3075" width="2.140625" style="974" customWidth="1"/>
    <col min="3076" max="3076" width="17.42578125" style="974" customWidth="1"/>
    <col min="3077" max="3077" width="0.140625" style="974" customWidth="1"/>
    <col min="3078" max="3078" width="16.140625" style="974" customWidth="1"/>
    <col min="3079" max="3079" width="8.7109375" style="974" customWidth="1"/>
    <col min="3080" max="3080" width="2.5703125" style="974" customWidth="1"/>
    <col min="3081" max="3082" width="3.7109375" style="974" customWidth="1"/>
    <col min="3083" max="3083" width="4.42578125" style="974" customWidth="1"/>
    <col min="3084" max="3084" width="4.28515625" style="974" customWidth="1"/>
    <col min="3085" max="3086" width="4.85546875" style="974" customWidth="1"/>
    <col min="3087" max="3089" width="3.42578125" style="974" customWidth="1"/>
    <col min="3090" max="3091" width="4.85546875" style="974" customWidth="1"/>
    <col min="3092" max="3094" width="3.42578125" style="974" customWidth="1"/>
    <col min="3095" max="3095" width="2.7109375" style="974" customWidth="1"/>
    <col min="3096" max="3096" width="2.5703125" style="974" customWidth="1"/>
    <col min="3097" max="3097" width="2.42578125" style="974" customWidth="1"/>
    <col min="3098" max="3098" width="10.140625" style="974" customWidth="1"/>
    <col min="3099" max="3099" width="0.140625" style="974" customWidth="1"/>
    <col min="3100" max="3100" width="0" style="974" hidden="1" customWidth="1"/>
    <col min="3101" max="3101" width="6.7109375" style="974" customWidth="1"/>
    <col min="3102" max="3102" width="2.5703125" style="974" customWidth="1"/>
    <col min="3103" max="3103" width="1.42578125" style="974" customWidth="1"/>
    <col min="3104" max="3104" width="2.85546875" style="974" customWidth="1"/>
    <col min="3105" max="3105" width="3.85546875" style="974" customWidth="1"/>
    <col min="3106" max="3106" width="2.42578125" style="974" customWidth="1"/>
    <col min="3107" max="3111" width="2" style="974" customWidth="1"/>
    <col min="3112" max="3117" width="2.7109375" style="974" customWidth="1"/>
    <col min="3118" max="3329" width="9.140625" style="974"/>
    <col min="3330" max="3331" width="2.140625" style="974" customWidth="1"/>
    <col min="3332" max="3332" width="17.42578125" style="974" customWidth="1"/>
    <col min="3333" max="3333" width="0.140625" style="974" customWidth="1"/>
    <col min="3334" max="3334" width="16.140625" style="974" customWidth="1"/>
    <col min="3335" max="3335" width="8.7109375" style="974" customWidth="1"/>
    <col min="3336" max="3336" width="2.5703125" style="974" customWidth="1"/>
    <col min="3337" max="3338" width="3.7109375" style="974" customWidth="1"/>
    <col min="3339" max="3339" width="4.42578125" style="974" customWidth="1"/>
    <col min="3340" max="3340" width="4.28515625" style="974" customWidth="1"/>
    <col min="3341" max="3342" width="4.85546875" style="974" customWidth="1"/>
    <col min="3343" max="3345" width="3.42578125" style="974" customWidth="1"/>
    <col min="3346" max="3347" width="4.85546875" style="974" customWidth="1"/>
    <col min="3348" max="3350" width="3.42578125" style="974" customWidth="1"/>
    <col min="3351" max="3351" width="2.7109375" style="974" customWidth="1"/>
    <col min="3352" max="3352" width="2.5703125" style="974" customWidth="1"/>
    <col min="3353" max="3353" width="2.42578125" style="974" customWidth="1"/>
    <col min="3354" max="3354" width="10.140625" style="974" customWidth="1"/>
    <col min="3355" max="3355" width="0.140625" style="974" customWidth="1"/>
    <col min="3356" max="3356" width="0" style="974" hidden="1" customWidth="1"/>
    <col min="3357" max="3357" width="6.7109375" style="974" customWidth="1"/>
    <col min="3358" max="3358" width="2.5703125" style="974" customWidth="1"/>
    <col min="3359" max="3359" width="1.42578125" style="974" customWidth="1"/>
    <col min="3360" max="3360" width="2.85546875" style="974" customWidth="1"/>
    <col min="3361" max="3361" width="3.85546875" style="974" customWidth="1"/>
    <col min="3362" max="3362" width="2.42578125" style="974" customWidth="1"/>
    <col min="3363" max="3367" width="2" style="974" customWidth="1"/>
    <col min="3368" max="3373" width="2.7109375" style="974" customWidth="1"/>
    <col min="3374" max="3585" width="9.140625" style="974"/>
    <col min="3586" max="3587" width="2.140625" style="974" customWidth="1"/>
    <col min="3588" max="3588" width="17.42578125" style="974" customWidth="1"/>
    <col min="3589" max="3589" width="0.140625" style="974" customWidth="1"/>
    <col min="3590" max="3590" width="16.140625" style="974" customWidth="1"/>
    <col min="3591" max="3591" width="8.7109375" style="974" customWidth="1"/>
    <col min="3592" max="3592" width="2.5703125" style="974" customWidth="1"/>
    <col min="3593" max="3594" width="3.7109375" style="974" customWidth="1"/>
    <col min="3595" max="3595" width="4.42578125" style="974" customWidth="1"/>
    <col min="3596" max="3596" width="4.28515625" style="974" customWidth="1"/>
    <col min="3597" max="3598" width="4.85546875" style="974" customWidth="1"/>
    <col min="3599" max="3601" width="3.42578125" style="974" customWidth="1"/>
    <col min="3602" max="3603" width="4.85546875" style="974" customWidth="1"/>
    <col min="3604" max="3606" width="3.42578125" style="974" customWidth="1"/>
    <col min="3607" max="3607" width="2.7109375" style="974" customWidth="1"/>
    <col min="3608" max="3608" width="2.5703125" style="974" customWidth="1"/>
    <col min="3609" max="3609" width="2.42578125" style="974" customWidth="1"/>
    <col min="3610" max="3610" width="10.140625" style="974" customWidth="1"/>
    <col min="3611" max="3611" width="0.140625" style="974" customWidth="1"/>
    <col min="3612" max="3612" width="0" style="974" hidden="1" customWidth="1"/>
    <col min="3613" max="3613" width="6.7109375" style="974" customWidth="1"/>
    <col min="3614" max="3614" width="2.5703125" style="974" customWidth="1"/>
    <col min="3615" max="3615" width="1.42578125" style="974" customWidth="1"/>
    <col min="3616" max="3616" width="2.85546875" style="974" customWidth="1"/>
    <col min="3617" max="3617" width="3.85546875" style="974" customWidth="1"/>
    <col min="3618" max="3618" width="2.42578125" style="974" customWidth="1"/>
    <col min="3619" max="3623" width="2" style="974" customWidth="1"/>
    <col min="3624" max="3629" width="2.7109375" style="974" customWidth="1"/>
    <col min="3630" max="3841" width="9.140625" style="974"/>
    <col min="3842" max="3843" width="2.140625" style="974" customWidth="1"/>
    <col min="3844" max="3844" width="17.42578125" style="974" customWidth="1"/>
    <col min="3845" max="3845" width="0.140625" style="974" customWidth="1"/>
    <col min="3846" max="3846" width="16.140625" style="974" customWidth="1"/>
    <col min="3847" max="3847" width="8.7109375" style="974" customWidth="1"/>
    <col min="3848" max="3848" width="2.5703125" style="974" customWidth="1"/>
    <col min="3849" max="3850" width="3.7109375" style="974" customWidth="1"/>
    <col min="3851" max="3851" width="4.42578125" style="974" customWidth="1"/>
    <col min="3852" max="3852" width="4.28515625" style="974" customWidth="1"/>
    <col min="3853" max="3854" width="4.85546875" style="974" customWidth="1"/>
    <col min="3855" max="3857" width="3.42578125" style="974" customWidth="1"/>
    <col min="3858" max="3859" width="4.85546875" style="974" customWidth="1"/>
    <col min="3860" max="3862" width="3.42578125" style="974" customWidth="1"/>
    <col min="3863" max="3863" width="2.7109375" style="974" customWidth="1"/>
    <col min="3864" max="3864" width="2.5703125" style="974" customWidth="1"/>
    <col min="3865" max="3865" width="2.42578125" style="974" customWidth="1"/>
    <col min="3866" max="3866" width="10.140625" style="974" customWidth="1"/>
    <col min="3867" max="3867" width="0.140625" style="974" customWidth="1"/>
    <col min="3868" max="3868" width="0" style="974" hidden="1" customWidth="1"/>
    <col min="3869" max="3869" width="6.7109375" style="974" customWidth="1"/>
    <col min="3870" max="3870" width="2.5703125" style="974" customWidth="1"/>
    <col min="3871" max="3871" width="1.42578125" style="974" customWidth="1"/>
    <col min="3872" max="3872" width="2.85546875" style="974" customWidth="1"/>
    <col min="3873" max="3873" width="3.85546875" style="974" customWidth="1"/>
    <col min="3874" max="3874" width="2.42578125" style="974" customWidth="1"/>
    <col min="3875" max="3879" width="2" style="974" customWidth="1"/>
    <col min="3880" max="3885" width="2.7109375" style="974" customWidth="1"/>
    <col min="3886" max="4097" width="9.140625" style="974"/>
    <col min="4098" max="4099" width="2.140625" style="974" customWidth="1"/>
    <col min="4100" max="4100" width="17.42578125" style="974" customWidth="1"/>
    <col min="4101" max="4101" width="0.140625" style="974" customWidth="1"/>
    <col min="4102" max="4102" width="16.140625" style="974" customWidth="1"/>
    <col min="4103" max="4103" width="8.7109375" style="974" customWidth="1"/>
    <col min="4104" max="4104" width="2.5703125" style="974" customWidth="1"/>
    <col min="4105" max="4106" width="3.7109375" style="974" customWidth="1"/>
    <col min="4107" max="4107" width="4.42578125" style="974" customWidth="1"/>
    <col min="4108" max="4108" width="4.28515625" style="974" customWidth="1"/>
    <col min="4109" max="4110" width="4.85546875" style="974" customWidth="1"/>
    <col min="4111" max="4113" width="3.42578125" style="974" customWidth="1"/>
    <col min="4114" max="4115" width="4.85546875" style="974" customWidth="1"/>
    <col min="4116" max="4118" width="3.42578125" style="974" customWidth="1"/>
    <col min="4119" max="4119" width="2.7109375" style="974" customWidth="1"/>
    <col min="4120" max="4120" width="2.5703125" style="974" customWidth="1"/>
    <col min="4121" max="4121" width="2.42578125" style="974" customWidth="1"/>
    <col min="4122" max="4122" width="10.140625" style="974" customWidth="1"/>
    <col min="4123" max="4123" width="0.140625" style="974" customWidth="1"/>
    <col min="4124" max="4124" width="0" style="974" hidden="1" customWidth="1"/>
    <col min="4125" max="4125" width="6.7109375" style="974" customWidth="1"/>
    <col min="4126" max="4126" width="2.5703125" style="974" customWidth="1"/>
    <col min="4127" max="4127" width="1.42578125" style="974" customWidth="1"/>
    <col min="4128" max="4128" width="2.85546875" style="974" customWidth="1"/>
    <col min="4129" max="4129" width="3.85546875" style="974" customWidth="1"/>
    <col min="4130" max="4130" width="2.42578125" style="974" customWidth="1"/>
    <col min="4131" max="4135" width="2" style="974" customWidth="1"/>
    <col min="4136" max="4141" width="2.7109375" style="974" customWidth="1"/>
    <col min="4142" max="4353" width="9.140625" style="974"/>
    <col min="4354" max="4355" width="2.140625" style="974" customWidth="1"/>
    <col min="4356" max="4356" width="17.42578125" style="974" customWidth="1"/>
    <col min="4357" max="4357" width="0.140625" style="974" customWidth="1"/>
    <col min="4358" max="4358" width="16.140625" style="974" customWidth="1"/>
    <col min="4359" max="4359" width="8.7109375" style="974" customWidth="1"/>
    <col min="4360" max="4360" width="2.5703125" style="974" customWidth="1"/>
    <col min="4361" max="4362" width="3.7109375" style="974" customWidth="1"/>
    <col min="4363" max="4363" width="4.42578125" style="974" customWidth="1"/>
    <col min="4364" max="4364" width="4.28515625" style="974" customWidth="1"/>
    <col min="4365" max="4366" width="4.85546875" style="974" customWidth="1"/>
    <col min="4367" max="4369" width="3.42578125" style="974" customWidth="1"/>
    <col min="4370" max="4371" width="4.85546875" style="974" customWidth="1"/>
    <col min="4372" max="4374" width="3.42578125" style="974" customWidth="1"/>
    <col min="4375" max="4375" width="2.7109375" style="974" customWidth="1"/>
    <col min="4376" max="4376" width="2.5703125" style="974" customWidth="1"/>
    <col min="4377" max="4377" width="2.42578125" style="974" customWidth="1"/>
    <col min="4378" max="4378" width="10.140625" style="974" customWidth="1"/>
    <col min="4379" max="4379" width="0.140625" style="974" customWidth="1"/>
    <col min="4380" max="4380" width="0" style="974" hidden="1" customWidth="1"/>
    <col min="4381" max="4381" width="6.7109375" style="974" customWidth="1"/>
    <col min="4382" max="4382" width="2.5703125" style="974" customWidth="1"/>
    <col min="4383" max="4383" width="1.42578125" style="974" customWidth="1"/>
    <col min="4384" max="4384" width="2.85546875" style="974" customWidth="1"/>
    <col min="4385" max="4385" width="3.85546875" style="974" customWidth="1"/>
    <col min="4386" max="4386" width="2.42578125" style="974" customWidth="1"/>
    <col min="4387" max="4391" width="2" style="974" customWidth="1"/>
    <col min="4392" max="4397" width="2.7109375" style="974" customWidth="1"/>
    <col min="4398" max="4609" width="9.140625" style="974"/>
    <col min="4610" max="4611" width="2.140625" style="974" customWidth="1"/>
    <col min="4612" max="4612" width="17.42578125" style="974" customWidth="1"/>
    <col min="4613" max="4613" width="0.140625" style="974" customWidth="1"/>
    <col min="4614" max="4614" width="16.140625" style="974" customWidth="1"/>
    <col min="4615" max="4615" width="8.7109375" style="974" customWidth="1"/>
    <col min="4616" max="4616" width="2.5703125" style="974" customWidth="1"/>
    <col min="4617" max="4618" width="3.7109375" style="974" customWidth="1"/>
    <col min="4619" max="4619" width="4.42578125" style="974" customWidth="1"/>
    <col min="4620" max="4620" width="4.28515625" style="974" customWidth="1"/>
    <col min="4621" max="4622" width="4.85546875" style="974" customWidth="1"/>
    <col min="4623" max="4625" width="3.42578125" style="974" customWidth="1"/>
    <col min="4626" max="4627" width="4.85546875" style="974" customWidth="1"/>
    <col min="4628" max="4630" width="3.42578125" style="974" customWidth="1"/>
    <col min="4631" max="4631" width="2.7109375" style="974" customWidth="1"/>
    <col min="4632" max="4632" width="2.5703125" style="974" customWidth="1"/>
    <col min="4633" max="4633" width="2.42578125" style="974" customWidth="1"/>
    <col min="4634" max="4634" width="10.140625" style="974" customWidth="1"/>
    <col min="4635" max="4635" width="0.140625" style="974" customWidth="1"/>
    <col min="4636" max="4636" width="0" style="974" hidden="1" customWidth="1"/>
    <col min="4637" max="4637" width="6.7109375" style="974" customWidth="1"/>
    <col min="4638" max="4638" width="2.5703125" style="974" customWidth="1"/>
    <col min="4639" max="4639" width="1.42578125" style="974" customWidth="1"/>
    <col min="4640" max="4640" width="2.85546875" style="974" customWidth="1"/>
    <col min="4641" max="4641" width="3.85546875" style="974" customWidth="1"/>
    <col min="4642" max="4642" width="2.42578125" style="974" customWidth="1"/>
    <col min="4643" max="4647" width="2" style="974" customWidth="1"/>
    <col min="4648" max="4653" width="2.7109375" style="974" customWidth="1"/>
    <col min="4654" max="4865" width="9.140625" style="974"/>
    <col min="4866" max="4867" width="2.140625" style="974" customWidth="1"/>
    <col min="4868" max="4868" width="17.42578125" style="974" customWidth="1"/>
    <col min="4869" max="4869" width="0.140625" style="974" customWidth="1"/>
    <col min="4870" max="4870" width="16.140625" style="974" customWidth="1"/>
    <col min="4871" max="4871" width="8.7109375" style="974" customWidth="1"/>
    <col min="4872" max="4872" width="2.5703125" style="974" customWidth="1"/>
    <col min="4873" max="4874" width="3.7109375" style="974" customWidth="1"/>
    <col min="4875" max="4875" width="4.42578125" style="974" customWidth="1"/>
    <col min="4876" max="4876" width="4.28515625" style="974" customWidth="1"/>
    <col min="4877" max="4878" width="4.85546875" style="974" customWidth="1"/>
    <col min="4879" max="4881" width="3.42578125" style="974" customWidth="1"/>
    <col min="4882" max="4883" width="4.85546875" style="974" customWidth="1"/>
    <col min="4884" max="4886" width="3.42578125" style="974" customWidth="1"/>
    <col min="4887" max="4887" width="2.7109375" style="974" customWidth="1"/>
    <col min="4888" max="4888" width="2.5703125" style="974" customWidth="1"/>
    <col min="4889" max="4889" width="2.42578125" style="974" customWidth="1"/>
    <col min="4890" max="4890" width="10.140625" style="974" customWidth="1"/>
    <col min="4891" max="4891" width="0.140625" style="974" customWidth="1"/>
    <col min="4892" max="4892" width="0" style="974" hidden="1" customWidth="1"/>
    <col min="4893" max="4893" width="6.7109375" style="974" customWidth="1"/>
    <col min="4894" max="4894" width="2.5703125" style="974" customWidth="1"/>
    <col min="4895" max="4895" width="1.42578125" style="974" customWidth="1"/>
    <col min="4896" max="4896" width="2.85546875" style="974" customWidth="1"/>
    <col min="4897" max="4897" width="3.85546875" style="974" customWidth="1"/>
    <col min="4898" max="4898" width="2.42578125" style="974" customWidth="1"/>
    <col min="4899" max="4903" width="2" style="974" customWidth="1"/>
    <col min="4904" max="4909" width="2.7109375" style="974" customWidth="1"/>
    <col min="4910" max="5121" width="9.140625" style="974"/>
    <col min="5122" max="5123" width="2.140625" style="974" customWidth="1"/>
    <col min="5124" max="5124" width="17.42578125" style="974" customWidth="1"/>
    <col min="5125" max="5125" width="0.140625" style="974" customWidth="1"/>
    <col min="5126" max="5126" width="16.140625" style="974" customWidth="1"/>
    <col min="5127" max="5127" width="8.7109375" style="974" customWidth="1"/>
    <col min="5128" max="5128" width="2.5703125" style="974" customWidth="1"/>
    <col min="5129" max="5130" width="3.7109375" style="974" customWidth="1"/>
    <col min="5131" max="5131" width="4.42578125" style="974" customWidth="1"/>
    <col min="5132" max="5132" width="4.28515625" style="974" customWidth="1"/>
    <col min="5133" max="5134" width="4.85546875" style="974" customWidth="1"/>
    <col min="5135" max="5137" width="3.42578125" style="974" customWidth="1"/>
    <col min="5138" max="5139" width="4.85546875" style="974" customWidth="1"/>
    <col min="5140" max="5142" width="3.42578125" style="974" customWidth="1"/>
    <col min="5143" max="5143" width="2.7109375" style="974" customWidth="1"/>
    <col min="5144" max="5144" width="2.5703125" style="974" customWidth="1"/>
    <col min="5145" max="5145" width="2.42578125" style="974" customWidth="1"/>
    <col min="5146" max="5146" width="10.140625" style="974" customWidth="1"/>
    <col min="5147" max="5147" width="0.140625" style="974" customWidth="1"/>
    <col min="5148" max="5148" width="0" style="974" hidden="1" customWidth="1"/>
    <col min="5149" max="5149" width="6.7109375" style="974" customWidth="1"/>
    <col min="5150" max="5150" width="2.5703125" style="974" customWidth="1"/>
    <col min="5151" max="5151" width="1.42578125" style="974" customWidth="1"/>
    <col min="5152" max="5152" width="2.85546875" style="974" customWidth="1"/>
    <col min="5153" max="5153" width="3.85546875" style="974" customWidth="1"/>
    <col min="5154" max="5154" width="2.42578125" style="974" customWidth="1"/>
    <col min="5155" max="5159" width="2" style="974" customWidth="1"/>
    <col min="5160" max="5165" width="2.7109375" style="974" customWidth="1"/>
    <col min="5166" max="5377" width="9.140625" style="974"/>
    <col min="5378" max="5379" width="2.140625" style="974" customWidth="1"/>
    <col min="5380" max="5380" width="17.42578125" style="974" customWidth="1"/>
    <col min="5381" max="5381" width="0.140625" style="974" customWidth="1"/>
    <col min="5382" max="5382" width="16.140625" style="974" customWidth="1"/>
    <col min="5383" max="5383" width="8.7109375" style="974" customWidth="1"/>
    <col min="5384" max="5384" width="2.5703125" style="974" customWidth="1"/>
    <col min="5385" max="5386" width="3.7109375" style="974" customWidth="1"/>
    <col min="5387" max="5387" width="4.42578125" style="974" customWidth="1"/>
    <col min="5388" max="5388" width="4.28515625" style="974" customWidth="1"/>
    <col min="5389" max="5390" width="4.85546875" style="974" customWidth="1"/>
    <col min="5391" max="5393" width="3.42578125" style="974" customWidth="1"/>
    <col min="5394" max="5395" width="4.85546875" style="974" customWidth="1"/>
    <col min="5396" max="5398" width="3.42578125" style="974" customWidth="1"/>
    <col min="5399" max="5399" width="2.7109375" style="974" customWidth="1"/>
    <col min="5400" max="5400" width="2.5703125" style="974" customWidth="1"/>
    <col min="5401" max="5401" width="2.42578125" style="974" customWidth="1"/>
    <col min="5402" max="5402" width="10.140625" style="974" customWidth="1"/>
    <col min="5403" max="5403" width="0.140625" style="974" customWidth="1"/>
    <col min="5404" max="5404" width="0" style="974" hidden="1" customWidth="1"/>
    <col min="5405" max="5405" width="6.7109375" style="974" customWidth="1"/>
    <col min="5406" max="5406" width="2.5703125" style="974" customWidth="1"/>
    <col min="5407" max="5407" width="1.42578125" style="974" customWidth="1"/>
    <col min="5408" max="5408" width="2.85546875" style="974" customWidth="1"/>
    <col min="5409" max="5409" width="3.85546875" style="974" customWidth="1"/>
    <col min="5410" max="5410" width="2.42578125" style="974" customWidth="1"/>
    <col min="5411" max="5415" width="2" style="974" customWidth="1"/>
    <col min="5416" max="5421" width="2.7109375" style="974" customWidth="1"/>
    <col min="5422" max="5633" width="9.140625" style="974"/>
    <col min="5634" max="5635" width="2.140625" style="974" customWidth="1"/>
    <col min="5636" max="5636" width="17.42578125" style="974" customWidth="1"/>
    <col min="5637" max="5637" width="0.140625" style="974" customWidth="1"/>
    <col min="5638" max="5638" width="16.140625" style="974" customWidth="1"/>
    <col min="5639" max="5639" width="8.7109375" style="974" customWidth="1"/>
    <col min="5640" max="5640" width="2.5703125" style="974" customWidth="1"/>
    <col min="5641" max="5642" width="3.7109375" style="974" customWidth="1"/>
    <col min="5643" max="5643" width="4.42578125" style="974" customWidth="1"/>
    <col min="5644" max="5644" width="4.28515625" style="974" customWidth="1"/>
    <col min="5645" max="5646" width="4.85546875" style="974" customWidth="1"/>
    <col min="5647" max="5649" width="3.42578125" style="974" customWidth="1"/>
    <col min="5650" max="5651" width="4.85546875" style="974" customWidth="1"/>
    <col min="5652" max="5654" width="3.42578125" style="974" customWidth="1"/>
    <col min="5655" max="5655" width="2.7109375" style="974" customWidth="1"/>
    <col min="5656" max="5656" width="2.5703125" style="974" customWidth="1"/>
    <col min="5657" max="5657" width="2.42578125" style="974" customWidth="1"/>
    <col min="5658" max="5658" width="10.140625" style="974" customWidth="1"/>
    <col min="5659" max="5659" width="0.140625" style="974" customWidth="1"/>
    <col min="5660" max="5660" width="0" style="974" hidden="1" customWidth="1"/>
    <col min="5661" max="5661" width="6.7109375" style="974" customWidth="1"/>
    <col min="5662" max="5662" width="2.5703125" style="974" customWidth="1"/>
    <col min="5663" max="5663" width="1.42578125" style="974" customWidth="1"/>
    <col min="5664" max="5664" width="2.85546875" style="974" customWidth="1"/>
    <col min="5665" max="5665" width="3.85546875" style="974" customWidth="1"/>
    <col min="5666" max="5666" width="2.42578125" style="974" customWidth="1"/>
    <col min="5667" max="5671" width="2" style="974" customWidth="1"/>
    <col min="5672" max="5677" width="2.7109375" style="974" customWidth="1"/>
    <col min="5678" max="5889" width="9.140625" style="974"/>
    <col min="5890" max="5891" width="2.140625" style="974" customWidth="1"/>
    <col min="5892" max="5892" width="17.42578125" style="974" customWidth="1"/>
    <col min="5893" max="5893" width="0.140625" style="974" customWidth="1"/>
    <col min="5894" max="5894" width="16.140625" style="974" customWidth="1"/>
    <col min="5895" max="5895" width="8.7109375" style="974" customWidth="1"/>
    <col min="5896" max="5896" width="2.5703125" style="974" customWidth="1"/>
    <col min="5897" max="5898" width="3.7109375" style="974" customWidth="1"/>
    <col min="5899" max="5899" width="4.42578125" style="974" customWidth="1"/>
    <col min="5900" max="5900" width="4.28515625" style="974" customWidth="1"/>
    <col min="5901" max="5902" width="4.85546875" style="974" customWidth="1"/>
    <col min="5903" max="5905" width="3.42578125" style="974" customWidth="1"/>
    <col min="5906" max="5907" width="4.85546875" style="974" customWidth="1"/>
    <col min="5908" max="5910" width="3.42578125" style="974" customWidth="1"/>
    <col min="5911" max="5911" width="2.7109375" style="974" customWidth="1"/>
    <col min="5912" max="5912" width="2.5703125" style="974" customWidth="1"/>
    <col min="5913" max="5913" width="2.42578125" style="974" customWidth="1"/>
    <col min="5914" max="5914" width="10.140625" style="974" customWidth="1"/>
    <col min="5915" max="5915" width="0.140625" style="974" customWidth="1"/>
    <col min="5916" max="5916" width="0" style="974" hidden="1" customWidth="1"/>
    <col min="5917" max="5917" width="6.7109375" style="974" customWidth="1"/>
    <col min="5918" max="5918" width="2.5703125" style="974" customWidth="1"/>
    <col min="5919" max="5919" width="1.42578125" style="974" customWidth="1"/>
    <col min="5920" max="5920" width="2.85546875" style="974" customWidth="1"/>
    <col min="5921" max="5921" width="3.85546875" style="974" customWidth="1"/>
    <col min="5922" max="5922" width="2.42578125" style="974" customWidth="1"/>
    <col min="5923" max="5927" width="2" style="974" customWidth="1"/>
    <col min="5928" max="5933" width="2.7109375" style="974" customWidth="1"/>
    <col min="5934" max="6145" width="9.140625" style="974"/>
    <col min="6146" max="6147" width="2.140625" style="974" customWidth="1"/>
    <col min="6148" max="6148" width="17.42578125" style="974" customWidth="1"/>
    <col min="6149" max="6149" width="0.140625" style="974" customWidth="1"/>
    <col min="6150" max="6150" width="16.140625" style="974" customWidth="1"/>
    <col min="6151" max="6151" width="8.7109375" style="974" customWidth="1"/>
    <col min="6152" max="6152" width="2.5703125" style="974" customWidth="1"/>
    <col min="6153" max="6154" width="3.7109375" style="974" customWidth="1"/>
    <col min="6155" max="6155" width="4.42578125" style="974" customWidth="1"/>
    <col min="6156" max="6156" width="4.28515625" style="974" customWidth="1"/>
    <col min="6157" max="6158" width="4.85546875" style="974" customWidth="1"/>
    <col min="6159" max="6161" width="3.42578125" style="974" customWidth="1"/>
    <col min="6162" max="6163" width="4.85546875" style="974" customWidth="1"/>
    <col min="6164" max="6166" width="3.42578125" style="974" customWidth="1"/>
    <col min="6167" max="6167" width="2.7109375" style="974" customWidth="1"/>
    <col min="6168" max="6168" width="2.5703125" style="974" customWidth="1"/>
    <col min="6169" max="6169" width="2.42578125" style="974" customWidth="1"/>
    <col min="6170" max="6170" width="10.140625" style="974" customWidth="1"/>
    <col min="6171" max="6171" width="0.140625" style="974" customWidth="1"/>
    <col min="6172" max="6172" width="0" style="974" hidden="1" customWidth="1"/>
    <col min="6173" max="6173" width="6.7109375" style="974" customWidth="1"/>
    <col min="6174" max="6174" width="2.5703125" style="974" customWidth="1"/>
    <col min="6175" max="6175" width="1.42578125" style="974" customWidth="1"/>
    <col min="6176" max="6176" width="2.85546875" style="974" customWidth="1"/>
    <col min="6177" max="6177" width="3.85546875" style="974" customWidth="1"/>
    <col min="6178" max="6178" width="2.42578125" style="974" customWidth="1"/>
    <col min="6179" max="6183" width="2" style="974" customWidth="1"/>
    <col min="6184" max="6189" width="2.7109375" style="974" customWidth="1"/>
    <col min="6190" max="6401" width="9.140625" style="974"/>
    <col min="6402" max="6403" width="2.140625" style="974" customWidth="1"/>
    <col min="6404" max="6404" width="17.42578125" style="974" customWidth="1"/>
    <col min="6405" max="6405" width="0.140625" style="974" customWidth="1"/>
    <col min="6406" max="6406" width="16.140625" style="974" customWidth="1"/>
    <col min="6407" max="6407" width="8.7109375" style="974" customWidth="1"/>
    <col min="6408" max="6408" width="2.5703125" style="974" customWidth="1"/>
    <col min="6409" max="6410" width="3.7109375" style="974" customWidth="1"/>
    <col min="6411" max="6411" width="4.42578125" style="974" customWidth="1"/>
    <col min="6412" max="6412" width="4.28515625" style="974" customWidth="1"/>
    <col min="6413" max="6414" width="4.85546875" style="974" customWidth="1"/>
    <col min="6415" max="6417" width="3.42578125" style="974" customWidth="1"/>
    <col min="6418" max="6419" width="4.85546875" style="974" customWidth="1"/>
    <col min="6420" max="6422" width="3.42578125" style="974" customWidth="1"/>
    <col min="6423" max="6423" width="2.7109375" style="974" customWidth="1"/>
    <col min="6424" max="6424" width="2.5703125" style="974" customWidth="1"/>
    <col min="6425" max="6425" width="2.42578125" style="974" customWidth="1"/>
    <col min="6426" max="6426" width="10.140625" style="974" customWidth="1"/>
    <col min="6427" max="6427" width="0.140625" style="974" customWidth="1"/>
    <col min="6428" max="6428" width="0" style="974" hidden="1" customWidth="1"/>
    <col min="6429" max="6429" width="6.7109375" style="974" customWidth="1"/>
    <col min="6430" max="6430" width="2.5703125" style="974" customWidth="1"/>
    <col min="6431" max="6431" width="1.42578125" style="974" customWidth="1"/>
    <col min="6432" max="6432" width="2.85546875" style="974" customWidth="1"/>
    <col min="6433" max="6433" width="3.85546875" style="974" customWidth="1"/>
    <col min="6434" max="6434" width="2.42578125" style="974" customWidth="1"/>
    <col min="6435" max="6439" width="2" style="974" customWidth="1"/>
    <col min="6440" max="6445" width="2.7109375" style="974" customWidth="1"/>
    <col min="6446" max="6657" width="9.140625" style="974"/>
    <col min="6658" max="6659" width="2.140625" style="974" customWidth="1"/>
    <col min="6660" max="6660" width="17.42578125" style="974" customWidth="1"/>
    <col min="6661" max="6661" width="0.140625" style="974" customWidth="1"/>
    <col min="6662" max="6662" width="16.140625" style="974" customWidth="1"/>
    <col min="6663" max="6663" width="8.7109375" style="974" customWidth="1"/>
    <col min="6664" max="6664" width="2.5703125" style="974" customWidth="1"/>
    <col min="6665" max="6666" width="3.7109375" style="974" customWidth="1"/>
    <col min="6667" max="6667" width="4.42578125" style="974" customWidth="1"/>
    <col min="6668" max="6668" width="4.28515625" style="974" customWidth="1"/>
    <col min="6669" max="6670" width="4.85546875" style="974" customWidth="1"/>
    <col min="6671" max="6673" width="3.42578125" style="974" customWidth="1"/>
    <col min="6674" max="6675" width="4.85546875" style="974" customWidth="1"/>
    <col min="6676" max="6678" width="3.42578125" style="974" customWidth="1"/>
    <col min="6679" max="6679" width="2.7109375" style="974" customWidth="1"/>
    <col min="6680" max="6680" width="2.5703125" style="974" customWidth="1"/>
    <col min="6681" max="6681" width="2.42578125" style="974" customWidth="1"/>
    <col min="6682" max="6682" width="10.140625" style="974" customWidth="1"/>
    <col min="6683" max="6683" width="0.140625" style="974" customWidth="1"/>
    <col min="6684" max="6684" width="0" style="974" hidden="1" customWidth="1"/>
    <col min="6685" max="6685" width="6.7109375" style="974" customWidth="1"/>
    <col min="6686" max="6686" width="2.5703125" style="974" customWidth="1"/>
    <col min="6687" max="6687" width="1.42578125" style="974" customWidth="1"/>
    <col min="6688" max="6688" width="2.85546875" style="974" customWidth="1"/>
    <col min="6689" max="6689" width="3.85546875" style="974" customWidth="1"/>
    <col min="6690" max="6690" width="2.42578125" style="974" customWidth="1"/>
    <col min="6691" max="6695" width="2" style="974" customWidth="1"/>
    <col min="6696" max="6701" width="2.7109375" style="974" customWidth="1"/>
    <col min="6702" max="6913" width="9.140625" style="974"/>
    <col min="6914" max="6915" width="2.140625" style="974" customWidth="1"/>
    <col min="6916" max="6916" width="17.42578125" style="974" customWidth="1"/>
    <col min="6917" max="6917" width="0.140625" style="974" customWidth="1"/>
    <col min="6918" max="6918" width="16.140625" style="974" customWidth="1"/>
    <col min="6919" max="6919" width="8.7109375" style="974" customWidth="1"/>
    <col min="6920" max="6920" width="2.5703125" style="974" customWidth="1"/>
    <col min="6921" max="6922" width="3.7109375" style="974" customWidth="1"/>
    <col min="6923" max="6923" width="4.42578125" style="974" customWidth="1"/>
    <col min="6924" max="6924" width="4.28515625" style="974" customWidth="1"/>
    <col min="6925" max="6926" width="4.85546875" style="974" customWidth="1"/>
    <col min="6927" max="6929" width="3.42578125" style="974" customWidth="1"/>
    <col min="6930" max="6931" width="4.85546875" style="974" customWidth="1"/>
    <col min="6932" max="6934" width="3.42578125" style="974" customWidth="1"/>
    <col min="6935" max="6935" width="2.7109375" style="974" customWidth="1"/>
    <col min="6936" max="6936" width="2.5703125" style="974" customWidth="1"/>
    <col min="6937" max="6937" width="2.42578125" style="974" customWidth="1"/>
    <col min="6938" max="6938" width="10.140625" style="974" customWidth="1"/>
    <col min="6939" max="6939" width="0.140625" style="974" customWidth="1"/>
    <col min="6940" max="6940" width="0" style="974" hidden="1" customWidth="1"/>
    <col min="6941" max="6941" width="6.7109375" style="974" customWidth="1"/>
    <col min="6942" max="6942" width="2.5703125" style="974" customWidth="1"/>
    <col min="6943" max="6943" width="1.42578125" style="974" customWidth="1"/>
    <col min="6944" max="6944" width="2.85546875" style="974" customWidth="1"/>
    <col min="6945" max="6945" width="3.85546875" style="974" customWidth="1"/>
    <col min="6946" max="6946" width="2.42578125" style="974" customWidth="1"/>
    <col min="6947" max="6951" width="2" style="974" customWidth="1"/>
    <col min="6952" max="6957" width="2.7109375" style="974" customWidth="1"/>
    <col min="6958" max="7169" width="9.140625" style="974"/>
    <col min="7170" max="7171" width="2.140625" style="974" customWidth="1"/>
    <col min="7172" max="7172" width="17.42578125" style="974" customWidth="1"/>
    <col min="7173" max="7173" width="0.140625" style="974" customWidth="1"/>
    <col min="7174" max="7174" width="16.140625" style="974" customWidth="1"/>
    <col min="7175" max="7175" width="8.7109375" style="974" customWidth="1"/>
    <col min="7176" max="7176" width="2.5703125" style="974" customWidth="1"/>
    <col min="7177" max="7178" width="3.7109375" style="974" customWidth="1"/>
    <col min="7179" max="7179" width="4.42578125" style="974" customWidth="1"/>
    <col min="7180" max="7180" width="4.28515625" style="974" customWidth="1"/>
    <col min="7181" max="7182" width="4.85546875" style="974" customWidth="1"/>
    <col min="7183" max="7185" width="3.42578125" style="974" customWidth="1"/>
    <col min="7186" max="7187" width="4.85546875" style="974" customWidth="1"/>
    <col min="7188" max="7190" width="3.42578125" style="974" customWidth="1"/>
    <col min="7191" max="7191" width="2.7109375" style="974" customWidth="1"/>
    <col min="7192" max="7192" width="2.5703125" style="974" customWidth="1"/>
    <col min="7193" max="7193" width="2.42578125" style="974" customWidth="1"/>
    <col min="7194" max="7194" width="10.140625" style="974" customWidth="1"/>
    <col min="7195" max="7195" width="0.140625" style="974" customWidth="1"/>
    <col min="7196" max="7196" width="0" style="974" hidden="1" customWidth="1"/>
    <col min="7197" max="7197" width="6.7109375" style="974" customWidth="1"/>
    <col min="7198" max="7198" width="2.5703125" style="974" customWidth="1"/>
    <col min="7199" max="7199" width="1.42578125" style="974" customWidth="1"/>
    <col min="7200" max="7200" width="2.85546875" style="974" customWidth="1"/>
    <col min="7201" max="7201" width="3.85546875" style="974" customWidth="1"/>
    <col min="7202" max="7202" width="2.42578125" style="974" customWidth="1"/>
    <col min="7203" max="7207" width="2" style="974" customWidth="1"/>
    <col min="7208" max="7213" width="2.7109375" style="974" customWidth="1"/>
    <col min="7214" max="7425" width="9.140625" style="974"/>
    <col min="7426" max="7427" width="2.140625" style="974" customWidth="1"/>
    <col min="7428" max="7428" width="17.42578125" style="974" customWidth="1"/>
    <col min="7429" max="7429" width="0.140625" style="974" customWidth="1"/>
    <col min="7430" max="7430" width="16.140625" style="974" customWidth="1"/>
    <col min="7431" max="7431" width="8.7109375" style="974" customWidth="1"/>
    <col min="7432" max="7432" width="2.5703125" style="974" customWidth="1"/>
    <col min="7433" max="7434" width="3.7109375" style="974" customWidth="1"/>
    <col min="7435" max="7435" width="4.42578125" style="974" customWidth="1"/>
    <col min="7436" max="7436" width="4.28515625" style="974" customWidth="1"/>
    <col min="7437" max="7438" width="4.85546875" style="974" customWidth="1"/>
    <col min="7439" max="7441" width="3.42578125" style="974" customWidth="1"/>
    <col min="7442" max="7443" width="4.85546875" style="974" customWidth="1"/>
    <col min="7444" max="7446" width="3.42578125" style="974" customWidth="1"/>
    <col min="7447" max="7447" width="2.7109375" style="974" customWidth="1"/>
    <col min="7448" max="7448" width="2.5703125" style="974" customWidth="1"/>
    <col min="7449" max="7449" width="2.42578125" style="974" customWidth="1"/>
    <col min="7450" max="7450" width="10.140625" style="974" customWidth="1"/>
    <col min="7451" max="7451" width="0.140625" style="974" customWidth="1"/>
    <col min="7452" max="7452" width="0" style="974" hidden="1" customWidth="1"/>
    <col min="7453" max="7453" width="6.7109375" style="974" customWidth="1"/>
    <col min="7454" max="7454" width="2.5703125" style="974" customWidth="1"/>
    <col min="7455" max="7455" width="1.42578125" style="974" customWidth="1"/>
    <col min="7456" max="7456" width="2.85546875" style="974" customWidth="1"/>
    <col min="7457" max="7457" width="3.85546875" style="974" customWidth="1"/>
    <col min="7458" max="7458" width="2.42578125" style="974" customWidth="1"/>
    <col min="7459" max="7463" width="2" style="974" customWidth="1"/>
    <col min="7464" max="7469" width="2.7109375" style="974" customWidth="1"/>
    <col min="7470" max="7681" width="9.140625" style="974"/>
    <col min="7682" max="7683" width="2.140625" style="974" customWidth="1"/>
    <col min="7684" max="7684" width="17.42578125" style="974" customWidth="1"/>
    <col min="7685" max="7685" width="0.140625" style="974" customWidth="1"/>
    <col min="7686" max="7686" width="16.140625" style="974" customWidth="1"/>
    <col min="7687" max="7687" width="8.7109375" style="974" customWidth="1"/>
    <col min="7688" max="7688" width="2.5703125" style="974" customWidth="1"/>
    <col min="7689" max="7690" width="3.7109375" style="974" customWidth="1"/>
    <col min="7691" max="7691" width="4.42578125" style="974" customWidth="1"/>
    <col min="7692" max="7692" width="4.28515625" style="974" customWidth="1"/>
    <col min="7693" max="7694" width="4.85546875" style="974" customWidth="1"/>
    <col min="7695" max="7697" width="3.42578125" style="974" customWidth="1"/>
    <col min="7698" max="7699" width="4.85546875" style="974" customWidth="1"/>
    <col min="7700" max="7702" width="3.42578125" style="974" customWidth="1"/>
    <col min="7703" max="7703" width="2.7109375" style="974" customWidth="1"/>
    <col min="7704" max="7704" width="2.5703125" style="974" customWidth="1"/>
    <col min="7705" max="7705" width="2.42578125" style="974" customWidth="1"/>
    <col min="7706" max="7706" width="10.140625" style="974" customWidth="1"/>
    <col min="7707" max="7707" width="0.140625" style="974" customWidth="1"/>
    <col min="7708" max="7708" width="0" style="974" hidden="1" customWidth="1"/>
    <col min="7709" max="7709" width="6.7109375" style="974" customWidth="1"/>
    <col min="7710" max="7710" width="2.5703125" style="974" customWidth="1"/>
    <col min="7711" max="7711" width="1.42578125" style="974" customWidth="1"/>
    <col min="7712" max="7712" width="2.85546875" style="974" customWidth="1"/>
    <col min="7713" max="7713" width="3.85546875" style="974" customWidth="1"/>
    <col min="7714" max="7714" width="2.42578125" style="974" customWidth="1"/>
    <col min="7715" max="7719" width="2" style="974" customWidth="1"/>
    <col min="7720" max="7725" width="2.7109375" style="974" customWidth="1"/>
    <col min="7726" max="7937" width="9.140625" style="974"/>
    <col min="7938" max="7939" width="2.140625" style="974" customWidth="1"/>
    <col min="7940" max="7940" width="17.42578125" style="974" customWidth="1"/>
    <col min="7941" max="7941" width="0.140625" style="974" customWidth="1"/>
    <col min="7942" max="7942" width="16.140625" style="974" customWidth="1"/>
    <col min="7943" max="7943" width="8.7109375" style="974" customWidth="1"/>
    <col min="7944" max="7944" width="2.5703125" style="974" customWidth="1"/>
    <col min="7945" max="7946" width="3.7109375" style="974" customWidth="1"/>
    <col min="7947" max="7947" width="4.42578125" style="974" customWidth="1"/>
    <col min="7948" max="7948" width="4.28515625" style="974" customWidth="1"/>
    <col min="7949" max="7950" width="4.85546875" style="974" customWidth="1"/>
    <col min="7951" max="7953" width="3.42578125" style="974" customWidth="1"/>
    <col min="7954" max="7955" width="4.85546875" style="974" customWidth="1"/>
    <col min="7956" max="7958" width="3.42578125" style="974" customWidth="1"/>
    <col min="7959" max="7959" width="2.7109375" style="974" customWidth="1"/>
    <col min="7960" max="7960" width="2.5703125" style="974" customWidth="1"/>
    <col min="7961" max="7961" width="2.42578125" style="974" customWidth="1"/>
    <col min="7962" max="7962" width="10.140625" style="974" customWidth="1"/>
    <col min="7963" max="7963" width="0.140625" style="974" customWidth="1"/>
    <col min="7964" max="7964" width="0" style="974" hidden="1" customWidth="1"/>
    <col min="7965" max="7965" width="6.7109375" style="974" customWidth="1"/>
    <col min="7966" max="7966" width="2.5703125" style="974" customWidth="1"/>
    <col min="7967" max="7967" width="1.42578125" style="974" customWidth="1"/>
    <col min="7968" max="7968" width="2.85546875" style="974" customWidth="1"/>
    <col min="7969" max="7969" width="3.85546875" style="974" customWidth="1"/>
    <col min="7970" max="7970" width="2.42578125" style="974" customWidth="1"/>
    <col min="7971" max="7975" width="2" style="974" customWidth="1"/>
    <col min="7976" max="7981" width="2.7109375" style="974" customWidth="1"/>
    <col min="7982" max="8193" width="9.140625" style="974"/>
    <col min="8194" max="8195" width="2.140625" style="974" customWidth="1"/>
    <col min="8196" max="8196" width="17.42578125" style="974" customWidth="1"/>
    <col min="8197" max="8197" width="0.140625" style="974" customWidth="1"/>
    <col min="8198" max="8198" width="16.140625" style="974" customWidth="1"/>
    <col min="8199" max="8199" width="8.7109375" style="974" customWidth="1"/>
    <col min="8200" max="8200" width="2.5703125" style="974" customWidth="1"/>
    <col min="8201" max="8202" width="3.7109375" style="974" customWidth="1"/>
    <col min="8203" max="8203" width="4.42578125" style="974" customWidth="1"/>
    <col min="8204" max="8204" width="4.28515625" style="974" customWidth="1"/>
    <col min="8205" max="8206" width="4.85546875" style="974" customWidth="1"/>
    <col min="8207" max="8209" width="3.42578125" style="974" customWidth="1"/>
    <col min="8210" max="8211" width="4.85546875" style="974" customWidth="1"/>
    <col min="8212" max="8214" width="3.42578125" style="974" customWidth="1"/>
    <col min="8215" max="8215" width="2.7109375" style="974" customWidth="1"/>
    <col min="8216" max="8216" width="2.5703125" style="974" customWidth="1"/>
    <col min="8217" max="8217" width="2.42578125" style="974" customWidth="1"/>
    <col min="8218" max="8218" width="10.140625" style="974" customWidth="1"/>
    <col min="8219" max="8219" width="0.140625" style="974" customWidth="1"/>
    <col min="8220" max="8220" width="0" style="974" hidden="1" customWidth="1"/>
    <col min="8221" max="8221" width="6.7109375" style="974" customWidth="1"/>
    <col min="8222" max="8222" width="2.5703125" style="974" customWidth="1"/>
    <col min="8223" max="8223" width="1.42578125" style="974" customWidth="1"/>
    <col min="8224" max="8224" width="2.85546875" style="974" customWidth="1"/>
    <col min="8225" max="8225" width="3.85546875" style="974" customWidth="1"/>
    <col min="8226" max="8226" width="2.42578125" style="974" customWidth="1"/>
    <col min="8227" max="8231" width="2" style="974" customWidth="1"/>
    <col min="8232" max="8237" width="2.7109375" style="974" customWidth="1"/>
    <col min="8238" max="8449" width="9.140625" style="974"/>
    <col min="8450" max="8451" width="2.140625" style="974" customWidth="1"/>
    <col min="8452" max="8452" width="17.42578125" style="974" customWidth="1"/>
    <col min="8453" max="8453" width="0.140625" style="974" customWidth="1"/>
    <col min="8454" max="8454" width="16.140625" style="974" customWidth="1"/>
    <col min="8455" max="8455" width="8.7109375" style="974" customWidth="1"/>
    <col min="8456" max="8456" width="2.5703125" style="974" customWidth="1"/>
    <col min="8457" max="8458" width="3.7109375" style="974" customWidth="1"/>
    <col min="8459" max="8459" width="4.42578125" style="974" customWidth="1"/>
    <col min="8460" max="8460" width="4.28515625" style="974" customWidth="1"/>
    <col min="8461" max="8462" width="4.85546875" style="974" customWidth="1"/>
    <col min="8463" max="8465" width="3.42578125" style="974" customWidth="1"/>
    <col min="8466" max="8467" width="4.85546875" style="974" customWidth="1"/>
    <col min="8468" max="8470" width="3.42578125" style="974" customWidth="1"/>
    <col min="8471" max="8471" width="2.7109375" style="974" customWidth="1"/>
    <col min="8472" max="8472" width="2.5703125" style="974" customWidth="1"/>
    <col min="8473" max="8473" width="2.42578125" style="974" customWidth="1"/>
    <col min="8474" max="8474" width="10.140625" style="974" customWidth="1"/>
    <col min="8475" max="8475" width="0.140625" style="974" customWidth="1"/>
    <col min="8476" max="8476" width="0" style="974" hidden="1" customWidth="1"/>
    <col min="8477" max="8477" width="6.7109375" style="974" customWidth="1"/>
    <col min="8478" max="8478" width="2.5703125" style="974" customWidth="1"/>
    <col min="8479" max="8479" width="1.42578125" style="974" customWidth="1"/>
    <col min="8480" max="8480" width="2.85546875" style="974" customWidth="1"/>
    <col min="8481" max="8481" width="3.85546875" style="974" customWidth="1"/>
    <col min="8482" max="8482" width="2.42578125" style="974" customWidth="1"/>
    <col min="8483" max="8487" width="2" style="974" customWidth="1"/>
    <col min="8488" max="8493" width="2.7109375" style="974" customWidth="1"/>
    <col min="8494" max="8705" width="9.140625" style="974"/>
    <col min="8706" max="8707" width="2.140625" style="974" customWidth="1"/>
    <col min="8708" max="8708" width="17.42578125" style="974" customWidth="1"/>
    <col min="8709" max="8709" width="0.140625" style="974" customWidth="1"/>
    <col min="8710" max="8710" width="16.140625" style="974" customWidth="1"/>
    <col min="8711" max="8711" width="8.7109375" style="974" customWidth="1"/>
    <col min="8712" max="8712" width="2.5703125" style="974" customWidth="1"/>
    <col min="8713" max="8714" width="3.7109375" style="974" customWidth="1"/>
    <col min="8715" max="8715" width="4.42578125" style="974" customWidth="1"/>
    <col min="8716" max="8716" width="4.28515625" style="974" customWidth="1"/>
    <col min="8717" max="8718" width="4.85546875" style="974" customWidth="1"/>
    <col min="8719" max="8721" width="3.42578125" style="974" customWidth="1"/>
    <col min="8722" max="8723" width="4.85546875" style="974" customWidth="1"/>
    <col min="8724" max="8726" width="3.42578125" style="974" customWidth="1"/>
    <col min="8727" max="8727" width="2.7109375" style="974" customWidth="1"/>
    <col min="8728" max="8728" width="2.5703125" style="974" customWidth="1"/>
    <col min="8729" max="8729" width="2.42578125" style="974" customWidth="1"/>
    <col min="8730" max="8730" width="10.140625" style="974" customWidth="1"/>
    <col min="8731" max="8731" width="0.140625" style="974" customWidth="1"/>
    <col min="8732" max="8732" width="0" style="974" hidden="1" customWidth="1"/>
    <col min="8733" max="8733" width="6.7109375" style="974" customWidth="1"/>
    <col min="8734" max="8734" width="2.5703125" style="974" customWidth="1"/>
    <col min="8735" max="8735" width="1.42578125" style="974" customWidth="1"/>
    <col min="8736" max="8736" width="2.85546875" style="974" customWidth="1"/>
    <col min="8737" max="8737" width="3.85546875" style="974" customWidth="1"/>
    <col min="8738" max="8738" width="2.42578125" style="974" customWidth="1"/>
    <col min="8739" max="8743" width="2" style="974" customWidth="1"/>
    <col min="8744" max="8749" width="2.7109375" style="974" customWidth="1"/>
    <col min="8750" max="8961" width="9.140625" style="974"/>
    <col min="8962" max="8963" width="2.140625" style="974" customWidth="1"/>
    <col min="8964" max="8964" width="17.42578125" style="974" customWidth="1"/>
    <col min="8965" max="8965" width="0.140625" style="974" customWidth="1"/>
    <col min="8966" max="8966" width="16.140625" style="974" customWidth="1"/>
    <col min="8967" max="8967" width="8.7109375" style="974" customWidth="1"/>
    <col min="8968" max="8968" width="2.5703125" style="974" customWidth="1"/>
    <col min="8969" max="8970" width="3.7109375" style="974" customWidth="1"/>
    <col min="8971" max="8971" width="4.42578125" style="974" customWidth="1"/>
    <col min="8972" max="8972" width="4.28515625" style="974" customWidth="1"/>
    <col min="8973" max="8974" width="4.85546875" style="974" customWidth="1"/>
    <col min="8975" max="8977" width="3.42578125" style="974" customWidth="1"/>
    <col min="8978" max="8979" width="4.85546875" style="974" customWidth="1"/>
    <col min="8980" max="8982" width="3.42578125" style="974" customWidth="1"/>
    <col min="8983" max="8983" width="2.7109375" style="974" customWidth="1"/>
    <col min="8984" max="8984" width="2.5703125" style="974" customWidth="1"/>
    <col min="8985" max="8985" width="2.42578125" style="974" customWidth="1"/>
    <col min="8986" max="8986" width="10.140625" style="974" customWidth="1"/>
    <col min="8987" max="8987" width="0.140625" style="974" customWidth="1"/>
    <col min="8988" max="8988" width="0" style="974" hidden="1" customWidth="1"/>
    <col min="8989" max="8989" width="6.7109375" style="974" customWidth="1"/>
    <col min="8990" max="8990" width="2.5703125" style="974" customWidth="1"/>
    <col min="8991" max="8991" width="1.42578125" style="974" customWidth="1"/>
    <col min="8992" max="8992" width="2.85546875" style="974" customWidth="1"/>
    <col min="8993" max="8993" width="3.85546875" style="974" customWidth="1"/>
    <col min="8994" max="8994" width="2.42578125" style="974" customWidth="1"/>
    <col min="8995" max="8999" width="2" style="974" customWidth="1"/>
    <col min="9000" max="9005" width="2.7109375" style="974" customWidth="1"/>
    <col min="9006" max="9217" width="9.140625" style="974"/>
    <col min="9218" max="9219" width="2.140625" style="974" customWidth="1"/>
    <col min="9220" max="9220" width="17.42578125" style="974" customWidth="1"/>
    <col min="9221" max="9221" width="0.140625" style="974" customWidth="1"/>
    <col min="9222" max="9222" width="16.140625" style="974" customWidth="1"/>
    <col min="9223" max="9223" width="8.7109375" style="974" customWidth="1"/>
    <col min="9224" max="9224" width="2.5703125" style="974" customWidth="1"/>
    <col min="9225" max="9226" width="3.7109375" style="974" customWidth="1"/>
    <col min="9227" max="9227" width="4.42578125" style="974" customWidth="1"/>
    <col min="9228" max="9228" width="4.28515625" style="974" customWidth="1"/>
    <col min="9229" max="9230" width="4.85546875" style="974" customWidth="1"/>
    <col min="9231" max="9233" width="3.42578125" style="974" customWidth="1"/>
    <col min="9234" max="9235" width="4.85546875" style="974" customWidth="1"/>
    <col min="9236" max="9238" width="3.42578125" style="974" customWidth="1"/>
    <col min="9239" max="9239" width="2.7109375" style="974" customWidth="1"/>
    <col min="9240" max="9240" width="2.5703125" style="974" customWidth="1"/>
    <col min="9241" max="9241" width="2.42578125" style="974" customWidth="1"/>
    <col min="9242" max="9242" width="10.140625" style="974" customWidth="1"/>
    <col min="9243" max="9243" width="0.140625" style="974" customWidth="1"/>
    <col min="9244" max="9244" width="0" style="974" hidden="1" customWidth="1"/>
    <col min="9245" max="9245" width="6.7109375" style="974" customWidth="1"/>
    <col min="9246" max="9246" width="2.5703125" style="974" customWidth="1"/>
    <col min="9247" max="9247" width="1.42578125" style="974" customWidth="1"/>
    <col min="9248" max="9248" width="2.85546875" style="974" customWidth="1"/>
    <col min="9249" max="9249" width="3.85546875" style="974" customWidth="1"/>
    <col min="9250" max="9250" width="2.42578125" style="974" customWidth="1"/>
    <col min="9251" max="9255" width="2" style="974" customWidth="1"/>
    <col min="9256" max="9261" width="2.7109375" style="974" customWidth="1"/>
    <col min="9262" max="9473" width="9.140625" style="974"/>
    <col min="9474" max="9475" width="2.140625" style="974" customWidth="1"/>
    <col min="9476" max="9476" width="17.42578125" style="974" customWidth="1"/>
    <col min="9477" max="9477" width="0.140625" style="974" customWidth="1"/>
    <col min="9478" max="9478" width="16.140625" style="974" customWidth="1"/>
    <col min="9479" max="9479" width="8.7109375" style="974" customWidth="1"/>
    <col min="9480" max="9480" width="2.5703125" style="974" customWidth="1"/>
    <col min="9481" max="9482" width="3.7109375" style="974" customWidth="1"/>
    <col min="9483" max="9483" width="4.42578125" style="974" customWidth="1"/>
    <col min="9484" max="9484" width="4.28515625" style="974" customWidth="1"/>
    <col min="9485" max="9486" width="4.85546875" style="974" customWidth="1"/>
    <col min="9487" max="9489" width="3.42578125" style="974" customWidth="1"/>
    <col min="9490" max="9491" width="4.85546875" style="974" customWidth="1"/>
    <col min="9492" max="9494" width="3.42578125" style="974" customWidth="1"/>
    <col min="9495" max="9495" width="2.7109375" style="974" customWidth="1"/>
    <col min="9496" max="9496" width="2.5703125" style="974" customWidth="1"/>
    <col min="9497" max="9497" width="2.42578125" style="974" customWidth="1"/>
    <col min="9498" max="9498" width="10.140625" style="974" customWidth="1"/>
    <col min="9499" max="9499" width="0.140625" style="974" customWidth="1"/>
    <col min="9500" max="9500" width="0" style="974" hidden="1" customWidth="1"/>
    <col min="9501" max="9501" width="6.7109375" style="974" customWidth="1"/>
    <col min="9502" max="9502" width="2.5703125" style="974" customWidth="1"/>
    <col min="9503" max="9503" width="1.42578125" style="974" customWidth="1"/>
    <col min="9504" max="9504" width="2.85546875" style="974" customWidth="1"/>
    <col min="9505" max="9505" width="3.85546875" style="974" customWidth="1"/>
    <col min="9506" max="9506" width="2.42578125" style="974" customWidth="1"/>
    <col min="9507" max="9511" width="2" style="974" customWidth="1"/>
    <col min="9512" max="9517" width="2.7109375" style="974" customWidth="1"/>
    <col min="9518" max="9729" width="9.140625" style="974"/>
    <col min="9730" max="9731" width="2.140625" style="974" customWidth="1"/>
    <col min="9732" max="9732" width="17.42578125" style="974" customWidth="1"/>
    <col min="9733" max="9733" width="0.140625" style="974" customWidth="1"/>
    <col min="9734" max="9734" width="16.140625" style="974" customWidth="1"/>
    <col min="9735" max="9735" width="8.7109375" style="974" customWidth="1"/>
    <col min="9736" max="9736" width="2.5703125" style="974" customWidth="1"/>
    <col min="9737" max="9738" width="3.7109375" style="974" customWidth="1"/>
    <col min="9739" max="9739" width="4.42578125" style="974" customWidth="1"/>
    <col min="9740" max="9740" width="4.28515625" style="974" customWidth="1"/>
    <col min="9741" max="9742" width="4.85546875" style="974" customWidth="1"/>
    <col min="9743" max="9745" width="3.42578125" style="974" customWidth="1"/>
    <col min="9746" max="9747" width="4.85546875" style="974" customWidth="1"/>
    <col min="9748" max="9750" width="3.42578125" style="974" customWidth="1"/>
    <col min="9751" max="9751" width="2.7109375" style="974" customWidth="1"/>
    <col min="9752" max="9752" width="2.5703125" style="974" customWidth="1"/>
    <col min="9753" max="9753" width="2.42578125" style="974" customWidth="1"/>
    <col min="9754" max="9754" width="10.140625" style="974" customWidth="1"/>
    <col min="9755" max="9755" width="0.140625" style="974" customWidth="1"/>
    <col min="9756" max="9756" width="0" style="974" hidden="1" customWidth="1"/>
    <col min="9757" max="9757" width="6.7109375" style="974" customWidth="1"/>
    <col min="9758" max="9758" width="2.5703125" style="974" customWidth="1"/>
    <col min="9759" max="9759" width="1.42578125" style="974" customWidth="1"/>
    <col min="9760" max="9760" width="2.85546875" style="974" customWidth="1"/>
    <col min="9761" max="9761" width="3.85546875" style="974" customWidth="1"/>
    <col min="9762" max="9762" width="2.42578125" style="974" customWidth="1"/>
    <col min="9763" max="9767" width="2" style="974" customWidth="1"/>
    <col min="9768" max="9773" width="2.7109375" style="974" customWidth="1"/>
    <col min="9774" max="9985" width="9.140625" style="974"/>
    <col min="9986" max="9987" width="2.140625" style="974" customWidth="1"/>
    <col min="9988" max="9988" width="17.42578125" style="974" customWidth="1"/>
    <col min="9989" max="9989" width="0.140625" style="974" customWidth="1"/>
    <col min="9990" max="9990" width="16.140625" style="974" customWidth="1"/>
    <col min="9991" max="9991" width="8.7109375" style="974" customWidth="1"/>
    <col min="9992" max="9992" width="2.5703125" style="974" customWidth="1"/>
    <col min="9993" max="9994" width="3.7109375" style="974" customWidth="1"/>
    <col min="9995" max="9995" width="4.42578125" style="974" customWidth="1"/>
    <col min="9996" max="9996" width="4.28515625" style="974" customWidth="1"/>
    <col min="9997" max="9998" width="4.85546875" style="974" customWidth="1"/>
    <col min="9999" max="10001" width="3.42578125" style="974" customWidth="1"/>
    <col min="10002" max="10003" width="4.85546875" style="974" customWidth="1"/>
    <col min="10004" max="10006" width="3.42578125" style="974" customWidth="1"/>
    <col min="10007" max="10007" width="2.7109375" style="974" customWidth="1"/>
    <col min="10008" max="10008" width="2.5703125" style="974" customWidth="1"/>
    <col min="10009" max="10009" width="2.42578125" style="974" customWidth="1"/>
    <col min="10010" max="10010" width="10.140625" style="974" customWidth="1"/>
    <col min="10011" max="10011" width="0.140625" style="974" customWidth="1"/>
    <col min="10012" max="10012" width="0" style="974" hidden="1" customWidth="1"/>
    <col min="10013" max="10013" width="6.7109375" style="974" customWidth="1"/>
    <col min="10014" max="10014" width="2.5703125" style="974" customWidth="1"/>
    <col min="10015" max="10015" width="1.42578125" style="974" customWidth="1"/>
    <col min="10016" max="10016" width="2.85546875" style="974" customWidth="1"/>
    <col min="10017" max="10017" width="3.85546875" style="974" customWidth="1"/>
    <col min="10018" max="10018" width="2.42578125" style="974" customWidth="1"/>
    <col min="10019" max="10023" width="2" style="974" customWidth="1"/>
    <col min="10024" max="10029" width="2.7109375" style="974" customWidth="1"/>
    <col min="10030" max="10241" width="9.140625" style="974"/>
    <col min="10242" max="10243" width="2.140625" style="974" customWidth="1"/>
    <col min="10244" max="10244" width="17.42578125" style="974" customWidth="1"/>
    <col min="10245" max="10245" width="0.140625" style="974" customWidth="1"/>
    <col min="10246" max="10246" width="16.140625" style="974" customWidth="1"/>
    <col min="10247" max="10247" width="8.7109375" style="974" customWidth="1"/>
    <col min="10248" max="10248" width="2.5703125" style="974" customWidth="1"/>
    <col min="10249" max="10250" width="3.7109375" style="974" customWidth="1"/>
    <col min="10251" max="10251" width="4.42578125" style="974" customWidth="1"/>
    <col min="10252" max="10252" width="4.28515625" style="974" customWidth="1"/>
    <col min="10253" max="10254" width="4.85546875" style="974" customWidth="1"/>
    <col min="10255" max="10257" width="3.42578125" style="974" customWidth="1"/>
    <col min="10258" max="10259" width="4.85546875" style="974" customWidth="1"/>
    <col min="10260" max="10262" width="3.42578125" style="974" customWidth="1"/>
    <col min="10263" max="10263" width="2.7109375" style="974" customWidth="1"/>
    <col min="10264" max="10264" width="2.5703125" style="974" customWidth="1"/>
    <col min="10265" max="10265" width="2.42578125" style="974" customWidth="1"/>
    <col min="10266" max="10266" width="10.140625" style="974" customWidth="1"/>
    <col min="10267" max="10267" width="0.140625" style="974" customWidth="1"/>
    <col min="10268" max="10268" width="0" style="974" hidden="1" customWidth="1"/>
    <col min="10269" max="10269" width="6.7109375" style="974" customWidth="1"/>
    <col min="10270" max="10270" width="2.5703125" style="974" customWidth="1"/>
    <col min="10271" max="10271" width="1.42578125" style="974" customWidth="1"/>
    <col min="10272" max="10272" width="2.85546875" style="974" customWidth="1"/>
    <col min="10273" max="10273" width="3.85546875" style="974" customWidth="1"/>
    <col min="10274" max="10274" width="2.42578125" style="974" customWidth="1"/>
    <col min="10275" max="10279" width="2" style="974" customWidth="1"/>
    <col min="10280" max="10285" width="2.7109375" style="974" customWidth="1"/>
    <col min="10286" max="10497" width="9.140625" style="974"/>
    <col min="10498" max="10499" width="2.140625" style="974" customWidth="1"/>
    <col min="10500" max="10500" width="17.42578125" style="974" customWidth="1"/>
    <col min="10501" max="10501" width="0.140625" style="974" customWidth="1"/>
    <col min="10502" max="10502" width="16.140625" style="974" customWidth="1"/>
    <col min="10503" max="10503" width="8.7109375" style="974" customWidth="1"/>
    <col min="10504" max="10504" width="2.5703125" style="974" customWidth="1"/>
    <col min="10505" max="10506" width="3.7109375" style="974" customWidth="1"/>
    <col min="10507" max="10507" width="4.42578125" style="974" customWidth="1"/>
    <col min="10508" max="10508" width="4.28515625" style="974" customWidth="1"/>
    <col min="10509" max="10510" width="4.85546875" style="974" customWidth="1"/>
    <col min="10511" max="10513" width="3.42578125" style="974" customWidth="1"/>
    <col min="10514" max="10515" width="4.85546875" style="974" customWidth="1"/>
    <col min="10516" max="10518" width="3.42578125" style="974" customWidth="1"/>
    <col min="10519" max="10519" width="2.7109375" style="974" customWidth="1"/>
    <col min="10520" max="10520" width="2.5703125" style="974" customWidth="1"/>
    <col min="10521" max="10521" width="2.42578125" style="974" customWidth="1"/>
    <col min="10522" max="10522" width="10.140625" style="974" customWidth="1"/>
    <col min="10523" max="10523" width="0.140625" style="974" customWidth="1"/>
    <col min="10524" max="10524" width="0" style="974" hidden="1" customWidth="1"/>
    <col min="10525" max="10525" width="6.7109375" style="974" customWidth="1"/>
    <col min="10526" max="10526" width="2.5703125" style="974" customWidth="1"/>
    <col min="10527" max="10527" width="1.42578125" style="974" customWidth="1"/>
    <col min="10528" max="10528" width="2.85546875" style="974" customWidth="1"/>
    <col min="10529" max="10529" width="3.85546875" style="974" customWidth="1"/>
    <col min="10530" max="10530" width="2.42578125" style="974" customWidth="1"/>
    <col min="10531" max="10535" width="2" style="974" customWidth="1"/>
    <col min="10536" max="10541" width="2.7109375" style="974" customWidth="1"/>
    <col min="10542" max="10753" width="9.140625" style="974"/>
    <col min="10754" max="10755" width="2.140625" style="974" customWidth="1"/>
    <col min="10756" max="10756" width="17.42578125" style="974" customWidth="1"/>
    <col min="10757" max="10757" width="0.140625" style="974" customWidth="1"/>
    <col min="10758" max="10758" width="16.140625" style="974" customWidth="1"/>
    <col min="10759" max="10759" width="8.7109375" style="974" customWidth="1"/>
    <col min="10760" max="10760" width="2.5703125" style="974" customWidth="1"/>
    <col min="10761" max="10762" width="3.7109375" style="974" customWidth="1"/>
    <col min="10763" max="10763" width="4.42578125" style="974" customWidth="1"/>
    <col min="10764" max="10764" width="4.28515625" style="974" customWidth="1"/>
    <col min="10765" max="10766" width="4.85546875" style="974" customWidth="1"/>
    <col min="10767" max="10769" width="3.42578125" style="974" customWidth="1"/>
    <col min="10770" max="10771" width="4.85546875" style="974" customWidth="1"/>
    <col min="10772" max="10774" width="3.42578125" style="974" customWidth="1"/>
    <col min="10775" max="10775" width="2.7109375" style="974" customWidth="1"/>
    <col min="10776" max="10776" width="2.5703125" style="974" customWidth="1"/>
    <col min="10777" max="10777" width="2.42578125" style="974" customWidth="1"/>
    <col min="10778" max="10778" width="10.140625" style="974" customWidth="1"/>
    <col min="10779" max="10779" width="0.140625" style="974" customWidth="1"/>
    <col min="10780" max="10780" width="0" style="974" hidden="1" customWidth="1"/>
    <col min="10781" max="10781" width="6.7109375" style="974" customWidth="1"/>
    <col min="10782" max="10782" width="2.5703125" style="974" customWidth="1"/>
    <col min="10783" max="10783" width="1.42578125" style="974" customWidth="1"/>
    <col min="10784" max="10784" width="2.85546875" style="974" customWidth="1"/>
    <col min="10785" max="10785" width="3.85546875" style="974" customWidth="1"/>
    <col min="10786" max="10786" width="2.42578125" style="974" customWidth="1"/>
    <col min="10787" max="10791" width="2" style="974" customWidth="1"/>
    <col min="10792" max="10797" width="2.7109375" style="974" customWidth="1"/>
    <col min="10798" max="11009" width="9.140625" style="974"/>
    <col min="11010" max="11011" width="2.140625" style="974" customWidth="1"/>
    <col min="11012" max="11012" width="17.42578125" style="974" customWidth="1"/>
    <col min="11013" max="11013" width="0.140625" style="974" customWidth="1"/>
    <col min="11014" max="11014" width="16.140625" style="974" customWidth="1"/>
    <col min="11015" max="11015" width="8.7109375" style="974" customWidth="1"/>
    <col min="11016" max="11016" width="2.5703125" style="974" customWidth="1"/>
    <col min="11017" max="11018" width="3.7109375" style="974" customWidth="1"/>
    <col min="11019" max="11019" width="4.42578125" style="974" customWidth="1"/>
    <col min="11020" max="11020" width="4.28515625" style="974" customWidth="1"/>
    <col min="11021" max="11022" width="4.85546875" style="974" customWidth="1"/>
    <col min="11023" max="11025" width="3.42578125" style="974" customWidth="1"/>
    <col min="11026" max="11027" width="4.85546875" style="974" customWidth="1"/>
    <col min="11028" max="11030" width="3.42578125" style="974" customWidth="1"/>
    <col min="11031" max="11031" width="2.7109375" style="974" customWidth="1"/>
    <col min="11032" max="11032" width="2.5703125" style="974" customWidth="1"/>
    <col min="11033" max="11033" width="2.42578125" style="974" customWidth="1"/>
    <col min="11034" max="11034" width="10.140625" style="974" customWidth="1"/>
    <col min="11035" max="11035" width="0.140625" style="974" customWidth="1"/>
    <col min="11036" max="11036" width="0" style="974" hidden="1" customWidth="1"/>
    <col min="11037" max="11037" width="6.7109375" style="974" customWidth="1"/>
    <col min="11038" max="11038" width="2.5703125" style="974" customWidth="1"/>
    <col min="11039" max="11039" width="1.42578125" style="974" customWidth="1"/>
    <col min="11040" max="11040" width="2.85546875" style="974" customWidth="1"/>
    <col min="11041" max="11041" width="3.85546875" style="974" customWidth="1"/>
    <col min="11042" max="11042" width="2.42578125" style="974" customWidth="1"/>
    <col min="11043" max="11047" width="2" style="974" customWidth="1"/>
    <col min="11048" max="11053" width="2.7109375" style="974" customWidth="1"/>
    <col min="11054" max="11265" width="9.140625" style="974"/>
    <col min="11266" max="11267" width="2.140625" style="974" customWidth="1"/>
    <col min="11268" max="11268" width="17.42578125" style="974" customWidth="1"/>
    <col min="11269" max="11269" width="0.140625" style="974" customWidth="1"/>
    <col min="11270" max="11270" width="16.140625" style="974" customWidth="1"/>
    <col min="11271" max="11271" width="8.7109375" style="974" customWidth="1"/>
    <col min="11272" max="11272" width="2.5703125" style="974" customWidth="1"/>
    <col min="11273" max="11274" width="3.7109375" style="974" customWidth="1"/>
    <col min="11275" max="11275" width="4.42578125" style="974" customWidth="1"/>
    <col min="11276" max="11276" width="4.28515625" style="974" customWidth="1"/>
    <col min="11277" max="11278" width="4.85546875" style="974" customWidth="1"/>
    <col min="11279" max="11281" width="3.42578125" style="974" customWidth="1"/>
    <col min="11282" max="11283" width="4.85546875" style="974" customWidth="1"/>
    <col min="11284" max="11286" width="3.42578125" style="974" customWidth="1"/>
    <col min="11287" max="11287" width="2.7109375" style="974" customWidth="1"/>
    <col min="11288" max="11288" width="2.5703125" style="974" customWidth="1"/>
    <col min="11289" max="11289" width="2.42578125" style="974" customWidth="1"/>
    <col min="11290" max="11290" width="10.140625" style="974" customWidth="1"/>
    <col min="11291" max="11291" width="0.140625" style="974" customWidth="1"/>
    <col min="11292" max="11292" width="0" style="974" hidden="1" customWidth="1"/>
    <col min="11293" max="11293" width="6.7109375" style="974" customWidth="1"/>
    <col min="11294" max="11294" width="2.5703125" style="974" customWidth="1"/>
    <col min="11295" max="11295" width="1.42578125" style="974" customWidth="1"/>
    <col min="11296" max="11296" width="2.85546875" style="974" customWidth="1"/>
    <col min="11297" max="11297" width="3.85546875" style="974" customWidth="1"/>
    <col min="11298" max="11298" width="2.42578125" style="974" customWidth="1"/>
    <col min="11299" max="11303" width="2" style="974" customWidth="1"/>
    <col min="11304" max="11309" width="2.7109375" style="974" customWidth="1"/>
    <col min="11310" max="11521" width="9.140625" style="974"/>
    <col min="11522" max="11523" width="2.140625" style="974" customWidth="1"/>
    <col min="11524" max="11524" width="17.42578125" style="974" customWidth="1"/>
    <col min="11525" max="11525" width="0.140625" style="974" customWidth="1"/>
    <col min="11526" max="11526" width="16.140625" style="974" customWidth="1"/>
    <col min="11527" max="11527" width="8.7109375" style="974" customWidth="1"/>
    <col min="11528" max="11528" width="2.5703125" style="974" customWidth="1"/>
    <col min="11529" max="11530" width="3.7109375" style="974" customWidth="1"/>
    <col min="11531" max="11531" width="4.42578125" style="974" customWidth="1"/>
    <col min="11532" max="11532" width="4.28515625" style="974" customWidth="1"/>
    <col min="11533" max="11534" width="4.85546875" style="974" customWidth="1"/>
    <col min="11535" max="11537" width="3.42578125" style="974" customWidth="1"/>
    <col min="11538" max="11539" width="4.85546875" style="974" customWidth="1"/>
    <col min="11540" max="11542" width="3.42578125" style="974" customWidth="1"/>
    <col min="11543" max="11543" width="2.7109375" style="974" customWidth="1"/>
    <col min="11544" max="11544" width="2.5703125" style="974" customWidth="1"/>
    <col min="11545" max="11545" width="2.42578125" style="974" customWidth="1"/>
    <col min="11546" max="11546" width="10.140625" style="974" customWidth="1"/>
    <col min="11547" max="11547" width="0.140625" style="974" customWidth="1"/>
    <col min="11548" max="11548" width="0" style="974" hidden="1" customWidth="1"/>
    <col min="11549" max="11549" width="6.7109375" style="974" customWidth="1"/>
    <col min="11550" max="11550" width="2.5703125" style="974" customWidth="1"/>
    <col min="11551" max="11551" width="1.42578125" style="974" customWidth="1"/>
    <col min="11552" max="11552" width="2.85546875" style="974" customWidth="1"/>
    <col min="11553" max="11553" width="3.85546875" style="974" customWidth="1"/>
    <col min="11554" max="11554" width="2.42578125" style="974" customWidth="1"/>
    <col min="11555" max="11559" width="2" style="974" customWidth="1"/>
    <col min="11560" max="11565" width="2.7109375" style="974" customWidth="1"/>
    <col min="11566" max="11777" width="9.140625" style="974"/>
    <col min="11778" max="11779" width="2.140625" style="974" customWidth="1"/>
    <col min="11780" max="11780" width="17.42578125" style="974" customWidth="1"/>
    <col min="11781" max="11781" width="0.140625" style="974" customWidth="1"/>
    <col min="11782" max="11782" width="16.140625" style="974" customWidth="1"/>
    <col min="11783" max="11783" width="8.7109375" style="974" customWidth="1"/>
    <col min="11784" max="11784" width="2.5703125" style="974" customWidth="1"/>
    <col min="11785" max="11786" width="3.7109375" style="974" customWidth="1"/>
    <col min="11787" max="11787" width="4.42578125" style="974" customWidth="1"/>
    <col min="11788" max="11788" width="4.28515625" style="974" customWidth="1"/>
    <col min="11789" max="11790" width="4.85546875" style="974" customWidth="1"/>
    <col min="11791" max="11793" width="3.42578125" style="974" customWidth="1"/>
    <col min="11794" max="11795" width="4.85546875" style="974" customWidth="1"/>
    <col min="11796" max="11798" width="3.42578125" style="974" customWidth="1"/>
    <col min="11799" max="11799" width="2.7109375" style="974" customWidth="1"/>
    <col min="11800" max="11800" width="2.5703125" style="974" customWidth="1"/>
    <col min="11801" max="11801" width="2.42578125" style="974" customWidth="1"/>
    <col min="11802" max="11802" width="10.140625" style="974" customWidth="1"/>
    <col min="11803" max="11803" width="0.140625" style="974" customWidth="1"/>
    <col min="11804" max="11804" width="0" style="974" hidden="1" customWidth="1"/>
    <col min="11805" max="11805" width="6.7109375" style="974" customWidth="1"/>
    <col min="11806" max="11806" width="2.5703125" style="974" customWidth="1"/>
    <col min="11807" max="11807" width="1.42578125" style="974" customWidth="1"/>
    <col min="11808" max="11808" width="2.85546875" style="974" customWidth="1"/>
    <col min="11809" max="11809" width="3.85546875" style="974" customWidth="1"/>
    <col min="11810" max="11810" width="2.42578125" style="974" customWidth="1"/>
    <col min="11811" max="11815" width="2" style="974" customWidth="1"/>
    <col min="11816" max="11821" width="2.7109375" style="974" customWidth="1"/>
    <col min="11822" max="12033" width="9.140625" style="974"/>
    <col min="12034" max="12035" width="2.140625" style="974" customWidth="1"/>
    <col min="12036" max="12036" width="17.42578125" style="974" customWidth="1"/>
    <col min="12037" max="12037" width="0.140625" style="974" customWidth="1"/>
    <col min="12038" max="12038" width="16.140625" style="974" customWidth="1"/>
    <col min="12039" max="12039" width="8.7109375" style="974" customWidth="1"/>
    <col min="12040" max="12040" width="2.5703125" style="974" customWidth="1"/>
    <col min="12041" max="12042" width="3.7109375" style="974" customWidth="1"/>
    <col min="12043" max="12043" width="4.42578125" style="974" customWidth="1"/>
    <col min="12044" max="12044" width="4.28515625" style="974" customWidth="1"/>
    <col min="12045" max="12046" width="4.85546875" style="974" customWidth="1"/>
    <col min="12047" max="12049" width="3.42578125" style="974" customWidth="1"/>
    <col min="12050" max="12051" width="4.85546875" style="974" customWidth="1"/>
    <col min="12052" max="12054" width="3.42578125" style="974" customWidth="1"/>
    <col min="12055" max="12055" width="2.7109375" style="974" customWidth="1"/>
    <col min="12056" max="12056" width="2.5703125" style="974" customWidth="1"/>
    <col min="12057" max="12057" width="2.42578125" style="974" customWidth="1"/>
    <col min="12058" max="12058" width="10.140625" style="974" customWidth="1"/>
    <col min="12059" max="12059" width="0.140625" style="974" customWidth="1"/>
    <col min="12060" max="12060" width="0" style="974" hidden="1" customWidth="1"/>
    <col min="12061" max="12061" width="6.7109375" style="974" customWidth="1"/>
    <col min="12062" max="12062" width="2.5703125" style="974" customWidth="1"/>
    <col min="12063" max="12063" width="1.42578125" style="974" customWidth="1"/>
    <col min="12064" max="12064" width="2.85546875" style="974" customWidth="1"/>
    <col min="12065" max="12065" width="3.85546875" style="974" customWidth="1"/>
    <col min="12066" max="12066" width="2.42578125" style="974" customWidth="1"/>
    <col min="12067" max="12071" width="2" style="974" customWidth="1"/>
    <col min="12072" max="12077" width="2.7109375" style="974" customWidth="1"/>
    <col min="12078" max="12289" width="9.140625" style="974"/>
    <col min="12290" max="12291" width="2.140625" style="974" customWidth="1"/>
    <col min="12292" max="12292" width="17.42578125" style="974" customWidth="1"/>
    <col min="12293" max="12293" width="0.140625" style="974" customWidth="1"/>
    <col min="12294" max="12294" width="16.140625" style="974" customWidth="1"/>
    <col min="12295" max="12295" width="8.7109375" style="974" customWidth="1"/>
    <col min="12296" max="12296" width="2.5703125" style="974" customWidth="1"/>
    <col min="12297" max="12298" width="3.7109375" style="974" customWidth="1"/>
    <col min="12299" max="12299" width="4.42578125" style="974" customWidth="1"/>
    <col min="12300" max="12300" width="4.28515625" style="974" customWidth="1"/>
    <col min="12301" max="12302" width="4.85546875" style="974" customWidth="1"/>
    <col min="12303" max="12305" width="3.42578125" style="974" customWidth="1"/>
    <col min="12306" max="12307" width="4.85546875" style="974" customWidth="1"/>
    <col min="12308" max="12310" width="3.42578125" style="974" customWidth="1"/>
    <col min="12311" max="12311" width="2.7109375" style="974" customWidth="1"/>
    <col min="12312" max="12312" width="2.5703125" style="974" customWidth="1"/>
    <col min="12313" max="12313" width="2.42578125" style="974" customWidth="1"/>
    <col min="12314" max="12314" width="10.140625" style="974" customWidth="1"/>
    <col min="12315" max="12315" width="0.140625" style="974" customWidth="1"/>
    <col min="12316" max="12316" width="0" style="974" hidden="1" customWidth="1"/>
    <col min="12317" max="12317" width="6.7109375" style="974" customWidth="1"/>
    <col min="12318" max="12318" width="2.5703125" style="974" customWidth="1"/>
    <col min="12319" max="12319" width="1.42578125" style="974" customWidth="1"/>
    <col min="12320" max="12320" width="2.85546875" style="974" customWidth="1"/>
    <col min="12321" max="12321" width="3.85546875" style="974" customWidth="1"/>
    <col min="12322" max="12322" width="2.42578125" style="974" customWidth="1"/>
    <col min="12323" max="12327" width="2" style="974" customWidth="1"/>
    <col min="12328" max="12333" width="2.7109375" style="974" customWidth="1"/>
    <col min="12334" max="12545" width="9.140625" style="974"/>
    <col min="12546" max="12547" width="2.140625" style="974" customWidth="1"/>
    <col min="12548" max="12548" width="17.42578125" style="974" customWidth="1"/>
    <col min="12549" max="12549" width="0.140625" style="974" customWidth="1"/>
    <col min="12550" max="12550" width="16.140625" style="974" customWidth="1"/>
    <col min="12551" max="12551" width="8.7109375" style="974" customWidth="1"/>
    <col min="12552" max="12552" width="2.5703125" style="974" customWidth="1"/>
    <col min="12553" max="12554" width="3.7109375" style="974" customWidth="1"/>
    <col min="12555" max="12555" width="4.42578125" style="974" customWidth="1"/>
    <col min="12556" max="12556" width="4.28515625" style="974" customWidth="1"/>
    <col min="12557" max="12558" width="4.85546875" style="974" customWidth="1"/>
    <col min="12559" max="12561" width="3.42578125" style="974" customWidth="1"/>
    <col min="12562" max="12563" width="4.85546875" style="974" customWidth="1"/>
    <col min="12564" max="12566" width="3.42578125" style="974" customWidth="1"/>
    <col min="12567" max="12567" width="2.7109375" style="974" customWidth="1"/>
    <col min="12568" max="12568" width="2.5703125" style="974" customWidth="1"/>
    <col min="12569" max="12569" width="2.42578125" style="974" customWidth="1"/>
    <col min="12570" max="12570" width="10.140625" style="974" customWidth="1"/>
    <col min="12571" max="12571" width="0.140625" style="974" customWidth="1"/>
    <col min="12572" max="12572" width="0" style="974" hidden="1" customWidth="1"/>
    <col min="12573" max="12573" width="6.7109375" style="974" customWidth="1"/>
    <col min="12574" max="12574" width="2.5703125" style="974" customWidth="1"/>
    <col min="12575" max="12575" width="1.42578125" style="974" customWidth="1"/>
    <col min="12576" max="12576" width="2.85546875" style="974" customWidth="1"/>
    <col min="12577" max="12577" width="3.85546875" style="974" customWidth="1"/>
    <col min="12578" max="12578" width="2.42578125" style="974" customWidth="1"/>
    <col min="12579" max="12583" width="2" style="974" customWidth="1"/>
    <col min="12584" max="12589" width="2.7109375" style="974" customWidth="1"/>
    <col min="12590" max="12801" width="9.140625" style="974"/>
    <col min="12802" max="12803" width="2.140625" style="974" customWidth="1"/>
    <col min="12804" max="12804" width="17.42578125" style="974" customWidth="1"/>
    <col min="12805" max="12805" width="0.140625" style="974" customWidth="1"/>
    <col min="12806" max="12806" width="16.140625" style="974" customWidth="1"/>
    <col min="12807" max="12807" width="8.7109375" style="974" customWidth="1"/>
    <col min="12808" max="12808" width="2.5703125" style="974" customWidth="1"/>
    <col min="12809" max="12810" width="3.7109375" style="974" customWidth="1"/>
    <col min="12811" max="12811" width="4.42578125" style="974" customWidth="1"/>
    <col min="12812" max="12812" width="4.28515625" style="974" customWidth="1"/>
    <col min="12813" max="12814" width="4.85546875" style="974" customWidth="1"/>
    <col min="12815" max="12817" width="3.42578125" style="974" customWidth="1"/>
    <col min="12818" max="12819" width="4.85546875" style="974" customWidth="1"/>
    <col min="12820" max="12822" width="3.42578125" style="974" customWidth="1"/>
    <col min="12823" max="12823" width="2.7109375" style="974" customWidth="1"/>
    <col min="12824" max="12824" width="2.5703125" style="974" customWidth="1"/>
    <col min="12825" max="12825" width="2.42578125" style="974" customWidth="1"/>
    <col min="12826" max="12826" width="10.140625" style="974" customWidth="1"/>
    <col min="12827" max="12827" width="0.140625" style="974" customWidth="1"/>
    <col min="12828" max="12828" width="0" style="974" hidden="1" customWidth="1"/>
    <col min="12829" max="12829" width="6.7109375" style="974" customWidth="1"/>
    <col min="12830" max="12830" width="2.5703125" style="974" customWidth="1"/>
    <col min="12831" max="12831" width="1.42578125" style="974" customWidth="1"/>
    <col min="12832" max="12832" width="2.85546875" style="974" customWidth="1"/>
    <col min="12833" max="12833" width="3.85546875" style="974" customWidth="1"/>
    <col min="12834" max="12834" width="2.42578125" style="974" customWidth="1"/>
    <col min="12835" max="12839" width="2" style="974" customWidth="1"/>
    <col min="12840" max="12845" width="2.7109375" style="974" customWidth="1"/>
    <col min="12846" max="13057" width="9.140625" style="974"/>
    <col min="13058" max="13059" width="2.140625" style="974" customWidth="1"/>
    <col min="13060" max="13060" width="17.42578125" style="974" customWidth="1"/>
    <col min="13061" max="13061" width="0.140625" style="974" customWidth="1"/>
    <col min="13062" max="13062" width="16.140625" style="974" customWidth="1"/>
    <col min="13063" max="13063" width="8.7109375" style="974" customWidth="1"/>
    <col min="13064" max="13064" width="2.5703125" style="974" customWidth="1"/>
    <col min="13065" max="13066" width="3.7109375" style="974" customWidth="1"/>
    <col min="13067" max="13067" width="4.42578125" style="974" customWidth="1"/>
    <col min="13068" max="13068" width="4.28515625" style="974" customWidth="1"/>
    <col min="13069" max="13070" width="4.85546875" style="974" customWidth="1"/>
    <col min="13071" max="13073" width="3.42578125" style="974" customWidth="1"/>
    <col min="13074" max="13075" width="4.85546875" style="974" customWidth="1"/>
    <col min="13076" max="13078" width="3.42578125" style="974" customWidth="1"/>
    <col min="13079" max="13079" width="2.7109375" style="974" customWidth="1"/>
    <col min="13080" max="13080" width="2.5703125" style="974" customWidth="1"/>
    <col min="13081" max="13081" width="2.42578125" style="974" customWidth="1"/>
    <col min="13082" max="13082" width="10.140625" style="974" customWidth="1"/>
    <col min="13083" max="13083" width="0.140625" style="974" customWidth="1"/>
    <col min="13084" max="13084" width="0" style="974" hidden="1" customWidth="1"/>
    <col min="13085" max="13085" width="6.7109375" style="974" customWidth="1"/>
    <col min="13086" max="13086" width="2.5703125" style="974" customWidth="1"/>
    <col min="13087" max="13087" width="1.42578125" style="974" customWidth="1"/>
    <col min="13088" max="13088" width="2.85546875" style="974" customWidth="1"/>
    <col min="13089" max="13089" width="3.85546875" style="974" customWidth="1"/>
    <col min="13090" max="13090" width="2.42578125" style="974" customWidth="1"/>
    <col min="13091" max="13095" width="2" style="974" customWidth="1"/>
    <col min="13096" max="13101" width="2.7109375" style="974" customWidth="1"/>
    <col min="13102" max="13313" width="9.140625" style="974"/>
    <col min="13314" max="13315" width="2.140625" style="974" customWidth="1"/>
    <col min="13316" max="13316" width="17.42578125" style="974" customWidth="1"/>
    <col min="13317" max="13317" width="0.140625" style="974" customWidth="1"/>
    <col min="13318" max="13318" width="16.140625" style="974" customWidth="1"/>
    <col min="13319" max="13319" width="8.7109375" style="974" customWidth="1"/>
    <col min="13320" max="13320" width="2.5703125" style="974" customWidth="1"/>
    <col min="13321" max="13322" width="3.7109375" style="974" customWidth="1"/>
    <col min="13323" max="13323" width="4.42578125" style="974" customWidth="1"/>
    <col min="13324" max="13324" width="4.28515625" style="974" customWidth="1"/>
    <col min="13325" max="13326" width="4.85546875" style="974" customWidth="1"/>
    <col min="13327" max="13329" width="3.42578125" style="974" customWidth="1"/>
    <col min="13330" max="13331" width="4.85546875" style="974" customWidth="1"/>
    <col min="13332" max="13334" width="3.42578125" style="974" customWidth="1"/>
    <col min="13335" max="13335" width="2.7109375" style="974" customWidth="1"/>
    <col min="13336" max="13336" width="2.5703125" style="974" customWidth="1"/>
    <col min="13337" max="13337" width="2.42578125" style="974" customWidth="1"/>
    <col min="13338" max="13338" width="10.140625" style="974" customWidth="1"/>
    <col min="13339" max="13339" width="0.140625" style="974" customWidth="1"/>
    <col min="13340" max="13340" width="0" style="974" hidden="1" customWidth="1"/>
    <col min="13341" max="13341" width="6.7109375" style="974" customWidth="1"/>
    <col min="13342" max="13342" width="2.5703125" style="974" customWidth="1"/>
    <col min="13343" max="13343" width="1.42578125" style="974" customWidth="1"/>
    <col min="13344" max="13344" width="2.85546875" style="974" customWidth="1"/>
    <col min="13345" max="13345" width="3.85546875" style="974" customWidth="1"/>
    <col min="13346" max="13346" width="2.42578125" style="974" customWidth="1"/>
    <col min="13347" max="13351" width="2" style="974" customWidth="1"/>
    <col min="13352" max="13357" width="2.7109375" style="974" customWidth="1"/>
    <col min="13358" max="13569" width="9.140625" style="974"/>
    <col min="13570" max="13571" width="2.140625" style="974" customWidth="1"/>
    <col min="13572" max="13572" width="17.42578125" style="974" customWidth="1"/>
    <col min="13573" max="13573" width="0.140625" style="974" customWidth="1"/>
    <col min="13574" max="13574" width="16.140625" style="974" customWidth="1"/>
    <col min="13575" max="13575" width="8.7109375" style="974" customWidth="1"/>
    <col min="13576" max="13576" width="2.5703125" style="974" customWidth="1"/>
    <col min="13577" max="13578" width="3.7109375" style="974" customWidth="1"/>
    <col min="13579" max="13579" width="4.42578125" style="974" customWidth="1"/>
    <col min="13580" max="13580" width="4.28515625" style="974" customWidth="1"/>
    <col min="13581" max="13582" width="4.85546875" style="974" customWidth="1"/>
    <col min="13583" max="13585" width="3.42578125" style="974" customWidth="1"/>
    <col min="13586" max="13587" width="4.85546875" style="974" customWidth="1"/>
    <col min="13588" max="13590" width="3.42578125" style="974" customWidth="1"/>
    <col min="13591" max="13591" width="2.7109375" style="974" customWidth="1"/>
    <col min="13592" max="13592" width="2.5703125" style="974" customWidth="1"/>
    <col min="13593" max="13593" width="2.42578125" style="974" customWidth="1"/>
    <col min="13594" max="13594" width="10.140625" style="974" customWidth="1"/>
    <col min="13595" max="13595" width="0.140625" style="974" customWidth="1"/>
    <col min="13596" max="13596" width="0" style="974" hidden="1" customWidth="1"/>
    <col min="13597" max="13597" width="6.7109375" style="974" customWidth="1"/>
    <col min="13598" max="13598" width="2.5703125" style="974" customWidth="1"/>
    <col min="13599" max="13599" width="1.42578125" style="974" customWidth="1"/>
    <col min="13600" max="13600" width="2.85546875" style="974" customWidth="1"/>
    <col min="13601" max="13601" width="3.85546875" style="974" customWidth="1"/>
    <col min="13602" max="13602" width="2.42578125" style="974" customWidth="1"/>
    <col min="13603" max="13607" width="2" style="974" customWidth="1"/>
    <col min="13608" max="13613" width="2.7109375" style="974" customWidth="1"/>
    <col min="13614" max="13825" width="9.140625" style="974"/>
    <col min="13826" max="13827" width="2.140625" style="974" customWidth="1"/>
    <col min="13828" max="13828" width="17.42578125" style="974" customWidth="1"/>
    <col min="13829" max="13829" width="0.140625" style="974" customWidth="1"/>
    <col min="13830" max="13830" width="16.140625" style="974" customWidth="1"/>
    <col min="13831" max="13831" width="8.7109375" style="974" customWidth="1"/>
    <col min="13832" max="13832" width="2.5703125" style="974" customWidth="1"/>
    <col min="13833" max="13834" width="3.7109375" style="974" customWidth="1"/>
    <col min="13835" max="13835" width="4.42578125" style="974" customWidth="1"/>
    <col min="13836" max="13836" width="4.28515625" style="974" customWidth="1"/>
    <col min="13837" max="13838" width="4.85546875" style="974" customWidth="1"/>
    <col min="13839" max="13841" width="3.42578125" style="974" customWidth="1"/>
    <col min="13842" max="13843" width="4.85546875" style="974" customWidth="1"/>
    <col min="13844" max="13846" width="3.42578125" style="974" customWidth="1"/>
    <col min="13847" max="13847" width="2.7109375" style="974" customWidth="1"/>
    <col min="13848" max="13848" width="2.5703125" style="974" customWidth="1"/>
    <col min="13849" max="13849" width="2.42578125" style="974" customWidth="1"/>
    <col min="13850" max="13850" width="10.140625" style="974" customWidth="1"/>
    <col min="13851" max="13851" width="0.140625" style="974" customWidth="1"/>
    <col min="13852" max="13852" width="0" style="974" hidden="1" customWidth="1"/>
    <col min="13853" max="13853" width="6.7109375" style="974" customWidth="1"/>
    <col min="13854" max="13854" width="2.5703125" style="974" customWidth="1"/>
    <col min="13855" max="13855" width="1.42578125" style="974" customWidth="1"/>
    <col min="13856" max="13856" width="2.85546875" style="974" customWidth="1"/>
    <col min="13857" max="13857" width="3.85546875" style="974" customWidth="1"/>
    <col min="13858" max="13858" width="2.42578125" style="974" customWidth="1"/>
    <col min="13859" max="13863" width="2" style="974" customWidth="1"/>
    <col min="13864" max="13869" width="2.7109375" style="974" customWidth="1"/>
    <col min="13870" max="14081" width="9.140625" style="974"/>
    <col min="14082" max="14083" width="2.140625" style="974" customWidth="1"/>
    <col min="14084" max="14084" width="17.42578125" style="974" customWidth="1"/>
    <col min="14085" max="14085" width="0.140625" style="974" customWidth="1"/>
    <col min="14086" max="14086" width="16.140625" style="974" customWidth="1"/>
    <col min="14087" max="14087" width="8.7109375" style="974" customWidth="1"/>
    <col min="14088" max="14088" width="2.5703125" style="974" customWidth="1"/>
    <col min="14089" max="14090" width="3.7109375" style="974" customWidth="1"/>
    <col min="14091" max="14091" width="4.42578125" style="974" customWidth="1"/>
    <col min="14092" max="14092" width="4.28515625" style="974" customWidth="1"/>
    <col min="14093" max="14094" width="4.85546875" style="974" customWidth="1"/>
    <col min="14095" max="14097" width="3.42578125" style="974" customWidth="1"/>
    <col min="14098" max="14099" width="4.85546875" style="974" customWidth="1"/>
    <col min="14100" max="14102" width="3.42578125" style="974" customWidth="1"/>
    <col min="14103" max="14103" width="2.7109375" style="974" customWidth="1"/>
    <col min="14104" max="14104" width="2.5703125" style="974" customWidth="1"/>
    <col min="14105" max="14105" width="2.42578125" style="974" customWidth="1"/>
    <col min="14106" max="14106" width="10.140625" style="974" customWidth="1"/>
    <col min="14107" max="14107" width="0.140625" style="974" customWidth="1"/>
    <col min="14108" max="14108" width="0" style="974" hidden="1" customWidth="1"/>
    <col min="14109" max="14109" width="6.7109375" style="974" customWidth="1"/>
    <col min="14110" max="14110" width="2.5703125" style="974" customWidth="1"/>
    <col min="14111" max="14111" width="1.42578125" style="974" customWidth="1"/>
    <col min="14112" max="14112" width="2.85546875" style="974" customWidth="1"/>
    <col min="14113" max="14113" width="3.85546875" style="974" customWidth="1"/>
    <col min="14114" max="14114" width="2.42578125" style="974" customWidth="1"/>
    <col min="14115" max="14119" width="2" style="974" customWidth="1"/>
    <col min="14120" max="14125" width="2.7109375" style="974" customWidth="1"/>
    <col min="14126" max="14337" width="9.140625" style="974"/>
    <col min="14338" max="14339" width="2.140625" style="974" customWidth="1"/>
    <col min="14340" max="14340" width="17.42578125" style="974" customWidth="1"/>
    <col min="14341" max="14341" width="0.140625" style="974" customWidth="1"/>
    <col min="14342" max="14342" width="16.140625" style="974" customWidth="1"/>
    <col min="14343" max="14343" width="8.7109375" style="974" customWidth="1"/>
    <col min="14344" max="14344" width="2.5703125" style="974" customWidth="1"/>
    <col min="14345" max="14346" width="3.7109375" style="974" customWidth="1"/>
    <col min="14347" max="14347" width="4.42578125" style="974" customWidth="1"/>
    <col min="14348" max="14348" width="4.28515625" style="974" customWidth="1"/>
    <col min="14349" max="14350" width="4.85546875" style="974" customWidth="1"/>
    <col min="14351" max="14353" width="3.42578125" style="974" customWidth="1"/>
    <col min="14354" max="14355" width="4.85546875" style="974" customWidth="1"/>
    <col min="14356" max="14358" width="3.42578125" style="974" customWidth="1"/>
    <col min="14359" max="14359" width="2.7109375" style="974" customWidth="1"/>
    <col min="14360" max="14360" width="2.5703125" style="974" customWidth="1"/>
    <col min="14361" max="14361" width="2.42578125" style="974" customWidth="1"/>
    <col min="14362" max="14362" width="10.140625" style="974" customWidth="1"/>
    <col min="14363" max="14363" width="0.140625" style="974" customWidth="1"/>
    <col min="14364" max="14364" width="0" style="974" hidden="1" customWidth="1"/>
    <col min="14365" max="14365" width="6.7109375" style="974" customWidth="1"/>
    <col min="14366" max="14366" width="2.5703125" style="974" customWidth="1"/>
    <col min="14367" max="14367" width="1.42578125" style="974" customWidth="1"/>
    <col min="14368" max="14368" width="2.85546875" style="974" customWidth="1"/>
    <col min="14369" max="14369" width="3.85546875" style="974" customWidth="1"/>
    <col min="14370" max="14370" width="2.42578125" style="974" customWidth="1"/>
    <col min="14371" max="14375" width="2" style="974" customWidth="1"/>
    <col min="14376" max="14381" width="2.7109375" style="974" customWidth="1"/>
    <col min="14382" max="14593" width="9.140625" style="974"/>
    <col min="14594" max="14595" width="2.140625" style="974" customWidth="1"/>
    <col min="14596" max="14596" width="17.42578125" style="974" customWidth="1"/>
    <col min="14597" max="14597" width="0.140625" style="974" customWidth="1"/>
    <col min="14598" max="14598" width="16.140625" style="974" customWidth="1"/>
    <col min="14599" max="14599" width="8.7109375" style="974" customWidth="1"/>
    <col min="14600" max="14600" width="2.5703125" style="974" customWidth="1"/>
    <col min="14601" max="14602" width="3.7109375" style="974" customWidth="1"/>
    <col min="14603" max="14603" width="4.42578125" style="974" customWidth="1"/>
    <col min="14604" max="14604" width="4.28515625" style="974" customWidth="1"/>
    <col min="14605" max="14606" width="4.85546875" style="974" customWidth="1"/>
    <col min="14607" max="14609" width="3.42578125" style="974" customWidth="1"/>
    <col min="14610" max="14611" width="4.85546875" style="974" customWidth="1"/>
    <col min="14612" max="14614" width="3.42578125" style="974" customWidth="1"/>
    <col min="14615" max="14615" width="2.7109375" style="974" customWidth="1"/>
    <col min="14616" max="14616" width="2.5703125" style="974" customWidth="1"/>
    <col min="14617" max="14617" width="2.42578125" style="974" customWidth="1"/>
    <col min="14618" max="14618" width="10.140625" style="974" customWidth="1"/>
    <col min="14619" max="14619" width="0.140625" style="974" customWidth="1"/>
    <col min="14620" max="14620" width="0" style="974" hidden="1" customWidth="1"/>
    <col min="14621" max="14621" width="6.7109375" style="974" customWidth="1"/>
    <col min="14622" max="14622" width="2.5703125" style="974" customWidth="1"/>
    <col min="14623" max="14623" width="1.42578125" style="974" customWidth="1"/>
    <col min="14624" max="14624" width="2.85546875" style="974" customWidth="1"/>
    <col min="14625" max="14625" width="3.85546875" style="974" customWidth="1"/>
    <col min="14626" max="14626" width="2.42578125" style="974" customWidth="1"/>
    <col min="14627" max="14631" width="2" style="974" customWidth="1"/>
    <col min="14632" max="14637" width="2.7109375" style="974" customWidth="1"/>
    <col min="14638" max="14849" width="9.140625" style="974"/>
    <col min="14850" max="14851" width="2.140625" style="974" customWidth="1"/>
    <col min="14852" max="14852" width="17.42578125" style="974" customWidth="1"/>
    <col min="14853" max="14853" width="0.140625" style="974" customWidth="1"/>
    <col min="14854" max="14854" width="16.140625" style="974" customWidth="1"/>
    <col min="14855" max="14855" width="8.7109375" style="974" customWidth="1"/>
    <col min="14856" max="14856" width="2.5703125" style="974" customWidth="1"/>
    <col min="14857" max="14858" width="3.7109375" style="974" customWidth="1"/>
    <col min="14859" max="14859" width="4.42578125" style="974" customWidth="1"/>
    <col min="14860" max="14860" width="4.28515625" style="974" customWidth="1"/>
    <col min="14861" max="14862" width="4.85546875" style="974" customWidth="1"/>
    <col min="14863" max="14865" width="3.42578125" style="974" customWidth="1"/>
    <col min="14866" max="14867" width="4.85546875" style="974" customWidth="1"/>
    <col min="14868" max="14870" width="3.42578125" style="974" customWidth="1"/>
    <col min="14871" max="14871" width="2.7109375" style="974" customWidth="1"/>
    <col min="14872" max="14872" width="2.5703125" style="974" customWidth="1"/>
    <col min="14873" max="14873" width="2.42578125" style="974" customWidth="1"/>
    <col min="14874" max="14874" width="10.140625" style="974" customWidth="1"/>
    <col min="14875" max="14875" width="0.140625" style="974" customWidth="1"/>
    <col min="14876" max="14876" width="0" style="974" hidden="1" customWidth="1"/>
    <col min="14877" max="14877" width="6.7109375" style="974" customWidth="1"/>
    <col min="14878" max="14878" width="2.5703125" style="974" customWidth="1"/>
    <col min="14879" max="14879" width="1.42578125" style="974" customWidth="1"/>
    <col min="14880" max="14880" width="2.85546875" style="974" customWidth="1"/>
    <col min="14881" max="14881" width="3.85546875" style="974" customWidth="1"/>
    <col min="14882" max="14882" width="2.42578125" style="974" customWidth="1"/>
    <col min="14883" max="14887" width="2" style="974" customWidth="1"/>
    <col min="14888" max="14893" width="2.7109375" style="974" customWidth="1"/>
    <col min="14894" max="15105" width="9.140625" style="974"/>
    <col min="15106" max="15107" width="2.140625" style="974" customWidth="1"/>
    <col min="15108" max="15108" width="17.42578125" style="974" customWidth="1"/>
    <col min="15109" max="15109" width="0.140625" style="974" customWidth="1"/>
    <col min="15110" max="15110" width="16.140625" style="974" customWidth="1"/>
    <col min="15111" max="15111" width="8.7109375" style="974" customWidth="1"/>
    <col min="15112" max="15112" width="2.5703125" style="974" customWidth="1"/>
    <col min="15113" max="15114" width="3.7109375" style="974" customWidth="1"/>
    <col min="15115" max="15115" width="4.42578125" style="974" customWidth="1"/>
    <col min="15116" max="15116" width="4.28515625" style="974" customWidth="1"/>
    <col min="15117" max="15118" width="4.85546875" style="974" customWidth="1"/>
    <col min="15119" max="15121" width="3.42578125" style="974" customWidth="1"/>
    <col min="15122" max="15123" width="4.85546875" style="974" customWidth="1"/>
    <col min="15124" max="15126" width="3.42578125" style="974" customWidth="1"/>
    <col min="15127" max="15127" width="2.7109375" style="974" customWidth="1"/>
    <col min="15128" max="15128" width="2.5703125" style="974" customWidth="1"/>
    <col min="15129" max="15129" width="2.42578125" style="974" customWidth="1"/>
    <col min="15130" max="15130" width="10.140625" style="974" customWidth="1"/>
    <col min="15131" max="15131" width="0.140625" style="974" customWidth="1"/>
    <col min="15132" max="15132" width="0" style="974" hidden="1" customWidth="1"/>
    <col min="15133" max="15133" width="6.7109375" style="974" customWidth="1"/>
    <col min="15134" max="15134" width="2.5703125" style="974" customWidth="1"/>
    <col min="15135" max="15135" width="1.42578125" style="974" customWidth="1"/>
    <col min="15136" max="15136" width="2.85546875" style="974" customWidth="1"/>
    <col min="15137" max="15137" width="3.85546875" style="974" customWidth="1"/>
    <col min="15138" max="15138" width="2.42578125" style="974" customWidth="1"/>
    <col min="15139" max="15143" width="2" style="974" customWidth="1"/>
    <col min="15144" max="15149" width="2.7109375" style="974" customWidth="1"/>
    <col min="15150" max="15361" width="9.140625" style="974"/>
    <col min="15362" max="15363" width="2.140625" style="974" customWidth="1"/>
    <col min="15364" max="15364" width="17.42578125" style="974" customWidth="1"/>
    <col min="15365" max="15365" width="0.140625" style="974" customWidth="1"/>
    <col min="15366" max="15366" width="16.140625" style="974" customWidth="1"/>
    <col min="15367" max="15367" width="8.7109375" style="974" customWidth="1"/>
    <col min="15368" max="15368" width="2.5703125" style="974" customWidth="1"/>
    <col min="15369" max="15370" width="3.7109375" style="974" customWidth="1"/>
    <col min="15371" max="15371" width="4.42578125" style="974" customWidth="1"/>
    <col min="15372" max="15372" width="4.28515625" style="974" customWidth="1"/>
    <col min="15373" max="15374" width="4.85546875" style="974" customWidth="1"/>
    <col min="15375" max="15377" width="3.42578125" style="974" customWidth="1"/>
    <col min="15378" max="15379" width="4.85546875" style="974" customWidth="1"/>
    <col min="15380" max="15382" width="3.42578125" style="974" customWidth="1"/>
    <col min="15383" max="15383" width="2.7109375" style="974" customWidth="1"/>
    <col min="15384" max="15384" width="2.5703125" style="974" customWidth="1"/>
    <col min="15385" max="15385" width="2.42578125" style="974" customWidth="1"/>
    <col min="15386" max="15386" width="10.140625" style="974" customWidth="1"/>
    <col min="15387" max="15387" width="0.140625" style="974" customWidth="1"/>
    <col min="15388" max="15388" width="0" style="974" hidden="1" customWidth="1"/>
    <col min="15389" max="15389" width="6.7109375" style="974" customWidth="1"/>
    <col min="15390" max="15390" width="2.5703125" style="974" customWidth="1"/>
    <col min="15391" max="15391" width="1.42578125" style="974" customWidth="1"/>
    <col min="15392" max="15392" width="2.85546875" style="974" customWidth="1"/>
    <col min="15393" max="15393" width="3.85546875" style="974" customWidth="1"/>
    <col min="15394" max="15394" width="2.42578125" style="974" customWidth="1"/>
    <col min="15395" max="15399" width="2" style="974" customWidth="1"/>
    <col min="15400" max="15405" width="2.7109375" style="974" customWidth="1"/>
    <col min="15406" max="15617" width="9.140625" style="974"/>
    <col min="15618" max="15619" width="2.140625" style="974" customWidth="1"/>
    <col min="15620" max="15620" width="17.42578125" style="974" customWidth="1"/>
    <col min="15621" max="15621" width="0.140625" style="974" customWidth="1"/>
    <col min="15622" max="15622" width="16.140625" style="974" customWidth="1"/>
    <col min="15623" max="15623" width="8.7109375" style="974" customWidth="1"/>
    <col min="15624" max="15624" width="2.5703125" style="974" customWidth="1"/>
    <col min="15625" max="15626" width="3.7109375" style="974" customWidth="1"/>
    <col min="15627" max="15627" width="4.42578125" style="974" customWidth="1"/>
    <col min="15628" max="15628" width="4.28515625" style="974" customWidth="1"/>
    <col min="15629" max="15630" width="4.85546875" style="974" customWidth="1"/>
    <col min="15631" max="15633" width="3.42578125" style="974" customWidth="1"/>
    <col min="15634" max="15635" width="4.85546875" style="974" customWidth="1"/>
    <col min="15636" max="15638" width="3.42578125" style="974" customWidth="1"/>
    <col min="15639" max="15639" width="2.7109375" style="974" customWidth="1"/>
    <col min="15640" max="15640" width="2.5703125" style="974" customWidth="1"/>
    <col min="15641" max="15641" width="2.42578125" style="974" customWidth="1"/>
    <col min="15642" max="15642" width="10.140625" style="974" customWidth="1"/>
    <col min="15643" max="15643" width="0.140625" style="974" customWidth="1"/>
    <col min="15644" max="15644" width="0" style="974" hidden="1" customWidth="1"/>
    <col min="15645" max="15645" width="6.7109375" style="974" customWidth="1"/>
    <col min="15646" max="15646" width="2.5703125" style="974" customWidth="1"/>
    <col min="15647" max="15647" width="1.42578125" style="974" customWidth="1"/>
    <col min="15648" max="15648" width="2.85546875" style="974" customWidth="1"/>
    <col min="15649" max="15649" width="3.85546875" style="974" customWidth="1"/>
    <col min="15650" max="15650" width="2.42578125" style="974" customWidth="1"/>
    <col min="15651" max="15655" width="2" style="974" customWidth="1"/>
    <col min="15656" max="15661" width="2.7109375" style="974" customWidth="1"/>
    <col min="15662" max="15873" width="9.140625" style="974"/>
    <col min="15874" max="15875" width="2.140625" style="974" customWidth="1"/>
    <col min="15876" max="15876" width="17.42578125" style="974" customWidth="1"/>
    <col min="15877" max="15877" width="0.140625" style="974" customWidth="1"/>
    <col min="15878" max="15878" width="16.140625" style="974" customWidth="1"/>
    <col min="15879" max="15879" width="8.7109375" style="974" customWidth="1"/>
    <col min="15880" max="15880" width="2.5703125" style="974" customWidth="1"/>
    <col min="15881" max="15882" width="3.7109375" style="974" customWidth="1"/>
    <col min="15883" max="15883" width="4.42578125" style="974" customWidth="1"/>
    <col min="15884" max="15884" width="4.28515625" style="974" customWidth="1"/>
    <col min="15885" max="15886" width="4.85546875" style="974" customWidth="1"/>
    <col min="15887" max="15889" width="3.42578125" style="974" customWidth="1"/>
    <col min="15890" max="15891" width="4.85546875" style="974" customWidth="1"/>
    <col min="15892" max="15894" width="3.42578125" style="974" customWidth="1"/>
    <col min="15895" max="15895" width="2.7109375" style="974" customWidth="1"/>
    <col min="15896" max="15896" width="2.5703125" style="974" customWidth="1"/>
    <col min="15897" max="15897" width="2.42578125" style="974" customWidth="1"/>
    <col min="15898" max="15898" width="10.140625" style="974" customWidth="1"/>
    <col min="15899" max="15899" width="0.140625" style="974" customWidth="1"/>
    <col min="15900" max="15900" width="0" style="974" hidden="1" customWidth="1"/>
    <col min="15901" max="15901" width="6.7109375" style="974" customWidth="1"/>
    <col min="15902" max="15902" width="2.5703125" style="974" customWidth="1"/>
    <col min="15903" max="15903" width="1.42578125" style="974" customWidth="1"/>
    <col min="15904" max="15904" width="2.85546875" style="974" customWidth="1"/>
    <col min="15905" max="15905" width="3.85546875" style="974" customWidth="1"/>
    <col min="15906" max="15906" width="2.42578125" style="974" customWidth="1"/>
    <col min="15907" max="15911" width="2" style="974" customWidth="1"/>
    <col min="15912" max="15917" width="2.7109375" style="974" customWidth="1"/>
    <col min="15918" max="16129" width="9.140625" style="974"/>
    <col min="16130" max="16131" width="2.140625" style="974" customWidth="1"/>
    <col min="16132" max="16132" width="17.42578125" style="974" customWidth="1"/>
    <col min="16133" max="16133" width="0.140625" style="974" customWidth="1"/>
    <col min="16134" max="16134" width="16.140625" style="974" customWidth="1"/>
    <col min="16135" max="16135" width="8.7109375" style="974" customWidth="1"/>
    <col min="16136" max="16136" width="2.5703125" style="974" customWidth="1"/>
    <col min="16137" max="16138" width="3.7109375" style="974" customWidth="1"/>
    <col min="16139" max="16139" width="4.42578125" style="974" customWidth="1"/>
    <col min="16140" max="16140" width="4.28515625" style="974" customWidth="1"/>
    <col min="16141" max="16142" width="4.85546875" style="974" customWidth="1"/>
    <col min="16143" max="16145" width="3.42578125" style="974" customWidth="1"/>
    <col min="16146" max="16147" width="4.85546875" style="974" customWidth="1"/>
    <col min="16148" max="16150" width="3.42578125" style="974" customWidth="1"/>
    <col min="16151" max="16151" width="2.7109375" style="974" customWidth="1"/>
    <col min="16152" max="16152" width="2.5703125" style="974" customWidth="1"/>
    <col min="16153" max="16153" width="2.42578125" style="974" customWidth="1"/>
    <col min="16154" max="16154" width="10.140625" style="974" customWidth="1"/>
    <col min="16155" max="16155" width="0.140625" style="974" customWidth="1"/>
    <col min="16156" max="16156" width="0" style="974" hidden="1" customWidth="1"/>
    <col min="16157" max="16157" width="6.7109375" style="974" customWidth="1"/>
    <col min="16158" max="16158" width="2.5703125" style="974" customWidth="1"/>
    <col min="16159" max="16159" width="1.42578125" style="974" customWidth="1"/>
    <col min="16160" max="16160" width="2.85546875" style="974" customWidth="1"/>
    <col min="16161" max="16161" width="3.85546875" style="974" customWidth="1"/>
    <col min="16162" max="16162" width="2.42578125" style="974" customWidth="1"/>
    <col min="16163" max="16167" width="2" style="974" customWidth="1"/>
    <col min="16168" max="16173" width="2.7109375" style="974" customWidth="1"/>
    <col min="16174" max="16384" width="9.140625" style="974"/>
  </cols>
  <sheetData>
    <row r="1" spans="1:34" ht="14.25" customHeight="1"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AH1" s="953" t="s">
        <v>254</v>
      </c>
    </row>
    <row r="2" spans="1:34" s="952" customFormat="1" ht="42.75" customHeight="1">
      <c r="A2" s="2269" t="s">
        <v>379</v>
      </c>
      <c r="B2" s="2270"/>
      <c r="C2" s="973" t="s">
        <v>411</v>
      </c>
      <c r="D2" s="1426" t="s">
        <v>649</v>
      </c>
      <c r="E2" s="1427"/>
      <c r="F2" s="1427"/>
      <c r="G2" s="1427"/>
      <c r="H2" s="1428"/>
      <c r="I2" s="1420" t="s">
        <v>211</v>
      </c>
      <c r="J2" s="1421"/>
      <c r="K2" s="1420" t="s">
        <v>650</v>
      </c>
      <c r="L2" s="1421"/>
      <c r="M2" s="1426" t="s">
        <v>285</v>
      </c>
      <c r="N2" s="1427"/>
      <c r="O2" s="1427"/>
      <c r="P2" s="1427"/>
      <c r="Q2" s="1428"/>
      <c r="R2" s="1426" t="s">
        <v>185</v>
      </c>
      <c r="S2" s="1427"/>
      <c r="T2" s="1427"/>
      <c r="U2" s="1427"/>
      <c r="V2" s="1428"/>
      <c r="W2" s="1420" t="s">
        <v>651</v>
      </c>
      <c r="X2" s="1429"/>
      <c r="Y2" s="1421"/>
      <c r="Z2" s="1420" t="s">
        <v>413</v>
      </c>
      <c r="AA2" s="1429"/>
      <c r="AB2" s="1421"/>
      <c r="AC2" s="2252" t="s">
        <v>652</v>
      </c>
      <c r="AD2" s="2253"/>
      <c r="AE2" s="2253"/>
      <c r="AF2" s="2253"/>
      <c r="AG2" s="2253"/>
      <c r="AH2" s="2254"/>
    </row>
    <row r="3" spans="1:34" s="952" customFormat="1" ht="42.75" customHeight="1">
      <c r="A3" s="2271"/>
      <c r="B3" s="2272"/>
      <c r="C3" s="972" t="s">
        <v>8</v>
      </c>
      <c r="D3" s="1426" t="s">
        <v>653</v>
      </c>
      <c r="E3" s="1428"/>
      <c r="F3" s="1169" t="s">
        <v>766</v>
      </c>
      <c r="G3" s="2252" t="s">
        <v>654</v>
      </c>
      <c r="H3" s="2254"/>
      <c r="I3" s="1437"/>
      <c r="J3" s="1439"/>
      <c r="K3" s="1437"/>
      <c r="L3" s="1439"/>
      <c r="M3" s="1426" t="s">
        <v>18</v>
      </c>
      <c r="N3" s="1428"/>
      <c r="O3" s="1426" t="s">
        <v>655</v>
      </c>
      <c r="P3" s="1427"/>
      <c r="Q3" s="1428"/>
      <c r="R3" s="1426" t="s">
        <v>18</v>
      </c>
      <c r="S3" s="1428"/>
      <c r="T3" s="1426" t="s">
        <v>655</v>
      </c>
      <c r="U3" s="1427"/>
      <c r="V3" s="1428"/>
      <c r="W3" s="1437"/>
      <c r="X3" s="1438"/>
      <c r="Y3" s="1439"/>
      <c r="Z3" s="1437"/>
      <c r="AA3" s="1438"/>
      <c r="AB3" s="1439"/>
      <c r="AC3" s="972" t="s">
        <v>420</v>
      </c>
      <c r="AD3" s="1426" t="s">
        <v>64</v>
      </c>
      <c r="AE3" s="1427"/>
      <c r="AF3" s="1428"/>
      <c r="AG3" s="1426" t="s">
        <v>4</v>
      </c>
      <c r="AH3" s="1428"/>
    </row>
    <row r="4" spans="1:34" ht="13.5">
      <c r="A4" s="2255">
        <v>1</v>
      </c>
      <c r="B4" s="2257"/>
      <c r="C4" s="954">
        <v>2</v>
      </c>
      <c r="D4" s="2255" t="s">
        <v>656</v>
      </c>
      <c r="E4" s="2257"/>
      <c r="F4" s="1170" t="s">
        <v>764</v>
      </c>
      <c r="G4" s="2255" t="s">
        <v>237</v>
      </c>
      <c r="H4" s="2257"/>
      <c r="I4" s="2255" t="s">
        <v>238</v>
      </c>
      <c r="J4" s="2257"/>
      <c r="K4" s="2255" t="s">
        <v>239</v>
      </c>
      <c r="L4" s="2257"/>
      <c r="M4" s="2255" t="s">
        <v>240</v>
      </c>
      <c r="N4" s="2257"/>
      <c r="O4" s="2255" t="s">
        <v>241</v>
      </c>
      <c r="P4" s="2256"/>
      <c r="Q4" s="2257"/>
      <c r="R4" s="2255" t="s">
        <v>242</v>
      </c>
      <c r="S4" s="2257"/>
      <c r="T4" s="2255" t="s">
        <v>198</v>
      </c>
      <c r="U4" s="2256"/>
      <c r="V4" s="2257"/>
      <c r="W4" s="2255" t="s">
        <v>199</v>
      </c>
      <c r="X4" s="2256"/>
      <c r="Y4" s="2257"/>
      <c r="Z4" s="2255" t="s">
        <v>200</v>
      </c>
      <c r="AA4" s="2256"/>
      <c r="AB4" s="2257"/>
      <c r="AC4" s="954" t="s">
        <v>201</v>
      </c>
      <c r="AD4" s="2255" t="s">
        <v>202</v>
      </c>
      <c r="AE4" s="2256"/>
      <c r="AF4" s="2257"/>
      <c r="AG4" s="2255" t="s">
        <v>203</v>
      </c>
      <c r="AH4" s="2257"/>
    </row>
    <row r="5" spans="1:34" ht="25.5">
      <c r="A5" s="2263" t="s">
        <v>4</v>
      </c>
      <c r="B5" s="2264"/>
      <c r="C5" s="396" t="s">
        <v>592</v>
      </c>
      <c r="D5" s="2249" t="s">
        <v>6</v>
      </c>
      <c r="E5" s="2251"/>
      <c r="F5" s="1172" t="s">
        <v>754</v>
      </c>
      <c r="G5" s="2249" t="s">
        <v>7</v>
      </c>
      <c r="H5" s="2251"/>
      <c r="I5" s="2249" t="s">
        <v>8</v>
      </c>
      <c r="J5" s="2251"/>
      <c r="K5" s="2260" t="s">
        <v>9</v>
      </c>
      <c r="L5" s="2262"/>
      <c r="M5" s="2258" t="s">
        <v>16</v>
      </c>
      <c r="N5" s="2259"/>
      <c r="O5" s="2260" t="s">
        <v>17</v>
      </c>
      <c r="P5" s="2261"/>
      <c r="Q5" s="2262"/>
      <c r="R5" s="2258" t="s">
        <v>18</v>
      </c>
      <c r="S5" s="2259"/>
      <c r="T5" s="2260" t="s">
        <v>19</v>
      </c>
      <c r="U5" s="2261"/>
      <c r="V5" s="2262"/>
      <c r="W5" s="2243" t="s">
        <v>591</v>
      </c>
      <c r="X5" s="2244"/>
      <c r="Y5" s="2245"/>
      <c r="Z5" s="2249" t="s">
        <v>590</v>
      </c>
      <c r="AA5" s="2250"/>
      <c r="AB5" s="2251"/>
      <c r="AC5" s="396" t="s">
        <v>594</v>
      </c>
      <c r="AD5" s="2246" t="s">
        <v>596</v>
      </c>
      <c r="AE5" s="2247"/>
      <c r="AF5" s="2248"/>
      <c r="AG5" s="1398" t="s">
        <v>595</v>
      </c>
      <c r="AH5" s="1400"/>
    </row>
    <row r="6" spans="1:34" s="967" customFormat="1" ht="13.5">
      <c r="A6" s="2266" t="s">
        <v>661</v>
      </c>
      <c r="B6" s="2266"/>
      <c r="C6" s="2266"/>
      <c r="D6" s="2266"/>
      <c r="E6" s="2266"/>
      <c r="F6" s="1171"/>
      <c r="G6" s="966" t="s">
        <v>175</v>
      </c>
      <c r="H6" s="966"/>
      <c r="I6" s="966"/>
      <c r="J6" s="966"/>
      <c r="K6" s="956"/>
      <c r="L6" s="326" t="s">
        <v>603</v>
      </c>
      <c r="M6" s="2267"/>
      <c r="N6" s="2268"/>
      <c r="O6" s="1463"/>
      <c r="P6" s="1464"/>
      <c r="Q6" s="1465"/>
      <c r="R6" s="2278"/>
      <c r="S6" s="2278"/>
      <c r="T6" s="2279"/>
      <c r="U6" s="2279"/>
      <c r="V6" s="2279"/>
    </row>
    <row r="7" spans="1:34" s="955" customFormat="1">
      <c r="A7" s="956"/>
      <c r="B7" s="956"/>
      <c r="C7" s="956"/>
      <c r="D7" s="956" t="s">
        <v>115</v>
      </c>
      <c r="E7" s="956" t="s">
        <v>175</v>
      </c>
      <c r="F7" s="956"/>
      <c r="G7" s="956" t="s">
        <v>175</v>
      </c>
      <c r="H7" s="956"/>
      <c r="I7" s="956"/>
      <c r="J7" s="956"/>
      <c r="K7" s="956"/>
      <c r="L7" s="326" t="s">
        <v>426</v>
      </c>
      <c r="M7" s="2273"/>
      <c r="N7" s="2274"/>
      <c r="O7" s="2275"/>
      <c r="P7" s="2276"/>
      <c r="Q7" s="2277"/>
    </row>
    <row r="8" spans="1:34" ht="14.25">
      <c r="C8" s="957" t="s">
        <v>427</v>
      </c>
      <c r="AB8" s="952"/>
      <c r="AC8" s="952"/>
      <c r="AD8" s="952"/>
      <c r="AE8" s="952"/>
      <c r="AF8" s="952"/>
    </row>
    <row r="9" spans="1:34" ht="13.5">
      <c r="A9" s="957" t="s">
        <v>428</v>
      </c>
    </row>
    <row r="10" spans="1:34" ht="13.5">
      <c r="B10" s="957" t="s">
        <v>429</v>
      </c>
      <c r="D10" s="958"/>
      <c r="E10" s="984"/>
      <c r="F10" s="984"/>
      <c r="G10" s="977"/>
      <c r="H10" s="976"/>
      <c r="I10" s="976"/>
      <c r="J10" s="976"/>
      <c r="K10" s="976"/>
      <c r="L10" s="976"/>
      <c r="M10" s="976"/>
      <c r="N10" s="976"/>
      <c r="O10" s="976"/>
      <c r="P10" s="976"/>
      <c r="Q10" s="976"/>
      <c r="R10" s="976"/>
      <c r="S10" s="976"/>
      <c r="T10" s="976"/>
      <c r="U10" s="976"/>
      <c r="V10" s="976"/>
      <c r="W10" s="976"/>
      <c r="X10" s="976"/>
      <c r="Y10" s="976"/>
      <c r="Z10" s="976"/>
      <c r="AA10" s="976"/>
      <c r="AB10" s="976"/>
      <c r="AC10" s="977"/>
      <c r="AD10" s="976"/>
      <c r="AE10" s="976"/>
      <c r="AF10" s="976"/>
      <c r="AG10" s="974" t="s">
        <v>546</v>
      </c>
    </row>
    <row r="11" spans="1:34" ht="13.5">
      <c r="B11" s="957"/>
      <c r="D11" s="959"/>
      <c r="E11" s="959"/>
      <c r="F11" s="959"/>
      <c r="G11" s="959"/>
      <c r="H11" s="959"/>
      <c r="I11" s="959"/>
      <c r="J11" s="959"/>
      <c r="K11" s="959"/>
      <c r="L11" s="959"/>
      <c r="M11" s="959"/>
      <c r="N11" s="959"/>
      <c r="O11" s="959"/>
      <c r="P11" s="959"/>
      <c r="Q11" s="959"/>
      <c r="R11" s="959"/>
      <c r="S11" s="959"/>
      <c r="T11" s="959"/>
      <c r="U11" s="959"/>
      <c r="V11" s="959"/>
      <c r="W11" s="959"/>
      <c r="X11" s="959"/>
      <c r="Y11" s="959"/>
    </row>
    <row r="12" spans="1:34" ht="13.5">
      <c r="B12" s="957" t="s">
        <v>124</v>
      </c>
      <c r="E12" s="960" t="s">
        <v>125</v>
      </c>
      <c r="F12" s="960"/>
      <c r="G12" s="960"/>
      <c r="J12" s="961"/>
      <c r="K12" s="961"/>
      <c r="L12" s="961"/>
      <c r="M12" s="961"/>
      <c r="N12" s="961"/>
      <c r="Q12" s="975"/>
      <c r="R12" s="960" t="s">
        <v>126</v>
      </c>
      <c r="S12" s="960"/>
      <c r="T12" s="960"/>
      <c r="U12" s="960"/>
      <c r="V12" s="960"/>
      <c r="W12" s="960"/>
      <c r="X12" s="960"/>
      <c r="Y12" s="960"/>
      <c r="Z12" s="960"/>
    </row>
    <row r="13" spans="1:34">
      <c r="E13" s="2233" t="s">
        <v>183</v>
      </c>
      <c r="F13" s="2233"/>
      <c r="G13" s="2233"/>
      <c r="H13" s="2233"/>
      <c r="I13" s="950"/>
      <c r="J13" s="2233" t="s">
        <v>80</v>
      </c>
      <c r="K13" s="2233"/>
      <c r="L13" s="2233"/>
      <c r="M13" s="2233"/>
      <c r="N13" s="2233"/>
      <c r="O13" s="2233"/>
      <c r="P13" s="950"/>
      <c r="Q13" s="950"/>
      <c r="R13" s="2233" t="s">
        <v>182</v>
      </c>
      <c r="S13" s="2233"/>
      <c r="T13" s="2233"/>
      <c r="U13" s="2233"/>
      <c r="V13" s="2233"/>
      <c r="W13" s="2233"/>
      <c r="X13" s="2233"/>
      <c r="Y13" s="2233"/>
      <c r="Z13" s="2233"/>
      <c r="AA13" s="2233"/>
      <c r="AB13" s="2233"/>
    </row>
    <row r="14" spans="1:34" s="980" customFormat="1" ht="13.5">
      <c r="B14" s="957" t="s">
        <v>127</v>
      </c>
      <c r="E14" s="948"/>
      <c r="F14" s="948"/>
      <c r="G14" s="948"/>
      <c r="H14" s="948"/>
      <c r="I14" s="950"/>
      <c r="J14" s="948"/>
      <c r="K14" s="948"/>
      <c r="L14" s="948"/>
      <c r="M14" s="948"/>
      <c r="N14" s="948"/>
      <c r="O14" s="948"/>
      <c r="P14" s="950"/>
      <c r="Q14" s="950"/>
      <c r="R14" s="948"/>
      <c r="S14" s="948"/>
      <c r="T14" s="948"/>
      <c r="U14" s="948"/>
      <c r="V14" s="948"/>
      <c r="W14" s="948"/>
      <c r="X14" s="948"/>
      <c r="Y14" s="948"/>
      <c r="Z14" s="948"/>
      <c r="AA14" s="948"/>
      <c r="AB14" s="948"/>
    </row>
    <row r="15" spans="1:34" s="980" customFormat="1" ht="14.25">
      <c r="B15" s="957"/>
      <c r="E15" s="963" t="s">
        <v>3</v>
      </c>
      <c r="F15" s="963"/>
      <c r="G15" s="963"/>
      <c r="H15" s="963"/>
      <c r="J15" s="2265"/>
      <c r="K15" s="2265"/>
      <c r="L15" s="2265"/>
      <c r="M15" s="2265"/>
      <c r="N15" s="2265"/>
      <c r="O15" s="2265"/>
      <c r="R15" s="962" t="s">
        <v>1</v>
      </c>
      <c r="S15" s="963"/>
      <c r="T15" s="963"/>
      <c r="U15" s="963"/>
      <c r="V15" s="963"/>
      <c r="W15" s="963"/>
      <c r="X15" s="963"/>
      <c r="Y15" s="963"/>
      <c r="Z15" s="963"/>
      <c r="AA15" s="963"/>
      <c r="AB15" s="963"/>
    </row>
    <row r="16" spans="1:34">
      <c r="C16" s="980"/>
      <c r="E16" s="2233" t="s">
        <v>183</v>
      </c>
      <c r="F16" s="2233"/>
      <c r="G16" s="2233"/>
      <c r="H16" s="2233"/>
      <c r="I16" s="950"/>
      <c r="J16" s="2233" t="s">
        <v>80</v>
      </c>
      <c r="K16" s="2233"/>
      <c r="L16" s="2233"/>
      <c r="M16" s="2233"/>
      <c r="N16" s="2233"/>
      <c r="O16" s="2233"/>
      <c r="P16" s="950"/>
      <c r="Q16" s="950"/>
      <c r="R16" s="2233" t="s">
        <v>182</v>
      </c>
      <c r="S16" s="2233"/>
      <c r="T16" s="2233"/>
      <c r="U16" s="2233"/>
      <c r="V16" s="2233"/>
      <c r="W16" s="2233"/>
      <c r="X16" s="2233"/>
      <c r="Y16" s="2233"/>
      <c r="Z16" s="2233"/>
      <c r="AA16" s="2233"/>
      <c r="AB16" s="2233"/>
    </row>
    <row r="17" spans="1:32">
      <c r="B17" s="974" t="s">
        <v>657</v>
      </c>
      <c r="E17" s="940"/>
      <c r="F17" s="940"/>
      <c r="G17" s="940"/>
      <c r="H17" s="940"/>
      <c r="J17" s="940"/>
      <c r="K17" s="960" t="s">
        <v>292</v>
      </c>
      <c r="L17" s="964"/>
      <c r="M17" s="964"/>
      <c r="N17" s="964"/>
      <c r="O17" s="964"/>
      <c r="P17" s="964"/>
      <c r="Q17" s="979" t="s">
        <v>280</v>
      </c>
      <c r="R17" s="979"/>
      <c r="S17" s="960" t="s">
        <v>39</v>
      </c>
      <c r="T17" s="964"/>
      <c r="U17" s="964"/>
      <c r="V17" s="964"/>
      <c r="W17" s="964"/>
      <c r="X17" s="980" t="s">
        <v>658</v>
      </c>
      <c r="Y17" s="980"/>
      <c r="Z17" s="980"/>
      <c r="AA17" s="980"/>
      <c r="AB17" s="980"/>
      <c r="AC17" s="980"/>
      <c r="AD17" s="980"/>
      <c r="AE17" s="980"/>
      <c r="AF17" s="980"/>
    </row>
    <row r="18" spans="1:32">
      <c r="A18" s="974" t="s">
        <v>659</v>
      </c>
      <c r="E18" s="940"/>
      <c r="F18" s="940"/>
      <c r="G18" s="940"/>
      <c r="H18" s="940"/>
      <c r="J18" s="940"/>
      <c r="L18" s="940"/>
    </row>
    <row r="19" spans="1:32">
      <c r="A19" s="974" t="s">
        <v>660</v>
      </c>
    </row>
    <row r="20" spans="1:32" s="957" customFormat="1" ht="14.25">
      <c r="C20" s="957" t="s">
        <v>78</v>
      </c>
      <c r="J20" s="962" t="s">
        <v>291</v>
      </c>
      <c r="K20" s="962"/>
      <c r="L20" s="962"/>
      <c r="M20" s="962"/>
      <c r="N20" s="962"/>
      <c r="O20" s="985"/>
      <c r="P20" s="986"/>
      <c r="Q20" s="952"/>
      <c r="R20" s="952"/>
      <c r="S20" s="952"/>
      <c r="T20" s="952"/>
      <c r="U20" s="952"/>
      <c r="V20" s="952"/>
      <c r="W20" s="983" t="s">
        <v>33</v>
      </c>
      <c r="X20" s="983"/>
      <c r="Y20" s="983"/>
      <c r="Z20" s="983"/>
      <c r="AA20" s="981"/>
      <c r="AB20" s="981"/>
      <c r="AC20" s="981"/>
      <c r="AD20" s="981"/>
    </row>
    <row r="21" spans="1:32">
      <c r="J21" s="2242" t="s">
        <v>183</v>
      </c>
      <c r="K21" s="2242"/>
      <c r="L21" s="2242"/>
      <c r="M21" s="2242"/>
      <c r="N21" s="2242"/>
      <c r="O21" s="965"/>
      <c r="P21" s="2242" t="s">
        <v>80</v>
      </c>
      <c r="Q21" s="2242"/>
      <c r="R21" s="2242"/>
      <c r="S21" s="2242"/>
      <c r="T21" s="2242"/>
      <c r="U21" s="2242"/>
      <c r="V21" s="965"/>
      <c r="W21" s="2242" t="s">
        <v>182</v>
      </c>
      <c r="X21" s="2242"/>
      <c r="Y21" s="2242"/>
      <c r="Z21" s="2242"/>
      <c r="AA21" s="2242"/>
      <c r="AB21" s="2242"/>
      <c r="AC21" s="2242"/>
      <c r="AD21" s="2242"/>
    </row>
    <row r="22" spans="1:32" s="957" customFormat="1" ht="13.5">
      <c r="J22" s="982"/>
      <c r="K22" s="982"/>
      <c r="L22" s="982"/>
      <c r="M22" s="982"/>
      <c r="N22" s="982"/>
      <c r="P22" s="978"/>
      <c r="Q22" s="978"/>
      <c r="R22" s="978"/>
      <c r="S22" s="978"/>
      <c r="T22" s="978"/>
      <c r="U22" s="978"/>
      <c r="W22" s="978"/>
      <c r="X22" s="978"/>
      <c r="Y22" s="978"/>
      <c r="Z22" s="978"/>
      <c r="AA22" s="978"/>
      <c r="AB22" s="978"/>
      <c r="AC22" s="978"/>
      <c r="AD22" s="978"/>
    </row>
    <row r="23" spans="1:32">
      <c r="J23" s="2242" t="s">
        <v>183</v>
      </c>
      <c r="K23" s="2242"/>
      <c r="L23" s="2242"/>
      <c r="M23" s="2242"/>
      <c r="N23" s="2242"/>
      <c r="O23" s="965"/>
      <c r="P23" s="2242" t="s">
        <v>80</v>
      </c>
      <c r="Q23" s="2242"/>
      <c r="R23" s="2242"/>
      <c r="S23" s="2242"/>
      <c r="T23" s="2242"/>
      <c r="U23" s="2242"/>
      <c r="V23" s="965"/>
      <c r="W23" s="2242" t="s">
        <v>182</v>
      </c>
      <c r="X23" s="2242"/>
      <c r="Y23" s="2242"/>
      <c r="Z23" s="2242"/>
      <c r="AA23" s="2242"/>
      <c r="AB23" s="2242"/>
      <c r="AC23" s="2242"/>
      <c r="AD23" s="2242"/>
    </row>
    <row r="24" spans="1:32" s="957" customFormat="1" ht="13.5">
      <c r="C24" s="957" t="s">
        <v>136</v>
      </c>
      <c r="J24" s="982"/>
      <c r="K24" s="982"/>
      <c r="L24" s="982"/>
      <c r="M24" s="982"/>
      <c r="N24" s="982"/>
      <c r="P24" s="978"/>
      <c r="Q24" s="978"/>
      <c r="R24" s="978"/>
      <c r="S24" s="978"/>
      <c r="T24" s="978"/>
      <c r="U24" s="978"/>
      <c r="W24" s="978"/>
      <c r="X24" s="978"/>
      <c r="Y24" s="978"/>
      <c r="Z24" s="978"/>
      <c r="AA24" s="978"/>
      <c r="AB24" s="978"/>
      <c r="AC24" s="978"/>
      <c r="AD24" s="978"/>
    </row>
    <row r="25" spans="1:32">
      <c r="J25" s="2242" t="s">
        <v>183</v>
      </c>
      <c r="K25" s="2242"/>
      <c r="L25" s="2242"/>
      <c r="M25" s="2242"/>
      <c r="N25" s="2242"/>
      <c r="O25" s="965"/>
      <c r="P25" s="2242" t="s">
        <v>80</v>
      </c>
      <c r="Q25" s="2242"/>
      <c r="R25" s="2242"/>
      <c r="S25" s="2242"/>
      <c r="T25" s="2242"/>
      <c r="U25" s="2242"/>
      <c r="V25" s="965"/>
      <c r="W25" s="2242" t="s">
        <v>182</v>
      </c>
      <c r="X25" s="2242"/>
      <c r="Y25" s="2242"/>
      <c r="Z25" s="2242"/>
      <c r="AA25" s="2242"/>
      <c r="AB25" s="2242"/>
      <c r="AC25" s="2242"/>
      <c r="AD25" s="2242"/>
    </row>
  </sheetData>
  <mergeCells count="66">
    <mergeCell ref="AG4:AH4"/>
    <mergeCell ref="AG5:AH5"/>
    <mergeCell ref="E13:H13"/>
    <mergeCell ref="J13:O13"/>
    <mergeCell ref="R13:AB13"/>
    <mergeCell ref="M7:N7"/>
    <mergeCell ref="O7:Q7"/>
    <mergeCell ref="O5:Q5"/>
    <mergeCell ref="M5:N5"/>
    <mergeCell ref="D5:E5"/>
    <mergeCell ref="M4:N4"/>
    <mergeCell ref="O4:Q4"/>
    <mergeCell ref="R4:S4"/>
    <mergeCell ref="T4:V4"/>
    <mergeCell ref="R6:S6"/>
    <mergeCell ref="T6:V6"/>
    <mergeCell ref="W2:Y3"/>
    <mergeCell ref="W4:Y4"/>
    <mergeCell ref="A4:B4"/>
    <mergeCell ref="D4:E4"/>
    <mergeCell ref="G4:H4"/>
    <mergeCell ref="I4:J4"/>
    <mergeCell ref="K4:L4"/>
    <mergeCell ref="A2:B3"/>
    <mergeCell ref="D2:H2"/>
    <mergeCell ref="I2:J3"/>
    <mergeCell ref="K2:L3"/>
    <mergeCell ref="M2:Q2"/>
    <mergeCell ref="M3:N3"/>
    <mergeCell ref="O3:Q3"/>
    <mergeCell ref="G3:H3"/>
    <mergeCell ref="D3:E3"/>
    <mergeCell ref="A5:B5"/>
    <mergeCell ref="G5:H5"/>
    <mergeCell ref="I5:J5"/>
    <mergeCell ref="K5:L5"/>
    <mergeCell ref="J15:O15"/>
    <mergeCell ref="A6:E6"/>
    <mergeCell ref="M6:N6"/>
    <mergeCell ref="O6:Q6"/>
    <mergeCell ref="R2:V2"/>
    <mergeCell ref="R3:S3"/>
    <mergeCell ref="T3:V3"/>
    <mergeCell ref="P21:U21"/>
    <mergeCell ref="W21:AD21"/>
    <mergeCell ref="W5:Y5"/>
    <mergeCell ref="AD5:AF5"/>
    <mergeCell ref="Z5:AB5"/>
    <mergeCell ref="AC2:AH2"/>
    <mergeCell ref="AG3:AH3"/>
    <mergeCell ref="AD3:AF3"/>
    <mergeCell ref="Z4:AB4"/>
    <mergeCell ref="Z2:AB3"/>
    <mergeCell ref="AD4:AF4"/>
    <mergeCell ref="R5:S5"/>
    <mergeCell ref="T5:V5"/>
    <mergeCell ref="J25:N25"/>
    <mergeCell ref="J21:N21"/>
    <mergeCell ref="R16:AB16"/>
    <mergeCell ref="J16:O16"/>
    <mergeCell ref="E16:H16"/>
    <mergeCell ref="W25:AD25"/>
    <mergeCell ref="P25:U25"/>
    <mergeCell ref="P23:U23"/>
    <mergeCell ref="W23:AD23"/>
    <mergeCell ref="J23:N23"/>
  </mergeCells>
  <pageMargins left="0.25" right="0.25" top="0.4" bottom="0.39370078740157483" header="0.19685039370078741" footer="0.19685039370078741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>
  <sheetPr codeName="Лист46"/>
  <dimension ref="A1:AH3"/>
  <sheetViews>
    <sheetView view="pageBreakPreview" topLeftCell="C1" zoomScaleNormal="100" workbookViewId="0">
      <selection activeCell="J12" sqref="J12"/>
    </sheetView>
  </sheetViews>
  <sheetFormatPr defaultRowHeight="12.75"/>
  <cols>
    <col min="1" max="1" width="28" style="313" customWidth="1"/>
    <col min="2" max="5" width="2.42578125" style="313" customWidth="1"/>
    <col min="6" max="6" width="2.42578125" style="980" customWidth="1"/>
    <col min="7" max="9" width="2.42578125" style="313" customWidth="1"/>
    <col min="10" max="10" width="51" style="313" customWidth="1"/>
    <col min="11" max="32" width="2.42578125" style="313" customWidth="1"/>
    <col min="33" max="34" width="2.85546875" style="313" customWidth="1"/>
    <col min="35" max="257" width="9.140625" style="313"/>
    <col min="258" max="258" width="28" style="313" customWidth="1"/>
    <col min="259" max="265" width="2.42578125" style="313" customWidth="1"/>
    <col min="266" max="266" width="51" style="313" customWidth="1"/>
    <col min="267" max="288" width="2.42578125" style="313" customWidth="1"/>
    <col min="289" max="290" width="2.85546875" style="313" customWidth="1"/>
    <col min="291" max="513" width="9.140625" style="313"/>
    <col min="514" max="514" width="28" style="313" customWidth="1"/>
    <col min="515" max="521" width="2.42578125" style="313" customWidth="1"/>
    <col min="522" max="522" width="51" style="313" customWidth="1"/>
    <col min="523" max="544" width="2.42578125" style="313" customWidth="1"/>
    <col min="545" max="546" width="2.85546875" style="313" customWidth="1"/>
    <col min="547" max="769" width="9.140625" style="313"/>
    <col min="770" max="770" width="28" style="313" customWidth="1"/>
    <col min="771" max="777" width="2.42578125" style="313" customWidth="1"/>
    <col min="778" max="778" width="51" style="313" customWidth="1"/>
    <col min="779" max="800" width="2.42578125" style="313" customWidth="1"/>
    <col min="801" max="802" width="2.85546875" style="313" customWidth="1"/>
    <col min="803" max="1025" width="9.140625" style="313"/>
    <col min="1026" max="1026" width="28" style="313" customWidth="1"/>
    <col min="1027" max="1033" width="2.42578125" style="313" customWidth="1"/>
    <col min="1034" max="1034" width="51" style="313" customWidth="1"/>
    <col min="1035" max="1056" width="2.42578125" style="313" customWidth="1"/>
    <col min="1057" max="1058" width="2.85546875" style="313" customWidth="1"/>
    <col min="1059" max="1281" width="9.140625" style="313"/>
    <col min="1282" max="1282" width="28" style="313" customWidth="1"/>
    <col min="1283" max="1289" width="2.42578125" style="313" customWidth="1"/>
    <col min="1290" max="1290" width="51" style="313" customWidth="1"/>
    <col min="1291" max="1312" width="2.42578125" style="313" customWidth="1"/>
    <col min="1313" max="1314" width="2.85546875" style="313" customWidth="1"/>
    <col min="1315" max="1537" width="9.140625" style="313"/>
    <col min="1538" max="1538" width="28" style="313" customWidth="1"/>
    <col min="1539" max="1545" width="2.42578125" style="313" customWidth="1"/>
    <col min="1546" max="1546" width="51" style="313" customWidth="1"/>
    <col min="1547" max="1568" width="2.42578125" style="313" customWidth="1"/>
    <col min="1569" max="1570" width="2.85546875" style="313" customWidth="1"/>
    <col min="1571" max="1793" width="9.140625" style="313"/>
    <col min="1794" max="1794" width="28" style="313" customWidth="1"/>
    <col min="1795" max="1801" width="2.42578125" style="313" customWidth="1"/>
    <col min="1802" max="1802" width="51" style="313" customWidth="1"/>
    <col min="1803" max="1824" width="2.42578125" style="313" customWidth="1"/>
    <col min="1825" max="1826" width="2.85546875" style="313" customWidth="1"/>
    <col min="1827" max="2049" width="9.140625" style="313"/>
    <col min="2050" max="2050" width="28" style="313" customWidth="1"/>
    <col min="2051" max="2057" width="2.42578125" style="313" customWidth="1"/>
    <col min="2058" max="2058" width="51" style="313" customWidth="1"/>
    <col min="2059" max="2080" width="2.42578125" style="313" customWidth="1"/>
    <col min="2081" max="2082" width="2.85546875" style="313" customWidth="1"/>
    <col min="2083" max="2305" width="9.140625" style="313"/>
    <col min="2306" max="2306" width="28" style="313" customWidth="1"/>
    <col min="2307" max="2313" width="2.42578125" style="313" customWidth="1"/>
    <col min="2314" max="2314" width="51" style="313" customWidth="1"/>
    <col min="2315" max="2336" width="2.42578125" style="313" customWidth="1"/>
    <col min="2337" max="2338" width="2.85546875" style="313" customWidth="1"/>
    <col min="2339" max="2561" width="9.140625" style="313"/>
    <col min="2562" max="2562" width="28" style="313" customWidth="1"/>
    <col min="2563" max="2569" width="2.42578125" style="313" customWidth="1"/>
    <col min="2570" max="2570" width="51" style="313" customWidth="1"/>
    <col min="2571" max="2592" width="2.42578125" style="313" customWidth="1"/>
    <col min="2593" max="2594" width="2.85546875" style="313" customWidth="1"/>
    <col min="2595" max="2817" width="9.140625" style="313"/>
    <col min="2818" max="2818" width="28" style="313" customWidth="1"/>
    <col min="2819" max="2825" width="2.42578125" style="313" customWidth="1"/>
    <col min="2826" max="2826" width="51" style="313" customWidth="1"/>
    <col min="2827" max="2848" width="2.42578125" style="313" customWidth="1"/>
    <col min="2849" max="2850" width="2.85546875" style="313" customWidth="1"/>
    <col min="2851" max="3073" width="9.140625" style="313"/>
    <col min="3074" max="3074" width="28" style="313" customWidth="1"/>
    <col min="3075" max="3081" width="2.42578125" style="313" customWidth="1"/>
    <col min="3082" max="3082" width="51" style="313" customWidth="1"/>
    <col min="3083" max="3104" width="2.42578125" style="313" customWidth="1"/>
    <col min="3105" max="3106" width="2.85546875" style="313" customWidth="1"/>
    <col min="3107" max="3329" width="9.140625" style="313"/>
    <col min="3330" max="3330" width="28" style="313" customWidth="1"/>
    <col min="3331" max="3337" width="2.42578125" style="313" customWidth="1"/>
    <col min="3338" max="3338" width="51" style="313" customWidth="1"/>
    <col min="3339" max="3360" width="2.42578125" style="313" customWidth="1"/>
    <col min="3361" max="3362" width="2.85546875" style="313" customWidth="1"/>
    <col min="3363" max="3585" width="9.140625" style="313"/>
    <col min="3586" max="3586" width="28" style="313" customWidth="1"/>
    <col min="3587" max="3593" width="2.42578125" style="313" customWidth="1"/>
    <col min="3594" max="3594" width="51" style="313" customWidth="1"/>
    <col min="3595" max="3616" width="2.42578125" style="313" customWidth="1"/>
    <col min="3617" max="3618" width="2.85546875" style="313" customWidth="1"/>
    <col min="3619" max="3841" width="9.140625" style="313"/>
    <col min="3842" max="3842" width="28" style="313" customWidth="1"/>
    <col min="3843" max="3849" width="2.42578125" style="313" customWidth="1"/>
    <col min="3850" max="3850" width="51" style="313" customWidth="1"/>
    <col min="3851" max="3872" width="2.42578125" style="313" customWidth="1"/>
    <col min="3873" max="3874" width="2.85546875" style="313" customWidth="1"/>
    <col min="3875" max="4097" width="9.140625" style="313"/>
    <col min="4098" max="4098" width="28" style="313" customWidth="1"/>
    <col min="4099" max="4105" width="2.42578125" style="313" customWidth="1"/>
    <col min="4106" max="4106" width="51" style="313" customWidth="1"/>
    <col min="4107" max="4128" width="2.42578125" style="313" customWidth="1"/>
    <col min="4129" max="4130" width="2.85546875" style="313" customWidth="1"/>
    <col min="4131" max="4353" width="9.140625" style="313"/>
    <col min="4354" max="4354" width="28" style="313" customWidth="1"/>
    <col min="4355" max="4361" width="2.42578125" style="313" customWidth="1"/>
    <col min="4362" max="4362" width="51" style="313" customWidth="1"/>
    <col min="4363" max="4384" width="2.42578125" style="313" customWidth="1"/>
    <col min="4385" max="4386" width="2.85546875" style="313" customWidth="1"/>
    <col min="4387" max="4609" width="9.140625" style="313"/>
    <col min="4610" max="4610" width="28" style="313" customWidth="1"/>
    <col min="4611" max="4617" width="2.42578125" style="313" customWidth="1"/>
    <col min="4618" max="4618" width="51" style="313" customWidth="1"/>
    <col min="4619" max="4640" width="2.42578125" style="313" customWidth="1"/>
    <col min="4641" max="4642" width="2.85546875" style="313" customWidth="1"/>
    <col min="4643" max="4865" width="9.140625" style="313"/>
    <col min="4866" max="4866" width="28" style="313" customWidth="1"/>
    <col min="4867" max="4873" width="2.42578125" style="313" customWidth="1"/>
    <col min="4874" max="4874" width="51" style="313" customWidth="1"/>
    <col min="4875" max="4896" width="2.42578125" style="313" customWidth="1"/>
    <col min="4897" max="4898" width="2.85546875" style="313" customWidth="1"/>
    <col min="4899" max="5121" width="9.140625" style="313"/>
    <col min="5122" max="5122" width="28" style="313" customWidth="1"/>
    <col min="5123" max="5129" width="2.42578125" style="313" customWidth="1"/>
    <col min="5130" max="5130" width="51" style="313" customWidth="1"/>
    <col min="5131" max="5152" width="2.42578125" style="313" customWidth="1"/>
    <col min="5153" max="5154" width="2.85546875" style="313" customWidth="1"/>
    <col min="5155" max="5377" width="9.140625" style="313"/>
    <col min="5378" max="5378" width="28" style="313" customWidth="1"/>
    <col min="5379" max="5385" width="2.42578125" style="313" customWidth="1"/>
    <col min="5386" max="5386" width="51" style="313" customWidth="1"/>
    <col min="5387" max="5408" width="2.42578125" style="313" customWidth="1"/>
    <col min="5409" max="5410" width="2.85546875" style="313" customWidth="1"/>
    <col min="5411" max="5633" width="9.140625" style="313"/>
    <col min="5634" max="5634" width="28" style="313" customWidth="1"/>
    <col min="5635" max="5641" width="2.42578125" style="313" customWidth="1"/>
    <col min="5642" max="5642" width="51" style="313" customWidth="1"/>
    <col min="5643" max="5664" width="2.42578125" style="313" customWidth="1"/>
    <col min="5665" max="5666" width="2.85546875" style="313" customWidth="1"/>
    <col min="5667" max="5889" width="9.140625" style="313"/>
    <col min="5890" max="5890" width="28" style="313" customWidth="1"/>
    <col min="5891" max="5897" width="2.42578125" style="313" customWidth="1"/>
    <col min="5898" max="5898" width="51" style="313" customWidth="1"/>
    <col min="5899" max="5920" width="2.42578125" style="313" customWidth="1"/>
    <col min="5921" max="5922" width="2.85546875" style="313" customWidth="1"/>
    <col min="5923" max="6145" width="9.140625" style="313"/>
    <col min="6146" max="6146" width="28" style="313" customWidth="1"/>
    <col min="6147" max="6153" width="2.42578125" style="313" customWidth="1"/>
    <col min="6154" max="6154" width="51" style="313" customWidth="1"/>
    <col min="6155" max="6176" width="2.42578125" style="313" customWidth="1"/>
    <col min="6177" max="6178" width="2.85546875" style="313" customWidth="1"/>
    <col min="6179" max="6401" width="9.140625" style="313"/>
    <col min="6402" max="6402" width="28" style="313" customWidth="1"/>
    <col min="6403" max="6409" width="2.42578125" style="313" customWidth="1"/>
    <col min="6410" max="6410" width="51" style="313" customWidth="1"/>
    <col min="6411" max="6432" width="2.42578125" style="313" customWidth="1"/>
    <col min="6433" max="6434" width="2.85546875" style="313" customWidth="1"/>
    <col min="6435" max="6657" width="9.140625" style="313"/>
    <col min="6658" max="6658" width="28" style="313" customWidth="1"/>
    <col min="6659" max="6665" width="2.42578125" style="313" customWidth="1"/>
    <col min="6666" max="6666" width="51" style="313" customWidth="1"/>
    <col min="6667" max="6688" width="2.42578125" style="313" customWidth="1"/>
    <col min="6689" max="6690" width="2.85546875" style="313" customWidth="1"/>
    <col min="6691" max="6913" width="9.140625" style="313"/>
    <col min="6914" max="6914" width="28" style="313" customWidth="1"/>
    <col min="6915" max="6921" width="2.42578125" style="313" customWidth="1"/>
    <col min="6922" max="6922" width="51" style="313" customWidth="1"/>
    <col min="6923" max="6944" width="2.42578125" style="313" customWidth="1"/>
    <col min="6945" max="6946" width="2.85546875" style="313" customWidth="1"/>
    <col min="6947" max="7169" width="9.140625" style="313"/>
    <col min="7170" max="7170" width="28" style="313" customWidth="1"/>
    <col min="7171" max="7177" width="2.42578125" style="313" customWidth="1"/>
    <col min="7178" max="7178" width="51" style="313" customWidth="1"/>
    <col min="7179" max="7200" width="2.42578125" style="313" customWidth="1"/>
    <col min="7201" max="7202" width="2.85546875" style="313" customWidth="1"/>
    <col min="7203" max="7425" width="9.140625" style="313"/>
    <col min="7426" max="7426" width="28" style="313" customWidth="1"/>
    <col min="7427" max="7433" width="2.42578125" style="313" customWidth="1"/>
    <col min="7434" max="7434" width="51" style="313" customWidth="1"/>
    <col min="7435" max="7456" width="2.42578125" style="313" customWidth="1"/>
    <col min="7457" max="7458" width="2.85546875" style="313" customWidth="1"/>
    <col min="7459" max="7681" width="9.140625" style="313"/>
    <col min="7682" max="7682" width="28" style="313" customWidth="1"/>
    <col min="7683" max="7689" width="2.42578125" style="313" customWidth="1"/>
    <col min="7690" max="7690" width="51" style="313" customWidth="1"/>
    <col min="7691" max="7712" width="2.42578125" style="313" customWidth="1"/>
    <col min="7713" max="7714" width="2.85546875" style="313" customWidth="1"/>
    <col min="7715" max="7937" width="9.140625" style="313"/>
    <col min="7938" max="7938" width="28" style="313" customWidth="1"/>
    <col min="7939" max="7945" width="2.42578125" style="313" customWidth="1"/>
    <col min="7946" max="7946" width="51" style="313" customWidth="1"/>
    <col min="7947" max="7968" width="2.42578125" style="313" customWidth="1"/>
    <col min="7969" max="7970" width="2.85546875" style="313" customWidth="1"/>
    <col min="7971" max="8193" width="9.140625" style="313"/>
    <col min="8194" max="8194" width="28" style="313" customWidth="1"/>
    <col min="8195" max="8201" width="2.42578125" style="313" customWidth="1"/>
    <col min="8202" max="8202" width="51" style="313" customWidth="1"/>
    <col min="8203" max="8224" width="2.42578125" style="313" customWidth="1"/>
    <col min="8225" max="8226" width="2.85546875" style="313" customWidth="1"/>
    <col min="8227" max="8449" width="9.140625" style="313"/>
    <col min="8450" max="8450" width="28" style="313" customWidth="1"/>
    <col min="8451" max="8457" width="2.42578125" style="313" customWidth="1"/>
    <col min="8458" max="8458" width="51" style="313" customWidth="1"/>
    <col min="8459" max="8480" width="2.42578125" style="313" customWidth="1"/>
    <col min="8481" max="8482" width="2.85546875" style="313" customWidth="1"/>
    <col min="8483" max="8705" width="9.140625" style="313"/>
    <col min="8706" max="8706" width="28" style="313" customWidth="1"/>
    <col min="8707" max="8713" width="2.42578125" style="313" customWidth="1"/>
    <col min="8714" max="8714" width="51" style="313" customWidth="1"/>
    <col min="8715" max="8736" width="2.42578125" style="313" customWidth="1"/>
    <col min="8737" max="8738" width="2.85546875" style="313" customWidth="1"/>
    <col min="8739" max="8961" width="9.140625" style="313"/>
    <col min="8962" max="8962" width="28" style="313" customWidth="1"/>
    <col min="8963" max="8969" width="2.42578125" style="313" customWidth="1"/>
    <col min="8970" max="8970" width="51" style="313" customWidth="1"/>
    <col min="8971" max="8992" width="2.42578125" style="313" customWidth="1"/>
    <col min="8993" max="8994" width="2.85546875" style="313" customWidth="1"/>
    <col min="8995" max="9217" width="9.140625" style="313"/>
    <col min="9218" max="9218" width="28" style="313" customWidth="1"/>
    <col min="9219" max="9225" width="2.42578125" style="313" customWidth="1"/>
    <col min="9226" max="9226" width="51" style="313" customWidth="1"/>
    <col min="9227" max="9248" width="2.42578125" style="313" customWidth="1"/>
    <col min="9249" max="9250" width="2.85546875" style="313" customWidth="1"/>
    <col min="9251" max="9473" width="9.140625" style="313"/>
    <col min="9474" max="9474" width="28" style="313" customWidth="1"/>
    <col min="9475" max="9481" width="2.42578125" style="313" customWidth="1"/>
    <col min="9482" max="9482" width="51" style="313" customWidth="1"/>
    <col min="9483" max="9504" width="2.42578125" style="313" customWidth="1"/>
    <col min="9505" max="9506" width="2.85546875" style="313" customWidth="1"/>
    <col min="9507" max="9729" width="9.140625" style="313"/>
    <col min="9730" max="9730" width="28" style="313" customWidth="1"/>
    <col min="9731" max="9737" width="2.42578125" style="313" customWidth="1"/>
    <col min="9738" max="9738" width="51" style="313" customWidth="1"/>
    <col min="9739" max="9760" width="2.42578125" style="313" customWidth="1"/>
    <col min="9761" max="9762" width="2.85546875" style="313" customWidth="1"/>
    <col min="9763" max="9985" width="9.140625" style="313"/>
    <col min="9986" max="9986" width="28" style="313" customWidth="1"/>
    <col min="9987" max="9993" width="2.42578125" style="313" customWidth="1"/>
    <col min="9994" max="9994" width="51" style="313" customWidth="1"/>
    <col min="9995" max="10016" width="2.42578125" style="313" customWidth="1"/>
    <col min="10017" max="10018" width="2.85546875" style="313" customWidth="1"/>
    <col min="10019" max="10241" width="9.140625" style="313"/>
    <col min="10242" max="10242" width="28" style="313" customWidth="1"/>
    <col min="10243" max="10249" width="2.42578125" style="313" customWidth="1"/>
    <col min="10250" max="10250" width="51" style="313" customWidth="1"/>
    <col min="10251" max="10272" width="2.42578125" style="313" customWidth="1"/>
    <col min="10273" max="10274" width="2.85546875" style="313" customWidth="1"/>
    <col min="10275" max="10497" width="9.140625" style="313"/>
    <col min="10498" max="10498" width="28" style="313" customWidth="1"/>
    <col min="10499" max="10505" width="2.42578125" style="313" customWidth="1"/>
    <col min="10506" max="10506" width="51" style="313" customWidth="1"/>
    <col min="10507" max="10528" width="2.42578125" style="313" customWidth="1"/>
    <col min="10529" max="10530" width="2.85546875" style="313" customWidth="1"/>
    <col min="10531" max="10753" width="9.140625" style="313"/>
    <col min="10754" max="10754" width="28" style="313" customWidth="1"/>
    <col min="10755" max="10761" width="2.42578125" style="313" customWidth="1"/>
    <col min="10762" max="10762" width="51" style="313" customWidth="1"/>
    <col min="10763" max="10784" width="2.42578125" style="313" customWidth="1"/>
    <col min="10785" max="10786" width="2.85546875" style="313" customWidth="1"/>
    <col min="10787" max="11009" width="9.140625" style="313"/>
    <col min="11010" max="11010" width="28" style="313" customWidth="1"/>
    <col min="11011" max="11017" width="2.42578125" style="313" customWidth="1"/>
    <col min="11018" max="11018" width="51" style="313" customWidth="1"/>
    <col min="11019" max="11040" width="2.42578125" style="313" customWidth="1"/>
    <col min="11041" max="11042" width="2.85546875" style="313" customWidth="1"/>
    <col min="11043" max="11265" width="9.140625" style="313"/>
    <col min="11266" max="11266" width="28" style="313" customWidth="1"/>
    <col min="11267" max="11273" width="2.42578125" style="313" customWidth="1"/>
    <col min="11274" max="11274" width="51" style="313" customWidth="1"/>
    <col min="11275" max="11296" width="2.42578125" style="313" customWidth="1"/>
    <col min="11297" max="11298" width="2.85546875" style="313" customWidth="1"/>
    <col min="11299" max="11521" width="9.140625" style="313"/>
    <col min="11522" max="11522" width="28" style="313" customWidth="1"/>
    <col min="11523" max="11529" width="2.42578125" style="313" customWidth="1"/>
    <col min="11530" max="11530" width="51" style="313" customWidth="1"/>
    <col min="11531" max="11552" width="2.42578125" style="313" customWidth="1"/>
    <col min="11553" max="11554" width="2.85546875" style="313" customWidth="1"/>
    <col min="11555" max="11777" width="9.140625" style="313"/>
    <col min="11778" max="11778" width="28" style="313" customWidth="1"/>
    <col min="11779" max="11785" width="2.42578125" style="313" customWidth="1"/>
    <col min="11786" max="11786" width="51" style="313" customWidth="1"/>
    <col min="11787" max="11808" width="2.42578125" style="313" customWidth="1"/>
    <col min="11809" max="11810" width="2.85546875" style="313" customWidth="1"/>
    <col min="11811" max="12033" width="9.140625" style="313"/>
    <col min="12034" max="12034" width="28" style="313" customWidth="1"/>
    <col min="12035" max="12041" width="2.42578125" style="313" customWidth="1"/>
    <col min="12042" max="12042" width="51" style="313" customWidth="1"/>
    <col min="12043" max="12064" width="2.42578125" style="313" customWidth="1"/>
    <col min="12065" max="12066" width="2.85546875" style="313" customWidth="1"/>
    <col min="12067" max="12289" width="9.140625" style="313"/>
    <col min="12290" max="12290" width="28" style="313" customWidth="1"/>
    <col min="12291" max="12297" width="2.42578125" style="313" customWidth="1"/>
    <col min="12298" max="12298" width="51" style="313" customWidth="1"/>
    <col min="12299" max="12320" width="2.42578125" style="313" customWidth="1"/>
    <col min="12321" max="12322" width="2.85546875" style="313" customWidth="1"/>
    <col min="12323" max="12545" width="9.140625" style="313"/>
    <col min="12546" max="12546" width="28" style="313" customWidth="1"/>
    <col min="12547" max="12553" width="2.42578125" style="313" customWidth="1"/>
    <col min="12554" max="12554" width="51" style="313" customWidth="1"/>
    <col min="12555" max="12576" width="2.42578125" style="313" customWidth="1"/>
    <col min="12577" max="12578" width="2.85546875" style="313" customWidth="1"/>
    <col min="12579" max="12801" width="9.140625" style="313"/>
    <col min="12802" max="12802" width="28" style="313" customWidth="1"/>
    <col min="12803" max="12809" width="2.42578125" style="313" customWidth="1"/>
    <col min="12810" max="12810" width="51" style="313" customWidth="1"/>
    <col min="12811" max="12832" width="2.42578125" style="313" customWidth="1"/>
    <col min="12833" max="12834" width="2.85546875" style="313" customWidth="1"/>
    <col min="12835" max="13057" width="9.140625" style="313"/>
    <col min="13058" max="13058" width="28" style="313" customWidth="1"/>
    <col min="13059" max="13065" width="2.42578125" style="313" customWidth="1"/>
    <col min="13066" max="13066" width="51" style="313" customWidth="1"/>
    <col min="13067" max="13088" width="2.42578125" style="313" customWidth="1"/>
    <col min="13089" max="13090" width="2.85546875" style="313" customWidth="1"/>
    <col min="13091" max="13313" width="9.140625" style="313"/>
    <col min="13314" max="13314" width="28" style="313" customWidth="1"/>
    <col min="13315" max="13321" width="2.42578125" style="313" customWidth="1"/>
    <col min="13322" max="13322" width="51" style="313" customWidth="1"/>
    <col min="13323" max="13344" width="2.42578125" style="313" customWidth="1"/>
    <col min="13345" max="13346" width="2.85546875" style="313" customWidth="1"/>
    <col min="13347" max="13569" width="9.140625" style="313"/>
    <col min="13570" max="13570" width="28" style="313" customWidth="1"/>
    <col min="13571" max="13577" width="2.42578125" style="313" customWidth="1"/>
    <col min="13578" max="13578" width="51" style="313" customWidth="1"/>
    <col min="13579" max="13600" width="2.42578125" style="313" customWidth="1"/>
    <col min="13601" max="13602" width="2.85546875" style="313" customWidth="1"/>
    <col min="13603" max="13825" width="9.140625" style="313"/>
    <col min="13826" max="13826" width="28" style="313" customWidth="1"/>
    <col min="13827" max="13833" width="2.42578125" style="313" customWidth="1"/>
    <col min="13834" max="13834" width="51" style="313" customWidth="1"/>
    <col min="13835" max="13856" width="2.42578125" style="313" customWidth="1"/>
    <col min="13857" max="13858" width="2.85546875" style="313" customWidth="1"/>
    <col min="13859" max="14081" width="9.140625" style="313"/>
    <col min="14082" max="14082" width="28" style="313" customWidth="1"/>
    <col min="14083" max="14089" width="2.42578125" style="313" customWidth="1"/>
    <col min="14090" max="14090" width="51" style="313" customWidth="1"/>
    <col min="14091" max="14112" width="2.42578125" style="313" customWidth="1"/>
    <col min="14113" max="14114" width="2.85546875" style="313" customWidth="1"/>
    <col min="14115" max="14337" width="9.140625" style="313"/>
    <col min="14338" max="14338" width="28" style="313" customWidth="1"/>
    <col min="14339" max="14345" width="2.42578125" style="313" customWidth="1"/>
    <col min="14346" max="14346" width="51" style="313" customWidth="1"/>
    <col min="14347" max="14368" width="2.42578125" style="313" customWidth="1"/>
    <col min="14369" max="14370" width="2.85546875" style="313" customWidth="1"/>
    <col min="14371" max="14593" width="9.140625" style="313"/>
    <col min="14594" max="14594" width="28" style="313" customWidth="1"/>
    <col min="14595" max="14601" width="2.42578125" style="313" customWidth="1"/>
    <col min="14602" max="14602" width="51" style="313" customWidth="1"/>
    <col min="14603" max="14624" width="2.42578125" style="313" customWidth="1"/>
    <col min="14625" max="14626" width="2.85546875" style="313" customWidth="1"/>
    <col min="14627" max="14849" width="9.140625" style="313"/>
    <col min="14850" max="14850" width="28" style="313" customWidth="1"/>
    <col min="14851" max="14857" width="2.42578125" style="313" customWidth="1"/>
    <col min="14858" max="14858" width="51" style="313" customWidth="1"/>
    <col min="14859" max="14880" width="2.42578125" style="313" customWidth="1"/>
    <col min="14881" max="14882" width="2.85546875" style="313" customWidth="1"/>
    <col min="14883" max="15105" width="9.140625" style="313"/>
    <col min="15106" max="15106" width="28" style="313" customWidth="1"/>
    <col min="15107" max="15113" width="2.42578125" style="313" customWidth="1"/>
    <col min="15114" max="15114" width="51" style="313" customWidth="1"/>
    <col min="15115" max="15136" width="2.42578125" style="313" customWidth="1"/>
    <col min="15137" max="15138" width="2.85546875" style="313" customWidth="1"/>
    <col min="15139" max="15361" width="9.140625" style="313"/>
    <col min="15362" max="15362" width="28" style="313" customWidth="1"/>
    <col min="15363" max="15369" width="2.42578125" style="313" customWidth="1"/>
    <col min="15370" max="15370" width="51" style="313" customWidth="1"/>
    <col min="15371" max="15392" width="2.42578125" style="313" customWidth="1"/>
    <col min="15393" max="15394" width="2.85546875" style="313" customWidth="1"/>
    <col min="15395" max="15617" width="9.140625" style="313"/>
    <col min="15618" max="15618" width="28" style="313" customWidth="1"/>
    <col min="15619" max="15625" width="2.42578125" style="313" customWidth="1"/>
    <col min="15626" max="15626" width="51" style="313" customWidth="1"/>
    <col min="15627" max="15648" width="2.42578125" style="313" customWidth="1"/>
    <col min="15649" max="15650" width="2.85546875" style="313" customWidth="1"/>
    <col min="15651" max="15873" width="9.140625" style="313"/>
    <col min="15874" max="15874" width="28" style="313" customWidth="1"/>
    <col min="15875" max="15881" width="2.42578125" style="313" customWidth="1"/>
    <col min="15882" max="15882" width="51" style="313" customWidth="1"/>
    <col min="15883" max="15904" width="2.42578125" style="313" customWidth="1"/>
    <col min="15905" max="15906" width="2.85546875" style="313" customWidth="1"/>
    <col min="15907" max="16129" width="9.140625" style="313"/>
    <col min="16130" max="16130" width="28" style="313" customWidth="1"/>
    <col min="16131" max="16137" width="2.42578125" style="313" customWidth="1"/>
    <col min="16138" max="16138" width="51" style="313" customWidth="1"/>
    <col min="16139" max="16160" width="2.42578125" style="313" customWidth="1"/>
    <col min="16161" max="16162" width="2.85546875" style="313" customWidth="1"/>
    <col min="16163" max="16384" width="9.140625" style="313"/>
  </cols>
  <sheetData>
    <row r="1" spans="1:34" s="967" customFormat="1" ht="13.5">
      <c r="A1" s="2266" t="s">
        <v>661</v>
      </c>
      <c r="B1" s="2266"/>
      <c r="C1" s="2266"/>
      <c r="D1" s="2266"/>
      <c r="E1" s="2266"/>
      <c r="F1" s="1174"/>
      <c r="G1" s="966" t="s">
        <v>175</v>
      </c>
      <c r="H1" s="966"/>
      <c r="I1" s="966"/>
      <c r="J1" s="966"/>
      <c r="K1" s="956"/>
      <c r="L1" s="326" t="s">
        <v>603</v>
      </c>
      <c r="M1" s="2267"/>
      <c r="N1" s="2268"/>
      <c r="O1" s="1463"/>
      <c r="P1" s="1464"/>
      <c r="Q1" s="1465"/>
      <c r="R1" s="2278"/>
      <c r="S1" s="2278"/>
      <c r="T1" s="2279"/>
      <c r="U1" s="2279"/>
      <c r="V1" s="2279"/>
    </row>
    <row r="2" spans="1:34">
      <c r="AH2" s="968"/>
    </row>
    <row r="3" spans="1:34" ht="13.5">
      <c r="A3" s="2255">
        <v>1</v>
      </c>
      <c r="B3" s="2257"/>
      <c r="C3" s="954">
        <v>2</v>
      </c>
      <c r="D3" s="2255" t="s">
        <v>656</v>
      </c>
      <c r="E3" s="2257"/>
      <c r="F3" s="1173" t="s">
        <v>764</v>
      </c>
      <c r="G3" s="2255" t="s">
        <v>237</v>
      </c>
      <c r="H3" s="2257"/>
      <c r="I3" s="2255" t="s">
        <v>238</v>
      </c>
      <c r="J3" s="2257"/>
      <c r="K3" s="2255" t="s">
        <v>239</v>
      </c>
      <c r="L3" s="2257"/>
      <c r="M3" s="2255" t="s">
        <v>240</v>
      </c>
      <c r="N3" s="2257"/>
      <c r="O3" s="2255" t="s">
        <v>241</v>
      </c>
      <c r="P3" s="2256"/>
      <c r="Q3" s="2257"/>
      <c r="R3" s="2255" t="s">
        <v>242</v>
      </c>
      <c r="S3" s="2257"/>
      <c r="T3" s="2255" t="s">
        <v>198</v>
      </c>
      <c r="U3" s="2256"/>
      <c r="V3" s="2257"/>
      <c r="W3" s="2255" t="s">
        <v>199</v>
      </c>
      <c r="X3" s="2256"/>
      <c r="Y3" s="2257"/>
      <c r="Z3" s="2280" t="s">
        <v>200</v>
      </c>
      <c r="AA3" s="2281"/>
      <c r="AB3" s="2282"/>
      <c r="AC3" s="954" t="s">
        <v>201</v>
      </c>
      <c r="AD3" s="2255" t="s">
        <v>202</v>
      </c>
      <c r="AE3" s="2256"/>
      <c r="AF3" s="2257"/>
      <c r="AG3" s="2255" t="s">
        <v>203</v>
      </c>
      <c r="AH3" s="2257"/>
    </row>
  </sheetData>
  <mergeCells count="18">
    <mergeCell ref="AD3:AF3"/>
    <mergeCell ref="AG3:AH3"/>
    <mergeCell ref="M3:N3"/>
    <mergeCell ref="O3:Q3"/>
    <mergeCell ref="R3:S3"/>
    <mergeCell ref="T3:V3"/>
    <mergeCell ref="W3:Y3"/>
    <mergeCell ref="Z3:AB3"/>
    <mergeCell ref="A1:E1"/>
    <mergeCell ref="M1:N1"/>
    <mergeCell ref="O1:Q1"/>
    <mergeCell ref="R1:S1"/>
    <mergeCell ref="T1:V1"/>
    <mergeCell ref="A3:B3"/>
    <mergeCell ref="D3:E3"/>
    <mergeCell ref="G3:H3"/>
    <mergeCell ref="I3:J3"/>
    <mergeCell ref="K3:L3"/>
  </mergeCells>
  <pageMargins left="0.9055118110236221" right="0.59055118110236227" top="0.59055118110236227" bottom="0.39370078740157483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xl/worksheets/sheet51.xml><?xml version="1.0" encoding="utf-8"?>
<worksheet xmlns="http://schemas.openxmlformats.org/spreadsheetml/2006/main" xmlns:r="http://schemas.openxmlformats.org/officeDocument/2006/relationships">
  <sheetPr codeName="Лист50"/>
  <dimension ref="A1:J45"/>
  <sheetViews>
    <sheetView view="pageBreakPreview" zoomScaleNormal="100" workbookViewId="0">
      <selection activeCell="E52" sqref="E52"/>
    </sheetView>
  </sheetViews>
  <sheetFormatPr defaultColWidth="8.7109375" defaultRowHeight="12.75"/>
  <cols>
    <col min="1" max="1" width="7.28515625" style="1088" customWidth="1"/>
    <col min="2" max="3" width="9.85546875" style="1088" customWidth="1"/>
    <col min="4" max="4" width="8.85546875" style="1088" customWidth="1"/>
    <col min="5" max="5" width="10.85546875" style="1088" customWidth="1"/>
    <col min="6" max="6" width="10.28515625" style="1088" customWidth="1"/>
    <col min="7" max="7" width="9.28515625" style="1088" customWidth="1"/>
    <col min="8" max="9" width="9.85546875" style="1088" customWidth="1"/>
    <col min="10" max="10" width="10.7109375" style="1088" customWidth="1"/>
    <col min="11" max="11" width="19.7109375" style="1088" customWidth="1"/>
    <col min="12" max="256" width="8.7109375" style="1088"/>
    <col min="257" max="257" width="7.28515625" style="1088" customWidth="1"/>
    <col min="258" max="259" width="9.85546875" style="1088" customWidth="1"/>
    <col min="260" max="260" width="8.85546875" style="1088" customWidth="1"/>
    <col min="261" max="261" width="10.85546875" style="1088" customWidth="1"/>
    <col min="262" max="262" width="10.28515625" style="1088" customWidth="1"/>
    <col min="263" max="263" width="9.28515625" style="1088" customWidth="1"/>
    <col min="264" max="265" width="9.85546875" style="1088" customWidth="1"/>
    <col min="266" max="266" width="10.7109375" style="1088" customWidth="1"/>
    <col min="267" max="267" width="19.7109375" style="1088" customWidth="1"/>
    <col min="268" max="512" width="8.7109375" style="1088"/>
    <col min="513" max="513" width="7.28515625" style="1088" customWidth="1"/>
    <col min="514" max="515" width="9.85546875" style="1088" customWidth="1"/>
    <col min="516" max="516" width="8.85546875" style="1088" customWidth="1"/>
    <col min="517" max="517" width="10.85546875" style="1088" customWidth="1"/>
    <col min="518" max="518" width="10.28515625" style="1088" customWidth="1"/>
    <col min="519" max="519" width="9.28515625" style="1088" customWidth="1"/>
    <col min="520" max="521" width="9.85546875" style="1088" customWidth="1"/>
    <col min="522" max="522" width="10.7109375" style="1088" customWidth="1"/>
    <col min="523" max="523" width="19.7109375" style="1088" customWidth="1"/>
    <col min="524" max="768" width="8.7109375" style="1088"/>
    <col min="769" max="769" width="7.28515625" style="1088" customWidth="1"/>
    <col min="770" max="771" width="9.85546875" style="1088" customWidth="1"/>
    <col min="772" max="772" width="8.85546875" style="1088" customWidth="1"/>
    <col min="773" max="773" width="10.85546875" style="1088" customWidth="1"/>
    <col min="774" max="774" width="10.28515625" style="1088" customWidth="1"/>
    <col min="775" max="775" width="9.28515625" style="1088" customWidth="1"/>
    <col min="776" max="777" width="9.85546875" style="1088" customWidth="1"/>
    <col min="778" max="778" width="10.7109375" style="1088" customWidth="1"/>
    <col min="779" max="779" width="19.7109375" style="1088" customWidth="1"/>
    <col min="780" max="1024" width="8.7109375" style="1088"/>
    <col min="1025" max="1025" width="7.28515625" style="1088" customWidth="1"/>
    <col min="1026" max="1027" width="9.85546875" style="1088" customWidth="1"/>
    <col min="1028" max="1028" width="8.85546875" style="1088" customWidth="1"/>
    <col min="1029" max="1029" width="10.85546875" style="1088" customWidth="1"/>
    <col min="1030" max="1030" width="10.28515625" style="1088" customWidth="1"/>
    <col min="1031" max="1031" width="9.28515625" style="1088" customWidth="1"/>
    <col min="1032" max="1033" width="9.85546875" style="1088" customWidth="1"/>
    <col min="1034" max="1034" width="10.7109375" style="1088" customWidth="1"/>
    <col min="1035" max="1035" width="19.7109375" style="1088" customWidth="1"/>
    <col min="1036" max="1280" width="8.7109375" style="1088"/>
    <col min="1281" max="1281" width="7.28515625" style="1088" customWidth="1"/>
    <col min="1282" max="1283" width="9.85546875" style="1088" customWidth="1"/>
    <col min="1284" max="1284" width="8.85546875" style="1088" customWidth="1"/>
    <col min="1285" max="1285" width="10.85546875" style="1088" customWidth="1"/>
    <col min="1286" max="1286" width="10.28515625" style="1088" customWidth="1"/>
    <col min="1287" max="1287" width="9.28515625" style="1088" customWidth="1"/>
    <col min="1288" max="1289" width="9.85546875" style="1088" customWidth="1"/>
    <col min="1290" max="1290" width="10.7109375" style="1088" customWidth="1"/>
    <col min="1291" max="1291" width="19.7109375" style="1088" customWidth="1"/>
    <col min="1292" max="1536" width="8.7109375" style="1088"/>
    <col min="1537" max="1537" width="7.28515625" style="1088" customWidth="1"/>
    <col min="1538" max="1539" width="9.85546875" style="1088" customWidth="1"/>
    <col min="1540" max="1540" width="8.85546875" style="1088" customWidth="1"/>
    <col min="1541" max="1541" width="10.85546875" style="1088" customWidth="1"/>
    <col min="1542" max="1542" width="10.28515625" style="1088" customWidth="1"/>
    <col min="1543" max="1543" width="9.28515625" style="1088" customWidth="1"/>
    <col min="1544" max="1545" width="9.85546875" style="1088" customWidth="1"/>
    <col min="1546" max="1546" width="10.7109375" style="1088" customWidth="1"/>
    <col min="1547" max="1547" width="19.7109375" style="1088" customWidth="1"/>
    <col min="1548" max="1792" width="8.7109375" style="1088"/>
    <col min="1793" max="1793" width="7.28515625" style="1088" customWidth="1"/>
    <col min="1794" max="1795" width="9.85546875" style="1088" customWidth="1"/>
    <col min="1796" max="1796" width="8.85546875" style="1088" customWidth="1"/>
    <col min="1797" max="1797" width="10.85546875" style="1088" customWidth="1"/>
    <col min="1798" max="1798" width="10.28515625" style="1088" customWidth="1"/>
    <col min="1799" max="1799" width="9.28515625" style="1088" customWidth="1"/>
    <col min="1800" max="1801" width="9.85546875" style="1088" customWidth="1"/>
    <col min="1802" max="1802" width="10.7109375" style="1088" customWidth="1"/>
    <col min="1803" max="1803" width="19.7109375" style="1088" customWidth="1"/>
    <col min="1804" max="2048" width="8.7109375" style="1088"/>
    <col min="2049" max="2049" width="7.28515625" style="1088" customWidth="1"/>
    <col min="2050" max="2051" width="9.85546875" style="1088" customWidth="1"/>
    <col min="2052" max="2052" width="8.85546875" style="1088" customWidth="1"/>
    <col min="2053" max="2053" width="10.85546875" style="1088" customWidth="1"/>
    <col min="2054" max="2054" width="10.28515625" style="1088" customWidth="1"/>
    <col min="2055" max="2055" width="9.28515625" style="1088" customWidth="1"/>
    <col min="2056" max="2057" width="9.85546875" style="1088" customWidth="1"/>
    <col min="2058" max="2058" width="10.7109375" style="1088" customWidth="1"/>
    <col min="2059" max="2059" width="19.7109375" style="1088" customWidth="1"/>
    <col min="2060" max="2304" width="8.7109375" style="1088"/>
    <col min="2305" max="2305" width="7.28515625" style="1088" customWidth="1"/>
    <col min="2306" max="2307" width="9.85546875" style="1088" customWidth="1"/>
    <col min="2308" max="2308" width="8.85546875" style="1088" customWidth="1"/>
    <col min="2309" max="2309" width="10.85546875" style="1088" customWidth="1"/>
    <col min="2310" max="2310" width="10.28515625" style="1088" customWidth="1"/>
    <col min="2311" max="2311" width="9.28515625" style="1088" customWidth="1"/>
    <col min="2312" max="2313" width="9.85546875" style="1088" customWidth="1"/>
    <col min="2314" max="2314" width="10.7109375" style="1088" customWidth="1"/>
    <col min="2315" max="2315" width="19.7109375" style="1088" customWidth="1"/>
    <col min="2316" max="2560" width="8.7109375" style="1088"/>
    <col min="2561" max="2561" width="7.28515625" style="1088" customWidth="1"/>
    <col min="2562" max="2563" width="9.85546875" style="1088" customWidth="1"/>
    <col min="2564" max="2564" width="8.85546875" style="1088" customWidth="1"/>
    <col min="2565" max="2565" width="10.85546875" style="1088" customWidth="1"/>
    <col min="2566" max="2566" width="10.28515625" style="1088" customWidth="1"/>
    <col min="2567" max="2567" width="9.28515625" style="1088" customWidth="1"/>
    <col min="2568" max="2569" width="9.85546875" style="1088" customWidth="1"/>
    <col min="2570" max="2570" width="10.7109375" style="1088" customWidth="1"/>
    <col min="2571" max="2571" width="19.7109375" style="1088" customWidth="1"/>
    <col min="2572" max="2816" width="8.7109375" style="1088"/>
    <col min="2817" max="2817" width="7.28515625" style="1088" customWidth="1"/>
    <col min="2818" max="2819" width="9.85546875" style="1088" customWidth="1"/>
    <col min="2820" max="2820" width="8.85546875" style="1088" customWidth="1"/>
    <col min="2821" max="2821" width="10.85546875" style="1088" customWidth="1"/>
    <col min="2822" max="2822" width="10.28515625" style="1088" customWidth="1"/>
    <col min="2823" max="2823" width="9.28515625" style="1088" customWidth="1"/>
    <col min="2824" max="2825" width="9.85546875" style="1088" customWidth="1"/>
    <col min="2826" max="2826" width="10.7109375" style="1088" customWidth="1"/>
    <col min="2827" max="2827" width="19.7109375" style="1088" customWidth="1"/>
    <col min="2828" max="3072" width="8.7109375" style="1088"/>
    <col min="3073" max="3073" width="7.28515625" style="1088" customWidth="1"/>
    <col min="3074" max="3075" width="9.85546875" style="1088" customWidth="1"/>
    <col min="3076" max="3076" width="8.85546875" style="1088" customWidth="1"/>
    <col min="3077" max="3077" width="10.85546875" style="1088" customWidth="1"/>
    <col min="3078" max="3078" width="10.28515625" style="1088" customWidth="1"/>
    <col min="3079" max="3079" width="9.28515625" style="1088" customWidth="1"/>
    <col min="3080" max="3081" width="9.85546875" style="1088" customWidth="1"/>
    <col min="3082" max="3082" width="10.7109375" style="1088" customWidth="1"/>
    <col min="3083" max="3083" width="19.7109375" style="1088" customWidth="1"/>
    <col min="3084" max="3328" width="8.7109375" style="1088"/>
    <col min="3329" max="3329" width="7.28515625" style="1088" customWidth="1"/>
    <col min="3330" max="3331" width="9.85546875" style="1088" customWidth="1"/>
    <col min="3332" max="3332" width="8.85546875" style="1088" customWidth="1"/>
    <col min="3333" max="3333" width="10.85546875" style="1088" customWidth="1"/>
    <col min="3334" max="3334" width="10.28515625" style="1088" customWidth="1"/>
    <col min="3335" max="3335" width="9.28515625" style="1088" customWidth="1"/>
    <col min="3336" max="3337" width="9.85546875" style="1088" customWidth="1"/>
    <col min="3338" max="3338" width="10.7109375" style="1088" customWidth="1"/>
    <col min="3339" max="3339" width="19.7109375" style="1088" customWidth="1"/>
    <col min="3340" max="3584" width="8.7109375" style="1088"/>
    <col min="3585" max="3585" width="7.28515625" style="1088" customWidth="1"/>
    <col min="3586" max="3587" width="9.85546875" style="1088" customWidth="1"/>
    <col min="3588" max="3588" width="8.85546875" style="1088" customWidth="1"/>
    <col min="3589" max="3589" width="10.85546875" style="1088" customWidth="1"/>
    <col min="3590" max="3590" width="10.28515625" style="1088" customWidth="1"/>
    <col min="3591" max="3591" width="9.28515625" style="1088" customWidth="1"/>
    <col min="3592" max="3593" width="9.85546875" style="1088" customWidth="1"/>
    <col min="3594" max="3594" width="10.7109375" style="1088" customWidth="1"/>
    <col min="3595" max="3595" width="19.7109375" style="1088" customWidth="1"/>
    <col min="3596" max="3840" width="8.7109375" style="1088"/>
    <col min="3841" max="3841" width="7.28515625" style="1088" customWidth="1"/>
    <col min="3842" max="3843" width="9.85546875" style="1088" customWidth="1"/>
    <col min="3844" max="3844" width="8.85546875" style="1088" customWidth="1"/>
    <col min="3845" max="3845" width="10.85546875" style="1088" customWidth="1"/>
    <col min="3846" max="3846" width="10.28515625" style="1088" customWidth="1"/>
    <col min="3847" max="3847" width="9.28515625" style="1088" customWidth="1"/>
    <col min="3848" max="3849" width="9.85546875" style="1088" customWidth="1"/>
    <col min="3850" max="3850" width="10.7109375" style="1088" customWidth="1"/>
    <col min="3851" max="3851" width="19.7109375" style="1088" customWidth="1"/>
    <col min="3852" max="4096" width="8.7109375" style="1088"/>
    <col min="4097" max="4097" width="7.28515625" style="1088" customWidth="1"/>
    <col min="4098" max="4099" width="9.85546875" style="1088" customWidth="1"/>
    <col min="4100" max="4100" width="8.85546875" style="1088" customWidth="1"/>
    <col min="4101" max="4101" width="10.85546875" style="1088" customWidth="1"/>
    <col min="4102" max="4102" width="10.28515625" style="1088" customWidth="1"/>
    <col min="4103" max="4103" width="9.28515625" style="1088" customWidth="1"/>
    <col min="4104" max="4105" width="9.85546875" style="1088" customWidth="1"/>
    <col min="4106" max="4106" width="10.7109375" style="1088" customWidth="1"/>
    <col min="4107" max="4107" width="19.7109375" style="1088" customWidth="1"/>
    <col min="4108" max="4352" width="8.7109375" style="1088"/>
    <col min="4353" max="4353" width="7.28515625" style="1088" customWidth="1"/>
    <col min="4354" max="4355" width="9.85546875" style="1088" customWidth="1"/>
    <col min="4356" max="4356" width="8.85546875" style="1088" customWidth="1"/>
    <col min="4357" max="4357" width="10.85546875" style="1088" customWidth="1"/>
    <col min="4358" max="4358" width="10.28515625" style="1088" customWidth="1"/>
    <col min="4359" max="4359" width="9.28515625" style="1088" customWidth="1"/>
    <col min="4360" max="4361" width="9.85546875" style="1088" customWidth="1"/>
    <col min="4362" max="4362" width="10.7109375" style="1088" customWidth="1"/>
    <col min="4363" max="4363" width="19.7109375" style="1088" customWidth="1"/>
    <col min="4364" max="4608" width="8.7109375" style="1088"/>
    <col min="4609" max="4609" width="7.28515625" style="1088" customWidth="1"/>
    <col min="4610" max="4611" width="9.85546875" style="1088" customWidth="1"/>
    <col min="4612" max="4612" width="8.85546875" style="1088" customWidth="1"/>
    <col min="4613" max="4613" width="10.85546875" style="1088" customWidth="1"/>
    <col min="4614" max="4614" width="10.28515625" style="1088" customWidth="1"/>
    <col min="4615" max="4615" width="9.28515625" style="1088" customWidth="1"/>
    <col min="4616" max="4617" width="9.85546875" style="1088" customWidth="1"/>
    <col min="4618" max="4618" width="10.7109375" style="1088" customWidth="1"/>
    <col min="4619" max="4619" width="19.7109375" style="1088" customWidth="1"/>
    <col min="4620" max="4864" width="8.7109375" style="1088"/>
    <col min="4865" max="4865" width="7.28515625" style="1088" customWidth="1"/>
    <col min="4866" max="4867" width="9.85546875" style="1088" customWidth="1"/>
    <col min="4868" max="4868" width="8.85546875" style="1088" customWidth="1"/>
    <col min="4869" max="4869" width="10.85546875" style="1088" customWidth="1"/>
    <col min="4870" max="4870" width="10.28515625" style="1088" customWidth="1"/>
    <col min="4871" max="4871" width="9.28515625" style="1088" customWidth="1"/>
    <col min="4872" max="4873" width="9.85546875" style="1088" customWidth="1"/>
    <col min="4874" max="4874" width="10.7109375" style="1088" customWidth="1"/>
    <col min="4875" max="4875" width="19.7109375" style="1088" customWidth="1"/>
    <col min="4876" max="5120" width="8.7109375" style="1088"/>
    <col min="5121" max="5121" width="7.28515625" style="1088" customWidth="1"/>
    <col min="5122" max="5123" width="9.85546875" style="1088" customWidth="1"/>
    <col min="5124" max="5124" width="8.85546875" style="1088" customWidth="1"/>
    <col min="5125" max="5125" width="10.85546875" style="1088" customWidth="1"/>
    <col min="5126" max="5126" width="10.28515625" style="1088" customWidth="1"/>
    <col min="5127" max="5127" width="9.28515625" style="1088" customWidth="1"/>
    <col min="5128" max="5129" width="9.85546875" style="1088" customWidth="1"/>
    <col min="5130" max="5130" width="10.7109375" style="1088" customWidth="1"/>
    <col min="5131" max="5131" width="19.7109375" style="1088" customWidth="1"/>
    <col min="5132" max="5376" width="8.7109375" style="1088"/>
    <col min="5377" max="5377" width="7.28515625" style="1088" customWidth="1"/>
    <col min="5378" max="5379" width="9.85546875" style="1088" customWidth="1"/>
    <col min="5380" max="5380" width="8.85546875" style="1088" customWidth="1"/>
    <col min="5381" max="5381" width="10.85546875" style="1088" customWidth="1"/>
    <col min="5382" max="5382" width="10.28515625" style="1088" customWidth="1"/>
    <col min="5383" max="5383" width="9.28515625" style="1088" customWidth="1"/>
    <col min="5384" max="5385" width="9.85546875" style="1088" customWidth="1"/>
    <col min="5386" max="5386" width="10.7109375" style="1088" customWidth="1"/>
    <col min="5387" max="5387" width="19.7109375" style="1088" customWidth="1"/>
    <col min="5388" max="5632" width="8.7109375" style="1088"/>
    <col min="5633" max="5633" width="7.28515625" style="1088" customWidth="1"/>
    <col min="5634" max="5635" width="9.85546875" style="1088" customWidth="1"/>
    <col min="5636" max="5636" width="8.85546875" style="1088" customWidth="1"/>
    <col min="5637" max="5637" width="10.85546875" style="1088" customWidth="1"/>
    <col min="5638" max="5638" width="10.28515625" style="1088" customWidth="1"/>
    <col min="5639" max="5639" width="9.28515625" style="1088" customWidth="1"/>
    <col min="5640" max="5641" width="9.85546875" style="1088" customWidth="1"/>
    <col min="5642" max="5642" width="10.7109375" style="1088" customWidth="1"/>
    <col min="5643" max="5643" width="19.7109375" style="1088" customWidth="1"/>
    <col min="5644" max="5888" width="8.7109375" style="1088"/>
    <col min="5889" max="5889" width="7.28515625" style="1088" customWidth="1"/>
    <col min="5890" max="5891" width="9.85546875" style="1088" customWidth="1"/>
    <col min="5892" max="5892" width="8.85546875" style="1088" customWidth="1"/>
    <col min="5893" max="5893" width="10.85546875" style="1088" customWidth="1"/>
    <col min="5894" max="5894" width="10.28515625" style="1088" customWidth="1"/>
    <col min="5895" max="5895" width="9.28515625" style="1088" customWidth="1"/>
    <col min="5896" max="5897" width="9.85546875" style="1088" customWidth="1"/>
    <col min="5898" max="5898" width="10.7109375" style="1088" customWidth="1"/>
    <col min="5899" max="5899" width="19.7109375" style="1088" customWidth="1"/>
    <col min="5900" max="6144" width="8.7109375" style="1088"/>
    <col min="6145" max="6145" width="7.28515625" style="1088" customWidth="1"/>
    <col min="6146" max="6147" width="9.85546875" style="1088" customWidth="1"/>
    <col min="6148" max="6148" width="8.85546875" style="1088" customWidth="1"/>
    <col min="6149" max="6149" width="10.85546875" style="1088" customWidth="1"/>
    <col min="6150" max="6150" width="10.28515625" style="1088" customWidth="1"/>
    <col min="6151" max="6151" width="9.28515625" style="1088" customWidth="1"/>
    <col min="6152" max="6153" width="9.85546875" style="1088" customWidth="1"/>
    <col min="6154" max="6154" width="10.7109375" style="1088" customWidth="1"/>
    <col min="6155" max="6155" width="19.7109375" style="1088" customWidth="1"/>
    <col min="6156" max="6400" width="8.7109375" style="1088"/>
    <col min="6401" max="6401" width="7.28515625" style="1088" customWidth="1"/>
    <col min="6402" max="6403" width="9.85546875" style="1088" customWidth="1"/>
    <col min="6404" max="6404" width="8.85546875" style="1088" customWidth="1"/>
    <col min="6405" max="6405" width="10.85546875" style="1088" customWidth="1"/>
    <col min="6406" max="6406" width="10.28515625" style="1088" customWidth="1"/>
    <col min="6407" max="6407" width="9.28515625" style="1088" customWidth="1"/>
    <col min="6408" max="6409" width="9.85546875" style="1088" customWidth="1"/>
    <col min="6410" max="6410" width="10.7109375" style="1088" customWidth="1"/>
    <col min="6411" max="6411" width="19.7109375" style="1088" customWidth="1"/>
    <col min="6412" max="6656" width="8.7109375" style="1088"/>
    <col min="6657" max="6657" width="7.28515625" style="1088" customWidth="1"/>
    <col min="6658" max="6659" width="9.85546875" style="1088" customWidth="1"/>
    <col min="6660" max="6660" width="8.85546875" style="1088" customWidth="1"/>
    <col min="6661" max="6661" width="10.85546875" style="1088" customWidth="1"/>
    <col min="6662" max="6662" width="10.28515625" style="1088" customWidth="1"/>
    <col min="6663" max="6663" width="9.28515625" style="1088" customWidth="1"/>
    <col min="6664" max="6665" width="9.85546875" style="1088" customWidth="1"/>
    <col min="6666" max="6666" width="10.7109375" style="1088" customWidth="1"/>
    <col min="6667" max="6667" width="19.7109375" style="1088" customWidth="1"/>
    <col min="6668" max="6912" width="8.7109375" style="1088"/>
    <col min="6913" max="6913" width="7.28515625" style="1088" customWidth="1"/>
    <col min="6914" max="6915" width="9.85546875" style="1088" customWidth="1"/>
    <col min="6916" max="6916" width="8.85546875" style="1088" customWidth="1"/>
    <col min="6917" max="6917" width="10.85546875" style="1088" customWidth="1"/>
    <col min="6918" max="6918" width="10.28515625" style="1088" customWidth="1"/>
    <col min="6919" max="6919" width="9.28515625" style="1088" customWidth="1"/>
    <col min="6920" max="6921" width="9.85546875" style="1088" customWidth="1"/>
    <col min="6922" max="6922" width="10.7109375" style="1088" customWidth="1"/>
    <col min="6923" max="6923" width="19.7109375" style="1088" customWidth="1"/>
    <col min="6924" max="7168" width="8.7109375" style="1088"/>
    <col min="7169" max="7169" width="7.28515625" style="1088" customWidth="1"/>
    <col min="7170" max="7171" width="9.85546875" style="1088" customWidth="1"/>
    <col min="7172" max="7172" width="8.85546875" style="1088" customWidth="1"/>
    <col min="7173" max="7173" width="10.85546875" style="1088" customWidth="1"/>
    <col min="7174" max="7174" width="10.28515625" style="1088" customWidth="1"/>
    <col min="7175" max="7175" width="9.28515625" style="1088" customWidth="1"/>
    <col min="7176" max="7177" width="9.85546875" style="1088" customWidth="1"/>
    <col min="7178" max="7178" width="10.7109375" style="1088" customWidth="1"/>
    <col min="7179" max="7179" width="19.7109375" style="1088" customWidth="1"/>
    <col min="7180" max="7424" width="8.7109375" style="1088"/>
    <col min="7425" max="7425" width="7.28515625" style="1088" customWidth="1"/>
    <col min="7426" max="7427" width="9.85546875" style="1088" customWidth="1"/>
    <col min="7428" max="7428" width="8.85546875" style="1088" customWidth="1"/>
    <col min="7429" max="7429" width="10.85546875" style="1088" customWidth="1"/>
    <col min="7430" max="7430" width="10.28515625" style="1088" customWidth="1"/>
    <col min="7431" max="7431" width="9.28515625" style="1088" customWidth="1"/>
    <col min="7432" max="7433" width="9.85546875" style="1088" customWidth="1"/>
    <col min="7434" max="7434" width="10.7109375" style="1088" customWidth="1"/>
    <col min="7435" max="7435" width="19.7109375" style="1088" customWidth="1"/>
    <col min="7436" max="7680" width="8.7109375" style="1088"/>
    <col min="7681" max="7681" width="7.28515625" style="1088" customWidth="1"/>
    <col min="7682" max="7683" width="9.85546875" style="1088" customWidth="1"/>
    <col min="7684" max="7684" width="8.85546875" style="1088" customWidth="1"/>
    <col min="7685" max="7685" width="10.85546875" style="1088" customWidth="1"/>
    <col min="7686" max="7686" width="10.28515625" style="1088" customWidth="1"/>
    <col min="7687" max="7687" width="9.28515625" style="1088" customWidth="1"/>
    <col min="7688" max="7689" width="9.85546875" style="1088" customWidth="1"/>
    <col min="7690" max="7690" width="10.7109375" style="1088" customWidth="1"/>
    <col min="7691" max="7691" width="19.7109375" style="1088" customWidth="1"/>
    <col min="7692" max="7936" width="8.7109375" style="1088"/>
    <col min="7937" max="7937" width="7.28515625" style="1088" customWidth="1"/>
    <col min="7938" max="7939" width="9.85546875" style="1088" customWidth="1"/>
    <col min="7940" max="7940" width="8.85546875" style="1088" customWidth="1"/>
    <col min="7941" max="7941" width="10.85546875" style="1088" customWidth="1"/>
    <col min="7942" max="7942" width="10.28515625" style="1088" customWidth="1"/>
    <col min="7943" max="7943" width="9.28515625" style="1088" customWidth="1"/>
    <col min="7944" max="7945" width="9.85546875" style="1088" customWidth="1"/>
    <col min="7946" max="7946" width="10.7109375" style="1088" customWidth="1"/>
    <col min="7947" max="7947" width="19.7109375" style="1088" customWidth="1"/>
    <col min="7948" max="8192" width="8.7109375" style="1088"/>
    <col min="8193" max="8193" width="7.28515625" style="1088" customWidth="1"/>
    <col min="8194" max="8195" width="9.85546875" style="1088" customWidth="1"/>
    <col min="8196" max="8196" width="8.85546875" style="1088" customWidth="1"/>
    <col min="8197" max="8197" width="10.85546875" style="1088" customWidth="1"/>
    <col min="8198" max="8198" width="10.28515625" style="1088" customWidth="1"/>
    <col min="8199" max="8199" width="9.28515625" style="1088" customWidth="1"/>
    <col min="8200" max="8201" width="9.85546875" style="1088" customWidth="1"/>
    <col min="8202" max="8202" width="10.7109375" style="1088" customWidth="1"/>
    <col min="8203" max="8203" width="19.7109375" style="1088" customWidth="1"/>
    <col min="8204" max="8448" width="8.7109375" style="1088"/>
    <col min="8449" max="8449" width="7.28515625" style="1088" customWidth="1"/>
    <col min="8450" max="8451" width="9.85546875" style="1088" customWidth="1"/>
    <col min="8452" max="8452" width="8.85546875" style="1088" customWidth="1"/>
    <col min="8453" max="8453" width="10.85546875" style="1088" customWidth="1"/>
    <col min="8454" max="8454" width="10.28515625" style="1088" customWidth="1"/>
    <col min="8455" max="8455" width="9.28515625" style="1088" customWidth="1"/>
    <col min="8456" max="8457" width="9.85546875" style="1088" customWidth="1"/>
    <col min="8458" max="8458" width="10.7109375" style="1088" customWidth="1"/>
    <col min="8459" max="8459" width="19.7109375" style="1088" customWidth="1"/>
    <col min="8460" max="8704" width="8.7109375" style="1088"/>
    <col min="8705" max="8705" width="7.28515625" style="1088" customWidth="1"/>
    <col min="8706" max="8707" width="9.85546875" style="1088" customWidth="1"/>
    <col min="8708" max="8708" width="8.85546875" style="1088" customWidth="1"/>
    <col min="8709" max="8709" width="10.85546875" style="1088" customWidth="1"/>
    <col min="8710" max="8710" width="10.28515625" style="1088" customWidth="1"/>
    <col min="8711" max="8711" width="9.28515625" style="1088" customWidth="1"/>
    <col min="8712" max="8713" width="9.85546875" style="1088" customWidth="1"/>
    <col min="8714" max="8714" width="10.7109375" style="1088" customWidth="1"/>
    <col min="8715" max="8715" width="19.7109375" style="1088" customWidth="1"/>
    <col min="8716" max="8960" width="8.7109375" style="1088"/>
    <col min="8961" max="8961" width="7.28515625" style="1088" customWidth="1"/>
    <col min="8962" max="8963" width="9.85546875" style="1088" customWidth="1"/>
    <col min="8964" max="8964" width="8.85546875" style="1088" customWidth="1"/>
    <col min="8965" max="8965" width="10.85546875" style="1088" customWidth="1"/>
    <col min="8966" max="8966" width="10.28515625" style="1088" customWidth="1"/>
    <col min="8967" max="8967" width="9.28515625" style="1088" customWidth="1"/>
    <col min="8968" max="8969" width="9.85546875" style="1088" customWidth="1"/>
    <col min="8970" max="8970" width="10.7109375" style="1088" customWidth="1"/>
    <col min="8971" max="8971" width="19.7109375" style="1088" customWidth="1"/>
    <col min="8972" max="9216" width="8.7109375" style="1088"/>
    <col min="9217" max="9217" width="7.28515625" style="1088" customWidth="1"/>
    <col min="9218" max="9219" width="9.85546875" style="1088" customWidth="1"/>
    <col min="9220" max="9220" width="8.85546875" style="1088" customWidth="1"/>
    <col min="9221" max="9221" width="10.85546875" style="1088" customWidth="1"/>
    <col min="9222" max="9222" width="10.28515625" style="1088" customWidth="1"/>
    <col min="9223" max="9223" width="9.28515625" style="1088" customWidth="1"/>
    <col min="9224" max="9225" width="9.85546875" style="1088" customWidth="1"/>
    <col min="9226" max="9226" width="10.7109375" style="1088" customWidth="1"/>
    <col min="9227" max="9227" width="19.7109375" style="1088" customWidth="1"/>
    <col min="9228" max="9472" width="8.7109375" style="1088"/>
    <col min="9473" max="9473" width="7.28515625" style="1088" customWidth="1"/>
    <col min="9474" max="9475" width="9.85546875" style="1088" customWidth="1"/>
    <col min="9476" max="9476" width="8.85546875" style="1088" customWidth="1"/>
    <col min="9477" max="9477" width="10.85546875" style="1088" customWidth="1"/>
    <col min="9478" max="9478" width="10.28515625" style="1088" customWidth="1"/>
    <col min="9479" max="9479" width="9.28515625" style="1088" customWidth="1"/>
    <col min="9480" max="9481" width="9.85546875" style="1088" customWidth="1"/>
    <col min="9482" max="9482" width="10.7109375" style="1088" customWidth="1"/>
    <col min="9483" max="9483" width="19.7109375" style="1088" customWidth="1"/>
    <col min="9484" max="9728" width="8.7109375" style="1088"/>
    <col min="9729" max="9729" width="7.28515625" style="1088" customWidth="1"/>
    <col min="9730" max="9731" width="9.85546875" style="1088" customWidth="1"/>
    <col min="9732" max="9732" width="8.85546875" style="1088" customWidth="1"/>
    <col min="9733" max="9733" width="10.85546875" style="1088" customWidth="1"/>
    <col min="9734" max="9734" width="10.28515625" style="1088" customWidth="1"/>
    <col min="9735" max="9735" width="9.28515625" style="1088" customWidth="1"/>
    <col min="9736" max="9737" width="9.85546875" style="1088" customWidth="1"/>
    <col min="9738" max="9738" width="10.7109375" style="1088" customWidth="1"/>
    <col min="9739" max="9739" width="19.7109375" style="1088" customWidth="1"/>
    <col min="9740" max="9984" width="8.7109375" style="1088"/>
    <col min="9985" max="9985" width="7.28515625" style="1088" customWidth="1"/>
    <col min="9986" max="9987" width="9.85546875" style="1088" customWidth="1"/>
    <col min="9988" max="9988" width="8.85546875" style="1088" customWidth="1"/>
    <col min="9989" max="9989" width="10.85546875" style="1088" customWidth="1"/>
    <col min="9990" max="9990" width="10.28515625" style="1088" customWidth="1"/>
    <col min="9991" max="9991" width="9.28515625" style="1088" customWidth="1"/>
    <col min="9992" max="9993" width="9.85546875" style="1088" customWidth="1"/>
    <col min="9994" max="9994" width="10.7109375" style="1088" customWidth="1"/>
    <col min="9995" max="9995" width="19.7109375" style="1088" customWidth="1"/>
    <col min="9996" max="10240" width="8.7109375" style="1088"/>
    <col min="10241" max="10241" width="7.28515625" style="1088" customWidth="1"/>
    <col min="10242" max="10243" width="9.85546875" style="1088" customWidth="1"/>
    <col min="10244" max="10244" width="8.85546875" style="1088" customWidth="1"/>
    <col min="10245" max="10245" width="10.85546875" style="1088" customWidth="1"/>
    <col min="10246" max="10246" width="10.28515625" style="1088" customWidth="1"/>
    <col min="10247" max="10247" width="9.28515625" style="1088" customWidth="1"/>
    <col min="10248" max="10249" width="9.85546875" style="1088" customWidth="1"/>
    <col min="10250" max="10250" width="10.7109375" style="1088" customWidth="1"/>
    <col min="10251" max="10251" width="19.7109375" style="1088" customWidth="1"/>
    <col min="10252" max="10496" width="8.7109375" style="1088"/>
    <col min="10497" max="10497" width="7.28515625" style="1088" customWidth="1"/>
    <col min="10498" max="10499" width="9.85546875" style="1088" customWidth="1"/>
    <col min="10500" max="10500" width="8.85546875" style="1088" customWidth="1"/>
    <col min="10501" max="10501" width="10.85546875" style="1088" customWidth="1"/>
    <col min="10502" max="10502" width="10.28515625" style="1088" customWidth="1"/>
    <col min="10503" max="10503" width="9.28515625" style="1088" customWidth="1"/>
    <col min="10504" max="10505" width="9.85546875" style="1088" customWidth="1"/>
    <col min="10506" max="10506" width="10.7109375" style="1088" customWidth="1"/>
    <col min="10507" max="10507" width="19.7109375" style="1088" customWidth="1"/>
    <col min="10508" max="10752" width="8.7109375" style="1088"/>
    <col min="10753" max="10753" width="7.28515625" style="1088" customWidth="1"/>
    <col min="10754" max="10755" width="9.85546875" style="1088" customWidth="1"/>
    <col min="10756" max="10756" width="8.85546875" style="1088" customWidth="1"/>
    <col min="10757" max="10757" width="10.85546875" style="1088" customWidth="1"/>
    <col min="10758" max="10758" width="10.28515625" style="1088" customWidth="1"/>
    <col min="10759" max="10759" width="9.28515625" style="1088" customWidth="1"/>
    <col min="10760" max="10761" width="9.85546875" style="1088" customWidth="1"/>
    <col min="10762" max="10762" width="10.7109375" style="1088" customWidth="1"/>
    <col min="10763" max="10763" width="19.7109375" style="1088" customWidth="1"/>
    <col min="10764" max="11008" width="8.7109375" style="1088"/>
    <col min="11009" max="11009" width="7.28515625" style="1088" customWidth="1"/>
    <col min="11010" max="11011" width="9.85546875" style="1088" customWidth="1"/>
    <col min="11012" max="11012" width="8.85546875" style="1088" customWidth="1"/>
    <col min="11013" max="11013" width="10.85546875" style="1088" customWidth="1"/>
    <col min="11014" max="11014" width="10.28515625" style="1088" customWidth="1"/>
    <col min="11015" max="11015" width="9.28515625" style="1088" customWidth="1"/>
    <col min="11016" max="11017" width="9.85546875" style="1088" customWidth="1"/>
    <col min="11018" max="11018" width="10.7109375" style="1088" customWidth="1"/>
    <col min="11019" max="11019" width="19.7109375" style="1088" customWidth="1"/>
    <col min="11020" max="11264" width="8.7109375" style="1088"/>
    <col min="11265" max="11265" width="7.28515625" style="1088" customWidth="1"/>
    <col min="11266" max="11267" width="9.85546875" style="1088" customWidth="1"/>
    <col min="11268" max="11268" width="8.85546875" style="1088" customWidth="1"/>
    <col min="11269" max="11269" width="10.85546875" style="1088" customWidth="1"/>
    <col min="11270" max="11270" width="10.28515625" style="1088" customWidth="1"/>
    <col min="11271" max="11271" width="9.28515625" style="1088" customWidth="1"/>
    <col min="11272" max="11273" width="9.85546875" style="1088" customWidth="1"/>
    <col min="11274" max="11274" width="10.7109375" style="1088" customWidth="1"/>
    <col min="11275" max="11275" width="19.7109375" style="1088" customWidth="1"/>
    <col min="11276" max="11520" width="8.7109375" style="1088"/>
    <col min="11521" max="11521" width="7.28515625" style="1088" customWidth="1"/>
    <col min="11522" max="11523" width="9.85546875" style="1088" customWidth="1"/>
    <col min="11524" max="11524" width="8.85546875" style="1088" customWidth="1"/>
    <col min="11525" max="11525" width="10.85546875" style="1088" customWidth="1"/>
    <col min="11526" max="11526" width="10.28515625" style="1088" customWidth="1"/>
    <col min="11527" max="11527" width="9.28515625" style="1088" customWidth="1"/>
    <col min="11528" max="11529" width="9.85546875" style="1088" customWidth="1"/>
    <col min="11530" max="11530" width="10.7109375" style="1088" customWidth="1"/>
    <col min="11531" max="11531" width="19.7109375" style="1088" customWidth="1"/>
    <col min="11532" max="11776" width="8.7109375" style="1088"/>
    <col min="11777" max="11777" width="7.28515625" style="1088" customWidth="1"/>
    <col min="11778" max="11779" width="9.85546875" style="1088" customWidth="1"/>
    <col min="11780" max="11780" width="8.85546875" style="1088" customWidth="1"/>
    <col min="11781" max="11781" width="10.85546875" style="1088" customWidth="1"/>
    <col min="11782" max="11782" width="10.28515625" style="1088" customWidth="1"/>
    <col min="11783" max="11783" width="9.28515625" style="1088" customWidth="1"/>
    <col min="11784" max="11785" width="9.85546875" style="1088" customWidth="1"/>
    <col min="11786" max="11786" width="10.7109375" style="1088" customWidth="1"/>
    <col min="11787" max="11787" width="19.7109375" style="1088" customWidth="1"/>
    <col min="11788" max="12032" width="8.7109375" style="1088"/>
    <col min="12033" max="12033" width="7.28515625" style="1088" customWidth="1"/>
    <col min="12034" max="12035" width="9.85546875" style="1088" customWidth="1"/>
    <col min="12036" max="12036" width="8.85546875" style="1088" customWidth="1"/>
    <col min="12037" max="12037" width="10.85546875" style="1088" customWidth="1"/>
    <col min="12038" max="12038" width="10.28515625" style="1088" customWidth="1"/>
    <col min="12039" max="12039" width="9.28515625" style="1088" customWidth="1"/>
    <col min="12040" max="12041" width="9.85546875" style="1088" customWidth="1"/>
    <col min="12042" max="12042" width="10.7109375" style="1088" customWidth="1"/>
    <col min="12043" max="12043" width="19.7109375" style="1088" customWidth="1"/>
    <col min="12044" max="12288" width="8.7109375" style="1088"/>
    <col min="12289" max="12289" width="7.28515625" style="1088" customWidth="1"/>
    <col min="12290" max="12291" width="9.85546875" style="1088" customWidth="1"/>
    <col min="12292" max="12292" width="8.85546875" style="1088" customWidth="1"/>
    <col min="12293" max="12293" width="10.85546875" style="1088" customWidth="1"/>
    <col min="12294" max="12294" width="10.28515625" style="1088" customWidth="1"/>
    <col min="12295" max="12295" width="9.28515625" style="1088" customWidth="1"/>
    <col min="12296" max="12297" width="9.85546875" style="1088" customWidth="1"/>
    <col min="12298" max="12298" width="10.7109375" style="1088" customWidth="1"/>
    <col min="12299" max="12299" width="19.7109375" style="1088" customWidth="1"/>
    <col min="12300" max="12544" width="8.7109375" style="1088"/>
    <col min="12545" max="12545" width="7.28515625" style="1088" customWidth="1"/>
    <col min="12546" max="12547" width="9.85546875" style="1088" customWidth="1"/>
    <col min="12548" max="12548" width="8.85546875" style="1088" customWidth="1"/>
    <col min="12549" max="12549" width="10.85546875" style="1088" customWidth="1"/>
    <col min="12550" max="12550" width="10.28515625" style="1088" customWidth="1"/>
    <col min="12551" max="12551" width="9.28515625" style="1088" customWidth="1"/>
    <col min="12552" max="12553" width="9.85546875" style="1088" customWidth="1"/>
    <col min="12554" max="12554" width="10.7109375" style="1088" customWidth="1"/>
    <col min="12555" max="12555" width="19.7109375" style="1088" customWidth="1"/>
    <col min="12556" max="12800" width="8.7109375" style="1088"/>
    <col min="12801" max="12801" width="7.28515625" style="1088" customWidth="1"/>
    <col min="12802" max="12803" width="9.85546875" style="1088" customWidth="1"/>
    <col min="12804" max="12804" width="8.85546875" style="1088" customWidth="1"/>
    <col min="12805" max="12805" width="10.85546875" style="1088" customWidth="1"/>
    <col min="12806" max="12806" width="10.28515625" style="1088" customWidth="1"/>
    <col min="12807" max="12807" width="9.28515625" style="1088" customWidth="1"/>
    <col min="12808" max="12809" width="9.85546875" style="1088" customWidth="1"/>
    <col min="12810" max="12810" width="10.7109375" style="1088" customWidth="1"/>
    <col min="12811" max="12811" width="19.7109375" style="1088" customWidth="1"/>
    <col min="12812" max="13056" width="8.7109375" style="1088"/>
    <col min="13057" max="13057" width="7.28515625" style="1088" customWidth="1"/>
    <col min="13058" max="13059" width="9.85546875" style="1088" customWidth="1"/>
    <col min="13060" max="13060" width="8.85546875" style="1088" customWidth="1"/>
    <col min="13061" max="13061" width="10.85546875" style="1088" customWidth="1"/>
    <col min="13062" max="13062" width="10.28515625" style="1088" customWidth="1"/>
    <col min="13063" max="13063" width="9.28515625" style="1088" customWidth="1"/>
    <col min="13064" max="13065" width="9.85546875" style="1088" customWidth="1"/>
    <col min="13066" max="13066" width="10.7109375" style="1088" customWidth="1"/>
    <col min="13067" max="13067" width="19.7109375" style="1088" customWidth="1"/>
    <col min="13068" max="13312" width="8.7109375" style="1088"/>
    <col min="13313" max="13313" width="7.28515625" style="1088" customWidth="1"/>
    <col min="13314" max="13315" width="9.85546875" style="1088" customWidth="1"/>
    <col min="13316" max="13316" width="8.85546875" style="1088" customWidth="1"/>
    <col min="13317" max="13317" width="10.85546875" style="1088" customWidth="1"/>
    <col min="13318" max="13318" width="10.28515625" style="1088" customWidth="1"/>
    <col min="13319" max="13319" width="9.28515625" style="1088" customWidth="1"/>
    <col min="13320" max="13321" width="9.85546875" style="1088" customWidth="1"/>
    <col min="13322" max="13322" width="10.7109375" style="1088" customWidth="1"/>
    <col min="13323" max="13323" width="19.7109375" style="1088" customWidth="1"/>
    <col min="13324" max="13568" width="8.7109375" style="1088"/>
    <col min="13569" max="13569" width="7.28515625" style="1088" customWidth="1"/>
    <col min="13570" max="13571" width="9.85546875" style="1088" customWidth="1"/>
    <col min="13572" max="13572" width="8.85546875" style="1088" customWidth="1"/>
    <col min="13573" max="13573" width="10.85546875" style="1088" customWidth="1"/>
    <col min="13574" max="13574" width="10.28515625" style="1088" customWidth="1"/>
    <col min="13575" max="13575" width="9.28515625" style="1088" customWidth="1"/>
    <col min="13576" max="13577" width="9.85546875" style="1088" customWidth="1"/>
    <col min="13578" max="13578" width="10.7109375" style="1088" customWidth="1"/>
    <col min="13579" max="13579" width="19.7109375" style="1088" customWidth="1"/>
    <col min="13580" max="13824" width="8.7109375" style="1088"/>
    <col min="13825" max="13825" width="7.28515625" style="1088" customWidth="1"/>
    <col min="13826" max="13827" width="9.85546875" style="1088" customWidth="1"/>
    <col min="13828" max="13828" width="8.85546875" style="1088" customWidth="1"/>
    <col min="13829" max="13829" width="10.85546875" style="1088" customWidth="1"/>
    <col min="13830" max="13830" width="10.28515625" style="1088" customWidth="1"/>
    <col min="13831" max="13831" width="9.28515625" style="1088" customWidth="1"/>
    <col min="13832" max="13833" width="9.85546875" style="1088" customWidth="1"/>
    <col min="13834" max="13834" width="10.7109375" style="1088" customWidth="1"/>
    <col min="13835" max="13835" width="19.7109375" style="1088" customWidth="1"/>
    <col min="13836" max="14080" width="8.7109375" style="1088"/>
    <col min="14081" max="14081" width="7.28515625" style="1088" customWidth="1"/>
    <col min="14082" max="14083" width="9.85546875" style="1088" customWidth="1"/>
    <col min="14084" max="14084" width="8.85546875" style="1088" customWidth="1"/>
    <col min="14085" max="14085" width="10.85546875" style="1088" customWidth="1"/>
    <col min="14086" max="14086" width="10.28515625" style="1088" customWidth="1"/>
    <col min="14087" max="14087" width="9.28515625" style="1088" customWidth="1"/>
    <col min="14088" max="14089" width="9.85546875" style="1088" customWidth="1"/>
    <col min="14090" max="14090" width="10.7109375" style="1088" customWidth="1"/>
    <col min="14091" max="14091" width="19.7109375" style="1088" customWidth="1"/>
    <col min="14092" max="14336" width="8.7109375" style="1088"/>
    <col min="14337" max="14337" width="7.28515625" style="1088" customWidth="1"/>
    <col min="14338" max="14339" width="9.85546875" style="1088" customWidth="1"/>
    <col min="14340" max="14340" width="8.85546875" style="1088" customWidth="1"/>
    <col min="14341" max="14341" width="10.85546875" style="1088" customWidth="1"/>
    <col min="14342" max="14342" width="10.28515625" style="1088" customWidth="1"/>
    <col min="14343" max="14343" width="9.28515625" style="1088" customWidth="1"/>
    <col min="14344" max="14345" width="9.85546875" style="1088" customWidth="1"/>
    <col min="14346" max="14346" width="10.7109375" style="1088" customWidth="1"/>
    <col min="14347" max="14347" width="19.7109375" style="1088" customWidth="1"/>
    <col min="14348" max="14592" width="8.7109375" style="1088"/>
    <col min="14593" max="14593" width="7.28515625" style="1088" customWidth="1"/>
    <col min="14594" max="14595" width="9.85546875" style="1088" customWidth="1"/>
    <col min="14596" max="14596" width="8.85546875" style="1088" customWidth="1"/>
    <col min="14597" max="14597" width="10.85546875" style="1088" customWidth="1"/>
    <col min="14598" max="14598" width="10.28515625" style="1088" customWidth="1"/>
    <col min="14599" max="14599" width="9.28515625" style="1088" customWidth="1"/>
    <col min="14600" max="14601" width="9.85546875" style="1088" customWidth="1"/>
    <col min="14602" max="14602" width="10.7109375" style="1088" customWidth="1"/>
    <col min="14603" max="14603" width="19.7109375" style="1088" customWidth="1"/>
    <col min="14604" max="14848" width="8.7109375" style="1088"/>
    <col min="14849" max="14849" width="7.28515625" style="1088" customWidth="1"/>
    <col min="14850" max="14851" width="9.85546875" style="1088" customWidth="1"/>
    <col min="14852" max="14852" width="8.85546875" style="1088" customWidth="1"/>
    <col min="14853" max="14853" width="10.85546875" style="1088" customWidth="1"/>
    <col min="14854" max="14854" width="10.28515625" style="1088" customWidth="1"/>
    <col min="14855" max="14855" width="9.28515625" style="1088" customWidth="1"/>
    <col min="14856" max="14857" width="9.85546875" style="1088" customWidth="1"/>
    <col min="14858" max="14858" width="10.7109375" style="1088" customWidth="1"/>
    <col min="14859" max="14859" width="19.7109375" style="1088" customWidth="1"/>
    <col min="14860" max="15104" width="8.7109375" style="1088"/>
    <col min="15105" max="15105" width="7.28515625" style="1088" customWidth="1"/>
    <col min="15106" max="15107" width="9.85546875" style="1088" customWidth="1"/>
    <col min="15108" max="15108" width="8.85546875" style="1088" customWidth="1"/>
    <col min="15109" max="15109" width="10.85546875" style="1088" customWidth="1"/>
    <col min="15110" max="15110" width="10.28515625" style="1088" customWidth="1"/>
    <col min="15111" max="15111" width="9.28515625" style="1088" customWidth="1"/>
    <col min="15112" max="15113" width="9.85546875" style="1088" customWidth="1"/>
    <col min="15114" max="15114" width="10.7109375" style="1088" customWidth="1"/>
    <col min="15115" max="15115" width="19.7109375" style="1088" customWidth="1"/>
    <col min="15116" max="15360" width="8.7109375" style="1088"/>
    <col min="15361" max="15361" width="7.28515625" style="1088" customWidth="1"/>
    <col min="15362" max="15363" width="9.85546875" style="1088" customWidth="1"/>
    <col min="15364" max="15364" width="8.85546875" style="1088" customWidth="1"/>
    <col min="15365" max="15365" width="10.85546875" style="1088" customWidth="1"/>
    <col min="15366" max="15366" width="10.28515625" style="1088" customWidth="1"/>
    <col min="15367" max="15367" width="9.28515625" style="1088" customWidth="1"/>
    <col min="15368" max="15369" width="9.85546875" style="1088" customWidth="1"/>
    <col min="15370" max="15370" width="10.7109375" style="1088" customWidth="1"/>
    <col min="15371" max="15371" width="19.7109375" style="1088" customWidth="1"/>
    <col min="15372" max="15616" width="8.7109375" style="1088"/>
    <col min="15617" max="15617" width="7.28515625" style="1088" customWidth="1"/>
    <col min="15618" max="15619" width="9.85546875" style="1088" customWidth="1"/>
    <col min="15620" max="15620" width="8.85546875" style="1088" customWidth="1"/>
    <col min="15621" max="15621" width="10.85546875" style="1088" customWidth="1"/>
    <col min="15622" max="15622" width="10.28515625" style="1088" customWidth="1"/>
    <col min="15623" max="15623" width="9.28515625" style="1088" customWidth="1"/>
    <col min="15624" max="15625" width="9.85546875" style="1088" customWidth="1"/>
    <col min="15626" max="15626" width="10.7109375" style="1088" customWidth="1"/>
    <col min="15627" max="15627" width="19.7109375" style="1088" customWidth="1"/>
    <col min="15628" max="15872" width="8.7109375" style="1088"/>
    <col min="15873" max="15873" width="7.28515625" style="1088" customWidth="1"/>
    <col min="15874" max="15875" width="9.85546875" style="1088" customWidth="1"/>
    <col min="15876" max="15876" width="8.85546875" style="1088" customWidth="1"/>
    <col min="15877" max="15877" width="10.85546875" style="1088" customWidth="1"/>
    <col min="15878" max="15878" width="10.28515625" style="1088" customWidth="1"/>
    <col min="15879" max="15879" width="9.28515625" style="1088" customWidth="1"/>
    <col min="15880" max="15881" width="9.85546875" style="1088" customWidth="1"/>
    <col min="15882" max="15882" width="10.7109375" style="1088" customWidth="1"/>
    <col min="15883" max="15883" width="19.7109375" style="1088" customWidth="1"/>
    <col min="15884" max="16128" width="8.7109375" style="1088"/>
    <col min="16129" max="16129" width="7.28515625" style="1088" customWidth="1"/>
    <col min="16130" max="16131" width="9.85546875" style="1088" customWidth="1"/>
    <col min="16132" max="16132" width="8.85546875" style="1088" customWidth="1"/>
    <col min="16133" max="16133" width="10.85546875" style="1088" customWidth="1"/>
    <col min="16134" max="16134" width="10.28515625" style="1088" customWidth="1"/>
    <col min="16135" max="16135" width="9.28515625" style="1088" customWidth="1"/>
    <col min="16136" max="16137" width="9.85546875" style="1088" customWidth="1"/>
    <col min="16138" max="16138" width="10.7109375" style="1088" customWidth="1"/>
    <col min="16139" max="16139" width="19.7109375" style="1088" customWidth="1"/>
    <col min="16140" max="16384" width="8.7109375" style="1088"/>
  </cols>
  <sheetData>
    <row r="1" spans="1:10" ht="12" customHeight="1">
      <c r="A1" s="1087" t="s">
        <v>738</v>
      </c>
    </row>
    <row r="2" spans="1:10">
      <c r="H2" s="1089"/>
      <c r="I2" s="1089" t="s">
        <v>739</v>
      </c>
    </row>
    <row r="3" spans="1:10">
      <c r="H3" s="1089"/>
      <c r="I3" s="1089" t="s">
        <v>220</v>
      </c>
    </row>
    <row r="4" spans="1:10">
      <c r="H4" s="1089"/>
      <c r="I4" s="1089" t="s">
        <v>221</v>
      </c>
    </row>
    <row r="5" spans="1:10">
      <c r="H5" s="1090"/>
      <c r="I5" s="1090" t="s">
        <v>222</v>
      </c>
    </row>
    <row r="6" spans="1:10" ht="12" customHeight="1">
      <c r="H6" s="1090"/>
      <c r="I6" s="1090" t="s">
        <v>223</v>
      </c>
    </row>
    <row r="7" spans="1:10" ht="12.75" customHeight="1">
      <c r="F7" s="1091"/>
      <c r="G7" s="1092"/>
      <c r="H7" s="1093"/>
      <c r="I7" s="1093" t="s">
        <v>740</v>
      </c>
    </row>
    <row r="8" spans="1:10" ht="12.75" customHeight="1">
      <c r="F8" s="1091"/>
      <c r="G8" s="1092"/>
      <c r="H8" s="1091"/>
    </row>
    <row r="9" spans="1:10" ht="18.75" customHeight="1">
      <c r="A9" s="2284" t="s">
        <v>35</v>
      </c>
      <c r="B9" s="2284"/>
      <c r="C9" s="2284"/>
      <c r="D9" s="2284"/>
      <c r="E9" s="2284"/>
      <c r="F9" s="2284"/>
      <c r="G9" s="2284"/>
      <c r="H9" s="2284"/>
    </row>
    <row r="10" spans="1:10" ht="9" customHeight="1">
      <c r="A10" s="2283" t="s">
        <v>741</v>
      </c>
      <c r="B10" s="2283"/>
      <c r="C10" s="2283"/>
      <c r="D10" s="2283"/>
      <c r="E10" s="2283"/>
      <c r="F10" s="2283"/>
      <c r="G10" s="2283"/>
      <c r="H10" s="2283"/>
    </row>
    <row r="11" spans="1:10" ht="12.75" customHeight="1">
      <c r="A11" s="1094"/>
      <c r="B11" s="1094"/>
      <c r="C11" s="1094"/>
      <c r="D11" s="1094"/>
      <c r="E11" s="1094"/>
      <c r="F11" s="1094"/>
      <c r="G11" s="1094"/>
      <c r="H11" s="1094"/>
    </row>
    <row r="12" spans="1:10" ht="18.75" customHeight="1">
      <c r="E12" s="1095" t="s">
        <v>742</v>
      </c>
      <c r="F12" s="1096" t="s">
        <v>331</v>
      </c>
    </row>
    <row r="13" spans="1:10">
      <c r="E13" s="1097" t="s">
        <v>743</v>
      </c>
    </row>
    <row r="14" spans="1:10" ht="8.25" customHeight="1">
      <c r="E14" s="1098"/>
    </row>
    <row r="15" spans="1:10" ht="18.75" customHeight="1">
      <c r="A15" s="1099" t="s">
        <v>215</v>
      </c>
      <c r="B15" s="1100"/>
      <c r="C15" s="1101" t="s">
        <v>744</v>
      </c>
      <c r="D15" s="1100"/>
    </row>
    <row r="16" spans="1:10" ht="18.75" customHeight="1">
      <c r="A16" s="1102" t="s">
        <v>745</v>
      </c>
      <c r="B16" s="1091"/>
      <c r="C16" s="1091"/>
      <c r="D16" s="1091"/>
      <c r="E16" s="1100"/>
      <c r="F16" s="1100"/>
      <c r="G16" s="1100"/>
      <c r="H16" s="1100"/>
      <c r="I16" s="1100"/>
      <c r="J16" s="1100"/>
    </row>
    <row r="17" spans="1:10" ht="18.75" customHeight="1">
      <c r="A17" s="1100"/>
      <c r="B17" s="1100"/>
      <c r="C17" s="1100"/>
      <c r="D17" s="1100"/>
      <c r="E17" s="1100"/>
      <c r="F17" s="1100"/>
      <c r="G17" s="1100"/>
      <c r="H17" s="1100"/>
      <c r="I17" s="1100"/>
      <c r="J17" s="1100"/>
    </row>
    <row r="18" spans="1:10" ht="18.75" customHeight="1">
      <c r="A18" s="1088" t="s">
        <v>746</v>
      </c>
    </row>
    <row r="19" spans="1:10" ht="18.75" customHeight="1">
      <c r="A19" s="1102" t="s">
        <v>747</v>
      </c>
      <c r="G19" s="2285" t="s">
        <v>125</v>
      </c>
      <c r="H19" s="2285"/>
      <c r="I19" s="2285"/>
      <c r="J19" s="2285"/>
    </row>
    <row r="20" spans="1:10" ht="18.75" customHeight="1">
      <c r="A20" s="2286" t="s">
        <v>126</v>
      </c>
      <c r="B20" s="2286"/>
      <c r="C20" s="2286"/>
      <c r="D20" s="2286"/>
      <c r="E20" s="2286"/>
      <c r="F20" s="2286"/>
      <c r="G20" s="2286"/>
      <c r="H20" s="2286"/>
      <c r="I20" s="2286"/>
      <c r="J20" s="2286"/>
    </row>
    <row r="21" spans="1:10" ht="18.75" customHeight="1">
      <c r="A21" s="1102" t="s">
        <v>748</v>
      </c>
      <c r="E21" s="1103"/>
      <c r="G21" s="1104"/>
      <c r="H21" s="1105"/>
      <c r="I21" s="1106"/>
      <c r="J21" s="1105"/>
    </row>
    <row r="22" spans="1:10" ht="18.75" customHeight="1">
      <c r="A22" s="2286" t="s">
        <v>3</v>
      </c>
      <c r="B22" s="2286"/>
      <c r="C22" s="2286"/>
      <c r="D22" s="2286"/>
      <c r="E22" s="2286"/>
      <c r="F22" s="2286"/>
      <c r="G22" s="2287" t="s">
        <v>1</v>
      </c>
      <c r="H22" s="2287"/>
      <c r="I22" s="2287"/>
      <c r="J22" s="2287"/>
    </row>
    <row r="23" spans="1:10" ht="18.75" customHeight="1">
      <c r="G23"/>
    </row>
    <row r="24" spans="1:10" ht="18.75" customHeight="1">
      <c r="A24" s="1102" t="s">
        <v>749</v>
      </c>
      <c r="B24" s="1092"/>
      <c r="C24" s="1091"/>
    </row>
    <row r="25" spans="1:10" ht="18.75" customHeight="1">
      <c r="A25" s="1100"/>
      <c r="B25" s="1100"/>
      <c r="C25" s="1100"/>
      <c r="D25" s="1100"/>
      <c r="E25" s="1100"/>
      <c r="F25" s="1100"/>
      <c r="G25" s="1100"/>
      <c r="H25" s="1100"/>
      <c r="I25" s="1100"/>
      <c r="J25" s="1100"/>
    </row>
    <row r="26" spans="1:10" ht="8.25" customHeight="1">
      <c r="A26" s="2283" t="s">
        <v>750</v>
      </c>
      <c r="B26" s="2283"/>
      <c r="C26" s="2283"/>
      <c r="D26" s="2283"/>
      <c r="E26" s="2283"/>
      <c r="F26" s="2283"/>
      <c r="G26" s="2283"/>
      <c r="H26" s="2283"/>
      <c r="I26" s="2283"/>
      <c r="J26" s="2283"/>
    </row>
    <row r="27" spans="1:10" ht="10.5" customHeight="1">
      <c r="A27" s="1107"/>
      <c r="B27" s="1107"/>
      <c r="C27" s="1107"/>
      <c r="D27" s="1107"/>
      <c r="E27" s="1107"/>
      <c r="F27" s="1107"/>
      <c r="G27" s="1107"/>
      <c r="H27" s="1107"/>
      <c r="I27" s="1107"/>
      <c r="J27" s="1107"/>
    </row>
    <row r="28" spans="1:10" ht="18.75" customHeight="1">
      <c r="A28" s="1107"/>
      <c r="B28" s="1107"/>
      <c r="C28" s="1107"/>
      <c r="D28" s="1107"/>
      <c r="E28" s="1107"/>
      <c r="F28" s="1107"/>
      <c r="G28" s="1107"/>
      <c r="H28" s="1107"/>
      <c r="I28" s="1107"/>
      <c r="J28" s="1107"/>
    </row>
    <row r="29" spans="1:10" ht="8.25" customHeight="1">
      <c r="H29" s="1091"/>
    </row>
    <row r="30" spans="1:10" ht="18.75" customHeight="1">
      <c r="A30" s="1102" t="s">
        <v>324</v>
      </c>
      <c r="D30" s="1108"/>
      <c r="E30" s="1100"/>
    </row>
    <row r="31" spans="1:10" ht="8.25" customHeight="1">
      <c r="A31" s="1102"/>
      <c r="D31" s="2283" t="s">
        <v>64</v>
      </c>
      <c r="E31" s="2283"/>
      <c r="F31" s="2283"/>
      <c r="G31" s="2283"/>
    </row>
    <row r="32" spans="1:10" ht="18.75" customHeight="1">
      <c r="A32" s="1102" t="s">
        <v>300</v>
      </c>
      <c r="D32" s="1108"/>
      <c r="E32" s="1100"/>
    </row>
    <row r="33" spans="1:10" ht="8.25" customHeight="1">
      <c r="D33" s="2283" t="s">
        <v>64</v>
      </c>
      <c r="E33" s="2283"/>
      <c r="F33" s="2283"/>
      <c r="G33" s="2283"/>
    </row>
    <row r="34" spans="1:10" ht="18.75" customHeight="1">
      <c r="A34" s="1102" t="s">
        <v>325</v>
      </c>
      <c r="B34" s="1091"/>
      <c r="C34" s="1091"/>
      <c r="D34" s="1091"/>
      <c r="E34" s="1091"/>
      <c r="F34" s="1091"/>
      <c r="G34" s="1091"/>
      <c r="H34" s="1091"/>
      <c r="I34" s="1091"/>
      <c r="J34" s="1091"/>
    </row>
    <row r="35" spans="1:10" ht="18.75" customHeight="1">
      <c r="A35" s="1100"/>
      <c r="B35" s="1100"/>
      <c r="C35" s="1100"/>
      <c r="D35" s="1100"/>
      <c r="E35" s="1100"/>
      <c r="F35" s="1100"/>
      <c r="G35" s="1109"/>
      <c r="H35" s="1100"/>
      <c r="I35" s="1100"/>
      <c r="J35" s="1100"/>
    </row>
    <row r="36" spans="1:10" ht="8.25" customHeight="1">
      <c r="A36" s="1110"/>
      <c r="B36" s="1110"/>
      <c r="C36" s="1110"/>
      <c r="D36" s="2283" t="s">
        <v>751</v>
      </c>
      <c r="E36" s="2283"/>
      <c r="F36" s="2283"/>
      <c r="G36" s="2283"/>
      <c r="H36" s="1110"/>
      <c r="I36" s="1110"/>
      <c r="J36" s="1110"/>
    </row>
    <row r="37" spans="1:10" ht="10.5" customHeight="1">
      <c r="A37" s="1100"/>
      <c r="B37" s="1100"/>
      <c r="C37" s="1100"/>
      <c r="D37" s="1100"/>
      <c r="E37" s="1100"/>
      <c r="F37" s="1100"/>
      <c r="G37" s="1100"/>
      <c r="H37" s="1100"/>
      <c r="I37" s="1100"/>
      <c r="J37" s="1100"/>
    </row>
    <row r="38" spans="1:10" ht="8.25" customHeight="1">
      <c r="D38" s="2283" t="s">
        <v>752</v>
      </c>
      <c r="E38" s="2283"/>
      <c r="F38" s="2283"/>
      <c r="G38" s="2283"/>
    </row>
    <row r="39" spans="1:10" ht="18.75" customHeight="1">
      <c r="A39" s="1088" t="s">
        <v>301</v>
      </c>
      <c r="F39" s="1100"/>
      <c r="G39" s="1100"/>
      <c r="H39" s="1100"/>
      <c r="I39" s="1100"/>
      <c r="J39" s="1100"/>
    </row>
    <row r="40" spans="1:10" ht="18.75" customHeight="1">
      <c r="A40" s="1100"/>
      <c r="B40" s="1100"/>
      <c r="C40" s="1100"/>
      <c r="D40" s="1100"/>
      <c r="E40" s="1100"/>
      <c r="F40" s="1102" t="s">
        <v>753</v>
      </c>
      <c r="G40" s="1111"/>
      <c r="H40" s="1105"/>
      <c r="I40" s="1105"/>
      <c r="J40" s="1088" t="s">
        <v>85</v>
      </c>
    </row>
    <row r="41" spans="1:10" ht="18.75" customHeight="1"/>
    <row r="42" spans="1:10" ht="18.75" customHeight="1">
      <c r="A42" s="1102" t="s">
        <v>303</v>
      </c>
      <c r="C42" s="1100"/>
      <c r="D42" s="1100"/>
      <c r="E42" s="1100"/>
      <c r="F42" s="1100"/>
      <c r="G42" s="1100"/>
    </row>
    <row r="45" spans="1:10">
      <c r="H45" s="1112"/>
    </row>
  </sheetData>
  <mergeCells count="11">
    <mergeCell ref="A9:H9"/>
    <mergeCell ref="A10:H10"/>
    <mergeCell ref="G19:J19"/>
    <mergeCell ref="A20:J20"/>
    <mergeCell ref="A22:F22"/>
    <mergeCell ref="G22:J22"/>
    <mergeCell ref="A26:J26"/>
    <mergeCell ref="D31:G31"/>
    <mergeCell ref="D33:G33"/>
    <mergeCell ref="D36:G36"/>
    <mergeCell ref="D38:G38"/>
  </mergeCells>
  <pageMargins left="0.62992125984251968" right="0.23622047244094491" top="0.74803149606299213" bottom="0.74803149606299213" header="0.31496062992125984" footer="0.31496062992125984"/>
  <pageSetup paperSize="9" scale="95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51</vt:i4>
      </vt:variant>
      <vt:variant>
        <vt:lpstr>Именованные диапазоны</vt:lpstr>
      </vt:variant>
      <vt:variant>
        <vt:i4>980</vt:i4>
      </vt:variant>
    </vt:vector>
  </HeadingPairs>
  <TitlesOfParts>
    <vt:vector size="1031" baseType="lpstr">
      <vt:lpstr>Gal_TblSheet</vt:lpstr>
      <vt:lpstr>Gal_VarSheet</vt:lpstr>
      <vt:lpstr>ИНВ-3-Транснефть</vt:lpstr>
      <vt:lpstr>ИНВ-3</vt:lpstr>
      <vt:lpstr>ИНВ-3b-dei</vt:lpstr>
      <vt:lpstr>ИНВ-3b</vt:lpstr>
      <vt:lpstr>ИНВ-3_</vt:lpstr>
      <vt:lpstr>FO</vt:lpstr>
      <vt:lpstr>FOb</vt:lpstr>
      <vt:lpstr>FO2_dei</vt:lpstr>
      <vt:lpstr>FO2</vt:lpstr>
      <vt:lpstr>ИНВ-19-Транснефть</vt:lpstr>
      <vt:lpstr>ИНВ-19</vt:lpstr>
      <vt:lpstr>ИНВ-16-dei</vt:lpstr>
      <vt:lpstr>ИНВ-16</vt:lpstr>
      <vt:lpstr>ИНВ-19_</vt:lpstr>
      <vt:lpstr>itog</vt:lpstr>
      <vt:lpstr>itog1</vt:lpstr>
      <vt:lpstr>itog3</vt:lpstr>
      <vt:lpstr>itog2</vt:lpstr>
      <vt:lpstr>itog16b</vt:lpstr>
      <vt:lpstr>итог</vt:lpstr>
      <vt:lpstr>итог_ЦУ</vt:lpstr>
      <vt:lpstr>итог2</vt:lpstr>
      <vt:lpstr>СлВед_Нефин</vt:lpstr>
      <vt:lpstr>СлВед_Нефин2</vt:lpstr>
      <vt:lpstr>СлВед_Нефин3</vt:lpstr>
      <vt:lpstr>Prikaz_rus</vt:lpstr>
      <vt:lpstr>Инв-16-1</vt:lpstr>
      <vt:lpstr>Инв-16-2</vt:lpstr>
      <vt:lpstr>ИНВ-16-3</vt:lpstr>
      <vt:lpstr>ИНВ-16-1r-Транснефть</vt:lpstr>
      <vt:lpstr>ИНВ-16-1r</vt:lpstr>
      <vt:lpstr>Инв-16-2r</vt:lpstr>
      <vt:lpstr>ИНВ-16-3r</vt:lpstr>
      <vt:lpstr>ИНВ-13_2</vt:lpstr>
      <vt:lpstr>ИНВ-13_Vol</vt:lpstr>
      <vt:lpstr>ИНВ-13</vt:lpstr>
      <vt:lpstr>инв5_1</vt:lpstr>
      <vt:lpstr>инв5_2</vt:lpstr>
      <vt:lpstr>инв5</vt:lpstr>
      <vt:lpstr>Форма 401</vt:lpstr>
      <vt:lpstr>Акт_инв</vt:lpstr>
      <vt:lpstr>0504092</vt:lpstr>
      <vt:lpstr>ИНВ-6</vt:lpstr>
      <vt:lpstr>ИНВ-6-2</vt:lpstr>
      <vt:lpstr>ОП-15</vt:lpstr>
      <vt:lpstr>инв10_1b</vt:lpstr>
      <vt:lpstr>инв10_2b</vt:lpstr>
      <vt:lpstr>инв10b</vt:lpstr>
      <vt:lpstr>Prikaz_bel</vt:lpstr>
      <vt:lpstr>Gal_TblSheet!GalDBTbl_Commission</vt:lpstr>
      <vt:lpstr>Gal_TblSheet!GalDBTbl_Tabpxl</vt:lpstr>
      <vt:lpstr>Gal_TblSheet!GalDBTblFld_AktPrD</vt:lpstr>
      <vt:lpstr>Gal_TblSheet!GalDBTblFld_AktPriemk</vt:lpstr>
      <vt:lpstr>Gal_TblSheet!GalDBTblFld_AktPrN</vt:lpstr>
      <vt:lpstr>Gal_TblSheet!GalDBTblFld_BarKo_Arr1N</vt:lpstr>
      <vt:lpstr>Gal_TblSheet!GalDBTblFld_BarKod2</vt:lpstr>
      <vt:lpstr>Gal_TblSheet!GalDBTblFld_datap</vt:lpstr>
      <vt:lpstr>Gal_TblSheet!GalDBTblFld_DateOtg</vt:lpstr>
      <vt:lpstr>Gal_TblSheet!GalDBTblFld_De_Arr1N</vt:lpstr>
      <vt:lpstr>Gal_TblSheet!GalDBTblFld_Dei1</vt:lpstr>
      <vt:lpstr>Gal_TblSheet!GalDBTblFld_Dei2</vt:lpstr>
      <vt:lpstr>Gal_TblSheet!GalDBTblFld_Dei3</vt:lpstr>
      <vt:lpstr>Gal_TblSheet!GalDBTblFld_Dei4</vt:lpstr>
      <vt:lpstr>Gal_TblSheet!GalDBTblFld_DocDate</vt:lpstr>
      <vt:lpstr>Gal_TblSheet!GalDBTblFld_DocKol</vt:lpstr>
      <vt:lpstr>Gal_TblSheet!GalDBTblFld_DocName</vt:lpstr>
      <vt:lpstr>Gal_TblSheet!GalDBTblFld_DocNum</vt:lpstr>
      <vt:lpstr>Gal_TblSheet!GalDBTblFld_DocSum</vt:lpstr>
      <vt:lpstr>Gal_TblSheet!GalDBTblFld_KA_Arr1N</vt:lpstr>
      <vt:lpstr>Gal_TblSheet!GalDBTblFld_KAU0</vt:lpstr>
      <vt:lpstr>Gal_TblSheet!GalDBTblFld_KAU1</vt:lpstr>
      <vt:lpstr>Gal_TblSheet!GalDBTblFld_KAU10</vt:lpstr>
      <vt:lpstr>Gal_TblSheet!GalDBTblFld_KAU2</vt:lpstr>
      <vt:lpstr>Gal_TblSheet!GalDBTblFld_KAU3</vt:lpstr>
      <vt:lpstr>Gal_TblSheet!GalDBTblFld_KAU4</vt:lpstr>
      <vt:lpstr>Gal_TblSheet!GalDBTblFld_KAU5</vt:lpstr>
      <vt:lpstr>Gal_TblSheet!GalDBTblFld_KAU6</vt:lpstr>
      <vt:lpstr>Gal_TblSheet!GalDBTblFld_KAU7</vt:lpstr>
      <vt:lpstr>Gal_TblSheet!GalDBTblFld_KAU8</vt:lpstr>
      <vt:lpstr>Gal_TblSheet!GalDBTblFld_KAU9</vt:lpstr>
      <vt:lpstr>Gal_TblSheet!GalDBTblFld_KAUALL</vt:lpstr>
      <vt:lpstr>Gal_TblSheet!GalDBTblFld_mesto</vt:lpstr>
      <vt:lpstr>Gal_TblSheet!GalDBTblFld_OrgName</vt:lpstr>
      <vt:lpstr>Gal_TblSheet!GalDBTblFld_OrgOKPO</vt:lpstr>
      <vt:lpstr>Gal_TblSheet!GalDBTblFld_PeresIzl_Kol</vt:lpstr>
      <vt:lpstr>Gal_TblSheet!GalDBTblFld_PeresIzl_NP_Arr1N</vt:lpstr>
      <vt:lpstr>Gal_TblSheet!GalDBTblFld_PeresIzl_NPP</vt:lpstr>
      <vt:lpstr>Gal_TblSheet!GalDBTblFld_PeresIzl_NPP1</vt:lpstr>
      <vt:lpstr>Gal_TblSheet!GalDBTblFld_PeresIzl_Sum</vt:lpstr>
      <vt:lpstr>Gal_TblSheet!GalDBTblFld_PeresNed_Kol</vt:lpstr>
      <vt:lpstr>Gal_TblSheet!GalDBTblFld_PeresNed_NP_Arr1N</vt:lpstr>
      <vt:lpstr>Gal_TblSheet!GalDBTblFld_PeresNed_NPP</vt:lpstr>
      <vt:lpstr>Gal_TblSheet!GalDBTblFld_PeresNed_NPP1</vt:lpstr>
      <vt:lpstr>Gal_TblSheet!GalDBTblFld_PeresNed_Sum</vt:lpstr>
      <vt:lpstr>Gal_TblSheet!GalDBTblFld_PlaceStor</vt:lpstr>
      <vt:lpstr>Gal_TblSheet!GalDBTblFld_SklDate</vt:lpstr>
      <vt:lpstr>Gal_TblSheet!GalDBTblFld_инвентарный</vt:lpstr>
      <vt:lpstr>Gal_TblSheet!GalDBTblFld_код</vt:lpstr>
      <vt:lpstr>Gal_TblSheet!GalDBTblFld_код_ОКЕЙ</vt:lpstr>
      <vt:lpstr>Gal_TblSheet!GalDBTblFld_Кол_изл</vt:lpstr>
      <vt:lpstr>Gal_TblSheet!GalDBTblFld_Кол_излА</vt:lpstr>
      <vt:lpstr>Gal_TblSheet!GalDBTblFld_Кол_нед</vt:lpstr>
      <vt:lpstr>Gal_TblSheet!GalDBTblFld_Кол_недА</vt:lpstr>
      <vt:lpstr>Gal_TblSheet!GalDBTblFld_количество</vt:lpstr>
      <vt:lpstr>Gal_TblSheet!GalDBTblFld_Констр_обознач</vt:lpstr>
      <vt:lpstr>Gal_TblSheet!GalDBTblFld_наименование</vt:lpstr>
      <vt:lpstr>Gal_TblSheet!GalDBTblFld_номер</vt:lpstr>
      <vt:lpstr>Gal_TblSheet!GalDBTblFld_номер_БСО</vt:lpstr>
      <vt:lpstr>Gal_TblSheet!GalDBTblFld_номер_серийный</vt:lpstr>
      <vt:lpstr>Gal_TblSheet!GalDBTblFld_объем</vt:lpstr>
      <vt:lpstr>Gal_TblSheet!GalDBTblFld_паспорта.</vt:lpstr>
      <vt:lpstr>Gal_TblSheet!GalDBTblFld_серия</vt:lpstr>
      <vt:lpstr>Gal_TblSheet!GalDBTblFld_сумма</vt:lpstr>
      <vt:lpstr>Gal_TblSheet!GalDBTblFld_Сумма_изл</vt:lpstr>
      <vt:lpstr>Gal_TblSheet!GalDBTblFld_Сумма_излА</vt:lpstr>
      <vt:lpstr>Gal_TblSheet!GalDBTblFld_Сумма_излИ</vt:lpstr>
      <vt:lpstr>Gal_TblSheet!GalDBTblFld_Сумма_нед</vt:lpstr>
      <vt:lpstr>Gal_TblSheet!GalDBTblFld_Сумма_недА</vt:lpstr>
      <vt:lpstr>Gal_TblSheet!GalDBTblFld_Сумма_недИ</vt:lpstr>
      <vt:lpstr>Gal_TblSheet!GalDBTblFld_счет</vt:lpstr>
      <vt:lpstr>Gal_TblSheet!GalDBTblFld_Счет_излА</vt:lpstr>
      <vt:lpstr>Gal_TblSheet!GalDBTblFld_ф_количество</vt:lpstr>
      <vt:lpstr>Gal_TblSheet!GalDBTblFld_ф_сумма</vt:lpstr>
      <vt:lpstr>Gal_TblSheet!GalDBTblFld_характеристика</vt:lpstr>
      <vt:lpstr>Gal_TblSheet!GalDBTblFld_цена</vt:lpstr>
      <vt:lpstr>Gal_TblSheet!GalDBTblFld_Член_комиссии_nRec</vt:lpstr>
      <vt:lpstr>Gal_TblSheet!GalDBTblFld_Член_комиссии_Должность</vt:lpstr>
      <vt:lpstr>Gal_TblSheet!GalDBTblFld_Член_комиссии_Табельный_Номер</vt:lpstr>
      <vt:lpstr>Gal_TblSheet!GalDBTblFld_Член_комиссии_ФИО</vt:lpstr>
      <vt:lpstr>Gal_TblSheet!GalDBTblFld_ячейка</vt:lpstr>
      <vt:lpstr>Gal_TblSheet!GalDBTblFld_ячейка_ссылка</vt:lpstr>
      <vt:lpstr>Gal_VarSheet!GalDBVar_barcode</vt:lpstr>
      <vt:lpstr>Gal_VarSheet!GalDBVar_Boss</vt:lpstr>
      <vt:lpstr>Gal_VarSheet!GalDBVar_CommonFormHeader</vt:lpstr>
      <vt:lpstr>Gal_VarSheet!GalDBVar_data_d</vt:lpstr>
      <vt:lpstr>Gal_VarSheet!GalDBVar_data_d_end</vt:lpstr>
      <vt:lpstr>Gal_VarSheet!GalDBVar_data_d_prik</vt:lpstr>
      <vt:lpstr>Gal_VarSheet!GalDBVar_data_m</vt:lpstr>
      <vt:lpstr>Gal_VarSheet!GalDBVar_data_m_end</vt:lpstr>
      <vt:lpstr>Gal_VarSheet!GalDBVar_data_m_prik</vt:lpstr>
      <vt:lpstr>Gal_VarSheet!GalDBVar_data_y</vt:lpstr>
      <vt:lpstr>Gal_VarSheet!GalDBVar_data_y_end</vt:lpstr>
      <vt:lpstr>Gal_VarSheet!GalDBVar_data_y_prik</vt:lpstr>
      <vt:lpstr>Gal_VarSheet!GalDBVar_DateRep</vt:lpstr>
      <vt:lpstr>Gal_VarSheet!GalDBVar_edin_prop</vt:lpstr>
      <vt:lpstr>Gal_VarSheet!GalDBVar_kol_list</vt:lpstr>
      <vt:lpstr>Gal_VarSheet!GalDBVar_MainBuh</vt:lpstr>
      <vt:lpstr>Gal_VarSheet!GalDBVar_Name_org</vt:lpstr>
      <vt:lpstr>Gal_VarSheet!GalDBVar_poryad_nom</vt:lpstr>
      <vt:lpstr>Gal_VarSheet!GalDBVar_SimvVal</vt:lpstr>
      <vt:lpstr>Gal_VarSheet!GalDBVar_SimvValK</vt:lpstr>
      <vt:lpstr>Gal_VarSheet!GalDBVar_SimvValR</vt:lpstr>
      <vt:lpstr>Gal_VarSheet!GalDBVar_tip_num</vt:lpstr>
      <vt:lpstr>Gal_VarSheet!GalDBVar_Title</vt:lpstr>
      <vt:lpstr>Gal_VarSheet!GalDBVar_TitlRu_Arr1N</vt:lpstr>
      <vt:lpstr>Gal_VarSheet!GalDBVar_TitlRus</vt:lpstr>
      <vt:lpstr>Gal_VarSheet!GalDBVar_TitlRus1</vt:lpstr>
      <vt:lpstr>Gal_VarSheet!GalDBVar_UserReport</vt:lpstr>
      <vt:lpstr>Gal_VarSheet!GalDBVar_vsego_fkol</vt:lpstr>
      <vt:lpstr>Gal_VarSheet!GalDBVar_vsego_fsum</vt:lpstr>
      <vt:lpstr>Gal_VarSheet!GalDBVar_vsego_kol</vt:lpstr>
      <vt:lpstr>Gal_VarSheet!GalDBVar_vsego_sum</vt:lpstr>
      <vt:lpstr>Gal_VarSheet!GalDBVar_vsego_zap</vt:lpstr>
      <vt:lpstr>Gal_VarSheet!GalDBVar_Дата_Инвента_Arr1N</vt:lpstr>
      <vt:lpstr>Gal_VarSheet!GalDBVar_Дата_Инвентар</vt:lpstr>
      <vt:lpstr>Gal_VarSheet!GalDBVar_Дата_Инвентар1</vt:lpstr>
      <vt:lpstr>Gal_VarSheet!GalDBVar_Дата_начала_Инв</vt:lpstr>
      <vt:lpstr>Gal_VarSheet!GalDBVar_Дата_Оконч_Инв</vt:lpstr>
      <vt:lpstr>Gal_VarSheet!GalDBVar_Дата_Оконч_Инв_Тип_Дата</vt:lpstr>
      <vt:lpstr>Gal_VarSheet!GalDBVar_Дата_Приказ_Arr1N</vt:lpstr>
      <vt:lpstr>Gal_VarSheet!GalDBVar_Дата_Приказа</vt:lpstr>
      <vt:lpstr>Gal_VarSheet!GalDBVar_Дата_Приказа1</vt:lpstr>
      <vt:lpstr>Gal_VarSheet!GalDBVar_Дата_составления</vt:lpstr>
      <vt:lpstr>Gal_VarSheet!GalDBVar_Итог_по_стр</vt:lpstr>
      <vt:lpstr>Gal_VarSheet!GalDBVar_Кол_симв</vt:lpstr>
      <vt:lpstr>Gal_VarSheet!GalDBVar_МО_Arr1N</vt:lpstr>
      <vt:lpstr>Gal_VarSheet!GalDBVar_МОЛ</vt:lpstr>
      <vt:lpstr>Gal_VarSheet!GalDBVar_МОЛ_Долж_Arr1N</vt:lpstr>
      <vt:lpstr>Gal_VarSheet!GalDBVar_МОЛ_Должн</vt:lpstr>
      <vt:lpstr>Gal_VarSheet!GalDBVar_МОЛ_Должн1</vt:lpstr>
      <vt:lpstr>Gal_VarSheet!GalDBVar_МОЛ_ФИО_Долж</vt:lpstr>
      <vt:lpstr>Gal_VarSheet!GalDBVar_МОЛ1</vt:lpstr>
      <vt:lpstr>Gal_VarSheet!GalDBVar_номер_OKPO</vt:lpstr>
      <vt:lpstr>Gal_VarSheet!GalDBVar_Номер_Инвентар</vt:lpstr>
      <vt:lpstr>Gal_VarSheet!GalDBVar_Номер_Приказа</vt:lpstr>
      <vt:lpstr>Gal_VarSheet!GalDBVar_По_состоянию_на</vt:lpstr>
      <vt:lpstr>Gal_VarSheet!GalDBVar_Склад</vt:lpstr>
      <vt:lpstr>Gal_VarSheet!GalDBVar_Склад_КОД</vt:lpstr>
      <vt:lpstr>Gal_VarSheet!GalDBVar_сум_проп</vt:lpstr>
      <vt:lpstr>Gal_VarSheet!GalDBVar_Тип_отчета</vt:lpstr>
      <vt:lpstr>Gal_VarSheet!GalDBVar_Факт_Кол</vt:lpstr>
      <vt:lpstr>Prikaz_bel!GalRepTbl_Commission</vt:lpstr>
      <vt:lpstr>Prikaz_rus!GalRepTbl_Commission</vt:lpstr>
      <vt:lpstr>Акт_инв!GalRepTbl_Commission</vt:lpstr>
      <vt:lpstr>инв10_2b!GalRepTbl_Commission</vt:lpstr>
      <vt:lpstr>'ИНВ-13'!GalRepTbl_Commission</vt:lpstr>
      <vt:lpstr>'ИНВ-13_Vol'!GalRepTbl_Commission</vt:lpstr>
      <vt:lpstr>'ИНВ-16-3'!GalRepTbl_Commission</vt:lpstr>
      <vt:lpstr>'ИНВ-16-3r'!GalRepTbl_Commission</vt:lpstr>
      <vt:lpstr>'ИНВ-3'!GalRepTbl_Commission</vt:lpstr>
      <vt:lpstr>'ИНВ-3_'!GalRepTbl_Commission</vt:lpstr>
      <vt:lpstr>'ИНВ-3b'!GalRepTbl_Commission</vt:lpstr>
      <vt:lpstr>'ИНВ-3b-dei'!GalRepTbl_Commission</vt:lpstr>
      <vt:lpstr>'ИНВ-3-Транснефть'!GalRepTbl_Commission</vt:lpstr>
      <vt:lpstr>инв5_2!GalRepTbl_Commission</vt:lpstr>
      <vt:lpstr>'ИНВ-6'!GalRepTbl_Commission</vt:lpstr>
      <vt:lpstr>'ОП-15'!GalRepTbl_Commission</vt:lpstr>
      <vt:lpstr>СлВед_Нефин3!GalRepTbl_Commission</vt:lpstr>
      <vt:lpstr>'0504092'!GalRepTbl_Tabpxl</vt:lpstr>
      <vt:lpstr>инв10_2b!GalRepTbl_Tabpxl</vt:lpstr>
      <vt:lpstr>'ИНВ-13'!GalRepTbl_Tabpxl</vt:lpstr>
      <vt:lpstr>'ИНВ-13_Vol'!GalRepTbl_Tabpxl</vt:lpstr>
      <vt:lpstr>'ИНВ-16'!GalRepTbl_Tabpxl</vt:lpstr>
      <vt:lpstr>'Инв-16-2'!GalRepTbl_Tabpxl</vt:lpstr>
      <vt:lpstr>'Инв-16-2r'!GalRepTbl_Tabpxl</vt:lpstr>
      <vt:lpstr>'ИНВ-16-dei'!GalRepTbl_Tabpxl</vt:lpstr>
      <vt:lpstr>'ИНВ-19'!GalRepTbl_Tabpxl</vt:lpstr>
      <vt:lpstr>'ИНВ-19_'!GalRepTbl_Tabpxl</vt:lpstr>
      <vt:lpstr>'ИНВ-19-Транснефть'!GalRepTbl_Tabpxl</vt:lpstr>
      <vt:lpstr>'ИНВ-3'!GalRepTbl_Tabpxl</vt:lpstr>
      <vt:lpstr>'ИНВ-3_'!GalRepTbl_Tabpxl</vt:lpstr>
      <vt:lpstr>'ИНВ-3b'!GalRepTbl_Tabpxl</vt:lpstr>
      <vt:lpstr>'ИНВ-3b-dei'!GalRepTbl_Tabpxl</vt:lpstr>
      <vt:lpstr>'ИНВ-3-Транснефть'!GalRepTbl_Tabpxl</vt:lpstr>
      <vt:lpstr>инв5_2!GalRepTbl_Tabpxl</vt:lpstr>
      <vt:lpstr>'ИНВ-6'!GalRepTbl_Tabpxl</vt:lpstr>
      <vt:lpstr>итог!GalRepTbl_Tabpxl</vt:lpstr>
      <vt:lpstr>итог_ЦУ!GalRepTbl_Tabpxl</vt:lpstr>
      <vt:lpstr>итог2!GalRepTbl_Tabpxl</vt:lpstr>
      <vt:lpstr>'ОП-15'!GalRepTbl_Tabpxl</vt:lpstr>
      <vt:lpstr>СлВед_Нефин2!GalRepTbl_Tabpxl</vt:lpstr>
      <vt:lpstr>'Форма 401'!GalRepTbl_Tabpxl</vt:lpstr>
      <vt:lpstr>инв5_2!GalRepTblFld_AktPrD</vt:lpstr>
      <vt:lpstr>инв5_2!GalRepTblFld_AktPriemk</vt:lpstr>
      <vt:lpstr>инв5_2!GalRepTblFld_AktPrN</vt:lpstr>
      <vt:lpstr>инв10_2b!GalRepTblFld_DateOtg</vt:lpstr>
      <vt:lpstr>'ИНВ-6'!GalRepTblFld_DateOtg</vt:lpstr>
      <vt:lpstr>'ИНВ-16-dei'!GalRepTblFld_Dei1</vt:lpstr>
      <vt:lpstr>'ИНВ-19_'!GalRepTblFld_Dei1</vt:lpstr>
      <vt:lpstr>'ИНВ-3_'!GalRepTblFld_Dei1</vt:lpstr>
      <vt:lpstr>'ИНВ-3b-dei'!GalRepTblFld_Dei1</vt:lpstr>
      <vt:lpstr>итог2!GalRepTblFld_Dei1</vt:lpstr>
      <vt:lpstr>'ИНВ-16-dei'!GalRepTblFld_Dei2</vt:lpstr>
      <vt:lpstr>'ИНВ-19_'!GalRepTblFld_Dei2</vt:lpstr>
      <vt:lpstr>'ИНВ-3_'!GalRepTblFld_Dei2</vt:lpstr>
      <vt:lpstr>'ИНВ-3b-dei'!GalRepTblFld_Dei2</vt:lpstr>
      <vt:lpstr>итог2!GalRepTblFld_Dei2</vt:lpstr>
      <vt:lpstr>'ИНВ-16-dei'!GalRepTblFld_Dei3</vt:lpstr>
      <vt:lpstr>'ИНВ-19_'!GalRepTblFld_Dei3</vt:lpstr>
      <vt:lpstr>'ИНВ-3_'!GalRepTblFld_Dei3</vt:lpstr>
      <vt:lpstr>'ИНВ-3b-dei'!GalRepTblFld_Dei3</vt:lpstr>
      <vt:lpstr>'ИНВ-16-dei'!GalRepTblFld_Dei4</vt:lpstr>
      <vt:lpstr>'ИНВ-19_'!GalRepTblFld_Dei4</vt:lpstr>
      <vt:lpstr>'ИНВ-3_'!GalRepTblFld_Dei4</vt:lpstr>
      <vt:lpstr>'ИНВ-3b-dei'!GalRepTblFld_Dei4</vt:lpstr>
      <vt:lpstr>инв10_2b!GalRepTblFld_DocDate</vt:lpstr>
      <vt:lpstr>'ИНВ-6'!GalRepTblFld_DocDate</vt:lpstr>
      <vt:lpstr>'ИНВ-6'!GalRepTblFld_DocKol</vt:lpstr>
      <vt:lpstr>инв10_2b!GalRepTblFld_DocName</vt:lpstr>
      <vt:lpstr>'ИНВ-6'!GalRepTblFld_DocName</vt:lpstr>
      <vt:lpstr>инв10_2b!GalRepTblFld_DocNum</vt:lpstr>
      <vt:lpstr>'ИНВ-6'!GalRepTblFld_DocNum</vt:lpstr>
      <vt:lpstr>'ИНВ-6'!GalRepTblFld_DocSum</vt:lpstr>
      <vt:lpstr>итог_ЦУ!GalRepTblFld_KAU0</vt:lpstr>
      <vt:lpstr>итог_ЦУ!GalRepTblFld_KAUALL</vt:lpstr>
      <vt:lpstr>инв10_2b!GalRepTblFld_mesto</vt:lpstr>
      <vt:lpstr>инв10_2b!GalRepTblFld_OrgName</vt:lpstr>
      <vt:lpstr>инв5_2!GalRepTblFld_OrgName</vt:lpstr>
      <vt:lpstr>'ИНВ-6'!GalRepTblFld_OrgName</vt:lpstr>
      <vt:lpstr>инв5_2!GalRepTblFld_OrgOKPO</vt:lpstr>
      <vt:lpstr>'ИНВ-6'!GalRepTblFld_OrgOKPO</vt:lpstr>
      <vt:lpstr>'ИНВ-16'!GalRepTblFld_PeresIzl_Kol</vt:lpstr>
      <vt:lpstr>'ИНВ-16-dei'!GalRepTblFld_PeresIzl_Kol</vt:lpstr>
      <vt:lpstr>'ИНВ-16'!GalRepTblFld_PeresIzl_NPP</vt:lpstr>
      <vt:lpstr>'ИНВ-16-dei'!GalRepTblFld_PeresIzl_NPP</vt:lpstr>
      <vt:lpstr>'ИНВ-16'!GalRepTblFld_PeresIzl_Sum</vt:lpstr>
      <vt:lpstr>'ИНВ-16-dei'!GalRepTblFld_PeresIzl_Sum</vt:lpstr>
      <vt:lpstr>'ИНВ-16'!GalRepTblFld_PeresNed_Kol</vt:lpstr>
      <vt:lpstr>'ИНВ-16-dei'!GalRepTblFld_PeresNed_Kol</vt:lpstr>
      <vt:lpstr>'ИНВ-16'!GalRepTblFld_PeresNed_NPP</vt:lpstr>
      <vt:lpstr>'ИНВ-16-dei'!GalRepTblFld_PeresNed_NPP</vt:lpstr>
      <vt:lpstr>'ИНВ-16'!GalRepTblFld_PeresNed_Sum</vt:lpstr>
      <vt:lpstr>'ИНВ-16-dei'!GalRepTblFld_PeresNed_Sum</vt:lpstr>
      <vt:lpstr>инв5_2!GalRepTblFld_PlaceStor</vt:lpstr>
      <vt:lpstr>инв5_2!GalRepTblFld_SklDate</vt:lpstr>
      <vt:lpstr>'ИНВ-19'!GalRepTblFld_инвентарный</vt:lpstr>
      <vt:lpstr>'ИНВ-19_'!GalRepTblFld_инвентарный</vt:lpstr>
      <vt:lpstr>'ИНВ-19-Транснефть'!GalRepTblFld_инвентарный</vt:lpstr>
      <vt:lpstr>'ИНВ-3'!GalRepTblFld_инвентарный</vt:lpstr>
      <vt:lpstr>'ИНВ-3_'!GalRepTblFld_инвентарный</vt:lpstr>
      <vt:lpstr>'ИНВ-3-Транснефть'!GalRepTblFld_инвентарный</vt:lpstr>
      <vt:lpstr>СлВед_Нефин2!GalRepTblFld_инвентарный</vt:lpstr>
      <vt:lpstr>'0504092'!GalRepTblFld_код</vt:lpstr>
      <vt:lpstr>инв10_2b!GalRepTblFld_код</vt:lpstr>
      <vt:lpstr>'ИНВ-13'!GalRepTblFld_код</vt:lpstr>
      <vt:lpstr>'ИНВ-13_Vol'!GalRepTblFld_код</vt:lpstr>
      <vt:lpstr>'ИНВ-16'!GalRepTblFld_код</vt:lpstr>
      <vt:lpstr>'Инв-16-2'!GalRepTblFld_код</vt:lpstr>
      <vt:lpstr>'Инв-16-2r'!GalRepTblFld_код</vt:lpstr>
      <vt:lpstr>'ИНВ-16-dei'!GalRepTblFld_код</vt:lpstr>
      <vt:lpstr>'ИНВ-19'!GalRepTblFld_код</vt:lpstr>
      <vt:lpstr>'ИНВ-19_'!GalRepTblFld_код</vt:lpstr>
      <vt:lpstr>'ИНВ-19-Транснефть'!GalRepTblFld_код</vt:lpstr>
      <vt:lpstr>'ИНВ-3'!GalRepTblFld_код</vt:lpstr>
      <vt:lpstr>'ИНВ-3_'!GalRepTblFld_код</vt:lpstr>
      <vt:lpstr>'ИНВ-3b'!GalRepTblFld_код</vt:lpstr>
      <vt:lpstr>'ИНВ-3b-dei'!GalRepTblFld_код</vt:lpstr>
      <vt:lpstr>'ИНВ-3-Транснефть'!GalRepTblFld_код</vt:lpstr>
      <vt:lpstr>инв5_2!GalRepTblFld_код</vt:lpstr>
      <vt:lpstr>'ИНВ-6'!GalRepTblFld_код</vt:lpstr>
      <vt:lpstr>итог!GalRepTblFld_код</vt:lpstr>
      <vt:lpstr>итог_ЦУ!GalRepTblFld_код</vt:lpstr>
      <vt:lpstr>итог2!GalRepTblFld_код</vt:lpstr>
      <vt:lpstr>'ОП-15'!GalRepTblFld_код</vt:lpstr>
      <vt:lpstr>'Форма 401'!GalRepTblFld_код</vt:lpstr>
      <vt:lpstr>'Инв-16-2'!GalRepTblFld_код_ОКЕЙ</vt:lpstr>
      <vt:lpstr>'Инв-16-2r'!GalRepTblFld_код_ОКЕЙ</vt:lpstr>
      <vt:lpstr>'ИНВ-19'!GalRepTblFld_код_ОКЕЙ</vt:lpstr>
      <vt:lpstr>'ИНВ-19_'!GalRepTblFld_код_ОКЕЙ</vt:lpstr>
      <vt:lpstr>'ИНВ-19-Транснефть'!GalRepTblFld_код_ОКЕЙ</vt:lpstr>
      <vt:lpstr>'ИНВ-3'!GalRepTblFld_код_ОКЕЙ</vt:lpstr>
      <vt:lpstr>'ИНВ-3_'!GalRepTblFld_код_ОКЕЙ</vt:lpstr>
      <vt:lpstr>'ИНВ-3-Транснефть'!GalRepTblFld_код_ОКЕЙ</vt:lpstr>
      <vt:lpstr>инв5_2!GalRepTblFld_код_ОКЕЙ</vt:lpstr>
      <vt:lpstr>'ИНВ-6'!GalRepTblFld_код_ОКЕЙ</vt:lpstr>
      <vt:lpstr>'ОП-15'!GalRepTblFld_код_ОКЕЙ</vt:lpstr>
      <vt:lpstr>'0504092'!GalRepTblFld_Кол_изл</vt:lpstr>
      <vt:lpstr>'ИНВ-13'!GalRepTblFld_Кол_изл</vt:lpstr>
      <vt:lpstr>'ИНВ-13_Vol'!GalRepTblFld_Кол_изл</vt:lpstr>
      <vt:lpstr>'ИНВ-16'!GalRepTblFld_Кол_изл</vt:lpstr>
      <vt:lpstr>'Инв-16-2'!GalRepTblFld_Кол_изл</vt:lpstr>
      <vt:lpstr>'Инв-16-2r'!GalRepTblFld_Кол_изл</vt:lpstr>
      <vt:lpstr>'ИНВ-16-dei'!GalRepTblFld_Кол_изл</vt:lpstr>
      <vt:lpstr>'ИНВ-19'!GalRepTblFld_Кол_изл</vt:lpstr>
      <vt:lpstr>'ИНВ-19_'!GalRepTblFld_Кол_изл</vt:lpstr>
      <vt:lpstr>'ИНВ-19-Транснефть'!GalRepTblFld_Кол_изл</vt:lpstr>
      <vt:lpstr>СлВед_Нефин2!GalRepTblFld_Кол_изл</vt:lpstr>
      <vt:lpstr>'Форма 401'!GalRepTblFld_Кол_изл</vt:lpstr>
      <vt:lpstr>'0504092'!GalRepTblFld_Кол_нед</vt:lpstr>
      <vt:lpstr>'ИНВ-13'!GalRepTblFld_Кол_нед</vt:lpstr>
      <vt:lpstr>'ИНВ-13_Vol'!GalRepTblFld_Кол_нед</vt:lpstr>
      <vt:lpstr>'ИНВ-16'!GalRepTblFld_Кол_нед</vt:lpstr>
      <vt:lpstr>'Инв-16-2'!GalRepTblFld_Кол_нед</vt:lpstr>
      <vt:lpstr>'Инв-16-2r'!GalRepTblFld_Кол_нед</vt:lpstr>
      <vt:lpstr>'ИНВ-16-dei'!GalRepTblFld_Кол_нед</vt:lpstr>
      <vt:lpstr>'ИНВ-19'!GalRepTblFld_Кол_нед</vt:lpstr>
      <vt:lpstr>'ИНВ-19_'!GalRepTblFld_Кол_нед</vt:lpstr>
      <vt:lpstr>'ИНВ-19-Транснефть'!GalRepTblFld_Кол_нед</vt:lpstr>
      <vt:lpstr>СлВед_Нефин2!GalRepTblFld_Кол_нед</vt:lpstr>
      <vt:lpstr>'Форма 401'!GalRepTblFld_Кол_нед</vt:lpstr>
      <vt:lpstr>инв10_2b!GalRepTblFld_количество</vt:lpstr>
      <vt:lpstr>'ИНВ-13'!GalRepTblFld_количество</vt:lpstr>
      <vt:lpstr>'ИНВ-13_Vol'!GalRepTblFld_количество</vt:lpstr>
      <vt:lpstr>'Инв-16-2'!GalRepTblFld_количество</vt:lpstr>
      <vt:lpstr>'Инв-16-2r'!GalRepTblFld_количество</vt:lpstr>
      <vt:lpstr>'ИНВ-3'!GalRepTblFld_количество</vt:lpstr>
      <vt:lpstr>'ИНВ-3_'!GalRepTblFld_количество</vt:lpstr>
      <vt:lpstr>'ИНВ-3b'!GalRepTblFld_количество</vt:lpstr>
      <vt:lpstr>'ИНВ-3b-dei'!GalRepTblFld_количество</vt:lpstr>
      <vt:lpstr>'ИНВ-3-Транснефть'!GalRepTblFld_количество</vt:lpstr>
      <vt:lpstr>инв5_2!GalRepTblFld_количество</vt:lpstr>
      <vt:lpstr>'ИНВ-6'!GalRepTblFld_количество</vt:lpstr>
      <vt:lpstr>СлВед_Нефин2!GalRepTblFld_количество</vt:lpstr>
      <vt:lpstr>'Форма 401'!GalRepTblFld_количество</vt:lpstr>
      <vt:lpstr>инв10_2b!GalRepTblFld_Констр_обознач</vt:lpstr>
      <vt:lpstr>'ИНВ-3b'!GalRepTblFld_Констр_обознач</vt:lpstr>
      <vt:lpstr>'0504092'!GalRepTblFld_наименование</vt:lpstr>
      <vt:lpstr>инв10_2b!GalRepTblFld_наименование</vt:lpstr>
      <vt:lpstr>'ИНВ-13'!GalRepTblFld_наименование</vt:lpstr>
      <vt:lpstr>'ИНВ-13_Vol'!GalRepTblFld_наименование</vt:lpstr>
      <vt:lpstr>'ИНВ-16'!GalRepTblFld_наименование</vt:lpstr>
      <vt:lpstr>'Инв-16-2'!GalRepTblFld_наименование</vt:lpstr>
      <vt:lpstr>'Инв-16-2r'!GalRepTblFld_наименование</vt:lpstr>
      <vt:lpstr>'ИНВ-16-dei'!GalRepTblFld_наименование</vt:lpstr>
      <vt:lpstr>'ИНВ-19'!GalRepTblFld_наименование</vt:lpstr>
      <vt:lpstr>'ИНВ-19_'!GalRepTblFld_наименование</vt:lpstr>
      <vt:lpstr>'ИНВ-19-Транснефть'!GalRepTblFld_наименование</vt:lpstr>
      <vt:lpstr>'ИНВ-3'!GalRepTblFld_наименование</vt:lpstr>
      <vt:lpstr>'ИНВ-3_'!GalRepTblFld_наименование</vt:lpstr>
      <vt:lpstr>'ИНВ-3b'!GalRepTblFld_наименование</vt:lpstr>
      <vt:lpstr>'ИНВ-3b-dei'!GalRepTblFld_наименование</vt:lpstr>
      <vt:lpstr>'ИНВ-3-Транснефть'!GalRepTblFld_наименование</vt:lpstr>
      <vt:lpstr>инв5_2!GalRepTblFld_наименование</vt:lpstr>
      <vt:lpstr>'ИНВ-6'!GalRepTblFld_наименование</vt:lpstr>
      <vt:lpstr>итог!GalRepTblFld_наименование</vt:lpstr>
      <vt:lpstr>итог_ЦУ!GalRepTblFld_наименование</vt:lpstr>
      <vt:lpstr>итог2!GalRepTblFld_наименование</vt:lpstr>
      <vt:lpstr>'ОП-15'!GalRepTblFld_наименование</vt:lpstr>
      <vt:lpstr>СлВед_Нефин2!GalRepTblFld_наименование</vt:lpstr>
      <vt:lpstr>'Форма 401'!GalRepTblFld_наименование</vt:lpstr>
      <vt:lpstr>'0504092'!GalRepTblFld_номер</vt:lpstr>
      <vt:lpstr>инв10_2b!GalRepTblFld_номер</vt:lpstr>
      <vt:lpstr>'ИНВ-13'!GalRepTblFld_номер</vt:lpstr>
      <vt:lpstr>'ИНВ-13_Vol'!GalRepTblFld_номер</vt:lpstr>
      <vt:lpstr>'ИНВ-16'!GalRepTblFld_номер</vt:lpstr>
      <vt:lpstr>'Инв-16-2'!GalRepTblFld_номер</vt:lpstr>
      <vt:lpstr>'Инв-16-2r'!GalRepTblFld_номер</vt:lpstr>
      <vt:lpstr>'ИНВ-16-dei'!GalRepTblFld_номер</vt:lpstr>
      <vt:lpstr>'ИНВ-19'!GalRepTblFld_номер</vt:lpstr>
      <vt:lpstr>'ИНВ-19_'!GalRepTblFld_номер</vt:lpstr>
      <vt:lpstr>'ИНВ-19-Транснефть'!GalRepTblFld_номер</vt:lpstr>
      <vt:lpstr>'ИНВ-3'!GalRepTblFld_номер</vt:lpstr>
      <vt:lpstr>'ИНВ-3_'!GalRepTblFld_номер</vt:lpstr>
      <vt:lpstr>'ИНВ-3b'!GalRepTblFld_номер</vt:lpstr>
      <vt:lpstr>'ИНВ-3b-dei'!GalRepTblFld_номер</vt:lpstr>
      <vt:lpstr>'ИНВ-3-Транснефть'!GalRepTblFld_номер</vt:lpstr>
      <vt:lpstr>инв5_2!GalRepTblFld_номер</vt:lpstr>
      <vt:lpstr>'ИНВ-6'!GalRepTblFld_номер</vt:lpstr>
      <vt:lpstr>'ОП-15'!GalRepTblFld_номер</vt:lpstr>
      <vt:lpstr>СлВед_Нефин2!GalRepTblFld_номер</vt:lpstr>
      <vt:lpstr>'Форма 401'!GalRepTblFld_номер</vt:lpstr>
      <vt:lpstr>'Инв-16-2'!GalRepTblFld_номер_БСО</vt:lpstr>
      <vt:lpstr>'Инв-16-2r'!GalRepTblFld_номер_БСО</vt:lpstr>
      <vt:lpstr>'ИНВ-13'!GalRepTblFld_номер_серийный</vt:lpstr>
      <vt:lpstr>'ИНВ-13_Vol'!GalRepTblFld_номер_серийный</vt:lpstr>
      <vt:lpstr>'ИНВ-13_Vol'!GalRepTblFld_объем</vt:lpstr>
      <vt:lpstr>'ИНВ-19'!GalRepTblFld_паспорта.</vt:lpstr>
      <vt:lpstr>'ИНВ-19_'!GalRepTblFld_паспорта.</vt:lpstr>
      <vt:lpstr>'ИНВ-19-Транснефть'!GalRepTblFld_паспорта.</vt:lpstr>
      <vt:lpstr>'ИНВ-3'!GalRepTblFld_паспорта.</vt:lpstr>
      <vt:lpstr>'ИНВ-3_'!GalRepTblFld_паспорта.</vt:lpstr>
      <vt:lpstr>'ИНВ-3-Транснефть'!GalRepTblFld_паспорта.</vt:lpstr>
      <vt:lpstr>'ИНВ-13'!GalRepTblFld_серия</vt:lpstr>
      <vt:lpstr>'ИНВ-13_Vol'!GalRepTblFld_серия</vt:lpstr>
      <vt:lpstr>инв10_2b!GalRepTblFld_сумма</vt:lpstr>
      <vt:lpstr>'ИНВ-13'!GalRepTblFld_сумма</vt:lpstr>
      <vt:lpstr>'ИНВ-13_Vol'!GalRepTblFld_сумма</vt:lpstr>
      <vt:lpstr>'Инв-16-2'!GalRepTblFld_сумма</vt:lpstr>
      <vt:lpstr>'Инв-16-2r'!GalRepTblFld_сумма</vt:lpstr>
      <vt:lpstr>'ИНВ-3'!GalRepTblFld_сумма</vt:lpstr>
      <vt:lpstr>'ИНВ-3_'!GalRepTblFld_сумма</vt:lpstr>
      <vt:lpstr>'ИНВ-3b'!GalRepTblFld_сумма</vt:lpstr>
      <vt:lpstr>'ИНВ-3b-dei'!GalRepTblFld_сумма</vt:lpstr>
      <vt:lpstr>'ИНВ-3-Транснефть'!GalRepTblFld_сумма</vt:lpstr>
      <vt:lpstr>инв5_2!GalRepTblFld_сумма</vt:lpstr>
      <vt:lpstr>'ИНВ-6'!GalRepTblFld_сумма</vt:lpstr>
      <vt:lpstr>СлВед_Нефин2!GalRepTblFld_сумма</vt:lpstr>
      <vt:lpstr>'Форма 401'!GalRepTblFld_сумма</vt:lpstr>
      <vt:lpstr>'0504092'!GalRepTblFld_Сумма_изл</vt:lpstr>
      <vt:lpstr>'ИНВ-13'!GalRepTblFld_Сумма_изл</vt:lpstr>
      <vt:lpstr>'ИНВ-13_Vol'!GalRepTblFld_Сумма_изл</vt:lpstr>
      <vt:lpstr>'ИНВ-16'!GalRepTblFld_Сумма_изл</vt:lpstr>
      <vt:lpstr>'Инв-16-2'!GalRepTblFld_Сумма_изл</vt:lpstr>
      <vt:lpstr>'Инв-16-2r'!GalRepTblFld_Сумма_изл</vt:lpstr>
      <vt:lpstr>'ИНВ-16-dei'!GalRepTblFld_Сумма_изл</vt:lpstr>
      <vt:lpstr>'ИНВ-19'!GalRepTblFld_Сумма_изл</vt:lpstr>
      <vt:lpstr>'ИНВ-19_'!GalRepTblFld_Сумма_изл</vt:lpstr>
      <vt:lpstr>'ИНВ-19-Транснефть'!GalRepTblFld_Сумма_изл</vt:lpstr>
      <vt:lpstr>СлВед_Нефин2!GalRepTblFld_Сумма_изл</vt:lpstr>
      <vt:lpstr>'Форма 401'!GalRepTblFld_Сумма_изл</vt:lpstr>
      <vt:lpstr>'0504092'!GalRepTblFld_Сумма_нед</vt:lpstr>
      <vt:lpstr>'ИНВ-13'!GalRepTblFld_Сумма_нед</vt:lpstr>
      <vt:lpstr>'ИНВ-13_Vol'!GalRepTblFld_Сумма_нед</vt:lpstr>
      <vt:lpstr>'ИНВ-16'!GalRepTblFld_Сумма_нед</vt:lpstr>
      <vt:lpstr>'Инв-16-2'!GalRepTblFld_Сумма_нед</vt:lpstr>
      <vt:lpstr>'Инв-16-2r'!GalRepTblFld_Сумма_нед</vt:lpstr>
      <vt:lpstr>'ИНВ-16-dei'!GalRepTblFld_Сумма_нед</vt:lpstr>
      <vt:lpstr>'ИНВ-19'!GalRepTblFld_Сумма_нед</vt:lpstr>
      <vt:lpstr>'ИНВ-19_'!GalRepTblFld_Сумма_нед</vt:lpstr>
      <vt:lpstr>'ИНВ-19-Транснефть'!GalRepTblFld_Сумма_нед</vt:lpstr>
      <vt:lpstr>СлВед_Нефин2!GalRepTblFld_Сумма_нед</vt:lpstr>
      <vt:lpstr>'Форма 401'!GalRepTblFld_Сумма_нед</vt:lpstr>
      <vt:lpstr>'0504092'!GalRepTblFld_счет</vt:lpstr>
      <vt:lpstr>'ИНВ-3'!GalRepTblFld_счет</vt:lpstr>
      <vt:lpstr>'ИНВ-3_'!GalRepTblFld_счет</vt:lpstr>
      <vt:lpstr>'ИНВ-3b'!GalRepTblFld_счет</vt:lpstr>
      <vt:lpstr>'ИНВ-3-Транснефть'!GalRepTblFld_счет</vt:lpstr>
      <vt:lpstr>итог!GalRepTblFld_счет</vt:lpstr>
      <vt:lpstr>итог_ЦУ!GalRepTblFld_счет</vt:lpstr>
      <vt:lpstr>итог2!GalRepTblFld_счет</vt:lpstr>
      <vt:lpstr>инв10_2b!GalRepTblFld_ф_количество</vt:lpstr>
      <vt:lpstr>'ИНВ-13'!GalRepTblFld_ф_количество</vt:lpstr>
      <vt:lpstr>'ИНВ-13_Vol'!GalRepTblFld_ф_количество</vt:lpstr>
      <vt:lpstr>'Инв-16-2'!GalRepTblFld_ф_количество</vt:lpstr>
      <vt:lpstr>'Инв-16-2r'!GalRepTblFld_ф_количество</vt:lpstr>
      <vt:lpstr>'ИНВ-3'!GalRepTblFld_ф_количество</vt:lpstr>
      <vt:lpstr>'ИНВ-3_'!GalRepTblFld_ф_количество</vt:lpstr>
      <vt:lpstr>'ИНВ-3b'!GalRepTblFld_ф_количество</vt:lpstr>
      <vt:lpstr>'ИНВ-3b-dei'!GalRepTblFld_ф_количество</vt:lpstr>
      <vt:lpstr>'ИНВ-3-Транснефть'!GalRepTblFld_ф_количество</vt:lpstr>
      <vt:lpstr>инв5_2!GalRepTblFld_ф_количество</vt:lpstr>
      <vt:lpstr>итог!GalRepTblFld_ф_количество</vt:lpstr>
      <vt:lpstr>итог_ЦУ!GalRepTblFld_ф_количество</vt:lpstr>
      <vt:lpstr>итог2!GalRepTblFld_ф_количество</vt:lpstr>
      <vt:lpstr>'ОП-15'!GalRepTblFld_ф_количество</vt:lpstr>
      <vt:lpstr>СлВед_Нефин2!GalRepTblFld_ф_количество</vt:lpstr>
      <vt:lpstr>'Форма 401'!GalRepTblFld_ф_количество</vt:lpstr>
      <vt:lpstr>инв10_2b!GalRepTblFld_ф_сумма</vt:lpstr>
      <vt:lpstr>'ИНВ-13'!GalRepTblFld_ф_сумма</vt:lpstr>
      <vt:lpstr>'ИНВ-13_Vol'!GalRepTblFld_ф_сумма</vt:lpstr>
      <vt:lpstr>'Инв-16-2'!GalRepTblFld_ф_сумма</vt:lpstr>
      <vt:lpstr>'Инв-16-2r'!GalRepTblFld_ф_сумма</vt:lpstr>
      <vt:lpstr>'ИНВ-3'!GalRepTblFld_ф_сумма</vt:lpstr>
      <vt:lpstr>'ИНВ-3_'!GalRepTblFld_ф_сумма</vt:lpstr>
      <vt:lpstr>'ИНВ-3b'!GalRepTblFld_ф_сумма</vt:lpstr>
      <vt:lpstr>'ИНВ-3b-dei'!GalRepTblFld_ф_сумма</vt:lpstr>
      <vt:lpstr>'ИНВ-3-Транснефть'!GalRepTblFld_ф_сумма</vt:lpstr>
      <vt:lpstr>инв5_2!GalRepTblFld_ф_сумма</vt:lpstr>
      <vt:lpstr>'ОП-15'!GalRepTblFld_ф_сумма</vt:lpstr>
      <vt:lpstr>СлВед_Нефин2!GalRepTblFld_ф_сумма</vt:lpstr>
      <vt:lpstr>'Форма 401'!GalRepTblFld_ф_сумма</vt:lpstr>
      <vt:lpstr>'0504092'!GalRepTblFld_характеристика</vt:lpstr>
      <vt:lpstr>инв10_2b!GalRepTblFld_характеристика</vt:lpstr>
      <vt:lpstr>'ИНВ-13'!GalRepTblFld_характеристика</vt:lpstr>
      <vt:lpstr>'ИНВ-13_Vol'!GalRepTblFld_характеристика</vt:lpstr>
      <vt:lpstr>'ИНВ-16'!GalRepTblFld_характеристика</vt:lpstr>
      <vt:lpstr>'Инв-16-2'!GalRepTblFld_характеристика</vt:lpstr>
      <vt:lpstr>'Инв-16-2r'!GalRepTblFld_характеристика</vt:lpstr>
      <vt:lpstr>'ИНВ-16-dei'!GalRepTblFld_характеристика</vt:lpstr>
      <vt:lpstr>'ИНВ-19'!GalRepTblFld_характеристика</vt:lpstr>
      <vt:lpstr>'ИНВ-19_'!GalRepTblFld_характеристика</vt:lpstr>
      <vt:lpstr>'ИНВ-19-Транснефть'!GalRepTblFld_характеристика</vt:lpstr>
      <vt:lpstr>'ИНВ-3'!GalRepTblFld_характеристика</vt:lpstr>
      <vt:lpstr>'ИНВ-3_'!GalRepTblFld_характеристика</vt:lpstr>
      <vt:lpstr>'ИНВ-3b'!GalRepTblFld_характеристика</vt:lpstr>
      <vt:lpstr>'ИНВ-3b-dei'!GalRepTblFld_характеристика</vt:lpstr>
      <vt:lpstr>'ИНВ-3-Транснефть'!GalRepTblFld_характеристика</vt:lpstr>
      <vt:lpstr>инв5_2!GalRepTblFld_характеристика</vt:lpstr>
      <vt:lpstr>'ИНВ-6'!GalRepTblFld_характеристика</vt:lpstr>
      <vt:lpstr>итог!GalRepTblFld_характеристика</vt:lpstr>
      <vt:lpstr>итог_ЦУ!GalRepTblFld_характеристика</vt:lpstr>
      <vt:lpstr>итог2!GalRepTblFld_характеристика</vt:lpstr>
      <vt:lpstr>'ОП-15'!GalRepTblFld_характеристика</vt:lpstr>
      <vt:lpstr>СлВед_Нефин2!GalRepTblFld_характеристика</vt:lpstr>
      <vt:lpstr>'Форма 401'!GalRepTblFld_характеристика</vt:lpstr>
      <vt:lpstr>инв10_2b!GalRepTblFld_цена</vt:lpstr>
      <vt:lpstr>'ИНВ-13'!GalRepTblFld_цена</vt:lpstr>
      <vt:lpstr>'ИНВ-13_Vol'!GalRepTblFld_цена</vt:lpstr>
      <vt:lpstr>'Инв-16-2'!GalRepTblFld_цена</vt:lpstr>
      <vt:lpstr>'Инв-16-2r'!GalRepTblFld_цена</vt:lpstr>
      <vt:lpstr>'ИНВ-3'!GalRepTblFld_цена</vt:lpstr>
      <vt:lpstr>'ИНВ-3_'!GalRepTblFld_цена</vt:lpstr>
      <vt:lpstr>'ИНВ-3b'!GalRepTblFld_цена</vt:lpstr>
      <vt:lpstr>'ИНВ-3b-dei'!GalRepTblFld_цена</vt:lpstr>
      <vt:lpstr>'ИНВ-3-Транснефть'!GalRepTblFld_цена</vt:lpstr>
      <vt:lpstr>итог!GalRepTblFld_цена</vt:lpstr>
      <vt:lpstr>итог_ЦУ!GalRepTblFld_цена</vt:lpstr>
      <vt:lpstr>итог2!GalRepTblFld_цена</vt:lpstr>
      <vt:lpstr>'ОП-15'!GalRepTblFld_цена</vt:lpstr>
      <vt:lpstr>СлВед_Нефин2!GalRepTblFld_цена</vt:lpstr>
      <vt:lpstr>'Форма 401'!GalRepTblFld_цена</vt:lpstr>
      <vt:lpstr>Prikaz_bel!GalRepTblFld_Член_комиссии_Должность</vt:lpstr>
      <vt:lpstr>Prikaz_rus!GalRepTblFld_Член_комиссии_Должность</vt:lpstr>
      <vt:lpstr>Акт_инв!GalRepTblFld_Член_комиссии_Должность</vt:lpstr>
      <vt:lpstr>инв10_2b!GalRepTblFld_Член_комиссии_Должность</vt:lpstr>
      <vt:lpstr>'ИНВ-13'!GalRepTblFld_Член_комиссии_Должность</vt:lpstr>
      <vt:lpstr>'ИНВ-13_Vol'!GalRepTblFld_Член_комиссии_Должность</vt:lpstr>
      <vt:lpstr>'ИНВ-16-3'!GalRepTblFld_Член_комиссии_Должность</vt:lpstr>
      <vt:lpstr>'ИНВ-16-3r'!GalRepTblFld_Член_комиссии_Должность</vt:lpstr>
      <vt:lpstr>'ИНВ-3'!GalRepTblFld_Член_комиссии_Должность</vt:lpstr>
      <vt:lpstr>'ИНВ-3_'!GalRepTblFld_Член_комиссии_Должность</vt:lpstr>
      <vt:lpstr>'ИНВ-3b'!GalRepTblFld_Член_комиссии_Должность</vt:lpstr>
      <vt:lpstr>'ИНВ-3b-dei'!GalRepTblFld_Член_комиссии_Должность</vt:lpstr>
      <vt:lpstr>'ИНВ-3-Транснефть'!GalRepTblFld_Член_комиссии_Должность</vt:lpstr>
      <vt:lpstr>инв5_2!GalRepTblFld_Член_комиссии_Должность</vt:lpstr>
      <vt:lpstr>'ИНВ-6'!GalRepTblFld_Член_комиссии_Должность</vt:lpstr>
      <vt:lpstr>'ОП-15'!GalRepTblFld_Член_комиссии_Должность</vt:lpstr>
      <vt:lpstr>СлВед_Нефин3!GalRepTblFld_Член_комиссии_Должность</vt:lpstr>
      <vt:lpstr>Prikaz_bel!GalRepTblFld_Член_комиссии_ФИО</vt:lpstr>
      <vt:lpstr>Prikaz_rus!GalRepTblFld_Член_комиссии_ФИО</vt:lpstr>
      <vt:lpstr>Акт_инв!GalRepTblFld_Член_комиссии_ФИО</vt:lpstr>
      <vt:lpstr>инв10_2b!GalRepTblFld_Член_комиссии_ФИО</vt:lpstr>
      <vt:lpstr>'ИНВ-13'!GalRepTblFld_Член_комиссии_ФИО</vt:lpstr>
      <vt:lpstr>'ИНВ-13_Vol'!GalRepTblFld_Член_комиссии_ФИО</vt:lpstr>
      <vt:lpstr>'ИНВ-16-3'!GalRepTblFld_Член_комиссии_ФИО</vt:lpstr>
      <vt:lpstr>'ИНВ-16-3r'!GalRepTblFld_Член_комиссии_ФИО</vt:lpstr>
      <vt:lpstr>'ИНВ-3'!GalRepTblFld_Член_комиссии_ФИО</vt:lpstr>
      <vt:lpstr>'ИНВ-3_'!GalRepTblFld_Член_комиссии_ФИО</vt:lpstr>
      <vt:lpstr>'ИНВ-3b'!GalRepTblFld_Член_комиссии_ФИО</vt:lpstr>
      <vt:lpstr>'ИНВ-3b-dei'!GalRepTblFld_Член_комиссии_ФИО</vt:lpstr>
      <vt:lpstr>'ИНВ-3-Транснефть'!GalRepTblFld_Член_комиссии_ФИО</vt:lpstr>
      <vt:lpstr>инв5_2!GalRepTblFld_Член_комиссии_ФИО</vt:lpstr>
      <vt:lpstr>'ИНВ-6'!GalRepTblFld_Член_комиссии_ФИО</vt:lpstr>
      <vt:lpstr>'ОП-15'!GalRepTblFld_Член_комиссии_ФИО</vt:lpstr>
      <vt:lpstr>СлВед_Нефин3!GalRepTblFld_Член_комиссии_ФИО</vt:lpstr>
      <vt:lpstr>инв10_2b!GalRepVar_1dolj</vt:lpstr>
      <vt:lpstr>инв10_2b!GalRepVar_1fam</vt:lpstr>
      <vt:lpstr>'Инв-16-1'!GalRepVar_barcode</vt:lpstr>
      <vt:lpstr>'ИНВ-16-1r'!GalRepVar_barcode</vt:lpstr>
      <vt:lpstr>'ИНВ-16-1r-Транснефть'!GalRepVar_barcode</vt:lpstr>
      <vt:lpstr>'ИНВ-19'!GalRepVar_barcode</vt:lpstr>
      <vt:lpstr>'ИНВ-19_'!GalRepVar_barcode</vt:lpstr>
      <vt:lpstr>'ИНВ-19-Транснефть'!GalRepVar_barcode</vt:lpstr>
      <vt:lpstr>'ИНВ-3'!GalRepVar_barcode</vt:lpstr>
      <vt:lpstr>'ИНВ-3_'!GalRepVar_barcode</vt:lpstr>
      <vt:lpstr>'ИНВ-3-Транснефть'!GalRepVar_barcode</vt:lpstr>
      <vt:lpstr>GalRepVar_barcode</vt:lpstr>
      <vt:lpstr>'ИНВ-16'!GalRepVar_begDate</vt:lpstr>
      <vt:lpstr>'ИНВ-16-dei'!GalRepVar_begDate</vt:lpstr>
      <vt:lpstr>'ИНВ-19'!GalRepVar_begDate</vt:lpstr>
      <vt:lpstr>'ИНВ-19_'!GalRepVar_begDate</vt:lpstr>
      <vt:lpstr>'ИНВ-19-Транснефть'!GalRepVar_begDate</vt:lpstr>
      <vt:lpstr>Акт_инв!GalRepVar_Boss</vt:lpstr>
      <vt:lpstr>Prikaz_bel!GalRepVar_CFH</vt:lpstr>
      <vt:lpstr>инв10_1b!GalRepVar_CFH</vt:lpstr>
      <vt:lpstr>инв5_1!GalRepVar_CFH</vt:lpstr>
      <vt:lpstr>инв10_1b!GalRepVar_CommonFormHeader</vt:lpstr>
      <vt:lpstr>'ИНВ-16'!GalRepVar_CommonFormHeader</vt:lpstr>
      <vt:lpstr>'ИНВ-16-dei'!GalRepVar_CommonFormHeader</vt:lpstr>
      <vt:lpstr>'ИНВ-19'!GalRepVar_CommonFormHeader</vt:lpstr>
      <vt:lpstr>'ИНВ-19_'!GalRepVar_CommonFormHeader</vt:lpstr>
      <vt:lpstr>'ИНВ-19-Транснефть'!GalRepVar_CommonFormHeader</vt:lpstr>
      <vt:lpstr>инв10_1b!GalRepVar_data</vt:lpstr>
      <vt:lpstr>'0504092'!GalRepVar_data_d</vt:lpstr>
      <vt:lpstr>Акт_инв!GalRepVar_Data_d</vt:lpstr>
      <vt:lpstr>'ИНВ-19'!GalRepVar_data_d</vt:lpstr>
      <vt:lpstr>'ИНВ-3'!GalRepVar_data_d</vt:lpstr>
      <vt:lpstr>инв5_1!GalRepVar_Data_d</vt:lpstr>
      <vt:lpstr>'ИНВ-6'!GalRepVar_data_d</vt:lpstr>
      <vt:lpstr>Акт_инв!GalRepVar_data_d_end</vt:lpstr>
      <vt:lpstr>Акт_инв!GalRepVar_data_d_prik</vt:lpstr>
      <vt:lpstr>'0504092'!GalRepVar_data_m</vt:lpstr>
      <vt:lpstr>Акт_инв!GalRepVar_Data_m</vt:lpstr>
      <vt:lpstr>'ИНВ-19'!GalRepVar_data_m</vt:lpstr>
      <vt:lpstr>'ИНВ-3'!GalRepVar_data_m</vt:lpstr>
      <vt:lpstr>инв5_1!GalRepVar_Data_m</vt:lpstr>
      <vt:lpstr>'ИНВ-6'!GalRepVar_data_m</vt:lpstr>
      <vt:lpstr>Акт_инв!GalRepVar_data_m_end</vt:lpstr>
      <vt:lpstr>Акт_инв!GalRepVar_data_m_prik</vt:lpstr>
      <vt:lpstr>'0504092'!GalRepVar_data_y</vt:lpstr>
      <vt:lpstr>Акт_инв!GalRepVar_Data_y</vt:lpstr>
      <vt:lpstr>'ИНВ-19'!GalRepVar_data_y</vt:lpstr>
      <vt:lpstr>'ИНВ-3'!GalRepVar_data_y</vt:lpstr>
      <vt:lpstr>инв5_1!GalRepVar_Data_y</vt:lpstr>
      <vt:lpstr>'ИНВ-6'!GalRepVar_data_y</vt:lpstr>
      <vt:lpstr>Акт_инв!GalRepVar_data_y_end</vt:lpstr>
      <vt:lpstr>Акт_инв!GalRepVar_data_y_prik</vt:lpstr>
      <vt:lpstr>'ИНВ-16'!GalRepVar_DateRep</vt:lpstr>
      <vt:lpstr>'ИНВ-16-dei'!GalRepVar_DateRep</vt:lpstr>
      <vt:lpstr>'ИНВ-19'!GalRepVar_DateRep</vt:lpstr>
      <vt:lpstr>'ИНВ-19_'!GalRepVar_DateRep</vt:lpstr>
      <vt:lpstr>'ИНВ-19-Транснефть'!GalRepVar_DateRep</vt:lpstr>
      <vt:lpstr>итог!GalRepVar_DateRep</vt:lpstr>
      <vt:lpstr>итог_ЦУ!GalRepVar_DateRep</vt:lpstr>
      <vt:lpstr>итог2!GalRepVar_DateRep</vt:lpstr>
      <vt:lpstr>инв10_1b!GalRepVar_dInvEnd</vt:lpstr>
      <vt:lpstr>инв10_1b!GalRepVar_dolj_mol</vt:lpstr>
      <vt:lpstr>Акт_инв!GalRepVar_FIODolg0</vt:lpstr>
      <vt:lpstr>'Форма 401'!GalRepVar_FIODolg0</vt:lpstr>
      <vt:lpstr>Акт_инв!GalRepVar_FIODolg1</vt:lpstr>
      <vt:lpstr>'Форма 401'!GalRepVar_FIODolg1</vt:lpstr>
      <vt:lpstr>Акт_инв!GalRepVar_FIODolg2</vt:lpstr>
      <vt:lpstr>'Форма 401'!GalRepVar_FIODolg2</vt:lpstr>
      <vt:lpstr>Акт_инв!GalRepVar_FIODolg3</vt:lpstr>
      <vt:lpstr>'Форма 401'!GalRepVar_FIODolg3</vt:lpstr>
      <vt:lpstr>Акт_инв!GalRepVar_FIODolg4</vt:lpstr>
      <vt:lpstr>Акт_инв!GalRepVar_FIODolg5</vt:lpstr>
      <vt:lpstr>Акт_инв!GalRepVar_kol_list</vt:lpstr>
      <vt:lpstr>'0504092'!GalRepVar_Main_Buh</vt:lpstr>
      <vt:lpstr>itog!GalRepVar_MOL</vt:lpstr>
      <vt:lpstr>itog1!GalRepVar_MOL</vt:lpstr>
      <vt:lpstr>itog16b!GalRepVar_MOL</vt:lpstr>
      <vt:lpstr>itog2!GalRepVar_MOL</vt:lpstr>
      <vt:lpstr>itog3!GalRepVar_MOL</vt:lpstr>
      <vt:lpstr>инв10_1b!GalRepVar_mol</vt:lpstr>
      <vt:lpstr>'ИНВ-19'!GalRepVar_MOL</vt:lpstr>
      <vt:lpstr>'ИНВ-19_'!GalRepVar_MOL</vt:lpstr>
      <vt:lpstr>'ИНВ-19-Транснефть'!GalRepVar_MOL</vt:lpstr>
      <vt:lpstr>'0504092'!GalRepVar_Name_org</vt:lpstr>
      <vt:lpstr>Prikaz_bel!GalRepVar_Name_org</vt:lpstr>
      <vt:lpstr>Prikaz_rus!GalRepVar_Name_org</vt:lpstr>
      <vt:lpstr>Акт_инв!GalRepVar_Name_org</vt:lpstr>
      <vt:lpstr>инв10_1b!GalRepVar_Name_org</vt:lpstr>
      <vt:lpstr>'ИНВ-13'!GalRepVar_Name_org</vt:lpstr>
      <vt:lpstr>'ИНВ-13_Vol'!GalRepVar_Name_org</vt:lpstr>
      <vt:lpstr>'ИНВ-16'!GalRepVar_Name_org</vt:lpstr>
      <vt:lpstr>'Инв-16-1'!GalRepVar_Name_org</vt:lpstr>
      <vt:lpstr>'ИНВ-16-1r'!GalRepVar_Name_org</vt:lpstr>
      <vt:lpstr>'ИНВ-16-1r-Транснефть'!GalRepVar_Name_org</vt:lpstr>
      <vt:lpstr>'ИНВ-16-dei'!GalRepVar_Name_org</vt:lpstr>
      <vt:lpstr>'ИНВ-19'!GalRepVar_Name_org</vt:lpstr>
      <vt:lpstr>'ИНВ-19_'!GalRepVar_Name_org</vt:lpstr>
      <vt:lpstr>'ИНВ-19-Транснефть'!GalRepVar_Name_org</vt:lpstr>
      <vt:lpstr>'ИНВ-3'!GalRepVar_Name_org</vt:lpstr>
      <vt:lpstr>'ИНВ-3_'!GalRepVar_Name_org</vt:lpstr>
      <vt:lpstr>'ИНВ-3b'!GalRepVar_Name_org</vt:lpstr>
      <vt:lpstr>'ИНВ-3b-dei'!GalRepVar_Name_org</vt:lpstr>
      <vt:lpstr>'ИНВ-3-Транснефть'!GalRepVar_Name_org</vt:lpstr>
      <vt:lpstr>инв5_1!GalRepVar_Name_org</vt:lpstr>
      <vt:lpstr>'ИНВ-6'!GalRepVar_Name_org</vt:lpstr>
      <vt:lpstr>'ОП-15'!GalRepVar_Name_org</vt:lpstr>
      <vt:lpstr>СлВед_Нефин!GalRepVar_Name_org</vt:lpstr>
      <vt:lpstr>'Форма 401'!GalRepVar_Name_org</vt:lpstr>
      <vt:lpstr>инв10_1b!GalRepVar_nInv</vt:lpstr>
      <vt:lpstr>инв10_1b!GalRepVar_okpo</vt:lpstr>
      <vt:lpstr>'ИНВ-16'!GalRepVar_OKPO</vt:lpstr>
      <vt:lpstr>'ИНВ-16-dei'!GalRepVar_OKPO</vt:lpstr>
      <vt:lpstr>'ИНВ-19'!GalRepVar_OKPO</vt:lpstr>
      <vt:lpstr>'ИНВ-19_'!GalRepVar_OKPO</vt:lpstr>
      <vt:lpstr>'ИНВ-19-Транснефть'!GalRepVar_OKPO</vt:lpstr>
      <vt:lpstr>'ИНВ-16'!GalRepVar_OrgName</vt:lpstr>
      <vt:lpstr>'ИНВ-16-dei'!GalRepVar_OrgName</vt:lpstr>
      <vt:lpstr>'ИНВ-19'!GalRepVar_OrgName</vt:lpstr>
      <vt:lpstr>'ИНВ-19_'!GalRepVar_OrgName</vt:lpstr>
      <vt:lpstr>'ИНВ-19-Транснефть'!GalRepVar_OrgName</vt:lpstr>
      <vt:lpstr>'ИНВ-16'!GalRepVar_Podr</vt:lpstr>
      <vt:lpstr>'ИНВ-19'!GalRepVar_Podr</vt:lpstr>
      <vt:lpstr>'ИНВ-19_'!GalRepVar_Podr</vt:lpstr>
      <vt:lpstr>'ИНВ-19-Транснефть'!GalRepVar_Podr</vt:lpstr>
      <vt:lpstr>'ИНВ-13'!GalRepVar_poryad_nom</vt:lpstr>
      <vt:lpstr>'ИНВ-13_Vol'!GalRepVar_poryad_nom</vt:lpstr>
      <vt:lpstr>'ИНВ-16-1r'!GalRepVar_poryad_nom</vt:lpstr>
      <vt:lpstr>'ИНВ-16-1r-Транснефть'!GalRepVar_poryad_nom</vt:lpstr>
      <vt:lpstr>'ИНВ-16-3'!GalRepVar_poryad_nom</vt:lpstr>
      <vt:lpstr>'ИНВ-16-3r'!GalRepVar_poryad_nom</vt:lpstr>
      <vt:lpstr>'ИНВ-3'!GalRepVar_poryad_nom</vt:lpstr>
      <vt:lpstr>'ИНВ-3_'!GalRepVar_poryad_nom</vt:lpstr>
      <vt:lpstr>'ИНВ-3b'!GalRepVar_poryad_nom</vt:lpstr>
      <vt:lpstr>'ИНВ-3b-dei'!GalRepVar_poryad_nom</vt:lpstr>
      <vt:lpstr>'ИНВ-3-Транснефть'!GalRepVar_poryad_nom</vt:lpstr>
      <vt:lpstr>инв10_1b!GalRepVar_prikDate</vt:lpstr>
      <vt:lpstr>инв10_1b!GalRepVar_prikNumber</vt:lpstr>
      <vt:lpstr>'Инв-16-2r'!GalRepVar_SimvVal</vt:lpstr>
      <vt:lpstr>'ИНВ-3'!GalRepVar_simvval</vt:lpstr>
      <vt:lpstr>'ИНВ-3_'!GalRepVar_simvval</vt:lpstr>
      <vt:lpstr>'ИНВ-3b'!GalRepVar_simvval</vt:lpstr>
      <vt:lpstr>'ИНВ-3b-dei'!GalRepVar_simvval</vt:lpstr>
      <vt:lpstr>'ИНВ-3-Транснефть'!GalRepVar_simvval</vt:lpstr>
      <vt:lpstr>'ИНВ-13'!GalRepVar_SimvValR</vt:lpstr>
      <vt:lpstr>'ИНВ-13_Vol'!GalRepVar_SimvValR</vt:lpstr>
      <vt:lpstr>'Инв-16-2'!GalRepVar_SimvValR</vt:lpstr>
      <vt:lpstr>'Инв-16-2r'!GalRepVar_SimvValR</vt:lpstr>
      <vt:lpstr>инв10_1b!GalRepVar_skl</vt:lpstr>
      <vt:lpstr>'ИНВ-19'!GalRepVar_TitlRus</vt:lpstr>
      <vt:lpstr>'ИНВ-19_'!GalRepVar_TitlRus</vt:lpstr>
      <vt:lpstr>'ИНВ-3'!GalRepVar_titlrus</vt:lpstr>
      <vt:lpstr>'ИНВ-3_'!GalRepVar_titlrus</vt:lpstr>
      <vt:lpstr>'ИНВ-19'!GalRepVar_TitlRus1</vt:lpstr>
      <vt:lpstr>'ИНВ-19_'!GalRepVar_TitlRus1</vt:lpstr>
      <vt:lpstr>'ИНВ-3'!GalRepVar_titlrus1</vt:lpstr>
      <vt:lpstr>'ИНВ-3_'!GalRepVar_titlrus1</vt:lpstr>
      <vt:lpstr>инв10_2b!GalRepVar_vsego_zap</vt:lpstr>
      <vt:lpstr>'ИНВ-13'!GalRepVar_vsego_zap</vt:lpstr>
      <vt:lpstr>'ИНВ-13_Vol'!GalRepVar_vsego_zap</vt:lpstr>
      <vt:lpstr>'ИНВ-16-3'!GalRepVar_vsego_zap</vt:lpstr>
      <vt:lpstr>'ИНВ-16-3r'!GalRepVar_vsego_zap</vt:lpstr>
      <vt:lpstr>'ИНВ-3'!GalRepVar_vsego_zap</vt:lpstr>
      <vt:lpstr>'ИНВ-3_'!GalRepVar_vsego_zap</vt:lpstr>
      <vt:lpstr>'ИНВ-3b'!GalRepVar_vsego_zap</vt:lpstr>
      <vt:lpstr>'ИНВ-3b-dei'!GalRepVar_vsego_zap</vt:lpstr>
      <vt:lpstr>'ИНВ-3-Транснефть'!GalRepVar_vsego_zap</vt:lpstr>
      <vt:lpstr>инв5_2!GalRepVar_vsego_zap</vt:lpstr>
      <vt:lpstr>СлВед_Нефин3!GalRepVar_vsego_zap</vt:lpstr>
      <vt:lpstr>'Форма 401'!GalRepVar_vsego_zap</vt:lpstr>
      <vt:lpstr>'0504092'!GalRepVar_Дата_Инвентар</vt:lpstr>
      <vt:lpstr>Акт_инв!GalRepVar_Дата_Инвентар</vt:lpstr>
      <vt:lpstr>инв10_1b!GalRepVar_Дата_Инвентар</vt:lpstr>
      <vt:lpstr>'ИНВ-13'!GalRepVar_Дата_Инвентар</vt:lpstr>
      <vt:lpstr>'ИНВ-13_Vol'!GalRepVar_Дата_Инвентар</vt:lpstr>
      <vt:lpstr>'ИНВ-16'!GalRepVar_Дата_Инвентар</vt:lpstr>
      <vt:lpstr>'Инв-16-1'!GalRepVar_Дата_Инвентар</vt:lpstr>
      <vt:lpstr>'ИНВ-16-1r'!GalRepVar_Дата_Инвентар</vt:lpstr>
      <vt:lpstr>'ИНВ-16-1r-Транснефть'!GalRepVar_Дата_Инвентар</vt:lpstr>
      <vt:lpstr>'ИНВ-16-dei'!GalRepVar_Дата_Инвентар</vt:lpstr>
      <vt:lpstr>'ИНВ-19'!GalRepVar_Дата_Инвентар</vt:lpstr>
      <vt:lpstr>'ИНВ-19_'!GalRepVar_Дата_Инвентар</vt:lpstr>
      <vt:lpstr>'ИНВ-19-Транснефть'!GalRepVar_Дата_Инвентар</vt:lpstr>
      <vt:lpstr>'ИНВ-3'!GalRepVar_Дата_Инвентар</vt:lpstr>
      <vt:lpstr>'ИНВ-3_'!GalRepVar_Дата_Инвентар</vt:lpstr>
      <vt:lpstr>'ИНВ-3b'!GalRepVar_Дата_Инвентар</vt:lpstr>
      <vt:lpstr>'ИНВ-3b-dei'!GalRepVar_Дата_Инвентар</vt:lpstr>
      <vt:lpstr>'ИНВ-3-Транснефть'!GalRepVar_Дата_Инвентар</vt:lpstr>
      <vt:lpstr>инв5_1!GalRepVar_Дата_Инвентар</vt:lpstr>
      <vt:lpstr>'ИНВ-6'!GalRepVar_Дата_Инвентар</vt:lpstr>
      <vt:lpstr>'ОП-15'!GalRepVar_Дата_Инвентар</vt:lpstr>
      <vt:lpstr>СлВед_Нефин!GalRepVar_Дата_Инвентар</vt:lpstr>
      <vt:lpstr>'Форма 401'!GalRepVar_Дата_Инвентар</vt:lpstr>
      <vt:lpstr>СлВед_Нефин!GalRepVar_Дата_Инвентар1</vt:lpstr>
      <vt:lpstr>инв10_1b!GalRepVar_Дата_Оконч_Инв</vt:lpstr>
      <vt:lpstr>'ИНВ-13'!GalRepVar_Дата_Оконч_Инв</vt:lpstr>
      <vt:lpstr>'ИНВ-13_Vol'!GalRepVar_Дата_Оконч_Инв</vt:lpstr>
      <vt:lpstr>'ИНВ-16'!GalRepVar_Дата_Оконч_Инв</vt:lpstr>
      <vt:lpstr>'Инв-16-1'!GalRepVar_Дата_Оконч_Инв</vt:lpstr>
      <vt:lpstr>'ИНВ-16-1r'!GalRepVar_Дата_Оконч_Инв</vt:lpstr>
      <vt:lpstr>'ИНВ-16-1r-Транснефть'!GalRepVar_Дата_Оконч_Инв</vt:lpstr>
      <vt:lpstr>'ИНВ-16-dei'!GalRepVar_Дата_Оконч_Инв</vt:lpstr>
      <vt:lpstr>'ИНВ-19'!GalRepVar_Дата_Оконч_Инв</vt:lpstr>
      <vt:lpstr>'ИНВ-19_'!GalRepVar_Дата_Оконч_Инв</vt:lpstr>
      <vt:lpstr>'ИНВ-19-Транснефть'!GalRepVar_Дата_Оконч_Инв</vt:lpstr>
      <vt:lpstr>'ИНВ-3'!GalRepVar_Дата_Оконч_Инв</vt:lpstr>
      <vt:lpstr>'ИНВ-3_'!GalRepVar_Дата_Оконч_Инв</vt:lpstr>
      <vt:lpstr>'ИНВ-3b'!GalRepVar_Дата_Оконч_Инв</vt:lpstr>
      <vt:lpstr>'ИНВ-3b-dei'!GalRepVar_Дата_Оконч_Инв</vt:lpstr>
      <vt:lpstr>'ИНВ-3-Транснефть'!GalRepVar_Дата_Оконч_Инв</vt:lpstr>
      <vt:lpstr>инв5_1!GalRepVar_Дата_Оконч_Инв</vt:lpstr>
      <vt:lpstr>'ИНВ-6'!GalRepVar_Дата_Оконч_Инв</vt:lpstr>
      <vt:lpstr>СлВед_Нефин!GalRepVar_Дата_Оконч_Инв</vt:lpstr>
      <vt:lpstr>Prikaz_rus!GalRepVar_Дата_Приказа</vt:lpstr>
      <vt:lpstr>инв10_1b!GalRepVar_Дата_Приказа</vt:lpstr>
      <vt:lpstr>'ИНВ-13'!GalRepVar_Дата_Приказа</vt:lpstr>
      <vt:lpstr>'ИНВ-13_Vol'!GalRepVar_Дата_Приказа</vt:lpstr>
      <vt:lpstr>'ИНВ-16'!GalRepVar_Дата_Приказа</vt:lpstr>
      <vt:lpstr>'Инв-16-1'!GalRepVar_Дата_Приказа</vt:lpstr>
      <vt:lpstr>'ИНВ-16-1r'!GalRepVar_Дата_Приказа</vt:lpstr>
      <vt:lpstr>'ИНВ-16-1r-Транснефть'!GalRepVar_Дата_Приказа</vt:lpstr>
      <vt:lpstr>'ИНВ-16-dei'!GalRepVar_Дата_Приказа</vt:lpstr>
      <vt:lpstr>'ИНВ-19'!GalRepVar_Дата_Приказа</vt:lpstr>
      <vt:lpstr>'ИНВ-19_'!GalRepVar_Дата_Приказа</vt:lpstr>
      <vt:lpstr>'ИНВ-19-Транснефть'!GalRepVar_Дата_Приказа</vt:lpstr>
      <vt:lpstr>'ИНВ-3'!GalRepVar_Дата_Приказа</vt:lpstr>
      <vt:lpstr>'ИНВ-3_'!GalRepVar_Дата_Приказа</vt:lpstr>
      <vt:lpstr>'ИНВ-3b'!GalRepVar_Дата_Приказа</vt:lpstr>
      <vt:lpstr>'ИНВ-3b-dei'!GalRepVar_Дата_Приказа</vt:lpstr>
      <vt:lpstr>'ИНВ-3-Транснефть'!GalRepVar_Дата_Приказа</vt:lpstr>
      <vt:lpstr>инв5_1!GalRepVar_Дата_Приказа</vt:lpstr>
      <vt:lpstr>'ИНВ-6'!GalRepVar_Дата_Приказа</vt:lpstr>
      <vt:lpstr>СлВед_Нефин!GalRepVar_Дата_Приказа</vt:lpstr>
      <vt:lpstr>Prikaz_bel!GalRepVar_Дата_Приказа1</vt:lpstr>
      <vt:lpstr>'ИНВ-19'!GalRepVar_Дата_составления</vt:lpstr>
      <vt:lpstr>itog!GalRepVar_МОЛ</vt:lpstr>
      <vt:lpstr>itog1!GalRepVar_МОЛ</vt:lpstr>
      <vt:lpstr>itog16b!GalRepVar_МОЛ</vt:lpstr>
      <vt:lpstr>itog2!GalRepVar_МОЛ</vt:lpstr>
      <vt:lpstr>инв10_1b!GalRepVar_МОЛ</vt:lpstr>
      <vt:lpstr>инв10_2b!GalRepVar_МОЛ</vt:lpstr>
      <vt:lpstr>'ИНВ-13'!GalRepVar_МОЛ</vt:lpstr>
      <vt:lpstr>'ИНВ-13_Vol'!GalRepVar_МОЛ</vt:lpstr>
      <vt:lpstr>'ИНВ-16'!GalRepVar_МОЛ</vt:lpstr>
      <vt:lpstr>'Инв-16-1'!GalRepVar_МОЛ</vt:lpstr>
      <vt:lpstr>'ИНВ-16-1r'!GalRepVar_МОЛ</vt:lpstr>
      <vt:lpstr>'ИНВ-16-1r-Транснефть'!GalRepVar_МОЛ</vt:lpstr>
      <vt:lpstr>'ИНВ-16-3'!GalRepVar_МОЛ</vt:lpstr>
      <vt:lpstr>'ИНВ-16-3r'!GalRepVar_МОЛ</vt:lpstr>
      <vt:lpstr>'ИНВ-16-dei'!GalRepVar_МОЛ</vt:lpstr>
      <vt:lpstr>'ИНВ-19'!GalRepVar_МОЛ</vt:lpstr>
      <vt:lpstr>'ИНВ-19_'!GalRepVar_МОЛ</vt:lpstr>
      <vt:lpstr>'ИНВ-19-Транснефть'!GalRepVar_МОЛ</vt:lpstr>
      <vt:lpstr>'ИНВ-3'!GalRepVar_МОЛ</vt:lpstr>
      <vt:lpstr>'ИНВ-3_'!GalRepVar_МОЛ</vt:lpstr>
      <vt:lpstr>'ИНВ-3b'!GalRepVar_МОЛ</vt:lpstr>
      <vt:lpstr>'ИНВ-3b-dei'!GalRepVar_МОЛ</vt:lpstr>
      <vt:lpstr>'ИНВ-3-Транснефть'!GalRepVar_МОЛ</vt:lpstr>
      <vt:lpstr>инв5_1!GalRepVar_МОЛ</vt:lpstr>
      <vt:lpstr>инв5_2!GalRepVar_МОЛ</vt:lpstr>
      <vt:lpstr>итог!GalRepVar_МОЛ</vt:lpstr>
      <vt:lpstr>итог_ЦУ!GalRepVar_МОЛ</vt:lpstr>
      <vt:lpstr>итог2!GalRepVar_МОЛ</vt:lpstr>
      <vt:lpstr>СлВед_Нефин!GalRepVar_МОЛ</vt:lpstr>
      <vt:lpstr>СлВед_Нефин3!GalRepVar_МОЛ</vt:lpstr>
      <vt:lpstr>'Форма 401'!GalRepVar_МОЛ</vt:lpstr>
      <vt:lpstr>itog!GalRepVar_МОЛ_Должн</vt:lpstr>
      <vt:lpstr>itog1!GalRepVar_МОЛ_Должн</vt:lpstr>
      <vt:lpstr>itog16b!GalRepVar_МОЛ_Должн</vt:lpstr>
      <vt:lpstr>itog2!GalRepVar_МОЛ_Должн</vt:lpstr>
      <vt:lpstr>инв10_1b!GalRepVar_МОЛ_Должн</vt:lpstr>
      <vt:lpstr>инв10_2b!GalRepVar_МОЛ_Должн</vt:lpstr>
      <vt:lpstr>'ИНВ-13'!GalRepVar_МОЛ_Должн</vt:lpstr>
      <vt:lpstr>'ИНВ-13_Vol'!GalRepVar_МОЛ_Должн</vt:lpstr>
      <vt:lpstr>'ИНВ-16'!GalRepVar_МОЛ_Должн</vt:lpstr>
      <vt:lpstr>'Инв-16-1'!GalRepVar_МОЛ_Должн</vt:lpstr>
      <vt:lpstr>'ИНВ-16-1r'!GalRepVar_МОЛ_Должн</vt:lpstr>
      <vt:lpstr>'ИНВ-16-1r-Транснефть'!GalRepVar_МОЛ_Должн</vt:lpstr>
      <vt:lpstr>'ИНВ-16-3'!GalRepVar_МОЛ_Должн</vt:lpstr>
      <vt:lpstr>'ИНВ-16-3r'!GalRepVar_МОЛ_Должн</vt:lpstr>
      <vt:lpstr>'ИНВ-16-dei'!GalRepVar_МОЛ_Должн</vt:lpstr>
      <vt:lpstr>'ИНВ-19'!GalRepVar_МОЛ_Должн</vt:lpstr>
      <vt:lpstr>'ИНВ-19_'!GalRepVar_МОЛ_Должн</vt:lpstr>
      <vt:lpstr>'ИНВ-19-Транснефть'!GalRepVar_МОЛ_Должн</vt:lpstr>
      <vt:lpstr>'ИНВ-3'!GalRepVar_МОЛ_Должн</vt:lpstr>
      <vt:lpstr>'ИНВ-3_'!GalRepVar_МОЛ_Должн</vt:lpstr>
      <vt:lpstr>'ИНВ-3b'!GalRepVar_МОЛ_Должн</vt:lpstr>
      <vt:lpstr>'ИНВ-3b-dei'!GalRepVar_МОЛ_Должн</vt:lpstr>
      <vt:lpstr>'ИНВ-3-Транснефть'!GalRepVar_МОЛ_Должн</vt:lpstr>
      <vt:lpstr>инв5_1!GalRepVar_МОЛ_Должн</vt:lpstr>
      <vt:lpstr>инв5_2!GalRepVar_МОЛ_Должн</vt:lpstr>
      <vt:lpstr>СлВед_Нефин!GalRepVar_МОЛ_Должн</vt:lpstr>
      <vt:lpstr>СлВед_Нефин3!GalRepVar_МОЛ_Должн</vt:lpstr>
      <vt:lpstr>'Форма 401'!GalRepVar_МОЛ_Должн</vt:lpstr>
      <vt:lpstr>'ИНВ-19'!GalRepVar_МОЛ_Должн1</vt:lpstr>
      <vt:lpstr>Акт_инв!GalRepVar_МОЛ_ФИО_Долж</vt:lpstr>
      <vt:lpstr>'Форма 401'!GalRepVar_МОЛ_ФИО_Долж</vt:lpstr>
      <vt:lpstr>'ИНВ-19'!GalRepVar_МОЛ1</vt:lpstr>
      <vt:lpstr>'0504092'!GalRepVar_номер_OKPO</vt:lpstr>
      <vt:lpstr>Акт_инв!GalRepVar_номер_OKPO</vt:lpstr>
      <vt:lpstr>инв10_1b!GalRepVar_номер_OKPO</vt:lpstr>
      <vt:lpstr>'ИНВ-13'!GalRepVar_номер_OKPO</vt:lpstr>
      <vt:lpstr>'ИНВ-13_Vol'!GalRepVar_номер_OKPO</vt:lpstr>
      <vt:lpstr>'ИНВ-16'!GalRepVar_номер_OKPO</vt:lpstr>
      <vt:lpstr>'Инв-16-1'!GalRepVar_номер_OKPO</vt:lpstr>
      <vt:lpstr>'ИНВ-16-1r'!GalRepVar_номер_OKPO</vt:lpstr>
      <vt:lpstr>'ИНВ-16-1r-Транснефть'!GalRepVar_номер_OKPO</vt:lpstr>
      <vt:lpstr>'ИНВ-16-dei'!GalRepVar_номер_OKPO</vt:lpstr>
      <vt:lpstr>'ИНВ-19'!GalRepVar_номер_OKPO</vt:lpstr>
      <vt:lpstr>'ИНВ-19_'!GalRepVar_номер_OKPO</vt:lpstr>
      <vt:lpstr>'ИНВ-19-Транснефть'!GalRepVar_номер_OKPO</vt:lpstr>
      <vt:lpstr>'ИНВ-3'!GalRepVar_номер_OKPO</vt:lpstr>
      <vt:lpstr>'ИНВ-3_'!GalRepVar_номер_OKPO</vt:lpstr>
      <vt:lpstr>'ИНВ-3b'!GalRepVar_номер_OKPO</vt:lpstr>
      <vt:lpstr>'ИНВ-3b-dei'!GalRepVar_номер_OKPO</vt:lpstr>
      <vt:lpstr>'ИНВ-3-Транснефть'!GalRepVar_номер_OKPO</vt:lpstr>
      <vt:lpstr>инв5_1!GalRepVar_номер_OKPO</vt:lpstr>
      <vt:lpstr>'ИНВ-6'!GalRepVar_номер_OKPO</vt:lpstr>
      <vt:lpstr>'ОП-15'!GalRepVar_номер_OKPO</vt:lpstr>
      <vt:lpstr>СлВед_Нефин!GalRepVar_номер_OKPO</vt:lpstr>
      <vt:lpstr>'Форма 401'!GalRepVar_номер_OKPO</vt:lpstr>
      <vt:lpstr>'0504092'!GalRepVar_Номер_Инвентар</vt:lpstr>
      <vt:lpstr>Акт_инв!GalRepVar_Номер_Инвентар</vt:lpstr>
      <vt:lpstr>инв10_1b!GalRepVar_Номер_Инвентар</vt:lpstr>
      <vt:lpstr>'ИНВ-13'!GalRepVar_Номер_Инвентар</vt:lpstr>
      <vt:lpstr>'ИНВ-13_Vol'!GalRepVar_Номер_Инвентар</vt:lpstr>
      <vt:lpstr>'ИНВ-16'!GalRepVar_Номер_Инвентар</vt:lpstr>
      <vt:lpstr>'Инв-16-1'!GalRepVar_Номер_Инвентар</vt:lpstr>
      <vt:lpstr>'ИНВ-16-1r'!GalRepVar_Номер_Инвентар</vt:lpstr>
      <vt:lpstr>'ИНВ-16-1r-Транснефть'!GalRepVar_Номер_Инвентар</vt:lpstr>
      <vt:lpstr>'ИНВ-16-dei'!GalRepVar_Номер_Инвентар</vt:lpstr>
      <vt:lpstr>'ИНВ-19'!GalRepVar_Номер_Инвентар</vt:lpstr>
      <vt:lpstr>'ИНВ-19_'!GalRepVar_Номер_Инвентар</vt:lpstr>
      <vt:lpstr>'ИНВ-19-Транснефть'!GalRepVar_Номер_Инвентар</vt:lpstr>
      <vt:lpstr>'ИНВ-3'!GalRepVar_Номер_Инвентар</vt:lpstr>
      <vt:lpstr>'ИНВ-3_'!GalRepVar_Номер_Инвентар</vt:lpstr>
      <vt:lpstr>'ИНВ-3b'!GalRepVar_Номер_Инвентар</vt:lpstr>
      <vt:lpstr>'ИНВ-3b-dei'!GalRepVar_Номер_Инвентар</vt:lpstr>
      <vt:lpstr>'ИНВ-3-Транснефть'!GalRepVar_Номер_Инвентар</vt:lpstr>
      <vt:lpstr>инв5_1!GalRepVar_Номер_Инвентар</vt:lpstr>
      <vt:lpstr>'ИНВ-6'!GalRepVar_Номер_Инвентар</vt:lpstr>
      <vt:lpstr>'ОП-15'!GalRepVar_Номер_Инвентар</vt:lpstr>
      <vt:lpstr>СлВед_Нефин!GalRepVar_Номер_Инвентар</vt:lpstr>
      <vt:lpstr>'Форма 401'!GalRepVar_Номер_Инвентар</vt:lpstr>
      <vt:lpstr>Prikaz_bel!GalRepVar_Номер_Приказа</vt:lpstr>
      <vt:lpstr>Prikaz_rus!GalRepVar_Номер_Приказа</vt:lpstr>
      <vt:lpstr>Акт_инв!GalRepVar_Номер_Приказа</vt:lpstr>
      <vt:lpstr>инв10_1b!GalRepVar_Номер_Приказа</vt:lpstr>
      <vt:lpstr>'ИНВ-13'!GalRepVar_Номер_Приказа</vt:lpstr>
      <vt:lpstr>'ИНВ-13_Vol'!GalRepVar_Номер_Приказа</vt:lpstr>
      <vt:lpstr>'ИНВ-16'!GalRepVar_Номер_Приказа</vt:lpstr>
      <vt:lpstr>'Инв-16-1'!GalRepVar_Номер_Приказа</vt:lpstr>
      <vt:lpstr>'ИНВ-16-1r'!GalRepVar_Номер_Приказа</vt:lpstr>
      <vt:lpstr>'ИНВ-16-1r-Транснефть'!GalRepVar_Номер_Приказа</vt:lpstr>
      <vt:lpstr>'ИНВ-16-dei'!GalRepVar_Номер_Приказа</vt:lpstr>
      <vt:lpstr>'ИНВ-19'!GalRepVar_Номер_Приказа</vt:lpstr>
      <vt:lpstr>'ИНВ-19_'!GalRepVar_Номер_Приказа</vt:lpstr>
      <vt:lpstr>'ИНВ-19-Транснефть'!GalRepVar_Номер_Приказа</vt:lpstr>
      <vt:lpstr>'ИНВ-3'!GalRepVar_Номер_Приказа</vt:lpstr>
      <vt:lpstr>'ИНВ-3_'!GalRepVar_Номер_Приказа</vt:lpstr>
      <vt:lpstr>'ИНВ-3b'!GalRepVar_Номер_Приказа</vt:lpstr>
      <vt:lpstr>'ИНВ-3b-dei'!GalRepVar_Номер_Приказа</vt:lpstr>
      <vt:lpstr>'ИНВ-3-Транснефть'!GalRepVar_Номер_Приказа</vt:lpstr>
      <vt:lpstr>инв5_1!GalRepVar_Номер_Приказа</vt:lpstr>
      <vt:lpstr>'ИНВ-6'!GalRepVar_Номер_Приказа</vt:lpstr>
      <vt:lpstr>СлВед_Нефин!GalRepVar_Номер_Приказа</vt:lpstr>
      <vt:lpstr>Prikaz_rus!GalRepVar_ОКПО</vt:lpstr>
      <vt:lpstr>Prikaz_bel!GalRepVar_Орган_название</vt:lpstr>
      <vt:lpstr>Prikaz_bel!GalRepVar_Председатель_комиссии_Должность</vt:lpstr>
      <vt:lpstr>Prikaz_rus!GalRepVar_Председатель_комиссии_Должность</vt:lpstr>
      <vt:lpstr>Акт_инв!GalRepVar_Председатель_комиссии_Должность</vt:lpstr>
      <vt:lpstr>инв10_2b!GalRepVar_Председатель_комиссии_Должность</vt:lpstr>
      <vt:lpstr>'ИНВ-13'!GalRepVar_Председатель_комиссии_Должность</vt:lpstr>
      <vt:lpstr>'ИНВ-13_Vol'!GalRepVar_Председатель_комиссии_Должность</vt:lpstr>
      <vt:lpstr>'ИНВ-16-3'!GalRepVar_Председатель_комиссии_Должность</vt:lpstr>
      <vt:lpstr>'ИНВ-16-3r'!GalRepVar_Председатель_комиссии_Должность</vt:lpstr>
      <vt:lpstr>'ИНВ-3'!GalRepVar_Председатель_комиссии_Должность</vt:lpstr>
      <vt:lpstr>'ИНВ-3_'!GalRepVar_Председатель_комиссии_Должность</vt:lpstr>
      <vt:lpstr>'ИНВ-3b'!GalRepVar_Председатель_комиссии_Должность</vt:lpstr>
      <vt:lpstr>'ИНВ-3b-dei'!GalRepVar_Председатель_комиссии_Должность</vt:lpstr>
      <vt:lpstr>'ИНВ-3-Транснефть'!GalRepVar_Председатель_комиссии_Должность</vt:lpstr>
      <vt:lpstr>инв5_2!GalRepVar_Председатель_комиссии_Должность</vt:lpstr>
      <vt:lpstr>'ИНВ-6'!GalRepVar_Председатель_комиссии_Должность</vt:lpstr>
      <vt:lpstr>СлВед_Нефин3!GalRepVar_Председатель_комиссии_Должность</vt:lpstr>
      <vt:lpstr>Prikaz_bel!GalRepVar_Председатель_комиссии_ФИО</vt:lpstr>
      <vt:lpstr>Prikaz_rus!GalRepVar_Председатель_комиссии_ФИО</vt:lpstr>
      <vt:lpstr>Акт_инв!GalRepVar_Председатель_комиссии_ФИО</vt:lpstr>
      <vt:lpstr>инв10_2b!GalRepVar_Председатель_комиссии_ФИО</vt:lpstr>
      <vt:lpstr>'ИНВ-13'!GalRepVar_Председатель_комиссии_ФИО</vt:lpstr>
      <vt:lpstr>'ИНВ-13_Vol'!GalRepVar_Председатель_комиссии_ФИО</vt:lpstr>
      <vt:lpstr>'ИНВ-16-3'!GalRepVar_Председатель_комиссии_ФИО</vt:lpstr>
      <vt:lpstr>'ИНВ-16-3r'!GalRepVar_Председатель_комиссии_ФИО</vt:lpstr>
      <vt:lpstr>'ИНВ-3'!GalRepVar_Председатель_комиссии_ФИО</vt:lpstr>
      <vt:lpstr>'ИНВ-3_'!GalRepVar_Председатель_комиссии_ФИО</vt:lpstr>
      <vt:lpstr>'ИНВ-3b'!GalRepVar_Председатель_комиссии_ФИО</vt:lpstr>
      <vt:lpstr>'ИНВ-3b-dei'!GalRepVar_Председатель_комиссии_ФИО</vt:lpstr>
      <vt:lpstr>'ИНВ-3-Транснефть'!GalRepVar_Председатель_комиссии_ФИО</vt:lpstr>
      <vt:lpstr>инв5_2!GalRepVar_Председатель_комиссии_ФИО</vt:lpstr>
      <vt:lpstr>'ИНВ-6'!GalRepVar_Председатель_комиссии_ФИО</vt:lpstr>
      <vt:lpstr>СлВед_Нефин3!GalRepVar_Председатель_комиссии_ФИО</vt:lpstr>
      <vt:lpstr>'0504092'!GalRepVar_Склад</vt:lpstr>
      <vt:lpstr>Prikaz_rus!GalRepVar_Склад</vt:lpstr>
      <vt:lpstr>инв10_1b!GalRepVar_Склад</vt:lpstr>
      <vt:lpstr>'ИНВ-13'!GalRepVar_Склад</vt:lpstr>
      <vt:lpstr>'ИНВ-13_Vol'!GalRepVar_Склад</vt:lpstr>
      <vt:lpstr>'ИНВ-16'!GalRepVar_Склад</vt:lpstr>
      <vt:lpstr>'Инв-16-1'!GalRepVar_Склад</vt:lpstr>
      <vt:lpstr>'ИНВ-16-1r'!GalRepVar_Склад</vt:lpstr>
      <vt:lpstr>'ИНВ-16-1r-Транснефть'!GalRepVar_Склад</vt:lpstr>
      <vt:lpstr>'ИНВ-16-dei'!GalRepVar_Склад</vt:lpstr>
      <vt:lpstr>'ИНВ-19'!GalRepVar_Склад</vt:lpstr>
      <vt:lpstr>'ИНВ-19_'!GalRepVar_Склад</vt:lpstr>
      <vt:lpstr>'ИНВ-19-Транснефть'!GalRepVar_Склад</vt:lpstr>
      <vt:lpstr>'ИНВ-3'!GalRepVar_Склад</vt:lpstr>
      <vt:lpstr>'ИНВ-3_'!GalRepVar_Склад</vt:lpstr>
      <vt:lpstr>'ИНВ-3b'!GalRepVar_Склад</vt:lpstr>
      <vt:lpstr>'ИНВ-3b-dei'!GalRepVar_Склад</vt:lpstr>
      <vt:lpstr>'ИНВ-3-Транснефть'!GalRepVar_Склад</vt:lpstr>
      <vt:lpstr>инв5_1!GalRepVar_Склад</vt:lpstr>
      <vt:lpstr>'ИНВ-6'!GalRepVar_Склад</vt:lpstr>
      <vt:lpstr>итог!GalRepVar_Склад</vt:lpstr>
      <vt:lpstr>итог_ЦУ!GalRepVar_Склад</vt:lpstr>
      <vt:lpstr>итог2!GalRepVar_Склад</vt:lpstr>
      <vt:lpstr>'ОП-15'!GalRepVar_Склад</vt:lpstr>
      <vt:lpstr>СлВед_Нефин!GalRepVar_Склад</vt:lpstr>
      <vt:lpstr>'Форма 401'!GalRepVar_Склад</vt:lpstr>
      <vt:lpstr>'0504092'!Print_Area</vt:lpstr>
      <vt:lpstr>инв10_2b!Print_Area</vt:lpstr>
      <vt:lpstr>'ИНВ-13'!Print_Area</vt:lpstr>
      <vt:lpstr>'ИНВ-13_2'!Print_Area</vt:lpstr>
      <vt:lpstr>'ИНВ-13_Vol'!Print_Area</vt:lpstr>
      <vt:lpstr>'ИНВ-16'!Print_Area</vt:lpstr>
      <vt:lpstr>'ИНВ-16-1r'!Print_Area</vt:lpstr>
      <vt:lpstr>'ИНВ-16-1r-Транснефть'!Print_Area</vt:lpstr>
      <vt:lpstr>'ИНВ-16-3'!Print_Area</vt:lpstr>
      <vt:lpstr>'ИНВ-16-3r'!Print_Area</vt:lpstr>
      <vt:lpstr>'ИНВ-16-dei'!Print_Area</vt:lpstr>
      <vt:lpstr>инв5!Print_Area</vt:lpstr>
      <vt:lpstr>инв5_2!Print_Area</vt:lpstr>
      <vt:lpstr>'ИНВ-6'!Print_Area</vt:lpstr>
      <vt:lpstr>'ИНВ-6-2'!Print_Area</vt:lpstr>
      <vt:lpstr>'ОП-15'!Print_Area</vt:lpstr>
      <vt:lpstr>СлВед_Нефин!Print_Area</vt:lpstr>
      <vt:lpstr>СлВед_Нефин2!Print_Area</vt:lpstr>
      <vt:lpstr>СлВед_Нефин3!Print_Area</vt:lpstr>
      <vt:lpstr>'Форма 401'!Print_Area</vt:lpstr>
      <vt:lpstr>'Инв-16-2'!Print_Titles</vt:lpstr>
      <vt:lpstr>'Инв-16-2r'!Print_Titles</vt:lpstr>
      <vt:lpstr>итог!Print_Titles</vt:lpstr>
      <vt:lpstr>итог_ЦУ!Print_Titles</vt:lpstr>
      <vt:lpstr>итог2!Print_Titles</vt:lpstr>
      <vt:lpstr>СлВед_Нефин2!Print_Titles</vt:lpstr>
      <vt:lpstr>'Форма 401'!Print_Titles</vt:lpstr>
      <vt:lpstr>КТ</vt:lpstr>
      <vt:lpstr>'ИНВ-13'!Область_печати</vt:lpstr>
    </vt:vector>
  </TitlesOfParts>
  <Company>MMD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Шилин</dc:creator>
  <cp:lastModifiedBy>Шилин</cp:lastModifiedBy>
  <cp:lastPrinted>2021-12-06T13:48:40Z</cp:lastPrinted>
  <dcterms:created xsi:type="dcterms:W3CDTF">2007-10-18T14:52:30Z</dcterms:created>
  <dcterms:modified xsi:type="dcterms:W3CDTF">2021-12-06T13:49:53Z</dcterms:modified>
</cp:coreProperties>
</file>