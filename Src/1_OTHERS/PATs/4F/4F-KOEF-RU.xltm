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_DEV\Galaktika_9.1\Src\1_OTHERS\PATs\4F\"/>
    </mc:Choice>
  </mc:AlternateContent>
  <bookViews>
    <workbookView xWindow="120" yWindow="120" windowWidth="12390" windowHeight="8835" activeTab="1"/>
  </bookViews>
  <sheets>
    <sheet name="PATVARS" sheetId="28" r:id="rId1"/>
    <sheet name="Коэффициенты для РУ" sheetId="10" r:id="rId2"/>
    <sheet name="Шаблон для PAT - отчёта" sheetId="8" r:id="rId3"/>
  </sheets>
  <functionGroups builtInGroupCount="18"/>
  <definedNames>
    <definedName name="_xlnm.Database">#REF!</definedName>
  </definedNames>
  <calcPr calcId="162913"/>
</workbook>
</file>

<file path=xl/calcChain.xml><?xml version="1.0" encoding="utf-8"?>
<calcChain xmlns="http://schemas.openxmlformats.org/spreadsheetml/2006/main">
  <c r="J6" i="10" l="1"/>
  <c r="H5" i="10"/>
  <c r="B1" i="8"/>
  <c r="B2" i="8"/>
  <c r="B3" i="8"/>
  <c r="E21" i="10"/>
  <c r="E24" i="10"/>
  <c r="E20" i="10"/>
  <c r="E30" i="10"/>
  <c r="E26" i="10"/>
  <c r="E10" i="10"/>
  <c r="E16" i="10"/>
  <c r="E28" i="10"/>
  <c r="E12" i="10"/>
  <c r="E22" i="10"/>
  <c r="E29" i="10"/>
  <c r="E14" i="10"/>
  <c r="B2" i="10"/>
  <c r="E19" i="10"/>
  <c r="H6" i="10"/>
  <c r="E11" i="10"/>
  <c r="E9" i="10"/>
  <c r="E18" i="10"/>
  <c r="E15" i="10"/>
  <c r="H4" i="10"/>
  <c r="E23" i="10"/>
  <c r="E17" i="10"/>
  <c r="E13" i="10"/>
  <c r="E27" i="10"/>
  <c r="E25" i="10"/>
  <c r="H3" i="10"/>
  <c r="J3" i="10"/>
  <c r="J4" i="10"/>
  <c r="J5" i="10"/>
  <c r="C2" i="10"/>
</calcChain>
</file>

<file path=xl/sharedStrings.xml><?xml version="1.0" encoding="utf-8"?>
<sst xmlns="http://schemas.openxmlformats.org/spreadsheetml/2006/main" count="114" uniqueCount="77">
  <si>
    <t>&gt;</t>
  </si>
  <si>
    <t>&lt;</t>
  </si>
  <si>
    <t>&lt;&gt;</t>
  </si>
  <si>
    <t>SPECNAME</t>
  </si>
  <si>
    <t>VARNAME</t>
  </si>
  <si>
    <t>FVALUE</t>
  </si>
  <si>
    <t>FVALUEC</t>
  </si>
  <si>
    <t>FVALUENUM</t>
  </si>
  <si>
    <t>FVALUECNUM</t>
  </si>
  <si>
    <t>koef_zatr</t>
  </si>
  <si>
    <t>&amp;A90_01</t>
  </si>
  <si>
    <t>&amp;A90_02</t>
  </si>
  <si>
    <t>&amp;A90_03</t>
  </si>
  <si>
    <t>&amp;A90_04</t>
  </si>
  <si>
    <t>&amp;A90_04_439</t>
  </si>
  <si>
    <t>&amp;A90_05</t>
  </si>
  <si>
    <t>&amp;A90_05_439</t>
  </si>
  <si>
    <t>&amp;АДР</t>
  </si>
  <si>
    <t>&amp;МЕСИ</t>
  </si>
  <si>
    <t>&amp;РУК</t>
  </si>
  <si>
    <t>&amp;ГБУХ</t>
  </si>
  <si>
    <t>&amp;ОРГ</t>
  </si>
  <si>
    <t>&amp;КНИ</t>
  </si>
  <si>
    <t>&amp;УНН</t>
  </si>
  <si>
    <t>&amp;ТЕЛ</t>
  </si>
  <si>
    <t>&amp;ГОД</t>
  </si>
  <si>
    <t>&amp;МЕС</t>
  </si>
  <si>
    <t>&amp;УПЛНДС</t>
  </si>
  <si>
    <t xml:space="preserve">Коэффициенты </t>
  </si>
  <si>
    <t>за</t>
  </si>
  <si>
    <t>года</t>
  </si>
  <si>
    <t>k_26 =</t>
  </si>
  <si>
    <t>К-т с 90-01 по 90-03 - Д-т 90-07 (КАУ 1 и 9)</t>
  </si>
  <si>
    <t>=</t>
  </si>
  <si>
    <t>К-т с 90-01 по 90-05 + К-т 90-06 (КАУ 610) + (К-т 90-06 (КАУ 611-614) - Д-т 90-09 КАУ (611-614)) - Д-т 90-07</t>
  </si>
  <si>
    <t>k_20,44-01 =</t>
  </si>
  <si>
    <t>К-т  90_01</t>
  </si>
  <si>
    <t>К-т  90_02</t>
  </si>
  <si>
    <t>К-т  90_03</t>
  </si>
  <si>
    <t>К-т  90_04</t>
  </si>
  <si>
    <t>К-т  90_05</t>
  </si>
  <si>
    <t>К-т  90_04.439</t>
  </si>
  <si>
    <t>К-т  90_05.439</t>
  </si>
  <si>
    <t>К-т  90_06.610</t>
  </si>
  <si>
    <t>К-т  90_06.611</t>
  </si>
  <si>
    <t>К-т  90_06.612</t>
  </si>
  <si>
    <t>К-т  90_06.613</t>
  </si>
  <si>
    <t>К-т  90_06.614</t>
  </si>
  <si>
    <t>Д-т  90_07</t>
  </si>
  <si>
    <t>Д-т  90_07_4</t>
  </si>
  <si>
    <t>Д-т  90_07_5</t>
  </si>
  <si>
    <t>Д-т  90_07_1</t>
  </si>
  <si>
    <t>Д-т  90_07_9</t>
  </si>
  <si>
    <t>Д-т  90_09.611</t>
  </si>
  <si>
    <t>Д-т  90_09.612</t>
  </si>
  <si>
    <t>Д-т  90_09.613</t>
  </si>
  <si>
    <t>Д-т  90_09.614</t>
  </si>
  <si>
    <t>&amp;A90_06_610</t>
  </si>
  <si>
    <t>&amp;A90_06_611</t>
  </si>
  <si>
    <t>&amp;A90_06_612</t>
  </si>
  <si>
    <t>&amp;A90_06_613</t>
  </si>
  <si>
    <t>&amp;A90_06_614</t>
  </si>
  <si>
    <t>&amp;D90_06_610</t>
  </si>
  <si>
    <t>&amp;D90_09_611</t>
  </si>
  <si>
    <t>&amp;D90_09_612</t>
  </si>
  <si>
    <t>&amp;D90_09_613</t>
  </si>
  <si>
    <t>&amp;D90_09_614</t>
  </si>
  <si>
    <t>&amp;D90_07</t>
  </si>
  <si>
    <t>&amp;D90_07_1</t>
  </si>
  <si>
    <t>&amp;D90_07_4</t>
  </si>
  <si>
    <t>&amp;D90_07_5</t>
  </si>
  <si>
    <t>&amp;D90_07_9</t>
  </si>
  <si>
    <t>&amp;DATEENDR</t>
  </si>
  <si>
    <t>&amp;DM</t>
  </si>
  <si>
    <t>&amp;P90_09_42</t>
  </si>
  <si>
    <t>Проводки   90_09/42_03</t>
  </si>
  <si>
    <t>К-т с 90-01 по 90-05 - К-т 90-04,05 (КАУ 439) - (Д-т 90-07 + Пр-ки Д 90-09/К42_03)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</si>
</sst>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" x14ac:knownFonts="1">
    <font>
      <sz val="10"/>
      <name val="Arial Cyr"/>
      <charset val="204"/>
    </font>
    <font>
      <b/>
      <sz val="16"/>
      <name val="Arial Cyr"/>
      <charset val="204"/>
    </font>
    <font>
      <b/>
      <sz val="10"/>
      <name val="Arial Cyr"/>
      <charset val="204"/>
    </font>
    <font>
      <b/>
      <sz val="12"/>
      <name val="Arial Cyr"/>
      <charset val="204"/>
    </font>
    <font>
      <b/>
      <sz val="11"/>
      <name val="Arial Cyr"/>
      <charset val="204"/>
    </font>
    <font>
      <b/>
      <sz val="14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1" fontId="0" fillId="0" borderId="0" xfId="0" applyNumberFormat="1"/>
    <xf numFmtId="164" fontId="0" fillId="0" borderId="0" xfId="0" applyNumberForma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0" xfId="0" applyFont="1"/>
    <xf numFmtId="0" fontId="4" fillId="0" borderId="1" xfId="0" applyFont="1" applyBorder="1" applyAlignment="1">
      <alignment horizontal="left"/>
    </xf>
    <xf numFmtId="0" fontId="4" fillId="0" borderId="1" xfId="0" applyFont="1" applyBorder="1"/>
    <xf numFmtId="0" fontId="4" fillId="0" borderId="0" xfId="0" applyFont="1" applyBorder="1" applyAlignment="1">
      <alignment horizontal="left" vertical="top"/>
    </xf>
    <xf numFmtId="0" fontId="4" fillId="0" borderId="0" xfId="0" applyFont="1" applyBorder="1" applyAlignment="1">
      <alignment horizontal="center"/>
    </xf>
    <xf numFmtId="0" fontId="4" fillId="0" borderId="0" xfId="0" applyFont="1"/>
    <xf numFmtId="0" fontId="3" fillId="0" borderId="2" xfId="0" applyFont="1" applyBorder="1"/>
    <xf numFmtId="2" fontId="3" fillId="0" borderId="3" xfId="0" applyNumberFormat="1" applyFont="1" applyBorder="1"/>
    <xf numFmtId="2" fontId="0" fillId="0" borderId="0" xfId="0" applyNumberFormat="1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4" xfId="0" applyFont="1" applyBorder="1" applyAlignment="1"/>
    <xf numFmtId="0" fontId="0" fillId="0" borderId="5" xfId="0" applyBorder="1" applyAlignment="1"/>
    <xf numFmtId="0" fontId="0" fillId="0" borderId="6" xfId="0" applyBorder="1" applyAlignme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7"/>
  <sheetViews>
    <sheetView workbookViewId="0">
      <selection activeCell="C37" sqref="C2:F37"/>
    </sheetView>
  </sheetViews>
  <sheetFormatPr defaultRowHeight="12.75" x14ac:dyDescent="0.2"/>
  <cols>
    <col min="1" max="4" width="25.7109375" customWidth="1"/>
    <col min="5" max="5" width="17.7109375" customWidth="1"/>
    <col min="6" max="6" width="20.7109375" customWidth="1"/>
  </cols>
  <sheetData>
    <row r="1" spans="1:6" x14ac:dyDescent="0.2">
      <c r="A1" s="1" t="s">
        <v>3</v>
      </c>
      <c r="B1" s="1" t="s">
        <v>4</v>
      </c>
      <c r="C1" s="1" t="s">
        <v>5</v>
      </c>
      <c r="D1" s="1" t="s">
        <v>6</v>
      </c>
      <c r="E1" s="2" t="s">
        <v>7</v>
      </c>
      <c r="F1" s="2" t="s">
        <v>8</v>
      </c>
    </row>
    <row r="2" spans="1:6" x14ac:dyDescent="0.2">
      <c r="A2" s="1" t="s">
        <v>9</v>
      </c>
      <c r="B2" s="1" t="s">
        <v>10</v>
      </c>
      <c r="C2" s="1"/>
      <c r="D2" s="1"/>
      <c r="E2" s="2"/>
      <c r="F2" s="2"/>
    </row>
    <row r="3" spans="1:6" x14ac:dyDescent="0.2">
      <c r="A3" s="1" t="s">
        <v>9</v>
      </c>
      <c r="B3" s="1" t="s">
        <v>11</v>
      </c>
      <c r="C3" s="1"/>
      <c r="D3" s="1"/>
      <c r="E3" s="2"/>
      <c r="F3" s="2"/>
    </row>
    <row r="4" spans="1:6" x14ac:dyDescent="0.2">
      <c r="A4" s="1" t="s">
        <v>9</v>
      </c>
      <c r="B4" s="1" t="s">
        <v>12</v>
      </c>
      <c r="C4" s="1"/>
      <c r="D4" s="1"/>
      <c r="E4" s="2"/>
      <c r="F4" s="2"/>
    </row>
    <row r="5" spans="1:6" x14ac:dyDescent="0.2">
      <c r="A5" s="1" t="s">
        <v>9</v>
      </c>
      <c r="B5" s="1" t="s">
        <v>13</v>
      </c>
      <c r="C5" s="1"/>
      <c r="D5" s="1"/>
      <c r="E5" s="2"/>
      <c r="F5" s="2"/>
    </row>
    <row r="6" spans="1:6" x14ac:dyDescent="0.2">
      <c r="A6" s="1" t="s">
        <v>9</v>
      </c>
      <c r="B6" s="1" t="s">
        <v>14</v>
      </c>
      <c r="C6" s="1"/>
      <c r="D6" s="1"/>
      <c r="E6" s="2"/>
      <c r="F6" s="2"/>
    </row>
    <row r="7" spans="1:6" x14ac:dyDescent="0.2">
      <c r="A7" s="1" t="s">
        <v>9</v>
      </c>
      <c r="B7" s="1" t="s">
        <v>15</v>
      </c>
      <c r="C7" s="1"/>
      <c r="D7" s="1"/>
      <c r="E7" s="2"/>
      <c r="F7" s="2"/>
    </row>
    <row r="8" spans="1:6" x14ac:dyDescent="0.2">
      <c r="A8" s="1" t="s">
        <v>9</v>
      </c>
      <c r="B8" s="1" t="s">
        <v>16</v>
      </c>
      <c r="C8" s="1"/>
      <c r="D8" s="1"/>
      <c r="E8" s="2"/>
      <c r="F8" s="2"/>
    </row>
    <row r="9" spans="1:6" x14ac:dyDescent="0.2">
      <c r="A9" s="1" t="s">
        <v>9</v>
      </c>
      <c r="B9" s="1" t="s">
        <v>57</v>
      </c>
      <c r="C9" s="1"/>
      <c r="D9" s="1"/>
      <c r="E9" s="2"/>
      <c r="F9" s="2"/>
    </row>
    <row r="10" spans="1:6" x14ac:dyDescent="0.2">
      <c r="A10" s="1" t="s">
        <v>9</v>
      </c>
      <c r="B10" s="1" t="s">
        <v>58</v>
      </c>
      <c r="C10" s="1"/>
      <c r="D10" s="1"/>
      <c r="E10" s="2"/>
      <c r="F10" s="2"/>
    </row>
    <row r="11" spans="1:6" x14ac:dyDescent="0.2">
      <c r="A11" s="1" t="s">
        <v>9</v>
      </c>
      <c r="B11" s="1" t="s">
        <v>59</v>
      </c>
      <c r="C11" s="1"/>
      <c r="D11" s="1"/>
      <c r="E11" s="2"/>
      <c r="F11" s="2"/>
    </row>
    <row r="12" spans="1:6" x14ac:dyDescent="0.2">
      <c r="A12" s="1" t="s">
        <v>9</v>
      </c>
      <c r="B12" s="1" t="s">
        <v>60</v>
      </c>
      <c r="C12" s="1"/>
      <c r="D12" s="1"/>
      <c r="E12" s="2"/>
      <c r="F12" s="2"/>
    </row>
    <row r="13" spans="1:6" x14ac:dyDescent="0.2">
      <c r="A13" s="1" t="s">
        <v>9</v>
      </c>
      <c r="B13" s="1" t="s">
        <v>61</v>
      </c>
      <c r="C13" s="1"/>
      <c r="D13" s="1"/>
      <c r="E13" s="2"/>
      <c r="F13" s="2"/>
    </row>
    <row r="14" spans="1:6" x14ac:dyDescent="0.2">
      <c r="A14" s="1" t="s">
        <v>9</v>
      </c>
      <c r="B14" s="1" t="s">
        <v>62</v>
      </c>
      <c r="C14" s="1"/>
      <c r="D14" s="1"/>
      <c r="E14" s="2"/>
      <c r="F14" s="2"/>
    </row>
    <row r="15" spans="1:6" x14ac:dyDescent="0.2">
      <c r="A15" s="1" t="s">
        <v>9</v>
      </c>
      <c r="B15" s="1" t="s">
        <v>63</v>
      </c>
      <c r="C15" s="1"/>
      <c r="D15" s="1"/>
      <c r="E15" s="2"/>
      <c r="F15" s="2"/>
    </row>
    <row r="16" spans="1:6" x14ac:dyDescent="0.2">
      <c r="A16" s="1" t="s">
        <v>9</v>
      </c>
      <c r="B16" s="1" t="s">
        <v>64</v>
      </c>
      <c r="C16" s="1"/>
      <c r="D16" s="1"/>
      <c r="E16" s="2"/>
      <c r="F16" s="2"/>
    </row>
    <row r="17" spans="1:6" x14ac:dyDescent="0.2">
      <c r="A17" s="1" t="s">
        <v>9</v>
      </c>
      <c r="B17" s="1" t="s">
        <v>65</v>
      </c>
      <c r="C17" s="1"/>
      <c r="D17" s="1"/>
      <c r="E17" s="2"/>
      <c r="F17" s="2"/>
    </row>
    <row r="18" spans="1:6" x14ac:dyDescent="0.2">
      <c r="A18" s="1" t="s">
        <v>9</v>
      </c>
      <c r="B18" s="1" t="s">
        <v>66</v>
      </c>
      <c r="C18" s="1"/>
      <c r="D18" s="1"/>
      <c r="E18" s="2"/>
      <c r="F18" s="2"/>
    </row>
    <row r="19" spans="1:6" x14ac:dyDescent="0.2">
      <c r="A19" s="1" t="s">
        <v>9</v>
      </c>
      <c r="B19" s="1" t="s">
        <v>67</v>
      </c>
      <c r="C19" s="1"/>
      <c r="D19" s="1"/>
      <c r="E19" s="2"/>
      <c r="F19" s="2"/>
    </row>
    <row r="20" spans="1:6" x14ac:dyDescent="0.2">
      <c r="A20" s="1" t="s">
        <v>9</v>
      </c>
      <c r="B20" s="1" t="s">
        <v>68</v>
      </c>
      <c r="C20" s="1"/>
      <c r="D20" s="1"/>
      <c r="E20" s="2"/>
      <c r="F20" s="2"/>
    </row>
    <row r="21" spans="1:6" x14ac:dyDescent="0.2">
      <c r="A21" s="1" t="s">
        <v>9</v>
      </c>
      <c r="B21" s="1" t="s">
        <v>69</v>
      </c>
      <c r="C21" s="1"/>
      <c r="D21" s="1"/>
      <c r="E21" s="2"/>
      <c r="F21" s="2"/>
    </row>
    <row r="22" spans="1:6" x14ac:dyDescent="0.2">
      <c r="A22" s="1" t="s">
        <v>9</v>
      </c>
      <c r="B22" s="1" t="s">
        <v>70</v>
      </c>
      <c r="C22" s="1"/>
      <c r="D22" s="1"/>
      <c r="E22" s="2"/>
      <c r="F22" s="2"/>
    </row>
    <row r="23" spans="1:6" x14ac:dyDescent="0.2">
      <c r="A23" s="1" t="s">
        <v>9</v>
      </c>
      <c r="B23" s="1" t="s">
        <v>71</v>
      </c>
      <c r="C23" s="1"/>
      <c r="D23" s="1"/>
      <c r="E23" s="2"/>
      <c r="F23" s="2"/>
    </row>
    <row r="24" spans="1:6" x14ac:dyDescent="0.2">
      <c r="A24" s="1" t="s">
        <v>9</v>
      </c>
      <c r="B24" s="1" t="s">
        <v>74</v>
      </c>
      <c r="C24" s="1"/>
      <c r="D24" s="1"/>
      <c r="E24" s="2"/>
      <c r="F24" s="2"/>
    </row>
    <row r="25" spans="1:6" x14ac:dyDescent="0.2">
      <c r="A25" s="1" t="s">
        <v>9</v>
      </c>
      <c r="B25" s="1" t="s">
        <v>17</v>
      </c>
      <c r="C25" s="1"/>
      <c r="D25" s="1"/>
      <c r="E25" s="2"/>
      <c r="F25" s="2"/>
    </row>
    <row r="26" spans="1:6" x14ac:dyDescent="0.2">
      <c r="A26" s="1" t="s">
        <v>9</v>
      </c>
      <c r="B26" s="1" t="s">
        <v>18</v>
      </c>
      <c r="C26" s="1"/>
      <c r="D26" s="1"/>
      <c r="E26" s="2"/>
      <c r="F26" s="2"/>
    </row>
    <row r="27" spans="1:6" x14ac:dyDescent="0.2">
      <c r="A27" s="1" t="s">
        <v>9</v>
      </c>
      <c r="B27" s="1" t="s">
        <v>19</v>
      </c>
      <c r="C27" s="1"/>
      <c r="D27" s="1"/>
      <c r="E27" s="2"/>
      <c r="F27" s="2"/>
    </row>
    <row r="28" spans="1:6" x14ac:dyDescent="0.2">
      <c r="A28" s="1" t="s">
        <v>9</v>
      </c>
      <c r="B28" s="1" t="s">
        <v>20</v>
      </c>
      <c r="C28" s="1"/>
      <c r="D28" s="1"/>
      <c r="E28" s="2"/>
      <c r="F28" s="2"/>
    </row>
    <row r="29" spans="1:6" x14ac:dyDescent="0.2">
      <c r="A29" s="1" t="s">
        <v>9</v>
      </c>
      <c r="B29" s="1" t="s">
        <v>21</v>
      </c>
      <c r="C29" s="1"/>
      <c r="D29" s="1"/>
      <c r="E29" s="2"/>
      <c r="F29" s="2"/>
    </row>
    <row r="30" spans="1:6" x14ac:dyDescent="0.2">
      <c r="A30" s="1" t="s">
        <v>9</v>
      </c>
      <c r="B30" s="1" t="s">
        <v>22</v>
      </c>
      <c r="C30" s="1"/>
      <c r="D30" s="1"/>
      <c r="E30" s="2"/>
      <c r="F30" s="2"/>
    </row>
    <row r="31" spans="1:6" x14ac:dyDescent="0.2">
      <c r="A31" s="1" t="s">
        <v>9</v>
      </c>
      <c r="B31" s="1" t="s">
        <v>23</v>
      </c>
      <c r="C31" s="1"/>
      <c r="D31" s="1"/>
      <c r="E31" s="2"/>
      <c r="F31" s="2"/>
    </row>
    <row r="32" spans="1:6" x14ac:dyDescent="0.2">
      <c r="A32" s="1" t="s">
        <v>9</v>
      </c>
      <c r="B32" s="1" t="s">
        <v>24</v>
      </c>
      <c r="C32" s="1"/>
      <c r="D32" s="1"/>
      <c r="E32" s="2"/>
      <c r="F32" s="2"/>
    </row>
    <row r="33" spans="1:6" x14ac:dyDescent="0.2">
      <c r="A33" s="1" t="s">
        <v>9</v>
      </c>
      <c r="B33" s="1" t="s">
        <v>25</v>
      </c>
      <c r="C33" s="1"/>
      <c r="D33" s="1"/>
      <c r="E33" s="2"/>
      <c r="F33" s="2"/>
    </row>
    <row r="34" spans="1:6" x14ac:dyDescent="0.2">
      <c r="A34" s="1" t="s">
        <v>9</v>
      </c>
      <c r="B34" s="1" t="s">
        <v>26</v>
      </c>
      <c r="C34" s="1"/>
      <c r="D34" s="1"/>
      <c r="E34" s="2"/>
      <c r="F34" s="2"/>
    </row>
    <row r="35" spans="1:6" x14ac:dyDescent="0.2">
      <c r="A35" s="1" t="s">
        <v>9</v>
      </c>
      <c r="B35" s="1" t="s">
        <v>27</v>
      </c>
      <c r="C35" s="1"/>
      <c r="D35" s="1"/>
      <c r="E35" s="2"/>
      <c r="F35" s="2"/>
    </row>
    <row r="36" spans="1:6" x14ac:dyDescent="0.2">
      <c r="A36" s="1" t="s">
        <v>9</v>
      </c>
      <c r="B36" s="1" t="s">
        <v>72</v>
      </c>
      <c r="C36" s="1"/>
      <c r="D36" s="1"/>
      <c r="E36" s="2"/>
      <c r="F36" s="2"/>
    </row>
    <row r="37" spans="1:6" x14ac:dyDescent="0.2">
      <c r="A37" s="1" t="s">
        <v>9</v>
      </c>
      <c r="B37" s="1" t="s">
        <v>73</v>
      </c>
      <c r="C37" s="1"/>
      <c r="D37" s="1"/>
      <c r="E37" s="2"/>
      <c r="F3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0"/>
  <sheetViews>
    <sheetView tabSelected="1" workbookViewId="0">
      <selection activeCell="C2" sqref="C2"/>
    </sheetView>
  </sheetViews>
  <sheetFormatPr defaultRowHeight="12.75" x14ac:dyDescent="0.2"/>
  <cols>
    <col min="1" max="1" width="20.140625" customWidth="1"/>
    <col min="2" max="2" width="16" customWidth="1"/>
    <col min="4" max="4" width="2.28515625" customWidth="1"/>
    <col min="5" max="5" width="27.42578125" customWidth="1"/>
    <col min="6" max="6" width="50.42578125" customWidth="1"/>
    <col min="7" max="7" width="4.42578125" customWidth="1"/>
    <col min="8" max="8" width="14.28515625" customWidth="1"/>
    <col min="10" max="10" width="16.42578125" customWidth="1"/>
  </cols>
  <sheetData>
    <row r="1" spans="1:10" ht="20.25" x14ac:dyDescent="0.2">
      <c r="A1" s="16" t="s">
        <v>28</v>
      </c>
      <c r="B1" s="16"/>
      <c r="C1" s="16"/>
      <c r="D1" s="16"/>
      <c r="E1" s="3"/>
      <c r="F1" s="3"/>
      <c r="G1" s="3"/>
      <c r="H1" s="3"/>
    </row>
    <row r="2" spans="1:10" ht="20.25" x14ac:dyDescent="0.3">
      <c r="A2" s="4" t="s">
        <v>29</v>
      </c>
      <c r="B2" s="5" t="str">
        <f>GetPatVar("koef_zatr","&amp;dm")</f>
        <v>Апрель</v>
      </c>
      <c r="C2" s="6" t="str">
        <f>GetPatVar("koef_zatr","&amp;DY")</f>
        <v/>
      </c>
      <c r="D2" s="7" t="s">
        <v>30</v>
      </c>
      <c r="E2" s="3"/>
      <c r="F2" s="3"/>
      <c r="G2" s="3"/>
      <c r="H2" s="3"/>
    </row>
    <row r="3" spans="1:10" ht="15" x14ac:dyDescent="0.25">
      <c r="A3" s="17" t="s">
        <v>31</v>
      </c>
      <c r="B3" s="8" t="s">
        <v>32</v>
      </c>
      <c r="C3" s="9"/>
      <c r="D3" s="9"/>
      <c r="E3" s="9"/>
      <c r="F3" s="9"/>
      <c r="G3" s="22" t="s">
        <v>33</v>
      </c>
      <c r="H3" s="21">
        <f>ROUND((E9+E10+E11-E22-E25)/(E9+E10+E11+E12+E14+E16+E17+E18+E19+E20-E26-E27-E28-E29-E21),6)</f>
        <v>0.96768699999999996</v>
      </c>
      <c r="J3" s="15">
        <f>(E9+E10+E11-E22-E25)</f>
        <v>14970651.6</v>
      </c>
    </row>
    <row r="4" spans="1:10" ht="15" x14ac:dyDescent="0.25">
      <c r="A4" s="17"/>
      <c r="B4" s="10" t="s">
        <v>34</v>
      </c>
      <c r="C4" s="11"/>
      <c r="D4" s="12"/>
      <c r="E4" s="12"/>
      <c r="F4" s="12"/>
      <c r="G4" s="22"/>
      <c r="H4" s="21" t="str">
        <f>GetPatVar("koef_zatr","&amp;МЕСи")</f>
        <v>апрель</v>
      </c>
      <c r="J4" s="15">
        <f>(E9+E10+E11+E12+E14+E16+E17+E18+E19+E20-E26-E27-E28-E29-E21)</f>
        <v>15470556.789999999</v>
      </c>
    </row>
    <row r="5" spans="1:10" ht="15" x14ac:dyDescent="0.25">
      <c r="A5" s="17" t="s">
        <v>35</v>
      </c>
      <c r="B5" s="8" t="s">
        <v>32</v>
      </c>
      <c r="C5" s="9"/>
      <c r="D5" s="9"/>
      <c r="E5" s="9"/>
      <c r="F5" s="9"/>
      <c r="G5" s="22" t="s">
        <v>33</v>
      </c>
      <c r="H5" s="21">
        <f>ROUND((E9+E10+E11-E22-E25)/(E9+E10+E11+E12+E14-E13-E15-E21-E30),6)</f>
        <v>0.97447300000000003</v>
      </c>
      <c r="J5" s="15">
        <f>(E9+E10+E11-E22-E25)</f>
        <v>14970651.6</v>
      </c>
    </row>
    <row r="6" spans="1:10" ht="15" x14ac:dyDescent="0.25">
      <c r="A6" s="17"/>
      <c r="B6" s="10" t="s">
        <v>76</v>
      </c>
      <c r="C6" s="11"/>
      <c r="D6" s="12"/>
      <c r="E6" s="12"/>
      <c r="F6" s="12"/>
      <c r="G6" s="22"/>
      <c r="H6" s="21" t="str">
        <f>GetPatVar("koef_zatr","&amp;МЕСи")</f>
        <v>апрель</v>
      </c>
      <c r="J6" s="15">
        <f>E9+E10+E11+E12+E14-E13-E15-E21-E30</f>
        <v>15362818.019999998</v>
      </c>
    </row>
    <row r="9" spans="1:10" ht="15.75" x14ac:dyDescent="0.25">
      <c r="A9" s="18" t="s">
        <v>36</v>
      </c>
      <c r="B9" s="19"/>
      <c r="C9" s="19"/>
      <c r="D9" s="20"/>
      <c r="E9" s="14">
        <f>GetPatVarnum("koef_zatr","&amp;a90_01")</f>
        <v>9380314.9000000004</v>
      </c>
      <c r="F9" s="13"/>
    </row>
    <row r="10" spans="1:10" ht="15.75" x14ac:dyDescent="0.25">
      <c r="A10" s="18" t="s">
        <v>37</v>
      </c>
      <c r="B10" s="19"/>
      <c r="C10" s="19"/>
      <c r="D10" s="20"/>
      <c r="E10" s="14">
        <f>GetPatVarnum("koef_zatr","&amp;a90_02")</f>
        <v>630438.92000000004</v>
      </c>
      <c r="F10" s="13"/>
    </row>
    <row r="11" spans="1:10" ht="15.75" x14ac:dyDescent="0.25">
      <c r="A11" s="18" t="s">
        <v>38</v>
      </c>
      <c r="B11" s="19"/>
      <c r="C11" s="19"/>
      <c r="D11" s="20"/>
      <c r="E11" s="14">
        <f>GetPatVarnum("koef_zatr","&amp;a90_03")</f>
        <v>6962786.04</v>
      </c>
      <c r="F11" s="13"/>
    </row>
    <row r="12" spans="1:10" ht="15.75" x14ac:dyDescent="0.25">
      <c r="A12" s="18" t="s">
        <v>39</v>
      </c>
      <c r="B12" s="19"/>
      <c r="C12" s="19"/>
      <c r="D12" s="20"/>
      <c r="E12" s="14">
        <f>GetPatVarnum("koef_zatr","&amp;a90_04")</f>
        <v>468229.93</v>
      </c>
      <c r="F12" s="13"/>
    </row>
    <row r="13" spans="1:10" ht="15.75" x14ac:dyDescent="0.25">
      <c r="A13" s="18" t="s">
        <v>41</v>
      </c>
      <c r="B13" s="19"/>
      <c r="C13" s="19"/>
      <c r="D13" s="20"/>
      <c r="E13" s="14">
        <f>GetPatVarnum("koef_zatr","&amp;a90_04_439")</f>
        <v>0</v>
      </c>
      <c r="F13" s="13"/>
    </row>
    <row r="14" spans="1:10" ht="15.75" x14ac:dyDescent="0.25">
      <c r="A14" s="18" t="s">
        <v>40</v>
      </c>
      <c r="B14" s="19"/>
      <c r="C14" s="19"/>
      <c r="D14" s="20"/>
      <c r="E14" s="14">
        <f>GetPatVarnum("koef_zatr","&amp;a90_05")</f>
        <v>2060.81</v>
      </c>
      <c r="F14" s="13"/>
    </row>
    <row r="15" spans="1:10" ht="15.75" x14ac:dyDescent="0.25">
      <c r="A15" s="18" t="s">
        <v>42</v>
      </c>
      <c r="B15" s="19"/>
      <c r="C15" s="19"/>
      <c r="D15" s="20"/>
      <c r="E15" s="14">
        <f>GetPatVarnum("koef_zatr","&amp;a90_05_439")</f>
        <v>0</v>
      </c>
      <c r="F15" s="13"/>
    </row>
    <row r="16" spans="1:10" ht="15.75" x14ac:dyDescent="0.25">
      <c r="A16" s="18" t="s">
        <v>43</v>
      </c>
      <c r="B16" s="19"/>
      <c r="C16" s="19"/>
      <c r="D16" s="20"/>
      <c r="E16" s="14">
        <f>GetPatVarnum("koef_zatr","&amp;a90_06_610")</f>
        <v>119737.93</v>
      </c>
      <c r="F16" s="13"/>
    </row>
    <row r="17" spans="1:6" ht="15.75" x14ac:dyDescent="0.25">
      <c r="A17" s="18" t="s">
        <v>44</v>
      </c>
      <c r="B17" s="19"/>
      <c r="C17" s="19"/>
      <c r="D17" s="20"/>
      <c r="E17" s="14">
        <f>GetPatVarnum("koef_zatr","&amp;a90_06_611")</f>
        <v>64814.6</v>
      </c>
      <c r="F17" s="13"/>
    </row>
    <row r="18" spans="1:6" ht="15.75" x14ac:dyDescent="0.25">
      <c r="A18" s="18" t="s">
        <v>45</v>
      </c>
      <c r="B18" s="19"/>
      <c r="C18" s="19"/>
      <c r="D18" s="20"/>
      <c r="E18" s="14">
        <f>GetPatVarnum("koef_zatr","&amp;a90_06_612")</f>
        <v>0</v>
      </c>
      <c r="F18" s="13"/>
    </row>
    <row r="19" spans="1:6" ht="15.75" x14ac:dyDescent="0.25">
      <c r="A19" s="18" t="s">
        <v>46</v>
      </c>
      <c r="B19" s="19"/>
      <c r="C19" s="19"/>
      <c r="D19" s="20"/>
      <c r="E19" s="14">
        <f>GetPatVarnum("koaf_zatr","&amp;a90_06_613")</f>
        <v>0</v>
      </c>
      <c r="F19" s="13"/>
    </row>
    <row r="20" spans="1:6" ht="15.75" x14ac:dyDescent="0.25">
      <c r="A20" s="18" t="s">
        <v>47</v>
      </c>
      <c r="B20" s="19"/>
      <c r="C20" s="19"/>
      <c r="D20" s="20"/>
      <c r="E20" s="14">
        <f>GetPatVarnum("koef_zatr","&amp;a90_06_614")</f>
        <v>2520</v>
      </c>
      <c r="F20" s="13"/>
    </row>
    <row r="21" spans="1:6" ht="15.75" x14ac:dyDescent="0.25">
      <c r="A21" s="18" t="s">
        <v>48</v>
      </c>
      <c r="B21" s="19"/>
      <c r="C21" s="19"/>
      <c r="D21" s="20"/>
      <c r="E21" s="14">
        <f>GetPatVarnum("koef_zatr","&amp;d90_07")</f>
        <v>2110851.2999999998</v>
      </c>
    </row>
    <row r="22" spans="1:6" ht="15.75" x14ac:dyDescent="0.25">
      <c r="A22" s="18" t="s">
        <v>51</v>
      </c>
      <c r="B22" s="19"/>
      <c r="C22" s="19"/>
      <c r="D22" s="20"/>
      <c r="E22" s="14">
        <f>GetPatVarnum("koef_zatr","&amp;d90_07_1")</f>
        <v>2002888.26</v>
      </c>
    </row>
    <row r="23" spans="1:6" ht="15.75" x14ac:dyDescent="0.25">
      <c r="A23" s="18" t="s">
        <v>49</v>
      </c>
      <c r="B23" s="19"/>
      <c r="C23" s="19"/>
      <c r="D23" s="20"/>
      <c r="E23" s="14">
        <f>GetPatVarnum("koef_zatr","&amp;d90_07_4")</f>
        <v>20703.12</v>
      </c>
    </row>
    <row r="24" spans="1:6" ht="15.75" x14ac:dyDescent="0.25">
      <c r="A24" s="18" t="s">
        <v>50</v>
      </c>
      <c r="B24" s="19"/>
      <c r="C24" s="19"/>
      <c r="D24" s="20"/>
      <c r="E24" s="14">
        <f>GetPatVarnum("koef_zatr","&amp;d90_07_5")</f>
        <v>8715.6</v>
      </c>
    </row>
    <row r="25" spans="1:6" ht="15.75" x14ac:dyDescent="0.25">
      <c r="A25" s="18" t="s">
        <v>52</v>
      </c>
      <c r="B25" s="19"/>
      <c r="C25" s="19"/>
      <c r="D25" s="20"/>
      <c r="E25" s="14">
        <f>GetPatVarnum("koef_zatr","&amp;d90_07_9")</f>
        <v>0</v>
      </c>
    </row>
    <row r="26" spans="1:6" ht="15.75" x14ac:dyDescent="0.25">
      <c r="A26" s="18" t="s">
        <v>53</v>
      </c>
      <c r="B26" s="19"/>
      <c r="C26" s="19"/>
      <c r="D26" s="20"/>
      <c r="E26" s="14">
        <f>GetPatVarnum("koef_zatr","&amp;d90_09_611")</f>
        <v>48008.39</v>
      </c>
      <c r="F26" s="13"/>
    </row>
    <row r="27" spans="1:6" ht="15.75" x14ac:dyDescent="0.25">
      <c r="A27" s="18" t="s">
        <v>54</v>
      </c>
      <c r="B27" s="19"/>
      <c r="C27" s="19"/>
      <c r="D27" s="20"/>
      <c r="E27" s="14">
        <f>GetPatVarnum("koef_zatr","&amp;d90_09_612")</f>
        <v>0</v>
      </c>
      <c r="F27" s="13"/>
    </row>
    <row r="28" spans="1:6" ht="15.75" x14ac:dyDescent="0.25">
      <c r="A28" s="18" t="s">
        <v>55</v>
      </c>
      <c r="B28" s="19"/>
      <c r="C28" s="19"/>
      <c r="D28" s="20"/>
      <c r="E28" s="14">
        <f>GetPatVarnum("koef_zatr","&amp;d90_09_613")</f>
        <v>0</v>
      </c>
    </row>
    <row r="29" spans="1:6" ht="15.75" x14ac:dyDescent="0.25">
      <c r="A29" s="18" t="s">
        <v>56</v>
      </c>
      <c r="B29" s="19"/>
      <c r="C29" s="19"/>
      <c r="D29" s="20"/>
      <c r="E29" s="14">
        <f>GetPatVarnum("koef_zatr","&amp;d90_09_614")</f>
        <v>1486.65</v>
      </c>
    </row>
    <row r="30" spans="1:6" ht="15.75" x14ac:dyDescent="0.25">
      <c r="A30" s="18" t="s">
        <v>75</v>
      </c>
      <c r="B30" s="19"/>
      <c r="C30" s="19"/>
      <c r="D30" s="20"/>
      <c r="E30" s="14">
        <f>GetPatVarnum("koef_zatr","&amp;p90_09_42")</f>
        <v>-29838.720000000001</v>
      </c>
    </row>
  </sheetData>
  <mergeCells count="29">
    <mergeCell ref="A24:D24"/>
    <mergeCell ref="A25:D25"/>
    <mergeCell ref="A14:D14"/>
    <mergeCell ref="A30:D30"/>
    <mergeCell ref="A26:D26"/>
    <mergeCell ref="A27:D27"/>
    <mergeCell ref="A28:D28"/>
    <mergeCell ref="A29:D29"/>
    <mergeCell ref="A23:D23"/>
    <mergeCell ref="A22:D22"/>
    <mergeCell ref="A17:D17"/>
    <mergeCell ref="A18:D18"/>
    <mergeCell ref="A15:D15"/>
    <mergeCell ref="H3:H4"/>
    <mergeCell ref="A5:A6"/>
    <mergeCell ref="G5:G6"/>
    <mergeCell ref="H5:H6"/>
    <mergeCell ref="A19:D19"/>
    <mergeCell ref="G3:G4"/>
    <mergeCell ref="A1:D1"/>
    <mergeCell ref="A3:A4"/>
    <mergeCell ref="A20:D20"/>
    <mergeCell ref="A21:D21"/>
    <mergeCell ref="A9:D9"/>
    <mergeCell ref="A10:D10"/>
    <mergeCell ref="A11:D11"/>
    <mergeCell ref="A12:D12"/>
    <mergeCell ref="A13:D13"/>
    <mergeCell ref="A16:D1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>
      <selection activeCell="B4" sqref="B4"/>
    </sheetView>
  </sheetViews>
  <sheetFormatPr defaultRowHeight="12.75" x14ac:dyDescent="0.2"/>
  <sheetData>
    <row r="1" spans="1:2" x14ac:dyDescent="0.2">
      <c r="A1" t="s">
        <v>0</v>
      </c>
      <c r="B1" t="str">
        <f>GetPatVar("ru","&amp;2")</f>
        <v/>
      </c>
    </row>
    <row r="2" spans="1:2" x14ac:dyDescent="0.2">
      <c r="A2" t="s">
        <v>1</v>
      </c>
      <c r="B2" t="str">
        <f>GetPatVar("ru","&amp;dy")</f>
        <v/>
      </c>
    </row>
    <row r="3" spans="1:2" x14ac:dyDescent="0.2">
      <c r="A3" t="s">
        <v>2</v>
      </c>
      <c r="B3" t="str">
        <f>GetPatVar("test","&amp;dateend")</f>
        <v/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PATVARS</vt:lpstr>
      <vt:lpstr>Коэффициенты для РУ</vt:lpstr>
      <vt:lpstr>Шаблон для PAT - отчёта</vt:lpstr>
    </vt:vector>
  </TitlesOfParts>
  <Company>НТО ТОП СОФТ, корпорация Галактика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saniuk</dc:creator>
  <cp:lastModifiedBy>saniuk</cp:lastModifiedBy>
  <dcterms:created xsi:type="dcterms:W3CDTF">1998-12-15T13:30:53Z</dcterms:created>
  <dcterms:modified xsi:type="dcterms:W3CDTF">2022-06-01T06:57:58Z</dcterms:modified>
</cp:coreProperties>
</file>