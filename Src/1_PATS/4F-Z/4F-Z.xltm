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nyuk.V\Desktop\"/>
    </mc:Choice>
  </mc:AlternateContent>
  <bookViews>
    <workbookView xWindow="0" yWindow="0" windowWidth="28800" windowHeight="12330" activeTab="4"/>
  </bookViews>
  <sheets>
    <sheet name="PATVARS" sheetId="82" r:id="rId1"/>
    <sheet name="Главная" sheetId="51" r:id="rId2"/>
    <sheet name="I раздел" sheetId="58" r:id="rId3"/>
    <sheet name="I Раздел (Значения)" sheetId="79" state="hidden" r:id="rId4"/>
    <sheet name="II раздел" sheetId="60" r:id="rId5"/>
    <sheet name="II Раздел (Значения)" sheetId="72" state="hidden" r:id="rId6"/>
    <sheet name="III раздел" sheetId="80" r:id="rId7"/>
    <sheet name="Лист1" sheetId="9" state="hidden" r:id="rId8"/>
    <sheet name="Лист2" sheetId="10" state="hidden" r:id="rId9"/>
    <sheet name="Лист4" sheetId="11" state="hidden" r:id="rId10"/>
    <sheet name="Шаблон для PAT - отчёта" sheetId="8" state="hidden" r:id="rId11"/>
  </sheets>
  <functionGroups builtInGroupCount="18"/>
  <definedNames>
    <definedName name="_xlnm._FilterDatabase" localSheetId="9" hidden="1">Лист4!$F$132:$R$208</definedName>
    <definedName name="_xlnm.Database" localSheetId="2">#REF!</definedName>
    <definedName name="_xlnm.Database" localSheetId="4">#REF!</definedName>
    <definedName name="_xlnm.Database">#REF!</definedName>
    <definedName name="_xlnm.Print_Area" localSheetId="7">Лист1!$A$1:$J$64</definedName>
    <definedName name="_xlnm.Print_Area" localSheetId="8">Лист2!$A$1:$V$200</definedName>
    <definedName name="_xlnm.Print_Area" localSheetId="9">Лист4!$A$1:$R$218</definedName>
  </definedNames>
  <calcPr calcId="162913"/>
</workbook>
</file>

<file path=xl/calcChain.xml><?xml version="1.0" encoding="utf-8"?>
<calcChain xmlns="http://schemas.openxmlformats.org/spreadsheetml/2006/main">
  <c r="D6" i="60" l="1"/>
  <c r="D7" i="60"/>
  <c r="D8" i="60"/>
  <c r="D9" i="60"/>
  <c r="D10" i="60"/>
  <c r="D11" i="60"/>
  <c r="D12" i="60"/>
  <c r="D13" i="60"/>
  <c r="D14" i="60"/>
  <c r="D15" i="60"/>
  <c r="D16" i="60"/>
  <c r="D17" i="60"/>
  <c r="D18" i="60"/>
  <c r="D19" i="60"/>
  <c r="D20" i="60"/>
  <c r="D21" i="60"/>
  <c r="D22" i="60"/>
  <c r="D23" i="60"/>
  <c r="D24" i="60"/>
  <c r="D25" i="60"/>
  <c r="D26" i="60"/>
  <c r="D27" i="60"/>
  <c r="D28" i="60"/>
  <c r="D29" i="60"/>
  <c r="D30" i="60"/>
  <c r="D31" i="60"/>
  <c r="D32" i="60"/>
  <c r="D33" i="60"/>
  <c r="D34" i="60"/>
  <c r="D35" i="60"/>
  <c r="D36" i="60"/>
  <c r="D37" i="60"/>
  <c r="D38" i="60"/>
  <c r="D39" i="60"/>
  <c r="D40" i="60"/>
  <c r="D41" i="60"/>
  <c r="D42" i="60"/>
  <c r="D43" i="60"/>
  <c r="D44" i="60"/>
  <c r="D45" i="60"/>
  <c r="D46" i="60"/>
  <c r="D47" i="60"/>
  <c r="D48" i="60"/>
  <c r="D49" i="60"/>
  <c r="D50" i="60"/>
  <c r="D51" i="60"/>
  <c r="D52" i="60"/>
  <c r="D53" i="60"/>
  <c r="D54" i="60"/>
  <c r="D55" i="60"/>
  <c r="D56" i="60"/>
  <c r="D57" i="60"/>
  <c r="D58" i="60"/>
  <c r="D59" i="60"/>
  <c r="D60" i="60"/>
  <c r="C7" i="60"/>
  <c r="C8" i="60"/>
  <c r="C9" i="60"/>
  <c r="C10" i="60"/>
  <c r="C11" i="60"/>
  <c r="C12" i="60"/>
  <c r="C13" i="60"/>
  <c r="C14" i="60"/>
  <c r="C15" i="60"/>
  <c r="C16" i="60"/>
  <c r="C17" i="60"/>
  <c r="C18" i="60"/>
  <c r="C19" i="60"/>
  <c r="C20" i="60"/>
  <c r="C21" i="60"/>
  <c r="C22" i="60"/>
  <c r="C23" i="60"/>
  <c r="C24" i="60"/>
  <c r="C25" i="60"/>
  <c r="C26" i="60"/>
  <c r="C27" i="60"/>
  <c r="C28" i="60"/>
  <c r="C29" i="60"/>
  <c r="C30" i="60"/>
  <c r="C31" i="60"/>
  <c r="C32" i="60"/>
  <c r="C33" i="60"/>
  <c r="C34" i="60"/>
  <c r="C35" i="60"/>
  <c r="C36" i="60"/>
  <c r="C37" i="60"/>
  <c r="C38" i="60"/>
  <c r="C39" i="60"/>
  <c r="C40" i="60"/>
  <c r="C41" i="60"/>
  <c r="C42" i="60"/>
  <c r="C43" i="60"/>
  <c r="C44" i="60"/>
  <c r="C45" i="60"/>
  <c r="C46" i="60"/>
  <c r="C47" i="60"/>
  <c r="C48" i="60"/>
  <c r="C49" i="60"/>
  <c r="C50" i="60"/>
  <c r="C51" i="60"/>
  <c r="C52" i="60"/>
  <c r="C53" i="60"/>
  <c r="C54" i="60"/>
  <c r="C55" i="60"/>
  <c r="C56" i="60"/>
  <c r="C57" i="60"/>
  <c r="C58" i="60"/>
  <c r="C59" i="60"/>
  <c r="C60" i="60"/>
  <c r="C6" i="60"/>
  <c r="C1" i="72"/>
  <c r="C7" i="79"/>
  <c r="C12" i="79"/>
  <c r="D19" i="79"/>
  <c r="C15" i="79"/>
  <c r="C19" i="79"/>
  <c r="C21" i="79"/>
  <c r="D9" i="79"/>
  <c r="C1" i="79"/>
  <c r="C22" i="79"/>
  <c r="D16" i="79"/>
  <c r="D21" i="79"/>
  <c r="C11" i="79"/>
  <c r="D10" i="79"/>
  <c r="D6" i="79"/>
  <c r="D7" i="79"/>
  <c r="D17" i="79"/>
  <c r="D11" i="79"/>
  <c r="D23" i="79"/>
  <c r="D4" i="79"/>
  <c r="D2" i="79"/>
  <c r="C6" i="79"/>
  <c r="D18" i="79"/>
  <c r="D12" i="79"/>
  <c r="C10" i="79"/>
  <c r="D5" i="79"/>
  <c r="D1" i="79"/>
  <c r="C5" i="79"/>
  <c r="D20" i="79"/>
  <c r="C17" i="79"/>
  <c r="C2" i="79"/>
  <c r="C16" i="79"/>
  <c r="D8" i="79"/>
  <c r="C4" i="79"/>
  <c r="C8" i="79"/>
  <c r="C23" i="79"/>
  <c r="C18" i="79"/>
  <c r="C20" i="79"/>
  <c r="D3" i="79"/>
  <c r="D15" i="79"/>
  <c r="C14" i="79"/>
  <c r="C13" i="79"/>
  <c r="D13" i="79"/>
  <c r="D22" i="79"/>
  <c r="C3" i="79"/>
  <c r="D14" i="79"/>
  <c r="C9" i="79"/>
  <c r="C16" i="58" l="1"/>
  <c r="C15" i="58"/>
  <c r="D26" i="58"/>
  <c r="C28" i="58"/>
  <c r="C21" i="58"/>
  <c r="C11" i="58"/>
  <c r="C6" i="58"/>
  <c r="D9" i="58"/>
  <c r="D16" i="58"/>
  <c r="D22" i="58"/>
  <c r="D24" i="58"/>
  <c r="C25" i="58"/>
  <c r="D18" i="58"/>
  <c r="C18" i="58"/>
  <c r="C19" i="58"/>
  <c r="D21" i="58"/>
  <c r="D23" i="58"/>
  <c r="C7" i="58"/>
  <c r="D7" i="58"/>
  <c r="C26" i="58"/>
  <c r="C24" i="58"/>
  <c r="C17" i="58"/>
  <c r="C14" i="58"/>
  <c r="D19" i="58"/>
  <c r="D25" i="58"/>
  <c r="D13" i="58"/>
  <c r="D20" i="58"/>
  <c r="D27" i="58"/>
  <c r="D6" i="58"/>
  <c r="D14" i="58"/>
  <c r="D28" i="58"/>
  <c r="C20" i="58"/>
  <c r="D11" i="58"/>
  <c r="C9" i="58"/>
  <c r="C8" i="58"/>
  <c r="C23" i="58"/>
  <c r="D17" i="58"/>
  <c r="C27" i="58"/>
  <c r="D8" i="58"/>
  <c r="C13" i="58"/>
  <c r="C22" i="58"/>
  <c r="D15" i="58"/>
  <c r="L132" i="10"/>
  <c r="M101" i="10"/>
  <c r="H177" i="10"/>
  <c r="U35" i="10"/>
  <c r="I125" i="10"/>
  <c r="D79" i="10"/>
  <c r="T51" i="10"/>
  <c r="S81" i="10"/>
  <c r="U42" i="10"/>
  <c r="K62" i="10"/>
  <c r="D195" i="10"/>
  <c r="M179" i="10"/>
  <c r="P173" i="10"/>
  <c r="P80" i="10"/>
  <c r="U159" i="10"/>
  <c r="D176" i="10"/>
  <c r="Q59" i="10"/>
  <c r="G116" i="10"/>
  <c r="O128" i="10"/>
  <c r="C194" i="10"/>
  <c r="Q182" i="10"/>
  <c r="M140" i="10"/>
  <c r="S116" i="10"/>
  <c r="M136" i="10"/>
  <c r="G171" i="10"/>
  <c r="O17" i="10"/>
  <c r="O43" i="10"/>
  <c r="G133" i="10"/>
  <c r="L107" i="10"/>
  <c r="T81" i="10"/>
  <c r="L173" i="10"/>
  <c r="I132" i="10"/>
  <c r="H75" i="10"/>
  <c r="K182" i="10"/>
  <c r="P142" i="10"/>
  <c r="P185" i="10"/>
  <c r="S90" i="10"/>
  <c r="I178" i="10"/>
  <c r="U153" i="10"/>
  <c r="E69" i="10"/>
  <c r="H95" i="10"/>
  <c r="G57" i="10"/>
  <c r="K97" i="10"/>
  <c r="S25" i="10"/>
  <c r="G109" i="10"/>
  <c r="U182" i="10"/>
  <c r="U45" i="10"/>
  <c r="H62" i="10"/>
  <c r="P144" i="10"/>
  <c r="P37" i="10"/>
  <c r="U29" i="10"/>
  <c r="Q103" i="10"/>
  <c r="Q62" i="10"/>
  <c r="H88" i="10"/>
  <c r="S33" i="10"/>
  <c r="K34" i="10"/>
  <c r="O158" i="10"/>
  <c r="Q99" i="10"/>
  <c r="T98" i="10"/>
  <c r="S97" i="10"/>
  <c r="U61" i="10"/>
  <c r="K90" i="10"/>
  <c r="L162" i="10"/>
  <c r="G58" i="10"/>
  <c r="T141" i="10"/>
  <c r="P117" i="10"/>
  <c r="P141" i="10"/>
  <c r="Q94" i="10"/>
  <c r="G162" i="10"/>
  <c r="G70" i="10"/>
  <c r="M42" i="10"/>
  <c r="L183" i="10"/>
  <c r="T191" i="10"/>
  <c r="L74" i="10"/>
  <c r="H141" i="10"/>
  <c r="Q54" i="10"/>
  <c r="Q155" i="10"/>
  <c r="K129" i="10"/>
  <c r="Q55" i="10"/>
  <c r="E27" i="10"/>
  <c r="E9" i="10"/>
  <c r="P8" i="10"/>
  <c r="S37" i="10"/>
  <c r="H149" i="10"/>
  <c r="L110" i="10"/>
  <c r="D14" i="10"/>
  <c r="T177" i="10"/>
  <c r="I90" i="10"/>
  <c r="O89" i="10"/>
  <c r="G85" i="10"/>
  <c r="G82" i="10"/>
  <c r="K59" i="10"/>
  <c r="H42" i="10"/>
  <c r="I7" i="10"/>
  <c r="G105" i="10"/>
  <c r="Q17" i="10"/>
  <c r="E48" i="10"/>
  <c r="O54" i="10"/>
  <c r="P71" i="10"/>
  <c r="H146" i="10"/>
  <c r="Q66" i="10"/>
  <c r="Q82" i="10"/>
  <c r="M22" i="10"/>
  <c r="I173" i="10"/>
  <c r="M74" i="10"/>
  <c r="S177" i="10"/>
  <c r="L38" i="10"/>
  <c r="G18" i="10"/>
  <c r="L84" i="10"/>
  <c r="K132" i="10"/>
  <c r="O175" i="10"/>
  <c r="T13" i="10"/>
  <c r="O167" i="10"/>
  <c r="H185" i="10"/>
  <c r="L129" i="10"/>
  <c r="H17" i="10"/>
  <c r="O70" i="10"/>
  <c r="U130" i="10"/>
  <c r="K117" i="10"/>
  <c r="H130" i="10"/>
  <c r="H169" i="10"/>
  <c r="P128" i="10"/>
  <c r="I159" i="10"/>
  <c r="S185" i="10"/>
  <c r="G11" i="10"/>
  <c r="Q22" i="10"/>
  <c r="I138" i="10"/>
  <c r="D168" i="10"/>
  <c r="S125" i="10"/>
  <c r="L191" i="10"/>
  <c r="O72" i="10"/>
  <c r="P149" i="10"/>
  <c r="K105" i="10"/>
  <c r="U81" i="10"/>
  <c r="S70" i="10"/>
  <c r="K12" i="10"/>
  <c r="L2" i="10"/>
  <c r="P16" i="10"/>
  <c r="S111" i="10"/>
  <c r="U149" i="10"/>
  <c r="G182" i="10"/>
  <c r="G16" i="10"/>
  <c r="L102" i="10"/>
  <c r="I177" i="10"/>
  <c r="T137" i="10"/>
  <c r="L33" i="10"/>
  <c r="U85" i="10"/>
  <c r="Q41" i="10"/>
  <c r="D147" i="10"/>
  <c r="S150" i="10"/>
  <c r="U173" i="10"/>
  <c r="L146" i="10"/>
  <c r="P31" i="10"/>
  <c r="S106" i="10"/>
  <c r="I133" i="10"/>
  <c r="P38" i="10"/>
  <c r="M45" i="10"/>
  <c r="E87" i="10"/>
  <c r="I115" i="10"/>
  <c r="L151" i="10"/>
  <c r="P136" i="10"/>
  <c r="I75" i="10"/>
  <c r="O149" i="10"/>
  <c r="O178" i="10"/>
  <c r="U12" i="10"/>
  <c r="P166" i="10"/>
  <c r="G1" i="10"/>
  <c r="M106" i="10"/>
  <c r="P55" i="10"/>
  <c r="M88" i="10"/>
  <c r="L149" i="10"/>
  <c r="H74" i="10"/>
  <c r="M102" i="10"/>
  <c r="L82" i="10"/>
  <c r="G191" i="10"/>
  <c r="M67" i="10"/>
  <c r="I106" i="10"/>
  <c r="G59" i="10"/>
  <c r="L12" i="10"/>
  <c r="K155" i="10"/>
  <c r="U136" i="10"/>
  <c r="I185" i="10"/>
  <c r="I30" i="10"/>
  <c r="K154" i="10"/>
  <c r="G173" i="10"/>
  <c r="G98" i="10"/>
  <c r="H13" i="10"/>
  <c r="G61" i="10"/>
  <c r="H107" i="10"/>
  <c r="S72" i="10"/>
  <c r="M86" i="10"/>
  <c r="G67" i="10"/>
  <c r="K86" i="10"/>
  <c r="G129" i="10"/>
  <c r="K159" i="10"/>
  <c r="P102" i="10"/>
  <c r="T151" i="10"/>
  <c r="G94" i="10"/>
  <c r="G174" i="10"/>
  <c r="G7" i="10"/>
  <c r="Q151" i="10"/>
  <c r="P81" i="10"/>
  <c r="S17" i="10"/>
  <c r="P191" i="10"/>
  <c r="U5" i="10"/>
  <c r="K74" i="10"/>
  <c r="P179" i="10"/>
  <c r="H157" i="10"/>
  <c r="K66" i="10"/>
  <c r="H20" i="10"/>
  <c r="S74" i="10"/>
  <c r="D19" i="10"/>
  <c r="T129" i="10"/>
  <c r="U145" i="10"/>
  <c r="Q70" i="10"/>
  <c r="K84" i="10"/>
  <c r="H34" i="10"/>
  <c r="U187" i="10"/>
  <c r="T153" i="10"/>
  <c r="L81" i="10"/>
  <c r="M142" i="10"/>
  <c r="E164" i="10"/>
  <c r="P54" i="10"/>
  <c r="O93" i="10"/>
  <c r="T193" i="10"/>
  <c r="T29" i="10"/>
  <c r="O105" i="10"/>
  <c r="T82" i="10"/>
  <c r="M173" i="10"/>
  <c r="O150" i="10"/>
  <c r="S167" i="10"/>
  <c r="O169" i="10"/>
  <c r="G101" i="10"/>
  <c r="L71" i="10"/>
  <c r="U26" i="10"/>
  <c r="L50" i="10"/>
  <c r="S110" i="10"/>
  <c r="D112" i="10"/>
  <c r="T37" i="10"/>
  <c r="T111" i="10"/>
  <c r="L45" i="10"/>
  <c r="H24" i="10"/>
  <c r="P75" i="10"/>
  <c r="O47" i="10"/>
  <c r="Q61" i="10"/>
  <c r="D131" i="10"/>
  <c r="D104" i="10"/>
  <c r="I102" i="10"/>
  <c r="T16" i="10"/>
  <c r="L1" i="10"/>
  <c r="H37" i="10"/>
  <c r="I12" i="10"/>
  <c r="K70" i="10"/>
  <c r="M125" i="10"/>
  <c r="O136" i="10"/>
  <c r="L93" i="10"/>
  <c r="G25" i="10"/>
  <c r="Q173" i="10"/>
  <c r="Q132" i="10"/>
  <c r="Q149" i="10"/>
  <c r="P110" i="10"/>
  <c r="O51" i="10"/>
  <c r="H12" i="10"/>
  <c r="L72" i="10"/>
  <c r="M141" i="10"/>
  <c r="G115" i="10"/>
  <c r="P105" i="10"/>
  <c r="H93" i="10"/>
  <c r="U141" i="10"/>
  <c r="E79" i="10"/>
  <c r="G159" i="10"/>
  <c r="G68" i="10"/>
  <c r="G110" i="10"/>
  <c r="T181" i="10"/>
  <c r="Q109" i="10"/>
  <c r="L89" i="10"/>
  <c r="G20" i="10"/>
  <c r="E56" i="10"/>
  <c r="L18" i="10"/>
  <c r="P111" i="10"/>
  <c r="U124" i="10"/>
  <c r="P45" i="10"/>
  <c r="L70" i="10"/>
  <c r="K51" i="10"/>
  <c r="E131" i="10"/>
  <c r="E184" i="10"/>
  <c r="T128" i="10"/>
  <c r="S166" i="10"/>
  <c r="I94" i="10"/>
  <c r="K30" i="10"/>
  <c r="Q159" i="10"/>
  <c r="T124" i="10"/>
  <c r="H35" i="10"/>
  <c r="T50" i="10"/>
  <c r="M25" i="10"/>
  <c r="L63" i="10"/>
  <c r="S171" i="10"/>
  <c r="K21" i="10"/>
  <c r="O124" i="10"/>
  <c r="S107" i="10"/>
  <c r="E172" i="10"/>
  <c r="D36" i="10"/>
  <c r="D5" i="10"/>
  <c r="M29" i="10"/>
  <c r="G8" i="10"/>
  <c r="O18" i="10"/>
  <c r="Q97" i="10"/>
  <c r="M132" i="10"/>
  <c r="T97" i="10"/>
  <c r="M192" i="10"/>
  <c r="I151" i="10"/>
  <c r="O130" i="10"/>
  <c r="D180" i="10"/>
  <c r="T169" i="10"/>
  <c r="G35" i="10"/>
  <c r="S59" i="10"/>
  <c r="M89" i="10"/>
  <c r="M123" i="10"/>
  <c r="K99" i="10"/>
  <c r="M81" i="10"/>
  <c r="S2" i="10"/>
  <c r="H173" i="10"/>
  <c r="I70" i="10"/>
  <c r="I150" i="10"/>
  <c r="Q144" i="10"/>
  <c r="H167" i="10"/>
  <c r="T165" i="10"/>
  <c r="S157" i="10"/>
  <c r="E152" i="10"/>
  <c r="G192" i="10"/>
  <c r="L97" i="10"/>
  <c r="H132" i="10"/>
  <c r="K33" i="10"/>
  <c r="G141" i="10"/>
  <c r="K42" i="10"/>
  <c r="P35" i="10"/>
  <c r="I158" i="10"/>
  <c r="P101" i="10"/>
  <c r="M150" i="10"/>
  <c r="L35" i="10"/>
  <c r="T106" i="10"/>
  <c r="D164" i="10"/>
  <c r="E100" i="10"/>
  <c r="Q50" i="10"/>
  <c r="T2" i="10"/>
  <c r="G167" i="10"/>
  <c r="C195" i="10"/>
  <c r="U169" i="10"/>
  <c r="P93" i="10"/>
  <c r="S124" i="10"/>
  <c r="H103" i="10"/>
  <c r="M63" i="10"/>
  <c r="P124" i="10"/>
  <c r="T72" i="10"/>
  <c r="U18" i="10"/>
  <c r="P109" i="10"/>
  <c r="Q93" i="10"/>
  <c r="T86" i="10"/>
  <c r="S109" i="10"/>
  <c r="L142" i="10"/>
  <c r="S35" i="10"/>
  <c r="P171" i="10"/>
  <c r="L165" i="10"/>
  <c r="K50" i="10"/>
  <c r="M153" i="10"/>
  <c r="P61" i="10"/>
  <c r="Q116" i="10"/>
  <c r="H140" i="10"/>
  <c r="D152" i="10"/>
  <c r="S62" i="10"/>
  <c r="T182" i="10"/>
  <c r="K22" i="10"/>
  <c r="S154" i="10"/>
  <c r="K76" i="10"/>
  <c r="K179" i="10"/>
  <c r="U57" i="10"/>
  <c r="P132" i="10"/>
  <c r="Q177" i="10"/>
  <c r="Q106" i="10"/>
  <c r="I123" i="10"/>
  <c r="S84" i="10"/>
  <c r="Q157" i="10"/>
  <c r="S133" i="10"/>
  <c r="H97" i="10"/>
  <c r="S136" i="10"/>
  <c r="P41" i="10"/>
  <c r="U58" i="10"/>
  <c r="S68" i="10"/>
  <c r="S11" i="10"/>
  <c r="S162" i="10"/>
  <c r="H166" i="10"/>
  <c r="D91" i="10"/>
  <c r="O146" i="10"/>
  <c r="I140" i="10"/>
  <c r="U181" i="10"/>
  <c r="Q185" i="10"/>
  <c r="I35" i="10"/>
  <c r="I97" i="10"/>
  <c r="S8" i="10"/>
  <c r="O16" i="10"/>
  <c r="L130" i="10"/>
  <c r="L141" i="10"/>
  <c r="U175" i="10"/>
  <c r="D9" i="10"/>
  <c r="T150" i="10"/>
  <c r="K107" i="10"/>
  <c r="L175" i="10"/>
  <c r="O129" i="10"/>
  <c r="L169" i="10"/>
  <c r="U107" i="10"/>
  <c r="L150" i="10"/>
  <c r="T102" i="10"/>
  <c r="U74" i="10"/>
  <c r="L134" i="10"/>
  <c r="K144" i="10"/>
  <c r="M111" i="10"/>
  <c r="Q179" i="10"/>
  <c r="M193" i="10"/>
  <c r="I149" i="10"/>
  <c r="K149" i="10"/>
  <c r="O125" i="10"/>
  <c r="Q136" i="10"/>
  <c r="T62" i="10"/>
  <c r="H21" i="10"/>
  <c r="H102" i="10"/>
  <c r="O106" i="10"/>
  <c r="S26" i="10"/>
  <c r="O179" i="10"/>
  <c r="K125" i="10"/>
  <c r="S102" i="10"/>
  <c r="S173" i="10"/>
  <c r="L21" i="10"/>
  <c r="D139" i="10"/>
  <c r="S174" i="10"/>
  <c r="H151" i="10"/>
  <c r="S80" i="10"/>
  <c r="U84" i="10"/>
  <c r="K181" i="10"/>
  <c r="T54" i="10"/>
  <c r="H80" i="10"/>
  <c r="P192" i="10"/>
  <c r="Q166" i="10"/>
  <c r="O107" i="10"/>
  <c r="Q49" i="10"/>
  <c r="D32" i="10"/>
  <c r="M145" i="10"/>
  <c r="Q26" i="10"/>
  <c r="P97" i="10"/>
  <c r="P70" i="10"/>
  <c r="G99" i="10"/>
  <c r="Q181" i="10"/>
  <c r="K71" i="10"/>
  <c r="K26" i="10"/>
  <c r="U163" i="10"/>
  <c r="Q129" i="10"/>
  <c r="E194" i="10"/>
  <c r="Q146" i="10"/>
  <c r="M2" i="10"/>
  <c r="U88" i="10"/>
  <c r="L116" i="10"/>
  <c r="H30" i="10"/>
  <c r="T149" i="10"/>
  <c r="O2" i="10"/>
  <c r="I85" i="10"/>
  <c r="T67" i="10"/>
  <c r="U144" i="10"/>
  <c r="S7" i="10"/>
  <c r="O33" i="10"/>
  <c r="Q57" i="10"/>
  <c r="E52" i="10"/>
  <c r="H47" i="10"/>
  <c r="U16" i="10"/>
  <c r="I107" i="10"/>
  <c r="K193" i="10"/>
  <c r="G72" i="10"/>
  <c r="S183" i="10"/>
  <c r="D83" i="10"/>
  <c r="S170" i="10"/>
  <c r="M170" i="10"/>
  <c r="I11" i="10"/>
  <c r="U128" i="10"/>
  <c r="G29" i="10"/>
  <c r="O55" i="10"/>
  <c r="U41" i="10"/>
  <c r="Q178" i="10"/>
  <c r="K80" i="10"/>
  <c r="O67" i="10"/>
  <c r="O177" i="10"/>
  <c r="G55" i="10"/>
  <c r="L59" i="10"/>
  <c r="K128" i="10"/>
  <c r="T142" i="10"/>
  <c r="S137" i="10"/>
  <c r="U151" i="10"/>
  <c r="K183" i="10"/>
  <c r="O59" i="10"/>
  <c r="M39" i="10"/>
  <c r="O165" i="10"/>
  <c r="I166" i="10"/>
  <c r="I134" i="10"/>
  <c r="T18" i="10"/>
  <c r="I111" i="10"/>
  <c r="G187" i="10"/>
  <c r="L153" i="10"/>
  <c r="O110" i="10"/>
  <c r="Q115" i="10"/>
  <c r="O123" i="10"/>
  <c r="T175" i="10"/>
  <c r="M38" i="10"/>
  <c r="G31" i="10"/>
  <c r="O101" i="10"/>
  <c r="U105" i="10"/>
  <c r="P90" i="10"/>
  <c r="L145" i="10"/>
  <c r="P157" i="10"/>
  <c r="K109" i="10"/>
  <c r="M59" i="10"/>
  <c r="K192" i="10"/>
  <c r="M66" i="10"/>
  <c r="I142" i="10"/>
  <c r="K7" i="10"/>
  <c r="G95" i="10"/>
  <c r="S159" i="10"/>
  <c r="E195" i="10"/>
  <c r="P177" i="10"/>
  <c r="S93" i="10"/>
  <c r="I93" i="10"/>
  <c r="U137" i="10"/>
  <c r="I110" i="10"/>
  <c r="U7" i="10"/>
  <c r="Q183" i="10"/>
  <c r="P22" i="10"/>
  <c r="P63" i="10"/>
  <c r="U2" i="10"/>
  <c r="O66" i="10"/>
  <c r="O30" i="10"/>
  <c r="K141" i="10"/>
  <c r="Q153" i="10"/>
  <c r="K116" i="10"/>
  <c r="L47" i="10"/>
  <c r="O173" i="10"/>
  <c r="E180" i="10"/>
  <c r="Q138" i="10"/>
  <c r="T43" i="10"/>
  <c r="H101" i="10"/>
  <c r="T173" i="10"/>
  <c r="G142" i="10"/>
  <c r="I171" i="10"/>
  <c r="L154" i="10"/>
  <c r="P130" i="10"/>
  <c r="M116" i="10"/>
  <c r="S158" i="10"/>
  <c r="M34" i="10"/>
  <c r="P106" i="10"/>
  <c r="H181" i="10"/>
  <c r="Q150" i="10"/>
  <c r="T146" i="10"/>
  <c r="U54" i="10"/>
  <c r="P163" i="10"/>
  <c r="K174" i="10"/>
  <c r="U150" i="10"/>
  <c r="S47" i="10"/>
  <c r="H59" i="10"/>
  <c r="T133" i="10"/>
  <c r="P165" i="10"/>
  <c r="M68" i="10"/>
  <c r="M99" i="10"/>
  <c r="T75" i="10"/>
  <c r="I179" i="10"/>
  <c r="Q46" i="10"/>
  <c r="O166" i="10"/>
  <c r="S95" i="10"/>
  <c r="I95" i="10"/>
  <c r="M31" i="10"/>
  <c r="U24" i="10"/>
  <c r="T95" i="10"/>
  <c r="L53" i="10"/>
  <c r="P50" i="10"/>
  <c r="T70" i="10"/>
  <c r="H46" i="10"/>
  <c r="K171" i="10"/>
  <c r="I16" i="10"/>
  <c r="L163" i="10"/>
  <c r="T134" i="10"/>
  <c r="I22" i="10"/>
  <c r="U53" i="10"/>
  <c r="E83" i="10"/>
  <c r="L67" i="10"/>
  <c r="I1" i="10"/>
  <c r="H51" i="10"/>
  <c r="I29" i="10"/>
  <c r="H133" i="10"/>
  <c r="K103" i="10"/>
  <c r="H82" i="10"/>
  <c r="P125" i="10"/>
  <c r="O133" i="10"/>
  <c r="M47" i="10"/>
  <c r="T80" i="10"/>
  <c r="U171" i="10"/>
  <c r="O186" i="10"/>
  <c r="G123" i="10"/>
  <c r="L174" i="10"/>
  <c r="K61" i="10"/>
  <c r="Q124" i="10"/>
  <c r="Q145" i="10"/>
  <c r="D40" i="10"/>
  <c r="K133" i="10"/>
  <c r="G149" i="10"/>
  <c r="K11" i="10"/>
  <c r="G186" i="10"/>
  <c r="Q167" i="10"/>
  <c r="U1" i="10"/>
  <c r="U167" i="10"/>
  <c r="S13" i="10"/>
  <c r="M130" i="10"/>
  <c r="U158" i="10"/>
  <c r="O170" i="10"/>
  <c r="P140" i="10"/>
  <c r="T22" i="10"/>
  <c r="S142" i="10"/>
  <c r="S144" i="10"/>
  <c r="S20" i="10"/>
  <c r="I145" i="10"/>
  <c r="S187" i="10"/>
  <c r="U8" i="10"/>
  <c r="H111" i="10"/>
  <c r="S30" i="10"/>
  <c r="E168" i="10"/>
  <c r="S192" i="10"/>
  <c r="K134" i="10"/>
  <c r="O1" i="10"/>
  <c r="G75" i="10"/>
  <c r="P187" i="10"/>
  <c r="L181" i="10"/>
  <c r="D69" i="10"/>
  <c r="L105" i="10"/>
  <c r="P174" i="10"/>
  <c r="O88" i="10"/>
  <c r="G178" i="10"/>
  <c r="L179" i="10"/>
  <c r="U55" i="10"/>
  <c r="G93" i="10"/>
  <c r="O84" i="10"/>
  <c r="H38" i="10"/>
  <c r="L25" i="10"/>
  <c r="U101" i="10"/>
  <c r="I193" i="10"/>
  <c r="I161" i="10"/>
  <c r="L88" i="10"/>
  <c r="H39" i="10"/>
  <c r="K102" i="10"/>
  <c r="G45" i="10"/>
  <c r="M155" i="10"/>
  <c r="K82" i="10"/>
  <c r="I55" i="10"/>
  <c r="S178" i="10"/>
  <c r="U125" i="10"/>
  <c r="T58" i="10"/>
  <c r="P99" i="10"/>
  <c r="O46" i="10"/>
  <c r="M35" i="10"/>
  <c r="M76" i="10"/>
  <c r="I18" i="10"/>
  <c r="H171" i="10"/>
  <c r="U22" i="10"/>
  <c r="O192" i="10"/>
  <c r="P186" i="10"/>
  <c r="M1" i="10"/>
  <c r="K63" i="10"/>
  <c r="O82" i="10"/>
  <c r="H138" i="10"/>
  <c r="Q90" i="10"/>
  <c r="S98" i="10"/>
  <c r="U20" i="10"/>
  <c r="S138" i="10"/>
  <c r="L98" i="10"/>
  <c r="G124" i="10"/>
  <c r="M157" i="10"/>
  <c r="E108" i="10"/>
  <c r="G102" i="10"/>
  <c r="U47" i="10"/>
  <c r="L192" i="10"/>
  <c r="S85" i="10"/>
  <c r="L187" i="10"/>
  <c r="E60" i="10"/>
  <c r="D52" i="10"/>
  <c r="O12" i="10"/>
  <c r="U89" i="10"/>
  <c r="Q110" i="10"/>
  <c r="Q134" i="10"/>
  <c r="S61" i="10"/>
  <c r="L42" i="10"/>
  <c r="O71" i="10"/>
  <c r="H16" i="10"/>
  <c r="G177" i="10"/>
  <c r="L31" i="10"/>
  <c r="M43" i="10"/>
  <c r="U25" i="10"/>
  <c r="L140" i="10"/>
  <c r="I130" i="10"/>
  <c r="M117" i="10"/>
  <c r="K98" i="10"/>
  <c r="T20" i="10"/>
  <c r="P151" i="10"/>
  <c r="T21" i="10"/>
  <c r="H186" i="10"/>
  <c r="G81" i="10"/>
  <c r="K2" i="10"/>
  <c r="H142" i="10"/>
  <c r="H178" i="10"/>
  <c r="T84" i="10"/>
  <c r="H158" i="10"/>
  <c r="L109" i="10"/>
  <c r="D56" i="10"/>
  <c r="H154" i="10"/>
  <c r="E135" i="10"/>
  <c r="M115" i="10"/>
  <c r="S49" i="10"/>
  <c r="I89" i="10"/>
  <c r="L159" i="10"/>
  <c r="L22" i="10"/>
  <c r="I163" i="10"/>
  <c r="T94" i="10"/>
  <c r="L95" i="10"/>
  <c r="Q86" i="10"/>
  <c r="P33" i="10"/>
  <c r="P181" i="10"/>
  <c r="O42" i="10"/>
  <c r="U103" i="10"/>
  <c r="Q117" i="10"/>
  <c r="I175" i="10"/>
  <c r="O26" i="10"/>
  <c r="M174" i="10"/>
  <c r="M171" i="10"/>
  <c r="G63" i="10"/>
  <c r="S153" i="10"/>
  <c r="M70" i="10"/>
  <c r="I57" i="10"/>
  <c r="S151" i="10"/>
  <c r="T130" i="10"/>
  <c r="K93" i="10"/>
  <c r="I116" i="10"/>
  <c r="I43" i="10"/>
  <c r="M46" i="10"/>
  <c r="S175" i="10"/>
  <c r="G51" i="10"/>
  <c r="L125" i="10"/>
  <c r="K161" i="10"/>
  <c r="I49" i="10"/>
  <c r="I141" i="10"/>
  <c r="M90" i="10"/>
  <c r="P86" i="10"/>
  <c r="S123" i="10"/>
  <c r="U11" i="10"/>
  <c r="O68" i="10"/>
  <c r="P129" i="10"/>
  <c r="D23" i="10"/>
  <c r="S54" i="10"/>
  <c r="M41" i="10"/>
  <c r="O115" i="10"/>
  <c r="E96" i="10"/>
  <c r="E104" i="10"/>
  <c r="S165" i="10"/>
  <c r="L133" i="10"/>
  <c r="L76" i="10"/>
  <c r="K165" i="10"/>
  <c r="Q12" i="10"/>
  <c r="O98" i="10"/>
  <c r="S39" i="10"/>
  <c r="O102" i="10"/>
  <c r="U174" i="10"/>
  <c r="Q171" i="10"/>
  <c r="T76" i="10"/>
  <c r="M191" i="10"/>
  <c r="U33" i="10"/>
  <c r="U165" i="10"/>
  <c r="G13" i="10"/>
  <c r="G89" i="10"/>
  <c r="Q140" i="10"/>
  <c r="O142" i="10"/>
  <c r="D194" i="10"/>
  <c r="P20" i="10"/>
  <c r="P46" i="10"/>
  <c r="S82" i="10"/>
  <c r="O117" i="10"/>
  <c r="T132" i="10"/>
  <c r="T163" i="10"/>
  <c r="U138" i="10"/>
  <c r="O140" i="10"/>
  <c r="I8" i="10"/>
  <c r="H54" i="10"/>
  <c r="I34" i="10"/>
  <c r="L80" i="10"/>
  <c r="T26" i="10"/>
  <c r="P183" i="10"/>
  <c r="M138" i="10"/>
  <c r="S146" i="10"/>
  <c r="T101" i="10"/>
  <c r="M49" i="10"/>
  <c r="O159" i="10"/>
  <c r="U154" i="10"/>
  <c r="I136" i="10"/>
  <c r="L138" i="10"/>
  <c r="S193" i="10"/>
  <c r="O25" i="10"/>
  <c r="P123" i="10"/>
  <c r="T166" i="10"/>
  <c r="L7" i="10"/>
  <c r="L182" i="10"/>
  <c r="H55" i="10"/>
  <c r="G138" i="10"/>
  <c r="H124" i="10"/>
  <c r="U38" i="10"/>
  <c r="M137" i="10"/>
  <c r="L157" i="10"/>
  <c r="M82" i="10"/>
  <c r="L86" i="10"/>
  <c r="L37" i="10"/>
  <c r="G125" i="10"/>
  <c r="K95" i="10"/>
  <c r="Q45" i="10"/>
  <c r="T136" i="10"/>
  <c r="T25" i="10"/>
  <c r="G97" i="10"/>
  <c r="M167" i="10"/>
  <c r="D73" i="10"/>
  <c r="K94" i="10"/>
  <c r="Q33" i="10"/>
  <c r="U191" i="10"/>
  <c r="U75" i="10"/>
  <c r="H109" i="10"/>
  <c r="K151" i="10"/>
  <c r="Q191" i="10"/>
  <c r="Q5" i="10"/>
  <c r="H153" i="10"/>
  <c r="M98" i="10"/>
  <c r="G146" i="10"/>
  <c r="M55" i="10"/>
  <c r="E176" i="10"/>
  <c r="P167" i="10"/>
  <c r="L155" i="10"/>
  <c r="O90" i="10"/>
  <c r="T178" i="10"/>
  <c r="L90" i="10"/>
  <c r="G166" i="10"/>
  <c r="I124" i="10"/>
  <c r="G165" i="10"/>
  <c r="L68" i="10"/>
  <c r="H85" i="10"/>
  <c r="K191" i="10"/>
  <c r="Q105" i="10"/>
  <c r="I109" i="10"/>
  <c r="I59" i="10"/>
  <c r="S21" i="10"/>
  <c r="D172" i="10"/>
  <c r="T158" i="10"/>
  <c r="M134" i="10"/>
  <c r="T103" i="10"/>
  <c r="O86" i="10"/>
  <c r="H175" i="10"/>
  <c r="G137" i="10"/>
  <c r="I157" i="10"/>
  <c r="Q141" i="10"/>
  <c r="D100" i="10"/>
  <c r="T117" i="10"/>
  <c r="K123" i="10"/>
  <c r="L49" i="10"/>
  <c r="S132" i="10"/>
  <c r="K185" i="10"/>
  <c r="G134" i="10"/>
  <c r="K111" i="10"/>
  <c r="G150" i="10"/>
  <c r="U185" i="10"/>
  <c r="Q89" i="10"/>
  <c r="L123" i="10"/>
  <c r="T159" i="10"/>
  <c r="O185" i="10"/>
  <c r="H41" i="10"/>
  <c r="I17" i="10"/>
  <c r="G179" i="10"/>
  <c r="P62" i="10"/>
  <c r="H193" i="10"/>
  <c r="Q161" i="10"/>
  <c r="P162" i="10"/>
  <c r="L34" i="10"/>
  <c r="L11" i="10"/>
  <c r="E32" i="10"/>
  <c r="U59" i="10"/>
  <c r="K81" i="10"/>
  <c r="S103" i="10"/>
  <c r="Q11" i="10"/>
  <c r="H182" i="10"/>
  <c r="O11" i="10"/>
  <c r="L51" i="10"/>
  <c r="U62" i="10"/>
  <c r="S117" i="10"/>
  <c r="K150" i="10"/>
  <c r="S38" i="10"/>
  <c r="P138" i="10"/>
  <c r="Q84" i="10"/>
  <c r="K39" i="10"/>
  <c r="T61" i="10"/>
  <c r="S134" i="10"/>
  <c r="K110" i="10"/>
  <c r="I72" i="10"/>
  <c r="M80" i="10"/>
  <c r="L17" i="10"/>
  <c r="T93" i="10"/>
  <c r="E160" i="10"/>
  <c r="U192" i="10"/>
  <c r="Q174" i="10"/>
  <c r="H105" i="10"/>
  <c r="G80" i="10"/>
  <c r="K55" i="10"/>
  <c r="M95" i="10"/>
  <c r="Q29" i="10"/>
  <c r="M72" i="10"/>
  <c r="I144" i="10"/>
  <c r="H134" i="10"/>
  <c r="O153" i="10"/>
  <c r="M58" i="10"/>
  <c r="P24" i="10"/>
  <c r="P53" i="10"/>
  <c r="H94" i="10"/>
  <c r="O94" i="10"/>
  <c r="S45" i="10"/>
  <c r="G181" i="10"/>
  <c r="H26" i="10"/>
  <c r="G128" i="10"/>
  <c r="L166" i="10"/>
  <c r="P153" i="10"/>
  <c r="E118" i="10"/>
  <c r="D188" i="10"/>
  <c r="U93" i="10"/>
  <c r="L167" i="10"/>
  <c r="H106" i="10"/>
  <c r="T125" i="10"/>
  <c r="S191" i="10"/>
  <c r="S86" i="10"/>
  <c r="I162" i="10"/>
  <c r="M54" i="10"/>
  <c r="O97" i="10"/>
  <c r="Q80" i="10"/>
  <c r="P58" i="10"/>
  <c r="E36" i="10"/>
  <c r="O21" i="10"/>
  <c r="T107" i="10"/>
  <c r="H162" i="10"/>
  <c r="I170" i="10"/>
  <c r="O183" i="10"/>
  <c r="H71" i="10"/>
  <c r="K17" i="10"/>
  <c r="D64" i="10"/>
  <c r="E14" i="10"/>
  <c r="M165" i="10"/>
  <c r="Q31" i="10"/>
  <c r="I169" i="10"/>
  <c r="H50" i="10"/>
  <c r="H58" i="10"/>
  <c r="Q39" i="10"/>
  <c r="K85" i="10"/>
  <c r="O161" i="10"/>
  <c r="P51" i="10"/>
  <c r="Q74" i="10"/>
  <c r="I191" i="10"/>
  <c r="D108" i="10"/>
  <c r="I47" i="10"/>
  <c r="G106" i="10"/>
  <c r="M6" i="10"/>
  <c r="M16" i="10"/>
  <c r="H49" i="10"/>
  <c r="L171" i="10"/>
  <c r="M177" i="10"/>
  <c r="M12" i="10"/>
  <c r="P193" i="10"/>
  <c r="M57" i="10"/>
  <c r="T24" i="10"/>
  <c r="G84" i="10"/>
  <c r="I13" i="10"/>
  <c r="I76" i="10"/>
  <c r="U82" i="10"/>
  <c r="Q34" i="10"/>
  <c r="T39" i="10"/>
  <c r="K45" i="10"/>
  <c r="S88" i="10"/>
  <c r="G54" i="10"/>
  <c r="O20" i="10"/>
  <c r="Q6" i="10"/>
  <c r="H145" i="10"/>
  <c r="I88" i="10"/>
  <c r="K145" i="10"/>
  <c r="I51" i="10"/>
  <c r="Q38" i="10"/>
  <c r="Q2" i="10"/>
  <c r="O191" i="10"/>
  <c r="P1" i="10"/>
  <c r="Q85" i="10"/>
  <c r="I2" i="10"/>
  <c r="T71" i="10"/>
  <c r="T89" i="10"/>
  <c r="U72" i="10"/>
  <c r="K46" i="10"/>
  <c r="L117" i="10"/>
  <c r="H72" i="10"/>
  <c r="Q101" i="10"/>
  <c r="L124" i="10"/>
  <c r="K6" i="10"/>
  <c r="H170" i="10"/>
  <c r="T155" i="10"/>
  <c r="L128" i="10"/>
  <c r="P12" i="10"/>
  <c r="I128" i="10"/>
  <c r="T17" i="10"/>
  <c r="G74" i="10"/>
  <c r="M75" i="10"/>
  <c r="G153" i="10"/>
  <c r="U111" i="10"/>
  <c r="O99" i="10"/>
  <c r="H68" i="10"/>
  <c r="O49" i="10"/>
  <c r="H70" i="10"/>
  <c r="H43" i="10"/>
  <c r="U132" i="10"/>
  <c r="M37" i="10"/>
  <c r="O76" i="10"/>
  <c r="O37" i="10"/>
  <c r="G53" i="10"/>
  <c r="U123" i="10"/>
  <c r="T110" i="10"/>
  <c r="T59" i="10"/>
  <c r="O154" i="10"/>
  <c r="S75" i="10"/>
  <c r="O95" i="10"/>
  <c r="P30" i="10"/>
  <c r="Q154" i="10"/>
  <c r="Q137" i="10"/>
  <c r="S141" i="10"/>
  <c r="O157" i="10"/>
  <c r="I137" i="10"/>
  <c r="U183" i="10"/>
  <c r="P94" i="10"/>
  <c r="O31" i="10"/>
  <c r="H116" i="10"/>
  <c r="Q1" i="10"/>
  <c r="P95" i="10"/>
  <c r="I99" i="10"/>
  <c r="L41" i="10"/>
  <c r="M185" i="10"/>
  <c r="H161" i="10"/>
  <c r="P84" i="10"/>
  <c r="T33" i="10"/>
  <c r="O134" i="10"/>
  <c r="H183" i="10"/>
  <c r="T85" i="10"/>
  <c r="L6" i="10"/>
  <c r="O162" i="10"/>
  <c r="P85" i="10"/>
  <c r="I6" i="10"/>
  <c r="S50" i="10"/>
  <c r="M5" i="10"/>
  <c r="P29" i="10"/>
  <c r="S66" i="10"/>
  <c r="E5" i="10"/>
  <c r="L193" i="10"/>
  <c r="G145" i="10"/>
  <c r="H18" i="10"/>
  <c r="K115" i="10"/>
  <c r="L24" i="10"/>
  <c r="P42" i="10"/>
  <c r="Q71" i="10"/>
  <c r="P59" i="10"/>
  <c r="T116" i="10"/>
  <c r="L13" i="10"/>
  <c r="H76" i="10"/>
  <c r="K146" i="10"/>
  <c r="H98" i="10"/>
  <c r="M175" i="10"/>
  <c r="I5" i="10"/>
  <c r="U86" i="10"/>
  <c r="H33" i="10"/>
  <c r="U106" i="10"/>
  <c r="O81" i="10"/>
  <c r="S1" i="10"/>
  <c r="G30" i="10"/>
  <c r="P88" i="10"/>
  <c r="Q43" i="10"/>
  <c r="E143" i="10"/>
  <c r="K170" i="10"/>
  <c r="L29" i="10"/>
  <c r="T6" i="10"/>
  <c r="I182" i="10"/>
  <c r="S115" i="10"/>
  <c r="T49" i="10"/>
  <c r="K136" i="10"/>
  <c r="I165" i="10"/>
  <c r="Q16" i="10"/>
  <c r="H86" i="10"/>
  <c r="U95" i="10"/>
  <c r="K54" i="10"/>
  <c r="U193" i="10"/>
  <c r="P116" i="10"/>
  <c r="O38" i="10"/>
  <c r="T187" i="10"/>
  <c r="Q30" i="10"/>
  <c r="S31" i="10"/>
  <c r="O103" i="10"/>
  <c r="K29" i="10"/>
  <c r="T144" i="10"/>
  <c r="U157" i="10"/>
  <c r="H66" i="10"/>
  <c r="T157" i="10"/>
  <c r="P182" i="10"/>
  <c r="S41" i="10"/>
  <c r="U117" i="10"/>
  <c r="Q170" i="10"/>
  <c r="I67" i="10"/>
  <c r="O163" i="10"/>
  <c r="Q20" i="10"/>
  <c r="M154" i="10"/>
  <c r="O24" i="10"/>
  <c r="E91" i="10"/>
  <c r="G107" i="10"/>
  <c r="T185" i="10"/>
  <c r="U39" i="10"/>
  <c r="H7" i="10"/>
  <c r="P49" i="10"/>
  <c r="U94" i="10"/>
  <c r="H84" i="10"/>
  <c r="I167" i="10"/>
  <c r="T109" i="10"/>
  <c r="Q67" i="10"/>
  <c r="T1" i="10"/>
  <c r="G46" i="10"/>
  <c r="G66" i="10"/>
  <c r="L43" i="10"/>
  <c r="D184" i="10"/>
  <c r="G5" i="10"/>
  <c r="T63" i="10"/>
  <c r="L111" i="10"/>
  <c r="K130" i="10"/>
  <c r="I71" i="10"/>
  <c r="I20" i="10"/>
  <c r="S129" i="10"/>
  <c r="O138" i="10"/>
  <c r="U21" i="10"/>
  <c r="K157" i="10"/>
  <c r="O174" i="10"/>
  <c r="H90" i="10"/>
  <c r="I117" i="10"/>
  <c r="T145" i="10"/>
  <c r="H125" i="10"/>
  <c r="P133" i="10"/>
  <c r="M146" i="10"/>
  <c r="K57" i="10"/>
  <c r="H165" i="10"/>
  <c r="T45" i="10"/>
  <c r="L158" i="10"/>
  <c r="H163" i="10"/>
  <c r="P155" i="10"/>
  <c r="E188" i="10"/>
  <c r="K67" i="10"/>
  <c r="M107" i="10"/>
  <c r="T55" i="10"/>
  <c r="L54" i="10"/>
  <c r="G37" i="10"/>
  <c r="M182" i="10"/>
  <c r="P161" i="10"/>
  <c r="H187" i="10"/>
  <c r="T30" i="10"/>
  <c r="T115" i="10"/>
  <c r="K175" i="10"/>
  <c r="H45" i="10"/>
  <c r="O63" i="10"/>
  <c r="L16" i="10"/>
  <c r="M186" i="10"/>
  <c r="H2" i="10"/>
  <c r="I61" i="10"/>
  <c r="P170" i="10"/>
  <c r="O116" i="10"/>
  <c r="H1" i="10"/>
  <c r="L106" i="10"/>
  <c r="K163" i="10"/>
  <c r="G41" i="10"/>
  <c r="M30" i="10"/>
  <c r="K169" i="10"/>
  <c r="K142" i="10"/>
  <c r="L5" i="10"/>
  <c r="I54" i="10"/>
  <c r="S43" i="10"/>
  <c r="T99" i="10"/>
  <c r="T161" i="10"/>
  <c r="M169" i="10"/>
  <c r="G12" i="10"/>
  <c r="O39" i="10"/>
  <c r="P82" i="10"/>
  <c r="O171" i="10"/>
  <c r="L161" i="10"/>
  <c r="K124" i="10"/>
  <c r="U166" i="10"/>
  <c r="I74" i="10"/>
  <c r="M183" i="10"/>
  <c r="O57" i="10"/>
  <c r="G26" i="10"/>
  <c r="T66" i="10"/>
  <c r="P43" i="10"/>
  <c r="S57" i="10"/>
  <c r="D122" i="10"/>
  <c r="I21" i="10"/>
  <c r="U6" i="10"/>
  <c r="U43" i="10"/>
  <c r="G38" i="10"/>
  <c r="O62" i="10"/>
  <c r="Q25" i="10"/>
  <c r="S71" i="10"/>
  <c r="I105" i="10"/>
  <c r="S34" i="10"/>
  <c r="K173" i="10"/>
  <c r="Q18" i="10"/>
  <c r="T171" i="10"/>
  <c r="U80" i="10"/>
  <c r="Q107" i="10"/>
  <c r="P159" i="10"/>
  <c r="S128" i="10"/>
  <c r="H155" i="10"/>
  <c r="S169" i="10"/>
  <c r="I186" i="10"/>
  <c r="U17" i="10"/>
  <c r="O137" i="10"/>
  <c r="E44" i="10"/>
  <c r="L20" i="10"/>
  <c r="S24" i="10"/>
  <c r="M21" i="10"/>
  <c r="P13" i="10"/>
  <c r="M187" i="10"/>
  <c r="G154" i="10"/>
  <c r="S29" i="10"/>
  <c r="H57" i="10"/>
  <c r="M61" i="10"/>
  <c r="H22" i="10"/>
  <c r="H89" i="10"/>
  <c r="H136" i="10"/>
  <c r="S42" i="10"/>
  <c r="O145" i="10"/>
  <c r="S6" i="10"/>
  <c r="S181" i="10"/>
  <c r="S16" i="10"/>
  <c r="U99" i="10"/>
  <c r="K1" i="10"/>
  <c r="H117" i="10"/>
  <c r="P169" i="10"/>
  <c r="Q111" i="10"/>
  <c r="K31" i="10"/>
  <c r="G117" i="10"/>
  <c r="K18" i="10"/>
  <c r="U30" i="10"/>
  <c r="U161" i="10"/>
  <c r="G157" i="10"/>
  <c r="G86" i="10"/>
  <c r="H63" i="10"/>
  <c r="M178" i="10"/>
  <c r="G111" i="10"/>
  <c r="I174" i="10"/>
  <c r="G144" i="10"/>
  <c r="O80" i="10"/>
  <c r="U129" i="10"/>
  <c r="K158" i="10"/>
  <c r="Q37" i="10"/>
  <c r="G50" i="10"/>
  <c r="O50" i="10"/>
  <c r="M163" i="10"/>
  <c r="H25" i="10"/>
  <c r="D160" i="10"/>
  <c r="E64" i="10"/>
  <c r="G169" i="10"/>
  <c r="K75" i="10"/>
  <c r="U134" i="10"/>
  <c r="Q123" i="10"/>
  <c r="G33" i="10"/>
  <c r="U13" i="10"/>
  <c r="T74" i="10"/>
  <c r="Q142" i="10"/>
  <c r="G170" i="10"/>
  <c r="P6" i="10"/>
  <c r="H150" i="10"/>
  <c r="K68" i="10"/>
  <c r="O29" i="10"/>
  <c r="G21" i="10"/>
  <c r="G88" i="10"/>
  <c r="K25" i="10"/>
  <c r="M109" i="10"/>
  <c r="L170" i="10"/>
  <c r="Q98" i="10"/>
  <c r="U142" i="10"/>
  <c r="I80" i="10"/>
  <c r="M85" i="10"/>
  <c r="G34" i="10"/>
  <c r="I98" i="10"/>
  <c r="Q81" i="10"/>
  <c r="I41" i="10"/>
  <c r="L144" i="10"/>
  <c r="K72" i="10"/>
  <c r="H128" i="10"/>
  <c r="I39" i="10"/>
  <c r="L115" i="10"/>
  <c r="E19" i="10"/>
  <c r="L177" i="10"/>
  <c r="K166" i="10"/>
  <c r="O58" i="10"/>
  <c r="M162" i="10"/>
  <c r="O22" i="10"/>
  <c r="S163" i="10"/>
  <c r="M84" i="10"/>
  <c r="H67" i="10"/>
  <c r="T41" i="10"/>
  <c r="I129" i="10"/>
  <c r="P25" i="10"/>
  <c r="K101" i="10"/>
  <c r="U162" i="10"/>
  <c r="O7" i="10"/>
  <c r="H123" i="10"/>
  <c r="D77" i="10"/>
  <c r="P18" i="10"/>
  <c r="P17" i="10"/>
  <c r="M124" i="10"/>
  <c r="U170" i="10"/>
  <c r="O5" i="10"/>
  <c r="K16" i="10"/>
  <c r="I31" i="10"/>
  <c r="M110" i="10"/>
  <c r="M151" i="10"/>
  <c r="D118" i="10"/>
  <c r="G155" i="10"/>
  <c r="I192" i="10"/>
  <c r="S105" i="10"/>
  <c r="D44" i="10"/>
  <c r="S149" i="10"/>
  <c r="P178" i="10"/>
  <c r="T140" i="10"/>
  <c r="G151" i="10"/>
  <c r="M24" i="10"/>
  <c r="U115" i="10"/>
  <c r="Q7" i="10"/>
  <c r="L66" i="10"/>
  <c r="P11" i="10"/>
  <c r="K106" i="10"/>
  <c r="S182" i="10"/>
  <c r="T34" i="10"/>
  <c r="I181" i="10"/>
  <c r="K58" i="10"/>
  <c r="K43" i="10"/>
  <c r="M11" i="10"/>
  <c r="Q192" i="10"/>
  <c r="L55" i="10"/>
  <c r="O182" i="10"/>
  <c r="E147" i="10"/>
  <c r="S53" i="10"/>
  <c r="Q186" i="10"/>
  <c r="K138" i="10"/>
  <c r="Q35" i="10"/>
  <c r="S101" i="10"/>
  <c r="M13" i="10"/>
  <c r="H5" i="10"/>
  <c r="S140" i="10"/>
  <c r="M62" i="10"/>
  <c r="M7" i="10"/>
  <c r="M161" i="10"/>
  <c r="M103" i="10"/>
  <c r="U68" i="10"/>
  <c r="G24" i="10"/>
  <c r="U155" i="10"/>
  <c r="I86" i="10"/>
  <c r="E156" i="10"/>
  <c r="Q133" i="10"/>
  <c r="I81" i="10"/>
  <c r="I84" i="10"/>
  <c r="Q169" i="10"/>
  <c r="S58" i="10"/>
  <c r="H61" i="10"/>
  <c r="P5" i="10"/>
  <c r="I183" i="10"/>
  <c r="Q58" i="10"/>
  <c r="H144" i="10"/>
  <c r="G62" i="10"/>
  <c r="O74" i="10"/>
  <c r="U76" i="10"/>
  <c r="I58" i="10"/>
  <c r="H179" i="10"/>
  <c r="G130" i="10"/>
  <c r="Q24" i="10"/>
  <c r="T31" i="10"/>
  <c r="H192" i="10"/>
  <c r="M26" i="10"/>
  <c r="U71" i="10"/>
  <c r="S22" i="10"/>
  <c r="H6" i="10"/>
  <c r="Q88" i="10"/>
  <c r="H115" i="10"/>
  <c r="U63" i="10"/>
  <c r="T8" i="10"/>
  <c r="U46" i="10"/>
  <c r="M166" i="10"/>
  <c r="U186" i="10"/>
  <c r="U49" i="10"/>
  <c r="G183" i="10"/>
  <c r="I33" i="10"/>
  <c r="P150" i="10"/>
  <c r="D60" i="10"/>
  <c r="K13" i="10"/>
  <c r="L185" i="10"/>
  <c r="I24" i="10"/>
  <c r="K137" i="10"/>
  <c r="L178" i="10"/>
  <c r="I155" i="10"/>
  <c r="P66" i="10"/>
  <c r="U70" i="10"/>
  <c r="K38" i="10"/>
  <c r="T68" i="10"/>
  <c r="M20" i="10"/>
  <c r="Q130" i="10"/>
  <c r="I153" i="10"/>
  <c r="I62" i="10"/>
  <c r="I46" i="10"/>
  <c r="Q125" i="10"/>
  <c r="I101" i="10"/>
  <c r="U97" i="10"/>
  <c r="S186" i="10"/>
  <c r="I82" i="10"/>
  <c r="K177" i="10"/>
  <c r="L94" i="10"/>
  <c r="Q128" i="10"/>
  <c r="M105" i="10"/>
  <c r="L58" i="10"/>
  <c r="I50" i="10"/>
  <c r="Q102" i="10"/>
  <c r="T12" i="10"/>
  <c r="U37" i="10"/>
  <c r="T179" i="10"/>
  <c r="M33" i="10"/>
  <c r="Q193" i="10"/>
  <c r="K5" i="10"/>
  <c r="P68" i="10"/>
  <c r="H11" i="10"/>
  <c r="P39" i="10"/>
  <c r="K47" i="10"/>
  <c r="O141" i="10"/>
  <c r="T88" i="10"/>
  <c r="K35" i="10"/>
  <c r="S99" i="10"/>
  <c r="T7" i="10"/>
  <c r="H191" i="10"/>
  <c r="T53" i="10"/>
  <c r="U51" i="10"/>
  <c r="K89" i="10"/>
  <c r="O6" i="10"/>
  <c r="G90" i="10"/>
  <c r="O111" i="10"/>
  <c r="O181" i="10"/>
  <c r="O8" i="10"/>
  <c r="M71" i="10"/>
  <c r="O41" i="10"/>
  <c r="G17" i="10"/>
  <c r="E40" i="10"/>
  <c r="U98" i="10"/>
  <c r="Q162" i="10"/>
  <c r="M8" i="10"/>
  <c r="U34" i="10"/>
  <c r="T138" i="10"/>
  <c r="E73" i="10"/>
  <c r="H29" i="10"/>
  <c r="O144" i="10"/>
  <c r="Q8" i="10"/>
  <c r="L62" i="10"/>
  <c r="I66" i="10"/>
  <c r="P21" i="10"/>
  <c r="L61" i="10"/>
  <c r="G49" i="10"/>
  <c r="Q165" i="10"/>
  <c r="P115" i="10"/>
  <c r="K8" i="10"/>
  <c r="Q42" i="10"/>
  <c r="I154" i="10"/>
  <c r="H8" i="10"/>
  <c r="T170" i="10"/>
  <c r="U31" i="10"/>
  <c r="L46" i="10"/>
  <c r="T11" i="10"/>
  <c r="K167" i="10"/>
  <c r="E112" i="10"/>
  <c r="S67" i="10"/>
  <c r="K53" i="10"/>
  <c r="U178" i="10"/>
  <c r="D143" i="10"/>
  <c r="L136" i="10"/>
  <c r="K24" i="10"/>
  <c r="P158" i="10"/>
  <c r="P26" i="10"/>
  <c r="T47" i="10"/>
  <c r="L101" i="10"/>
  <c r="U90" i="10"/>
  <c r="E139" i="10"/>
  <c r="U179" i="10"/>
  <c r="S145" i="10"/>
  <c r="P34" i="10"/>
  <c r="I68" i="10"/>
  <c r="P47" i="10"/>
  <c r="S179" i="10"/>
  <c r="M93" i="10"/>
  <c r="K153" i="10"/>
  <c r="K20" i="10"/>
  <c r="G42" i="10"/>
  <c r="L57" i="10"/>
  <c r="M128" i="10"/>
  <c r="P67" i="10"/>
  <c r="Q95" i="10"/>
  <c r="M97" i="10"/>
  <c r="O53" i="10"/>
  <c r="T154" i="10"/>
  <c r="I53" i="10"/>
  <c r="K187" i="10"/>
  <c r="P103" i="10"/>
  <c r="L39" i="10"/>
  <c r="P74" i="10"/>
  <c r="I103" i="10"/>
  <c r="S12" i="10"/>
  <c r="M149" i="10"/>
  <c r="O155" i="10"/>
  <c r="M133" i="10"/>
  <c r="I38" i="10"/>
  <c r="G158" i="10"/>
  <c r="M144" i="10"/>
  <c r="T42" i="10"/>
  <c r="T183" i="10"/>
  <c r="H110" i="10"/>
  <c r="U50" i="10"/>
  <c r="G140" i="10"/>
  <c r="P98" i="10"/>
  <c r="H129" i="10"/>
  <c r="S55" i="10"/>
  <c r="O61" i="10"/>
  <c r="P145" i="10"/>
  <c r="I25" i="10"/>
  <c r="L99" i="10"/>
  <c r="Q68" i="10"/>
  <c r="P89" i="10"/>
  <c r="U116" i="10"/>
  <c r="D135" i="10"/>
  <c r="M181" i="10"/>
  <c r="G47" i="10"/>
  <c r="O151" i="10"/>
  <c r="K186" i="10"/>
  <c r="G185" i="10"/>
  <c r="M129" i="10"/>
  <c r="K140" i="10"/>
  <c r="K178" i="10"/>
  <c r="S76" i="10"/>
  <c r="G193" i="10"/>
  <c r="G163" i="10"/>
  <c r="T123" i="10"/>
  <c r="G132" i="10"/>
  <c r="T167" i="10"/>
  <c r="H159" i="10"/>
  <c r="H31" i="10"/>
  <c r="G161" i="10"/>
  <c r="G71" i="10"/>
  <c r="Q72" i="10"/>
  <c r="O75" i="10"/>
  <c r="P57" i="10"/>
  <c r="K162" i="10"/>
  <c r="T162" i="10"/>
  <c r="U133" i="10"/>
  <c r="M53" i="10"/>
  <c r="O193" i="10"/>
  <c r="L137" i="10"/>
  <c r="M94" i="10"/>
  <c r="E23" i="10"/>
  <c r="G2" i="10"/>
  <c r="T174" i="10"/>
  <c r="S51" i="10"/>
  <c r="I26" i="10"/>
  <c r="S155" i="10"/>
  <c r="Q76" i="10"/>
  <c r="O34" i="10"/>
  <c r="S161" i="10"/>
  <c r="O187" i="10"/>
  <c r="D27" i="10"/>
  <c r="U146" i="10"/>
  <c r="H53" i="10"/>
  <c r="H174" i="10"/>
  <c r="K49" i="10"/>
  <c r="S63" i="10"/>
  <c r="L85" i="10"/>
  <c r="U66" i="10"/>
  <c r="G6" i="10"/>
  <c r="O35" i="10"/>
  <c r="T105" i="10"/>
  <c r="Q47" i="10"/>
  <c r="P76" i="10"/>
  <c r="T46" i="10"/>
  <c r="I187" i="10"/>
  <c r="E122" i="10"/>
  <c r="I146" i="10"/>
  <c r="S94" i="10"/>
  <c r="D87" i="10"/>
  <c r="Q158" i="10"/>
  <c r="U110" i="10"/>
  <c r="S46" i="10"/>
  <c r="L103" i="10"/>
  <c r="I42" i="10"/>
  <c r="S89" i="10"/>
  <c r="D156" i="10"/>
  <c r="M159" i="10"/>
  <c r="T90" i="10"/>
  <c r="S130" i="10"/>
  <c r="P7" i="10"/>
  <c r="D96" i="10"/>
  <c r="L26" i="10"/>
  <c r="M18" i="10"/>
  <c r="Q75" i="10"/>
  <c r="U67" i="10"/>
  <c r="O13" i="10"/>
  <c r="P146" i="10"/>
  <c r="T57" i="10"/>
  <c r="G175" i="10"/>
  <c r="K37" i="10"/>
  <c r="P134" i="10"/>
  <c r="G43" i="10"/>
  <c r="H81" i="10"/>
  <c r="O109" i="10"/>
  <c r="S5" i="10"/>
  <c r="U177" i="10"/>
  <c r="T192" i="10"/>
  <c r="P2" i="10"/>
  <c r="P154" i="10"/>
  <c r="Q63" i="10"/>
  <c r="Q53" i="10"/>
  <c r="M158" i="10"/>
  <c r="U109" i="10"/>
  <c r="M17" i="10"/>
  <c r="T5" i="10"/>
  <c r="K41" i="10"/>
  <c r="O132" i="10"/>
  <c r="S18" i="10"/>
  <c r="E126" i="10"/>
  <c r="U102" i="10"/>
  <c r="P107" i="10"/>
  <c r="O45" i="10"/>
  <c r="Q51" i="10"/>
  <c r="G136" i="10"/>
  <c r="L8" i="10"/>
  <c r="T35" i="10"/>
  <c r="G22" i="10"/>
  <c r="P175" i="10"/>
  <c r="Q175" i="10"/>
  <c r="Q187" i="10"/>
  <c r="D48" i="10"/>
  <c r="H99" i="10"/>
  <c r="E77" i="10"/>
  <c r="K88" i="10"/>
  <c r="H137" i="10"/>
  <c r="P137" i="10"/>
  <c r="M51" i="10"/>
  <c r="G39" i="10"/>
  <c r="Q163" i="10"/>
  <c r="P72" i="10"/>
  <c r="T38" i="10"/>
  <c r="Q21" i="10"/>
  <c r="L186" i="10"/>
  <c r="U140" i="10"/>
  <c r="L30" i="10"/>
  <c r="M50" i="10"/>
  <c r="O85" i="10"/>
  <c r="L75" i="10"/>
  <c r="I45" i="10"/>
  <c r="G103" i="10"/>
  <c r="I63" i="10"/>
  <c r="T186" i="10"/>
  <c r="G76" i="10"/>
  <c r="I37" i="10"/>
  <c r="D126" i="10"/>
  <c r="Q13" i="10"/>
  <c r="C19" i="72"/>
  <c r="C20" i="72"/>
  <c r="C3" i="72"/>
  <c r="C8" i="72"/>
  <c r="C10" i="72"/>
  <c r="D43" i="72"/>
  <c r="D39" i="72"/>
  <c r="C29" i="72"/>
  <c r="C33" i="72"/>
  <c r="C27" i="72"/>
  <c r="C11" i="72"/>
  <c r="C22" i="72"/>
  <c r="C32" i="72"/>
  <c r="D11" i="72"/>
  <c r="C16" i="72"/>
  <c r="C24" i="72"/>
  <c r="D17" i="72"/>
  <c r="C45" i="72"/>
  <c r="D30" i="72"/>
  <c r="C39" i="72"/>
  <c r="D22" i="72"/>
  <c r="D25" i="72"/>
  <c r="D16" i="72"/>
  <c r="D46" i="72"/>
  <c r="D50" i="72"/>
  <c r="D35" i="72"/>
  <c r="D49" i="72"/>
  <c r="C7" i="72"/>
  <c r="C17" i="72"/>
  <c r="D33" i="72"/>
  <c r="C50" i="72"/>
  <c r="C14" i="72"/>
  <c r="C28" i="72"/>
  <c r="D5" i="72"/>
  <c r="D45" i="72"/>
  <c r="D27" i="72"/>
  <c r="C15" i="72"/>
  <c r="D3" i="72"/>
  <c r="C34" i="72"/>
  <c r="D8" i="72"/>
  <c r="C37" i="72"/>
  <c r="C2" i="72"/>
  <c r="C38" i="72"/>
  <c r="D37" i="72"/>
  <c r="C31" i="72"/>
  <c r="D38" i="72"/>
  <c r="D1" i="72"/>
  <c r="D15" i="72"/>
  <c r="C5" i="72"/>
  <c r="C6" i="72"/>
  <c r="D9" i="72"/>
  <c r="D24" i="72"/>
  <c r="D6" i="72"/>
  <c r="D42" i="72"/>
  <c r="D13" i="72"/>
  <c r="D21" i="72"/>
  <c r="C40" i="72"/>
  <c r="C13" i="72"/>
  <c r="D31" i="72"/>
  <c r="C23" i="72"/>
  <c r="C49" i="72"/>
  <c r="D7" i="72"/>
  <c r="D28" i="72"/>
  <c r="D34" i="72"/>
  <c r="D23" i="72"/>
  <c r="C30" i="72"/>
  <c r="C25" i="72"/>
  <c r="C46" i="72"/>
  <c r="D29" i="72"/>
  <c r="D26" i="72"/>
  <c r="C43" i="72"/>
  <c r="D2" i="72"/>
  <c r="C4" i="72"/>
  <c r="D32" i="72"/>
  <c r="C42" i="72"/>
  <c r="C35" i="72"/>
  <c r="C12" i="72"/>
  <c r="C44" i="72"/>
  <c r="C41" i="72"/>
  <c r="D41" i="72"/>
  <c r="D19" i="72"/>
  <c r="D10" i="72"/>
  <c r="D12" i="72"/>
  <c r="D20" i="72"/>
  <c r="D4" i="72"/>
  <c r="D44" i="72"/>
  <c r="C21" i="72"/>
  <c r="D18" i="72"/>
  <c r="C26" i="72"/>
  <c r="D40" i="72"/>
  <c r="D14" i="72"/>
  <c r="C18" i="72"/>
  <c r="C9" i="72"/>
  <c r="R208" i="11" l="1"/>
  <c r="Q208" i="11"/>
  <c r="P208" i="11"/>
  <c r="O208" i="11"/>
  <c r="N208" i="11"/>
  <c r="M208" i="11"/>
  <c r="L208" i="11"/>
  <c r="K208" i="11"/>
  <c r="J208" i="11"/>
  <c r="I208" i="11"/>
  <c r="H208" i="11"/>
  <c r="G20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G17" i="11"/>
  <c r="R17" i="11"/>
  <c r="Q17" i="11"/>
  <c r="P17" i="11"/>
  <c r="O17" i="11"/>
  <c r="N17" i="11"/>
  <c r="M17" i="11"/>
  <c r="L17" i="11"/>
  <c r="K17" i="11"/>
  <c r="J17" i="11"/>
  <c r="I17" i="11"/>
  <c r="H17" i="11"/>
  <c r="L11" i="11"/>
  <c r="R11" i="11"/>
  <c r="Q11" i="11"/>
  <c r="P11" i="11"/>
  <c r="O11" i="11"/>
  <c r="N11" i="11"/>
  <c r="M11" i="11"/>
  <c r="K11" i="11"/>
  <c r="J11" i="11"/>
  <c r="I11" i="11"/>
  <c r="H11" i="11"/>
  <c r="G11" i="11"/>
  <c r="V121" i="10"/>
  <c r="R121" i="10"/>
  <c r="N121" i="10"/>
  <c r="J121" i="10"/>
  <c r="V120" i="10"/>
  <c r="R120" i="10"/>
  <c r="N120" i="10"/>
  <c r="J120" i="10"/>
  <c r="V119" i="10"/>
  <c r="R119" i="10"/>
  <c r="N119" i="10"/>
  <c r="J119" i="10"/>
  <c r="C200" i="11"/>
  <c r="C202" i="11"/>
  <c r="C203" i="11"/>
  <c r="C188" i="11"/>
  <c r="C58" i="11"/>
  <c r="C201" i="11"/>
  <c r="C199" i="11"/>
  <c r="I58" i="9"/>
  <c r="G58" i="9"/>
  <c r="I52" i="9"/>
  <c r="G55" i="9"/>
  <c r="G57" i="9"/>
  <c r="I63" i="9"/>
  <c r="I59" i="9"/>
  <c r="G60" i="9"/>
  <c r="I53" i="9"/>
  <c r="G64" i="9"/>
  <c r="G53" i="9"/>
  <c r="G59" i="9"/>
  <c r="I56" i="9"/>
  <c r="I54" i="9"/>
  <c r="G56" i="9"/>
  <c r="I64" i="9"/>
  <c r="G54" i="9"/>
  <c r="I57" i="9"/>
  <c r="G51" i="9"/>
  <c r="I51" i="9"/>
  <c r="I55" i="9"/>
  <c r="I60" i="9"/>
  <c r="I62" i="9"/>
  <c r="G52" i="9"/>
  <c r="G62" i="9"/>
  <c r="G63" i="9"/>
  <c r="I61" i="9"/>
  <c r="G61" i="9"/>
  <c r="A21" i="51"/>
  <c r="B21" i="51"/>
  <c r="C21" i="51"/>
  <c r="D21" i="51"/>
  <c r="E21" i="51"/>
  <c r="F21" i="51"/>
  <c r="A16" i="51" l="1"/>
  <c r="A17" i="51"/>
  <c r="A20" i="51"/>
  <c r="E20" i="51"/>
  <c r="L10" i="51"/>
  <c r="A8" i="51"/>
  <c r="A14" i="51"/>
  <c r="J193" i="10"/>
  <c r="J192" i="10"/>
  <c r="R192" i="10"/>
  <c r="J191" i="10"/>
  <c r="N192" i="10"/>
  <c r="N193" i="10"/>
  <c r="N191" i="10"/>
  <c r="R191" i="10"/>
  <c r="R193" i="10"/>
  <c r="V193" i="10"/>
  <c r="V192" i="10"/>
  <c r="V191" i="10"/>
  <c r="O194" i="10"/>
  <c r="J187" i="10"/>
  <c r="R187" i="10"/>
  <c r="N186" i="10"/>
  <c r="N187" i="10"/>
  <c r="N185" i="10"/>
  <c r="V187" i="10"/>
  <c r="J185" i="10"/>
  <c r="R186" i="10"/>
  <c r="R185" i="10"/>
  <c r="V186" i="10"/>
  <c r="J186" i="10"/>
  <c r="V185" i="10"/>
  <c r="V183" i="10"/>
  <c r="J183" i="10"/>
  <c r="J182" i="10"/>
  <c r="V181" i="10"/>
  <c r="N182" i="10"/>
  <c r="N183" i="10"/>
  <c r="N181" i="10"/>
  <c r="R183" i="10"/>
  <c r="V182" i="10"/>
  <c r="J181" i="10"/>
  <c r="R182" i="10"/>
  <c r="R181" i="10"/>
  <c r="J179" i="10"/>
  <c r="J178" i="10"/>
  <c r="J177" i="10"/>
  <c r="N179" i="10"/>
  <c r="V177" i="10"/>
  <c r="N178" i="10"/>
  <c r="N177" i="10"/>
  <c r="R179" i="10"/>
  <c r="R178" i="10"/>
  <c r="R177" i="10"/>
  <c r="V179" i="10"/>
  <c r="V178" i="10"/>
  <c r="J175" i="10"/>
  <c r="N175" i="10"/>
  <c r="J174" i="10"/>
  <c r="J173" i="10"/>
  <c r="N174" i="10"/>
  <c r="N173" i="10"/>
  <c r="R175" i="10"/>
  <c r="R174" i="10"/>
  <c r="R173" i="10"/>
  <c r="V175" i="10"/>
  <c r="V174" i="10"/>
  <c r="V173" i="10"/>
  <c r="V170" i="10"/>
  <c r="V169" i="10"/>
  <c r="J171" i="10"/>
  <c r="R170" i="10"/>
  <c r="V171" i="10"/>
  <c r="J170" i="10"/>
  <c r="J169" i="10"/>
  <c r="N171" i="10"/>
  <c r="R169" i="10"/>
  <c r="N170" i="10"/>
  <c r="N169" i="10"/>
  <c r="R171" i="10"/>
  <c r="J166" i="10"/>
  <c r="N167" i="10"/>
  <c r="J165" i="10"/>
  <c r="N166" i="10"/>
  <c r="V165" i="10"/>
  <c r="R167" i="10"/>
  <c r="J167" i="10"/>
  <c r="N165" i="10"/>
  <c r="V167" i="10"/>
  <c r="R166" i="10"/>
  <c r="R165" i="10"/>
  <c r="V166" i="10"/>
  <c r="V163" i="10"/>
  <c r="V162" i="10"/>
  <c r="V161" i="10"/>
  <c r="J163" i="10"/>
  <c r="R162" i="10"/>
  <c r="R161" i="10"/>
  <c r="J162" i="10"/>
  <c r="J161" i="10"/>
  <c r="N163" i="10"/>
  <c r="N162" i="10"/>
  <c r="N161" i="10"/>
  <c r="R163" i="10"/>
  <c r="J159" i="10"/>
  <c r="J157" i="10"/>
  <c r="N159" i="10"/>
  <c r="N158" i="10"/>
  <c r="N157" i="10"/>
  <c r="R159" i="10"/>
  <c r="J158" i="10"/>
  <c r="R158" i="10"/>
  <c r="R157" i="10"/>
  <c r="V159" i="10"/>
  <c r="V158" i="10"/>
  <c r="V157" i="10"/>
  <c r="V153" i="10"/>
  <c r="J155" i="10"/>
  <c r="R154" i="10"/>
  <c r="V155" i="10"/>
  <c r="V154" i="10"/>
  <c r="J154" i="10"/>
  <c r="J153" i="10"/>
  <c r="N155" i="10"/>
  <c r="R153" i="10"/>
  <c r="N154" i="10"/>
  <c r="N153" i="10"/>
  <c r="R155" i="10"/>
  <c r="J150" i="10"/>
  <c r="R149" i="10"/>
  <c r="V151" i="10"/>
  <c r="J151" i="10"/>
  <c r="J149" i="10"/>
  <c r="N151" i="10"/>
  <c r="V150" i="10"/>
  <c r="N149" i="10"/>
  <c r="R151" i="10"/>
  <c r="V149" i="10"/>
  <c r="N150" i="10"/>
  <c r="R150" i="10"/>
  <c r="V146" i="10"/>
  <c r="V145" i="10"/>
  <c r="V144" i="10"/>
  <c r="J146" i="10"/>
  <c r="J145" i="10"/>
  <c r="J144" i="10"/>
  <c r="R145" i="10"/>
  <c r="R144" i="10"/>
  <c r="N146" i="10"/>
  <c r="N145" i="10"/>
  <c r="N144" i="10"/>
  <c r="R146" i="10"/>
  <c r="J141" i="10"/>
  <c r="N142" i="10"/>
  <c r="J140" i="10"/>
  <c r="N141" i="10"/>
  <c r="N140" i="10"/>
  <c r="J142" i="10"/>
  <c r="R142" i="10"/>
  <c r="R141" i="10"/>
  <c r="R140" i="10"/>
  <c r="V142" i="10"/>
  <c r="V141" i="10"/>
  <c r="V140" i="10"/>
  <c r="J137" i="10"/>
  <c r="R138" i="10"/>
  <c r="J138" i="10"/>
  <c r="J136" i="10"/>
  <c r="N138" i="10"/>
  <c r="N137" i="10"/>
  <c r="N136" i="10"/>
  <c r="R137" i="10"/>
  <c r="R136" i="10"/>
  <c r="V138" i="10"/>
  <c r="V137" i="10"/>
  <c r="V136" i="10"/>
  <c r="R132" i="10"/>
  <c r="V134" i="10"/>
  <c r="V133" i="10"/>
  <c r="V132" i="10"/>
  <c r="J134" i="10"/>
  <c r="R133" i="10"/>
  <c r="J133" i="10"/>
  <c r="J132" i="10"/>
  <c r="N134" i="10"/>
  <c r="N133" i="10"/>
  <c r="N132" i="10"/>
  <c r="R134" i="10"/>
  <c r="R129" i="10"/>
  <c r="R128" i="10"/>
  <c r="J130" i="10"/>
  <c r="V130" i="10"/>
  <c r="V129" i="10"/>
  <c r="V128" i="10"/>
  <c r="J129" i="10"/>
  <c r="J128" i="10"/>
  <c r="N130" i="10"/>
  <c r="N129" i="10"/>
  <c r="N128" i="10"/>
  <c r="R130" i="10"/>
  <c r="R124" i="10"/>
  <c r="V124" i="10"/>
  <c r="V123" i="10"/>
  <c r="J125" i="10"/>
  <c r="R123" i="10"/>
  <c r="V125" i="10"/>
  <c r="J124" i="10"/>
  <c r="J123" i="10"/>
  <c r="N125" i="10"/>
  <c r="N124" i="10"/>
  <c r="N123" i="10"/>
  <c r="R125" i="10"/>
  <c r="J115" i="10"/>
  <c r="R116" i="10"/>
  <c r="R115" i="10"/>
  <c r="V117" i="10"/>
  <c r="V116" i="10"/>
  <c r="V115" i="10"/>
  <c r="J117" i="10"/>
  <c r="J116" i="10"/>
  <c r="N117" i="10"/>
  <c r="N116" i="10"/>
  <c r="N115" i="10"/>
  <c r="R117" i="10"/>
  <c r="N99" i="10"/>
  <c r="R97" i="10"/>
  <c r="R98" i="10"/>
  <c r="R99" i="10"/>
  <c r="N98" i="10"/>
  <c r="N97" i="10"/>
  <c r="U60" i="10"/>
  <c r="T60" i="10"/>
  <c r="S60" i="10"/>
  <c r="V5" i="10"/>
  <c r="R5" i="10"/>
  <c r="N5" i="10"/>
  <c r="J5" i="10"/>
  <c r="U168" i="10"/>
  <c r="U147" i="10"/>
  <c r="U194" i="10"/>
  <c r="U122" i="10"/>
  <c r="U131" i="10"/>
  <c r="U126" i="10"/>
  <c r="U172" i="10"/>
  <c r="U152" i="10"/>
  <c r="U176" i="10"/>
  <c r="U156" i="10"/>
  <c r="U180" i="10"/>
  <c r="U135" i="10"/>
  <c r="U160" i="10"/>
  <c r="U139" i="10"/>
  <c r="U184" i="10"/>
  <c r="U118" i="10"/>
  <c r="U164" i="10"/>
  <c r="U143" i="10"/>
  <c r="U188" i="10"/>
  <c r="T184" i="10"/>
  <c r="T152" i="10"/>
  <c r="T118" i="10"/>
  <c r="T188" i="10"/>
  <c r="T156" i="10"/>
  <c r="T126" i="10"/>
  <c r="T194" i="10"/>
  <c r="T160" i="10"/>
  <c r="T122" i="10"/>
  <c r="T164" i="10"/>
  <c r="T131" i="10"/>
  <c r="T172" i="10"/>
  <c r="T168" i="10"/>
  <c r="T135" i="10"/>
  <c r="T139" i="10"/>
  <c r="T176" i="10"/>
  <c r="T143" i="10"/>
  <c r="T180" i="10"/>
  <c r="T147" i="10"/>
  <c r="S172" i="10"/>
  <c r="S180" i="10"/>
  <c r="S118" i="10"/>
  <c r="S176" i="10"/>
  <c r="S184" i="10"/>
  <c r="S188" i="10"/>
  <c r="S126" i="10"/>
  <c r="S194" i="10"/>
  <c r="S122" i="10"/>
  <c r="S131" i="10"/>
  <c r="S135" i="10"/>
  <c r="S139" i="10"/>
  <c r="S152" i="10"/>
  <c r="S168" i="10"/>
  <c r="S143" i="10"/>
  <c r="S147" i="10"/>
  <c r="S156" i="10"/>
  <c r="S160" i="10"/>
  <c r="S164" i="10"/>
  <c r="Q194" i="10"/>
  <c r="Q188" i="10"/>
  <c r="Q184" i="10"/>
  <c r="Q180" i="10"/>
  <c r="Q176" i="10"/>
  <c r="Q172" i="10"/>
  <c r="Q168" i="10"/>
  <c r="Q164" i="10"/>
  <c r="Q160" i="10"/>
  <c r="Q156" i="10"/>
  <c r="Q152" i="10"/>
  <c r="Q147" i="10"/>
  <c r="Q143" i="10"/>
  <c r="Q139" i="10"/>
  <c r="Q135" i="10"/>
  <c r="Q131" i="10"/>
  <c r="Q122" i="10"/>
  <c r="Q126" i="10"/>
  <c r="Q118" i="10"/>
  <c r="P160" i="10"/>
  <c r="P156" i="10"/>
  <c r="P131" i="10"/>
  <c r="P152" i="10"/>
  <c r="P147" i="10"/>
  <c r="P143" i="10"/>
  <c r="P139" i="10"/>
  <c r="P135" i="10"/>
  <c r="P194" i="10"/>
  <c r="P122" i="10"/>
  <c r="P188" i="10"/>
  <c r="P126" i="10"/>
  <c r="P180" i="10"/>
  <c r="P176" i="10"/>
  <c r="P184" i="10"/>
  <c r="P118" i="10"/>
  <c r="P172" i="10"/>
  <c r="P168" i="10"/>
  <c r="P164" i="10"/>
  <c r="O176" i="10"/>
  <c r="O143" i="10"/>
  <c r="O172" i="10"/>
  <c r="O139" i="10"/>
  <c r="O131" i="10"/>
  <c r="O168" i="10"/>
  <c r="O135" i="10"/>
  <c r="O164" i="10"/>
  <c r="O160" i="10"/>
  <c r="O122" i="10"/>
  <c r="O188" i="10"/>
  <c r="O126" i="10"/>
  <c r="O156" i="10"/>
  <c r="O147" i="10"/>
  <c r="O184" i="10"/>
  <c r="O152" i="10"/>
  <c r="O118" i="10"/>
  <c r="O180" i="10"/>
  <c r="M184" i="10"/>
  <c r="M118" i="10"/>
  <c r="M164" i="10"/>
  <c r="M139" i="10"/>
  <c r="M160" i="10"/>
  <c r="M180" i="10"/>
  <c r="M135" i="10"/>
  <c r="M156" i="10"/>
  <c r="M176" i="10"/>
  <c r="M131" i="10"/>
  <c r="M152" i="10"/>
  <c r="M147" i="10"/>
  <c r="M172" i="10"/>
  <c r="M194" i="10"/>
  <c r="M122" i="10"/>
  <c r="M168" i="10"/>
  <c r="M188" i="10"/>
  <c r="M126" i="10"/>
  <c r="M143" i="10"/>
  <c r="L188" i="10"/>
  <c r="L172" i="10"/>
  <c r="L156" i="10"/>
  <c r="L139" i="10"/>
  <c r="L126" i="10"/>
  <c r="L152" i="10"/>
  <c r="L184" i="10"/>
  <c r="L118" i="10"/>
  <c r="L168" i="10"/>
  <c r="L143" i="10"/>
  <c r="L180" i="10"/>
  <c r="L164" i="10"/>
  <c r="L147" i="10"/>
  <c r="L131" i="10"/>
  <c r="L176" i="10"/>
  <c r="L160" i="10"/>
  <c r="L194" i="10"/>
  <c r="L122" i="10"/>
  <c r="L135" i="10"/>
  <c r="K135" i="10"/>
  <c r="K147" i="10"/>
  <c r="K160" i="10"/>
  <c r="K131" i="10"/>
  <c r="K172" i="10"/>
  <c r="K184" i="10"/>
  <c r="K118" i="10"/>
  <c r="K143" i="10"/>
  <c r="K156" i="10"/>
  <c r="K180" i="10"/>
  <c r="K126" i="10"/>
  <c r="K168" i="10"/>
  <c r="K194" i="10"/>
  <c r="K122" i="10"/>
  <c r="K139" i="10"/>
  <c r="K152" i="10"/>
  <c r="K164" i="10"/>
  <c r="K176" i="10"/>
  <c r="K188" i="10"/>
  <c r="I188" i="10"/>
  <c r="I156" i="10"/>
  <c r="I126" i="10"/>
  <c r="I176" i="10"/>
  <c r="I143" i="10"/>
  <c r="I164" i="10"/>
  <c r="I131" i="10"/>
  <c r="I184" i="10"/>
  <c r="I152" i="10"/>
  <c r="I118" i="10"/>
  <c r="I139" i="10"/>
  <c r="I172" i="10"/>
  <c r="I194" i="10"/>
  <c r="I160" i="10"/>
  <c r="I122" i="10"/>
  <c r="I180" i="10"/>
  <c r="I147" i="10"/>
  <c r="I168" i="10"/>
  <c r="I135" i="10"/>
  <c r="H135" i="10"/>
  <c r="H172" i="10"/>
  <c r="H152" i="10"/>
  <c r="H143" i="10"/>
  <c r="H180" i="10"/>
  <c r="H188" i="10"/>
  <c r="H126" i="10"/>
  <c r="H160" i="10"/>
  <c r="H131" i="10"/>
  <c r="H168" i="10"/>
  <c r="H147" i="10"/>
  <c r="H184" i="10"/>
  <c r="H139" i="10"/>
  <c r="H176" i="10"/>
  <c r="H118" i="10"/>
  <c r="H156" i="10"/>
  <c r="H194" i="10"/>
  <c r="H122" i="10"/>
  <c r="H164" i="10"/>
  <c r="G194" i="10"/>
  <c r="G184" i="10"/>
  <c r="G176" i="10"/>
  <c r="G168" i="10"/>
  <c r="G160" i="10"/>
  <c r="G152" i="10"/>
  <c r="G143" i="10"/>
  <c r="G135" i="10"/>
  <c r="G122" i="10"/>
  <c r="G118" i="10"/>
  <c r="G188" i="10"/>
  <c r="G147" i="10"/>
  <c r="G172" i="10"/>
  <c r="G164" i="10"/>
  <c r="G156" i="10"/>
  <c r="G139" i="10"/>
  <c r="G126" i="10"/>
  <c r="G180" i="10"/>
  <c r="G131" i="10"/>
  <c r="U112" i="10"/>
  <c r="T112" i="10"/>
  <c r="S112" i="10"/>
  <c r="Q112" i="10"/>
  <c r="P112" i="10"/>
  <c r="O112" i="10"/>
  <c r="M112" i="10"/>
  <c r="L112" i="10"/>
  <c r="K112" i="10"/>
  <c r="I112" i="10"/>
  <c r="H112" i="10"/>
  <c r="G112" i="10"/>
  <c r="V111" i="10"/>
  <c r="R111" i="10"/>
  <c r="N111" i="10"/>
  <c r="J111" i="10"/>
  <c r="V110" i="10"/>
  <c r="R110" i="10"/>
  <c r="N110" i="10"/>
  <c r="J110" i="10"/>
  <c r="V109" i="10"/>
  <c r="R109" i="10"/>
  <c r="N109" i="10"/>
  <c r="J109" i="10"/>
  <c r="U108" i="10"/>
  <c r="T108" i="10"/>
  <c r="S108" i="10"/>
  <c r="Q108" i="10"/>
  <c r="P108" i="10"/>
  <c r="O108" i="10"/>
  <c r="M108" i="10"/>
  <c r="L108" i="10"/>
  <c r="K108" i="10"/>
  <c r="I108" i="10"/>
  <c r="H108" i="10"/>
  <c r="G108" i="10"/>
  <c r="V107" i="10"/>
  <c r="R107" i="10"/>
  <c r="N107" i="10"/>
  <c r="J107" i="10"/>
  <c r="V106" i="10"/>
  <c r="R106" i="10"/>
  <c r="N106" i="10"/>
  <c r="J106" i="10"/>
  <c r="V105" i="10"/>
  <c r="R105" i="10"/>
  <c r="N105" i="10"/>
  <c r="J105" i="10"/>
  <c r="U104" i="10"/>
  <c r="T104" i="10"/>
  <c r="S104" i="10"/>
  <c r="Q104" i="10"/>
  <c r="P104" i="10"/>
  <c r="O104" i="10"/>
  <c r="M104" i="10"/>
  <c r="L104" i="10"/>
  <c r="K104" i="10"/>
  <c r="I104" i="10"/>
  <c r="H104" i="10"/>
  <c r="G104" i="10"/>
  <c r="V103" i="10"/>
  <c r="R103" i="10"/>
  <c r="N103" i="10"/>
  <c r="J103" i="10"/>
  <c r="V102" i="10"/>
  <c r="R102" i="10"/>
  <c r="N102" i="10"/>
  <c r="J102" i="10"/>
  <c r="V101" i="10"/>
  <c r="R101" i="10"/>
  <c r="N101" i="10"/>
  <c r="J101" i="10"/>
  <c r="U100" i="10"/>
  <c r="T100" i="10"/>
  <c r="S100" i="10"/>
  <c r="Q100" i="10"/>
  <c r="P100" i="10"/>
  <c r="O100" i="10"/>
  <c r="M100" i="10"/>
  <c r="L100" i="10"/>
  <c r="K100" i="10"/>
  <c r="I100" i="10"/>
  <c r="H100" i="10"/>
  <c r="G100" i="10"/>
  <c r="V99" i="10"/>
  <c r="J99" i="10"/>
  <c r="V98" i="10"/>
  <c r="J98" i="10"/>
  <c r="V97" i="10"/>
  <c r="J97" i="10"/>
  <c r="U96" i="10"/>
  <c r="T96" i="10"/>
  <c r="S96" i="10"/>
  <c r="Q96" i="10"/>
  <c r="P96" i="10"/>
  <c r="O96" i="10"/>
  <c r="M96" i="10"/>
  <c r="L96" i="10"/>
  <c r="K96" i="10"/>
  <c r="I96" i="10"/>
  <c r="H96" i="10"/>
  <c r="G96" i="10"/>
  <c r="V95" i="10"/>
  <c r="R95" i="10"/>
  <c r="N95" i="10"/>
  <c r="J95" i="10"/>
  <c r="V94" i="10"/>
  <c r="R94" i="10"/>
  <c r="N94" i="10"/>
  <c r="J94" i="10"/>
  <c r="V93" i="10"/>
  <c r="R93" i="10"/>
  <c r="N93" i="10"/>
  <c r="J93" i="10"/>
  <c r="U91" i="10"/>
  <c r="T91" i="10"/>
  <c r="S91" i="10"/>
  <c r="Q91" i="10"/>
  <c r="P91" i="10"/>
  <c r="O91" i="10"/>
  <c r="M91" i="10"/>
  <c r="L91" i="10"/>
  <c r="K91" i="10"/>
  <c r="I91" i="10"/>
  <c r="H91" i="10"/>
  <c r="G91" i="10"/>
  <c r="V90" i="10"/>
  <c r="R90" i="10"/>
  <c r="N90" i="10"/>
  <c r="J90" i="10"/>
  <c r="V89" i="10"/>
  <c r="R89" i="10"/>
  <c r="N89" i="10"/>
  <c r="J89" i="10"/>
  <c r="V88" i="10"/>
  <c r="R88" i="10"/>
  <c r="N88" i="10"/>
  <c r="J88" i="10"/>
  <c r="U87" i="10"/>
  <c r="T87" i="10"/>
  <c r="S87" i="10"/>
  <c r="Q87" i="10"/>
  <c r="P87" i="10"/>
  <c r="O87" i="10"/>
  <c r="M87" i="10"/>
  <c r="L87" i="10"/>
  <c r="K87" i="10"/>
  <c r="I87" i="10"/>
  <c r="H87" i="10"/>
  <c r="G87" i="10"/>
  <c r="V86" i="10"/>
  <c r="R86" i="10"/>
  <c r="N86" i="10"/>
  <c r="J86" i="10"/>
  <c r="V85" i="10"/>
  <c r="R85" i="10"/>
  <c r="N85" i="10"/>
  <c r="J85" i="10"/>
  <c r="V84" i="10"/>
  <c r="R84" i="10"/>
  <c r="N84" i="10"/>
  <c r="J84" i="10"/>
  <c r="U83" i="10"/>
  <c r="T83" i="10"/>
  <c r="S83" i="10"/>
  <c r="Q83" i="10"/>
  <c r="P83" i="10"/>
  <c r="O83" i="10"/>
  <c r="M83" i="10"/>
  <c r="L83" i="10"/>
  <c r="K83" i="10"/>
  <c r="I83" i="10"/>
  <c r="H83" i="10"/>
  <c r="G83" i="10"/>
  <c r="V82" i="10"/>
  <c r="R82" i="10"/>
  <c r="N82" i="10"/>
  <c r="J82" i="10"/>
  <c r="V81" i="10"/>
  <c r="R81" i="10"/>
  <c r="N81" i="10"/>
  <c r="J81" i="10"/>
  <c r="V80" i="10"/>
  <c r="R80" i="10"/>
  <c r="N80" i="10"/>
  <c r="J80" i="10"/>
  <c r="U77" i="10"/>
  <c r="T77" i="10"/>
  <c r="S77" i="10"/>
  <c r="Q77" i="10"/>
  <c r="P77" i="10"/>
  <c r="O77" i="10"/>
  <c r="M77" i="10"/>
  <c r="L77" i="10"/>
  <c r="K77" i="10"/>
  <c r="I77" i="10"/>
  <c r="H77" i="10"/>
  <c r="G77" i="10"/>
  <c r="V76" i="10"/>
  <c r="R76" i="10"/>
  <c r="N76" i="10"/>
  <c r="J76" i="10"/>
  <c r="V75" i="10"/>
  <c r="R75" i="10"/>
  <c r="N75" i="10"/>
  <c r="J75" i="10"/>
  <c r="V74" i="10"/>
  <c r="R74" i="10"/>
  <c r="N74" i="10"/>
  <c r="J74" i="10"/>
  <c r="U73" i="10"/>
  <c r="T73" i="10"/>
  <c r="S73" i="10"/>
  <c r="Q73" i="10"/>
  <c r="P73" i="10"/>
  <c r="O73" i="10"/>
  <c r="M73" i="10"/>
  <c r="L73" i="10"/>
  <c r="K73" i="10"/>
  <c r="I73" i="10"/>
  <c r="H73" i="10"/>
  <c r="G73" i="10"/>
  <c r="V72" i="10"/>
  <c r="R72" i="10"/>
  <c r="N72" i="10"/>
  <c r="J72" i="10"/>
  <c r="V71" i="10"/>
  <c r="R71" i="10"/>
  <c r="N71" i="10"/>
  <c r="J71" i="10"/>
  <c r="V70" i="10"/>
  <c r="R70" i="10"/>
  <c r="N70" i="10"/>
  <c r="J70" i="10"/>
  <c r="U69" i="10"/>
  <c r="T69" i="10"/>
  <c r="S69" i="10"/>
  <c r="Q69" i="10"/>
  <c r="P69" i="10"/>
  <c r="O69" i="10"/>
  <c r="M69" i="10"/>
  <c r="L69" i="10"/>
  <c r="K69" i="10"/>
  <c r="I69" i="10"/>
  <c r="H69" i="10"/>
  <c r="G69" i="10"/>
  <c r="V68" i="10"/>
  <c r="R68" i="10"/>
  <c r="N68" i="10"/>
  <c r="J68" i="10"/>
  <c r="V67" i="10"/>
  <c r="R67" i="10"/>
  <c r="N67" i="10"/>
  <c r="J67" i="10"/>
  <c r="V66" i="10"/>
  <c r="R66" i="10"/>
  <c r="N66" i="10"/>
  <c r="J66" i="10"/>
  <c r="U64" i="10"/>
  <c r="T64" i="10"/>
  <c r="S64" i="10"/>
  <c r="Q64" i="10"/>
  <c r="P64" i="10"/>
  <c r="O64" i="10"/>
  <c r="M64" i="10"/>
  <c r="L64" i="10"/>
  <c r="K64" i="10"/>
  <c r="I64" i="10"/>
  <c r="H64" i="10"/>
  <c r="G64" i="10"/>
  <c r="V63" i="10"/>
  <c r="R63" i="10"/>
  <c r="N63" i="10"/>
  <c r="J63" i="10"/>
  <c r="V62" i="10"/>
  <c r="R62" i="10"/>
  <c r="N62" i="10"/>
  <c r="J62" i="10"/>
  <c r="V61" i="10"/>
  <c r="R61" i="10"/>
  <c r="N61" i="10"/>
  <c r="J61" i="10"/>
  <c r="Q60" i="10"/>
  <c r="P60" i="10"/>
  <c r="O60" i="10"/>
  <c r="M60" i="10"/>
  <c r="L60" i="10"/>
  <c r="K60" i="10"/>
  <c r="I60" i="10"/>
  <c r="H60" i="10"/>
  <c r="G60" i="10"/>
  <c r="V59" i="10"/>
  <c r="R59" i="10"/>
  <c r="N59" i="10"/>
  <c r="J59" i="10"/>
  <c r="V58" i="10"/>
  <c r="R58" i="10"/>
  <c r="N58" i="10"/>
  <c r="J58" i="10"/>
  <c r="V57" i="10"/>
  <c r="R57" i="10"/>
  <c r="N57" i="10"/>
  <c r="J57" i="10"/>
  <c r="U56" i="10"/>
  <c r="T56" i="10"/>
  <c r="S56" i="10"/>
  <c r="Q56" i="10"/>
  <c r="P56" i="10"/>
  <c r="O56" i="10"/>
  <c r="M56" i="10"/>
  <c r="L56" i="10"/>
  <c r="K56" i="10"/>
  <c r="I56" i="10"/>
  <c r="H56" i="10"/>
  <c r="G56" i="10"/>
  <c r="V55" i="10"/>
  <c r="R55" i="10"/>
  <c r="N55" i="10"/>
  <c r="J55" i="10"/>
  <c r="V54" i="10"/>
  <c r="R54" i="10"/>
  <c r="N54" i="10"/>
  <c r="J54" i="10"/>
  <c r="V53" i="10"/>
  <c r="R53" i="10"/>
  <c r="N53" i="10"/>
  <c r="J53" i="10"/>
  <c r="U52" i="10"/>
  <c r="T52" i="10"/>
  <c r="S52" i="10"/>
  <c r="Q52" i="10"/>
  <c r="P52" i="10"/>
  <c r="O52" i="10"/>
  <c r="M52" i="10"/>
  <c r="L52" i="10"/>
  <c r="K52" i="10"/>
  <c r="I52" i="10"/>
  <c r="H52" i="10"/>
  <c r="G52" i="10"/>
  <c r="V51" i="10"/>
  <c r="R51" i="10"/>
  <c r="N51" i="10"/>
  <c r="J51" i="10"/>
  <c r="V50" i="10"/>
  <c r="R50" i="10"/>
  <c r="N50" i="10"/>
  <c r="J50" i="10"/>
  <c r="V49" i="10"/>
  <c r="R49" i="10"/>
  <c r="N49" i="10"/>
  <c r="J49" i="10"/>
  <c r="U48" i="10"/>
  <c r="T48" i="10"/>
  <c r="S48" i="10"/>
  <c r="Q48" i="10"/>
  <c r="P48" i="10"/>
  <c r="O48" i="10"/>
  <c r="M48" i="10"/>
  <c r="L48" i="10"/>
  <c r="K48" i="10"/>
  <c r="I48" i="10"/>
  <c r="H48" i="10"/>
  <c r="G48" i="10"/>
  <c r="V47" i="10"/>
  <c r="R47" i="10"/>
  <c r="N47" i="10"/>
  <c r="J47" i="10"/>
  <c r="V46" i="10"/>
  <c r="R46" i="10"/>
  <c r="N46" i="10"/>
  <c r="J46" i="10"/>
  <c r="V45" i="10"/>
  <c r="R45" i="10"/>
  <c r="N45" i="10"/>
  <c r="J45" i="10"/>
  <c r="U44" i="10"/>
  <c r="T44" i="10"/>
  <c r="S44" i="10"/>
  <c r="Q44" i="10"/>
  <c r="P44" i="10"/>
  <c r="O44" i="10"/>
  <c r="M44" i="10"/>
  <c r="L44" i="10"/>
  <c r="K44" i="10"/>
  <c r="I44" i="10"/>
  <c r="H44" i="10"/>
  <c r="G44" i="10"/>
  <c r="V43" i="10"/>
  <c r="R43" i="10"/>
  <c r="N43" i="10"/>
  <c r="J43" i="10"/>
  <c r="V42" i="10"/>
  <c r="R42" i="10"/>
  <c r="N42" i="10"/>
  <c r="J42" i="10"/>
  <c r="V41" i="10"/>
  <c r="R41" i="10"/>
  <c r="N41" i="10"/>
  <c r="J41" i="10"/>
  <c r="U40" i="10"/>
  <c r="T40" i="10"/>
  <c r="S40" i="10"/>
  <c r="Q40" i="10"/>
  <c r="P40" i="10"/>
  <c r="O40" i="10"/>
  <c r="M40" i="10"/>
  <c r="L40" i="10"/>
  <c r="K40" i="10"/>
  <c r="I40" i="10"/>
  <c r="H40" i="10"/>
  <c r="G40" i="10"/>
  <c r="V39" i="10"/>
  <c r="R39" i="10"/>
  <c r="N39" i="10"/>
  <c r="J39" i="10"/>
  <c r="V38" i="10"/>
  <c r="R38" i="10"/>
  <c r="N38" i="10"/>
  <c r="J38" i="10"/>
  <c r="V37" i="10"/>
  <c r="R37" i="10"/>
  <c r="N37" i="10"/>
  <c r="J37" i="10"/>
  <c r="U36" i="10"/>
  <c r="T36" i="10"/>
  <c r="S36" i="10"/>
  <c r="Q36" i="10"/>
  <c r="P36" i="10"/>
  <c r="O36" i="10"/>
  <c r="M36" i="10"/>
  <c r="L36" i="10"/>
  <c r="K36" i="10"/>
  <c r="I36" i="10"/>
  <c r="H36" i="10"/>
  <c r="G36" i="10"/>
  <c r="V35" i="10"/>
  <c r="R35" i="10"/>
  <c r="N35" i="10"/>
  <c r="J35" i="10"/>
  <c r="V34" i="10"/>
  <c r="R34" i="10"/>
  <c r="N34" i="10"/>
  <c r="J34" i="10"/>
  <c r="V33" i="10"/>
  <c r="R33" i="10"/>
  <c r="N33" i="10"/>
  <c r="J33" i="10"/>
  <c r="U32" i="10"/>
  <c r="T32" i="10"/>
  <c r="S32" i="10"/>
  <c r="Q32" i="10"/>
  <c r="P32" i="10"/>
  <c r="O32" i="10"/>
  <c r="M32" i="10"/>
  <c r="L32" i="10"/>
  <c r="K32" i="10"/>
  <c r="I32" i="10"/>
  <c r="H32" i="10"/>
  <c r="G32" i="10"/>
  <c r="V31" i="10"/>
  <c r="R31" i="10"/>
  <c r="N31" i="10"/>
  <c r="J31" i="10"/>
  <c r="V30" i="10"/>
  <c r="R30" i="10"/>
  <c r="N30" i="10"/>
  <c r="J30" i="10"/>
  <c r="V29" i="10"/>
  <c r="R29" i="10"/>
  <c r="N29" i="10"/>
  <c r="J29" i="10"/>
  <c r="U27" i="10"/>
  <c r="T27" i="10"/>
  <c r="S27" i="10"/>
  <c r="Q27" i="10"/>
  <c r="P27" i="10"/>
  <c r="O27" i="10"/>
  <c r="M27" i="10"/>
  <c r="L27" i="10"/>
  <c r="K27" i="10"/>
  <c r="I27" i="10"/>
  <c r="H27" i="10"/>
  <c r="G27" i="10"/>
  <c r="V26" i="10"/>
  <c r="R26" i="10"/>
  <c r="N26" i="10"/>
  <c r="J26" i="10"/>
  <c r="V25" i="10"/>
  <c r="R25" i="10"/>
  <c r="N25" i="10"/>
  <c r="J25" i="10"/>
  <c r="V24" i="10"/>
  <c r="R24" i="10"/>
  <c r="N24" i="10"/>
  <c r="J24" i="10"/>
  <c r="U23" i="10"/>
  <c r="T23" i="10"/>
  <c r="S23" i="10"/>
  <c r="Q23" i="10"/>
  <c r="P23" i="10"/>
  <c r="O23" i="10"/>
  <c r="M23" i="10"/>
  <c r="L23" i="10"/>
  <c r="K23" i="10"/>
  <c r="I23" i="10"/>
  <c r="H23" i="10"/>
  <c r="G23" i="10"/>
  <c r="V22" i="10"/>
  <c r="R22" i="10"/>
  <c r="N22" i="10"/>
  <c r="J22" i="10"/>
  <c r="V21" i="10"/>
  <c r="R21" i="10"/>
  <c r="N21" i="10"/>
  <c r="J21" i="10"/>
  <c r="V20" i="10"/>
  <c r="R20" i="10"/>
  <c r="N20" i="10"/>
  <c r="J20" i="10"/>
  <c r="J184" i="10" l="1"/>
  <c r="N143" i="10"/>
  <c r="J172" i="10"/>
  <c r="J176" i="10"/>
  <c r="J188" i="10"/>
  <c r="R152" i="10"/>
  <c r="J126" i="10"/>
  <c r="N156" i="10"/>
  <c r="J139" i="10"/>
  <c r="N180" i="10"/>
  <c r="J122" i="10"/>
  <c r="N172" i="10"/>
  <c r="R176" i="10"/>
  <c r="J147" i="10"/>
  <c r="R126" i="10"/>
  <c r="V122" i="10"/>
  <c r="N135" i="10"/>
  <c r="R135" i="10"/>
  <c r="N126" i="10"/>
  <c r="R143" i="10"/>
  <c r="V139" i="10"/>
  <c r="V135" i="10"/>
  <c r="V131" i="10"/>
  <c r="V156" i="10"/>
  <c r="V118" i="10"/>
  <c r="V180" i="10"/>
  <c r="V152" i="10"/>
  <c r="V126" i="10"/>
  <c r="V164" i="10"/>
  <c r="R184" i="10"/>
  <c r="R164" i="10"/>
  <c r="R131" i="10"/>
  <c r="R122" i="10"/>
  <c r="R147" i="10"/>
  <c r="R168" i="10"/>
  <c r="R188" i="10"/>
  <c r="R180" i="10"/>
  <c r="R139" i="10"/>
  <c r="N131" i="10"/>
  <c r="N118" i="10"/>
  <c r="N139" i="10"/>
  <c r="N168" i="10"/>
  <c r="N152" i="10"/>
  <c r="J168" i="10"/>
  <c r="J180" i="10"/>
  <c r="J143" i="10"/>
  <c r="V188" i="10"/>
  <c r="V160" i="10"/>
  <c r="V147" i="10"/>
  <c r="V168" i="10"/>
  <c r="V194" i="10"/>
  <c r="V184" i="10"/>
  <c r="V176" i="10"/>
  <c r="V172" i="10"/>
  <c r="V143" i="10"/>
  <c r="R156" i="10"/>
  <c r="R172" i="10"/>
  <c r="R160" i="10"/>
  <c r="R194" i="10"/>
  <c r="R118" i="10"/>
  <c r="N188" i="10"/>
  <c r="N176" i="10"/>
  <c r="N194" i="10"/>
  <c r="N87" i="10"/>
  <c r="N96" i="10"/>
  <c r="N104" i="10"/>
  <c r="N112" i="10"/>
  <c r="N184" i="10"/>
  <c r="N40" i="10"/>
  <c r="N83" i="10"/>
  <c r="N91" i="10"/>
  <c r="N100" i="10"/>
  <c r="N108" i="10"/>
  <c r="N160" i="10"/>
  <c r="N164" i="10"/>
  <c r="N147" i="10"/>
  <c r="N122" i="10"/>
  <c r="J118" i="10"/>
  <c r="J152" i="10"/>
  <c r="J160" i="10"/>
  <c r="J164" i="10"/>
  <c r="J135" i="10"/>
  <c r="J131" i="10"/>
  <c r="J194" i="10"/>
  <c r="J156" i="10"/>
  <c r="R44" i="10"/>
  <c r="R60" i="10"/>
  <c r="R77" i="10"/>
  <c r="R87" i="10"/>
  <c r="R96" i="10"/>
  <c r="R104" i="10"/>
  <c r="R112" i="10"/>
  <c r="V27" i="10"/>
  <c r="R40" i="10"/>
  <c r="R56" i="10"/>
  <c r="R64" i="10"/>
  <c r="R83" i="10"/>
  <c r="R91" i="10"/>
  <c r="R100" i="10"/>
  <c r="R108" i="10"/>
  <c r="N27" i="10"/>
  <c r="R23" i="10"/>
  <c r="J87" i="10"/>
  <c r="J91" i="10"/>
  <c r="J96" i="10"/>
  <c r="J100" i="10"/>
  <c r="J104" i="10"/>
  <c r="J108" i="10"/>
  <c r="J112" i="10"/>
  <c r="V23" i="10"/>
  <c r="V32" i="10"/>
  <c r="V36" i="10"/>
  <c r="V40" i="10"/>
  <c r="V44" i="10"/>
  <c r="J48" i="10"/>
  <c r="J52" i="10"/>
  <c r="V56" i="10"/>
  <c r="V60" i="10"/>
  <c r="V64" i="10"/>
  <c r="J69" i="10"/>
  <c r="V77" i="10"/>
  <c r="V83" i="10"/>
  <c r="V87" i="10"/>
  <c r="V91" i="10"/>
  <c r="V96" i="10"/>
  <c r="V100" i="10"/>
  <c r="V104" i="10"/>
  <c r="V108" i="10"/>
  <c r="V112" i="10"/>
  <c r="J83" i="10"/>
  <c r="R27" i="10"/>
  <c r="N32" i="10"/>
  <c r="N36" i="10"/>
  <c r="J44" i="10"/>
  <c r="N48" i="10"/>
  <c r="N52" i="10"/>
  <c r="N69" i="10"/>
  <c r="N73" i="10"/>
  <c r="N23" i="10"/>
  <c r="J27" i="10"/>
  <c r="V48" i="10"/>
  <c r="V52" i="10"/>
  <c r="V69" i="10"/>
  <c r="V73" i="10"/>
  <c r="R32" i="10"/>
  <c r="R36" i="10"/>
  <c r="N44" i="10"/>
  <c r="R48" i="10"/>
  <c r="R52" i="10"/>
  <c r="N56" i="10"/>
  <c r="N60" i="10"/>
  <c r="N64" i="10"/>
  <c r="R69" i="10"/>
  <c r="R73" i="10"/>
  <c r="N77" i="10"/>
  <c r="J77" i="10"/>
  <c r="J73" i="10"/>
  <c r="J64" i="10"/>
  <c r="J60" i="10"/>
  <c r="J56" i="10"/>
  <c r="J40" i="10"/>
  <c r="J36" i="10"/>
  <c r="J32" i="10"/>
  <c r="J23" i="10"/>
  <c r="U19" i="10"/>
  <c r="T19" i="10"/>
  <c r="S19" i="10"/>
  <c r="Q19" i="10"/>
  <c r="P19" i="10"/>
  <c r="O19" i="10"/>
  <c r="M19" i="10"/>
  <c r="L19" i="10"/>
  <c r="K19" i="10"/>
  <c r="I19" i="10"/>
  <c r="H19" i="10"/>
  <c r="G19" i="10"/>
  <c r="V18" i="10"/>
  <c r="R18" i="10"/>
  <c r="N18" i="10"/>
  <c r="J18" i="10"/>
  <c r="V17" i="10"/>
  <c r="R17" i="10"/>
  <c r="N17" i="10"/>
  <c r="J17" i="10"/>
  <c r="V16" i="10"/>
  <c r="R16" i="10"/>
  <c r="N16" i="10"/>
  <c r="J16" i="10"/>
  <c r="G14" i="10"/>
  <c r="U14" i="10"/>
  <c r="T14" i="10"/>
  <c r="S14" i="10"/>
  <c r="Q14" i="10"/>
  <c r="P14" i="10"/>
  <c r="O14" i="10"/>
  <c r="M14" i="10"/>
  <c r="L14" i="10"/>
  <c r="K14" i="10"/>
  <c r="I14" i="10"/>
  <c r="H14" i="10"/>
  <c r="V13" i="10"/>
  <c r="R13" i="10"/>
  <c r="N13" i="10"/>
  <c r="J13" i="10"/>
  <c r="V12" i="10"/>
  <c r="R12" i="10"/>
  <c r="N12" i="10"/>
  <c r="J12" i="10"/>
  <c r="V11" i="10"/>
  <c r="R11" i="10"/>
  <c r="N11" i="10"/>
  <c r="J11" i="10"/>
  <c r="K9" i="10"/>
  <c r="U9" i="10"/>
  <c r="T9" i="10"/>
  <c r="S9" i="10"/>
  <c r="V8" i="10"/>
  <c r="V7" i="10"/>
  <c r="V6" i="10"/>
  <c r="Q9" i="10"/>
  <c r="P9" i="10"/>
  <c r="O9" i="10"/>
  <c r="R8" i="10"/>
  <c r="R7" i="10"/>
  <c r="R6" i="10"/>
  <c r="M9" i="10"/>
  <c r="L9" i="10"/>
  <c r="N8" i="10"/>
  <c r="N7" i="10"/>
  <c r="N6" i="10"/>
  <c r="J8" i="10"/>
  <c r="J7" i="10"/>
  <c r="J6" i="10"/>
  <c r="H9" i="10"/>
  <c r="I9" i="10"/>
  <c r="G9" i="10"/>
  <c r="R19" i="10" l="1"/>
  <c r="J14" i="10"/>
  <c r="N19" i="10"/>
  <c r="N9" i="10"/>
  <c r="V9" i="10"/>
  <c r="J9" i="10"/>
  <c r="V14" i="10"/>
  <c r="J19" i="10"/>
  <c r="R9" i="10"/>
  <c r="R14" i="10"/>
  <c r="V19" i="10"/>
  <c r="N14" i="10"/>
  <c r="C126" i="10"/>
  <c r="B3" i="8"/>
  <c r="B2" i="8"/>
  <c r="B1" i="8"/>
  <c r="E167" i="11"/>
  <c r="D208" i="11"/>
  <c r="C47" i="11"/>
  <c r="C57" i="11"/>
  <c r="C73" i="11"/>
  <c r="D198" i="11"/>
  <c r="C78" i="11"/>
  <c r="D98" i="11"/>
  <c r="E108" i="11"/>
  <c r="D167" i="11"/>
  <c r="E157" i="11"/>
  <c r="C177" i="11"/>
  <c r="D22" i="11"/>
  <c r="D93" i="11"/>
  <c r="C93" i="11"/>
  <c r="D83" i="11"/>
  <c r="C32" i="11"/>
  <c r="C37" i="11"/>
  <c r="E68" i="11"/>
  <c r="C12" i="11"/>
  <c r="D27" i="11"/>
  <c r="E147" i="11"/>
  <c r="D78" i="11"/>
  <c r="C103" i="11"/>
  <c r="E52" i="11"/>
  <c r="E103" i="11"/>
  <c r="D52" i="11"/>
  <c r="C27" i="11"/>
  <c r="E47" i="11"/>
  <c r="D147" i="11"/>
  <c r="C52" i="11"/>
  <c r="D11" i="11"/>
  <c r="C152" i="11"/>
  <c r="D152" i="11"/>
  <c r="D32" i="11"/>
  <c r="D162" i="11"/>
  <c r="C198" i="11"/>
  <c r="E22" i="11"/>
  <c r="C208" i="11"/>
  <c r="C187" i="11"/>
  <c r="E177" i="11"/>
  <c r="D47" i="11"/>
  <c r="E32" i="11"/>
  <c r="E193" i="11"/>
  <c r="E162" i="11"/>
  <c r="D57" i="11"/>
  <c r="E27" i="11"/>
  <c r="C88" i="11"/>
  <c r="D88" i="11"/>
  <c r="C193" i="11"/>
  <c r="C142" i="11"/>
  <c r="E172" i="11"/>
  <c r="C17" i="11"/>
  <c r="C157" i="11"/>
  <c r="D63" i="11"/>
  <c r="D108" i="11"/>
  <c r="C42" i="11"/>
  <c r="C22" i="11"/>
  <c r="D37" i="11"/>
  <c r="D17" i="11"/>
  <c r="E98" i="11"/>
  <c r="C167" i="11"/>
  <c r="D137" i="11"/>
  <c r="E182" i="11"/>
  <c r="C63" i="11"/>
  <c r="E208" i="11"/>
  <c r="C182" i="11"/>
  <c r="E78" i="11"/>
  <c r="E142" i="11"/>
  <c r="C137" i="11"/>
  <c r="E37" i="11"/>
  <c r="C172" i="11"/>
  <c r="D68" i="11"/>
  <c r="D42" i="11"/>
  <c r="C147" i="11"/>
  <c r="E113" i="11"/>
  <c r="E198" i="11"/>
  <c r="D177" i="11"/>
  <c r="C162" i="11"/>
  <c r="E152" i="11"/>
  <c r="D172" i="11"/>
  <c r="E57" i="11"/>
  <c r="C113" i="11"/>
  <c r="D193" i="11"/>
  <c r="E118" i="11"/>
  <c r="E88" i="11"/>
  <c r="E17" i="11"/>
  <c r="E73" i="11"/>
  <c r="E187" i="11"/>
  <c r="D103" i="11"/>
  <c r="C83" i="11"/>
  <c r="E63" i="11"/>
  <c r="D142" i="11"/>
  <c r="D73" i="11"/>
  <c r="C11" i="11"/>
  <c r="E137" i="11"/>
  <c r="E93" i="11"/>
  <c r="D182" i="11"/>
  <c r="E11" i="11"/>
  <c r="D187" i="11"/>
  <c r="C98" i="11"/>
  <c r="C118" i="11"/>
  <c r="D113" i="11"/>
  <c r="C68" i="11"/>
  <c r="E42" i="11"/>
  <c r="D157" i="11"/>
  <c r="C108" i="11"/>
  <c r="E83" i="11"/>
  <c r="D118" i="11"/>
  <c r="I45" i="9"/>
  <c r="G48" i="9"/>
  <c r="F14" i="9"/>
  <c r="I47" i="9"/>
  <c r="G40" i="9"/>
  <c r="I48" i="9"/>
  <c r="G41" i="9"/>
  <c r="G43" i="9"/>
  <c r="G47" i="9"/>
  <c r="I40" i="9"/>
  <c r="G46" i="9"/>
  <c r="I46" i="9"/>
  <c r="G50" i="9"/>
  <c r="I41" i="9"/>
  <c r="G49" i="9"/>
  <c r="I50" i="9"/>
  <c r="G45" i="9"/>
  <c r="I49" i="9"/>
  <c r="I43" i="9"/>
</calcChain>
</file>

<file path=xl/sharedStrings.xml><?xml version="1.0" encoding="utf-8"?>
<sst xmlns="http://schemas.openxmlformats.org/spreadsheetml/2006/main" count="13672" uniqueCount="4274">
  <si>
    <t>&gt;</t>
  </si>
  <si>
    <t>&lt;</t>
  </si>
  <si>
    <t>&lt;&gt;</t>
  </si>
  <si>
    <t>018</t>
  </si>
  <si>
    <t>017</t>
  </si>
  <si>
    <t>016</t>
  </si>
  <si>
    <t>015</t>
  </si>
  <si>
    <t xml:space="preserve">      прочие затраты</t>
  </si>
  <si>
    <t>014</t>
  </si>
  <si>
    <t xml:space="preserve">     амортизация нематериальных активов</t>
  </si>
  <si>
    <t>013</t>
  </si>
  <si>
    <t xml:space="preserve">     в том числе                                                                                                      амортизация основных средств ……………</t>
  </si>
  <si>
    <t>012</t>
  </si>
  <si>
    <t xml:space="preserve">    амортизация основных средств и нематериальных активов, используемых в предпринимательской деятельности (сумма строк 013, 014)</t>
  </si>
  <si>
    <t>011</t>
  </si>
  <si>
    <t xml:space="preserve">    Отчисления на социальные нужды</t>
  </si>
  <si>
    <t>010</t>
  </si>
  <si>
    <t xml:space="preserve">    затраты на оплату труда</t>
  </si>
  <si>
    <t>009</t>
  </si>
  <si>
    <t xml:space="preserve">      тепловая энергия……………………………………………</t>
  </si>
  <si>
    <t>008</t>
  </si>
  <si>
    <t xml:space="preserve">      электрическая энергия</t>
  </si>
  <si>
    <t>007</t>
  </si>
  <si>
    <t xml:space="preserve">      из него импортное</t>
  </si>
  <si>
    <t>006</t>
  </si>
  <si>
    <t xml:space="preserve">     топливо  </t>
  </si>
  <si>
    <t>005</t>
  </si>
  <si>
    <t xml:space="preserve">       из них импортные</t>
  </si>
  <si>
    <t>004</t>
  </si>
  <si>
    <t xml:space="preserve">      сырье, материалы, покупные комплектующие изделия и полуфабрикаты</t>
  </si>
  <si>
    <t>в том числе:</t>
  </si>
  <si>
    <t>003</t>
  </si>
  <si>
    <t xml:space="preserve">                                          в том числе:</t>
  </si>
  <si>
    <t>002</t>
  </si>
  <si>
    <t>001</t>
  </si>
  <si>
    <t>Б</t>
  </si>
  <si>
    <t>А</t>
  </si>
  <si>
    <t>За соответствующий период с начала прошлого года</t>
  </si>
  <si>
    <t>За отчетный период с начала года</t>
  </si>
  <si>
    <t>Номер строки</t>
  </si>
  <si>
    <t>Наименование показателя</t>
  </si>
  <si>
    <t xml:space="preserve">           миллионов рублей</t>
  </si>
  <si>
    <t>РАЗДЕЛ I</t>
  </si>
  <si>
    <t>Учетный номер плательщика  (УНП)</t>
  </si>
  <si>
    <t xml:space="preserve">Регистрационный номер респондента в статистическом регистре (ОКПО) </t>
  </si>
  <si>
    <t>220030 г. Минск, ул. Энгельса, 6</t>
  </si>
  <si>
    <t>квартальная</t>
  </si>
  <si>
    <t>Код формы по ОКУД</t>
  </si>
  <si>
    <t xml:space="preserve">    Форма № 4-ф (затраты)</t>
  </si>
  <si>
    <t>Срок представления</t>
  </si>
  <si>
    <t>Представляют респонденты:</t>
  </si>
  <si>
    <t xml:space="preserve">         за январь -  </t>
  </si>
  <si>
    <t xml:space="preserve">               КОНФИДЕНЦИАЛЬНОСТЬ ГАРАНТИРУЕТСЯ ПОЛУЧАТЕЛЕМ ИНФОРМАЦИИ</t>
  </si>
  <si>
    <t xml:space="preserve">          ГОСУДАРСТВЕННАЯ СТАТИСТИЧЕСКАЯ ОТЧЕТНОСТЬ</t>
  </si>
  <si>
    <t>УТВЕРЖДЕНО</t>
  </si>
  <si>
    <t>069*</t>
  </si>
  <si>
    <t>подстилка, яйцо для инкубации, навоз * *……………</t>
  </si>
  <si>
    <t>068*</t>
  </si>
  <si>
    <t>средства защиты растений и животных * *……………</t>
  </si>
  <si>
    <t>067*</t>
  </si>
  <si>
    <t>минеральные удобрения * *………………………………</t>
  </si>
  <si>
    <t>065*</t>
  </si>
  <si>
    <t>корма * *………………</t>
  </si>
  <si>
    <t>063*</t>
  </si>
  <si>
    <t>Из строки 023:  семена и посадочный материал * *</t>
  </si>
  <si>
    <t>х</t>
  </si>
  <si>
    <t>062</t>
  </si>
  <si>
    <t>Командировочные расходы…………………</t>
  </si>
  <si>
    <t>061*</t>
  </si>
  <si>
    <t>Внутризаводской оборот, включаемый в объем продукции    (работ, услуг) *…………………</t>
  </si>
  <si>
    <t>060*</t>
  </si>
  <si>
    <t>Внутризаводской оборот, включаемый в затраты на производ-ство продукции (работ, услуг) *……</t>
  </si>
  <si>
    <t>058</t>
  </si>
  <si>
    <t>другие затраты</t>
  </si>
  <si>
    <t>057</t>
  </si>
  <si>
    <t xml:space="preserve">      здравоохранения …….…</t>
  </si>
  <si>
    <t>056</t>
  </si>
  <si>
    <t xml:space="preserve">      образования ………………..…</t>
  </si>
  <si>
    <t>055</t>
  </si>
  <si>
    <t>054</t>
  </si>
  <si>
    <t>053</t>
  </si>
  <si>
    <t xml:space="preserve">      банков и небанковских кредитно-финансовых организаций</t>
  </si>
  <si>
    <t>052</t>
  </si>
  <si>
    <t xml:space="preserve">      по охране имущества</t>
  </si>
  <si>
    <t>051</t>
  </si>
  <si>
    <t xml:space="preserve">      по научным разработкам</t>
  </si>
  <si>
    <t>050</t>
  </si>
  <si>
    <t>049</t>
  </si>
  <si>
    <t>048</t>
  </si>
  <si>
    <t xml:space="preserve">      пассажирского транспорта …………..…</t>
  </si>
  <si>
    <t>047</t>
  </si>
  <si>
    <t xml:space="preserve">     гостиниц и прочих мест временного проживания</t>
  </si>
  <si>
    <t xml:space="preserve">                             из них:</t>
  </si>
  <si>
    <t>046</t>
  </si>
  <si>
    <t xml:space="preserve">      услуги других организаций</t>
  </si>
  <si>
    <t>045</t>
  </si>
  <si>
    <t xml:space="preserve">      представительские расходы</t>
  </si>
  <si>
    <t>За отчетный период</t>
  </si>
  <si>
    <t>044</t>
  </si>
  <si>
    <t>043</t>
  </si>
  <si>
    <t xml:space="preserve">      суточные и подъемные </t>
  </si>
  <si>
    <t>-</t>
  </si>
  <si>
    <t>042</t>
  </si>
  <si>
    <t>041</t>
  </si>
  <si>
    <t xml:space="preserve">      арендная плата ………………</t>
  </si>
  <si>
    <t xml:space="preserve">               в том числе:</t>
  </si>
  <si>
    <t>040</t>
  </si>
  <si>
    <t>039</t>
  </si>
  <si>
    <t xml:space="preserve">  амортизация основных средств и нематериальных активов, используемых в предпринимательской деятельности</t>
  </si>
  <si>
    <t>038</t>
  </si>
  <si>
    <t>037</t>
  </si>
  <si>
    <t xml:space="preserve">             расходы на форменную и фирменную одежду и обмундирование……....</t>
  </si>
  <si>
    <t xml:space="preserve">                из них:</t>
  </si>
  <si>
    <t>036</t>
  </si>
  <si>
    <t>035</t>
  </si>
  <si>
    <t xml:space="preserve">           налог на добавленную стоимость,         включенный в затраты </t>
  </si>
  <si>
    <t>034</t>
  </si>
  <si>
    <t xml:space="preserve">           плата за природные ресурсы</t>
  </si>
  <si>
    <t>033</t>
  </si>
  <si>
    <t xml:space="preserve">      прочие материальные затраты</t>
  </si>
  <si>
    <t>032</t>
  </si>
  <si>
    <t>031</t>
  </si>
  <si>
    <t>030</t>
  </si>
  <si>
    <t xml:space="preserve">      топливо …………………………………………………………………</t>
  </si>
  <si>
    <t>029</t>
  </si>
  <si>
    <t xml:space="preserve">  техническое обслуживание и ремонт автомобилей и мотоциклов</t>
  </si>
  <si>
    <t>028</t>
  </si>
  <si>
    <t>027</t>
  </si>
  <si>
    <t xml:space="preserve">  текущий и капитальный ремонт зданий и сооружений</t>
  </si>
  <si>
    <t>026</t>
  </si>
  <si>
    <t xml:space="preserve">             перевозка грузов……………………………………………….</t>
  </si>
  <si>
    <t xml:space="preserve">                 из них:</t>
  </si>
  <si>
    <t>025</t>
  </si>
  <si>
    <t>024</t>
  </si>
  <si>
    <t xml:space="preserve">      покупные комплектующие изделия и полуфабрикаты…………………..………....………...….</t>
  </si>
  <si>
    <t>023</t>
  </si>
  <si>
    <t xml:space="preserve">      сырье и материалы</t>
  </si>
  <si>
    <t>022</t>
  </si>
  <si>
    <t>021</t>
  </si>
  <si>
    <t>020</t>
  </si>
  <si>
    <t>РАЗДЕЛ II</t>
  </si>
  <si>
    <t>(дата составления государственной статистической отчетности)</t>
  </si>
  <si>
    <t>Номер контактного телефона</t>
  </si>
  <si>
    <t>217-10-47</t>
  </si>
  <si>
    <t>(инициалы, фамилия)</t>
  </si>
  <si>
    <t>(подпись)</t>
  </si>
  <si>
    <t>Должность</t>
  </si>
  <si>
    <t>за составление государственной статистической отчетности</t>
  </si>
  <si>
    <t>Должностное лицо, ответственное</t>
  </si>
  <si>
    <t>Руководитель юридического лица, обособленного подразделения</t>
  </si>
  <si>
    <t>Благодарим за предоставленную информацию!</t>
  </si>
  <si>
    <t xml:space="preserve">более 40 </t>
  </si>
  <si>
    <t>8 – 40</t>
  </si>
  <si>
    <t>4 – 8</t>
  </si>
  <si>
    <t>2 – 4</t>
  </si>
  <si>
    <t>до 1                                              1-2</t>
  </si>
  <si>
    <t>Время, затраченное на заполнение, час (нужное обвести)</t>
  </si>
  <si>
    <t>затраченном на заполнение данной формы.</t>
  </si>
  <si>
    <t>Национальный статистический комитет просит Вас заполнить информацию о времени,</t>
  </si>
  <si>
    <t xml:space="preserve">В целях изучения нагрузки по заполнению форм государственной статистической отчетности </t>
  </si>
  <si>
    <t>Уважаемый респондент!</t>
  </si>
  <si>
    <t>Примечание. Данные отчета отражаются в целых числах.</t>
  </si>
  <si>
    <t>на конец года</t>
  </si>
  <si>
    <t>на начало года</t>
  </si>
  <si>
    <t xml:space="preserve">Остатки сырья и материалов в целом по организации по всем видам экономической деятельности </t>
  </si>
  <si>
    <t>Стоимость продуктов и услуг, использованных на производство продукции (работ, услуг) основного вида деятельности, за отчетный период</t>
  </si>
  <si>
    <t>Наименование продуктов и услуг</t>
  </si>
  <si>
    <t>SPECNAME</t>
  </si>
  <si>
    <t>VARNAME</t>
  </si>
  <si>
    <t>FVALUE</t>
  </si>
  <si>
    <t>FVALUEC</t>
  </si>
  <si>
    <t>FVALUENUM</t>
  </si>
  <si>
    <t>FVALUECNUM</t>
  </si>
  <si>
    <t xml:space="preserve"> интернет-рекламу</t>
  </si>
  <si>
    <t>019</t>
  </si>
  <si>
    <t>Плата за природные ресурсы (из строки 003)</t>
  </si>
  <si>
    <t>Отдельные статьи затрат (из строки 015)</t>
  </si>
  <si>
    <t>203</t>
  </si>
  <si>
    <t>215</t>
  </si>
  <si>
    <t>s5zf</t>
  </si>
  <si>
    <t>&amp;A0011</t>
  </si>
  <si>
    <t>&amp;A0012</t>
  </si>
  <si>
    <t>&amp;A0021</t>
  </si>
  <si>
    <t>Справочно:                                                                Расходы на рекламу – всего                из них:</t>
  </si>
  <si>
    <t>201</t>
  </si>
  <si>
    <t>202</t>
  </si>
  <si>
    <t xml:space="preserve"> радио</t>
  </si>
  <si>
    <t xml:space="preserve"> издание буклетов, каталогов и другой рекламной продукции</t>
  </si>
  <si>
    <t xml:space="preserve"> наружную                                                  
</t>
  </si>
  <si>
    <t xml:space="preserve"> телевизионную</t>
  </si>
  <si>
    <t xml:space="preserve">      почтовой и курьерской деятельности</t>
  </si>
  <si>
    <t xml:space="preserve">      услуги в области права и бухгалтерского учета</t>
  </si>
  <si>
    <t xml:space="preserve">      по уборке территории, зданий, машин и оборудования</t>
  </si>
  <si>
    <t xml:space="preserve">      лабораторные исследования, инженерные изыскания и технические испытания</t>
  </si>
  <si>
    <t xml:space="preserve">    водоснабжение, отвод и очистка сточных вод</t>
  </si>
  <si>
    <t>251</t>
  </si>
  <si>
    <t>252</t>
  </si>
  <si>
    <t>Ветеринарные услуги</t>
  </si>
  <si>
    <t>260</t>
  </si>
  <si>
    <t>Услуги в области сельского хозяйства (01.6)</t>
  </si>
  <si>
    <t>Продукция и услуги охоты, ловли диких животных (01.7)</t>
  </si>
  <si>
    <t>Продукты и услуги лесного хозяйства (02.1 – 02.4)</t>
  </si>
  <si>
    <t>Продукты и услуги рыболовства и рыбоводства (03.0)</t>
  </si>
  <si>
    <t>Уголь (05.1 – 05.2)</t>
  </si>
  <si>
    <t>Сырая нефть и природный газ (06.1–06.2)</t>
  </si>
  <si>
    <t>Металлические руды (07.1 – 07.2)</t>
  </si>
  <si>
    <t>Камень, песок, глина (08.1)</t>
  </si>
  <si>
    <t>Сырье минеральное для химической промышленности и производства удобрений (08.91)</t>
  </si>
  <si>
    <t>Продукты горнодобывающей промышленности прочие (08.92 – 08.99)</t>
  </si>
  <si>
    <t>Услуги в области горнодобывающей промышленности (09.1 – 09.9)</t>
  </si>
  <si>
    <t>Пищевые продукты, включая напитки, табачные изделия (10.1 – 12.0)</t>
  </si>
  <si>
    <t>Продукты и услуги текстильного производства, одежда, меховые изделия (13.1 – 14.3)</t>
  </si>
  <si>
    <t>Кожа, меха натуральные, изделия из кожи, кроме одежды, обувь (15.1 – 15.2)</t>
  </si>
  <si>
    <t>Продукты обработки древесины, изделия из дерева и пробки, кроме мебели, изделия из соломки и материалов для плетения (16.1 – 16.2)</t>
  </si>
  <si>
    <t>Бумага и изделия из бумаги (17.1 – 17.2)</t>
  </si>
  <si>
    <t>Кокс (19.1)</t>
  </si>
  <si>
    <t>Брикеты из угля и торфа (19.20.1)</t>
  </si>
  <si>
    <t>Нефтепродукты (19.20.2 – 19.20.4)</t>
  </si>
  <si>
    <t>Удобрения и азотные соединения (20.15)</t>
  </si>
  <si>
    <t>Фармацевтические продукты (21.1 – 21.2)</t>
  </si>
  <si>
    <t>Резиновые и пластмассовые изделия
(22.1 – 22.2)</t>
  </si>
  <si>
    <t>Прочие неметаллические минеральные продукты (23.1 – 23.9)</t>
  </si>
  <si>
    <t>Продукты и услуги металлургического производства (24.1 – 24.5)</t>
  </si>
  <si>
    <t>Готовые металлические изделия (25.1–25.9)</t>
  </si>
  <si>
    <t>Оборудование электрическое (27.1 – 27.9)</t>
  </si>
  <si>
    <t>Машины для сельского и лесного хозяйства (28.3)</t>
  </si>
  <si>
    <t>Автомобили, прицепы и полуприцепы (29.1 – 29.3)</t>
  </si>
  <si>
    <t>Мебель и прочая продукция, не включенная в другие строки (31.0 – 32.9)</t>
  </si>
  <si>
    <t>Услуги по ремонту и монтажу машин и оборудования (33.1 – 33.2)</t>
  </si>
  <si>
    <t>Производство и распределение электроэнергии (35.1)</t>
  </si>
  <si>
    <t>Газообразное топливо (35.2)</t>
  </si>
  <si>
    <t>Снабжение паром и горячей водой (35.3)</t>
  </si>
  <si>
    <t>Услуги по сбору, очистке и распределению воды (36.0)</t>
  </si>
  <si>
    <t>Услуги по сбору и обработке сточных вод (37.0)</t>
  </si>
  <si>
    <t>Услуги по сбору, обработке и удалению отходов (38.1 – 38.3)</t>
  </si>
  <si>
    <t>Услуги по ликвидации загрязнений (39.0)</t>
  </si>
  <si>
    <t>Всего (сумма строк с 110 по 152)</t>
  </si>
  <si>
    <t xml:space="preserve">    из нее за аренду зданий, сооружений и земельных участков</t>
  </si>
  <si>
    <t>240</t>
  </si>
  <si>
    <t>За квартал</t>
  </si>
  <si>
    <t>&amp;A0022</t>
  </si>
  <si>
    <t>Объем производства продукции (работ, услуг) в отпускных ценах за вычетом начисленных налогов и сборов из выручки</t>
  </si>
  <si>
    <t xml:space="preserve">      работы ( услуги) производственного характера,  выполненные другими организациями…………………</t>
  </si>
  <si>
    <t xml:space="preserve">услуги по хранению и складированию </t>
  </si>
  <si>
    <t xml:space="preserve">  техническое обслуживание и ремонт компьютеров,периферийного и коммуникационного  оборудования</t>
  </si>
  <si>
    <t>230</t>
  </si>
  <si>
    <t xml:space="preserve">      вознаграждения за рационализаторские предложения и выплата авторских гонораров</t>
  </si>
  <si>
    <t xml:space="preserve">    в области телекоммуникаций</t>
  </si>
  <si>
    <t>245</t>
  </si>
  <si>
    <t xml:space="preserve">    по сбору, обработке и удалению отходов</t>
  </si>
  <si>
    <t>253</t>
  </si>
  <si>
    <t>Постановление Национального статистического комитета Республики Беларусь 03.08.2016 № 93</t>
  </si>
  <si>
    <t xml:space="preserve">Представление искаженных данных государственной статистической отчетности, несвоевременное представление или непредставление такой отчетности влекут применение мер административной или уголовной  ответственности в порядке, установленном законодательством Республики Беларусь </t>
  </si>
  <si>
    <t>о затратах на производство и реализацию продукции (работ, услуг)</t>
  </si>
  <si>
    <t>Отчет</t>
  </si>
  <si>
    <t>26-го числа после отчетного периода,               за январь-декабрь –                30 марта</t>
  </si>
  <si>
    <t>Полное наименование обособленного подразделения юридического лица</t>
  </si>
  <si>
    <t xml:space="preserve">      ЗАТРАТЫ НА ПРОИЗВОДСТВО И РЕАЛИЗАЦИЮ ПРОДУКЦИИ (РАБОТ, УСЛУГ) В ЦЕЛОМ ПО ОРГАНИЗАЦИИ        </t>
  </si>
  <si>
    <t>Почтовый адрес (фактический)</t>
  </si>
  <si>
    <t>Электронный адрес (www, e-mail)</t>
  </si>
  <si>
    <t>Полное нгаименование юридического лица</t>
  </si>
  <si>
    <t>РУП "Белтелеком"</t>
  </si>
  <si>
    <t>юридические лица, обособленные подразделенияюридических лиц, имеющие отдельный баланс, в соответствии с Указаниями по заполнению настоящей формы: в виде электронного документа - сиспользованием специализированного програмного обеспечения, размещенного на сайте http://www.belstat.gov.by, на бумажном носителе:  главному статистическому управлению города Минска; отделу статистики в районе (городе) главного статистического управления области*</t>
  </si>
  <si>
    <t>февраль</t>
  </si>
  <si>
    <t>&amp;A0011X</t>
  </si>
  <si>
    <t>&amp;A0012X</t>
  </si>
  <si>
    <t>&amp;A0012XX</t>
  </si>
  <si>
    <t>&amp;A0012XXX</t>
  </si>
  <si>
    <t>Примечание</t>
  </si>
  <si>
    <t>обороты по К-т 90-01 - 90-05 + обороты по К-т 90-06-610 
+ обороты (К-т 90-06-611-614 - Д-т 90-09-611-614) 
- обороты по Д-т 90-07</t>
  </si>
  <si>
    <t xml:space="preserve">по счетам 20,23,29,26,44 
КАУ: 111-116; 12; 131-138; 141-142; 15; 16; 171-175 
+  обороты по Д-т 90-09-610 </t>
  </si>
  <si>
    <t>обороты по Д-т 90-08 К-т 20,23,29 + обороты по Д-т 90-10 К-т 26 + обороты по Д-т 90-11 К-т 44 + обороты по Д-т 90-09-610 
ДАЛЕЕ по кодам строк отчета 003-015 будут указываться только КАУ затраных счетов для оборотов Д-т 90-08,10,11 К-т 20,23,29,26,44</t>
  </si>
  <si>
    <t xml:space="preserve"> по счетам 20,23,29,26,44  КАУ 111-116; 12 
+  обороты по Д-т 90-09-610 </t>
  </si>
  <si>
    <t>заполняется самостоятельно в части списанных со сч.10 на КАУ 111-116, 12 импортных ТМЦ + покупная стоимость импортных сырья, продукции, отраженных по Д-т 90-09-610 в корреспонденции со сч.41</t>
  </si>
  <si>
    <t>по счетам 20,23,29,26,44  КАУ 141,142</t>
  </si>
  <si>
    <t>заполняется самостоятельно в части импортного топлива (КАУ затратных счетов 141, 142)</t>
  </si>
  <si>
    <t>по счетам 20,23,29,26,44 КАУ 15</t>
  </si>
  <si>
    <t>по счетам 20,23,29,26,44 КАУ 16</t>
  </si>
  <si>
    <t>по счетам 20,23,29,26,44 КАУ 211</t>
  </si>
  <si>
    <t>по счетам 20,23,29,26,44 КАУ 311</t>
  </si>
  <si>
    <t>по счетам 20,23,29,26,44 
КАУ 411,412</t>
  </si>
  <si>
    <t>по счетам 20,23,29,26,44 КАУ 411</t>
  </si>
  <si>
    <t>по счетам 20,23,29,26,44 КАУ 412</t>
  </si>
  <si>
    <t xml:space="preserve">Д-т 90-11 К-т 44 (КАУ 174; 5851-5857) </t>
  </si>
  <si>
    <t xml:space="preserve">Д-т 90-11 К-т 44 (КАУ 5851) </t>
  </si>
  <si>
    <t xml:space="preserve">Д-т 90-11 К-т 44 (КАУ 5852) </t>
  </si>
  <si>
    <t xml:space="preserve">Д-т 90-11 К-т 44 (КАУ 5853) </t>
  </si>
  <si>
    <t xml:space="preserve">Д-т 90-11 К-т 44 (КАУ 5854) </t>
  </si>
  <si>
    <t xml:space="preserve">Д-т 90-11 К-т 44 (КАУ 174) </t>
  </si>
  <si>
    <t xml:space="preserve"> Д-т 90-08 К-т 20,23,29 + 
 Д-т 90-10 К-т 26 (по счетам 20,23,29,26 КАУ 172)</t>
  </si>
  <si>
    <t>обороты по Д-т 90-08 К-т 20,23,29 + 
обороты по Д-т 90-10 К-т 26 +
обороты по Д-т 90-11 К-т 44 (по счетам 20,23,29,26,44 КАУ 511-512; 55;  5711-5713; 5721-5723; 573; 5741-5742; 575-584; 5851-5857; 586-588; 5891-5894)</t>
  </si>
  <si>
    <t>январь</t>
  </si>
  <si>
    <t>март</t>
  </si>
  <si>
    <t>I кв.</t>
  </si>
  <si>
    <t>апрель</t>
  </si>
  <si>
    <t>май</t>
  </si>
  <si>
    <t>июнь</t>
  </si>
  <si>
    <t>II кв.</t>
  </si>
  <si>
    <t>июль</t>
  </si>
  <si>
    <t>август</t>
  </si>
  <si>
    <t>сентябрь</t>
  </si>
  <si>
    <t>III кв.</t>
  </si>
  <si>
    <t>октябрь</t>
  </si>
  <si>
    <t>ноябрь</t>
  </si>
  <si>
    <t>декабрь</t>
  </si>
  <si>
    <t>IV кв.</t>
  </si>
  <si>
    <t>Коэффициенты для распределения затрат по сч.26, шесть знаков после запятой (k_26_01, k_26_02 и т.д.)</t>
  </si>
  <si>
    <t>Коэффициенты для распределения затрат по сч.20, 44-01, шесть знаков после запятой (k_20_01, k_20_02 и т.д.)</t>
  </si>
  <si>
    <t>обороты по К-т 90-01 - 90-03 -  
обороты по Д-т 90-07 (КАУ 2-го уровня 1 "Ставка НДС 25%", 9 "Ставка НДС 26%")</t>
  </si>
  <si>
    <t xml:space="preserve">Д-т 90-10 К-т 26 </t>
  </si>
  <si>
    <t>Д-т 90-08 К-т 20-01</t>
  </si>
  <si>
    <t xml:space="preserve">Д-т 90-11 К-т 44-01 </t>
  </si>
  <si>
    <t xml:space="preserve">Итого стр.021 (c учетом k) </t>
  </si>
  <si>
    <t>Д-т 90-10 К-т 26 (КАУ 111-116; 12; 131-138; 141-142; 15; 16; 171-175)</t>
  </si>
  <si>
    <t>Д-т 90-08 К-т 20-01 (КАУ 111-116; 12; 131-138; 141-142; 15; 16; 171-175)</t>
  </si>
  <si>
    <t>Д-т 90-11 К-т 44-01 (КАУ 111-116; 12; 131-138; 141-142; 15; 16; 171-175)</t>
  </si>
  <si>
    <t xml:space="preserve">Итого стр.022 (c учетом k) </t>
  </si>
  <si>
    <t>Д-т 90-10 К-т 26 (КАУ 111-116)</t>
  </si>
  <si>
    <t>Д-т 90-08 К-т 20-01 (КАУ 111-116)</t>
  </si>
  <si>
    <t>Д-т 90-11 К-т 44-01 (КАУ 111-116)</t>
  </si>
  <si>
    <t xml:space="preserve">Итого стр.023 (c учетом k) </t>
  </si>
  <si>
    <t>Д-т 90-10 К-т 26 (КАУ 12)</t>
  </si>
  <si>
    <t>Д-т 90-08 К-т 20-01 (КАУ 12)</t>
  </si>
  <si>
    <t>Д-т 90-11 К-т 44-01 (КАУ 12)</t>
  </si>
  <si>
    <t xml:space="preserve">Итого стр.024 (c учетом k) </t>
  </si>
  <si>
    <t>Д-т 90-10 К-т 26 (КАУ 131-138)</t>
  </si>
  <si>
    <t>Д-т 90-08 К-т 20-01 (КАУ 131-138)</t>
  </si>
  <si>
    <t>Д-т 90-11 К-т 44-01 (КАУ 131-138)</t>
  </si>
  <si>
    <t xml:space="preserve">Итого стр.025 (c учетом k) </t>
  </si>
  <si>
    <t>Д-т 90-10 К-т 26 (КАУ 136)</t>
  </si>
  <si>
    <t>Д-т 90-08 К-т 20-01 (КАУ 136)</t>
  </si>
  <si>
    <t>Д-т 90-11 К-т 44-01 (КАУ 136)</t>
  </si>
  <si>
    <t xml:space="preserve">Итого стр.026 (c учетом k) </t>
  </si>
  <si>
    <t>Д-т 90-10 К-т 26 (КАУ 131)</t>
  </si>
  <si>
    <t>Д-т 90-08 К-т 20-01 (КАУ 131)</t>
  </si>
  <si>
    <t>Д-т 90-11 К-т 44-01 (КАУ 131)</t>
  </si>
  <si>
    <t xml:space="preserve">Итого стр.027 (c учетом k) </t>
  </si>
  <si>
    <t>Д-т 90-10 К-т 26 (КАУ 132)</t>
  </si>
  <si>
    <t>Д-т 90-08 К-т 20-01 (КАУ 132)</t>
  </si>
  <si>
    <t>Д-т 90-11 К-т 44-01 (КАУ 132)</t>
  </si>
  <si>
    <t xml:space="preserve">Итого стр.230 (c учетом k) </t>
  </si>
  <si>
    <t>Д-т 90-10 К-т 26 (КАУ 137)</t>
  </si>
  <si>
    <t>Д-т 90-08 К-т 20-01 (КАУ 137)</t>
  </si>
  <si>
    <t>Д-т 90-11 К-т 44-01 (КАУ 137)</t>
  </si>
  <si>
    <t xml:space="preserve">Итого стр.028 (c учетом k) </t>
  </si>
  <si>
    <t>Д-т 90-10 К-т 26 (КАУ 133)</t>
  </si>
  <si>
    <t>Д-т 90-08 К-т 20-01 (КАУ 133)</t>
  </si>
  <si>
    <t>Д-т 90-11 К-т 44-01 (КАУ 133)</t>
  </si>
  <si>
    <t xml:space="preserve">Итого стр.029 (c учетом k) </t>
  </si>
  <si>
    <t>Д-т 90-10 К-т 26 (КАУ 141-142)</t>
  </si>
  <si>
    <t>Д-т 90-08 К-т 20-01 (КАУ 141-142)</t>
  </si>
  <si>
    <t>Д-т 90-11 К-т 44-01 (КАУ 141-142)</t>
  </si>
  <si>
    <t xml:space="preserve">Итого стр.030 (c учетом k) </t>
  </si>
  <si>
    <t>Д-т 90-10 К-т 26 (КАУ 15)</t>
  </si>
  <si>
    <t>Д-т 90-08 К-т 20-01 (КАУ 15)</t>
  </si>
  <si>
    <t>Д-т 90-11 К-т 44-01 (КАУ 15)</t>
  </si>
  <si>
    <t xml:space="preserve">Итого стр.031 (c учетом k) </t>
  </si>
  <si>
    <t>Д-т 90-10 К-т 26 (КАУ 16)</t>
  </si>
  <si>
    <t>Д-т 90-08 К-т 20-01 (КАУ 16)</t>
  </si>
  <si>
    <t>Д-т 90-11 К-т 44-01 (КАУ 16)</t>
  </si>
  <si>
    <t xml:space="preserve">Итого стр.032 (c учетом k) </t>
  </si>
  <si>
    <t>Д-т 90-10 К-т 26 (КАУ 171-175)</t>
  </si>
  <si>
    <t>Д-т 90-08 К-т 20-01 (КАУ 171-175)</t>
  </si>
  <si>
    <t>Д-т 90-11 К-т 44-01 (КАУ 171-175)</t>
  </si>
  <si>
    <t xml:space="preserve">Итого стр.033 (c учетом k) </t>
  </si>
  <si>
    <t>Д-т 90-10 К-т 26 (КАУ 172)</t>
  </si>
  <si>
    <t>Д-т 90-08 К-т 20-01 (КАУ 172)</t>
  </si>
  <si>
    <t>Д-т 90-11 К-т 44-01 (КАУ 172)</t>
  </si>
  <si>
    <t xml:space="preserve">Итого стр.034 (c учетом k) </t>
  </si>
  <si>
    <t>Д-т 90-10 К-т 26 (КАУ 173)</t>
  </si>
  <si>
    <t>Д-т 90-08 К-т 20-01 (КАУ 173)</t>
  </si>
  <si>
    <t>Д-т 90-11 К-т 44-01 (КАУ 173)</t>
  </si>
  <si>
    <t xml:space="preserve">Итого стр.035 (c учетом k) </t>
  </si>
  <si>
    <t>Д-т 90-10 К-т 26 (КАУ 211)</t>
  </si>
  <si>
    <t>Д-т 90-08 К-т 20-01 (КАУ 211)</t>
  </si>
  <si>
    <t>Д-т 90-11 К-т 44-01 (КАУ 211)</t>
  </si>
  <si>
    <t xml:space="preserve">Итого стр.036 (c учетом k) </t>
  </si>
  <si>
    <t>Д-т 90-10 К-т 26 (КАУ 311)</t>
  </si>
  <si>
    <t>Д-т 90-08 К-т 20-01 (КАУ 311)</t>
  </si>
  <si>
    <t>Д-т 90-11 К-т 44-01 (КАУ 311)</t>
  </si>
  <si>
    <t xml:space="preserve">Итого стр.038 (c учетом k) </t>
  </si>
  <si>
    <t>Д-т 90-10 К-т 26 (КАУ 411-412)</t>
  </si>
  <si>
    <t>Д-т 90-08 К-т 20-01 (КАУ 411-412)</t>
  </si>
  <si>
    <t>Д-т 90-11 К-т 44-01 (КАУ 411-412)</t>
  </si>
  <si>
    <t xml:space="preserve">Итого стр.039 (c учетом k) </t>
  </si>
  <si>
    <t xml:space="preserve">Итого стр.040 (c учетом k) </t>
  </si>
  <si>
    <t>Д-т 90-10 К-т 26 (КАУ 511-512)</t>
  </si>
  <si>
    <t>Д-т 90-08 К-т 20-01 (КАУ 511-512)</t>
  </si>
  <si>
    <t>Д-т 90-11 К-т 44-01 (КАУ 511-512)</t>
  </si>
  <si>
    <t xml:space="preserve">Итого стр.041 (c учетом k) </t>
  </si>
  <si>
    <t>Д-т 90-10 К-т 26 (КАУ 511)</t>
  </si>
  <si>
    <t>Д-т 90-08 К-т 20-01 (КАУ 511)</t>
  </si>
  <si>
    <t>Д-т 90-11 К-т 44-01 (КАУ 511)</t>
  </si>
  <si>
    <t xml:space="preserve">Итого стр.240 (c учетом k) </t>
  </si>
  <si>
    <t>Д-т 90-10 К-т 26 (КАУ 52)</t>
  </si>
  <si>
    <t>Д-т 90-08 К-т 20-01 (КАУ 52)</t>
  </si>
  <si>
    <t>Д-т 90-11 К-т 44-01 (КАУ 52)</t>
  </si>
  <si>
    <t xml:space="preserve">Итого стр.042 (c учетом k) </t>
  </si>
  <si>
    <t>Д-т 90-10 К-т 26 (КАУ 531-533)</t>
  </si>
  <si>
    <t>Д-т 90-08 К-т 20-01 (КАУ 531-533)</t>
  </si>
  <si>
    <t>Д-т 90-11 К-т 44-01 (КАУ 531-533)</t>
  </si>
  <si>
    <t xml:space="preserve">Итого стр.043 (c учетом k) </t>
  </si>
  <si>
    <t xml:space="preserve">Итого стр.044 (c учетом k) </t>
  </si>
  <si>
    <t>Д-т 90-10 К-т 26 (КАУ 55)</t>
  </si>
  <si>
    <t>Д-т 90-08 К-т 20-01 (КАУ 55)</t>
  </si>
  <si>
    <t>Д-т 90-11 К-т 44-01 (КАУ 55)</t>
  </si>
  <si>
    <t xml:space="preserve">Итого стр.045 (c учетом k) </t>
  </si>
  <si>
    <t xml:space="preserve">   прочие затраты (сумма строк 041, с 042 по 046, 058, 244)</t>
  </si>
  <si>
    <t xml:space="preserve">      страховые взносы</t>
  </si>
  <si>
    <t>244</t>
  </si>
  <si>
    <t>Д-т 90-10 К-т 26 (КАУ 561-563)</t>
  </si>
  <si>
    <t>Д-т 90-08 К-т 20-01 (КАУ 561-563)</t>
  </si>
  <si>
    <t>Д-т 90-11 К-т 44-01 (КАУ 561-563)</t>
  </si>
  <si>
    <t xml:space="preserve">Итого стр.244 (c учетом k) </t>
  </si>
  <si>
    <t xml:space="preserve">Итого стр.046 (c учетом k) </t>
  </si>
  <si>
    <t>Д-т 90-10 К-т 26 
(КАУ 5711-5713; 5721-5723; 573; 5741-5742; 575-584; 5851-5857; 586-588; 5891-5894)</t>
  </si>
  <si>
    <t>Д-т 90-08 К-т 20-01 
(КАУ 5711-5713; 5721-5723; 573; 5741-5742; 575-584; 5851-5857; 586-588; 5891-5894)</t>
  </si>
  <si>
    <t>Д-т 90-11 К-т 44-01 
(КАУ 5711-5713; 5721-5723; 573; 5741-5742; 575-584; 5851-5857; 586-588; 5891-5894)</t>
  </si>
  <si>
    <t>Д-т 90-10 К-т 26 (КАУ 5711-5713)</t>
  </si>
  <si>
    <t>Д-т 90-08 К-т 20-01 (КАУ 5711-5713)</t>
  </si>
  <si>
    <t>Д-т 90-11 К-т 44-01 (КАУ 5711-5713)</t>
  </si>
  <si>
    <t xml:space="preserve">Итого стр.047 (c учетом k) </t>
  </si>
  <si>
    <t>Д-т 90-10 К-т 26 (КАУ 5721-5723)</t>
  </si>
  <si>
    <t>Д-т 90-08 К-т 20-01 (КАУ 5721-5723)</t>
  </si>
  <si>
    <t>Д-т 90-11 К-т 44-01 (КАУ 5721-5723)</t>
  </si>
  <si>
    <t xml:space="preserve">Итого стр.048 (c учетом k) </t>
  </si>
  <si>
    <t>Д-т 90-10 К-т 26 (КАУ 573)</t>
  </si>
  <si>
    <t>Д-т 90-08 К-т 20-01 (КАУ 573)</t>
  </si>
  <si>
    <t>Д-т 90-11 К-т 44-01 (КАУ 573)</t>
  </si>
  <si>
    <t xml:space="preserve">Итого стр.049 (c учетом k) </t>
  </si>
  <si>
    <t>Д-т 90-10 К-т 26 (КАУ 5741-5742)</t>
  </si>
  <si>
    <t>Д-т 90-08 К-т 20-01 (КАУ 5741-5742)</t>
  </si>
  <si>
    <t>Д-т 90-11 К-т 44-01 (КАУ 5741-5742)</t>
  </si>
  <si>
    <t xml:space="preserve">Итого стр.245 (c учетом k) </t>
  </si>
  <si>
    <t>Д-т 90-10 К-т 26 (КАУ 575)</t>
  </si>
  <si>
    <t>Д-т 90-08 К-т 20-01 (КАУ 575)</t>
  </si>
  <si>
    <t>Д-т 90-11 К-т 44-01 (КАУ 575)</t>
  </si>
  <si>
    <t xml:space="preserve">Итого стр.050 (c учетом k) </t>
  </si>
  <si>
    <t>Д-т 90-10 К-т 26 (КАУ 576)</t>
  </si>
  <si>
    <t>Д-т 90-08 К-т 20-01 (КАУ 576)</t>
  </si>
  <si>
    <t>Д-т 90-11 К-т 44-01 (КАУ 576)</t>
  </si>
  <si>
    <t xml:space="preserve">Итого стр.052 (c учетом k) </t>
  </si>
  <si>
    <t>Д-т 90-10 К-т 26 (КАУ 577)</t>
  </si>
  <si>
    <t>Д-т 90-08 К-т 20-01 (КАУ 577)</t>
  </si>
  <si>
    <t>Д-т 90-11 К-т 44-01 (КАУ 577)</t>
  </si>
  <si>
    <t xml:space="preserve">Итого стр.053 (c учетом k) </t>
  </si>
  <si>
    <t>Д-т 90-10 К-т 26 (КАУ 578)</t>
  </si>
  <si>
    <t>Д-т 90-08 К-т 20-01 (КАУ 578)</t>
  </si>
  <si>
    <t>Д-т 90-11 К-т 44-01 (КАУ 578)</t>
  </si>
  <si>
    <t xml:space="preserve">Итого стр.054 (c учетом k) </t>
  </si>
  <si>
    <t>Д-т 90-10 К-т 26 (КАУ 579)</t>
  </si>
  <si>
    <t>Д-т 90-08 К-т 20-01 (КАУ 579)</t>
  </si>
  <si>
    <t>Д-т 90-11 К-т 44-01 (КАУ 579)</t>
  </si>
  <si>
    <t xml:space="preserve">Итого стр.055 (c учетом k) </t>
  </si>
  <si>
    <t>Д-т 90-10 К-т 26 (КАУ 580)</t>
  </si>
  <si>
    <t>Д-т 90-08 К-т 20-01 (КАУ 580)</t>
  </si>
  <si>
    <t>Д-т 90-11 К-т 44-01 (КАУ 580)</t>
  </si>
  <si>
    <t xml:space="preserve">Итого стр.056 (c учетом k) </t>
  </si>
  <si>
    <t>Д-т 90-10 К-т 26 (КАУ 581)</t>
  </si>
  <si>
    <t>Д-т 90-08 К-т 20-01 (КАУ 581)</t>
  </si>
  <si>
    <t>Д-т 90-11 К-т 44-01 (КАУ 581)</t>
  </si>
  <si>
    <t xml:space="preserve">Итого стр.057 (c учетом k) </t>
  </si>
  <si>
    <t>Д-т 90-10 К-т 26 (КАУ 582)</t>
  </si>
  <si>
    <t>Д-т 90-08 К-т 20-01 (КАУ 582)</t>
  </si>
  <si>
    <t>Д-т 90-11 К-т 44-01 (КАУ 582)</t>
  </si>
  <si>
    <t xml:space="preserve">Итого стр.251 (c учетом k) </t>
  </si>
  <si>
    <t>Д-т 90-10 К-т 26 (КАУ 583)</t>
  </si>
  <si>
    <t>Д-т 90-08 К-т 20-01 (КАУ 583)</t>
  </si>
  <si>
    <t>Д-т 90-11 К-т 44-01 (КАУ 583)</t>
  </si>
  <si>
    <t xml:space="preserve">Итого стр.252 (c учетом k) </t>
  </si>
  <si>
    <t>Д-т 90-10 К-т 26 (КАУ 584)</t>
  </si>
  <si>
    <t>Д-т 90-08 К-т 20-01 (КАУ 584)</t>
  </si>
  <si>
    <t>Д-т 90-11 К-т 44-01 (КАУ 584)</t>
  </si>
  <si>
    <t xml:space="preserve">Итого стр.253 (c учетом k) </t>
  </si>
  <si>
    <t xml:space="preserve">Итого стр.058 (c учетом k) </t>
  </si>
  <si>
    <t>Д-т 90-10 К-т 26 (КАУ 531; 5711; 5721; 588)</t>
  </si>
  <si>
    <t>Д-т 90-08 К-т 20-01 (КАУ 531; 5711; 5721; 588)</t>
  </si>
  <si>
    <t>Д-т 90-11 К-т 44-01 (КАУ 531; 5711; 5721; 588)</t>
  </si>
  <si>
    <t xml:space="preserve">Итого стр.062 (c учетом k) </t>
  </si>
  <si>
    <t>Затраты на производство и реализацию продукции (работ, услуг) (сумма строк 003, с 010 по 012, 015)</t>
  </si>
  <si>
    <t xml:space="preserve">    материальные затраты</t>
  </si>
  <si>
    <t>Затраты на производство и реализацию продукции (работ, услуг) (сумма строк 022, 036, с 038 по 040)</t>
  </si>
  <si>
    <t xml:space="preserve">    материальные затраты (сумма строк с 023 по 025, с 030 по 033)</t>
  </si>
  <si>
    <t xml:space="preserve">      начисленные налоги, сборы (пошлины), платежи, включаемые в затраты на производство продукции (работ, услуг)</t>
  </si>
  <si>
    <t xml:space="preserve">      по технической поддержке программного обеспечения</t>
  </si>
  <si>
    <t>РАЗДЕЛ IV</t>
  </si>
  <si>
    <t>РАСПРЕДЕЛЕНИЕ ПРОДУКТОВ, ТОВАРОВ И УСЛУГ, ИСПОЛЬЗОВАННЫХ НА ПРОИЗВОДСТВО И РЕАЛИЗАЦИЮ ПРОДУКЦИИ (РАБОТ, УСЛУГ) &lt;*&gt;</t>
  </si>
  <si>
    <t>ЗАТРАТЫ НА ПРОИЗВОДСТВО И РЕАЛИЗАЦИЮ ПРОДУКЦИИ (РАБОТ, УСЛУГ) ПО ОСНОВНОМУ ВИДУ ЭКОНОМИЧЕСКОЙ ДЕЯТЕЛЬНОСТИ ОРГАНИЗАЦИИ &lt;*&gt;</t>
  </si>
  <si>
    <r>
      <t xml:space="preserve">Закрытие счета 26 (КАУ 111-116; 141; 142; 174; 175) на счета, отличные от 90-10: Д-т 08,97,90-16,91 и т.д. К-т 26) </t>
    </r>
    <r>
      <rPr>
        <b/>
        <sz val="10"/>
        <rFont val="Times New Roman"/>
        <family val="1"/>
        <charset val="204"/>
      </rPr>
      <t xml:space="preserve"> ЗАПОЛНЯЕТСЯ В РУЧНОМ РЕЖИМЕ</t>
    </r>
  </si>
  <si>
    <r>
      <t>Закрытие счетов 20,44-01 (КАУ 111-116; 141; 142; 174; 175) не на счета 90-08, 90-11, закрытие счетов 23,25  (КАУ 111-116; 141; 142; 174; 175) не на счет 20:</t>
    </r>
    <r>
      <rPr>
        <b/>
        <sz val="10"/>
        <rFont val="Times New Roman"/>
        <family val="1"/>
        <charset val="204"/>
      </rPr>
      <t xml:space="preserve"> </t>
    </r>
    <r>
      <rPr>
        <sz val="10"/>
        <rFont val="Times New Roman"/>
        <family val="1"/>
        <charset val="204"/>
      </rPr>
      <t xml:space="preserve">Д-т 08,97,90-16,91 и т.д. К-т 20,23,25,44-01) </t>
    </r>
    <r>
      <rPr>
        <b/>
        <sz val="10"/>
        <rFont val="Times New Roman"/>
        <family val="1"/>
        <charset val="204"/>
      </rPr>
      <t xml:space="preserve">
 ЗАПОЛНЯЕТСЯ В РУЧНОМ РЕЖИМЕ</t>
    </r>
  </si>
  <si>
    <t xml:space="preserve">Итого стр.110 (c учетом k) </t>
  </si>
  <si>
    <t>Продукты сельского хозяйства (01.1-01.4)</t>
  </si>
  <si>
    <r>
      <t xml:space="preserve">обороты по К-т 010-04 
</t>
    </r>
    <r>
      <rPr>
        <sz val="10"/>
        <rFont val="Times New Roman"/>
        <family val="1"/>
        <charset val="204"/>
      </rPr>
      <t>- обороты по Д-т 010-04</t>
    </r>
  </si>
  <si>
    <r>
      <t xml:space="preserve">обороты по К-т 010-04 
</t>
    </r>
    <r>
      <rPr>
        <b/>
        <sz val="10"/>
        <rFont val="Times New Roman"/>
        <family val="1"/>
        <charset val="204"/>
      </rPr>
      <t>(проводка, дублирующая Д-т 26 К-т 10 (кроме 10-08))</t>
    </r>
    <r>
      <rPr>
        <sz val="10"/>
        <rFont val="Times New Roman"/>
        <family val="1"/>
        <charset val="204"/>
      </rPr>
      <t xml:space="preserve"> 
- обороты по Д-т 010-04 </t>
    </r>
    <r>
      <rPr>
        <b/>
        <sz val="10"/>
        <rFont val="Times New Roman"/>
        <family val="1"/>
        <charset val="204"/>
      </rPr>
      <t>(проводка, дублирующая Д10 К26)
КАУ по сч.26: 111-116; 141; 142; 174; 175</t>
    </r>
  </si>
  <si>
    <r>
      <t xml:space="preserve">обороты по К-т 010-02 
</t>
    </r>
    <r>
      <rPr>
        <b/>
        <sz val="10"/>
        <rFont val="Times New Roman"/>
        <family val="1"/>
        <charset val="204"/>
      </rPr>
      <t>(проводка, дублирующая Д-т 20,23,25,44-01 К-т 10 (кроме 10-08))</t>
    </r>
    <r>
      <rPr>
        <sz val="10"/>
        <rFont val="Times New Roman"/>
        <family val="1"/>
        <charset val="204"/>
      </rPr>
      <t xml:space="preserve"> - обороты по Д-т 010-02 </t>
    </r>
    <r>
      <rPr>
        <b/>
        <sz val="10"/>
        <rFont val="Times New Roman"/>
        <family val="1"/>
        <charset val="204"/>
      </rPr>
      <t>(проводка, дублирующая Д10 К20,23,25,44-01)
КАУ по сч. 20,23,25,44-01: 111-116; 141; 142; 174; 175</t>
    </r>
  </si>
  <si>
    <r>
      <t xml:space="preserve">обороты по К-т 010-02 
</t>
    </r>
    <r>
      <rPr>
        <sz val="10"/>
        <rFont val="Times New Roman"/>
        <family val="1"/>
        <charset val="204"/>
      </rPr>
      <t>- обороты по Д-т 010-02</t>
    </r>
  </si>
  <si>
    <t>Закрытие счета 26 не на 90-10</t>
  </si>
  <si>
    <t>Закрытие счетов 20,23,25,44-01 не на 90-08, 90-11</t>
  </si>
  <si>
    <t xml:space="preserve">Итого стр.112 (c учетом k) </t>
  </si>
  <si>
    <t xml:space="preserve">Итого стр.113 (c учетом k) </t>
  </si>
  <si>
    <t xml:space="preserve">Итого стр.114 (c учетом k) </t>
  </si>
  <si>
    <t xml:space="preserve">Итого стр.115 (c учетом k) </t>
  </si>
  <si>
    <t xml:space="preserve">Итого стр.116 (c учетом k) </t>
  </si>
  <si>
    <t xml:space="preserve">Итого стр.117 (c учетом k) </t>
  </si>
  <si>
    <t xml:space="preserve">Итого стр.118 (c учетом k) </t>
  </si>
  <si>
    <t xml:space="preserve">Итого стр.119 (c учетом k) </t>
  </si>
  <si>
    <t xml:space="preserve">Итого стр.120 (c учетом k) </t>
  </si>
  <si>
    <t xml:space="preserve">Итого стр.122 (c учетом k) </t>
  </si>
  <si>
    <t xml:space="preserve">Итого стр.123 (c учетом k) </t>
  </si>
  <si>
    <t xml:space="preserve">Итого стр.124 (c учетом k) </t>
  </si>
  <si>
    <t xml:space="preserve">Итого стр.125 (c учетом k) </t>
  </si>
  <si>
    <t>ИТОГО (сумма строк со 110 по 133)  ЭТОЙ СТРОКИ НЕТ</t>
  </si>
  <si>
    <t xml:space="preserve">Итого стр.126 (c учетом k) </t>
  </si>
  <si>
    <t>Полиграфическая продукция и тиражирование носителей записей (18.1 – 18.2)</t>
  </si>
  <si>
    <t xml:space="preserve">Итого стр.127 (c учетом k) </t>
  </si>
  <si>
    <t xml:space="preserve">Итого стр.128 (c учетом k) </t>
  </si>
  <si>
    <t xml:space="preserve">Итого стр.129 (c учетом k) </t>
  </si>
  <si>
    <t xml:space="preserve">Итого стр.130 (c учетом k) </t>
  </si>
  <si>
    <t>Химическая продукция, кроме удобрений и азотных соединений (20.11 – 20.14; 20.16 – 20.6)</t>
  </si>
  <si>
    <t xml:space="preserve">Итого стр.131 (c учетом k) </t>
  </si>
  <si>
    <t xml:space="preserve">Итого стр.132 (c учетом k) </t>
  </si>
  <si>
    <t xml:space="preserve">Итого стр.133 (c учетом k) </t>
  </si>
  <si>
    <t xml:space="preserve">Итого стр.134 (c учетом k) </t>
  </si>
  <si>
    <t xml:space="preserve">Итого стр.135 (c учетом k) </t>
  </si>
  <si>
    <t xml:space="preserve">Итого стр.136 (c учетом k) </t>
  </si>
  <si>
    <t xml:space="preserve">Итого стр.137 (c учетом k) </t>
  </si>
  <si>
    <t>Компьютеры, оборудование электронное и оптическое (26.1 – 26.8)</t>
  </si>
  <si>
    <t xml:space="preserve">Итого стр.138 (c учетом k) </t>
  </si>
  <si>
    <t xml:space="preserve">Итого стр.139 (c учетом k) </t>
  </si>
  <si>
    <t>Прочие машины и оборудование, за исключением машин для сельского и лесного хозяйства (28.1–28.2; 28.4–28.9)</t>
  </si>
  <si>
    <t xml:space="preserve">Итого стр.140 (c учетом k) </t>
  </si>
  <si>
    <t xml:space="preserve">Итого стр.141 (c учетом k) </t>
  </si>
  <si>
    <t xml:space="preserve">Итого стр.142 (c учетом k) </t>
  </si>
  <si>
    <t>Прочее транспортное оборудование (30.1 – 30.9)</t>
  </si>
  <si>
    <t xml:space="preserve">Итого стр.143 (c учетом k) </t>
  </si>
  <si>
    <t xml:space="preserve">Итого стр.144 (c учетом k) </t>
  </si>
  <si>
    <t xml:space="preserve">Итого стр.146 (c учетом k) </t>
  </si>
  <si>
    <t xml:space="preserve">Итого стр.147 (c учетом k) </t>
  </si>
  <si>
    <t xml:space="preserve">Итого стр.153 (c учетом k) </t>
  </si>
  <si>
    <t>ОБЩИЕ обороты по К-т 010-04 
- обороты по Д-т 010-04</t>
  </si>
  <si>
    <t>ОБЩИЕ обороты по К-т 010-02 
- обороты по Д-т 010-02</t>
  </si>
  <si>
    <r>
      <t>по счетам 20,23,29,26,44 
КАУ 511-512; 52; 531-533; 541-</t>
    </r>
    <r>
      <rPr>
        <b/>
        <sz val="9"/>
        <rFont val="Arial Cyr"/>
        <charset val="204"/>
      </rPr>
      <t>547</t>
    </r>
    <r>
      <rPr>
        <sz val="9"/>
        <rFont val="Arial Cyr"/>
        <charset val="204"/>
      </rPr>
      <t>; 55; 561-563; 5711-5713; 5721-5723; 573; 5741-5742; 575-584; 5851-5857; 586-588; 5891-5894; 591-596</t>
    </r>
  </si>
  <si>
    <t>Д-т 90-10 К-т 26 (КАУ 591-596)</t>
  </si>
  <si>
    <t>Д-т 90-08 К-т 20-01(КАУ 591-596)</t>
  </si>
  <si>
    <t>Д-т 90-11 К-т 44-01(КАУ 591-596)</t>
  </si>
  <si>
    <t>Д-т 90-10 К-т 26 
(КАУ 511-512; 52; 531-533; 541-547; 55; 561-563; 5711-5713; 5721-5723; 573; 5741-5742; 575-584; 5851-5857; 586-588; 5891-5894; 591-596)</t>
  </si>
  <si>
    <t>Д-т 90-08 К-т 20-01 
(КАУ 511-512; 52; 531-533; 541-547; 55; 561-563; 5711-5713; 5721-5723; 573; 5741-5742; 575-584; 5851-5857; 586-588; 5891-5894; 591-596)</t>
  </si>
  <si>
    <t>Д-т 90-11 К-т 44-01 
(КАУ 511-512; 52; 531-533; 541-547; 55; 561-563; 5711-5713; 5721-5723; 573; 5741-5742; 575-584; 5851-5857; 586-588; 5891-5894; 591-596)</t>
  </si>
  <si>
    <t>Д-т 90-10 К-т 26 (КАУ 541-547)</t>
  </si>
  <si>
    <t>Д-т 90-08 К-т 20-01 (КАУ 541-547)</t>
  </si>
  <si>
    <t>Д-т 90-11 К-т 44-01 (КАУ 541-547)</t>
  </si>
  <si>
    <t>2</t>
  </si>
  <si>
    <t>&amp;DATEENDR</t>
  </si>
  <si>
    <t>ГОСУДАРСТВЕННАЯ СТАТИСТИЧЕСКАЯ ОТЧЕТНОСТЬ</t>
  </si>
  <si>
    <t>КОНФИДЕНЦИАЛЬНОСТЬ ГАРАНТИРУЕТСЯ ПОЛУЧАТЕЛЕМ ИНФОРМАЦИИ</t>
  </si>
  <si>
    <t>Представление искаженных данных государственной статистической отчетности, несвоевременное представление или непредставление такой отчетности влекут применение мер административной или уголовной ответственности в порядке, установленном законодательством Республики Беларусь</t>
  </si>
  <si>
    <t>Представляют респонденты</t>
  </si>
  <si>
    <t>юридические лица, обособленные подразделения юридических
лиц, имеющие отдельный баланс, в соответствии с Указаниями
по заполнению настоящей формы в виде электронного документа
  Главному статистическому управлению города Минска; отделу
статистики в районе (городе) главного статистического
управления области</t>
  </si>
  <si>
    <t>26-го числа после отчетного периода, за
январь-декабрь - 30 марта</t>
  </si>
  <si>
    <t>Код формы
по ОКУД</t>
  </si>
  <si>
    <t>0631004</t>
  </si>
  <si>
    <t>Квартальная</t>
  </si>
  <si>
    <t>Полное наименование обособленного подразделения юридического лица:</t>
  </si>
  <si>
    <t>Регистрационный номер в статистическом регистре (ОКПО)</t>
  </si>
  <si>
    <t>Учетный номер плательщика (УНП)</t>
  </si>
  <si>
    <t>1</t>
  </si>
  <si>
    <t>Раздел 1</t>
  </si>
  <si>
    <t>Затраты на производство и реализацию продукции (работ, услуг) в целом по организации</t>
  </si>
  <si>
    <t xml:space="preserve">Таблица 1  </t>
  </si>
  <si>
    <t>тысяч рублей</t>
  </si>
  <si>
    <t>Код</t>
  </si>
  <si>
    <t>A</t>
  </si>
  <si>
    <t>Объем производства продукции (работ, услуг) в отпускных ценах за вычетом налогов
и сборов, исчисляемых из выручки</t>
  </si>
  <si>
    <t>Затраты на производство и реализацию продукции (работ, услуг)(сумма строк 003, с
010 по 012, 015)</t>
  </si>
  <si>
    <t>в том числе: материальные затраты</t>
  </si>
  <si>
    <t>3</t>
  </si>
  <si>
    <t>из них: сырье, материалы, покупные комплектующие изделия и полуфабрикаты</t>
  </si>
  <si>
    <t>4</t>
  </si>
  <si>
    <t>из них импортные</t>
  </si>
  <si>
    <t>5</t>
  </si>
  <si>
    <t>топливо</t>
  </si>
  <si>
    <t>6</t>
  </si>
  <si>
    <t>из него импортное</t>
  </si>
  <si>
    <t>7</t>
  </si>
  <si>
    <t>8</t>
  </si>
  <si>
    <t>электрическая энергия</t>
  </si>
  <si>
    <t>тепловая энергия</t>
  </si>
  <si>
    <t>9</t>
  </si>
  <si>
    <t>затраты на оплату труда</t>
  </si>
  <si>
    <t>10</t>
  </si>
  <si>
    <t>отчисления на социальные нужды</t>
  </si>
  <si>
    <t>11</t>
  </si>
  <si>
    <t>амортизация основных средств и нематериальных активов, используемых в
предпринимательской деятельности (сумма строк 013, 014)</t>
  </si>
  <si>
    <t>12</t>
  </si>
  <si>
    <t>в том числе: амортизация основных средств</t>
  </si>
  <si>
    <t>13</t>
  </si>
  <si>
    <t>амортизация нематериальных активов</t>
  </si>
  <si>
    <t>14</t>
  </si>
  <si>
    <t>прочие затраты</t>
  </si>
  <si>
    <t>15</t>
  </si>
  <si>
    <t>Справочно: расходы на рекламу - всего</t>
  </si>
  <si>
    <t>16</t>
  </si>
  <si>
    <t>из них на: наружную</t>
  </si>
  <si>
    <t>17</t>
  </si>
  <si>
    <t>телевизионную</t>
  </si>
  <si>
    <t>18</t>
  </si>
  <si>
    <t>интернет-рекламу</t>
  </si>
  <si>
    <t>19</t>
  </si>
  <si>
    <t>радио</t>
  </si>
  <si>
    <t>издание буклетов, каталогов и другой рекламной продукции</t>
  </si>
  <si>
    <t>&amp;A003_1_20</t>
  </si>
  <si>
    <t>&amp;A003_1_23</t>
  </si>
  <si>
    <t>&amp;A003_1_26</t>
  </si>
  <si>
    <t>62</t>
  </si>
  <si>
    <t>&amp;A003_1_29</t>
  </si>
  <si>
    <t>&amp;A003_1_44</t>
  </si>
  <si>
    <t>&amp;A0031</t>
  </si>
  <si>
    <t>&amp;A003_2_20X</t>
  </si>
  <si>
    <t>&amp;A003_2_20</t>
  </si>
  <si>
    <t>&amp;A003_2_23X</t>
  </si>
  <si>
    <t>&amp;A003_2_23</t>
  </si>
  <si>
    <t>&amp;A003_2_26X</t>
  </si>
  <si>
    <t>&amp;A003_2_26</t>
  </si>
  <si>
    <t>&amp;A003_2_29X</t>
  </si>
  <si>
    <t>&amp;A003_2_29</t>
  </si>
  <si>
    <t>&amp;A003_2_44Х</t>
  </si>
  <si>
    <t>&amp;A003_2_44</t>
  </si>
  <si>
    <t>&amp;A0032</t>
  </si>
  <si>
    <t>&amp;A004_1_20</t>
  </si>
  <si>
    <t>&amp;A004_1_23</t>
  </si>
  <si>
    <t>&amp;A004_1_26</t>
  </si>
  <si>
    <t>&amp;A004_1_29</t>
  </si>
  <si>
    <t>&amp;A004_1_44</t>
  </si>
  <si>
    <t>&amp;A0041</t>
  </si>
  <si>
    <t>&amp;A004_2_20</t>
  </si>
  <si>
    <t>&amp;A004_2_23</t>
  </si>
  <si>
    <t>&amp;A004_2_26</t>
  </si>
  <si>
    <t>&amp;A004_2_29</t>
  </si>
  <si>
    <t>&amp;A004_2_44</t>
  </si>
  <si>
    <t>&amp;A0042</t>
  </si>
  <si>
    <t>&amp;A0051</t>
  </si>
  <si>
    <t>&amp;A0052</t>
  </si>
  <si>
    <t>&amp;A006_1_20</t>
  </si>
  <si>
    <t>&amp;A006_1_23</t>
  </si>
  <si>
    <t>&amp;A006_1_26</t>
  </si>
  <si>
    <t>&amp;A006_1_29</t>
  </si>
  <si>
    <t>&amp;A006_1_44</t>
  </si>
  <si>
    <t>&amp;A0061</t>
  </si>
  <si>
    <t>&amp;A006_2_20</t>
  </si>
  <si>
    <t>&amp;A006_2_23</t>
  </si>
  <si>
    <t>&amp;A006_2_26</t>
  </si>
  <si>
    <t>&amp;A006_2_29</t>
  </si>
  <si>
    <t>&amp;A006_2_44</t>
  </si>
  <si>
    <t>&amp;A0062</t>
  </si>
  <si>
    <t>&amp;A0071</t>
  </si>
  <si>
    <t>&amp;A0072</t>
  </si>
  <si>
    <t>&amp;A008_1_20</t>
  </si>
  <si>
    <t>&amp;A008_1_23</t>
  </si>
  <si>
    <t>&amp;A008_1_26</t>
  </si>
  <si>
    <t>&amp;A008_1_29</t>
  </si>
  <si>
    <t>&amp;A008_1_44</t>
  </si>
  <si>
    <t>&amp;A0081</t>
  </si>
  <si>
    <t>&amp;A008_2_20</t>
  </si>
  <si>
    <t>&amp;A008_2_23</t>
  </si>
  <si>
    <t>&amp;A008_2_26</t>
  </si>
  <si>
    <t>&amp;A008_2_29</t>
  </si>
  <si>
    <t>&amp;A008_2_44</t>
  </si>
  <si>
    <t>&amp;A0082</t>
  </si>
  <si>
    <t>&amp;A0091</t>
  </si>
  <si>
    <t>&amp;A0092</t>
  </si>
  <si>
    <t>&amp;A0101</t>
  </si>
  <si>
    <t>&amp;A0102</t>
  </si>
  <si>
    <t>&amp;A0111</t>
  </si>
  <si>
    <t>&amp;A0112</t>
  </si>
  <si>
    <t>&amp;A0121</t>
  </si>
  <si>
    <t>&amp;A0122</t>
  </si>
  <si>
    <t>&amp;A0131</t>
  </si>
  <si>
    <t>&amp;A0132</t>
  </si>
  <si>
    <t>&amp;A0141</t>
  </si>
  <si>
    <t>34</t>
  </si>
  <si>
    <t>&amp;A0142</t>
  </si>
  <si>
    <t>&amp;A015_1_20</t>
  </si>
  <si>
    <t>&amp;A015_1_23</t>
  </si>
  <si>
    <t>&amp;A015_1_26</t>
  </si>
  <si>
    <t>&amp;A015_1_29</t>
  </si>
  <si>
    <t>&amp;A015_1_44</t>
  </si>
  <si>
    <t>&amp;A0151</t>
  </si>
  <si>
    <t>&amp;A015_2_20</t>
  </si>
  <si>
    <t>&amp;A015_2_23</t>
  </si>
  <si>
    <t>&amp;A015_2_26</t>
  </si>
  <si>
    <t>&amp;A015_2_29</t>
  </si>
  <si>
    <t>&amp;A015_2_44</t>
  </si>
  <si>
    <t>&amp;A0152</t>
  </si>
  <si>
    <t>&amp;A0161</t>
  </si>
  <si>
    <t>&amp;A0162</t>
  </si>
  <si>
    <t>&amp;A0171</t>
  </si>
  <si>
    <t>&amp;A0172</t>
  </si>
  <si>
    <t>&amp;A0181</t>
  </si>
  <si>
    <t>&amp;A0182</t>
  </si>
  <si>
    <t>&amp;A0191</t>
  </si>
  <si>
    <t>&amp;A0192</t>
  </si>
  <si>
    <t>&amp;A2011</t>
  </si>
  <si>
    <t>&amp;A2012</t>
  </si>
  <si>
    <t>&amp;A2021</t>
  </si>
  <si>
    <t>&amp;A2022</t>
  </si>
  <si>
    <t>&amp;A2031</t>
  </si>
  <si>
    <t>&amp;A2032</t>
  </si>
  <si>
    <t>&amp;A215_1_20</t>
  </si>
  <si>
    <t>&amp;A215_1_23</t>
  </si>
  <si>
    <t>&amp;A215_1_26</t>
  </si>
  <si>
    <t>&amp;A215_1_29</t>
  </si>
  <si>
    <t>&amp;A215_1_44</t>
  </si>
  <si>
    <t>&amp;A2151</t>
  </si>
  <si>
    <t>&amp;A215_2_20</t>
  </si>
  <si>
    <t>&amp;A215_2_23</t>
  </si>
  <si>
    <t>&amp;A215_2_26</t>
  </si>
  <si>
    <t>&amp;A215_2_29</t>
  </si>
  <si>
    <t>&amp;A215_2_44</t>
  </si>
  <si>
    <t>&amp;A2152</t>
  </si>
  <si>
    <t>Раздел 2</t>
  </si>
  <si>
    <t>Затраты на производство и реализацию продукции (работ, услуг) по основному виду экономической
деятельности организации</t>
  </si>
  <si>
    <t xml:space="preserve">Таблица 2  </t>
  </si>
  <si>
    <t>20</t>
  </si>
  <si>
    <t>Затраты на производство и реализацию продукции (работ, услуг) (сумма строк 022,
036, с 038 по 040)</t>
  </si>
  <si>
    <t>21</t>
  </si>
  <si>
    <t>в том числе: материальные затраты (сумма строк с 023 по 025, с 030 по 033)</t>
  </si>
  <si>
    <t>22</t>
  </si>
  <si>
    <t>в том числе: сырье и материалы</t>
  </si>
  <si>
    <t>23</t>
  </si>
  <si>
    <t>покупные комплектующие изделия и полуфабрикаты</t>
  </si>
  <si>
    <t>24</t>
  </si>
  <si>
    <t>работы (услуги) производственного характера, выполненные другими организациями</t>
  </si>
  <si>
    <t>25</t>
  </si>
  <si>
    <t>из них: перевозка грузов</t>
  </si>
  <si>
    <t>26</t>
  </si>
  <si>
    <t>текущий и капитальный ремонт зданий и сооружений</t>
  </si>
  <si>
    <t>27</t>
  </si>
  <si>
    <t>44</t>
  </si>
  <si>
    <t>услуги по хранению и складированию</t>
  </si>
  <si>
    <t>28</t>
  </si>
  <si>
    <t>техническое обслуживание и ремонт автомобилей и мотоциклов</t>
  </si>
  <si>
    <t>29</t>
  </si>
  <si>
    <t>39</t>
  </si>
  <si>
    <t>30</t>
  </si>
  <si>
    <t>31</t>
  </si>
  <si>
    <t>32</t>
  </si>
  <si>
    <t>прочие материальные затраты</t>
  </si>
  <si>
    <t>33</t>
  </si>
  <si>
    <t>из них: плата за природные ресурсы</t>
  </si>
  <si>
    <t>налог на добавленную стоимость, включенный в затраты</t>
  </si>
  <si>
    <t>35</t>
  </si>
  <si>
    <t>36</t>
  </si>
  <si>
    <t>из них расходы на форменную и фирменную одежду, обмундирование</t>
  </si>
  <si>
    <t>37</t>
  </si>
  <si>
    <t>38</t>
  </si>
  <si>
    <t>амортизация основных средств и нематериальных активов, используемых в
предпринимательской деятельности</t>
  </si>
  <si>
    <t>прочие затраты (сумма строк 041, с 042 по 046, 058, 244)</t>
  </si>
  <si>
    <t>40</t>
  </si>
  <si>
    <t>в том числе: арендная плата</t>
  </si>
  <si>
    <t>41</t>
  </si>
  <si>
    <t>из нее за аренду зданий, сооружений и земельных участков</t>
  </si>
  <si>
    <t>вознаграждения за рационализаторские предложения и выплата авторских гонораров</t>
  </si>
  <si>
    <t>42</t>
  </si>
  <si>
    <t>суточные и подъемные</t>
  </si>
  <si>
    <t>43</t>
  </si>
  <si>
    <t>начисленные налоги, сборы (пошлины), платежи, включаемые в затраты на
производство продукции (работ, услуг)</t>
  </si>
  <si>
    <t>представительские расходы</t>
  </si>
  <si>
    <t>45</t>
  </si>
  <si>
    <t>страховые взносы</t>
  </si>
  <si>
    <t>услуги других организаций</t>
  </si>
  <si>
    <t>46</t>
  </si>
  <si>
    <t>из них услуги: гостиниц и прочих мест временного проживания</t>
  </si>
  <si>
    <t>47</t>
  </si>
  <si>
    <t>пассажирского транспорта</t>
  </si>
  <si>
    <t>48</t>
  </si>
  <si>
    <t>почтовой и курьерской деятельности</t>
  </si>
  <si>
    <t>49</t>
  </si>
  <si>
    <t>в области телекоммуникаций</t>
  </si>
  <si>
    <t>по технической поддержке программного обеспечения</t>
  </si>
  <si>
    <t>50</t>
  </si>
  <si>
    <t>по научным разработкам</t>
  </si>
  <si>
    <t>51</t>
  </si>
  <si>
    <t>по охране имущества</t>
  </si>
  <si>
    <t>52</t>
  </si>
  <si>
    <t>банков и небанковских кредитно-финансовых организаций</t>
  </si>
  <si>
    <t>53</t>
  </si>
  <si>
    <t>услуги в области права и бухгалтерского учета</t>
  </si>
  <si>
    <t>54</t>
  </si>
  <si>
    <t>по уборке территории, зданий, машин и оборудования</t>
  </si>
  <si>
    <t>55</t>
  </si>
  <si>
    <t>образования</t>
  </si>
  <si>
    <t>56</t>
  </si>
  <si>
    <t>здравоохранения</t>
  </si>
  <si>
    <t>57</t>
  </si>
  <si>
    <t>лабораторные исследования, инженерные изыскания и технические испытания</t>
  </si>
  <si>
    <t>водоснабжение, отвод и очистка сточных вод</t>
  </si>
  <si>
    <t>по сбору, обработке и удалению отходов</t>
  </si>
  <si>
    <t>58</t>
  </si>
  <si>
    <t>60</t>
  </si>
  <si>
    <t>Внутризаводской оборот, включаемый в объем продукции (работ, услуг)</t>
  </si>
  <si>
    <t>61</t>
  </si>
  <si>
    <t>Командировочные расходы</t>
  </si>
  <si>
    <t>Из строки 023: семена и посадочный материал</t>
  </si>
  <si>
    <t>63</t>
  </si>
  <si>
    <t>корма</t>
  </si>
  <si>
    <t>65</t>
  </si>
  <si>
    <t>минеральные удобрения</t>
  </si>
  <si>
    <t>67</t>
  </si>
  <si>
    <t>средства защиты растений и животных</t>
  </si>
  <si>
    <t>68</t>
  </si>
  <si>
    <t>подстилка, яйцо для инкубации, навоз</t>
  </si>
  <si>
    <t>69</t>
  </si>
  <si>
    <t>За отчетный пеиод с начала года</t>
  </si>
  <si>
    <t>Внутризаводской оборот, включаемый в затраты на производство продукции (работ, услуг)</t>
  </si>
  <si>
    <t>техническое обслуживание и ремонт компьютеров, периферийного и коммуникационного оборудования</t>
  </si>
  <si>
    <t>&amp;A0200</t>
  </si>
  <si>
    <t>&amp;A020_01</t>
  </si>
  <si>
    <t>&amp;A020_02</t>
  </si>
  <si>
    <t>&amp;A020_03</t>
  </si>
  <si>
    <t>&amp;A020_04</t>
  </si>
  <si>
    <t>&amp;A020_05</t>
  </si>
  <si>
    <t>&amp;A020_06</t>
  </si>
  <si>
    <t>&amp;A020_07</t>
  </si>
  <si>
    <t>&amp;A020_08</t>
  </si>
  <si>
    <t>&amp;A020_09</t>
  </si>
  <si>
    <t>&amp;A020_10</t>
  </si>
  <si>
    <t>&amp;A020_11</t>
  </si>
  <si>
    <t>&amp;A020_12</t>
  </si>
  <si>
    <t>&amp;A0201</t>
  </si>
  <si>
    <t>&amp;K1000_20_01</t>
  </si>
  <si>
    <t>&amp;K1000_20_02</t>
  </si>
  <si>
    <t>&amp;K1000_20_03</t>
  </si>
  <si>
    <t>&amp;K1000_20_04</t>
  </si>
  <si>
    <t>&amp;K1000_20_05</t>
  </si>
  <si>
    <t>&amp;K1000_20_06</t>
  </si>
  <si>
    <t>&amp;K1000_20_07</t>
  </si>
  <si>
    <t>&amp;K1000_20_08</t>
  </si>
  <si>
    <t>&amp;K1000_20_09</t>
  </si>
  <si>
    <t>&amp;K1000_20_10</t>
  </si>
  <si>
    <t>&amp;K1000_20_11</t>
  </si>
  <si>
    <t>&amp;K1000_20_12</t>
  </si>
  <si>
    <t>&amp;K1000_26_01</t>
  </si>
  <si>
    <t>&amp;K1000_26_02</t>
  </si>
  <si>
    <t>&amp;K1000_26_03</t>
  </si>
  <si>
    <t>&amp;K1000_26_04</t>
  </si>
  <si>
    <t>&amp;K1000_26_05</t>
  </si>
  <si>
    <t>&amp;K1000_26_06</t>
  </si>
  <si>
    <t>&amp;K1000_26_07</t>
  </si>
  <si>
    <t>&amp;K1000_26_08</t>
  </si>
  <si>
    <t>&amp;K1000_26_09</t>
  </si>
  <si>
    <t>&amp;K1000_26_10</t>
  </si>
  <si>
    <t>&amp;K1000_26_11</t>
  </si>
  <si>
    <t>&amp;K1000_26_12</t>
  </si>
  <si>
    <t>&amp;DATEEND</t>
  </si>
  <si>
    <t>&amp;M_OTCH</t>
  </si>
  <si>
    <t>&amp;K20_01</t>
  </si>
  <si>
    <t>&amp;K20_02</t>
  </si>
  <si>
    <t>&amp;K20_03</t>
  </si>
  <si>
    <t>&amp;K20_04</t>
  </si>
  <si>
    <t>&amp;K20_05</t>
  </si>
  <si>
    <t>&amp;K20_06</t>
  </si>
  <si>
    <t>&amp;K20_07</t>
  </si>
  <si>
    <t>&amp;K20_08</t>
  </si>
  <si>
    <t>&amp;K20_09</t>
  </si>
  <si>
    <t>&amp;K20_10</t>
  </si>
  <si>
    <t>&amp;K20_11</t>
  </si>
  <si>
    <t>&amp;K20_12</t>
  </si>
  <si>
    <t>&amp;K26_01</t>
  </si>
  <si>
    <t>&amp;K26_02</t>
  </si>
  <si>
    <t>&amp;K26_03</t>
  </si>
  <si>
    <t>&amp;K26_04</t>
  </si>
  <si>
    <t>&amp;K26_05</t>
  </si>
  <si>
    <t>&amp;K26_06</t>
  </si>
  <si>
    <t>&amp;K26_07</t>
  </si>
  <si>
    <t>&amp;K26_08</t>
  </si>
  <si>
    <t>&amp;K26_09</t>
  </si>
  <si>
    <t>&amp;K26_10</t>
  </si>
  <si>
    <t>&amp;K26_11</t>
  </si>
  <si>
    <t>&amp;K26_12</t>
  </si>
  <si>
    <t>&amp;KV20_01</t>
  </si>
  <si>
    <t>&amp;KV20_02</t>
  </si>
  <si>
    <t>&amp;KV20_03</t>
  </si>
  <si>
    <t>&amp;KV20_04</t>
  </si>
  <si>
    <t>&amp;KV20_05</t>
  </si>
  <si>
    <t>&amp;KV20_06</t>
  </si>
  <si>
    <t>&amp;KV20_07</t>
  </si>
  <si>
    <t>&amp;KV20_08</t>
  </si>
  <si>
    <t>&amp;KV20_09</t>
  </si>
  <si>
    <t>&amp;KV20_10</t>
  </si>
  <si>
    <t>&amp;KV20_11</t>
  </si>
  <si>
    <t>&amp;KV20_12</t>
  </si>
  <si>
    <t>&amp;KV26_01</t>
  </si>
  <si>
    <t>&amp;KV26_02</t>
  </si>
  <si>
    <t>&amp;KV26_03</t>
  </si>
  <si>
    <t>&amp;KV26_04</t>
  </si>
  <si>
    <t>&amp;KV26_05</t>
  </si>
  <si>
    <t>&amp;KV26_06</t>
  </si>
  <si>
    <t>&amp;KV26_07</t>
  </si>
  <si>
    <t>&amp;KV26_08</t>
  </si>
  <si>
    <t>&amp;KV26_09</t>
  </si>
  <si>
    <t>&amp;KV26_10</t>
  </si>
  <si>
    <t>&amp;KV26_11</t>
  </si>
  <si>
    <t>&amp;KV26_12</t>
  </si>
  <si>
    <t>&amp;A021_01</t>
  </si>
  <si>
    <t>&amp;A021_02</t>
  </si>
  <si>
    <t>&amp;A021_03</t>
  </si>
  <si>
    <t>&amp;A021_04</t>
  </si>
  <si>
    <t>&amp;A021_05</t>
  </si>
  <si>
    <t>&amp;A021_06</t>
  </si>
  <si>
    <t>&amp;A021_07</t>
  </si>
  <si>
    <t>&amp;A021_08</t>
  </si>
  <si>
    <t>&amp;A021_09</t>
  </si>
  <si>
    <t>&amp;A021_10</t>
  </si>
  <si>
    <t>&amp;A021_11</t>
  </si>
  <si>
    <t>&amp;A021_12</t>
  </si>
  <si>
    <t>&amp;A021_01_20</t>
  </si>
  <si>
    <t>&amp;A021_02_20</t>
  </si>
  <si>
    <t>&amp;A021_03_20</t>
  </si>
  <si>
    <t>&amp;A021_04_20</t>
  </si>
  <si>
    <t>&amp;A021_05_20</t>
  </si>
  <si>
    <t>&amp;A021_06_20</t>
  </si>
  <si>
    <t>&amp;A021_07_20</t>
  </si>
  <si>
    <t>&amp;A021_08_20</t>
  </si>
  <si>
    <t>&amp;A021_09_20</t>
  </si>
  <si>
    <t>&amp;A021_10_20</t>
  </si>
  <si>
    <t>&amp;A021_11_20</t>
  </si>
  <si>
    <t>&amp;A021_12_20</t>
  </si>
  <si>
    <t>&amp;A021_01_26</t>
  </si>
  <si>
    <t>&amp;A021_02_26</t>
  </si>
  <si>
    <t>&amp;A021_03_26</t>
  </si>
  <si>
    <t>&amp;A021_04_26</t>
  </si>
  <si>
    <t>&amp;A021_05_26</t>
  </si>
  <si>
    <t>&amp;A021_06_26</t>
  </si>
  <si>
    <t>&amp;A021_07_26</t>
  </si>
  <si>
    <t>&amp;A021_08_26</t>
  </si>
  <si>
    <t>&amp;A021_09_26</t>
  </si>
  <si>
    <t>&amp;A021_10_26</t>
  </si>
  <si>
    <t>&amp;A021_11_26</t>
  </si>
  <si>
    <t>&amp;A021_12_26</t>
  </si>
  <si>
    <t>&amp;A021_01_44</t>
  </si>
  <si>
    <t>&amp;A021_02_44</t>
  </si>
  <si>
    <t>&amp;A021_03_44</t>
  </si>
  <si>
    <t>&amp;A021_04_44</t>
  </si>
  <si>
    <t>&amp;A021_05_44</t>
  </si>
  <si>
    <t>&amp;A021_06_44</t>
  </si>
  <si>
    <t>&amp;A021_07_44</t>
  </si>
  <si>
    <t>&amp;A021_08_44</t>
  </si>
  <si>
    <t>&amp;A021_09_44</t>
  </si>
  <si>
    <t>&amp;A021_10_44</t>
  </si>
  <si>
    <t>&amp;A021_11_44</t>
  </si>
  <si>
    <t>&amp;A021_12_44</t>
  </si>
  <si>
    <t>&amp;A0210</t>
  </si>
  <si>
    <t>&amp;A021_01KV</t>
  </si>
  <si>
    <t>&amp;A021_02KV</t>
  </si>
  <si>
    <t>&amp;A021_03KV</t>
  </si>
  <si>
    <t>&amp;A021_04KV</t>
  </si>
  <si>
    <t>&amp;A021_05KV</t>
  </si>
  <si>
    <t>&amp;A021_06KV</t>
  </si>
  <si>
    <t>&amp;A021_07KV</t>
  </si>
  <si>
    <t>&amp;A021_08KV</t>
  </si>
  <si>
    <t>&amp;A021_09KV</t>
  </si>
  <si>
    <t>&amp;A021_10KV</t>
  </si>
  <si>
    <t>&amp;A021_11KV</t>
  </si>
  <si>
    <t>&amp;A021_12KV</t>
  </si>
  <si>
    <t>&amp;A0211</t>
  </si>
  <si>
    <t>&amp;A022_01_20</t>
  </si>
  <si>
    <t>&amp;A022_02_20</t>
  </si>
  <si>
    <t>&amp;A022_03_20</t>
  </si>
  <si>
    <t>&amp;A022_04_20</t>
  </si>
  <si>
    <t>&amp;A022_05_20</t>
  </si>
  <si>
    <t>&amp;A022_06_20</t>
  </si>
  <si>
    <t>&amp;A022_07_20</t>
  </si>
  <si>
    <t>&amp;A022_08_20</t>
  </si>
  <si>
    <t>&amp;A022_09_20</t>
  </si>
  <si>
    <t>&amp;A022_10_20</t>
  </si>
  <si>
    <t>&amp;A022_11_20</t>
  </si>
  <si>
    <t>&amp;A022_12_20</t>
  </si>
  <si>
    <t>&amp;A022_01_26</t>
  </si>
  <si>
    <t>&amp;A022_02_26</t>
  </si>
  <si>
    <t>&amp;A022_03_26</t>
  </si>
  <si>
    <t>&amp;A022_04_26</t>
  </si>
  <si>
    <t>&amp;A022_05_26</t>
  </si>
  <si>
    <t>&amp;A022_06_26</t>
  </si>
  <si>
    <t>&amp;A022_07_26</t>
  </si>
  <si>
    <t>&amp;A022_08_26</t>
  </si>
  <si>
    <t>&amp;A022_09_26</t>
  </si>
  <si>
    <t>&amp;A022_10_26</t>
  </si>
  <si>
    <t>&amp;A022_11_26</t>
  </si>
  <si>
    <t>&amp;A022_12_26</t>
  </si>
  <si>
    <t>&amp;A022_01_44</t>
  </si>
  <si>
    <t>&amp;A022_02_44</t>
  </si>
  <si>
    <t>&amp;A022_03_44</t>
  </si>
  <si>
    <t>&amp;A022_04_44</t>
  </si>
  <si>
    <t>&amp;A022_05_44</t>
  </si>
  <si>
    <t>&amp;A022_06_44</t>
  </si>
  <si>
    <t>&amp;A022_07_44</t>
  </si>
  <si>
    <t>&amp;A022_08_44</t>
  </si>
  <si>
    <t>&amp;A022_09_44</t>
  </si>
  <si>
    <t>&amp;A022_10_44</t>
  </si>
  <si>
    <t>&amp;A022_11_44</t>
  </si>
  <si>
    <t>&amp;A022_12_44</t>
  </si>
  <si>
    <t>&amp;A0220_20</t>
  </si>
  <si>
    <t>&amp;A0220_26</t>
  </si>
  <si>
    <t>&amp;A0220_44</t>
  </si>
  <si>
    <t>&amp;A0220</t>
  </si>
  <si>
    <t>&amp;A022_01_20KV</t>
  </si>
  <si>
    <t>&amp;A022_02_20KV</t>
  </si>
  <si>
    <t>&amp;A022_03_20KV</t>
  </si>
  <si>
    <t>&amp;A022_04_20KV</t>
  </si>
  <si>
    <t>&amp;A022_05_20KV</t>
  </si>
  <si>
    <t>&amp;A022_06_20KV</t>
  </si>
  <si>
    <t>&amp;A022_07_20KV</t>
  </si>
  <si>
    <t>&amp;A022_08_20KV</t>
  </si>
  <si>
    <t>&amp;A022_09_20KV</t>
  </si>
  <si>
    <t>&amp;A022_10_20KV</t>
  </si>
  <si>
    <t>&amp;A022_11_20KV</t>
  </si>
  <si>
    <t>&amp;A022_12_20KV</t>
  </si>
  <si>
    <t>&amp;A022_01_26KV</t>
  </si>
  <si>
    <t>&amp;A022_02_26KV</t>
  </si>
  <si>
    <t>&amp;A022_03_26KV</t>
  </si>
  <si>
    <t>&amp;A022_04_26KV</t>
  </si>
  <si>
    <t>&amp;A022_05_26KV</t>
  </si>
  <si>
    <t>&amp;A022_06_26KV</t>
  </si>
  <si>
    <t>&amp;A022_07_26KV</t>
  </si>
  <si>
    <t>&amp;A022_08_26KV</t>
  </si>
  <si>
    <t>&amp;A022_09_26KV</t>
  </si>
  <si>
    <t>&amp;A022_10_26KV</t>
  </si>
  <si>
    <t>&amp;A022_11_26KV</t>
  </si>
  <si>
    <t>&amp;A022_12_26KV</t>
  </si>
  <si>
    <t>&amp;A022_01_44KV</t>
  </si>
  <si>
    <t>&amp;A022_02_44KV</t>
  </si>
  <si>
    <t>&amp;A022_03_44KV</t>
  </si>
  <si>
    <t>&amp;A022_04_44KV</t>
  </si>
  <si>
    <t>&amp;A022_05_44KV</t>
  </si>
  <si>
    <t>&amp;A022_06_44KV</t>
  </si>
  <si>
    <t>&amp;A022_07_44KV</t>
  </si>
  <si>
    <t>&amp;A022_08_44KV</t>
  </si>
  <si>
    <t>&amp;A022_09_44KV</t>
  </si>
  <si>
    <t>&amp;A022_10_44KV</t>
  </si>
  <si>
    <t>&amp;A022_11_44KV</t>
  </si>
  <si>
    <t>&amp;A022_12_44KV</t>
  </si>
  <si>
    <t>&amp;A0221_20</t>
  </si>
  <si>
    <t>&amp;A0221_26</t>
  </si>
  <si>
    <t>&amp;A0221_44</t>
  </si>
  <si>
    <t>&amp;A0221</t>
  </si>
  <si>
    <t>&amp;A023_01</t>
  </si>
  <si>
    <t>&amp;A023_02</t>
  </si>
  <si>
    <t>&amp;A023_03</t>
  </si>
  <si>
    <t>&amp;A023_04</t>
  </si>
  <si>
    <t>&amp;A023_05</t>
  </si>
  <si>
    <t>&amp;A023_06</t>
  </si>
  <si>
    <t>&amp;A023_07</t>
  </si>
  <si>
    <t>&amp;A023_08</t>
  </si>
  <si>
    <t>&amp;A023_09</t>
  </si>
  <si>
    <t>&amp;A023_10</t>
  </si>
  <si>
    <t>&amp;A023_11</t>
  </si>
  <si>
    <t>&amp;A023_12</t>
  </si>
  <si>
    <t>&amp;A0230</t>
  </si>
  <si>
    <t>&amp;A023_01_20</t>
  </si>
  <si>
    <t>&amp;A023_02_20</t>
  </si>
  <si>
    <t>&amp;A023_03_20</t>
  </si>
  <si>
    <t>&amp;A023_04_20</t>
  </si>
  <si>
    <t>&amp;A023_05_20</t>
  </si>
  <si>
    <t>&amp;A023_06_20</t>
  </si>
  <si>
    <t>&amp;A023_07_20</t>
  </si>
  <si>
    <t>&amp;A023_08_20</t>
  </si>
  <si>
    <t>&amp;A023_09_20</t>
  </si>
  <si>
    <t>&amp;A023_10_20</t>
  </si>
  <si>
    <t>&amp;A023_11_20</t>
  </si>
  <si>
    <t>&amp;A023_12_20</t>
  </si>
  <si>
    <t>&amp;A023_01_26</t>
  </si>
  <si>
    <t>&amp;A023_02_26</t>
  </si>
  <si>
    <t>&amp;A023_03_26</t>
  </si>
  <si>
    <t>&amp;A023_04_26</t>
  </si>
  <si>
    <t>&amp;A023_05_26</t>
  </si>
  <si>
    <t>&amp;A023_06_26</t>
  </si>
  <si>
    <t>&amp;A023_07_26</t>
  </si>
  <si>
    <t>&amp;A023_08_26</t>
  </si>
  <si>
    <t>&amp;A023_09_26</t>
  </si>
  <si>
    <t>&amp;A023_10_26</t>
  </si>
  <si>
    <t>&amp;A023_11_26</t>
  </si>
  <si>
    <t>&amp;A023_12_26</t>
  </si>
  <si>
    <t>&amp;A023_01_44</t>
  </si>
  <si>
    <t>&amp;A023_02_44</t>
  </si>
  <si>
    <t>&amp;A023_03_44</t>
  </si>
  <si>
    <t>&amp;A023_04_44</t>
  </si>
  <si>
    <t>&amp;A023_05_44</t>
  </si>
  <si>
    <t>&amp;A023_06_44</t>
  </si>
  <si>
    <t>&amp;A023_07_44</t>
  </si>
  <si>
    <t>&amp;A023_08_44</t>
  </si>
  <si>
    <t>&amp;A023_09_44</t>
  </si>
  <si>
    <t>&amp;A023_10_44</t>
  </si>
  <si>
    <t>&amp;A023_11_44</t>
  </si>
  <si>
    <t>&amp;A023_12_44</t>
  </si>
  <si>
    <t>&amp;A023_01KV</t>
  </si>
  <si>
    <t>&amp;A023_02KV</t>
  </si>
  <si>
    <t>&amp;A023_03KV</t>
  </si>
  <si>
    <t>&amp;A023_04KV</t>
  </si>
  <si>
    <t>&amp;A023_05KV</t>
  </si>
  <si>
    <t>&amp;A023_06KV</t>
  </si>
  <si>
    <t>&amp;A023_07KV</t>
  </si>
  <si>
    <t>&amp;A023_08KV</t>
  </si>
  <si>
    <t>&amp;A023_09KV</t>
  </si>
  <si>
    <t>&amp;A023_10KV</t>
  </si>
  <si>
    <t>&amp;A023_11KV</t>
  </si>
  <si>
    <t>&amp;A023_12KV</t>
  </si>
  <si>
    <t>&amp;A0231</t>
  </si>
  <si>
    <t>&amp;A024_01</t>
  </si>
  <si>
    <t>&amp;A024_02</t>
  </si>
  <si>
    <t>&amp;A024_03</t>
  </si>
  <si>
    <t>&amp;A024_04</t>
  </si>
  <si>
    <t>&amp;A024_05</t>
  </si>
  <si>
    <t>&amp;A024_06</t>
  </si>
  <si>
    <t>&amp;A024_07</t>
  </si>
  <si>
    <t>&amp;A024_08</t>
  </si>
  <si>
    <t>&amp;A024_09</t>
  </si>
  <si>
    <t>&amp;A024_10</t>
  </si>
  <si>
    <t>&amp;A024_11</t>
  </si>
  <si>
    <t>&amp;A024_12</t>
  </si>
  <si>
    <t>&amp;A0240</t>
  </si>
  <si>
    <t>&amp;A024_01_20</t>
  </si>
  <si>
    <t>&amp;A024_02_20</t>
  </si>
  <si>
    <t>&amp;A024_03_20</t>
  </si>
  <si>
    <t>&amp;A024_04_20</t>
  </si>
  <si>
    <t>&amp;A024_05_20</t>
  </si>
  <si>
    <t>&amp;A024_06_20</t>
  </si>
  <si>
    <t>&amp;A024_07_20</t>
  </si>
  <si>
    <t>&amp;A024_08_20</t>
  </si>
  <si>
    <t>&amp;A024_09_20</t>
  </si>
  <si>
    <t>&amp;A024_10_20</t>
  </si>
  <si>
    <t>&amp;A024_11_20</t>
  </si>
  <si>
    <t>&amp;A024_12_20</t>
  </si>
  <si>
    <t>&amp;A024_01_26</t>
  </si>
  <si>
    <t>&amp;A024_02_26</t>
  </si>
  <si>
    <t>&amp;A024_03_26</t>
  </si>
  <si>
    <t>&amp;A024_04_26</t>
  </si>
  <si>
    <t>&amp;A024_05_26</t>
  </si>
  <si>
    <t>&amp;A024_06_26</t>
  </si>
  <si>
    <t>&amp;A024_07_26</t>
  </si>
  <si>
    <t>&amp;A024_08_26</t>
  </si>
  <si>
    <t>&amp;A024_09_26</t>
  </si>
  <si>
    <t>&amp;A024_10_26</t>
  </si>
  <si>
    <t>&amp;A024_11_26</t>
  </si>
  <si>
    <t>&amp;A024_12_26</t>
  </si>
  <si>
    <t>&amp;A024_01_44</t>
  </si>
  <si>
    <t>&amp;A024_02_44</t>
  </si>
  <si>
    <t>&amp;A024_03_44</t>
  </si>
  <si>
    <t>&amp;A024_04_44</t>
  </si>
  <si>
    <t>&amp;A024_05_44</t>
  </si>
  <si>
    <t>&amp;A024_06_44</t>
  </si>
  <si>
    <t>&amp;A024_07_44</t>
  </si>
  <si>
    <t>&amp;A024_08_44</t>
  </si>
  <si>
    <t>&amp;A024_09_44</t>
  </si>
  <si>
    <t>&amp;A024_10_44</t>
  </si>
  <si>
    <t>&amp;A024_11_44</t>
  </si>
  <si>
    <t>&amp;A024_12_44</t>
  </si>
  <si>
    <t>&amp;A024_01KV</t>
  </si>
  <si>
    <t>&amp;A024_02KV</t>
  </si>
  <si>
    <t>&amp;A024_03KV</t>
  </si>
  <si>
    <t>&amp;A024_04KV</t>
  </si>
  <si>
    <t>&amp;A024_05KV</t>
  </si>
  <si>
    <t>&amp;A024_06KV</t>
  </si>
  <si>
    <t>&amp;A024_07KV</t>
  </si>
  <si>
    <t>&amp;A024_08KV</t>
  </si>
  <si>
    <t>&amp;A024_09KV</t>
  </si>
  <si>
    <t>&amp;A024_10KV</t>
  </si>
  <si>
    <t>&amp;A024_11KV</t>
  </si>
  <si>
    <t>&amp;A024_12KV</t>
  </si>
  <si>
    <t>&amp;A0241</t>
  </si>
  <si>
    <t>&amp;A025_01</t>
  </si>
  <si>
    <t>&amp;A025_02</t>
  </si>
  <si>
    <t>&amp;A025_03</t>
  </si>
  <si>
    <t>&amp;A025_04</t>
  </si>
  <si>
    <t>&amp;A025_05</t>
  </si>
  <si>
    <t>&amp;A025_06</t>
  </si>
  <si>
    <t>&amp;A025_07</t>
  </si>
  <si>
    <t>&amp;A025_08</t>
  </si>
  <si>
    <t>&amp;A025_09</t>
  </si>
  <si>
    <t>&amp;A025_10</t>
  </si>
  <si>
    <t>&amp;A025_11</t>
  </si>
  <si>
    <t>&amp;A025_12</t>
  </si>
  <si>
    <t>&amp;A025_01_20</t>
  </si>
  <si>
    <t>&amp;A025_02_20</t>
  </si>
  <si>
    <t>&amp;A025_03_20</t>
  </si>
  <si>
    <t>&amp;A025_04_20</t>
  </si>
  <si>
    <t>&amp;A025_05_20</t>
  </si>
  <si>
    <t>&amp;A025_06_20</t>
  </si>
  <si>
    <t>&amp;A025_07_20</t>
  </si>
  <si>
    <t>&amp;A025_08_20</t>
  </si>
  <si>
    <t>&amp;A025_09_20</t>
  </si>
  <si>
    <t>&amp;A025_10_20</t>
  </si>
  <si>
    <t>&amp;A025_11_20</t>
  </si>
  <si>
    <t>&amp;A025_12_20</t>
  </si>
  <si>
    <t>&amp;A025_01_26</t>
  </si>
  <si>
    <t>&amp;A025_02_26</t>
  </si>
  <si>
    <t>&amp;A025_03_26</t>
  </si>
  <si>
    <t>&amp;A025_04_26</t>
  </si>
  <si>
    <t>&amp;A025_05_26</t>
  </si>
  <si>
    <t>&amp;A025_06_26</t>
  </si>
  <si>
    <t>&amp;A025_07_26</t>
  </si>
  <si>
    <t>&amp;A025_08_26</t>
  </si>
  <si>
    <t>&amp;A025_09_26</t>
  </si>
  <si>
    <t>&amp;A025_10_26</t>
  </si>
  <si>
    <t>&amp;A025_11_26</t>
  </si>
  <si>
    <t>&amp;A025_12_26</t>
  </si>
  <si>
    <t>&amp;A025_01_44</t>
  </si>
  <si>
    <t>&amp;A025_02_44</t>
  </si>
  <si>
    <t>&amp;A025_03_44</t>
  </si>
  <si>
    <t>&amp;A025_04_44</t>
  </si>
  <si>
    <t>&amp;A025_05_44</t>
  </si>
  <si>
    <t>&amp;A025_06_44</t>
  </si>
  <si>
    <t>&amp;A025_07_44</t>
  </si>
  <si>
    <t>&amp;A025_08_44</t>
  </si>
  <si>
    <t>&amp;A025_09_44</t>
  </si>
  <si>
    <t>&amp;A025_10_44</t>
  </si>
  <si>
    <t>&amp;A025_11_44</t>
  </si>
  <si>
    <t>&amp;A025_12_44</t>
  </si>
  <si>
    <t>&amp;A0250</t>
  </si>
  <si>
    <t>&amp;A025_01KV</t>
  </si>
  <si>
    <t>&amp;A025_02KV</t>
  </si>
  <si>
    <t>&amp;A025_03KV</t>
  </si>
  <si>
    <t>&amp;A025_04KV</t>
  </si>
  <si>
    <t>&amp;A025_05KV</t>
  </si>
  <si>
    <t>&amp;A025_06KV</t>
  </si>
  <si>
    <t>&amp;A025_07KV</t>
  </si>
  <si>
    <t>&amp;A025_08KV</t>
  </si>
  <si>
    <t>&amp;A025_09KV</t>
  </si>
  <si>
    <t>&amp;A025_10KV</t>
  </si>
  <si>
    <t>&amp;A025_11KV</t>
  </si>
  <si>
    <t>&amp;A025_12KV</t>
  </si>
  <si>
    <t>&amp;A0251</t>
  </si>
  <si>
    <t>&amp;A026_01</t>
  </si>
  <si>
    <t>&amp;A026_02</t>
  </si>
  <si>
    <t>&amp;A026_03</t>
  </si>
  <si>
    <t>&amp;A026_04</t>
  </si>
  <si>
    <t>&amp;A026_05</t>
  </si>
  <si>
    <t>&amp;A026_06</t>
  </si>
  <si>
    <t>&amp;A026_07</t>
  </si>
  <si>
    <t>&amp;A026_08</t>
  </si>
  <si>
    <t>&amp;A026_09</t>
  </si>
  <si>
    <t>&amp;A026_10</t>
  </si>
  <si>
    <t>&amp;A026_11</t>
  </si>
  <si>
    <t>&amp;A026_12</t>
  </si>
  <si>
    <t>&amp;A0260</t>
  </si>
  <si>
    <t>&amp;A026_01_20</t>
  </si>
  <si>
    <t>&amp;A026_02_20</t>
  </si>
  <si>
    <t>&amp;A026_03_20</t>
  </si>
  <si>
    <t>&amp;A026_04_20</t>
  </si>
  <si>
    <t>&amp;A026_05_20</t>
  </si>
  <si>
    <t>&amp;A026_06_20</t>
  </si>
  <si>
    <t>&amp;A026_07_20</t>
  </si>
  <si>
    <t>&amp;A026_08_20</t>
  </si>
  <si>
    <t>&amp;A026_09_20</t>
  </si>
  <si>
    <t>&amp;A026_10_20</t>
  </si>
  <si>
    <t>&amp;A026_11_20</t>
  </si>
  <si>
    <t>&amp;A026_12_20</t>
  </si>
  <si>
    <t>&amp;A026_01_26</t>
  </si>
  <si>
    <t>&amp;A026_02_26</t>
  </si>
  <si>
    <t>&amp;A026_03_26</t>
  </si>
  <si>
    <t>&amp;A026_04_26</t>
  </si>
  <si>
    <t>&amp;A026_05_26</t>
  </si>
  <si>
    <t>&amp;A026_06_26</t>
  </si>
  <si>
    <t>&amp;A026_07_26</t>
  </si>
  <si>
    <t>&amp;A026_08_26</t>
  </si>
  <si>
    <t>&amp;A026_09_26</t>
  </si>
  <si>
    <t>&amp;A026_10_26</t>
  </si>
  <si>
    <t>&amp;A026_11_26</t>
  </si>
  <si>
    <t>&amp;A026_12_26</t>
  </si>
  <si>
    <t>&amp;A026_01_44</t>
  </si>
  <si>
    <t>&amp;A026_02_44</t>
  </si>
  <si>
    <t>&amp;A026_03_44</t>
  </si>
  <si>
    <t>&amp;A026_04_44</t>
  </si>
  <si>
    <t>&amp;A026_05_44</t>
  </si>
  <si>
    <t>&amp;A026_06_44</t>
  </si>
  <si>
    <t>&amp;A026_07_44</t>
  </si>
  <si>
    <t>&amp;A026_08_44</t>
  </si>
  <si>
    <t>&amp;A026_09_44</t>
  </si>
  <si>
    <t>&amp;A026_10_44</t>
  </si>
  <si>
    <t>&amp;A026_11_44</t>
  </si>
  <si>
    <t>&amp;A026_12_44</t>
  </si>
  <si>
    <t>&amp;A026_01KV</t>
  </si>
  <si>
    <t>&amp;A026_02KV</t>
  </si>
  <si>
    <t>&amp;A026_03KV</t>
  </si>
  <si>
    <t>&amp;A026_04KV</t>
  </si>
  <si>
    <t>&amp;A026_05KV</t>
  </si>
  <si>
    <t>&amp;A026_06KV</t>
  </si>
  <si>
    <t>&amp;A026_07KV</t>
  </si>
  <si>
    <t>&amp;A026_08KV</t>
  </si>
  <si>
    <t>&amp;A026_09KV</t>
  </si>
  <si>
    <t>&amp;A026_10KV</t>
  </si>
  <si>
    <t>&amp;A026_11KV</t>
  </si>
  <si>
    <t>&amp;A026_12KV</t>
  </si>
  <si>
    <t>&amp;A0261</t>
  </si>
  <si>
    <t>&amp;A027_01_20</t>
  </si>
  <si>
    <t>&amp;A027_02_20</t>
  </si>
  <si>
    <t>&amp;A027_03_20</t>
  </si>
  <si>
    <t>&amp;A027_04_20</t>
  </si>
  <si>
    <t>&amp;A027_05_20</t>
  </si>
  <si>
    <t>&amp;A027_06_20</t>
  </si>
  <si>
    <t>&amp;A027_07_20</t>
  </si>
  <si>
    <t>&amp;A027_08_20</t>
  </si>
  <si>
    <t>&amp;A027_09_20</t>
  </si>
  <si>
    <t>&amp;A027_10_20</t>
  </si>
  <si>
    <t>&amp;A027_11_20</t>
  </si>
  <si>
    <t>&amp;A027_12_20</t>
  </si>
  <si>
    <t>&amp;A027_01_26</t>
  </si>
  <si>
    <t>&amp;A027_02_26</t>
  </si>
  <si>
    <t>&amp;A027_03_26</t>
  </si>
  <si>
    <t>&amp;A027_04_26</t>
  </si>
  <si>
    <t>&amp;A027_05_26</t>
  </si>
  <si>
    <t>&amp;A027_06_26</t>
  </si>
  <si>
    <t>&amp;A027_07_26</t>
  </si>
  <si>
    <t>&amp;A027_08_26</t>
  </si>
  <si>
    <t>&amp;A027_09_26</t>
  </si>
  <si>
    <t>&amp;A027_10_26</t>
  </si>
  <si>
    <t>&amp;A027_11_26</t>
  </si>
  <si>
    <t>&amp;A027_12_26</t>
  </si>
  <si>
    <t>&amp;A027_01_44</t>
  </si>
  <si>
    <t>&amp;A027_02_44</t>
  </si>
  <si>
    <t>&amp;A027_03_44</t>
  </si>
  <si>
    <t>&amp;A027_04_44</t>
  </si>
  <si>
    <t>&amp;A027_05_44</t>
  </si>
  <si>
    <t>&amp;A027_06_44</t>
  </si>
  <si>
    <t>&amp;A027_07_44</t>
  </si>
  <si>
    <t>&amp;A027_08_44</t>
  </si>
  <si>
    <t>&amp;A027_09_44</t>
  </si>
  <si>
    <t>&amp;A027_10_44</t>
  </si>
  <si>
    <t>&amp;A027_11_44</t>
  </si>
  <si>
    <t>&amp;A027_12_44</t>
  </si>
  <si>
    <t>&amp;A027_01</t>
  </si>
  <si>
    <t>&amp;A027_02</t>
  </si>
  <si>
    <t>&amp;A027_03</t>
  </si>
  <si>
    <t>&amp;A027_04</t>
  </si>
  <si>
    <t>&amp;A027_05</t>
  </si>
  <si>
    <t>&amp;A027_06</t>
  </si>
  <si>
    <t>&amp;A027_07</t>
  </si>
  <si>
    <t>&amp;A027_08</t>
  </si>
  <si>
    <t>&amp;A027_09</t>
  </si>
  <si>
    <t>&amp;A027_10</t>
  </si>
  <si>
    <t>&amp;A027_11</t>
  </si>
  <si>
    <t>&amp;A027_12</t>
  </si>
  <si>
    <t>&amp;A0270</t>
  </si>
  <si>
    <t>&amp;A027_01KV</t>
  </si>
  <si>
    <t>&amp;A027_02KV</t>
  </si>
  <si>
    <t>&amp;A027_03KV</t>
  </si>
  <si>
    <t>&amp;A027_04KV</t>
  </si>
  <si>
    <t>&amp;A027_05KV</t>
  </si>
  <si>
    <t>&amp;A027_06KV</t>
  </si>
  <si>
    <t>&amp;A027_07KV</t>
  </si>
  <si>
    <t>&amp;A027_08KV</t>
  </si>
  <si>
    <t>&amp;A027_09KV</t>
  </si>
  <si>
    <t>&amp;A027_10KV</t>
  </si>
  <si>
    <t>&amp;A027_11KV</t>
  </si>
  <si>
    <t>&amp;A027_12KV</t>
  </si>
  <si>
    <t>&amp;A0271</t>
  </si>
  <si>
    <t>&amp;A230_01</t>
  </si>
  <si>
    <t>&amp;A230_02</t>
  </si>
  <si>
    <t>&amp;A230_03</t>
  </si>
  <si>
    <t>&amp;A230_04</t>
  </si>
  <si>
    <t>&amp;A230_05</t>
  </si>
  <si>
    <t>&amp;A230_06</t>
  </si>
  <si>
    <t>&amp;A230_07</t>
  </si>
  <si>
    <t>&amp;A230_08</t>
  </si>
  <si>
    <t>&amp;A230_09</t>
  </si>
  <si>
    <t>&amp;A230_10</t>
  </si>
  <si>
    <t>&amp;A230_11</t>
  </si>
  <si>
    <t>&amp;A230_12</t>
  </si>
  <si>
    <t>&amp;A2300</t>
  </si>
  <si>
    <t>&amp;A230_01_20</t>
  </si>
  <si>
    <t>&amp;A230_02_20</t>
  </si>
  <si>
    <t>&amp;A230_03_20</t>
  </si>
  <si>
    <t>&amp;A230_04_20</t>
  </si>
  <si>
    <t>&amp;A230_05_20</t>
  </si>
  <si>
    <t>&amp;A230_06_20</t>
  </si>
  <si>
    <t>&amp;A230_07_20</t>
  </si>
  <si>
    <t>&amp;A230_08_20</t>
  </si>
  <si>
    <t>&amp;A230_09_20</t>
  </si>
  <si>
    <t>&amp;A230_10_20</t>
  </si>
  <si>
    <t>&amp;A230_11_20</t>
  </si>
  <si>
    <t>&amp;A230_12_20</t>
  </si>
  <si>
    <t>&amp;A230_01_26</t>
  </si>
  <si>
    <t>&amp;A230_02_26</t>
  </si>
  <si>
    <t>&amp;A230_03_26</t>
  </si>
  <si>
    <t>&amp;A230_04_26</t>
  </si>
  <si>
    <t>&amp;A230_05_26</t>
  </si>
  <si>
    <t>&amp;A230_06_26</t>
  </si>
  <si>
    <t>&amp;A230_07_26</t>
  </si>
  <si>
    <t>&amp;A230_08_26</t>
  </si>
  <si>
    <t>&amp;A230_09_26</t>
  </si>
  <si>
    <t>&amp;A230_10_26</t>
  </si>
  <si>
    <t>&amp;A230_11_26</t>
  </si>
  <si>
    <t>&amp;A230_12_26</t>
  </si>
  <si>
    <t>&amp;A230_01_44</t>
  </si>
  <si>
    <t>&amp;A230_02_44</t>
  </si>
  <si>
    <t>&amp;A230_03_44</t>
  </si>
  <si>
    <t>&amp;A230_04_44</t>
  </si>
  <si>
    <t>&amp;A230_05_44</t>
  </si>
  <si>
    <t>&amp;A230_06_44</t>
  </si>
  <si>
    <t>&amp;A230_07_44</t>
  </si>
  <si>
    <t>&amp;A230_08_44</t>
  </si>
  <si>
    <t>&amp;A230_09_44</t>
  </si>
  <si>
    <t>&amp;A230_10_44</t>
  </si>
  <si>
    <t>&amp;A230_11_44</t>
  </si>
  <si>
    <t>&amp;A230_12_44</t>
  </si>
  <si>
    <t>&amp;A230_01KV</t>
  </si>
  <si>
    <t>&amp;A230_02KV</t>
  </si>
  <si>
    <t>&amp;A230_03KV</t>
  </si>
  <si>
    <t>&amp;A230_04KV</t>
  </si>
  <si>
    <t>&amp;A230_05KV</t>
  </si>
  <si>
    <t>&amp;A230_06KV</t>
  </si>
  <si>
    <t>&amp;A230_07KV</t>
  </si>
  <si>
    <t>&amp;A230_08KV</t>
  </si>
  <si>
    <t>&amp;A230_09KV</t>
  </si>
  <si>
    <t>&amp;A230_10KV</t>
  </si>
  <si>
    <t>&amp;A230_11KV</t>
  </si>
  <si>
    <t>&amp;A230_12KV</t>
  </si>
  <si>
    <t>&amp;A2301</t>
  </si>
  <si>
    <t>&amp;A028_01</t>
  </si>
  <si>
    <t>&amp;A028_02</t>
  </si>
  <si>
    <t>&amp;A028_03</t>
  </si>
  <si>
    <t>&amp;A028_04</t>
  </si>
  <si>
    <t>&amp;A028_05</t>
  </si>
  <si>
    <t>&amp;A028_06</t>
  </si>
  <si>
    <t>&amp;A028_07</t>
  </si>
  <si>
    <t>&amp;A028_08</t>
  </si>
  <si>
    <t>&amp;A028_09</t>
  </si>
  <si>
    <t>&amp;A028_10</t>
  </si>
  <si>
    <t>&amp;A028_11</t>
  </si>
  <si>
    <t>&amp;A028_12</t>
  </si>
  <si>
    <t>&amp;A0280</t>
  </si>
  <si>
    <t>&amp;A028_01_20</t>
  </si>
  <si>
    <t>&amp;A028_02_20</t>
  </si>
  <si>
    <t>&amp;A028_03_20</t>
  </si>
  <si>
    <t>&amp;A028_04_20</t>
  </si>
  <si>
    <t>&amp;A028_05_20</t>
  </si>
  <si>
    <t>&amp;A028_06_20</t>
  </si>
  <si>
    <t>&amp;A028_07_20</t>
  </si>
  <si>
    <t>&amp;A028_08_20</t>
  </si>
  <si>
    <t>&amp;A028_09_20</t>
  </si>
  <si>
    <t>&amp;A028_10_20</t>
  </si>
  <si>
    <t>&amp;A028_11_20</t>
  </si>
  <si>
    <t>&amp;A028_12_20</t>
  </si>
  <si>
    <t>&amp;A028_01_26</t>
  </si>
  <si>
    <t>&amp;A028_02_26</t>
  </si>
  <si>
    <t>&amp;A028_03_26</t>
  </si>
  <si>
    <t>&amp;A028_04_26</t>
  </si>
  <si>
    <t>&amp;A028_05_26</t>
  </si>
  <si>
    <t>&amp;A028_06_26</t>
  </si>
  <si>
    <t>&amp;A028_07_26</t>
  </si>
  <si>
    <t>&amp;A028_08_26</t>
  </si>
  <si>
    <t>&amp;A028_09_26</t>
  </si>
  <si>
    <t>&amp;A028_10_26</t>
  </si>
  <si>
    <t>&amp;A028_11_26</t>
  </si>
  <si>
    <t>&amp;A028_12_26</t>
  </si>
  <si>
    <t>&amp;A028_01_44</t>
  </si>
  <si>
    <t>&amp;A028_02_44</t>
  </si>
  <si>
    <t>&amp;A028_03_44</t>
  </si>
  <si>
    <t>&amp;A028_04_44</t>
  </si>
  <si>
    <t>&amp;A028_05_44</t>
  </si>
  <si>
    <t>&amp;A028_06_44</t>
  </si>
  <si>
    <t>&amp;A028_07_44</t>
  </si>
  <si>
    <t>&amp;A028_08_44</t>
  </si>
  <si>
    <t>&amp;A028_09_44</t>
  </si>
  <si>
    <t>&amp;A028_10_44</t>
  </si>
  <si>
    <t>&amp;A028_11_44</t>
  </si>
  <si>
    <t>&amp;A028_12_44</t>
  </si>
  <si>
    <t>&amp;A028_01KV</t>
  </si>
  <si>
    <t>&amp;A028_02KV</t>
  </si>
  <si>
    <t>&amp;A028_03KV</t>
  </si>
  <si>
    <t>&amp;A028_04KV</t>
  </si>
  <si>
    <t>&amp;A028_05KV</t>
  </si>
  <si>
    <t>&amp;A028_06KV</t>
  </si>
  <si>
    <t>&amp;A028_07KV</t>
  </si>
  <si>
    <t>&amp;A028_08KV</t>
  </si>
  <si>
    <t>&amp;A028_09KV</t>
  </si>
  <si>
    <t>&amp;A028_10KV</t>
  </si>
  <si>
    <t>&amp;A028_11KV</t>
  </si>
  <si>
    <t>&amp;A028_12KV</t>
  </si>
  <si>
    <t>&amp;A0281</t>
  </si>
  <si>
    <t>&amp;A029_01</t>
  </si>
  <si>
    <t>&amp;A029_02</t>
  </si>
  <si>
    <t>&amp;A029_03</t>
  </si>
  <si>
    <t>&amp;A029_04</t>
  </si>
  <si>
    <t>&amp;A029_05</t>
  </si>
  <si>
    <t>&amp;A029_06</t>
  </si>
  <si>
    <t>&amp;A029_07</t>
  </si>
  <si>
    <t>&amp;A029_08</t>
  </si>
  <si>
    <t>&amp;A029_09</t>
  </si>
  <si>
    <t>&amp;A029_10</t>
  </si>
  <si>
    <t>&amp;A029_11</t>
  </si>
  <si>
    <t>&amp;A029_12</t>
  </si>
  <si>
    <t>&amp;A0290</t>
  </si>
  <si>
    <t>&amp;A029_01_20</t>
  </si>
  <si>
    <t>&amp;A029_02_20</t>
  </si>
  <si>
    <t>&amp;A029_03_20</t>
  </si>
  <si>
    <t>&amp;A029_04_20</t>
  </si>
  <si>
    <t>&amp;A029_05_20</t>
  </si>
  <si>
    <t>&amp;A029_06_20</t>
  </si>
  <si>
    <t>&amp;A029_07_20</t>
  </si>
  <si>
    <t>&amp;A029_08_20</t>
  </si>
  <si>
    <t>&amp;A029_09_20</t>
  </si>
  <si>
    <t>&amp;A029_10_20</t>
  </si>
  <si>
    <t>&amp;A029_11_20</t>
  </si>
  <si>
    <t>&amp;A029_12_20</t>
  </si>
  <si>
    <t>&amp;A029_01_26</t>
  </si>
  <si>
    <t>&amp;A029_02_26</t>
  </si>
  <si>
    <t>&amp;A029_03_26</t>
  </si>
  <si>
    <t>&amp;A029_04_26</t>
  </si>
  <si>
    <t>&amp;A029_05_26</t>
  </si>
  <si>
    <t>&amp;A029_06_26</t>
  </si>
  <si>
    <t>&amp;A029_07_26</t>
  </si>
  <si>
    <t>&amp;A029_08_26</t>
  </si>
  <si>
    <t>&amp;A029_09_26</t>
  </si>
  <si>
    <t>&amp;A029_10_26</t>
  </si>
  <si>
    <t>&amp;A029_11_26</t>
  </si>
  <si>
    <t>&amp;A029_12_26</t>
  </si>
  <si>
    <t>&amp;A029_01_44</t>
  </si>
  <si>
    <t>&amp;A029_02_44</t>
  </si>
  <si>
    <t>&amp;A029_03_44</t>
  </si>
  <si>
    <t>&amp;A029_04_44</t>
  </si>
  <si>
    <t>&amp;A029_05_44</t>
  </si>
  <si>
    <t>&amp;A029_06_44</t>
  </si>
  <si>
    <t>&amp;A029_07_44</t>
  </si>
  <si>
    <t>&amp;A029_08_44</t>
  </si>
  <si>
    <t>&amp;A029_09_44</t>
  </si>
  <si>
    <t>&amp;A029_10_44</t>
  </si>
  <si>
    <t>&amp;A029_11_44</t>
  </si>
  <si>
    <t>&amp;A029_12_44</t>
  </si>
  <si>
    <t>&amp;A029_01KV</t>
  </si>
  <si>
    <t>&amp;A029_02KV</t>
  </si>
  <si>
    <t>&amp;A029_03KV</t>
  </si>
  <si>
    <t>&amp;A029_04KV</t>
  </si>
  <si>
    <t>&amp;A029_05KV</t>
  </si>
  <si>
    <t>&amp;A029_06KV</t>
  </si>
  <si>
    <t>&amp;A029_07KV</t>
  </si>
  <si>
    <t>&amp;A029_08KV</t>
  </si>
  <si>
    <t>&amp;A029_09KV</t>
  </si>
  <si>
    <t>&amp;A029_10KV</t>
  </si>
  <si>
    <t>&amp;A029_11KV</t>
  </si>
  <si>
    <t>&amp;A029_12KV</t>
  </si>
  <si>
    <t>&amp;A0291</t>
  </si>
  <si>
    <t>&amp;A030_01</t>
  </si>
  <si>
    <t>&amp;A030_02</t>
  </si>
  <si>
    <t>&amp;A030_03</t>
  </si>
  <si>
    <t>&amp;A030_04</t>
  </si>
  <si>
    <t>&amp;A030_05</t>
  </si>
  <si>
    <t>&amp;A030_06</t>
  </si>
  <si>
    <t>&amp;A030_07</t>
  </si>
  <si>
    <t>&amp;A030_08</t>
  </si>
  <si>
    <t>&amp;A030_09</t>
  </si>
  <si>
    <t>&amp;A030_10</t>
  </si>
  <si>
    <t>&amp;A030_11</t>
  </si>
  <si>
    <t>&amp;A030_12</t>
  </si>
  <si>
    <t>&amp;A0300</t>
  </si>
  <si>
    <t>&amp;A030_01_20</t>
  </si>
  <si>
    <t>&amp;A030_02_20</t>
  </si>
  <si>
    <t>&amp;A030_03_20</t>
  </si>
  <si>
    <t>&amp;A030_04_20</t>
  </si>
  <si>
    <t>&amp;A030_05_20</t>
  </si>
  <si>
    <t>&amp;A030_06_20</t>
  </si>
  <si>
    <t>&amp;A030_07_20</t>
  </si>
  <si>
    <t>&amp;A030_08_20</t>
  </si>
  <si>
    <t>&amp;A030_09_20</t>
  </si>
  <si>
    <t>&amp;A030_10_20</t>
  </si>
  <si>
    <t>&amp;A030_11_20</t>
  </si>
  <si>
    <t>&amp;A030_12_20</t>
  </si>
  <si>
    <t>&amp;A030_01_26</t>
  </si>
  <si>
    <t>&amp;A030_02_26</t>
  </si>
  <si>
    <t>&amp;A030_03_26</t>
  </si>
  <si>
    <t>&amp;A030_04_26</t>
  </si>
  <si>
    <t>&amp;A030_05_26</t>
  </si>
  <si>
    <t>&amp;A030_06_26</t>
  </si>
  <si>
    <t>&amp;A030_07_26</t>
  </si>
  <si>
    <t>&amp;A030_08_26</t>
  </si>
  <si>
    <t>&amp;A030_09_26</t>
  </si>
  <si>
    <t>&amp;A030_10_26</t>
  </si>
  <si>
    <t>&amp;A030_11_26</t>
  </si>
  <si>
    <t>&amp;A030_12_26</t>
  </si>
  <si>
    <t>&amp;A030_01KV</t>
  </si>
  <si>
    <t>&amp;A030_02KV</t>
  </si>
  <si>
    <t>&amp;A030_03KV</t>
  </si>
  <si>
    <t>&amp;A030_04KV</t>
  </si>
  <si>
    <t>&amp;A030_05KV</t>
  </si>
  <si>
    <t>&amp;A030_06KV</t>
  </si>
  <si>
    <t>&amp;A030_07KV</t>
  </si>
  <si>
    <t>&amp;A030_08KV</t>
  </si>
  <si>
    <t>&amp;A030_09KV</t>
  </si>
  <si>
    <t>&amp;A030_10KV</t>
  </si>
  <si>
    <t>&amp;A030_11KV</t>
  </si>
  <si>
    <t>&amp;A030_12KV</t>
  </si>
  <si>
    <t>&amp;A0301</t>
  </si>
  <si>
    <t>&amp;A031_01</t>
  </si>
  <si>
    <t>&amp;A031_02</t>
  </si>
  <si>
    <t>&amp;A031_03</t>
  </si>
  <si>
    <t>&amp;A031_04</t>
  </si>
  <si>
    <t>&amp;A031_05</t>
  </si>
  <si>
    <t>&amp;A031_06</t>
  </si>
  <si>
    <t>&amp;A031_07</t>
  </si>
  <si>
    <t>&amp;A031_08</t>
  </si>
  <si>
    <t>&amp;A031_09</t>
  </si>
  <si>
    <t>&amp;A031_10</t>
  </si>
  <si>
    <t>&amp;A031_11</t>
  </si>
  <si>
    <t>&amp;A031_12</t>
  </si>
  <si>
    <t>&amp;A0310</t>
  </si>
  <si>
    <t>&amp;A031_01_20</t>
  </si>
  <si>
    <t>&amp;A031_02_20</t>
  </si>
  <si>
    <t>&amp;A031_03_20</t>
  </si>
  <si>
    <t>&amp;A031_04_20</t>
  </si>
  <si>
    <t>&amp;A031_05_20</t>
  </si>
  <si>
    <t>&amp;A031_06_20</t>
  </si>
  <si>
    <t>&amp;A031_07_20</t>
  </si>
  <si>
    <t>&amp;A031_08_20</t>
  </si>
  <si>
    <t>&amp;A031_09_20</t>
  </si>
  <si>
    <t>&amp;A031_10_20</t>
  </si>
  <si>
    <t>&amp;A031_11_20</t>
  </si>
  <si>
    <t>&amp;A031_12_20</t>
  </si>
  <si>
    <t>&amp;A031_01_26</t>
  </si>
  <si>
    <t>&amp;A031_02_26</t>
  </si>
  <si>
    <t>&amp;A031_03_26</t>
  </si>
  <si>
    <t>&amp;A031_04_26</t>
  </si>
  <si>
    <t>&amp;A031_05_26</t>
  </si>
  <si>
    <t>&amp;A031_06_26</t>
  </si>
  <si>
    <t>&amp;A031_07_26</t>
  </si>
  <si>
    <t>&amp;A031_08_26</t>
  </si>
  <si>
    <t>&amp;A031_09_26</t>
  </si>
  <si>
    <t>&amp;A031_10_26</t>
  </si>
  <si>
    <t>&amp;A031_11_26</t>
  </si>
  <si>
    <t>&amp;A031_12_26</t>
  </si>
  <si>
    <t>&amp;A031_01_44</t>
  </si>
  <si>
    <t>&amp;A031_02_44</t>
  </si>
  <si>
    <t>&amp;A031_03_44</t>
  </si>
  <si>
    <t>&amp;A031_04_44</t>
  </si>
  <si>
    <t>&amp;A031_05_44</t>
  </si>
  <si>
    <t>&amp;A031_06_44</t>
  </si>
  <si>
    <t>&amp;A031_07_44</t>
  </si>
  <si>
    <t>&amp;A031_08_44</t>
  </si>
  <si>
    <t>&amp;A031_09_44</t>
  </si>
  <si>
    <t>&amp;A031_10_44</t>
  </si>
  <si>
    <t>&amp;A031_11_44</t>
  </si>
  <si>
    <t>&amp;A031_12_44</t>
  </si>
  <si>
    <t>&amp;A031_01KV</t>
  </si>
  <si>
    <t>&amp;A031_02KV</t>
  </si>
  <si>
    <t>&amp;A031_03KV</t>
  </si>
  <si>
    <t>&amp;A031_04KV</t>
  </si>
  <si>
    <t>&amp;A031_05KV</t>
  </si>
  <si>
    <t>&amp;A031_06KV</t>
  </si>
  <si>
    <t>&amp;A031_07KV</t>
  </si>
  <si>
    <t>&amp;A031_08KV</t>
  </si>
  <si>
    <t>&amp;A031_09KV</t>
  </si>
  <si>
    <t>&amp;A031_10KV</t>
  </si>
  <si>
    <t>&amp;A031_11KV</t>
  </si>
  <si>
    <t>&amp;A031_12KV</t>
  </si>
  <si>
    <t>&amp;A0311</t>
  </si>
  <si>
    <t>&amp;A032_01</t>
  </si>
  <si>
    <t>&amp;A032_02</t>
  </si>
  <si>
    <t>&amp;A032_03</t>
  </si>
  <si>
    <t>&amp;A032_04</t>
  </si>
  <si>
    <t>&amp;A032_05</t>
  </si>
  <si>
    <t>&amp;A032_06</t>
  </si>
  <si>
    <t>&amp;A032_07</t>
  </si>
  <si>
    <t>&amp;A032_08</t>
  </si>
  <si>
    <t>&amp;A032_09</t>
  </si>
  <si>
    <t>&amp;A032_10</t>
  </si>
  <si>
    <t>&amp;A032_11</t>
  </si>
  <si>
    <t>&amp;A032_12</t>
  </si>
  <si>
    <t>&amp;A0320</t>
  </si>
  <si>
    <t>&amp;A032_01_20</t>
  </si>
  <si>
    <t>&amp;A032_02_20</t>
  </si>
  <si>
    <t>&amp;A032_03_20</t>
  </si>
  <si>
    <t>&amp;A032_04_20</t>
  </si>
  <si>
    <t>&amp;A032_05_20</t>
  </si>
  <si>
    <t>&amp;A032_06_20</t>
  </si>
  <si>
    <t>&amp;A032_07_20</t>
  </si>
  <si>
    <t>&amp;A032_08_20</t>
  </si>
  <si>
    <t>&amp;A032_09_20</t>
  </si>
  <si>
    <t>&amp;A032_10_20</t>
  </si>
  <si>
    <t>&amp;A032_11_20</t>
  </si>
  <si>
    <t>&amp;A032_12_20</t>
  </si>
  <si>
    <t>&amp;A032_01_26</t>
  </si>
  <si>
    <t>&amp;A032_02_26</t>
  </si>
  <si>
    <t>&amp;A032_03_26</t>
  </si>
  <si>
    <t>&amp;A032_04_26</t>
  </si>
  <si>
    <t>&amp;A032_05_26</t>
  </si>
  <si>
    <t>&amp;A032_06_26</t>
  </si>
  <si>
    <t>&amp;A032_07_26</t>
  </si>
  <si>
    <t>&amp;A032_08_26</t>
  </si>
  <si>
    <t>&amp;A032_09_26</t>
  </si>
  <si>
    <t>&amp;A032_10_26</t>
  </si>
  <si>
    <t>&amp;A032_11_26</t>
  </si>
  <si>
    <t>&amp;A032_12_26</t>
  </si>
  <si>
    <t>&amp;A032_01_44</t>
  </si>
  <si>
    <t>&amp;A032_02_44</t>
  </si>
  <si>
    <t>&amp;A032_03_44</t>
  </si>
  <si>
    <t>&amp;A032_04_44</t>
  </si>
  <si>
    <t>&amp;A032_05_44</t>
  </si>
  <si>
    <t>&amp;A032_06_44</t>
  </si>
  <si>
    <t>&amp;A032_07_44</t>
  </si>
  <si>
    <t>&amp;A032_08_44</t>
  </si>
  <si>
    <t>&amp;A032_09_44</t>
  </si>
  <si>
    <t>&amp;A032_10_44</t>
  </si>
  <si>
    <t>&amp;A032_11_44</t>
  </si>
  <si>
    <t>&amp;A032_12_44</t>
  </si>
  <si>
    <t>&amp;A032_01KV</t>
  </si>
  <si>
    <t>&amp;A032_02KV</t>
  </si>
  <si>
    <t>&amp;A032_03KV</t>
  </si>
  <si>
    <t>&amp;A032_04KV</t>
  </si>
  <si>
    <t>&amp;A032_05KV</t>
  </si>
  <si>
    <t>&amp;A032_06KV</t>
  </si>
  <si>
    <t>&amp;A032_07KV</t>
  </si>
  <si>
    <t>&amp;A032_08KV</t>
  </si>
  <si>
    <t>&amp;A032_09KV</t>
  </si>
  <si>
    <t>&amp;A032_10KV</t>
  </si>
  <si>
    <t>&amp;A032_11KV</t>
  </si>
  <si>
    <t>&amp;A032_12KV</t>
  </si>
  <si>
    <t>&amp;A0321</t>
  </si>
  <si>
    <t>&amp;A033_01</t>
  </si>
  <si>
    <t>&amp;A033_02</t>
  </si>
  <si>
    <t>&amp;A033_03</t>
  </si>
  <si>
    <t>&amp;A033_04</t>
  </si>
  <si>
    <t>&amp;A033_05</t>
  </si>
  <si>
    <t>&amp;A033_06</t>
  </si>
  <si>
    <t>&amp;A033_07</t>
  </si>
  <si>
    <t>&amp;A033_08</t>
  </si>
  <si>
    <t>&amp;A033_09</t>
  </si>
  <si>
    <t>&amp;A033_10</t>
  </si>
  <si>
    <t>&amp;A033_11</t>
  </si>
  <si>
    <t>&amp;A033_12</t>
  </si>
  <si>
    <t>&amp;A0330</t>
  </si>
  <si>
    <t>&amp;A033_01_20</t>
  </si>
  <si>
    <t>&amp;A033_02_20</t>
  </si>
  <si>
    <t>&amp;A033_03_20</t>
  </si>
  <si>
    <t>&amp;A033_04_20</t>
  </si>
  <si>
    <t>&amp;A033_05_20</t>
  </si>
  <si>
    <t>&amp;A033_06_20</t>
  </si>
  <si>
    <t>&amp;A033_07_20</t>
  </si>
  <si>
    <t>&amp;A033_08_20</t>
  </si>
  <si>
    <t>&amp;A033_09_20</t>
  </si>
  <si>
    <t>&amp;A033_10_20</t>
  </si>
  <si>
    <t>&amp;A033_11_20</t>
  </si>
  <si>
    <t>&amp;A033_12_20</t>
  </si>
  <si>
    <t>&amp;A033_01_26</t>
  </si>
  <si>
    <t>&amp;A033_02_26</t>
  </si>
  <si>
    <t>&amp;A033_03_26</t>
  </si>
  <si>
    <t>&amp;A033_04_26</t>
  </si>
  <si>
    <t>&amp;A033_05_26</t>
  </si>
  <si>
    <t>&amp;A033_06_26</t>
  </si>
  <si>
    <t>&amp;A033_07_26</t>
  </si>
  <si>
    <t>&amp;A033_08_26</t>
  </si>
  <si>
    <t>&amp;A033_09_26</t>
  </si>
  <si>
    <t>&amp;A033_10_26</t>
  </si>
  <si>
    <t>&amp;A033_11_26</t>
  </si>
  <si>
    <t>&amp;A033_12_26</t>
  </si>
  <si>
    <t>&amp;A033_01_44</t>
  </si>
  <si>
    <t>&amp;A033_02_44</t>
  </si>
  <si>
    <t>&amp;A033_03_44</t>
  </si>
  <si>
    <t>&amp;A033_04_44</t>
  </si>
  <si>
    <t>&amp;A033_05_44</t>
  </si>
  <si>
    <t>&amp;A033_06_44</t>
  </si>
  <si>
    <t>&amp;A033_07_44</t>
  </si>
  <si>
    <t>&amp;A033_08_44</t>
  </si>
  <si>
    <t>&amp;A033_09_44</t>
  </si>
  <si>
    <t>&amp;A033_10_44</t>
  </si>
  <si>
    <t>&amp;A033_11_44</t>
  </si>
  <si>
    <t>&amp;A033_12_44</t>
  </si>
  <si>
    <t>&amp;A033_01KV</t>
  </si>
  <si>
    <t>&amp;A033_02KV</t>
  </si>
  <si>
    <t>&amp;A033_03KV</t>
  </si>
  <si>
    <t>&amp;A033_04KV</t>
  </si>
  <si>
    <t>&amp;A033_05KV</t>
  </si>
  <si>
    <t>&amp;A033_06KV</t>
  </si>
  <si>
    <t>&amp;A033_07KV</t>
  </si>
  <si>
    <t>&amp;A033_08KV</t>
  </si>
  <si>
    <t>&amp;A033_09KV</t>
  </si>
  <si>
    <t>&amp;A033_10KV</t>
  </si>
  <si>
    <t>&amp;A033_11KV</t>
  </si>
  <si>
    <t>&amp;A033_12KV</t>
  </si>
  <si>
    <t>&amp;A0331</t>
  </si>
  <si>
    <t>&amp;A034_01</t>
  </si>
  <si>
    <t>&amp;A034_02</t>
  </si>
  <si>
    <t>&amp;A034_03</t>
  </si>
  <si>
    <t>&amp;A034_04</t>
  </si>
  <si>
    <t>&amp;A034_05</t>
  </si>
  <si>
    <t>&amp;A034_06</t>
  </si>
  <si>
    <t>&amp;A034_07</t>
  </si>
  <si>
    <t>&amp;A034_08</t>
  </si>
  <si>
    <t>&amp;A034_09</t>
  </si>
  <si>
    <t>&amp;A034_10</t>
  </si>
  <si>
    <t>&amp;A034_11</t>
  </si>
  <si>
    <t>&amp;A034_12</t>
  </si>
  <si>
    <t>&amp;A0340</t>
  </si>
  <si>
    <t>&amp;A034_01_20</t>
  </si>
  <si>
    <t>&amp;A034_02_20</t>
  </si>
  <si>
    <t>&amp;A034_03_20</t>
  </si>
  <si>
    <t>&amp;A034_04_20</t>
  </si>
  <si>
    <t>&amp;A034_05_20</t>
  </si>
  <si>
    <t>&amp;A034_06_20</t>
  </si>
  <si>
    <t>&amp;A034_07_20</t>
  </si>
  <si>
    <t>&amp;A034_08_20</t>
  </si>
  <si>
    <t>&amp;A034_09_20</t>
  </si>
  <si>
    <t>&amp;A034_10_20</t>
  </si>
  <si>
    <t>&amp;A034_11_20</t>
  </si>
  <si>
    <t>&amp;A034_12_20</t>
  </si>
  <si>
    <t>&amp;A034_01_26</t>
  </si>
  <si>
    <t>&amp;A034_02_26</t>
  </si>
  <si>
    <t>&amp;A034_03_26</t>
  </si>
  <si>
    <t>&amp;A034_04_26</t>
  </si>
  <si>
    <t>&amp;A034_05_26</t>
  </si>
  <si>
    <t>&amp;A034_06_26</t>
  </si>
  <si>
    <t>&amp;A034_07_26</t>
  </si>
  <si>
    <t>&amp;A034_08_26</t>
  </si>
  <si>
    <t>&amp;A034_09_26</t>
  </si>
  <si>
    <t>&amp;A034_10_26</t>
  </si>
  <si>
    <t>&amp;A034_11_26</t>
  </si>
  <si>
    <t>&amp;A034_12_26</t>
  </si>
  <si>
    <t>&amp;A034_01_44</t>
  </si>
  <si>
    <t>&amp;A034_02_44</t>
  </si>
  <si>
    <t>&amp;A034_03_44</t>
  </si>
  <si>
    <t>&amp;A034_04_44</t>
  </si>
  <si>
    <t>&amp;A034_05_44</t>
  </si>
  <si>
    <t>&amp;A034_06_44</t>
  </si>
  <si>
    <t>&amp;A034_07_44</t>
  </si>
  <si>
    <t>&amp;A034_08_44</t>
  </si>
  <si>
    <t>&amp;A034_09_44</t>
  </si>
  <si>
    <t>&amp;A034_10_44</t>
  </si>
  <si>
    <t>&amp;A034_11_44</t>
  </si>
  <si>
    <t>&amp;A034_12_44</t>
  </si>
  <si>
    <t>&amp;A034_01KV</t>
  </si>
  <si>
    <t>&amp;A034_02KV</t>
  </si>
  <si>
    <t>&amp;A034_03KV</t>
  </si>
  <si>
    <t>&amp;A034_04KV</t>
  </si>
  <si>
    <t>&amp;A034_05KV</t>
  </si>
  <si>
    <t>&amp;A034_06KV</t>
  </si>
  <si>
    <t>&amp;A034_07KV</t>
  </si>
  <si>
    <t>&amp;A034_08KV</t>
  </si>
  <si>
    <t>&amp;A034_09KV</t>
  </si>
  <si>
    <t>&amp;A034_10KV</t>
  </si>
  <si>
    <t>&amp;A034_11KV</t>
  </si>
  <si>
    <t>&amp;A034_12KV</t>
  </si>
  <si>
    <t>&amp;A0341</t>
  </si>
  <si>
    <t>&amp;A035_01</t>
  </si>
  <si>
    <t>&amp;A035_02</t>
  </si>
  <si>
    <t>&amp;A035_03</t>
  </si>
  <si>
    <t>&amp;A035_04</t>
  </si>
  <si>
    <t>&amp;A035_05</t>
  </si>
  <si>
    <t>&amp;A035_06</t>
  </si>
  <si>
    <t>&amp;A035_07</t>
  </si>
  <si>
    <t>&amp;A035_08</t>
  </si>
  <si>
    <t>&amp;A035_09</t>
  </si>
  <si>
    <t>&amp;A035_10</t>
  </si>
  <si>
    <t>&amp;A035_11</t>
  </si>
  <si>
    <t>&amp;A035_12</t>
  </si>
  <si>
    <t>&amp;A0350</t>
  </si>
  <si>
    <t>&amp;A035_01_20</t>
  </si>
  <si>
    <t>&amp;A035_02_20</t>
  </si>
  <si>
    <t>&amp;A035_03_20</t>
  </si>
  <si>
    <t>&amp;A035_04_20</t>
  </si>
  <si>
    <t>&amp;A035_05_20</t>
  </si>
  <si>
    <t>&amp;A035_06_20</t>
  </si>
  <si>
    <t>&amp;A035_07_20</t>
  </si>
  <si>
    <t>&amp;A035_08_20</t>
  </si>
  <si>
    <t>&amp;A035_09_20</t>
  </si>
  <si>
    <t>&amp;A035_10_20</t>
  </si>
  <si>
    <t>&amp;A035_11_20</t>
  </si>
  <si>
    <t>&amp;A035_12_20</t>
  </si>
  <si>
    <t>&amp;A035_01_26</t>
  </si>
  <si>
    <t>&amp;A035_02_26</t>
  </si>
  <si>
    <t>&amp;A035_03_26</t>
  </si>
  <si>
    <t>&amp;A035_04_26</t>
  </si>
  <si>
    <t>&amp;A035_05_26</t>
  </si>
  <si>
    <t>&amp;A035_06_26</t>
  </si>
  <si>
    <t>&amp;A035_07_26</t>
  </si>
  <si>
    <t>&amp;A035_08_26</t>
  </si>
  <si>
    <t>&amp;A035_09_26</t>
  </si>
  <si>
    <t>&amp;A035_10_26</t>
  </si>
  <si>
    <t>&amp;A035_11_26</t>
  </si>
  <si>
    <t>&amp;A035_12_26</t>
  </si>
  <si>
    <t>&amp;A035_01_44</t>
  </si>
  <si>
    <t>&amp;A035_02_44</t>
  </si>
  <si>
    <t>&amp;A035_03_44</t>
  </si>
  <si>
    <t>&amp;A035_04_44</t>
  </si>
  <si>
    <t>&amp;A035_05_44</t>
  </si>
  <si>
    <t>&amp;A035_06_44</t>
  </si>
  <si>
    <t>&amp;A035_07_44</t>
  </si>
  <si>
    <t>&amp;A035_08_44</t>
  </si>
  <si>
    <t>&amp;A035_09_44</t>
  </si>
  <si>
    <t>&amp;A035_10_44</t>
  </si>
  <si>
    <t>&amp;A035_11_44</t>
  </si>
  <si>
    <t>&amp;A035_12_44</t>
  </si>
  <si>
    <t>&amp;A035_01KV</t>
  </si>
  <si>
    <t>&amp;A035_02KV</t>
  </si>
  <si>
    <t>&amp;A035_03KV</t>
  </si>
  <si>
    <t>&amp;A035_04KV</t>
  </si>
  <si>
    <t>&amp;A035_05KV</t>
  </si>
  <si>
    <t>&amp;A035_06KV</t>
  </si>
  <si>
    <t>&amp;A035_07KV</t>
  </si>
  <si>
    <t>&amp;A035_08KV</t>
  </si>
  <si>
    <t>&amp;A035_09KV</t>
  </si>
  <si>
    <t>&amp;A035_10KV</t>
  </si>
  <si>
    <t>&amp;A035_11KV</t>
  </si>
  <si>
    <t>&amp;A035_12KV</t>
  </si>
  <si>
    <t>&amp;A0351</t>
  </si>
  <si>
    <t>&amp;A036_01</t>
  </si>
  <si>
    <t>&amp;A036_02</t>
  </si>
  <si>
    <t>&amp;A036_03</t>
  </si>
  <si>
    <t>&amp;A036_04</t>
  </si>
  <si>
    <t>&amp;A036_05</t>
  </si>
  <si>
    <t>&amp;A036_06</t>
  </si>
  <si>
    <t>&amp;A036_07</t>
  </si>
  <si>
    <t>&amp;A036_08</t>
  </si>
  <si>
    <t>&amp;A036_09</t>
  </si>
  <si>
    <t>&amp;A036_10</t>
  </si>
  <si>
    <t>&amp;A036_11</t>
  </si>
  <si>
    <t>&amp;A036_12</t>
  </si>
  <si>
    <t>&amp;A0360</t>
  </si>
  <si>
    <t>&amp;A036_01_20</t>
  </si>
  <si>
    <t>&amp;A036_02_20</t>
  </si>
  <si>
    <t>&amp;A036_03_20</t>
  </si>
  <si>
    <t>&amp;A036_04_20</t>
  </si>
  <si>
    <t>&amp;A036_05_20</t>
  </si>
  <si>
    <t>&amp;A036_06_20</t>
  </si>
  <si>
    <t>&amp;A036_07_20</t>
  </si>
  <si>
    <t>&amp;A036_08_20</t>
  </si>
  <si>
    <t>&amp;A036_09_20</t>
  </si>
  <si>
    <t>&amp;A036_10_20</t>
  </si>
  <si>
    <t>&amp;A036_11_20</t>
  </si>
  <si>
    <t>&amp;A036_12_20</t>
  </si>
  <si>
    <t>&amp;A036_01_26</t>
  </si>
  <si>
    <t>&amp;A036_02_26</t>
  </si>
  <si>
    <t>&amp;A036_03_26</t>
  </si>
  <si>
    <t>&amp;A036_04_26</t>
  </si>
  <si>
    <t>&amp;A036_05_26</t>
  </si>
  <si>
    <t>&amp;A036_06_26</t>
  </si>
  <si>
    <t>&amp;A036_07_26</t>
  </si>
  <si>
    <t>&amp;A036_08_26</t>
  </si>
  <si>
    <t>&amp;A036_09_26</t>
  </si>
  <si>
    <t>&amp;A036_10_26</t>
  </si>
  <si>
    <t>&amp;A036_11_26</t>
  </si>
  <si>
    <t>&amp;A036_12_26</t>
  </si>
  <si>
    <t>&amp;A036_01_44</t>
  </si>
  <si>
    <t>&amp;A036_02_44</t>
  </si>
  <si>
    <t>&amp;A036_03_44</t>
  </si>
  <si>
    <t>&amp;A036_04_44</t>
  </si>
  <si>
    <t>&amp;A036_05_44</t>
  </si>
  <si>
    <t>&amp;A036_06_44</t>
  </si>
  <si>
    <t>&amp;A036_07_44</t>
  </si>
  <si>
    <t>&amp;A036_08_44</t>
  </si>
  <si>
    <t>&amp;A036_09_44</t>
  </si>
  <si>
    <t>&amp;A036_10_44</t>
  </si>
  <si>
    <t>&amp;A036_11_44</t>
  </si>
  <si>
    <t>&amp;A036_12_44</t>
  </si>
  <si>
    <t>&amp;A036_01KV</t>
  </si>
  <si>
    <t>&amp;A036_02KV</t>
  </si>
  <si>
    <t>&amp;A036_03KV</t>
  </si>
  <si>
    <t>&amp;A036_04KV</t>
  </si>
  <si>
    <t>&amp;A036_05KV</t>
  </si>
  <si>
    <t>&amp;A036_06KV</t>
  </si>
  <si>
    <t>&amp;A036_07KV</t>
  </si>
  <si>
    <t>&amp;A036_08KV</t>
  </si>
  <si>
    <t>&amp;A036_09KV</t>
  </si>
  <si>
    <t>&amp;A036_10KV</t>
  </si>
  <si>
    <t>&amp;A036_11KV</t>
  </si>
  <si>
    <t>&amp;A036_12KV</t>
  </si>
  <si>
    <t>&amp;A0361</t>
  </si>
  <si>
    <t>&amp;A0370</t>
  </si>
  <si>
    <t>&amp;A0371</t>
  </si>
  <si>
    <t>&amp;A038_01</t>
  </si>
  <si>
    <t>&amp;A038_02</t>
  </si>
  <si>
    <t>&amp;A038_03</t>
  </si>
  <si>
    <t>&amp;A038_04</t>
  </si>
  <si>
    <t>&amp;A038_05</t>
  </si>
  <si>
    <t>&amp;A038_06</t>
  </si>
  <si>
    <t>&amp;A038_07</t>
  </si>
  <si>
    <t>&amp;A038_08</t>
  </si>
  <si>
    <t>&amp;A038_09</t>
  </si>
  <si>
    <t>&amp;A038_10</t>
  </si>
  <si>
    <t>&amp;A038_11</t>
  </si>
  <si>
    <t>&amp;A038_12</t>
  </si>
  <si>
    <t>&amp;A0380</t>
  </si>
  <si>
    <t>&amp;A038_01_20</t>
  </si>
  <si>
    <t>&amp;A038_02_20</t>
  </si>
  <si>
    <t>&amp;A038_03_20</t>
  </si>
  <si>
    <t>&amp;A038_04_20</t>
  </si>
  <si>
    <t>&amp;A038_05_20</t>
  </si>
  <si>
    <t>&amp;A038_06_20</t>
  </si>
  <si>
    <t>&amp;A038_07_20</t>
  </si>
  <si>
    <t>&amp;A038_08_20</t>
  </si>
  <si>
    <t>&amp;A038_09_20</t>
  </si>
  <si>
    <t>&amp;A038_10_20</t>
  </si>
  <si>
    <t>&amp;A038_11_20</t>
  </si>
  <si>
    <t>&amp;A038_12_20</t>
  </si>
  <si>
    <t>&amp;A038_01_26</t>
  </si>
  <si>
    <t>&amp;A038_02_26</t>
  </si>
  <si>
    <t>&amp;A038_03_26</t>
  </si>
  <si>
    <t>&amp;A038_04_26</t>
  </si>
  <si>
    <t>&amp;A038_05_26</t>
  </si>
  <si>
    <t>&amp;A038_06_26</t>
  </si>
  <si>
    <t>&amp;A038_07_26</t>
  </si>
  <si>
    <t>&amp;A038_08_26</t>
  </si>
  <si>
    <t>&amp;A038_09_26</t>
  </si>
  <si>
    <t>&amp;A038_10_26</t>
  </si>
  <si>
    <t>&amp;A038_11_26</t>
  </si>
  <si>
    <t>&amp;A038_12_26</t>
  </si>
  <si>
    <t>&amp;A038_01_44</t>
  </si>
  <si>
    <t>&amp;A038_02_44</t>
  </si>
  <si>
    <t>&amp;A038_03_44</t>
  </si>
  <si>
    <t>&amp;A038_04_44</t>
  </si>
  <si>
    <t>&amp;A038_05_44</t>
  </si>
  <si>
    <t>&amp;A038_06_44</t>
  </si>
  <si>
    <t>&amp;A038_07_44</t>
  </si>
  <si>
    <t>&amp;A038_08_44</t>
  </si>
  <si>
    <t>&amp;A038_09_44</t>
  </si>
  <si>
    <t>&amp;A038_10_44</t>
  </si>
  <si>
    <t>&amp;A038_11_44</t>
  </si>
  <si>
    <t>&amp;A038_12_44</t>
  </si>
  <si>
    <t>&amp;A038_01KV</t>
  </si>
  <si>
    <t>&amp;A038_02KV</t>
  </si>
  <si>
    <t>&amp;A038_03KV</t>
  </si>
  <si>
    <t>&amp;A038_04KV</t>
  </si>
  <si>
    <t>&amp;A038_05KV</t>
  </si>
  <si>
    <t>&amp;A038_06KV</t>
  </si>
  <si>
    <t>&amp;A038_07KV</t>
  </si>
  <si>
    <t>&amp;A038_08KV</t>
  </si>
  <si>
    <t>&amp;A038_09KV</t>
  </si>
  <si>
    <t>&amp;A038_10KV</t>
  </si>
  <si>
    <t>&amp;A038_11KV</t>
  </si>
  <si>
    <t>&amp;A038_12KV</t>
  </si>
  <si>
    <t>&amp;A0381</t>
  </si>
  <si>
    <t>&amp;A039_01</t>
  </si>
  <si>
    <t>&amp;A039_02</t>
  </si>
  <si>
    <t>&amp;A039_03</t>
  </si>
  <si>
    <t>&amp;A039_04</t>
  </si>
  <si>
    <t>&amp;A039_05</t>
  </si>
  <si>
    <t>&amp;A039_06</t>
  </si>
  <si>
    <t>&amp;A039_07</t>
  </si>
  <si>
    <t>&amp;A039_08</t>
  </si>
  <si>
    <t>&amp;A039_09</t>
  </si>
  <si>
    <t>&amp;A039_10</t>
  </si>
  <si>
    <t>&amp;A039_11</t>
  </si>
  <si>
    <t>&amp;A039_12</t>
  </si>
  <si>
    <t>&amp;A0390</t>
  </si>
  <si>
    <t>&amp;A039_01_20</t>
  </si>
  <si>
    <t>&amp;A039_02_20</t>
  </si>
  <si>
    <t>&amp;A039_03_20</t>
  </si>
  <si>
    <t>&amp;A039_04_20</t>
  </si>
  <si>
    <t>&amp;A039_05_20</t>
  </si>
  <si>
    <t>&amp;A039_06_20</t>
  </si>
  <si>
    <t>&amp;A039_07_20</t>
  </si>
  <si>
    <t>&amp;A039_08_20</t>
  </si>
  <si>
    <t>&amp;A039_09_20</t>
  </si>
  <si>
    <t>&amp;A039_10_20</t>
  </si>
  <si>
    <t>&amp;A039_11_20</t>
  </si>
  <si>
    <t>&amp;A039_12_20</t>
  </si>
  <si>
    <t>&amp;A039_01_26</t>
  </si>
  <si>
    <t>&amp;A039_02_26</t>
  </si>
  <si>
    <t>&amp;A039_03_26</t>
  </si>
  <si>
    <t>&amp;A039_04_26</t>
  </si>
  <si>
    <t>&amp;A039_05_26</t>
  </si>
  <si>
    <t>&amp;A039_06_26</t>
  </si>
  <si>
    <t>&amp;A039_07_26</t>
  </si>
  <si>
    <t>&amp;A039_08_26</t>
  </si>
  <si>
    <t>&amp;A039_09_26</t>
  </si>
  <si>
    <t>&amp;A039_10_26</t>
  </si>
  <si>
    <t>&amp;A039_11_26</t>
  </si>
  <si>
    <t>&amp;A039_12_26</t>
  </si>
  <si>
    <t>&amp;A039_01_44</t>
  </si>
  <si>
    <t>&amp;A039_02_44</t>
  </si>
  <si>
    <t>&amp;A039_03_44</t>
  </si>
  <si>
    <t>&amp;A039_04_44</t>
  </si>
  <si>
    <t>&amp;A039_05_44</t>
  </si>
  <si>
    <t>&amp;A039_06_44</t>
  </si>
  <si>
    <t>&amp;A039_07_44</t>
  </si>
  <si>
    <t>&amp;A039_08_44</t>
  </si>
  <si>
    <t>&amp;A039_09_44</t>
  </si>
  <si>
    <t>&amp;A039_10_44</t>
  </si>
  <si>
    <t>&amp;A039_11_44</t>
  </si>
  <si>
    <t>&amp;A039_12_44</t>
  </si>
  <si>
    <t>&amp;A039_01KV</t>
  </si>
  <si>
    <t>&amp;A039_02KV</t>
  </si>
  <si>
    <t>&amp;A039_03KV</t>
  </si>
  <si>
    <t>&amp;A039_04KV</t>
  </si>
  <si>
    <t>&amp;A039_05KV</t>
  </si>
  <si>
    <t>&amp;A039_06KV</t>
  </si>
  <si>
    <t>&amp;A039_07KV</t>
  </si>
  <si>
    <t>&amp;A039_08KV</t>
  </si>
  <si>
    <t>&amp;A039_09KV</t>
  </si>
  <si>
    <t>&amp;A039_10KV</t>
  </si>
  <si>
    <t>&amp;A039_11KV</t>
  </si>
  <si>
    <t>&amp;A039_12KV</t>
  </si>
  <si>
    <t>&amp;A0391</t>
  </si>
  <si>
    <t>&amp;A041_01</t>
  </si>
  <si>
    <t>&amp;A041_02</t>
  </si>
  <si>
    <t>&amp;A041_03</t>
  </si>
  <si>
    <t>&amp;A041_04</t>
  </si>
  <si>
    <t>&amp;A041_05</t>
  </si>
  <si>
    <t>&amp;A041_06</t>
  </si>
  <si>
    <t>&amp;A041_07</t>
  </si>
  <si>
    <t>&amp;A041_08</t>
  </si>
  <si>
    <t>&amp;A041_09</t>
  </si>
  <si>
    <t>&amp;A041_10</t>
  </si>
  <si>
    <t>&amp;A041_11</t>
  </si>
  <si>
    <t>&amp;A041_12</t>
  </si>
  <si>
    <t>&amp;A0410</t>
  </si>
  <si>
    <t>&amp;A041_01_20</t>
  </si>
  <si>
    <t>&amp;A041_02_20</t>
  </si>
  <si>
    <t>&amp;A041_03_20</t>
  </si>
  <si>
    <t>&amp;A041_04_20</t>
  </si>
  <si>
    <t>&amp;A041_05_20</t>
  </si>
  <si>
    <t>&amp;A041_06_20</t>
  </si>
  <si>
    <t>&amp;A041_07_20</t>
  </si>
  <si>
    <t>&amp;A041_08_20</t>
  </si>
  <si>
    <t>&amp;A041_09_20</t>
  </si>
  <si>
    <t>&amp;A041_10_20</t>
  </si>
  <si>
    <t>&amp;A041_11_20</t>
  </si>
  <si>
    <t>&amp;A041_12_20</t>
  </si>
  <si>
    <t>&amp;A041_01_26</t>
  </si>
  <si>
    <t>&amp;A041_02_26</t>
  </si>
  <si>
    <t>&amp;A041_03_26</t>
  </si>
  <si>
    <t>&amp;A041_04_26</t>
  </si>
  <si>
    <t>&amp;A041_05_26</t>
  </si>
  <si>
    <t>&amp;A041_06_26</t>
  </si>
  <si>
    <t>&amp;A041_07_26</t>
  </si>
  <si>
    <t>&amp;A041_08_26</t>
  </si>
  <si>
    <t>&amp;A041_09_26</t>
  </si>
  <si>
    <t>&amp;A041_10_26</t>
  </si>
  <si>
    <t>&amp;A041_11_26</t>
  </si>
  <si>
    <t>&amp;A041_12_26</t>
  </si>
  <si>
    <t>&amp;A041_01_44</t>
  </si>
  <si>
    <t>&amp;A041_02_44</t>
  </si>
  <si>
    <t>&amp;A041_03_44</t>
  </si>
  <si>
    <t>&amp;A041_04_44</t>
  </si>
  <si>
    <t>&amp;A041_05_44</t>
  </si>
  <si>
    <t>&amp;A041_06_44</t>
  </si>
  <si>
    <t>&amp;A041_07_44</t>
  </si>
  <si>
    <t>&amp;A041_08_44</t>
  </si>
  <si>
    <t>&amp;A041_09_44</t>
  </si>
  <si>
    <t>&amp;A041_10_44</t>
  </si>
  <si>
    <t>&amp;A041_11_44</t>
  </si>
  <si>
    <t>&amp;A041_12_44</t>
  </si>
  <si>
    <t>&amp;A041_01KV</t>
  </si>
  <si>
    <t>&amp;A041_02KV</t>
  </si>
  <si>
    <t>&amp;A041_03KV</t>
  </si>
  <si>
    <t>&amp;A041_04KV</t>
  </si>
  <si>
    <t>&amp;A041_05KV</t>
  </si>
  <si>
    <t>&amp;A041_06KV</t>
  </si>
  <si>
    <t>&amp;A041_07KV</t>
  </si>
  <si>
    <t>&amp;A041_08KV</t>
  </si>
  <si>
    <t>&amp;A041_09KV</t>
  </si>
  <si>
    <t>&amp;A041_10KV</t>
  </si>
  <si>
    <t>&amp;A041_11KV</t>
  </si>
  <si>
    <t>&amp;A041_12KV</t>
  </si>
  <si>
    <t>&amp;A0411</t>
  </si>
  <si>
    <t>&amp;A240_01</t>
  </si>
  <si>
    <t>&amp;A240_02</t>
  </si>
  <si>
    <t>&amp;A240_03</t>
  </si>
  <si>
    <t>&amp;A240_04</t>
  </si>
  <si>
    <t>&amp;A240_05</t>
  </si>
  <si>
    <t>&amp;A240_06</t>
  </si>
  <si>
    <t>&amp;A240_07</t>
  </si>
  <si>
    <t>&amp;A240_08</t>
  </si>
  <si>
    <t>&amp;A240_09</t>
  </si>
  <si>
    <t>&amp;A240_10</t>
  </si>
  <si>
    <t>&amp;A240_11</t>
  </si>
  <si>
    <t>&amp;A240_12</t>
  </si>
  <si>
    <t>&amp;A2400</t>
  </si>
  <si>
    <t>&amp;A240_01_20</t>
  </si>
  <si>
    <t>&amp;A240_02_20</t>
  </si>
  <si>
    <t>&amp;A240_03_20</t>
  </si>
  <si>
    <t>&amp;A240_04_20</t>
  </si>
  <si>
    <t>&amp;A240_05_20</t>
  </si>
  <si>
    <t>&amp;A240_06_20</t>
  </si>
  <si>
    <t>&amp;A240_07_20</t>
  </si>
  <si>
    <t>&amp;A240_08_20</t>
  </si>
  <si>
    <t>&amp;A240_09_20</t>
  </si>
  <si>
    <t>&amp;A240_10_20</t>
  </si>
  <si>
    <t>&amp;A240_11_20</t>
  </si>
  <si>
    <t>&amp;A240_12_20</t>
  </si>
  <si>
    <t>&amp;A240_01_26</t>
  </si>
  <si>
    <t>&amp;A240_02_26</t>
  </si>
  <si>
    <t>&amp;A240_03_26</t>
  </si>
  <si>
    <t>&amp;A240_04_26</t>
  </si>
  <si>
    <t>&amp;A240_05_26</t>
  </si>
  <si>
    <t>&amp;A240_06_26</t>
  </si>
  <si>
    <t>&amp;A240_07_26</t>
  </si>
  <si>
    <t>&amp;A240_08_26</t>
  </si>
  <si>
    <t>&amp;A240_09_26</t>
  </si>
  <si>
    <t>&amp;A240_10_26</t>
  </si>
  <si>
    <t>&amp;A240_11_26</t>
  </si>
  <si>
    <t>&amp;A240_12_26</t>
  </si>
  <si>
    <t>&amp;A240_01_44</t>
  </si>
  <si>
    <t>&amp;A240_02_44</t>
  </si>
  <si>
    <t>&amp;A240_03_44</t>
  </si>
  <si>
    <t>&amp;A240_04_44</t>
  </si>
  <si>
    <t>&amp;A240_05_44</t>
  </si>
  <si>
    <t>&amp;A240_06_44</t>
  </si>
  <si>
    <t>&amp;A240_07_44</t>
  </si>
  <si>
    <t>&amp;A240_08_44</t>
  </si>
  <si>
    <t>&amp;A240_09_44</t>
  </si>
  <si>
    <t>&amp;A240_10_44</t>
  </si>
  <si>
    <t>&amp;A240_11_44</t>
  </si>
  <si>
    <t>&amp;A240_12_44</t>
  </si>
  <si>
    <t>&amp;A240_01KV</t>
  </si>
  <si>
    <t>&amp;A240_02KV</t>
  </si>
  <si>
    <t>&amp;A240_03KV</t>
  </si>
  <si>
    <t>&amp;A240_04KV</t>
  </si>
  <si>
    <t>&amp;A240_05KV</t>
  </si>
  <si>
    <t>&amp;A240_06KV</t>
  </si>
  <si>
    <t>&amp;A240_07KV</t>
  </si>
  <si>
    <t>&amp;A240_08KV</t>
  </si>
  <si>
    <t>&amp;A240_09KV</t>
  </si>
  <si>
    <t>&amp;A240_10KV</t>
  </si>
  <si>
    <t>&amp;A240_11KV</t>
  </si>
  <si>
    <t>&amp;A240_12KV</t>
  </si>
  <si>
    <t>&amp;A2401</t>
  </si>
  <si>
    <t>&amp;A042_01</t>
  </si>
  <si>
    <t>&amp;A042_02</t>
  </si>
  <si>
    <t>&amp;A042_03</t>
  </si>
  <si>
    <t>&amp;A042_04</t>
  </si>
  <si>
    <t>&amp;A042_05</t>
  </si>
  <si>
    <t>&amp;A042_06</t>
  </si>
  <si>
    <t>&amp;A042_07</t>
  </si>
  <si>
    <t>&amp;A042_08</t>
  </si>
  <si>
    <t>&amp;A042_09</t>
  </si>
  <si>
    <t>&amp;A042_10</t>
  </si>
  <si>
    <t>&amp;A042_11</t>
  </si>
  <si>
    <t>&amp;A042_12</t>
  </si>
  <si>
    <t>&amp;A0420</t>
  </si>
  <si>
    <t>&amp;A042_01_20</t>
  </si>
  <si>
    <t>&amp;A042_02_20</t>
  </si>
  <si>
    <t>&amp;A042_03_20</t>
  </si>
  <si>
    <t>&amp;A042_04_20</t>
  </si>
  <si>
    <t>&amp;A042_05_20</t>
  </si>
  <si>
    <t>&amp;A042_06_20</t>
  </si>
  <si>
    <t>&amp;A042_07_20</t>
  </si>
  <si>
    <t>&amp;A042_08_20</t>
  </si>
  <si>
    <t>&amp;A042_09_20</t>
  </si>
  <si>
    <t>&amp;A042_10_20</t>
  </si>
  <si>
    <t>&amp;A042_11_20</t>
  </si>
  <si>
    <t>&amp;A042_12_20</t>
  </si>
  <si>
    <t>&amp;A042_01_26</t>
  </si>
  <si>
    <t>&amp;A042_02_26</t>
  </si>
  <si>
    <t>&amp;A042_03_26</t>
  </si>
  <si>
    <t>&amp;A042_04_26</t>
  </si>
  <si>
    <t>&amp;A042_05_26</t>
  </si>
  <si>
    <t>&amp;A042_06_26</t>
  </si>
  <si>
    <t>&amp;A042_07_26</t>
  </si>
  <si>
    <t>&amp;A042_08_26</t>
  </si>
  <si>
    <t>&amp;A042_09_26</t>
  </si>
  <si>
    <t>&amp;A042_10_26</t>
  </si>
  <si>
    <t>&amp;A042_11_26</t>
  </si>
  <si>
    <t>&amp;A042_12_26</t>
  </si>
  <si>
    <t>&amp;A042_01_44</t>
  </si>
  <si>
    <t>&amp;A042_02_44</t>
  </si>
  <si>
    <t>&amp;A042_03_44</t>
  </si>
  <si>
    <t>&amp;A042_04_44</t>
  </si>
  <si>
    <t>&amp;A042_05_44</t>
  </si>
  <si>
    <t>&amp;A042_06_44</t>
  </si>
  <si>
    <t>&amp;A042_07_44</t>
  </si>
  <si>
    <t>&amp;A042_08_44</t>
  </si>
  <si>
    <t>&amp;A042_09_44</t>
  </si>
  <si>
    <t>&amp;A042_10_44</t>
  </si>
  <si>
    <t>&amp;A042_11_44</t>
  </si>
  <si>
    <t>&amp;A042_12_44</t>
  </si>
  <si>
    <t>&amp;A042_01KV</t>
  </si>
  <si>
    <t>&amp;A042_02KV</t>
  </si>
  <si>
    <t>&amp;A042_03KV</t>
  </si>
  <si>
    <t>&amp;A042_04KV</t>
  </si>
  <si>
    <t>&amp;A042_05KV</t>
  </si>
  <si>
    <t>&amp;A042_06KV</t>
  </si>
  <si>
    <t>&amp;A042_07KV</t>
  </si>
  <si>
    <t>&amp;A042_08KV</t>
  </si>
  <si>
    <t>&amp;A042_09KV</t>
  </si>
  <si>
    <t>&amp;A042_10KV</t>
  </si>
  <si>
    <t>&amp;A042_11KV</t>
  </si>
  <si>
    <t>&amp;A042_12KV</t>
  </si>
  <si>
    <t>&amp;A0421</t>
  </si>
  <si>
    <t>&amp;A043_01</t>
  </si>
  <si>
    <t>&amp;A043_02</t>
  </si>
  <si>
    <t>&amp;A043_03</t>
  </si>
  <si>
    <t>&amp;A043_04</t>
  </si>
  <si>
    <t>&amp;A043_05</t>
  </si>
  <si>
    <t>&amp;A043_06</t>
  </si>
  <si>
    <t>&amp;A043_07</t>
  </si>
  <si>
    <t>&amp;A043_08</t>
  </si>
  <si>
    <t>&amp;A043_09</t>
  </si>
  <si>
    <t>&amp;A043_10</t>
  </si>
  <si>
    <t>&amp;A043_11</t>
  </si>
  <si>
    <t>&amp;A043_12</t>
  </si>
  <si>
    <t>&amp;A0430</t>
  </si>
  <si>
    <t>&amp;A043_01_20</t>
  </si>
  <si>
    <t>&amp;A043_02_20</t>
  </si>
  <si>
    <t>&amp;A043_03_20</t>
  </si>
  <si>
    <t>&amp;A043_04_20</t>
  </si>
  <si>
    <t>&amp;A043_05_20</t>
  </si>
  <si>
    <t>&amp;A043_06_20</t>
  </si>
  <si>
    <t>&amp;A043_07_20</t>
  </si>
  <si>
    <t>&amp;A043_08_20</t>
  </si>
  <si>
    <t>&amp;A043_09_20</t>
  </si>
  <si>
    <t>&amp;A043_10_20</t>
  </si>
  <si>
    <t>&amp;A043_11_20</t>
  </si>
  <si>
    <t>&amp;A043_12_20</t>
  </si>
  <si>
    <t>&amp;A043_01_26</t>
  </si>
  <si>
    <t>&amp;A043_02_26</t>
  </si>
  <si>
    <t>&amp;A043_03_26</t>
  </si>
  <si>
    <t>&amp;A043_04_26</t>
  </si>
  <si>
    <t>&amp;A043_05_26</t>
  </si>
  <si>
    <t>&amp;A043_06_26</t>
  </si>
  <si>
    <t>&amp;A043_07_26</t>
  </si>
  <si>
    <t>&amp;A043_08_26</t>
  </si>
  <si>
    <t>&amp;A043_09_26</t>
  </si>
  <si>
    <t>&amp;A043_10_26</t>
  </si>
  <si>
    <t>&amp;A043_11_26</t>
  </si>
  <si>
    <t>&amp;A043_12_26</t>
  </si>
  <si>
    <t>&amp;A043_01_44</t>
  </si>
  <si>
    <t>&amp;A043_02_44</t>
  </si>
  <si>
    <t>&amp;A043_03_44</t>
  </si>
  <si>
    <t>&amp;A043_04_44</t>
  </si>
  <si>
    <t>&amp;A043_05_44</t>
  </si>
  <si>
    <t>&amp;A043_06_44</t>
  </si>
  <si>
    <t>&amp;A043_07_44</t>
  </si>
  <si>
    <t>&amp;A043_08_44</t>
  </si>
  <si>
    <t>&amp;A043_09_44</t>
  </si>
  <si>
    <t>&amp;A043_10_44</t>
  </si>
  <si>
    <t>&amp;A043_11_44</t>
  </si>
  <si>
    <t>&amp;A043_12_44</t>
  </si>
  <si>
    <t>&amp;A043_01KV</t>
  </si>
  <si>
    <t>&amp;A043_02KV</t>
  </si>
  <si>
    <t>&amp;A043_03KV</t>
  </si>
  <si>
    <t>&amp;A043_04KV</t>
  </si>
  <si>
    <t>&amp;A043_05KV</t>
  </si>
  <si>
    <t>&amp;A043_06KV</t>
  </si>
  <si>
    <t>&amp;A043_07KV</t>
  </si>
  <si>
    <t>&amp;A043_08KV</t>
  </si>
  <si>
    <t>&amp;A043_09KV</t>
  </si>
  <si>
    <t>&amp;A043_10KV</t>
  </si>
  <si>
    <t>&amp;A043_11KV</t>
  </si>
  <si>
    <t>&amp;A043_12KV</t>
  </si>
  <si>
    <t>&amp;A0431</t>
  </si>
  <si>
    <t>&amp;A044_01</t>
  </si>
  <si>
    <t>&amp;A044_02</t>
  </si>
  <si>
    <t>&amp;A044_03</t>
  </si>
  <si>
    <t>&amp;A044_04</t>
  </si>
  <si>
    <t>&amp;A044_05</t>
  </si>
  <si>
    <t>&amp;A044_06</t>
  </si>
  <si>
    <t>&amp;A044_07</t>
  </si>
  <si>
    <t>&amp;A044_08</t>
  </si>
  <si>
    <t>&amp;A044_09</t>
  </si>
  <si>
    <t>&amp;A044_10</t>
  </si>
  <si>
    <t>&amp;A044_11</t>
  </si>
  <si>
    <t>&amp;A044_12</t>
  </si>
  <si>
    <t>&amp;A0440</t>
  </si>
  <si>
    <t>&amp;A044_01_20</t>
  </si>
  <si>
    <t>&amp;A044_02_20</t>
  </si>
  <si>
    <t>&amp;A044_03_20</t>
  </si>
  <si>
    <t>&amp;A044_04_20</t>
  </si>
  <si>
    <t>&amp;A044_05_20</t>
  </si>
  <si>
    <t>&amp;A044_06_20</t>
  </si>
  <si>
    <t>&amp;A044_07_20</t>
  </si>
  <si>
    <t>&amp;A044_08_20</t>
  </si>
  <si>
    <t>&amp;A044_09_20</t>
  </si>
  <si>
    <t>&amp;A044_10_20</t>
  </si>
  <si>
    <t>&amp;A044_11_20</t>
  </si>
  <si>
    <t>&amp;A044_12_20</t>
  </si>
  <si>
    <t>&amp;A044_01_26</t>
  </si>
  <si>
    <t>&amp;A044_02_26</t>
  </si>
  <si>
    <t>&amp;A044_03_26</t>
  </si>
  <si>
    <t>&amp;A044_04_26</t>
  </si>
  <si>
    <t>&amp;A044_05_26</t>
  </si>
  <si>
    <t>&amp;A044_06_26</t>
  </si>
  <si>
    <t>&amp;A044_07_26</t>
  </si>
  <si>
    <t>&amp;A044_08_26</t>
  </si>
  <si>
    <t>&amp;A044_09_26</t>
  </si>
  <si>
    <t>&amp;A044_10_26</t>
  </si>
  <si>
    <t>&amp;A044_11_26</t>
  </si>
  <si>
    <t>&amp;A044_12_26</t>
  </si>
  <si>
    <t>&amp;A044_01_44</t>
  </si>
  <si>
    <t>&amp;A044_02_44</t>
  </si>
  <si>
    <t>&amp;A044_03_44</t>
  </si>
  <si>
    <t>&amp;A044_04_44</t>
  </si>
  <si>
    <t>&amp;A044_05_44</t>
  </si>
  <si>
    <t>&amp;A044_06_44</t>
  </si>
  <si>
    <t>&amp;A044_07_44</t>
  </si>
  <si>
    <t>&amp;A044_08_44</t>
  </si>
  <si>
    <t>&amp;A044_09_44</t>
  </si>
  <si>
    <t>&amp;A044_10_44</t>
  </si>
  <si>
    <t>&amp;A044_11_44</t>
  </si>
  <si>
    <t>&amp;A044_12_44</t>
  </si>
  <si>
    <t>&amp;A044_01KV</t>
  </si>
  <si>
    <t>&amp;A044_02KV</t>
  </si>
  <si>
    <t>&amp;A044_03KV</t>
  </si>
  <si>
    <t>&amp;A044_04KV</t>
  </si>
  <si>
    <t>&amp;A044_05KV</t>
  </si>
  <si>
    <t>&amp;A044_06KV</t>
  </si>
  <si>
    <t>&amp;A044_07KV</t>
  </si>
  <si>
    <t>&amp;A044_08KV</t>
  </si>
  <si>
    <t>&amp;A044_09KV</t>
  </si>
  <si>
    <t>&amp;A044_10KV</t>
  </si>
  <si>
    <t>&amp;A044_11KV</t>
  </si>
  <si>
    <t>&amp;A044_12KV</t>
  </si>
  <si>
    <t>&amp;A0441</t>
  </si>
  <si>
    <t>&amp;A045_01</t>
  </si>
  <si>
    <t>&amp;A045_02</t>
  </si>
  <si>
    <t>&amp;A045_03</t>
  </si>
  <si>
    <t>&amp;A045_04</t>
  </si>
  <si>
    <t>&amp;A045_05</t>
  </si>
  <si>
    <t>&amp;A045_06</t>
  </si>
  <si>
    <t>&amp;A045_07</t>
  </si>
  <si>
    <t>&amp;A045_08</t>
  </si>
  <si>
    <t>&amp;A045_09</t>
  </si>
  <si>
    <t>&amp;A045_10</t>
  </si>
  <si>
    <t>&amp;A045_11</t>
  </si>
  <si>
    <t>&amp;A045_12</t>
  </si>
  <si>
    <t>&amp;A0450</t>
  </si>
  <si>
    <t>&amp;A045_01_20</t>
  </si>
  <si>
    <t>&amp;A045_02_20</t>
  </si>
  <si>
    <t>&amp;A045_03_20</t>
  </si>
  <si>
    <t>&amp;A045_04_20</t>
  </si>
  <si>
    <t>&amp;A045_05_20</t>
  </si>
  <si>
    <t>&amp;A045_06_20</t>
  </si>
  <si>
    <t>&amp;A045_07_20</t>
  </si>
  <si>
    <t>&amp;A045_08_20</t>
  </si>
  <si>
    <t>&amp;A045_09_20</t>
  </si>
  <si>
    <t>&amp;A045_10_20</t>
  </si>
  <si>
    <t>&amp;A045_11_20</t>
  </si>
  <si>
    <t>&amp;A045_12_20</t>
  </si>
  <si>
    <t>&amp;A045_01_26</t>
  </si>
  <si>
    <t>&amp;A045_02_26</t>
  </si>
  <si>
    <t>&amp;A045_03_26</t>
  </si>
  <si>
    <t>&amp;A045_04_26</t>
  </si>
  <si>
    <t>&amp;A045_05_26</t>
  </si>
  <si>
    <t>&amp;A045_06_26</t>
  </si>
  <si>
    <t>&amp;A045_07_26</t>
  </si>
  <si>
    <t>&amp;A045_08_26</t>
  </si>
  <si>
    <t>&amp;A045_09_26</t>
  </si>
  <si>
    <t>&amp;A045_10_26</t>
  </si>
  <si>
    <t>&amp;A045_11_26</t>
  </si>
  <si>
    <t>&amp;A045_12_26</t>
  </si>
  <si>
    <t>&amp;A045_01_44</t>
  </si>
  <si>
    <t>&amp;A045_02_44</t>
  </si>
  <si>
    <t>&amp;A045_03_44</t>
  </si>
  <si>
    <t>&amp;A045_04_44</t>
  </si>
  <si>
    <t>&amp;A045_05_44</t>
  </si>
  <si>
    <t>&amp;A045_06_44</t>
  </si>
  <si>
    <t>&amp;A045_07_44</t>
  </si>
  <si>
    <t>&amp;A045_08_44</t>
  </si>
  <si>
    <t>&amp;A045_09_44</t>
  </si>
  <si>
    <t>&amp;A045_10_44</t>
  </si>
  <si>
    <t>&amp;A045_11_44</t>
  </si>
  <si>
    <t>&amp;A045_12_44</t>
  </si>
  <si>
    <t>&amp;A045_01KV</t>
  </si>
  <si>
    <t>&amp;A045_02KV</t>
  </si>
  <si>
    <t>&amp;A045_03KV</t>
  </si>
  <si>
    <t>&amp;A045_04KV</t>
  </si>
  <si>
    <t>&amp;A045_05KV</t>
  </si>
  <si>
    <t>&amp;A045_06KV</t>
  </si>
  <si>
    <t>&amp;A045_07KV</t>
  </si>
  <si>
    <t>&amp;A045_08KV</t>
  </si>
  <si>
    <t>&amp;A045_09KV</t>
  </si>
  <si>
    <t>&amp;A045_10KV</t>
  </si>
  <si>
    <t>&amp;A045_11KV</t>
  </si>
  <si>
    <t>&amp;A045_12KV</t>
  </si>
  <si>
    <t>&amp;A0451</t>
  </si>
  <si>
    <t>&amp;A244_01</t>
  </si>
  <si>
    <t>&amp;A244_02</t>
  </si>
  <si>
    <t>&amp;A244_03</t>
  </si>
  <si>
    <t>&amp;A244_04</t>
  </si>
  <si>
    <t>&amp;A244_05</t>
  </si>
  <si>
    <t>&amp;A244_06</t>
  </si>
  <si>
    <t>&amp;A244_07</t>
  </si>
  <si>
    <t>&amp;A244_08</t>
  </si>
  <si>
    <t>&amp;A244_09</t>
  </si>
  <si>
    <t>&amp;A244_10</t>
  </si>
  <si>
    <t>&amp;A244_11</t>
  </si>
  <si>
    <t>&amp;A244_12</t>
  </si>
  <si>
    <t>&amp;A2440</t>
  </si>
  <si>
    <t>&amp;A244_01_20</t>
  </si>
  <si>
    <t>&amp;A244_02_20</t>
  </si>
  <si>
    <t>&amp;A244_03_20</t>
  </si>
  <si>
    <t>&amp;A244_04_20</t>
  </si>
  <si>
    <t>&amp;A244_05_20</t>
  </si>
  <si>
    <t>&amp;A244_06_20</t>
  </si>
  <si>
    <t>&amp;A244_07_20</t>
  </si>
  <si>
    <t>&amp;A244_08_20</t>
  </si>
  <si>
    <t>&amp;A244_09_20</t>
  </si>
  <si>
    <t>&amp;A244_10_20</t>
  </si>
  <si>
    <t>&amp;A244_11_20</t>
  </si>
  <si>
    <t>&amp;A244_12_20</t>
  </si>
  <si>
    <t>&amp;A244_01_26</t>
  </si>
  <si>
    <t>&amp;A244_02_26</t>
  </si>
  <si>
    <t>&amp;A244_03_26</t>
  </si>
  <si>
    <t>&amp;A244_04_26</t>
  </si>
  <si>
    <t>&amp;A244_05_26</t>
  </si>
  <si>
    <t>&amp;A244_06_26</t>
  </si>
  <si>
    <t>&amp;A244_07_26</t>
  </si>
  <si>
    <t>&amp;A244_08_26</t>
  </si>
  <si>
    <t>&amp;A244_09_26</t>
  </si>
  <si>
    <t>&amp;A244_10_26</t>
  </si>
  <si>
    <t>&amp;A244_11_26</t>
  </si>
  <si>
    <t>&amp;A244_12_26</t>
  </si>
  <si>
    <t>&amp;A244_01_44</t>
  </si>
  <si>
    <t>&amp;A244_02_44</t>
  </si>
  <si>
    <t>&amp;A244_03_44</t>
  </si>
  <si>
    <t>&amp;A244_04_44</t>
  </si>
  <si>
    <t>&amp;A244_05_44</t>
  </si>
  <si>
    <t>&amp;A244_06_44</t>
  </si>
  <si>
    <t>&amp;A244_07_44</t>
  </si>
  <si>
    <t>&amp;A244_08_44</t>
  </si>
  <si>
    <t>&amp;A244_09_44</t>
  </si>
  <si>
    <t>&amp;A244_10_44</t>
  </si>
  <si>
    <t>&amp;A244_11_44</t>
  </si>
  <si>
    <t>&amp;A244_12_44</t>
  </si>
  <si>
    <t>&amp;A244_01KV</t>
  </si>
  <si>
    <t>&amp;A244_02KV</t>
  </si>
  <si>
    <t>&amp;A244_03KV</t>
  </si>
  <si>
    <t>&amp;A244_04KV</t>
  </si>
  <si>
    <t>&amp;A244_05KV</t>
  </si>
  <si>
    <t>&amp;A244_06KV</t>
  </si>
  <si>
    <t>&amp;A244_07KV</t>
  </si>
  <si>
    <t>&amp;A244_08KV</t>
  </si>
  <si>
    <t>&amp;A244_09KV</t>
  </si>
  <si>
    <t>&amp;A244_10KV</t>
  </si>
  <si>
    <t>&amp;A244_11KV</t>
  </si>
  <si>
    <t>&amp;A244_12KV</t>
  </si>
  <si>
    <t>&amp;A2441</t>
  </si>
  <si>
    <t>&amp;A046_01</t>
  </si>
  <si>
    <t>&amp;A046_02</t>
  </si>
  <si>
    <t>&amp;A046_03</t>
  </si>
  <si>
    <t>&amp;A046_04</t>
  </si>
  <si>
    <t>&amp;A046_05</t>
  </si>
  <si>
    <t>&amp;A046_06</t>
  </si>
  <si>
    <t>&amp;A046_07</t>
  </si>
  <si>
    <t>&amp;A046_08</t>
  </si>
  <si>
    <t>&amp;A046_09</t>
  </si>
  <si>
    <t>&amp;A046_10</t>
  </si>
  <si>
    <t>&amp;A046_11</t>
  </si>
  <si>
    <t>&amp;A046_12</t>
  </si>
  <si>
    <t>&amp;A0460</t>
  </si>
  <si>
    <t>&amp;A046_01_20</t>
  </si>
  <si>
    <t>&amp;A046_02_20</t>
  </si>
  <si>
    <t>&amp;A046_03_20</t>
  </si>
  <si>
    <t>&amp;A046_04_20</t>
  </si>
  <si>
    <t>&amp;A046_05_20</t>
  </si>
  <si>
    <t>&amp;A046_06_20</t>
  </si>
  <si>
    <t>&amp;A046_07_20</t>
  </si>
  <si>
    <t>&amp;A046_08_20</t>
  </si>
  <si>
    <t>&amp;A046_09_20</t>
  </si>
  <si>
    <t>&amp;A046_10_20</t>
  </si>
  <si>
    <t>&amp;A046_11_20</t>
  </si>
  <si>
    <t>&amp;A046_12_20</t>
  </si>
  <si>
    <t>&amp;A046_01_26</t>
  </si>
  <si>
    <t>&amp;A046_02_26</t>
  </si>
  <si>
    <t>&amp;A046_03_26</t>
  </si>
  <si>
    <t>&amp;A046_04_26</t>
  </si>
  <si>
    <t>&amp;A046_05_26</t>
  </si>
  <si>
    <t>&amp;A046_06_26</t>
  </si>
  <si>
    <t>&amp;A046_07_26</t>
  </si>
  <si>
    <t>&amp;A046_08_26</t>
  </si>
  <si>
    <t>&amp;A046_09_26</t>
  </si>
  <si>
    <t>&amp;A046_10_26</t>
  </si>
  <si>
    <t>&amp;A046_11_26</t>
  </si>
  <si>
    <t>&amp;A046_12_26</t>
  </si>
  <si>
    <t>&amp;A046_01_44</t>
  </si>
  <si>
    <t>&amp;A046_02_44</t>
  </si>
  <si>
    <t>&amp;A046_03_44</t>
  </si>
  <si>
    <t>&amp;A046_04_44</t>
  </si>
  <si>
    <t>&amp;A046_05_44</t>
  </si>
  <si>
    <t>&amp;A046_06_44</t>
  </si>
  <si>
    <t>&amp;A046_07_44</t>
  </si>
  <si>
    <t>&amp;A046_08_44</t>
  </si>
  <si>
    <t>&amp;A046_09_44</t>
  </si>
  <si>
    <t>&amp;A046_10_44</t>
  </si>
  <si>
    <t>&amp;A046_11_44</t>
  </si>
  <si>
    <t>&amp;A046_12_44</t>
  </si>
  <si>
    <t>&amp;A046_01KV</t>
  </si>
  <si>
    <t>&amp;A046_02KV</t>
  </si>
  <si>
    <t>&amp;A046_03KV</t>
  </si>
  <si>
    <t>&amp;A046_04KV</t>
  </si>
  <si>
    <t>&amp;A046_05KV</t>
  </si>
  <si>
    <t>&amp;A046_06KV</t>
  </si>
  <si>
    <t>&amp;A046_07KV</t>
  </si>
  <si>
    <t>&amp;A046_08KV</t>
  </si>
  <si>
    <t>&amp;A046_09KV</t>
  </si>
  <si>
    <t>&amp;A046_10KV</t>
  </si>
  <si>
    <t>&amp;A046_11KV</t>
  </si>
  <si>
    <t>&amp;A046_12KV</t>
  </si>
  <si>
    <t>&amp;A0461</t>
  </si>
  <si>
    <t>&amp;A047_01</t>
  </si>
  <si>
    <t>&amp;A047_02</t>
  </si>
  <si>
    <t>&amp;A047_03</t>
  </si>
  <si>
    <t>&amp;A047_04</t>
  </si>
  <si>
    <t>&amp;A047_05</t>
  </si>
  <si>
    <t>&amp;A047_06</t>
  </si>
  <si>
    <t>&amp;A047_07</t>
  </si>
  <si>
    <t>&amp;A047_08</t>
  </si>
  <si>
    <t>&amp;A047_09</t>
  </si>
  <si>
    <t>&amp;A047_10</t>
  </si>
  <si>
    <t>&amp;A047_11</t>
  </si>
  <si>
    <t>&amp;A047_12</t>
  </si>
  <si>
    <t>&amp;A0470</t>
  </si>
  <si>
    <t>&amp;A047_01_20</t>
  </si>
  <si>
    <t>&amp;A047_02_20</t>
  </si>
  <si>
    <t>&amp;A047_03_20</t>
  </si>
  <si>
    <t>&amp;A047_04_20</t>
  </si>
  <si>
    <t>&amp;A047_05_20</t>
  </si>
  <si>
    <t>&amp;A047_06_20</t>
  </si>
  <si>
    <t>&amp;A047_07_20</t>
  </si>
  <si>
    <t>&amp;A047_08_20</t>
  </si>
  <si>
    <t>&amp;A047_09_20</t>
  </si>
  <si>
    <t>&amp;A047_10_20</t>
  </si>
  <si>
    <t>&amp;A047_11_20</t>
  </si>
  <si>
    <t>&amp;A047_12_20</t>
  </si>
  <si>
    <t>&amp;A047_01_26</t>
  </si>
  <si>
    <t>&amp;A047_02_26</t>
  </si>
  <si>
    <t>&amp;A047_03_26</t>
  </si>
  <si>
    <t>&amp;A047_04_26</t>
  </si>
  <si>
    <t>&amp;A047_05_26</t>
  </si>
  <si>
    <t>&amp;A047_06_26</t>
  </si>
  <si>
    <t>&amp;A047_07_26</t>
  </si>
  <si>
    <t>&amp;A047_08_26</t>
  </si>
  <si>
    <t>&amp;A047_09_26</t>
  </si>
  <si>
    <t>&amp;A047_10_26</t>
  </si>
  <si>
    <t>&amp;A047_11_26</t>
  </si>
  <si>
    <t>&amp;A047_12_26</t>
  </si>
  <si>
    <t>&amp;A047_01_44</t>
  </si>
  <si>
    <t>&amp;A047_02_44</t>
  </si>
  <si>
    <t>&amp;A047_03_44</t>
  </si>
  <si>
    <t>&amp;A047_04_44</t>
  </si>
  <si>
    <t>&amp;A047_05_44</t>
  </si>
  <si>
    <t>&amp;A047_06_44</t>
  </si>
  <si>
    <t>&amp;A047_07_44</t>
  </si>
  <si>
    <t>&amp;A047_08_44</t>
  </si>
  <si>
    <t>&amp;A047_09_44</t>
  </si>
  <si>
    <t>&amp;A047_10_44</t>
  </si>
  <si>
    <t>&amp;A047_11_44</t>
  </si>
  <si>
    <t>&amp;A047_12_44</t>
  </si>
  <si>
    <t>&amp;A047_01KV</t>
  </si>
  <si>
    <t>&amp;A047_02KV</t>
  </si>
  <si>
    <t>&amp;A047_03KV</t>
  </si>
  <si>
    <t>&amp;A047_04KV</t>
  </si>
  <si>
    <t>&amp;A047_05KV</t>
  </si>
  <si>
    <t>&amp;A047_06KV</t>
  </si>
  <si>
    <t>&amp;A047_07KV</t>
  </si>
  <si>
    <t>&amp;A047_08KV</t>
  </si>
  <si>
    <t>&amp;A047_09KV</t>
  </si>
  <si>
    <t>&amp;A047_10KV</t>
  </si>
  <si>
    <t>&amp;A047_11KV</t>
  </si>
  <si>
    <t>&amp;A047_12KV</t>
  </si>
  <si>
    <t>&amp;A0471</t>
  </si>
  <si>
    <t>&amp;A048_01</t>
  </si>
  <si>
    <t>&amp;A048_02</t>
  </si>
  <si>
    <t>&amp;A048_03</t>
  </si>
  <si>
    <t>&amp;A048_04</t>
  </si>
  <si>
    <t>&amp;A048_05</t>
  </si>
  <si>
    <t>&amp;A048_06</t>
  </si>
  <si>
    <t>&amp;A048_07</t>
  </si>
  <si>
    <t>&amp;A048_08</t>
  </si>
  <si>
    <t>&amp;A048_09</t>
  </si>
  <si>
    <t>&amp;A048_10</t>
  </si>
  <si>
    <t>&amp;A048_11</t>
  </si>
  <si>
    <t>&amp;A048_12</t>
  </si>
  <si>
    <t>&amp;A0480</t>
  </si>
  <si>
    <t>&amp;A048_01_20</t>
  </si>
  <si>
    <t>&amp;A048_02_20</t>
  </si>
  <si>
    <t>&amp;A048_03_20</t>
  </si>
  <si>
    <t>&amp;A048_04_20</t>
  </si>
  <si>
    <t>&amp;A048_05_20</t>
  </si>
  <si>
    <t>&amp;A048_06_20</t>
  </si>
  <si>
    <t>&amp;A048_07_20</t>
  </si>
  <si>
    <t>&amp;A048_08_20</t>
  </si>
  <si>
    <t>&amp;A048_09_20</t>
  </si>
  <si>
    <t>&amp;A048_10_20</t>
  </si>
  <si>
    <t>&amp;A048_11_20</t>
  </si>
  <si>
    <t>&amp;A048_12_20</t>
  </si>
  <si>
    <t>&amp;A048_01_26</t>
  </si>
  <si>
    <t>&amp;A048_02_26</t>
  </si>
  <si>
    <t>&amp;A048_03_26</t>
  </si>
  <si>
    <t>&amp;A048_04_26</t>
  </si>
  <si>
    <t>&amp;A048_05_26</t>
  </si>
  <si>
    <t>&amp;A048_06_26</t>
  </si>
  <si>
    <t>&amp;A048_07_26</t>
  </si>
  <si>
    <t>&amp;A048_08_26</t>
  </si>
  <si>
    <t>&amp;A048_09_26</t>
  </si>
  <si>
    <t>&amp;A048_10_26</t>
  </si>
  <si>
    <t>&amp;A048_11_26</t>
  </si>
  <si>
    <t>&amp;A048_12_26</t>
  </si>
  <si>
    <t>&amp;A048_01_44</t>
  </si>
  <si>
    <t>&amp;A048_02_44</t>
  </si>
  <si>
    <t>&amp;A048_03_44</t>
  </si>
  <si>
    <t>&amp;A048_04_44</t>
  </si>
  <si>
    <t>&amp;A048_05_44</t>
  </si>
  <si>
    <t>&amp;A048_06_44</t>
  </si>
  <si>
    <t>&amp;A048_07_44</t>
  </si>
  <si>
    <t>&amp;A048_08_44</t>
  </si>
  <si>
    <t>&amp;A048_09_44</t>
  </si>
  <si>
    <t>&amp;A048_10_44</t>
  </si>
  <si>
    <t>&amp;A048_11_44</t>
  </si>
  <si>
    <t>&amp;A048_12_44</t>
  </si>
  <si>
    <t>&amp;A048_01KV</t>
  </si>
  <si>
    <t>&amp;A048_02KV</t>
  </si>
  <si>
    <t>&amp;A048_03KV</t>
  </si>
  <si>
    <t>&amp;A048_04KV</t>
  </si>
  <si>
    <t>&amp;A048_05KV</t>
  </si>
  <si>
    <t>&amp;A048_06KV</t>
  </si>
  <si>
    <t>&amp;A048_07KV</t>
  </si>
  <si>
    <t>&amp;A048_08KV</t>
  </si>
  <si>
    <t>&amp;A048_09KV</t>
  </si>
  <si>
    <t>&amp;A048_10KV</t>
  </si>
  <si>
    <t>&amp;A048_11KV</t>
  </si>
  <si>
    <t>&amp;A048_12KV</t>
  </si>
  <si>
    <t>&amp;A0481</t>
  </si>
  <si>
    <t>&amp;A049_01</t>
  </si>
  <si>
    <t>&amp;A049_02</t>
  </si>
  <si>
    <t>&amp;A049_03</t>
  </si>
  <si>
    <t>&amp;A049_04</t>
  </si>
  <si>
    <t>&amp;A049_05</t>
  </si>
  <si>
    <t>&amp;A049_06</t>
  </si>
  <si>
    <t>&amp;A049_07</t>
  </si>
  <si>
    <t>&amp;A049_08</t>
  </si>
  <si>
    <t>&amp;A049_09</t>
  </si>
  <si>
    <t>&amp;A049_10</t>
  </si>
  <si>
    <t>&amp;A049_11</t>
  </si>
  <si>
    <t>&amp;A049_12</t>
  </si>
  <si>
    <t>&amp;A0490</t>
  </si>
  <si>
    <t>&amp;A049_01_20</t>
  </si>
  <si>
    <t>&amp;A049_02_20</t>
  </si>
  <si>
    <t>&amp;A049_03_20</t>
  </si>
  <si>
    <t>&amp;A049_04_20</t>
  </si>
  <si>
    <t>&amp;A049_05_20</t>
  </si>
  <si>
    <t>&amp;A049_06_20</t>
  </si>
  <si>
    <t>&amp;A049_07_20</t>
  </si>
  <si>
    <t>&amp;A049_08_20</t>
  </si>
  <si>
    <t>&amp;A049_09_20</t>
  </si>
  <si>
    <t>&amp;A049_10_20</t>
  </si>
  <si>
    <t>&amp;A049_11_20</t>
  </si>
  <si>
    <t>&amp;A049_12_20</t>
  </si>
  <si>
    <t>&amp;A049_01_26</t>
  </si>
  <si>
    <t>&amp;A049_02_26</t>
  </si>
  <si>
    <t>&amp;A049_03_26</t>
  </si>
  <si>
    <t>&amp;A049_04_26</t>
  </si>
  <si>
    <t>&amp;A049_05_26</t>
  </si>
  <si>
    <t>&amp;A049_06_26</t>
  </si>
  <si>
    <t>&amp;A049_07_26</t>
  </si>
  <si>
    <t>&amp;A049_08_26</t>
  </si>
  <si>
    <t>&amp;A049_09_26</t>
  </si>
  <si>
    <t>&amp;A049_10_26</t>
  </si>
  <si>
    <t>&amp;A049_11_26</t>
  </si>
  <si>
    <t>&amp;A049_12_26</t>
  </si>
  <si>
    <t>&amp;A049_01_44</t>
  </si>
  <si>
    <t>&amp;A049_02_44</t>
  </si>
  <si>
    <t>&amp;A049_03_44</t>
  </si>
  <si>
    <t>&amp;A049_04_44</t>
  </si>
  <si>
    <t>&amp;A049_05_44</t>
  </si>
  <si>
    <t>&amp;A049_06_44</t>
  </si>
  <si>
    <t>&amp;A049_07_44</t>
  </si>
  <si>
    <t>&amp;A049_08_44</t>
  </si>
  <si>
    <t>&amp;A049_09_44</t>
  </si>
  <si>
    <t>&amp;A049_10_44</t>
  </si>
  <si>
    <t>&amp;A049_11_44</t>
  </si>
  <si>
    <t>&amp;A049_12_44</t>
  </si>
  <si>
    <t>&amp;A049_01KV</t>
  </si>
  <si>
    <t>&amp;A049_02KV</t>
  </si>
  <si>
    <t>&amp;A049_03KV</t>
  </si>
  <si>
    <t>&amp;A049_04KV</t>
  </si>
  <si>
    <t>&amp;A049_05KV</t>
  </si>
  <si>
    <t>&amp;A049_06KV</t>
  </si>
  <si>
    <t>&amp;A049_07KV</t>
  </si>
  <si>
    <t>&amp;A049_08KV</t>
  </si>
  <si>
    <t>&amp;A049_09KV</t>
  </si>
  <si>
    <t>&amp;A049_10KV</t>
  </si>
  <si>
    <t>&amp;A049_11KV</t>
  </si>
  <si>
    <t>&amp;A049_12KV</t>
  </si>
  <si>
    <t>&amp;A0491</t>
  </si>
  <si>
    <t>&amp;A245_01</t>
  </si>
  <si>
    <t>&amp;A245_02</t>
  </si>
  <si>
    <t>&amp;A245_03</t>
  </si>
  <si>
    <t>&amp;A245_04</t>
  </si>
  <si>
    <t>&amp;A245_05</t>
  </si>
  <si>
    <t>&amp;A245_06</t>
  </si>
  <si>
    <t>&amp;A245_07</t>
  </si>
  <si>
    <t>&amp;A245_08</t>
  </si>
  <si>
    <t>&amp;A245_09</t>
  </si>
  <si>
    <t>&amp;A245_10</t>
  </si>
  <si>
    <t>&amp;A245_11</t>
  </si>
  <si>
    <t>&amp;A245_12</t>
  </si>
  <si>
    <t>&amp;A2450</t>
  </si>
  <si>
    <t>&amp;A245_01_20</t>
  </si>
  <si>
    <t>&amp;A245_02_20</t>
  </si>
  <si>
    <t>&amp;A245_03_20</t>
  </si>
  <si>
    <t>&amp;A245_04_20</t>
  </si>
  <si>
    <t>&amp;A245_05_20</t>
  </si>
  <si>
    <t>&amp;A245_06_20</t>
  </si>
  <si>
    <t>&amp;A245_07_20</t>
  </si>
  <si>
    <t>&amp;A245_08_20</t>
  </si>
  <si>
    <t>&amp;A245_09_20</t>
  </si>
  <si>
    <t>&amp;A245_10_20</t>
  </si>
  <si>
    <t>&amp;A245_11_20</t>
  </si>
  <si>
    <t>&amp;A245_12_20</t>
  </si>
  <si>
    <t>&amp;A245_01_26</t>
  </si>
  <si>
    <t>&amp;A245_02_26</t>
  </si>
  <si>
    <t>&amp;A245_03_26</t>
  </si>
  <si>
    <t>&amp;A245_04_26</t>
  </si>
  <si>
    <t>&amp;A245_05_26</t>
  </si>
  <si>
    <t>&amp;A245_06_26</t>
  </si>
  <si>
    <t>&amp;A245_07_26</t>
  </si>
  <si>
    <t>&amp;A245_08_26</t>
  </si>
  <si>
    <t>&amp;A245_09_26</t>
  </si>
  <si>
    <t>&amp;A245_10_26</t>
  </si>
  <si>
    <t>&amp;A245_11_26</t>
  </si>
  <si>
    <t>&amp;A245_12_26</t>
  </si>
  <si>
    <t>&amp;A245_01_44</t>
  </si>
  <si>
    <t>&amp;A245_02_44</t>
  </si>
  <si>
    <t>&amp;A245_03_44</t>
  </si>
  <si>
    <t>&amp;A245_04_44</t>
  </si>
  <si>
    <t>&amp;A245_05_44</t>
  </si>
  <si>
    <t>&amp;A245_06_44</t>
  </si>
  <si>
    <t>&amp;A245_07_44</t>
  </si>
  <si>
    <t>&amp;A245_08_44</t>
  </si>
  <si>
    <t>&amp;A245_09_44</t>
  </si>
  <si>
    <t>&amp;A245_10_44</t>
  </si>
  <si>
    <t>&amp;A245_11_44</t>
  </si>
  <si>
    <t>&amp;A245_12_44</t>
  </si>
  <si>
    <t>&amp;A245_01KV</t>
  </si>
  <si>
    <t>&amp;A245_02KV</t>
  </si>
  <si>
    <t>&amp;A245_03KV</t>
  </si>
  <si>
    <t>&amp;A245_04KV</t>
  </si>
  <si>
    <t>&amp;A245_05KV</t>
  </si>
  <si>
    <t>&amp;A245_06KV</t>
  </si>
  <si>
    <t>&amp;A245_07KV</t>
  </si>
  <si>
    <t>&amp;A245_08KV</t>
  </si>
  <si>
    <t>&amp;A245_09KV</t>
  </si>
  <si>
    <t>&amp;A245_10KV</t>
  </si>
  <si>
    <t>&amp;A245_11KV</t>
  </si>
  <si>
    <t>&amp;A245_12KV</t>
  </si>
  <si>
    <t>&amp;A2451</t>
  </si>
  <si>
    <t>&amp;A050_01</t>
  </si>
  <si>
    <t>&amp;A050_02</t>
  </si>
  <si>
    <t>&amp;A050_03</t>
  </si>
  <si>
    <t>&amp;A050_04</t>
  </si>
  <si>
    <t>&amp;A050_05</t>
  </si>
  <si>
    <t>&amp;A050_06</t>
  </si>
  <si>
    <t>&amp;A050_07</t>
  </si>
  <si>
    <t>&amp;A050_08</t>
  </si>
  <si>
    <t>&amp;A050_09</t>
  </si>
  <si>
    <t>&amp;A050_10</t>
  </si>
  <si>
    <t>&amp;A050_11</t>
  </si>
  <si>
    <t>&amp;A050_12</t>
  </si>
  <si>
    <t>&amp;A0500</t>
  </si>
  <si>
    <t>&amp;A050_01_20</t>
  </si>
  <si>
    <t>&amp;A050_02_20</t>
  </si>
  <si>
    <t>&amp;A050_03_20</t>
  </si>
  <si>
    <t>&amp;A050_04_20</t>
  </si>
  <si>
    <t>&amp;A050_05_20</t>
  </si>
  <si>
    <t>&amp;A050_06_20</t>
  </si>
  <si>
    <t>&amp;A050_07_20</t>
  </si>
  <si>
    <t>&amp;A050_08_20</t>
  </si>
  <si>
    <t>&amp;A050_09_20</t>
  </si>
  <si>
    <t>&amp;A050_10_20</t>
  </si>
  <si>
    <t>&amp;A050_11_20</t>
  </si>
  <si>
    <t>&amp;A050_12_20</t>
  </si>
  <si>
    <t>&amp;A050_01_26</t>
  </si>
  <si>
    <t>&amp;A050_02_26</t>
  </si>
  <si>
    <t>&amp;A050_03_26</t>
  </si>
  <si>
    <t>&amp;A050_04_26</t>
  </si>
  <si>
    <t>&amp;A050_05_26</t>
  </si>
  <si>
    <t>&amp;A050_06_26</t>
  </si>
  <si>
    <t>&amp;A050_07_26</t>
  </si>
  <si>
    <t>&amp;A050_08_26</t>
  </si>
  <si>
    <t>&amp;A050_09_26</t>
  </si>
  <si>
    <t>&amp;A050_10_26</t>
  </si>
  <si>
    <t>&amp;A050_11_26</t>
  </si>
  <si>
    <t>&amp;A050_12_26</t>
  </si>
  <si>
    <t>&amp;A050_01_44</t>
  </si>
  <si>
    <t>&amp;A050_02_44</t>
  </si>
  <si>
    <t>&amp;A050_03_44</t>
  </si>
  <si>
    <t>&amp;A050_04_44</t>
  </si>
  <si>
    <t>&amp;A050_05_44</t>
  </si>
  <si>
    <t>&amp;A050_06_44</t>
  </si>
  <si>
    <t>&amp;A050_07_44</t>
  </si>
  <si>
    <t>&amp;A050_08_44</t>
  </si>
  <si>
    <t>&amp;A050_09_44</t>
  </si>
  <si>
    <t>&amp;A050_10_44</t>
  </si>
  <si>
    <t>&amp;A050_11_44</t>
  </si>
  <si>
    <t>&amp;A050_12_44</t>
  </si>
  <si>
    <t>&amp;A050_01KV</t>
  </si>
  <si>
    <t>&amp;A050_02KV</t>
  </si>
  <si>
    <t>&amp;A050_03KV</t>
  </si>
  <si>
    <t>&amp;A050_04KV</t>
  </si>
  <si>
    <t>&amp;A050_05KV</t>
  </si>
  <si>
    <t>&amp;A050_06KV</t>
  </si>
  <si>
    <t>&amp;A050_07KV</t>
  </si>
  <si>
    <t>&amp;A050_08KV</t>
  </si>
  <si>
    <t>&amp;A050_09KV</t>
  </si>
  <si>
    <t>&amp;A050_10KV</t>
  </si>
  <si>
    <t>&amp;A050_11KV</t>
  </si>
  <si>
    <t>&amp;A050_12KV</t>
  </si>
  <si>
    <t>&amp;A0501</t>
  </si>
  <si>
    <t>&amp;A0510</t>
  </si>
  <si>
    <t>&amp;A0511</t>
  </si>
  <si>
    <t>&amp;A052_01</t>
  </si>
  <si>
    <t>&amp;A052_02</t>
  </si>
  <si>
    <t>&amp;A052_03</t>
  </si>
  <si>
    <t>&amp;A052_04</t>
  </si>
  <si>
    <t>&amp;A052_05</t>
  </si>
  <si>
    <t>&amp;A052_06</t>
  </si>
  <si>
    <t>&amp;A052_07</t>
  </si>
  <si>
    <t>&amp;A052_08</t>
  </si>
  <si>
    <t>&amp;A052_09</t>
  </si>
  <si>
    <t>&amp;A052_10</t>
  </si>
  <si>
    <t>&amp;A052_11</t>
  </si>
  <si>
    <t>&amp;A052_12</t>
  </si>
  <si>
    <t>&amp;A0520</t>
  </si>
  <si>
    <t>&amp;A052_01_20</t>
  </si>
  <si>
    <t>&amp;A052_02_20</t>
  </si>
  <si>
    <t>&amp;A052_03_20</t>
  </si>
  <si>
    <t>&amp;A052_04_20</t>
  </si>
  <si>
    <t>&amp;A052_05_20</t>
  </si>
  <si>
    <t>&amp;A052_06_20</t>
  </si>
  <si>
    <t>&amp;A052_07_20</t>
  </si>
  <si>
    <t>&amp;A052_08_20</t>
  </si>
  <si>
    <t>&amp;A052_09_20</t>
  </si>
  <si>
    <t>&amp;A052_10_20</t>
  </si>
  <si>
    <t>&amp;A052_11_20</t>
  </si>
  <si>
    <t>&amp;A052_12_20</t>
  </si>
  <si>
    <t>&amp;A052_01_26</t>
  </si>
  <si>
    <t>&amp;A052_02_26</t>
  </si>
  <si>
    <t>&amp;A052_03_26</t>
  </si>
  <si>
    <t>&amp;A052_04_26</t>
  </si>
  <si>
    <t>&amp;A052_05_26</t>
  </si>
  <si>
    <t>&amp;A052_06_26</t>
  </si>
  <si>
    <t>&amp;A052_07_26</t>
  </si>
  <si>
    <t>&amp;A052_08_26</t>
  </si>
  <si>
    <t>&amp;A052_09_26</t>
  </si>
  <si>
    <t>&amp;A052_10_26</t>
  </si>
  <si>
    <t>&amp;A052_11_26</t>
  </si>
  <si>
    <t>&amp;A052_12_26</t>
  </si>
  <si>
    <t>&amp;A052_01_44</t>
  </si>
  <si>
    <t>&amp;A052_02_44</t>
  </si>
  <si>
    <t>&amp;A052_03_44</t>
  </si>
  <si>
    <t>&amp;A052_04_44</t>
  </si>
  <si>
    <t>&amp;A052_05_44</t>
  </si>
  <si>
    <t>&amp;A052_06_44</t>
  </si>
  <si>
    <t>&amp;A052_07_44</t>
  </si>
  <si>
    <t>&amp;A052_08_44</t>
  </si>
  <si>
    <t>&amp;A052_09_44</t>
  </si>
  <si>
    <t>&amp;A052_10_44</t>
  </si>
  <si>
    <t>&amp;A052_11_44</t>
  </si>
  <si>
    <t>&amp;A052_12_44</t>
  </si>
  <si>
    <t>&amp;A052_01KV</t>
  </si>
  <si>
    <t>&amp;A052_02KV</t>
  </si>
  <si>
    <t>&amp;A052_03KV</t>
  </si>
  <si>
    <t>&amp;A052_04KV</t>
  </si>
  <si>
    <t>&amp;A052_05KV</t>
  </si>
  <si>
    <t>&amp;A052_06KV</t>
  </si>
  <si>
    <t>&amp;A052_07KV</t>
  </si>
  <si>
    <t>&amp;A052_08KV</t>
  </si>
  <si>
    <t>&amp;A052_09KV</t>
  </si>
  <si>
    <t>&amp;A052_10KV</t>
  </si>
  <si>
    <t>&amp;A052_11KV</t>
  </si>
  <si>
    <t>&amp;A052_12KV</t>
  </si>
  <si>
    <t>&amp;A0521</t>
  </si>
  <si>
    <t>&amp;A053_01</t>
  </si>
  <si>
    <t>&amp;A053_02</t>
  </si>
  <si>
    <t>&amp;A053_03</t>
  </si>
  <si>
    <t>&amp;A053_04</t>
  </si>
  <si>
    <t>&amp;A053_05</t>
  </si>
  <si>
    <t>&amp;A053_06</t>
  </si>
  <si>
    <t>&amp;A053_07</t>
  </si>
  <si>
    <t>&amp;A053_08</t>
  </si>
  <si>
    <t>&amp;A053_09</t>
  </si>
  <si>
    <t>&amp;A053_10</t>
  </si>
  <si>
    <t>&amp;A053_11</t>
  </si>
  <si>
    <t>&amp;A053_12</t>
  </si>
  <si>
    <t>&amp;A0530</t>
  </si>
  <si>
    <t>&amp;A053_01_20</t>
  </si>
  <si>
    <t>&amp;A053_02_20</t>
  </si>
  <si>
    <t>&amp;A053_03_20</t>
  </si>
  <si>
    <t>&amp;A053_04_20</t>
  </si>
  <si>
    <t>&amp;A053_05_20</t>
  </si>
  <si>
    <t>&amp;A053_06_20</t>
  </si>
  <si>
    <t>&amp;A053_07_20</t>
  </si>
  <si>
    <t>&amp;A053_08_20</t>
  </si>
  <si>
    <t>&amp;A053_09_20</t>
  </si>
  <si>
    <t>&amp;A053_10_20</t>
  </si>
  <si>
    <t>&amp;A053_11_20</t>
  </si>
  <si>
    <t>&amp;A053_12_20</t>
  </si>
  <si>
    <t>&amp;A053_01_26</t>
  </si>
  <si>
    <t>&amp;A053_02_26</t>
  </si>
  <si>
    <t>&amp;A053_03_26</t>
  </si>
  <si>
    <t>&amp;A053_04_26</t>
  </si>
  <si>
    <t>&amp;A053_05_26</t>
  </si>
  <si>
    <t>&amp;A053_06_26</t>
  </si>
  <si>
    <t>&amp;A053_07_26</t>
  </si>
  <si>
    <t>&amp;A053_08_26</t>
  </si>
  <si>
    <t>&amp;A053_09_26</t>
  </si>
  <si>
    <t>&amp;A053_10_26</t>
  </si>
  <si>
    <t>&amp;A053_11_26</t>
  </si>
  <si>
    <t>&amp;A053_12_26</t>
  </si>
  <si>
    <t>&amp;A053_01_44</t>
  </si>
  <si>
    <t>&amp;A053_02_44</t>
  </si>
  <si>
    <t>&amp;A053_03_44</t>
  </si>
  <si>
    <t>&amp;A053_04_44</t>
  </si>
  <si>
    <t>&amp;A053_05_44</t>
  </si>
  <si>
    <t>&amp;A053_06_44</t>
  </si>
  <si>
    <t>&amp;A053_07_44</t>
  </si>
  <si>
    <t>&amp;A053_08_44</t>
  </si>
  <si>
    <t>&amp;A053_09_44</t>
  </si>
  <si>
    <t>&amp;A053_10_44</t>
  </si>
  <si>
    <t>&amp;A053_11_44</t>
  </si>
  <si>
    <t>&amp;A053_12_44</t>
  </si>
  <si>
    <t>&amp;A053_01KV</t>
  </si>
  <si>
    <t>&amp;A053_02KV</t>
  </si>
  <si>
    <t>&amp;A053_03KV</t>
  </si>
  <si>
    <t>&amp;A053_04KV</t>
  </si>
  <si>
    <t>&amp;A053_05KV</t>
  </si>
  <si>
    <t>&amp;A053_06KV</t>
  </si>
  <si>
    <t>&amp;A053_07KV</t>
  </si>
  <si>
    <t>&amp;A053_08KV</t>
  </si>
  <si>
    <t>&amp;A053_09KV</t>
  </si>
  <si>
    <t>&amp;A053_10KV</t>
  </si>
  <si>
    <t>&amp;A053_11KV</t>
  </si>
  <si>
    <t>&amp;A053_12KV</t>
  </si>
  <si>
    <t>&amp;A0531</t>
  </si>
  <si>
    <t>&amp;A054_01</t>
  </si>
  <si>
    <t>&amp;A054_02</t>
  </si>
  <si>
    <t>&amp;A054_03</t>
  </si>
  <si>
    <t>&amp;A054_04</t>
  </si>
  <si>
    <t>&amp;A054_05</t>
  </si>
  <si>
    <t>&amp;A054_06</t>
  </si>
  <si>
    <t>&amp;A054_07</t>
  </si>
  <si>
    <t>&amp;A054_08</t>
  </si>
  <si>
    <t>&amp;A054_09</t>
  </si>
  <si>
    <t>&amp;A054_10</t>
  </si>
  <si>
    <t>&amp;A054_11</t>
  </si>
  <si>
    <t>&amp;A054_12</t>
  </si>
  <si>
    <t>&amp;A0540</t>
  </si>
  <si>
    <t>&amp;A054_01_20</t>
  </si>
  <si>
    <t>&amp;A054_02_20</t>
  </si>
  <si>
    <t>&amp;A054_03_20</t>
  </si>
  <si>
    <t>&amp;A054_04_20</t>
  </si>
  <si>
    <t>&amp;A054_05_20</t>
  </si>
  <si>
    <t>&amp;A054_06_20</t>
  </si>
  <si>
    <t>&amp;A054_07_20</t>
  </si>
  <si>
    <t>&amp;A054_08_20</t>
  </si>
  <si>
    <t>&amp;A054_09_20</t>
  </si>
  <si>
    <t>&amp;A054_10_20</t>
  </si>
  <si>
    <t>&amp;A054_11_20</t>
  </si>
  <si>
    <t>&amp;A054_12_20</t>
  </si>
  <si>
    <t>&amp;A054_01_26</t>
  </si>
  <si>
    <t>&amp;A054_02_26</t>
  </si>
  <si>
    <t>&amp;A054_03_26</t>
  </si>
  <si>
    <t>&amp;A054_04_26</t>
  </si>
  <si>
    <t>&amp;A054_05_26</t>
  </si>
  <si>
    <t>&amp;A054_06_26</t>
  </si>
  <si>
    <t>&amp;A054_07_26</t>
  </si>
  <si>
    <t>&amp;A054_08_26</t>
  </si>
  <si>
    <t>&amp;A054_09_26</t>
  </si>
  <si>
    <t>&amp;A054_10_26</t>
  </si>
  <si>
    <t>&amp;A054_11_26</t>
  </si>
  <si>
    <t>&amp;A054_12_26</t>
  </si>
  <si>
    <t>&amp;A054_01_44</t>
  </si>
  <si>
    <t>&amp;A054_02_44</t>
  </si>
  <si>
    <t>&amp;A054_03_44</t>
  </si>
  <si>
    <t>&amp;A054_04_44</t>
  </si>
  <si>
    <t>&amp;A054_05_44</t>
  </si>
  <si>
    <t>&amp;A054_06_44</t>
  </si>
  <si>
    <t>&amp;A054_07_44</t>
  </si>
  <si>
    <t>&amp;A054_08_44</t>
  </si>
  <si>
    <t>&amp;A054_09_44</t>
  </si>
  <si>
    <t>&amp;A054_10_44</t>
  </si>
  <si>
    <t>&amp;A054_11_44</t>
  </si>
  <si>
    <t>&amp;A054_12_44</t>
  </si>
  <si>
    <t>&amp;A054_01KV</t>
  </si>
  <si>
    <t>&amp;A054_02KV</t>
  </si>
  <si>
    <t>&amp;A054_03KV</t>
  </si>
  <si>
    <t>&amp;A054_04KV</t>
  </si>
  <si>
    <t>&amp;A054_05KV</t>
  </si>
  <si>
    <t>&amp;A054_06KV</t>
  </si>
  <si>
    <t>&amp;A054_07KV</t>
  </si>
  <si>
    <t>&amp;A054_08KV</t>
  </si>
  <si>
    <t>&amp;A054_09KV</t>
  </si>
  <si>
    <t>&amp;A054_10KV</t>
  </si>
  <si>
    <t>&amp;A054_11KV</t>
  </si>
  <si>
    <t>&amp;A054_12KV</t>
  </si>
  <si>
    <t>&amp;A0541</t>
  </si>
  <si>
    <t>&amp;A055_01</t>
  </si>
  <si>
    <t>&amp;A055_02</t>
  </si>
  <si>
    <t>&amp;A055_03</t>
  </si>
  <si>
    <t>&amp;A055_04</t>
  </si>
  <si>
    <t>&amp;A055_05</t>
  </si>
  <si>
    <t>&amp;A055_06</t>
  </si>
  <si>
    <t>&amp;A055_07</t>
  </si>
  <si>
    <t>&amp;A055_08</t>
  </si>
  <si>
    <t>&amp;A055_09</t>
  </si>
  <si>
    <t>&amp;A055_10</t>
  </si>
  <si>
    <t>&amp;A055_11</t>
  </si>
  <si>
    <t>&amp;A055_12</t>
  </si>
  <si>
    <t>&amp;A0550</t>
  </si>
  <si>
    <t>&amp;A055_01_20</t>
  </si>
  <si>
    <t>&amp;A055_02_20</t>
  </si>
  <si>
    <t>&amp;A055_03_20</t>
  </si>
  <si>
    <t>&amp;A055_04_20</t>
  </si>
  <si>
    <t>&amp;A055_05_20</t>
  </si>
  <si>
    <t>&amp;A055_06_20</t>
  </si>
  <si>
    <t>&amp;A055_07_20</t>
  </si>
  <si>
    <t>&amp;A055_08_20</t>
  </si>
  <si>
    <t>&amp;A055_09_20</t>
  </si>
  <si>
    <t>&amp;A055_10_20</t>
  </si>
  <si>
    <t>&amp;A055_11_20</t>
  </si>
  <si>
    <t>&amp;A055_12_20</t>
  </si>
  <si>
    <t>&amp;A055_01_26</t>
  </si>
  <si>
    <t>&amp;A055_02_26</t>
  </si>
  <si>
    <t>&amp;A055_03_26</t>
  </si>
  <si>
    <t>&amp;A055_04_26</t>
  </si>
  <si>
    <t>&amp;A055_05_26</t>
  </si>
  <si>
    <t>&amp;A055_06_26</t>
  </si>
  <si>
    <t>&amp;A055_07_26</t>
  </si>
  <si>
    <t>&amp;A055_08_26</t>
  </si>
  <si>
    <t>&amp;A055_09_26</t>
  </si>
  <si>
    <t>&amp;A055_10_26</t>
  </si>
  <si>
    <t>&amp;A055_11_26</t>
  </si>
  <si>
    <t>&amp;A055_12_26</t>
  </si>
  <si>
    <t>&amp;A055_01_44</t>
  </si>
  <si>
    <t>&amp;A055_02_44</t>
  </si>
  <si>
    <t>&amp;A055_03_44</t>
  </si>
  <si>
    <t>&amp;A055_04_44</t>
  </si>
  <si>
    <t>&amp;A055_05_44</t>
  </si>
  <si>
    <t>&amp;A055_06_44</t>
  </si>
  <si>
    <t>&amp;A055_07_44</t>
  </si>
  <si>
    <t>&amp;A055_08_44</t>
  </si>
  <si>
    <t>&amp;A055_09_44</t>
  </si>
  <si>
    <t>&amp;A055_10_44</t>
  </si>
  <si>
    <t>&amp;A055_11_44</t>
  </si>
  <si>
    <t>&amp;A055_12_44</t>
  </si>
  <si>
    <t>&amp;A055_01KV</t>
  </si>
  <si>
    <t>&amp;A055_02KV</t>
  </si>
  <si>
    <t>&amp;A055_03KV</t>
  </si>
  <si>
    <t>&amp;A055_04KV</t>
  </si>
  <si>
    <t>&amp;A055_05KV</t>
  </si>
  <si>
    <t>&amp;A055_06KV</t>
  </si>
  <si>
    <t>&amp;A055_07KV</t>
  </si>
  <si>
    <t>&amp;A055_08KV</t>
  </si>
  <si>
    <t>&amp;A055_09KV</t>
  </si>
  <si>
    <t>&amp;A055_10KV</t>
  </si>
  <si>
    <t>&amp;A055_11KV</t>
  </si>
  <si>
    <t>&amp;A055_12KV</t>
  </si>
  <si>
    <t>&amp;A0551</t>
  </si>
  <si>
    <t>&amp;A056_01</t>
  </si>
  <si>
    <t>&amp;A056_02</t>
  </si>
  <si>
    <t>&amp;A056_03</t>
  </si>
  <si>
    <t>&amp;A056_04</t>
  </si>
  <si>
    <t>&amp;A056_05</t>
  </si>
  <si>
    <t>&amp;A056_06</t>
  </si>
  <si>
    <t>&amp;A056_07</t>
  </si>
  <si>
    <t>&amp;A056_08</t>
  </si>
  <si>
    <t>&amp;A056_09</t>
  </si>
  <si>
    <t>&amp;A056_10</t>
  </si>
  <si>
    <t>&amp;A056_11</t>
  </si>
  <si>
    <t>&amp;A056_12</t>
  </si>
  <si>
    <t>&amp;A0560</t>
  </si>
  <si>
    <t>&amp;A056_01_20</t>
  </si>
  <si>
    <t>&amp;A056_02_20</t>
  </si>
  <si>
    <t>&amp;A056_03_20</t>
  </si>
  <si>
    <t>&amp;A056_04_20</t>
  </si>
  <si>
    <t>&amp;A056_05_20</t>
  </si>
  <si>
    <t>&amp;A056_06_20</t>
  </si>
  <si>
    <t>&amp;A056_07_20</t>
  </si>
  <si>
    <t>&amp;A056_08_20</t>
  </si>
  <si>
    <t>&amp;A056_09_20</t>
  </si>
  <si>
    <t>&amp;A056_10_20</t>
  </si>
  <si>
    <t>&amp;A056_11_20</t>
  </si>
  <si>
    <t>&amp;A056_12_20</t>
  </si>
  <si>
    <t>&amp;A056_01_26</t>
  </si>
  <si>
    <t>&amp;A056_02_26</t>
  </si>
  <si>
    <t>&amp;A056_03_26</t>
  </si>
  <si>
    <t>&amp;A056_04_26</t>
  </si>
  <si>
    <t>&amp;A056_05_26</t>
  </si>
  <si>
    <t>&amp;A056_06_26</t>
  </si>
  <si>
    <t>&amp;A056_07_26</t>
  </si>
  <si>
    <t>&amp;A056_08_26</t>
  </si>
  <si>
    <t>&amp;A056_09_26</t>
  </si>
  <si>
    <t>&amp;A056_10_26</t>
  </si>
  <si>
    <t>&amp;A056_11_26</t>
  </si>
  <si>
    <t>&amp;A056_12_26</t>
  </si>
  <si>
    <t>&amp;A056_01_44</t>
  </si>
  <si>
    <t>&amp;A056_02_44</t>
  </si>
  <si>
    <t>&amp;A056_03_44</t>
  </si>
  <si>
    <t>&amp;A056_04_44</t>
  </si>
  <si>
    <t>&amp;A056_05_44</t>
  </si>
  <si>
    <t>&amp;A056_06_44</t>
  </si>
  <si>
    <t>&amp;A056_07_44</t>
  </si>
  <si>
    <t>&amp;A056_08_44</t>
  </si>
  <si>
    <t>&amp;A056_09_44</t>
  </si>
  <si>
    <t>&amp;A056_10_44</t>
  </si>
  <si>
    <t>&amp;A056_11_44</t>
  </si>
  <si>
    <t>&amp;A056_12_44</t>
  </si>
  <si>
    <t>&amp;A056_01KV</t>
  </si>
  <si>
    <t>&amp;A056_02KV</t>
  </si>
  <si>
    <t>&amp;A056_03KV</t>
  </si>
  <si>
    <t>&amp;A056_04KV</t>
  </si>
  <si>
    <t>&amp;A056_05KV</t>
  </si>
  <si>
    <t>&amp;A056_06KV</t>
  </si>
  <si>
    <t>&amp;A056_07KV</t>
  </si>
  <si>
    <t>&amp;A056_08KV</t>
  </si>
  <si>
    <t>&amp;A056_09KV</t>
  </si>
  <si>
    <t>&amp;A056_10KV</t>
  </si>
  <si>
    <t>&amp;A056_11KV</t>
  </si>
  <si>
    <t>&amp;A056_12KV</t>
  </si>
  <si>
    <t>&amp;A0561</t>
  </si>
  <si>
    <t>&amp;A057_01</t>
  </si>
  <si>
    <t>&amp;A057_02</t>
  </si>
  <si>
    <t>&amp;A057_03</t>
  </si>
  <si>
    <t>&amp;A057_04</t>
  </si>
  <si>
    <t>&amp;A057_05</t>
  </si>
  <si>
    <t>&amp;A057_06</t>
  </si>
  <si>
    <t>&amp;A057_07</t>
  </si>
  <si>
    <t>&amp;A057_08</t>
  </si>
  <si>
    <t>&amp;A057_09</t>
  </si>
  <si>
    <t>&amp;A057_10</t>
  </si>
  <si>
    <t>&amp;A057_11</t>
  </si>
  <si>
    <t>&amp;A057_12</t>
  </si>
  <si>
    <t>&amp;A0570</t>
  </si>
  <si>
    <t>&amp;A057_01_20</t>
  </si>
  <si>
    <t>&amp;A057_02_20</t>
  </si>
  <si>
    <t>&amp;A057_03_20</t>
  </si>
  <si>
    <t>&amp;A057_04_20</t>
  </si>
  <si>
    <t>&amp;A057_05_20</t>
  </si>
  <si>
    <t>&amp;A057_06_20</t>
  </si>
  <si>
    <t>&amp;A057_07_20</t>
  </si>
  <si>
    <t>&amp;A057_08_20</t>
  </si>
  <si>
    <t>&amp;A057_09_20</t>
  </si>
  <si>
    <t>&amp;A057_10_20</t>
  </si>
  <si>
    <t>&amp;A057_11_20</t>
  </si>
  <si>
    <t>&amp;A057_12_20</t>
  </si>
  <si>
    <t>&amp;A057_01_26</t>
  </si>
  <si>
    <t>&amp;A057_02_26</t>
  </si>
  <si>
    <t>&amp;A057_03_26</t>
  </si>
  <si>
    <t>&amp;A057_04_26</t>
  </si>
  <si>
    <t>&amp;A057_05_26</t>
  </si>
  <si>
    <t>&amp;A057_06_26</t>
  </si>
  <si>
    <t>&amp;A057_07_26</t>
  </si>
  <si>
    <t>&amp;A057_08_26</t>
  </si>
  <si>
    <t>&amp;A057_09_26</t>
  </si>
  <si>
    <t>&amp;A057_10_26</t>
  </si>
  <si>
    <t>&amp;A057_11_26</t>
  </si>
  <si>
    <t>&amp;A057_12_26</t>
  </si>
  <si>
    <t>&amp;A057_01_44</t>
  </si>
  <si>
    <t>&amp;A057_02_44</t>
  </si>
  <si>
    <t>&amp;A057_03_44</t>
  </si>
  <si>
    <t>&amp;A057_04_44</t>
  </si>
  <si>
    <t>&amp;A057_05_44</t>
  </si>
  <si>
    <t>&amp;A057_06_44</t>
  </si>
  <si>
    <t>&amp;A057_07_44</t>
  </si>
  <si>
    <t>&amp;A057_08_44</t>
  </si>
  <si>
    <t>&amp;A057_09_44</t>
  </si>
  <si>
    <t>&amp;A057_10_44</t>
  </si>
  <si>
    <t>&amp;A057_11_44</t>
  </si>
  <si>
    <t>&amp;A057_12_44</t>
  </si>
  <si>
    <t>&amp;A057_01KV</t>
  </si>
  <si>
    <t>&amp;A057_02KV</t>
  </si>
  <si>
    <t>&amp;A057_03KV</t>
  </si>
  <si>
    <t>&amp;A057_04KV</t>
  </si>
  <si>
    <t>&amp;A057_05KV</t>
  </si>
  <si>
    <t>&amp;A057_06KV</t>
  </si>
  <si>
    <t>&amp;A057_07KV</t>
  </si>
  <si>
    <t>&amp;A057_08KV</t>
  </si>
  <si>
    <t>&amp;A057_09KV</t>
  </si>
  <si>
    <t>&amp;A057_10KV</t>
  </si>
  <si>
    <t>&amp;A057_11KV</t>
  </si>
  <si>
    <t>&amp;A057_12KV</t>
  </si>
  <si>
    <t>&amp;A0571</t>
  </si>
  <si>
    <t>&amp;A251_01</t>
  </si>
  <si>
    <t>&amp;A251_02</t>
  </si>
  <si>
    <t>&amp;A251_03</t>
  </si>
  <si>
    <t>&amp;A251_04</t>
  </si>
  <si>
    <t>&amp;A251_05</t>
  </si>
  <si>
    <t>&amp;A251_06</t>
  </si>
  <si>
    <t>&amp;A251_07</t>
  </si>
  <si>
    <t>&amp;A251_08</t>
  </si>
  <si>
    <t>&amp;A251_09</t>
  </si>
  <si>
    <t>&amp;A251_10</t>
  </si>
  <si>
    <t>&amp;A251_11</t>
  </si>
  <si>
    <t>&amp;A251_12</t>
  </si>
  <si>
    <t>&amp;A2510</t>
  </si>
  <si>
    <t>&amp;A251_01_20</t>
  </si>
  <si>
    <t>&amp;A251_02_20</t>
  </si>
  <si>
    <t>&amp;A251_03_20</t>
  </si>
  <si>
    <t>&amp;A251_04_20</t>
  </si>
  <si>
    <t>&amp;A251_05_20</t>
  </si>
  <si>
    <t>&amp;A251_06_20</t>
  </si>
  <si>
    <t>&amp;A251_07_20</t>
  </si>
  <si>
    <t>&amp;A251_08_20</t>
  </si>
  <si>
    <t>&amp;A251_09_20</t>
  </si>
  <si>
    <t>&amp;A251_10_20</t>
  </si>
  <si>
    <t>&amp;A251_11_20</t>
  </si>
  <si>
    <t>&amp;A251_12_20</t>
  </si>
  <si>
    <t>&amp;A251_01_26</t>
  </si>
  <si>
    <t>&amp;A251_02_26</t>
  </si>
  <si>
    <t>&amp;A251_03_26</t>
  </si>
  <si>
    <t>&amp;A251_04_26</t>
  </si>
  <si>
    <t>&amp;A251_05_26</t>
  </si>
  <si>
    <t>&amp;A251_06_26</t>
  </si>
  <si>
    <t>&amp;A251_07_26</t>
  </si>
  <si>
    <t>&amp;A251_08_26</t>
  </si>
  <si>
    <t>&amp;A251_09_26</t>
  </si>
  <si>
    <t>&amp;A251_10_26</t>
  </si>
  <si>
    <t>&amp;A251_11_26</t>
  </si>
  <si>
    <t>&amp;A251_12_26</t>
  </si>
  <si>
    <t>&amp;A251_01_44</t>
  </si>
  <si>
    <t>&amp;A251_02_44</t>
  </si>
  <si>
    <t>&amp;A251_03_44</t>
  </si>
  <si>
    <t>&amp;A251_04_44</t>
  </si>
  <si>
    <t>&amp;A251_05_44</t>
  </si>
  <si>
    <t>&amp;A251_06_44</t>
  </si>
  <si>
    <t>&amp;A251_07_44</t>
  </si>
  <si>
    <t>&amp;A251_08_44</t>
  </si>
  <si>
    <t>&amp;A251_09_44</t>
  </si>
  <si>
    <t>&amp;A251_10_44</t>
  </si>
  <si>
    <t>&amp;A251_11_44</t>
  </si>
  <si>
    <t>&amp;A251_12_44</t>
  </si>
  <si>
    <t>&amp;A251_01KV</t>
  </si>
  <si>
    <t>&amp;A251_02KV</t>
  </si>
  <si>
    <t>&amp;A251_03KV</t>
  </si>
  <si>
    <t>&amp;A251_04KV</t>
  </si>
  <si>
    <t>&amp;A251_05KV</t>
  </si>
  <si>
    <t>&amp;A251_06KV</t>
  </si>
  <si>
    <t>&amp;A251_07KV</t>
  </si>
  <si>
    <t>&amp;A251_08KV</t>
  </si>
  <si>
    <t>&amp;A251_09KV</t>
  </si>
  <si>
    <t>&amp;A251_10KV</t>
  </si>
  <si>
    <t>&amp;A251_11KV</t>
  </si>
  <si>
    <t>&amp;A251_12KV</t>
  </si>
  <si>
    <t>&amp;A2511</t>
  </si>
  <si>
    <t>&amp;A252_01</t>
  </si>
  <si>
    <t>&amp;A252_02</t>
  </si>
  <si>
    <t>&amp;A252_03</t>
  </si>
  <si>
    <t>&amp;A252_04</t>
  </si>
  <si>
    <t>&amp;A252_05</t>
  </si>
  <si>
    <t>&amp;A252_06</t>
  </si>
  <si>
    <t>&amp;A252_07</t>
  </si>
  <si>
    <t>&amp;A252_08</t>
  </si>
  <si>
    <t>&amp;A252_09</t>
  </si>
  <si>
    <t>&amp;A252_10</t>
  </si>
  <si>
    <t>&amp;A252_11</t>
  </si>
  <si>
    <t>&amp;A252_12</t>
  </si>
  <si>
    <t>&amp;A2520</t>
  </si>
  <si>
    <t>&amp;A252_01_20</t>
  </si>
  <si>
    <t>&amp;A252_02_20</t>
  </si>
  <si>
    <t>&amp;A252_03_20</t>
  </si>
  <si>
    <t>&amp;A252_04_20</t>
  </si>
  <si>
    <t>&amp;A252_05_20</t>
  </si>
  <si>
    <t>&amp;A252_06_20</t>
  </si>
  <si>
    <t>&amp;A252_07_20</t>
  </si>
  <si>
    <t>&amp;A252_08_20</t>
  </si>
  <si>
    <t>&amp;A252_09_20</t>
  </si>
  <si>
    <t>&amp;A252_10_20</t>
  </si>
  <si>
    <t>&amp;A252_11_20</t>
  </si>
  <si>
    <t>&amp;A252_12_20</t>
  </si>
  <si>
    <t>&amp;A252_01_26</t>
  </si>
  <si>
    <t>&amp;A252_02_26</t>
  </si>
  <si>
    <t>&amp;A252_03_26</t>
  </si>
  <si>
    <t>&amp;A252_04_26</t>
  </si>
  <si>
    <t>&amp;A252_05_26</t>
  </si>
  <si>
    <t>&amp;A252_06_26</t>
  </si>
  <si>
    <t>&amp;A252_07_26</t>
  </si>
  <si>
    <t>&amp;A252_08_26</t>
  </si>
  <si>
    <t>&amp;A252_09_26</t>
  </si>
  <si>
    <t>&amp;A252_10_26</t>
  </si>
  <si>
    <t>&amp;A252_11_26</t>
  </si>
  <si>
    <t>&amp;A252_12_26</t>
  </si>
  <si>
    <t>&amp;A252_01_44</t>
  </si>
  <si>
    <t>&amp;A252_02_44</t>
  </si>
  <si>
    <t>&amp;A252_03_44</t>
  </si>
  <si>
    <t>&amp;A252_04_44</t>
  </si>
  <si>
    <t>&amp;A252_05_44</t>
  </si>
  <si>
    <t>&amp;A252_06_44</t>
  </si>
  <si>
    <t>&amp;A252_07_44</t>
  </si>
  <si>
    <t>&amp;A252_08_44</t>
  </si>
  <si>
    <t>&amp;A252_09_44</t>
  </si>
  <si>
    <t>&amp;A252_10_44</t>
  </si>
  <si>
    <t>&amp;A252_11_44</t>
  </si>
  <si>
    <t>&amp;A252_12_44</t>
  </si>
  <si>
    <t>&amp;A252_01KV</t>
  </si>
  <si>
    <t>&amp;A252_02KV</t>
  </si>
  <si>
    <t>&amp;A252_03KV</t>
  </si>
  <si>
    <t>&amp;A252_04KV</t>
  </si>
  <si>
    <t>&amp;A252_05KV</t>
  </si>
  <si>
    <t>&amp;A252_06KV</t>
  </si>
  <si>
    <t>&amp;A252_07KV</t>
  </si>
  <si>
    <t>&amp;A252_08KV</t>
  </si>
  <si>
    <t>&amp;A252_09KV</t>
  </si>
  <si>
    <t>&amp;A252_10KV</t>
  </si>
  <si>
    <t>&amp;A252_11KV</t>
  </si>
  <si>
    <t>&amp;A252_12KV</t>
  </si>
  <si>
    <t>&amp;A2521</t>
  </si>
  <si>
    <t>&amp;A253_01</t>
  </si>
  <si>
    <t>&amp;A253_02</t>
  </si>
  <si>
    <t>&amp;A253_03</t>
  </si>
  <si>
    <t>&amp;A253_04</t>
  </si>
  <si>
    <t>&amp;A253_05</t>
  </si>
  <si>
    <t>&amp;A253_06</t>
  </si>
  <si>
    <t>&amp;A253_07</t>
  </si>
  <si>
    <t>&amp;A253_08</t>
  </si>
  <si>
    <t>&amp;A253_09</t>
  </si>
  <si>
    <t>&amp;A253_10</t>
  </si>
  <si>
    <t>&amp;A253_11</t>
  </si>
  <si>
    <t>&amp;A253_12</t>
  </si>
  <si>
    <t>&amp;A2530</t>
  </si>
  <si>
    <t>&amp;A253_01_20</t>
  </si>
  <si>
    <t>&amp;A253_02_20</t>
  </si>
  <si>
    <t>&amp;A253_03_20</t>
  </si>
  <si>
    <t>&amp;A253_04_20</t>
  </si>
  <si>
    <t>&amp;A253_05_20</t>
  </si>
  <si>
    <t>&amp;A253_06_20</t>
  </si>
  <si>
    <t>&amp;A253_07_20</t>
  </si>
  <si>
    <t>&amp;A253_08_20</t>
  </si>
  <si>
    <t>&amp;A253_09_20</t>
  </si>
  <si>
    <t>&amp;A253_10_20</t>
  </si>
  <si>
    <t>&amp;A253_11_20</t>
  </si>
  <si>
    <t>&amp;A253_12_20</t>
  </si>
  <si>
    <t>&amp;A253_01_26</t>
  </si>
  <si>
    <t>&amp;A253_02_26</t>
  </si>
  <si>
    <t>&amp;A253_03_26</t>
  </si>
  <si>
    <t>&amp;A253_04_26</t>
  </si>
  <si>
    <t>&amp;A253_05_26</t>
  </si>
  <si>
    <t>&amp;A253_06_26</t>
  </si>
  <si>
    <t>&amp;A253_07_26</t>
  </si>
  <si>
    <t>&amp;A253_08_26</t>
  </si>
  <si>
    <t>&amp;A253_09_26</t>
  </si>
  <si>
    <t>&amp;A253_10_26</t>
  </si>
  <si>
    <t>&amp;A253_11_26</t>
  </si>
  <si>
    <t>&amp;A253_12_26</t>
  </si>
  <si>
    <t>&amp;A253_01_44</t>
  </si>
  <si>
    <t>&amp;A253_02_44</t>
  </si>
  <si>
    <t>&amp;A253_03_44</t>
  </si>
  <si>
    <t>&amp;A253_04_44</t>
  </si>
  <si>
    <t>&amp;A253_05_44</t>
  </si>
  <si>
    <t>&amp;A253_06_44</t>
  </si>
  <si>
    <t>&amp;A253_07_44</t>
  </si>
  <si>
    <t>&amp;A253_08_44</t>
  </si>
  <si>
    <t>&amp;A253_09_44</t>
  </si>
  <si>
    <t>&amp;A253_10_44</t>
  </si>
  <si>
    <t>&amp;A253_11_44</t>
  </si>
  <si>
    <t>&amp;A253_12_44</t>
  </si>
  <si>
    <t>&amp;A253_01KV</t>
  </si>
  <si>
    <t>&amp;A253_02KV</t>
  </si>
  <si>
    <t>&amp;A253_03KV</t>
  </si>
  <si>
    <t>&amp;A253_04KV</t>
  </si>
  <si>
    <t>&amp;A253_05KV</t>
  </si>
  <si>
    <t>&amp;A253_06KV</t>
  </si>
  <si>
    <t>&amp;A253_07KV</t>
  </si>
  <si>
    <t>&amp;A253_08KV</t>
  </si>
  <si>
    <t>&amp;A253_09KV</t>
  </si>
  <si>
    <t>&amp;A253_10KV</t>
  </si>
  <si>
    <t>&amp;A253_11KV</t>
  </si>
  <si>
    <t>&amp;A253_12KV</t>
  </si>
  <si>
    <t>&amp;A2531</t>
  </si>
  <si>
    <t>&amp;A058_01</t>
  </si>
  <si>
    <t>&amp;A058_02</t>
  </si>
  <si>
    <t>&amp;A058_03</t>
  </si>
  <si>
    <t>&amp;A058_04</t>
  </si>
  <si>
    <t>&amp;A058_05</t>
  </si>
  <si>
    <t>&amp;A058_06</t>
  </si>
  <si>
    <t>&amp;A058_07</t>
  </si>
  <si>
    <t>&amp;A058_08</t>
  </si>
  <si>
    <t>&amp;A058_09</t>
  </si>
  <si>
    <t>&amp;A058_10</t>
  </si>
  <si>
    <t>&amp;A058_11</t>
  </si>
  <si>
    <t>&amp;A058_12</t>
  </si>
  <si>
    <t>&amp;A0580</t>
  </si>
  <si>
    <t>&amp;A058_01_20</t>
  </si>
  <si>
    <t>&amp;A058_02_20</t>
  </si>
  <si>
    <t>&amp;A058_03_20</t>
  </si>
  <si>
    <t>&amp;A058_04_20</t>
  </si>
  <si>
    <t>&amp;A058_05_20</t>
  </si>
  <si>
    <t>&amp;A058_06_20</t>
  </si>
  <si>
    <t>&amp;A058_07_20</t>
  </si>
  <si>
    <t>&amp;A058_08_20</t>
  </si>
  <si>
    <t>&amp;A058_09_20</t>
  </si>
  <si>
    <t>&amp;A058_10_20</t>
  </si>
  <si>
    <t>&amp;A058_11_20</t>
  </si>
  <si>
    <t>&amp;A058_12_20</t>
  </si>
  <si>
    <t>&amp;A058_01_26</t>
  </si>
  <si>
    <t>&amp;A058_02_26</t>
  </si>
  <si>
    <t>&amp;A058_03_26</t>
  </si>
  <si>
    <t>&amp;A058_04_26</t>
  </si>
  <si>
    <t>&amp;A058_05_26</t>
  </si>
  <si>
    <t>&amp;A058_06_26</t>
  </si>
  <si>
    <t>&amp;A058_07_26</t>
  </si>
  <si>
    <t>&amp;A058_08_26</t>
  </si>
  <si>
    <t>&amp;A058_09_26</t>
  </si>
  <si>
    <t>&amp;A058_10_26</t>
  </si>
  <si>
    <t>&amp;A058_11_26</t>
  </si>
  <si>
    <t>&amp;A058_12_26</t>
  </si>
  <si>
    <t>&amp;A058_01_44</t>
  </si>
  <si>
    <t>&amp;A058_02_44</t>
  </si>
  <si>
    <t>&amp;A058_03_44</t>
  </si>
  <si>
    <t>&amp;A058_04_44</t>
  </si>
  <si>
    <t>&amp;A058_05_44</t>
  </si>
  <si>
    <t>&amp;A058_06_44</t>
  </si>
  <si>
    <t>&amp;A058_07_44</t>
  </si>
  <si>
    <t>&amp;A058_08_44</t>
  </si>
  <si>
    <t>&amp;A058_09_44</t>
  </si>
  <si>
    <t>&amp;A058_10_44</t>
  </si>
  <si>
    <t>&amp;A058_11_44</t>
  </si>
  <si>
    <t>&amp;A058_12_44</t>
  </si>
  <si>
    <t>&amp;A058_01KV</t>
  </si>
  <si>
    <t>&amp;A058_02KV</t>
  </si>
  <si>
    <t>&amp;A058_03KV</t>
  </si>
  <si>
    <t>&amp;A058_04KV</t>
  </si>
  <si>
    <t>&amp;A058_05KV</t>
  </si>
  <si>
    <t>&amp;A058_06KV</t>
  </si>
  <si>
    <t>&amp;A058_07KV</t>
  </si>
  <si>
    <t>&amp;A058_08KV</t>
  </si>
  <si>
    <t>&amp;A058_09KV</t>
  </si>
  <si>
    <t>&amp;A058_10KV</t>
  </si>
  <si>
    <t>&amp;A058_11KV</t>
  </si>
  <si>
    <t>&amp;A058_12KV</t>
  </si>
  <si>
    <t>&amp;A0581</t>
  </si>
  <si>
    <t>&amp;A062_01X</t>
  </si>
  <si>
    <t>&amp;A062_02X</t>
  </si>
  <si>
    <t>&amp;A062_03X</t>
  </si>
  <si>
    <t>&amp;A062_04X</t>
  </si>
  <si>
    <t>&amp;A062_05X</t>
  </si>
  <si>
    <t>&amp;A062_06X</t>
  </si>
  <si>
    <t>&amp;A062_07X</t>
  </si>
  <si>
    <t>&amp;A062_08X</t>
  </si>
  <si>
    <t>&amp;A062_09X</t>
  </si>
  <si>
    <t>&amp;A062_10X</t>
  </si>
  <si>
    <t>&amp;A062_11X</t>
  </si>
  <si>
    <t>&amp;A062_12X</t>
  </si>
  <si>
    <t>&amp;A062_01</t>
  </si>
  <si>
    <t>&amp;A062_02</t>
  </si>
  <si>
    <t>&amp;A062_03</t>
  </si>
  <si>
    <t>&amp;A062_04</t>
  </si>
  <si>
    <t>&amp;A062_05</t>
  </si>
  <si>
    <t>&amp;A062_06</t>
  </si>
  <si>
    <t>&amp;A062_07</t>
  </si>
  <si>
    <t>&amp;A062_08</t>
  </si>
  <si>
    <t>&amp;A062_09</t>
  </si>
  <si>
    <t>&amp;A062_10</t>
  </si>
  <si>
    <t>&amp;A062_11</t>
  </si>
  <si>
    <t>&amp;A062_12</t>
  </si>
  <si>
    <t>&amp;A0620</t>
  </si>
  <si>
    <t>&amp;A062_01_20</t>
  </si>
  <si>
    <t>&amp;A062_02_20</t>
  </si>
  <si>
    <t>&amp;A062_03_20</t>
  </si>
  <si>
    <t>&amp;A062_04_20</t>
  </si>
  <si>
    <t>&amp;A062_05_20</t>
  </si>
  <si>
    <t>&amp;A062_06_20</t>
  </si>
  <si>
    <t>&amp;A062_07_20</t>
  </si>
  <si>
    <t>&amp;A062_08_20</t>
  </si>
  <si>
    <t>&amp;A062_09_20</t>
  </si>
  <si>
    <t>&amp;A062_10_20</t>
  </si>
  <si>
    <t>&amp;A062_11_20</t>
  </si>
  <si>
    <t>&amp;A062_12_20</t>
  </si>
  <si>
    <t>&amp;A062_01_26</t>
  </si>
  <si>
    <t>&amp;A062_02_26</t>
  </si>
  <si>
    <t>&amp;A062_03_26</t>
  </si>
  <si>
    <t>&amp;A062_04_26</t>
  </si>
  <si>
    <t>&amp;A062_05_26</t>
  </si>
  <si>
    <t>&amp;A062_06_26</t>
  </si>
  <si>
    <t>&amp;A062_07_26</t>
  </si>
  <si>
    <t>&amp;A062_08_26</t>
  </si>
  <si>
    <t>&amp;A062_09_26</t>
  </si>
  <si>
    <t>&amp;A062_10_26</t>
  </si>
  <si>
    <t>&amp;A062_11_26</t>
  </si>
  <si>
    <t>&amp;A062_12_26</t>
  </si>
  <si>
    <t>&amp;A062_01_44</t>
  </si>
  <si>
    <t>&amp;A062_02_44</t>
  </si>
  <si>
    <t>&amp;A062_03_44</t>
  </si>
  <si>
    <t>&amp;A062_04_44</t>
  </si>
  <si>
    <t>&amp;A062_05_44</t>
  </si>
  <si>
    <t>&amp;A062_06_44</t>
  </si>
  <si>
    <t>&amp;A062_07_44</t>
  </si>
  <si>
    <t>&amp;A062_08_44</t>
  </si>
  <si>
    <t>&amp;A062_09_44</t>
  </si>
  <si>
    <t>&amp;A062_10_44</t>
  </si>
  <si>
    <t>&amp;A062_11_44</t>
  </si>
  <si>
    <t>&amp;A062_12_44</t>
  </si>
  <si>
    <t>&amp;A062_01KX</t>
  </si>
  <si>
    <t>&amp;A062_02KX</t>
  </si>
  <si>
    <t>&amp;A062_03KX</t>
  </si>
  <si>
    <t>&amp;A062_04KX</t>
  </si>
  <si>
    <t>&amp;A062_05KX</t>
  </si>
  <si>
    <t>&amp;A062_06KX</t>
  </si>
  <si>
    <t>&amp;A062_07KX</t>
  </si>
  <si>
    <t>&amp;A062_08KX</t>
  </si>
  <si>
    <t>&amp;A062_09KX</t>
  </si>
  <si>
    <t>&amp;A062_10KX</t>
  </si>
  <si>
    <t>&amp;A062_11KX</t>
  </si>
  <si>
    <t>&amp;A062_12KX</t>
  </si>
  <si>
    <t>&amp;A062_01KV</t>
  </si>
  <si>
    <t>&amp;A062_02KV</t>
  </si>
  <si>
    <t>&amp;A062_03KV</t>
  </si>
  <si>
    <t>&amp;A062_04KV</t>
  </si>
  <si>
    <t>&amp;A062_05KV</t>
  </si>
  <si>
    <t>&amp;A062_06KV</t>
  </si>
  <si>
    <t>&amp;A062_07KV</t>
  </si>
  <si>
    <t>&amp;A062_08KV</t>
  </si>
  <si>
    <t>&amp;A062_09KV</t>
  </si>
  <si>
    <t>&amp;A062_10KV</t>
  </si>
  <si>
    <t>&amp;A062_11KV</t>
  </si>
  <si>
    <t>&amp;A062_12KV</t>
  </si>
  <si>
    <t>&amp;A0621</t>
  </si>
  <si>
    <t>&amp;A2600</t>
  </si>
  <si>
    <t>&amp;A2601</t>
  </si>
  <si>
    <t>&amp;A025_01_20_134</t>
  </si>
  <si>
    <t>&amp;A025_02_20_134</t>
  </si>
  <si>
    <t>&amp;A025_03_20_134</t>
  </si>
  <si>
    <t>&amp;A025_01_26_134</t>
  </si>
  <si>
    <t>&amp;A025_02_26_134</t>
  </si>
  <si>
    <t>&amp;A025_03_26_134</t>
  </si>
  <si>
    <t>&amp;A025_01_44_134</t>
  </si>
  <si>
    <t>&amp;A025_02_44_134</t>
  </si>
  <si>
    <t>&amp;A025_03_44_134</t>
  </si>
  <si>
    <t>&amp;A0400</t>
  </si>
  <si>
    <t>&amp;A0401</t>
  </si>
  <si>
    <t>&amp;A040_01_20</t>
  </si>
  <si>
    <t>&amp;A040_02_20</t>
  </si>
  <si>
    <t>&amp;A040_03_20</t>
  </si>
  <si>
    <t>&amp;A040_04_20</t>
  </si>
  <si>
    <t>&amp;A040_05_20</t>
  </si>
  <si>
    <t>&amp;A040_06_20</t>
  </si>
  <si>
    <t>&amp;A040_07_20</t>
  </si>
  <si>
    <t>&amp;A040_08_20</t>
  </si>
  <si>
    <t>&amp;A040_09_20</t>
  </si>
  <si>
    <t>&amp;A040_10_20</t>
  </si>
  <si>
    <t>&amp;A040_11_20</t>
  </si>
  <si>
    <t>&amp;A040_12_20</t>
  </si>
  <si>
    <t>&amp;A040_01_26</t>
  </si>
  <si>
    <t>&amp;A040_02_26</t>
  </si>
  <si>
    <t>&amp;A040_03_26</t>
  </si>
  <si>
    <t>&amp;A040_04_26</t>
  </si>
  <si>
    <t>&amp;A040_05_26</t>
  </si>
  <si>
    <t>&amp;A040_06_26</t>
  </si>
  <si>
    <t>&amp;A040_07_26</t>
  </si>
  <si>
    <t>&amp;A040_08_26</t>
  </si>
  <si>
    <t>&amp;A040_09_26</t>
  </si>
  <si>
    <t>&amp;A040_10_26</t>
  </si>
  <si>
    <t>&amp;A040_11_26</t>
  </si>
  <si>
    <t>&amp;A040_12_26</t>
  </si>
  <si>
    <t>&amp;A040_01_44</t>
  </si>
  <si>
    <t>&amp;A040_02_44</t>
  </si>
  <si>
    <t>&amp;A040_03_44</t>
  </si>
  <si>
    <t>&amp;A040_04_44</t>
  </si>
  <si>
    <t>&amp;A040_05_44</t>
  </si>
  <si>
    <t>&amp;A040_06_44</t>
  </si>
  <si>
    <t>&amp;A040_07_44</t>
  </si>
  <si>
    <t>&amp;A040_08_44</t>
  </si>
  <si>
    <t>&amp;A040_09_44</t>
  </si>
  <si>
    <t>&amp;A040_10_44</t>
  </si>
  <si>
    <t>&amp;A040_11_44</t>
  </si>
  <si>
    <t>&amp;A040_12_44</t>
  </si>
  <si>
    <t>&amp;A0751</t>
  </si>
  <si>
    <t>&amp;A0752</t>
  </si>
  <si>
    <t>&amp;A0753</t>
  </si>
  <si>
    <t>&amp;A0754</t>
  </si>
  <si>
    <t>&amp;A0761</t>
  </si>
  <si>
    <t>&amp;A0762</t>
  </si>
  <si>
    <t>&amp;A0763</t>
  </si>
  <si>
    <t>&amp;A0764</t>
  </si>
  <si>
    <t>&amp;B1101</t>
  </si>
  <si>
    <t>&amp;B1103</t>
  </si>
  <si>
    <t>&amp;B1102</t>
  </si>
  <si>
    <t>&amp;B1131</t>
  </si>
  <si>
    <t>&amp;B1133</t>
  </si>
  <si>
    <t>&amp;B1132</t>
  </si>
  <si>
    <t>&amp;B1141</t>
  </si>
  <si>
    <t>&amp;B1143</t>
  </si>
  <si>
    <t>&amp;B1142</t>
  </si>
  <si>
    <t>&amp;B1151</t>
  </si>
  <si>
    <t>&amp;B1153</t>
  </si>
  <si>
    <t>&amp;B1152</t>
  </si>
  <si>
    <t>&amp;B1161</t>
  </si>
  <si>
    <t>&amp;B1163</t>
  </si>
  <si>
    <t>&amp;B1162</t>
  </si>
  <si>
    <t>&amp;B1171</t>
  </si>
  <si>
    <t>&amp;B1173</t>
  </si>
  <si>
    <t>&amp;B1172</t>
  </si>
  <si>
    <t>&amp;B1181</t>
  </si>
  <si>
    <t>&amp;B1183</t>
  </si>
  <si>
    <t>&amp;B1182</t>
  </si>
  <si>
    <t>&amp;B1191</t>
  </si>
  <si>
    <t>&amp;B1193</t>
  </si>
  <si>
    <t>&amp;B1192</t>
  </si>
  <si>
    <t>&amp;B1201</t>
  </si>
  <si>
    <t>&amp;B1203</t>
  </si>
  <si>
    <t>&amp;B1202</t>
  </si>
  <si>
    <t>&amp;B1221</t>
  </si>
  <si>
    <t>&amp;B1223</t>
  </si>
  <si>
    <t>&amp;B1222</t>
  </si>
  <si>
    <t>&amp;B1231</t>
  </si>
  <si>
    <t>&amp;B1233</t>
  </si>
  <si>
    <t>&amp;B1232</t>
  </si>
  <si>
    <t>&amp;B1241</t>
  </si>
  <si>
    <t>&amp;B1243</t>
  </si>
  <si>
    <t>&amp;B1242</t>
  </si>
  <si>
    <t>&amp;B1251</t>
  </si>
  <si>
    <t>&amp;B1253</t>
  </si>
  <si>
    <t>&amp;B1252</t>
  </si>
  <si>
    <t>&amp;B1261</t>
  </si>
  <si>
    <t>&amp;B1263</t>
  </si>
  <si>
    <t>&amp;B1262</t>
  </si>
  <si>
    <t>&amp;B1271</t>
  </si>
  <si>
    <t>&amp;B1273</t>
  </si>
  <si>
    <t>&amp;B1272</t>
  </si>
  <si>
    <t>&amp;B1281</t>
  </si>
  <si>
    <t>&amp;B1283</t>
  </si>
  <si>
    <t>&amp;B1282</t>
  </si>
  <si>
    <t>&amp;B1291</t>
  </si>
  <si>
    <t>&amp;B1293</t>
  </si>
  <si>
    <t>&amp;B1292</t>
  </si>
  <si>
    <t>&amp;B1301</t>
  </si>
  <si>
    <t>&amp;B1303</t>
  </si>
  <si>
    <t>&amp;B1302</t>
  </si>
  <si>
    <t>&amp;B1311</t>
  </si>
  <si>
    <t>&amp;B1313</t>
  </si>
  <si>
    <t>&amp;B1312</t>
  </si>
  <si>
    <t>&amp;B1321</t>
  </si>
  <si>
    <t>&amp;B1323</t>
  </si>
  <si>
    <t>&amp;B1322</t>
  </si>
  <si>
    <t>&amp;B1331</t>
  </si>
  <si>
    <t>&amp;B1333</t>
  </si>
  <si>
    <t>&amp;B1332</t>
  </si>
  <si>
    <t>&amp;B1341</t>
  </si>
  <si>
    <t>&amp;B1343</t>
  </si>
  <si>
    <t>&amp;B1342</t>
  </si>
  <si>
    <t>&amp;B1351</t>
  </si>
  <si>
    <t>&amp;B1353</t>
  </si>
  <si>
    <t>&amp;B1352</t>
  </si>
  <si>
    <t>&amp;B1361</t>
  </si>
  <si>
    <t>&amp;B1363</t>
  </si>
  <si>
    <t>&amp;B1362</t>
  </si>
  <si>
    <t>&amp;B1371</t>
  </si>
  <si>
    <t>&amp;B1373</t>
  </si>
  <si>
    <t>&amp;B1372</t>
  </si>
  <si>
    <t>&amp;B1381</t>
  </si>
  <si>
    <t>&amp;B1383</t>
  </si>
  <si>
    <t>&amp;B1382</t>
  </si>
  <si>
    <t>&amp;B1391</t>
  </si>
  <si>
    <t>&amp;B1393</t>
  </si>
  <si>
    <t>&amp;B1392</t>
  </si>
  <si>
    <t>&amp;B1401</t>
  </si>
  <si>
    <t>&amp;B1403</t>
  </si>
  <si>
    <t>&amp;B1402</t>
  </si>
  <si>
    <t>&amp;B1411</t>
  </si>
  <si>
    <t>&amp;B1413</t>
  </si>
  <si>
    <t>&amp;B1412</t>
  </si>
  <si>
    <t>&amp;B1421</t>
  </si>
  <si>
    <t>&amp;B1423</t>
  </si>
  <si>
    <t>&amp;B1422</t>
  </si>
  <si>
    <t>&amp;B1431</t>
  </si>
  <si>
    <t>&amp;B1433</t>
  </si>
  <si>
    <t>&amp;B1432</t>
  </si>
  <si>
    <t>&amp;B1441</t>
  </si>
  <si>
    <t>&amp;B1443</t>
  </si>
  <si>
    <t>&amp;B1442</t>
  </si>
  <si>
    <t>&amp;B1451</t>
  </si>
  <si>
    <t>&amp;B1453</t>
  </si>
  <si>
    <t>&amp;B1452</t>
  </si>
  <si>
    <t>&amp;B1471</t>
  </si>
  <si>
    <t>&amp;B1473</t>
  </si>
  <si>
    <t>&amp;B1472</t>
  </si>
  <si>
    <t>&amp;B1531</t>
  </si>
  <si>
    <t>&amp;B1532</t>
  </si>
  <si>
    <t>&amp;B1533</t>
  </si>
  <si>
    <t>Раздел 3</t>
  </si>
  <si>
    <t>Оценка материальных затрат</t>
  </si>
  <si>
    <t xml:space="preserve">Таблица 3 (по строке, соответствующей применяемому методу, проставляется код 1) </t>
  </si>
  <si>
    <t>Наименование</t>
  </si>
  <si>
    <t>Методы оценки материальных затрат: по себестоимости каждой единицы</t>
  </si>
  <si>
    <t>300</t>
  </si>
  <si>
    <t>по средней себестоимости</t>
  </si>
  <si>
    <t>301</t>
  </si>
  <si>
    <t>0</t>
  </si>
  <si>
    <t>по себестоимости первых по времени приобретения запасов (способ ФИФО)</t>
  </si>
  <si>
    <t>302</t>
  </si>
  <si>
    <t>Объем производства продукции (работ, услуг) в отпускных ценах за вычетом налогов и сборов, исчисляемых из выручки</t>
  </si>
  <si>
    <t>Затраты на производство и реализацию продукции (работ, услуг)(сумма строк 003, с 010 по 012, 015)</t>
  </si>
  <si>
    <t>амортизация основных средств и нематериальных активов, используемых в предпринимательской деятельности (сумма строк 013, 014)</t>
  </si>
  <si>
    <t>8837637.69</t>
  </si>
  <si>
    <t>8668726.79</t>
  </si>
  <si>
    <t>8329878.46</t>
  </si>
  <si>
    <t>-151901.33</t>
  </si>
  <si>
    <t>8177977.13</t>
  </si>
  <si>
    <t>7536334.49</t>
  </si>
  <si>
    <t>7500262.09</t>
  </si>
  <si>
    <t>2546861.38</t>
  </si>
  <si>
    <t>36507.30</t>
  </si>
  <si>
    <t>2583368.68</t>
  </si>
  <si>
    <t>1858236.75</t>
  </si>
  <si>
    <t>2582529.63</t>
  </si>
  <si>
    <t>15835.82</t>
  </si>
  <si>
    <t>24554.19</t>
  </si>
  <si>
    <t>2607083.82</t>
  </si>
  <si>
    <t>93698.39</t>
  </si>
  <si>
    <t>827.27</t>
  </si>
  <si>
    <t>94525.66</t>
  </si>
  <si>
    <t>103517.19</t>
  </si>
  <si>
    <t>1932.21</t>
  </si>
  <si>
    <t>105449.40</t>
  </si>
  <si>
    <t>76108.79</t>
  </si>
  <si>
    <t>64581.29</t>
  </si>
  <si>
    <t>77648.75</t>
  </si>
  <si>
    <t>5788.20</t>
  </si>
  <si>
    <t>83436.95</t>
  </si>
  <si>
    <t>63101.51</t>
  </si>
  <si>
    <t>4574.88</t>
  </si>
  <si>
    <t>67676.39</t>
  </si>
  <si>
    <t>1611909.98</t>
  </si>
  <si>
    <t>7625.43</t>
  </si>
  <si>
    <t>1619535.41</t>
  </si>
  <si>
    <t>1630283.63</t>
  </si>
  <si>
    <t>7119.37</t>
  </si>
  <si>
    <t>1637403.00</t>
  </si>
  <si>
    <t>154738.86</t>
  </si>
  <si>
    <t>190369.17</t>
  </si>
  <si>
    <t>1665670.45</t>
  </si>
  <si>
    <t>1452593.93</t>
  </si>
  <si>
    <t>557210.71</t>
  </si>
  <si>
    <t>544730.07</t>
  </si>
  <si>
    <t>1983815.92</t>
  </si>
  <si>
    <t>2131546.70</t>
  </si>
  <si>
    <t>1972785.64</t>
  </si>
  <si>
    <t>2120315.55</t>
  </si>
  <si>
    <t>11030.28</t>
  </si>
  <si>
    <t>11231.15</t>
  </si>
  <si>
    <t>322633.60</t>
  </si>
  <si>
    <t>423468.27</t>
  </si>
  <si>
    <t>746101.87</t>
  </si>
  <si>
    <t>368834.02</t>
  </si>
  <si>
    <t>395473.55</t>
  </si>
  <si>
    <t>764307.57</t>
  </si>
  <si>
    <t>4.45</t>
  </si>
  <si>
    <t>1.61</t>
  </si>
  <si>
    <t>171830.54</t>
  </si>
  <si>
    <t>23765.27</t>
  </si>
  <si>
    <t>195595.81</t>
  </si>
  <si>
    <t>126536.04</t>
  </si>
  <si>
    <t>19277.48</t>
  </si>
  <si>
    <t>145813.52</t>
  </si>
  <si>
    <t>8654795.93</t>
  </si>
  <si>
    <t>2960414.74</t>
  </si>
  <si>
    <t>2717432.90</t>
  </si>
  <si>
    <t>2976948.29</t>
  </si>
  <si>
    <t>0.998471</t>
  </si>
  <si>
    <t>0.998284</t>
  </si>
  <si>
    <t>0.998415</t>
  </si>
  <si>
    <t>31.03.2022</t>
  </si>
  <si>
    <t>30.04.2022</t>
  </si>
  <si>
    <t>4.00</t>
  </si>
  <si>
    <t>1.00</t>
  </si>
  <si>
    <t>2497220.24</t>
  </si>
  <si>
    <t>2404590.37</t>
  </si>
  <si>
    <t>2622403.30</t>
  </si>
  <si>
    <t>2189482.79</t>
  </si>
  <si>
    <t>2095539.66</t>
  </si>
  <si>
    <t>2297260.18</t>
  </si>
  <si>
    <t>311561.55</t>
  </si>
  <si>
    <t>313184.08</t>
  </si>
  <si>
    <t>329306.23</t>
  </si>
  <si>
    <t>7524213.92</t>
  </si>
  <si>
    <t>836723.05</t>
  </si>
  <si>
    <t>774880.74</t>
  </si>
  <si>
    <t>935257.59</t>
  </si>
  <si>
    <t>7738.64</t>
  </si>
  <si>
    <t>13147.67</t>
  </si>
  <si>
    <t>15620.99</t>
  </si>
  <si>
    <t>2542769.95</t>
  </si>
  <si>
    <t>36448.15</t>
  </si>
  <si>
    <t>2579218.10</t>
  </si>
  <si>
    <t>835443.70</t>
  </si>
  <si>
    <t>773551.04</t>
  </si>
  <si>
    <t>933775.21</t>
  </si>
  <si>
    <t>7726.81</t>
  </si>
  <si>
    <t>13125.11</t>
  </si>
  <si>
    <t>15596.23</t>
  </si>
  <si>
    <t>24863.19</t>
  </si>
  <si>
    <t>20687.65</t>
  </si>
  <si>
    <t>48823.68</t>
  </si>
  <si>
    <t>94374.52</t>
  </si>
  <si>
    <t>24473.21</t>
  </si>
  <si>
    <t>20584.87</t>
  </si>
  <si>
    <t>48640.31</t>
  </si>
  <si>
    <t>428.05</t>
  </si>
  <si>
    <t>138.34</t>
  </si>
  <si>
    <t>260.88</t>
  </si>
  <si>
    <t>17379.65</t>
  </si>
  <si>
    <t>16733.37</t>
  </si>
  <si>
    <t>36837.90</t>
  </si>
  <si>
    <t>354.56</t>
  </si>
  <si>
    <t>2863.71</t>
  </si>
  <si>
    <t>8206.88</t>
  </si>
  <si>
    <t>0.01</t>
  </si>
  <si>
    <t>1582.99</t>
  </si>
  <si>
    <t>833.35</t>
  </si>
  <si>
    <t>17707.09</t>
  </si>
  <si>
    <t>19563.45</t>
  </si>
  <si>
    <t>44973.38</t>
  </si>
  <si>
    <t>82243.93</t>
  </si>
  <si>
    <t>227.94</t>
  </si>
  <si>
    <t>17433.67</t>
  </si>
  <si>
    <t>227.59</t>
  </si>
  <si>
    <t>17406.04</t>
  </si>
  <si>
    <t>17633.63</t>
  </si>
  <si>
    <t>3529.98</t>
  </si>
  <si>
    <t>9467.74</t>
  </si>
  <si>
    <t>3128.37</t>
  </si>
  <si>
    <t>16126.09</t>
  </si>
  <si>
    <t>3535.39</t>
  </si>
  <si>
    <t>8817.81</t>
  </si>
  <si>
    <t>3133.34</t>
  </si>
  <si>
    <t>666.20</t>
  </si>
  <si>
    <t>9715.85</t>
  </si>
  <si>
    <t>7057.05</t>
  </si>
  <si>
    <t>16552.29</t>
  </si>
  <si>
    <t>33325.19</t>
  </si>
  <si>
    <t>9573.23</t>
  </si>
  <si>
    <t>5068.73</t>
  </si>
  <si>
    <t>9922.75</t>
  </si>
  <si>
    <t>157.50</t>
  </si>
  <si>
    <t>2000.45</t>
  </si>
  <si>
    <t>6655.82</t>
  </si>
  <si>
    <t>25116.52</t>
  </si>
  <si>
    <t>28692.11</t>
  </si>
  <si>
    <t>29493.72</t>
  </si>
  <si>
    <t>83302.35</t>
  </si>
  <si>
    <t>24026.72</t>
  </si>
  <si>
    <t>26848.60</t>
  </si>
  <si>
    <t>26773.43</t>
  </si>
  <si>
    <t>1128.26</t>
  </si>
  <si>
    <t>1892.83</t>
  </si>
  <si>
    <t>2767.11</t>
  </si>
  <si>
    <t>531433.54</t>
  </si>
  <si>
    <t>497752.38</t>
  </si>
  <si>
    <t>587747.01</t>
  </si>
  <si>
    <t>1616932.93</t>
  </si>
  <si>
    <t>529869.14</t>
  </si>
  <si>
    <t>496028.84</t>
  </si>
  <si>
    <t>586012.00</t>
  </si>
  <si>
    <t>2378.21</t>
  </si>
  <si>
    <t>2579.15</t>
  </si>
  <si>
    <t>2668.07</t>
  </si>
  <si>
    <t>61061.50</t>
  </si>
  <si>
    <t>49989.70</t>
  </si>
  <si>
    <t>43439.26</t>
  </si>
  <si>
    <t>154490.46</t>
  </si>
  <si>
    <t>57937.99</t>
  </si>
  <si>
    <t>46489.99</t>
  </si>
  <si>
    <t>42463.33</t>
  </si>
  <si>
    <t>3217.02</t>
  </si>
  <si>
    <t>3585.64</t>
  </si>
  <si>
    <t>1044.89</t>
  </si>
  <si>
    <t>182988.66</t>
  </si>
  <si>
    <t>169990.86</t>
  </si>
  <si>
    <t>194894.38</t>
  </si>
  <si>
    <t>547873.91</t>
  </si>
  <si>
    <t>183036.34</t>
  </si>
  <si>
    <t>168195.07</t>
  </si>
  <si>
    <t>194530.62</t>
  </si>
  <si>
    <t>232.54</t>
  </si>
  <si>
    <t>2088.00</t>
  </si>
  <si>
    <t>673.16</t>
  </si>
  <si>
    <t>0.91</t>
  </si>
  <si>
    <t>2.07</t>
  </si>
  <si>
    <t>1.47</t>
  </si>
  <si>
    <t>4.44</t>
  </si>
  <si>
    <t>172615.86</t>
  </si>
  <si>
    <t>161434.83</t>
  </si>
  <si>
    <t>188282.84</t>
  </si>
  <si>
    <t>522333.53</t>
  </si>
  <si>
    <t>172880.19</t>
  </si>
  <si>
    <t>161712.33</t>
  </si>
  <si>
    <t>188581.74</t>
  </si>
  <si>
    <t>563555.39</t>
  </si>
  <si>
    <t>527991.12</t>
  </si>
  <si>
    <t>571446.17</t>
  </si>
  <si>
    <t>1662992.68</t>
  </si>
  <si>
    <t>442489.64</t>
  </si>
  <si>
    <t>412399.33</t>
  </si>
  <si>
    <t>448833.24</t>
  </si>
  <si>
    <t>121928.75</t>
  </si>
  <si>
    <t>116499.38</t>
  </si>
  <si>
    <t>123520.11</t>
  </si>
  <si>
    <t>188854.15</t>
  </si>
  <si>
    <t>178323.68</t>
  </si>
  <si>
    <t>189136.89</t>
  </si>
  <si>
    <t>556314.72</t>
  </si>
  <si>
    <t>147809.39</t>
  </si>
  <si>
    <t>139077.51</t>
  </si>
  <si>
    <t>147977.64</t>
  </si>
  <si>
    <t>41333.96</t>
  </si>
  <si>
    <t>39552.70</t>
  </si>
  <si>
    <t>41459.51</t>
  </si>
  <si>
    <t>657767.89</t>
  </si>
  <si>
    <t>665879.17</t>
  </si>
  <si>
    <t>656974.02</t>
  </si>
  <si>
    <t>1980621.08</t>
  </si>
  <si>
    <t>656507.59</t>
  </si>
  <si>
    <t>663263.32</t>
  </si>
  <si>
    <t>654429.99</t>
  </si>
  <si>
    <t>2267.57</t>
  </si>
  <si>
    <t>3760.46</t>
  </si>
  <si>
    <t>3586.99</t>
  </si>
  <si>
    <t>9263.19</t>
  </si>
  <si>
    <t>9200.66</t>
  </si>
  <si>
    <t>9270.58</t>
  </si>
  <si>
    <t>27734.44</t>
  </si>
  <si>
    <t>9275.59</t>
  </si>
  <si>
    <t>9206.53</t>
  </si>
  <si>
    <t>9282.87</t>
  </si>
  <si>
    <t>1.79</t>
  </si>
  <si>
    <t>9.95</t>
  </si>
  <si>
    <t>2.43</t>
  </si>
  <si>
    <t>10995.61</t>
  </si>
  <si>
    <t>10991.70</t>
  </si>
  <si>
    <t>4661.02</t>
  </si>
  <si>
    <t>26648.33</t>
  </si>
  <si>
    <t>11010.66</t>
  </si>
  <si>
    <t>11000.64</t>
  </si>
  <si>
    <t>4665.99</t>
  </si>
  <si>
    <t>1042.40</t>
  </si>
  <si>
    <t>1365.65</t>
  </si>
  <si>
    <t>1949.90</t>
  </si>
  <si>
    <t>4357.96</t>
  </si>
  <si>
    <t>936.00</t>
  </si>
  <si>
    <t>1215.00</t>
  </si>
  <si>
    <t>1611.00</t>
  </si>
  <si>
    <t>108.00</t>
  </si>
  <si>
    <t>153.00</t>
  </si>
  <si>
    <t>342.00</t>
  </si>
  <si>
    <t>174157.73</t>
  </si>
  <si>
    <t>173314.19</t>
  </si>
  <si>
    <t>181939.97</t>
  </si>
  <si>
    <t>529411.88</t>
  </si>
  <si>
    <t>46410.23</t>
  </si>
  <si>
    <t>42864.37</t>
  </si>
  <si>
    <t>46591.73</t>
  </si>
  <si>
    <t>128014.19</t>
  </si>
  <si>
    <t>130747.74</t>
  </si>
  <si>
    <t>135637.07</t>
  </si>
  <si>
    <t>3067.51</t>
  </si>
  <si>
    <t>2911.61</t>
  </si>
  <si>
    <t>2986.07</t>
  </si>
  <si>
    <t>8965.19</t>
  </si>
  <si>
    <t>2436.22</t>
  </si>
  <si>
    <t>2214.05</t>
  </si>
  <si>
    <t>2351.51</t>
  </si>
  <si>
    <t>635.99</t>
  </si>
  <si>
    <t>702.56</t>
  </si>
  <si>
    <t>639.30</t>
  </si>
  <si>
    <t>54249.08</t>
  </si>
  <si>
    <t>56601.42</t>
  </si>
  <si>
    <t>56695.77</t>
  </si>
  <si>
    <t>167546.28</t>
  </si>
  <si>
    <t>45524.12</t>
  </si>
  <si>
    <t>49133.90</t>
  </si>
  <si>
    <t>49407.53</t>
  </si>
  <si>
    <t>8808.03</t>
  </si>
  <si>
    <t>7564.82</t>
  </si>
  <si>
    <t>7378.25</t>
  </si>
  <si>
    <t>1868.27</t>
  </si>
  <si>
    <t>4512.03</t>
  </si>
  <si>
    <t>4475.53</t>
  </si>
  <si>
    <t>10855.83</t>
  </si>
  <si>
    <t>1779.46</t>
  </si>
  <si>
    <t>4022.04</t>
  </si>
  <si>
    <t>4204.97</t>
  </si>
  <si>
    <t>91.67</t>
  </si>
  <si>
    <t>497.75</t>
  </si>
  <si>
    <t>277.66</t>
  </si>
  <si>
    <t>187.51</t>
  </si>
  <si>
    <t>273.92</t>
  </si>
  <si>
    <t>437.44</t>
  </si>
  <si>
    <t>898.87</t>
  </si>
  <si>
    <t>96.41</t>
  </si>
  <si>
    <t>250.59</t>
  </si>
  <si>
    <t>187.80</t>
  </si>
  <si>
    <t>177.98</t>
  </si>
  <si>
    <t>187.54</t>
  </si>
  <si>
    <t>460.34</t>
  </si>
  <si>
    <t>293.35</t>
  </si>
  <si>
    <t>332.32</t>
  </si>
  <si>
    <t>1086.00</t>
  </si>
  <si>
    <t>80.85</t>
  </si>
  <si>
    <t>380.19</t>
  </si>
  <si>
    <t>293.85</t>
  </si>
  <si>
    <t>332.85</t>
  </si>
  <si>
    <t>1389.72</t>
  </si>
  <si>
    <t>1388.48</t>
  </si>
  <si>
    <t>1326.54</t>
  </si>
  <si>
    <t>4104.75</t>
  </si>
  <si>
    <t>1384.16</t>
  </si>
  <si>
    <t>1383.85</t>
  </si>
  <si>
    <t>1322.00</t>
  </si>
  <si>
    <t>7.69</t>
  </si>
  <si>
    <t>7.02</t>
  </si>
  <si>
    <t>6.65</t>
  </si>
  <si>
    <t>4137.10</t>
  </si>
  <si>
    <t>3486.73</t>
  </si>
  <si>
    <t>3273.22</t>
  </si>
  <si>
    <t>10897.05</t>
  </si>
  <si>
    <t>316.70</t>
  </si>
  <si>
    <t>317.73</t>
  </si>
  <si>
    <t>309.78</t>
  </si>
  <si>
    <t>3826.74</t>
  </si>
  <si>
    <t>3174.99</t>
  </si>
  <si>
    <t>2968.64</t>
  </si>
  <si>
    <t>4520.12</t>
  </si>
  <si>
    <t>5034.91</t>
  </si>
  <si>
    <t>5037.33</t>
  </si>
  <si>
    <t>14592.36</t>
  </si>
  <si>
    <t>4527.04</t>
  </si>
  <si>
    <t>5036.76</t>
  </si>
  <si>
    <t>5041.93</t>
  </si>
  <si>
    <t>6.80</t>
  </si>
  <si>
    <t>3.40</t>
  </si>
  <si>
    <t>176.08</t>
  </si>
  <si>
    <t>194.40</t>
  </si>
  <si>
    <t>195.48</t>
  </si>
  <si>
    <t>565.96</t>
  </si>
  <si>
    <t>176.35</t>
  </si>
  <si>
    <t>194.73</t>
  </si>
  <si>
    <t>195.79</t>
  </si>
  <si>
    <t>31833.22</t>
  </si>
  <si>
    <t>31431.89</t>
  </si>
  <si>
    <t>31137.53</t>
  </si>
  <si>
    <t>94402.64</t>
  </si>
  <si>
    <t>31881.97</t>
  </si>
  <si>
    <t>29610.13</t>
  </si>
  <si>
    <t>29311.17</t>
  </si>
  <si>
    <t>1875.79</t>
  </si>
  <si>
    <t>804.27</t>
  </si>
  <si>
    <t>499.14</t>
  </si>
  <si>
    <t>1838.08</t>
  </si>
  <si>
    <t>3141.49</t>
  </si>
  <si>
    <t>483.00</t>
  </si>
  <si>
    <t>1750.00</t>
  </si>
  <si>
    <t>322.50</t>
  </si>
  <si>
    <t>500.00</t>
  </si>
  <si>
    <t>91.00</t>
  </si>
  <si>
    <t>39.31</t>
  </si>
  <si>
    <t>38.79</t>
  </si>
  <si>
    <t>107.18</t>
  </si>
  <si>
    <t>185.28</t>
  </si>
  <si>
    <t>38.99</t>
  </si>
  <si>
    <t>36.78</t>
  </si>
  <si>
    <t>106.81</t>
  </si>
  <si>
    <t>0.38</t>
  </si>
  <si>
    <t>2.08</t>
  </si>
  <si>
    <t>0.54</t>
  </si>
  <si>
    <t>3951.96</t>
  </si>
  <si>
    <t>5141.39</t>
  </si>
  <si>
    <t>4024.23</t>
  </si>
  <si>
    <t>13117.58</t>
  </si>
  <si>
    <t>3257.58</t>
  </si>
  <si>
    <t>5141.64</t>
  </si>
  <si>
    <t>4026.80</t>
  </si>
  <si>
    <t>700.43</t>
  </si>
  <si>
    <t>8.59</t>
  </si>
  <si>
    <t>3.82</t>
  </si>
  <si>
    <t>636.73</t>
  </si>
  <si>
    <t>702.80</t>
  </si>
  <si>
    <t>688.69</t>
  </si>
  <si>
    <t>2028.22</t>
  </si>
  <si>
    <t>589.15</t>
  </si>
  <si>
    <t>656.17</t>
  </si>
  <si>
    <t>629.55</t>
  </si>
  <si>
    <t>48.56</t>
  </si>
  <si>
    <t>47.84</t>
  </si>
  <si>
    <t>60.23</t>
  </si>
  <si>
    <t>206.80</t>
  </si>
  <si>
    <t>470.45</t>
  </si>
  <si>
    <t>341.37</t>
  </si>
  <si>
    <t>1018.62</t>
  </si>
  <si>
    <t>188.70</t>
  </si>
  <si>
    <t>452.84</t>
  </si>
  <si>
    <t>323.29</t>
  </si>
  <si>
    <t>18.42</t>
  </si>
  <si>
    <t>18.62</t>
  </si>
  <si>
    <t>2092.39</t>
  </si>
  <si>
    <t>2326.71</t>
  </si>
  <si>
    <t>2465.89</t>
  </si>
  <si>
    <t>6884.98</t>
  </si>
  <si>
    <t>1370.96</t>
  </si>
  <si>
    <t>1284.91</t>
  </si>
  <si>
    <t>1517.08</t>
  </si>
  <si>
    <t>724.63</t>
  </si>
  <si>
    <t>1045.80</t>
  </si>
  <si>
    <t>952.72</t>
  </si>
  <si>
    <t>1473.60</t>
  </si>
  <si>
    <t>3078.38</t>
  </si>
  <si>
    <t>2281.20</t>
  </si>
  <si>
    <t>2516.01</t>
  </si>
  <si>
    <t>4413.08</t>
  </si>
  <si>
    <t>3890.81</t>
  </si>
  <si>
    <t>10819.90</t>
  </si>
  <si>
    <t>2286.79</t>
  </si>
  <si>
    <t>3746.34</t>
  </si>
  <si>
    <t>3244.19</t>
  </si>
  <si>
    <t>233.07</t>
  </si>
  <si>
    <t>674.33</t>
  </si>
  <si>
    <t>652.80</t>
  </si>
  <si>
    <t>744900.73</t>
  </si>
  <si>
    <t>105953.12</t>
  </si>
  <si>
    <t>105918.76</t>
  </si>
  <si>
    <t>110761.72</t>
  </si>
  <si>
    <t>138292.63</t>
  </si>
  <si>
    <t>140223.87</t>
  </si>
  <si>
    <t>144951.77</t>
  </si>
  <si>
    <t>216.49</t>
  </si>
  <si>
    <t>52.46</t>
  </si>
  <si>
    <t>25.84</t>
  </si>
  <si>
    <t>365.05</t>
  </si>
  <si>
    <t>339.21</t>
  </si>
  <si>
    <t>11329.54</t>
  </si>
  <si>
    <t>90638.47</t>
  </si>
  <si>
    <t>79308.93</t>
  </si>
  <si>
    <t>681.00</t>
  </si>
  <si>
    <t>25967.62</t>
  </si>
  <si>
    <t>25286.62</t>
  </si>
  <si>
    <t>182.30</t>
  </si>
  <si>
    <t>6556.09</t>
  </si>
  <si>
    <t>6373.79</t>
  </si>
  <si>
    <t>4483.44</t>
  </si>
  <si>
    <t>61858.23</t>
  </si>
  <si>
    <t>57374.79</t>
  </si>
  <si>
    <t>2338.93</t>
  </si>
  <si>
    <t>16775.36</t>
  </si>
  <si>
    <t>14436.43</t>
  </si>
  <si>
    <t>39149.02</t>
  </si>
  <si>
    <t>253196.91</t>
  </si>
  <si>
    <t>214047.89</t>
  </si>
  <si>
    <t>2591.10</t>
  </si>
  <si>
    <t>38517.85</t>
  </si>
  <si>
    <t>35926.75</t>
  </si>
  <si>
    <t>381.14</t>
  </si>
  <si>
    <t>11175.18</t>
  </si>
  <si>
    <t>10794.04</t>
  </si>
  <si>
    <t>5919.76</t>
  </si>
  <si>
    <t>207707.08</t>
  </si>
  <si>
    <t>201787.32</t>
  </si>
  <si>
    <t>282.29</t>
  </si>
  <si>
    <t>13504.54</t>
  </si>
  <si>
    <t>13222.25</t>
  </si>
  <si>
    <t>14784.80</t>
  </si>
  <si>
    <t>327942.84</t>
  </si>
  <si>
    <t>313158.04</t>
  </si>
  <si>
    <t>3096.14</t>
  </si>
  <si>
    <t>238885.73</t>
  </si>
  <si>
    <t>235789.59</t>
  </si>
  <si>
    <t>35742.13</t>
  </si>
  <si>
    <t>3796543.00</t>
  </si>
  <si>
    <t>3760800.87</t>
  </si>
  <si>
    <t>15753.65</t>
  </si>
  <si>
    <t>766988.65</t>
  </si>
  <si>
    <t>751235.00</t>
  </si>
  <si>
    <t>2196.08</t>
  </si>
  <si>
    <t>113105.35</t>
  </si>
  <si>
    <t>110909.27</t>
  </si>
  <si>
    <t>28.00</t>
  </si>
  <si>
    <t>189.45</t>
  </si>
  <si>
    <t>161.45</t>
  </si>
  <si>
    <t>1371.31</t>
  </si>
  <si>
    <t>22589.24</t>
  </si>
  <si>
    <t>21217.93</t>
  </si>
  <si>
    <t>10247.29</t>
  </si>
  <si>
    <t>279022.97</t>
  </si>
  <si>
    <t>268775.68</t>
  </si>
  <si>
    <t>44062.66</t>
  </si>
  <si>
    <t>180426.95</t>
  </si>
  <si>
    <t>136364.29</t>
  </si>
  <si>
    <t>194646.42</t>
  </si>
  <si>
    <t>6257579.09</t>
  </si>
  <si>
    <t>6452225.51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</si>
</sst>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0.0000"/>
    <numFmt numFmtId="167" formatCode="_(* #,##0_);_(* \(#,##0\);_(* &quot;-&quot;??_);_(@_)"/>
    <numFmt numFmtId="168" formatCode="0.000000"/>
  </numFmts>
  <fonts count="63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sz val="7"/>
      <name val="Arial"/>
      <family val="2"/>
    </font>
    <font>
      <sz val="12"/>
      <name val="Arial Cyr"/>
      <charset val="204"/>
    </font>
    <font>
      <sz val="8"/>
      <name val="Times New Roman"/>
      <family val="1"/>
      <charset val="204"/>
    </font>
    <font>
      <sz val="12"/>
      <name val="Times New Roman"/>
      <family val="1"/>
      <charset val="204"/>
    </font>
    <font>
      <sz val="11"/>
      <name val="Arial Cyr"/>
      <charset val="204"/>
    </font>
    <font>
      <sz val="11"/>
      <name val="Times New Roman"/>
      <family val="1"/>
      <charset val="204"/>
    </font>
    <font>
      <sz val="9"/>
      <name val="Arial Cyr"/>
      <charset val="204"/>
    </font>
    <font>
      <sz val="9"/>
      <name val="Times New Roman"/>
      <family val="1"/>
      <charset val="204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0"/>
      <name val="Arial"/>
      <family val="2"/>
      <charset val="204"/>
    </font>
    <font>
      <b/>
      <sz val="10"/>
      <name val="Arial Cyr"/>
      <charset val="204"/>
    </font>
    <font>
      <b/>
      <sz val="10"/>
      <name val="Arial"/>
      <family val="2"/>
    </font>
    <font>
      <sz val="10"/>
      <name val="Times New Roman CYR"/>
      <family val="1"/>
      <charset val="204"/>
    </font>
    <font>
      <b/>
      <sz val="11"/>
      <name val="Times New Roman CYR"/>
      <family val="1"/>
      <charset val="204"/>
    </font>
    <font>
      <b/>
      <sz val="9"/>
      <name val="Times New Roman CYR"/>
      <family val="1"/>
      <charset val="204"/>
    </font>
    <font>
      <sz val="8"/>
      <name val="Times New Roman CYR"/>
      <family val="1"/>
      <charset val="204"/>
    </font>
    <font>
      <sz val="9"/>
      <name val="Times New Roman CYR"/>
      <family val="1"/>
      <charset val="204"/>
    </font>
    <font>
      <i/>
      <sz val="8"/>
      <name val="Times New Roman CYR"/>
      <family val="1"/>
      <charset val="204"/>
    </font>
    <font>
      <sz val="9"/>
      <name val="Arial"/>
      <family val="2"/>
      <charset val="204"/>
    </font>
    <font>
      <sz val="12"/>
      <name val="Arial"/>
      <family val="2"/>
      <charset val="204"/>
    </font>
    <font>
      <sz val="8"/>
      <name val="Arial Cyr"/>
      <charset val="204"/>
    </font>
    <font>
      <u/>
      <sz val="10"/>
      <name val="Arial Cyr"/>
      <charset val="204"/>
    </font>
    <font>
      <sz val="8"/>
      <name val="Arial Cyr"/>
      <family val="2"/>
      <charset val="204"/>
    </font>
    <font>
      <b/>
      <sz val="12"/>
      <name val="Arial Cyr"/>
      <charset val="204"/>
    </font>
    <font>
      <i/>
      <sz val="10"/>
      <name val="Times New Roman"/>
      <family val="1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9"/>
      <name val="Arial"/>
      <family val="2"/>
      <charset val="204"/>
    </font>
    <font>
      <b/>
      <sz val="10"/>
      <color indexed="20"/>
      <name val="Times New Roman"/>
      <family val="1"/>
      <charset val="204"/>
    </font>
    <font>
      <b/>
      <sz val="10"/>
      <color indexed="12"/>
      <name val="Times New Roman"/>
      <family val="1"/>
      <charset val="204"/>
    </font>
    <font>
      <b/>
      <sz val="9"/>
      <name val="Arial Cyr"/>
      <charset val="204"/>
    </font>
    <font>
      <sz val="11"/>
      <name val="Times New Roman"/>
      <family val="1"/>
      <charset val="204"/>
    </font>
    <font>
      <sz val="10"/>
      <color theme="0"/>
      <name val="Arial Cyr"/>
      <charset val="204"/>
    </font>
    <font>
      <sz val="11"/>
      <color indexed="8"/>
      <name val="Calibri"/>
      <family val="2"/>
      <scheme val="minor"/>
    </font>
    <font>
      <b/>
      <sz val="11"/>
      <name val="Times New Roman"/>
      <family val="1"/>
      <charset val="204"/>
    </font>
    <font>
      <sz val="11"/>
      <name val="Calibri"/>
      <family val="2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8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8"/>
      </right>
      <top style="thin">
        <color indexed="64"/>
      </top>
      <bottom/>
      <diagonal/>
    </border>
    <border>
      <left style="medium">
        <color indexed="64"/>
      </left>
      <right style="medium">
        <color indexed="8"/>
      </right>
      <top/>
      <bottom/>
      <diagonal/>
    </border>
    <border>
      <left style="medium">
        <color indexed="64"/>
      </left>
      <right style="medium">
        <color indexed="8"/>
      </right>
      <top/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</borders>
  <cellStyleXfs count="64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20" fillId="0" borderId="0">
      <alignment horizontal="justify"/>
    </xf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49" fontId="20" fillId="0" borderId="1">
      <alignment horizontal="left"/>
    </xf>
    <xf numFmtId="49" fontId="20" fillId="0" borderId="1">
      <alignment horizontal="left"/>
    </xf>
    <xf numFmtId="0" fontId="37" fillId="7" borderId="2" applyNumberFormat="0" applyAlignment="0" applyProtection="0"/>
    <xf numFmtId="0" fontId="38" fillId="20" borderId="3" applyNumberFormat="0" applyAlignment="0" applyProtection="0"/>
    <xf numFmtId="0" fontId="39" fillId="20" borderId="2" applyNumberFormat="0" applyAlignment="0" applyProtection="0"/>
    <xf numFmtId="49" fontId="20" fillId="0" borderId="1">
      <alignment horizontal="center"/>
    </xf>
    <xf numFmtId="49" fontId="20" fillId="0" borderId="1">
      <alignment horizontal="center"/>
    </xf>
    <xf numFmtId="164" fontId="1" fillId="0" borderId="0" applyFont="0" applyFill="0" applyBorder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2" fillId="0" borderId="6" applyNumberFormat="0" applyFill="0" applyAlignment="0" applyProtection="0"/>
    <xf numFmtId="0" fontId="42" fillId="0" borderId="0" applyNumberFormat="0" applyFill="0" applyBorder="0" applyAlignment="0" applyProtection="0"/>
    <xf numFmtId="0" fontId="21" fillId="0" borderId="0">
      <alignment horizontal="center" vertical="top" wrapText="1"/>
    </xf>
    <xf numFmtId="0" fontId="21" fillId="0" borderId="0">
      <alignment horizontal="center" wrapText="1"/>
    </xf>
    <xf numFmtId="0" fontId="22" fillId="0" borderId="1">
      <alignment horizontal="center" vertical="center" wrapText="1"/>
    </xf>
    <xf numFmtId="0" fontId="22" fillId="0" borderId="1">
      <alignment horizontal="center" vertical="center" wrapText="1"/>
    </xf>
    <xf numFmtId="0" fontId="23" fillId="0" borderId="0">
      <alignment horizontal="right" vertical="top"/>
    </xf>
    <xf numFmtId="0" fontId="43" fillId="0" borderId="7" applyNumberFormat="0" applyFill="0" applyAlignment="0" applyProtection="0"/>
    <xf numFmtId="0" fontId="44" fillId="21" borderId="8" applyNumberFormat="0" applyAlignment="0" applyProtection="0"/>
    <xf numFmtId="0" fontId="45" fillId="0" borderId="0" applyNumberFormat="0" applyFill="0" applyBorder="0" applyAlignment="0" applyProtection="0"/>
    <xf numFmtId="0" fontId="46" fillId="22" borderId="0" applyNumberFormat="0" applyBorder="0" applyAlignment="0" applyProtection="0"/>
    <xf numFmtId="0" fontId="34" fillId="0" borderId="0"/>
    <xf numFmtId="0" fontId="47" fillId="3" borderId="0" applyNumberFormat="0" applyBorder="0" applyAlignment="0" applyProtection="0"/>
    <xf numFmtId="0" fontId="24" fillId="0" borderId="0">
      <alignment horizontal="left"/>
    </xf>
    <xf numFmtId="49" fontId="25" fillId="0" borderId="0">
      <alignment horizontal="center" vertical="top"/>
    </xf>
    <xf numFmtId="0" fontId="20" fillId="0" borderId="9">
      <alignment horizontal="center"/>
    </xf>
    <xf numFmtId="0" fontId="48" fillId="0" borderId="0" applyNumberFormat="0" applyFill="0" applyBorder="0" applyAlignment="0" applyProtection="0"/>
    <xf numFmtId="0" fontId="23" fillId="0" borderId="0">
      <alignment horizontal="right" vertical="top" wrapText="1"/>
    </xf>
    <xf numFmtId="0" fontId="1" fillId="23" borderId="10" applyNumberFormat="0" applyFont="0" applyAlignment="0" applyProtection="0"/>
    <xf numFmtId="0" fontId="49" fillId="0" borderId="11" applyNumberFormat="0" applyFill="0" applyAlignment="0" applyProtection="0"/>
    <xf numFmtId="0" fontId="20" fillId="0" borderId="1">
      <alignment horizontal="left" wrapText="1"/>
    </xf>
    <xf numFmtId="0" fontId="20" fillId="0" borderId="1">
      <alignment horizontal="left" wrapText="1"/>
    </xf>
    <xf numFmtId="0" fontId="50" fillId="0" borderId="0" applyNumberFormat="0" applyFill="0" applyBorder="0" applyAlignment="0" applyProtection="0"/>
    <xf numFmtId="0" fontId="23" fillId="0" borderId="0">
      <alignment horizontal="justify"/>
    </xf>
    <xf numFmtId="165" fontId="1" fillId="0" borderId="0" applyFont="0" applyFill="0" applyBorder="0" applyAlignment="0" applyProtection="0"/>
    <xf numFmtId="0" fontId="51" fillId="4" borderId="0" applyNumberFormat="0" applyBorder="0" applyAlignment="0" applyProtection="0"/>
    <xf numFmtId="0" fontId="13" fillId="0" borderId="0"/>
    <xf numFmtId="0" fontId="58" fillId="0" borderId="0"/>
  </cellStyleXfs>
  <cellXfs count="585">
    <xf numFmtId="0" fontId="0" fillId="0" borderId="0" xfId="0"/>
    <xf numFmtId="1" fontId="0" fillId="0" borderId="0" xfId="0" applyNumberFormat="1"/>
    <xf numFmtId="49" fontId="3" fillId="0" borderId="1" xfId="0" applyNumberFormat="1" applyFont="1" applyBorder="1" applyAlignment="1">
      <alignment horizontal="center"/>
    </xf>
    <xf numFmtId="0" fontId="2" fillId="0" borderId="13" xfId="6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/>
    </xf>
    <xf numFmtId="0" fontId="3" fillId="0" borderId="18" xfId="0" applyFon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/>
    </xf>
    <xf numFmtId="0" fontId="0" fillId="0" borderId="9" xfId="0" applyBorder="1"/>
    <xf numFmtId="0" fontId="0" fillId="0" borderId="0" xfId="0" applyBorder="1"/>
    <xf numFmtId="0" fontId="7" fillId="0" borderId="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0" xfId="0" applyFont="1"/>
    <xf numFmtId="0" fontId="1" fillId="0" borderId="0" xfId="0" applyFont="1" applyBorder="1"/>
    <xf numFmtId="0" fontId="7" fillId="0" borderId="21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1" fillId="0" borderId="9" xfId="0" applyFont="1" applyBorder="1"/>
    <xf numFmtId="0" fontId="13" fillId="0" borderId="9" xfId="0" applyFont="1" applyBorder="1" applyAlignment="1"/>
    <xf numFmtId="0" fontId="14" fillId="0" borderId="9" xfId="0" applyFont="1" applyBorder="1" applyAlignment="1"/>
    <xf numFmtId="0" fontId="13" fillId="0" borderId="14" xfId="0" applyFont="1" applyBorder="1" applyAlignment="1"/>
    <xf numFmtId="0" fontId="7" fillId="0" borderId="22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13" fillId="0" borderId="0" xfId="0" applyFont="1" applyBorder="1" applyAlignment="1"/>
    <xf numFmtId="0" fontId="1" fillId="0" borderId="0" xfId="0" applyFont="1" applyBorder="1" applyAlignment="1"/>
    <xf numFmtId="0" fontId="15" fillId="0" borderId="0" xfId="0" applyFont="1" applyBorder="1" applyAlignment="1"/>
    <xf numFmtId="0" fontId="13" fillId="0" borderId="23" xfId="0" applyFont="1" applyBorder="1" applyAlignment="1"/>
    <xf numFmtId="0" fontId="14" fillId="0" borderId="0" xfId="0" applyFont="1" applyBorder="1" applyAlignment="1"/>
    <xf numFmtId="0" fontId="13" fillId="0" borderId="22" xfId="0" applyFont="1" applyBorder="1"/>
    <xf numFmtId="0" fontId="1" fillId="0" borderId="0" xfId="0" applyFont="1"/>
    <xf numFmtId="0" fontId="1" fillId="0" borderId="22" xfId="0" applyFont="1" applyBorder="1"/>
    <xf numFmtId="0" fontId="1" fillId="0" borderId="18" xfId="0" applyFont="1" applyBorder="1"/>
    <xf numFmtId="0" fontId="1" fillId="0" borderId="19" xfId="0" applyFont="1" applyBorder="1"/>
    <xf numFmtId="0" fontId="13" fillId="0" borderId="19" xfId="0" applyFont="1" applyBorder="1" applyAlignment="1"/>
    <xf numFmtId="0" fontId="13" fillId="0" borderId="16" xfId="0" applyFont="1" applyBorder="1" applyAlignment="1"/>
    <xf numFmtId="0" fontId="15" fillId="0" borderId="0" xfId="0" applyFont="1"/>
    <xf numFmtId="0" fontId="13" fillId="0" borderId="0" xfId="0" applyFont="1" applyBorder="1" applyAlignment="1">
      <alignment horizontal="center"/>
    </xf>
    <xf numFmtId="0" fontId="0" fillId="0" borderId="0" xfId="0" applyBorder="1" applyAlignment="1">
      <alignment vertical="center" wrapText="1"/>
    </xf>
    <xf numFmtId="0" fontId="0" fillId="0" borderId="17" xfId="0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center" vertical="top" wrapText="1"/>
    </xf>
    <xf numFmtId="0" fontId="17" fillId="0" borderId="9" xfId="60" applyNumberFormat="1" applyFont="1" applyFill="1" applyBorder="1" applyAlignment="1">
      <alignment horizontal="center" vertical="center"/>
    </xf>
    <xf numFmtId="0" fontId="18" fillId="0" borderId="9" xfId="0" applyFont="1" applyBorder="1"/>
    <xf numFmtId="0" fontId="0" fillId="0" borderId="14" xfId="0" applyBorder="1"/>
    <xf numFmtId="0" fontId="7" fillId="0" borderId="0" xfId="0" applyFont="1"/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24" xfId="0" applyFont="1" applyBorder="1" applyAlignment="1">
      <alignment horizontal="center"/>
    </xf>
    <xf numFmtId="0" fontId="0" fillId="0" borderId="24" xfId="0" applyBorder="1"/>
    <xf numFmtId="0" fontId="3" fillId="0" borderId="12" xfId="0" applyFont="1" applyBorder="1" applyAlignment="1">
      <alignment horizontal="left"/>
    </xf>
    <xf numFmtId="0" fontId="0" fillId="0" borderId="0" xfId="0" applyBorder="1" applyAlignment="1"/>
    <xf numFmtId="0" fontId="19" fillId="0" borderId="20" xfId="0" applyFont="1" applyBorder="1" applyAlignment="1">
      <alignment horizontal="center"/>
    </xf>
    <xf numFmtId="0" fontId="19" fillId="0" borderId="24" xfId="0" applyFont="1" applyBorder="1" applyAlignment="1">
      <alignment horizontal="center"/>
    </xf>
    <xf numFmtId="0" fontId="19" fillId="0" borderId="12" xfId="0" applyFont="1" applyBorder="1" applyAlignment="1">
      <alignment horizontal="left"/>
    </xf>
    <xf numFmtId="0" fontId="0" fillId="24" borderId="0" xfId="0" applyFill="1"/>
    <xf numFmtId="167" fontId="3" fillId="0" borderId="1" xfId="60" applyNumberFormat="1" applyFont="1" applyBorder="1" applyAlignment="1">
      <alignment horizontal="right" vertical="center"/>
    </xf>
    <xf numFmtId="0" fontId="4" fillId="0" borderId="12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center"/>
    </xf>
    <xf numFmtId="167" fontId="2" fillId="0" borderId="17" xfId="60" applyNumberFormat="1" applyFont="1" applyFill="1" applyBorder="1" applyAlignment="1">
      <alignment horizontal="right" vertical="center"/>
    </xf>
    <xf numFmtId="0" fontId="0" fillId="0" borderId="18" xfId="0" applyBorder="1" applyAlignment="1"/>
    <xf numFmtId="49" fontId="2" fillId="0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28" fillId="0" borderId="19" xfId="0" applyFont="1" applyBorder="1" applyAlignment="1">
      <alignment horizontal="center" vertical="center" wrapText="1"/>
    </xf>
    <xf numFmtId="0" fontId="30" fillId="0" borderId="19" xfId="0" applyFont="1" applyBorder="1" applyAlignment="1">
      <alignment horizontal="center"/>
    </xf>
    <xf numFmtId="0" fontId="28" fillId="0" borderId="0" xfId="0" applyFont="1" applyAlignment="1">
      <alignment horizontal="left" vertical="center" wrapText="1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13" fillId="24" borderId="9" xfId="0" applyFont="1" applyFill="1" applyBorder="1" applyAlignment="1">
      <alignment horizontal="center" wrapText="1"/>
    </xf>
    <xf numFmtId="0" fontId="0" fillId="0" borderId="19" xfId="0" applyBorder="1"/>
    <xf numFmtId="0" fontId="0" fillId="0" borderId="0" xfId="0" applyAlignment="1"/>
    <xf numFmtId="167" fontId="3" fillId="0" borderId="13" xfId="60" applyNumberFormat="1" applyFont="1" applyBorder="1" applyAlignment="1">
      <alignment horizontal="center" vertical="center"/>
    </xf>
    <xf numFmtId="166" fontId="0" fillId="0" borderId="0" xfId="0" applyNumberFormat="1"/>
    <xf numFmtId="0" fontId="20" fillId="24" borderId="0" xfId="56" applyFill="1" applyBorder="1" applyAlignment="1">
      <alignment horizontal="center" wrapText="1"/>
    </xf>
    <xf numFmtId="0" fontId="20" fillId="24" borderId="0" xfId="56" applyFill="1" applyBorder="1" applyAlignment="1">
      <alignment horizontal="left" wrapText="1"/>
    </xf>
    <xf numFmtId="0" fontId="0" fillId="0" borderId="20" xfId="0" applyBorder="1"/>
    <xf numFmtId="0" fontId="0" fillId="0" borderId="21" xfId="0" applyBorder="1"/>
    <xf numFmtId="0" fontId="0" fillId="0" borderId="22" xfId="0" applyBorder="1" applyAlignment="1"/>
    <xf numFmtId="0" fontId="0" fillId="0" borderId="24" xfId="0" applyBorder="1" applyAlignment="1"/>
    <xf numFmtId="0" fontId="0" fillId="0" borderId="20" xfId="0" applyBorder="1" applyAlignment="1"/>
    <xf numFmtId="0" fontId="11" fillId="0" borderId="0" xfId="0" applyFont="1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13" xfId="0" applyBorder="1"/>
    <xf numFmtId="0" fontId="53" fillId="26" borderId="25" xfId="62" applyFont="1" applyFill="1" applyBorder="1" applyAlignment="1">
      <alignment horizontal="center" vertical="center" shrinkToFit="1"/>
    </xf>
    <xf numFmtId="0" fontId="53" fillId="26" borderId="26" xfId="62" applyFont="1" applyFill="1" applyBorder="1" applyAlignment="1">
      <alignment horizontal="center" vertical="center" shrinkToFit="1"/>
    </xf>
    <xf numFmtId="0" fontId="53" fillId="26" borderId="27" xfId="62" applyFont="1" applyFill="1" applyBorder="1" applyAlignment="1">
      <alignment horizontal="center" vertical="center" shrinkToFit="1"/>
    </xf>
    <xf numFmtId="0" fontId="54" fillId="26" borderId="25" xfId="62" applyFont="1" applyFill="1" applyBorder="1" applyAlignment="1">
      <alignment horizontal="center" vertical="center" shrinkToFit="1"/>
    </xf>
    <xf numFmtId="0" fontId="54" fillId="26" borderId="27" xfId="62" applyFont="1" applyFill="1" applyBorder="1" applyAlignment="1">
      <alignment horizontal="center" vertical="center" shrinkToFit="1"/>
    </xf>
    <xf numFmtId="49" fontId="3" fillId="0" borderId="15" xfId="0" applyNumberFormat="1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49" fontId="3" fillId="28" borderId="13" xfId="0" applyNumberFormat="1" applyFont="1" applyFill="1" applyBorder="1" applyAlignment="1">
      <alignment horizontal="center"/>
    </xf>
    <xf numFmtId="168" fontId="0" fillId="27" borderId="36" xfId="0" applyNumberFormat="1" applyFill="1" applyBorder="1" applyAlignment="1">
      <alignment horizontal="center" vertical="center"/>
    </xf>
    <xf numFmtId="168" fontId="0" fillId="27" borderId="28" xfId="0" applyNumberFormat="1" applyFill="1" applyBorder="1" applyAlignment="1">
      <alignment horizontal="center" vertical="center"/>
    </xf>
    <xf numFmtId="168" fontId="0" fillId="27" borderId="38" xfId="0" applyNumberForma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0" fillId="27" borderId="37" xfId="0" applyNumberFormat="1" applyFill="1" applyBorder="1" applyAlignment="1">
      <alignment horizontal="center" vertical="center"/>
    </xf>
    <xf numFmtId="168" fontId="0" fillId="27" borderId="29" xfId="0" applyNumberFormat="1" applyFill="1" applyBorder="1" applyAlignment="1">
      <alignment horizontal="center" vertical="center"/>
    </xf>
    <xf numFmtId="168" fontId="0" fillId="27" borderId="3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3" fillId="0" borderId="22" xfId="0" applyFont="1" applyBorder="1" applyAlignment="1">
      <alignment horizontal="left" vertical="center"/>
    </xf>
    <xf numFmtId="0" fontId="2" fillId="28" borderId="13" xfId="60" applyNumberFormat="1" applyFont="1" applyFill="1" applyBorder="1" applyAlignment="1">
      <alignment horizontal="center"/>
    </xf>
    <xf numFmtId="0" fontId="0" fillId="28" borderId="21" xfId="0" applyFill="1" applyBorder="1" applyAlignment="1"/>
    <xf numFmtId="0" fontId="0" fillId="28" borderId="24" xfId="0" applyFill="1" applyBorder="1" applyAlignment="1"/>
    <xf numFmtId="0" fontId="11" fillId="28" borderId="43" xfId="0" applyFont="1" applyFill="1" applyBorder="1" applyAlignment="1">
      <alignment wrapText="1"/>
    </xf>
    <xf numFmtId="0" fontId="0" fillId="0" borderId="9" xfId="0" applyFill="1" applyBorder="1" applyAlignment="1"/>
    <xf numFmtId="0" fontId="2" fillId="28" borderId="17" xfId="60" applyNumberFormat="1" applyFont="1" applyFill="1" applyBorder="1" applyAlignment="1">
      <alignment horizontal="center" vertical="center"/>
    </xf>
    <xf numFmtId="49" fontId="3" fillId="28" borderId="17" xfId="0" applyNumberFormat="1" applyFont="1" applyFill="1" applyBorder="1" applyAlignment="1">
      <alignment horizontal="center"/>
    </xf>
    <xf numFmtId="0" fontId="0" fillId="0" borderId="9" xfId="0" applyBorder="1" applyAlignment="1"/>
    <xf numFmtId="167" fontId="2" fillId="0" borderId="9" xfId="60" applyNumberFormat="1" applyFont="1" applyFill="1" applyBorder="1" applyAlignment="1">
      <alignment horizontal="right" vertical="center"/>
    </xf>
    <xf numFmtId="167" fontId="2" fillId="0" borderId="0" xfId="60" applyNumberFormat="1" applyFont="1" applyFill="1" applyBorder="1" applyAlignment="1">
      <alignment horizontal="right" vertical="center"/>
    </xf>
    <xf numFmtId="167" fontId="2" fillId="0" borderId="24" xfId="60" applyNumberFormat="1" applyFont="1" applyFill="1" applyBorder="1" applyAlignment="1">
      <alignment horizontal="right" vertical="center"/>
    </xf>
    <xf numFmtId="167" fontId="2" fillId="0" borderId="19" xfId="60" applyNumberFormat="1" applyFont="1" applyFill="1" applyBorder="1" applyAlignment="1">
      <alignment horizontal="right" vertical="center"/>
    </xf>
    <xf numFmtId="167" fontId="2" fillId="0" borderId="23" xfId="60" applyNumberFormat="1" applyFont="1" applyFill="1" applyBorder="1" applyAlignment="1">
      <alignment horizontal="right" vertical="center"/>
    </xf>
    <xf numFmtId="167" fontId="2" fillId="0" borderId="16" xfId="60" applyNumberFormat="1" applyFont="1" applyFill="1" applyBorder="1" applyAlignment="1">
      <alignment horizontal="right" vertical="center"/>
    </xf>
    <xf numFmtId="0" fontId="4" fillId="0" borderId="15" xfId="0" applyFont="1" applyBorder="1" applyAlignment="1">
      <alignment horizontal="center"/>
    </xf>
    <xf numFmtId="0" fontId="4" fillId="0" borderId="24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167" fontId="3" fillId="0" borderId="13" xfId="60" applyNumberFormat="1" applyFont="1" applyBorder="1" applyAlignment="1">
      <alignment horizontal="right" vertical="center"/>
    </xf>
    <xf numFmtId="167" fontId="3" fillId="0" borderId="15" xfId="60" applyNumberFormat="1" applyFont="1" applyBorder="1" applyAlignment="1">
      <alignment horizontal="right" vertical="center"/>
    </xf>
    <xf numFmtId="167" fontId="3" fillId="0" borderId="0" xfId="60" applyNumberFormat="1" applyFont="1" applyBorder="1" applyAlignment="1">
      <alignment horizontal="right" vertical="center"/>
    </xf>
    <xf numFmtId="167" fontId="3" fillId="0" borderId="19" xfId="60" applyNumberFormat="1" applyFont="1" applyBorder="1" applyAlignment="1">
      <alignment horizontal="right" vertical="center"/>
    </xf>
    <xf numFmtId="0" fontId="11" fillId="27" borderId="42" xfId="0" applyFont="1" applyFill="1" applyBorder="1" applyAlignment="1">
      <alignment vertical="center" wrapText="1"/>
    </xf>
    <xf numFmtId="0" fontId="11" fillId="27" borderId="21" xfId="0" applyFont="1" applyFill="1" applyBorder="1" applyAlignment="1">
      <alignment vertical="center" wrapText="1"/>
    </xf>
    <xf numFmtId="4" fontId="11" fillId="27" borderId="17" xfId="0" applyNumberFormat="1" applyFont="1" applyFill="1" applyBorder="1" applyAlignment="1">
      <alignment horizontal="center" vertical="center"/>
    </xf>
    <xf numFmtId="4" fontId="11" fillId="27" borderId="31" xfId="0" applyNumberFormat="1" applyFont="1" applyFill="1" applyBorder="1" applyAlignment="1">
      <alignment horizontal="center" vertical="center"/>
    </xf>
    <xf numFmtId="4" fontId="11" fillId="27" borderId="13" xfId="0" applyNumberFormat="1" applyFont="1" applyFill="1" applyBorder="1" applyAlignment="1">
      <alignment horizontal="center" vertical="center"/>
    </xf>
    <xf numFmtId="4" fontId="11" fillId="28" borderId="17" xfId="0" applyNumberFormat="1" applyFont="1" applyFill="1" applyBorder="1" applyAlignment="1">
      <alignment horizontal="center" vertical="center"/>
    </xf>
    <xf numFmtId="4" fontId="11" fillId="28" borderId="31" xfId="0" applyNumberFormat="1" applyFont="1" applyFill="1" applyBorder="1" applyAlignment="1">
      <alignment horizontal="center" vertical="center"/>
    </xf>
    <xf numFmtId="4" fontId="11" fillId="28" borderId="32" xfId="0" applyNumberFormat="1" applyFont="1" applyFill="1" applyBorder="1" applyAlignment="1">
      <alignment horizontal="center" vertical="center"/>
    </xf>
    <xf numFmtId="4" fontId="11" fillId="28" borderId="13" xfId="0" applyNumberFormat="1" applyFont="1" applyFill="1" applyBorder="1" applyAlignment="1">
      <alignment horizontal="center" vertical="center"/>
    </xf>
    <xf numFmtId="4" fontId="11" fillId="28" borderId="41" xfId="0" applyNumberFormat="1" applyFont="1" applyFill="1" applyBorder="1" applyAlignment="1">
      <alignment horizontal="center" vertical="center"/>
    </xf>
    <xf numFmtId="4" fontId="11" fillId="28" borderId="34" xfId="0" applyNumberFormat="1" applyFont="1" applyFill="1" applyBorder="1" applyAlignment="1">
      <alignment horizontal="center"/>
    </xf>
    <xf numFmtId="4" fontId="11" fillId="26" borderId="34" xfId="0" applyNumberFormat="1" applyFont="1" applyFill="1" applyBorder="1" applyAlignment="1">
      <alignment horizontal="center"/>
    </xf>
    <xf numFmtId="4" fontId="11" fillId="26" borderId="35" xfId="0" applyNumberFormat="1" applyFont="1" applyFill="1" applyBorder="1" applyAlignment="1">
      <alignment horizontal="center"/>
    </xf>
    <xf numFmtId="4" fontId="11" fillId="0" borderId="0" xfId="0" applyNumberFormat="1" applyFont="1" applyAlignment="1">
      <alignment horizontal="center" vertical="center"/>
    </xf>
    <xf numFmtId="0" fontId="2" fillId="28" borderId="17" xfId="60" applyNumberFormat="1" applyFont="1" applyFill="1" applyBorder="1" applyAlignment="1">
      <alignment horizontal="center"/>
    </xf>
    <xf numFmtId="0" fontId="0" fillId="28" borderId="9" xfId="0" applyFill="1" applyBorder="1" applyAlignment="1"/>
    <xf numFmtId="0" fontId="0" fillId="28" borderId="19" xfId="0" applyFill="1" applyBorder="1" applyAlignment="1"/>
    <xf numFmtId="0" fontId="0" fillId="28" borderId="0" xfId="0" applyFill="1" applyBorder="1" applyAlignment="1"/>
    <xf numFmtId="167" fontId="2" fillId="28" borderId="9" xfId="60" applyNumberFormat="1" applyFont="1" applyFill="1" applyBorder="1" applyAlignment="1">
      <alignment horizontal="right" vertical="center"/>
    </xf>
    <xf numFmtId="49" fontId="3" fillId="28" borderId="0" xfId="0" applyNumberFormat="1" applyFont="1" applyFill="1" applyBorder="1" applyAlignment="1">
      <alignment horizontal="center"/>
    </xf>
    <xf numFmtId="167" fontId="2" fillId="28" borderId="19" xfId="60" applyNumberFormat="1" applyFont="1" applyFill="1" applyBorder="1" applyAlignment="1">
      <alignment horizontal="right" vertical="center"/>
    </xf>
    <xf numFmtId="167" fontId="2" fillId="28" borderId="0" xfId="60" applyNumberFormat="1" applyFont="1" applyFill="1" applyBorder="1" applyAlignment="1">
      <alignment horizontal="right" vertical="center"/>
    </xf>
    <xf numFmtId="167" fontId="2" fillId="28" borderId="23" xfId="60" applyNumberFormat="1" applyFont="1" applyFill="1" applyBorder="1" applyAlignment="1">
      <alignment horizontal="right" vertical="center"/>
    </xf>
    <xf numFmtId="167" fontId="2" fillId="28" borderId="24" xfId="60" applyNumberFormat="1" applyFont="1" applyFill="1" applyBorder="1" applyAlignment="1">
      <alignment horizontal="right" vertical="center"/>
    </xf>
    <xf numFmtId="167" fontId="2" fillId="28" borderId="17" xfId="60" applyNumberFormat="1" applyFont="1" applyFill="1" applyBorder="1" applyAlignment="1">
      <alignment horizontal="right" vertical="center"/>
    </xf>
    <xf numFmtId="0" fontId="2" fillId="28" borderId="0" xfId="60" applyNumberFormat="1" applyFont="1" applyFill="1" applyBorder="1" applyAlignment="1">
      <alignment horizontal="center"/>
    </xf>
    <xf numFmtId="0" fontId="2" fillId="28" borderId="9" xfId="60" applyNumberFormat="1" applyFont="1" applyFill="1" applyBorder="1" applyAlignment="1">
      <alignment horizontal="center" vertical="center"/>
    </xf>
    <xf numFmtId="0" fontId="11" fillId="27" borderId="28" xfId="0" applyFont="1" applyFill="1" applyBorder="1" applyAlignment="1">
      <alignment vertical="center" wrapText="1"/>
    </xf>
    <xf numFmtId="0" fontId="11" fillId="27" borderId="37" xfId="0" applyFont="1" applyFill="1" applyBorder="1" applyAlignment="1">
      <alignment vertical="center" wrapText="1"/>
    </xf>
    <xf numFmtId="4" fontId="11" fillId="0" borderId="26" xfId="0" applyNumberFormat="1" applyFont="1" applyFill="1" applyBorder="1" applyAlignment="1">
      <alignment horizontal="center" vertical="center"/>
    </xf>
    <xf numFmtId="4" fontId="11" fillId="0" borderId="27" xfId="0" applyNumberFormat="1" applyFont="1" applyFill="1" applyBorder="1" applyAlignment="1">
      <alignment horizontal="center" vertical="center"/>
    </xf>
    <xf numFmtId="3" fontId="13" fillId="27" borderId="54" xfId="0" applyNumberFormat="1" applyFont="1" applyFill="1" applyBorder="1" applyAlignment="1">
      <alignment horizontal="center" vertical="center"/>
    </xf>
    <xf numFmtId="3" fontId="13" fillId="27" borderId="1" xfId="0" applyNumberFormat="1" applyFont="1" applyFill="1" applyBorder="1"/>
    <xf numFmtId="3" fontId="13" fillId="27" borderId="46" xfId="0" applyNumberFormat="1" applyFont="1" applyFill="1" applyBorder="1"/>
    <xf numFmtId="49" fontId="20" fillId="28" borderId="1" xfId="56" applyNumberFormat="1" applyFill="1" applyBorder="1" applyAlignment="1">
      <alignment horizontal="center" wrapText="1"/>
    </xf>
    <xf numFmtId="0" fontId="20" fillId="28" borderId="1" xfId="56" applyFill="1" applyBorder="1" applyAlignment="1">
      <alignment horizontal="center" wrapText="1"/>
    </xf>
    <xf numFmtId="3" fontId="13" fillId="27" borderId="30" xfId="0" applyNumberFormat="1" applyFont="1" applyFill="1" applyBorder="1" applyAlignment="1">
      <alignment horizontal="center" vertical="center"/>
    </xf>
    <xf numFmtId="3" fontId="13" fillId="27" borderId="31" xfId="0" applyNumberFormat="1" applyFont="1" applyFill="1" applyBorder="1"/>
    <xf numFmtId="3" fontId="13" fillId="27" borderId="31" xfId="0" applyNumberFormat="1" applyFont="1" applyFill="1" applyBorder="1" applyAlignment="1">
      <alignment horizontal="center" vertical="center"/>
    </xf>
    <xf numFmtId="3" fontId="13" fillId="27" borderId="32" xfId="0" applyNumberFormat="1" applyFont="1" applyFill="1" applyBorder="1"/>
    <xf numFmtId="3" fontId="13" fillId="27" borderId="1" xfId="0" applyNumberFormat="1" applyFont="1" applyFill="1" applyBorder="1" applyAlignment="1">
      <alignment horizontal="center" vertical="center"/>
    </xf>
    <xf numFmtId="3" fontId="13" fillId="30" borderId="54" xfId="0" applyNumberFormat="1" applyFont="1" applyFill="1" applyBorder="1" applyAlignment="1">
      <alignment horizontal="center" vertical="center"/>
    </xf>
    <xf numFmtId="3" fontId="13" fillId="30" borderId="1" xfId="0" applyNumberFormat="1" applyFont="1" applyFill="1" applyBorder="1"/>
    <xf numFmtId="3" fontId="13" fillId="30" borderId="46" xfId="0" applyNumberFormat="1" applyFont="1" applyFill="1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1" fillId="27" borderId="22" xfId="0" applyFont="1" applyFill="1" applyBorder="1" applyAlignment="1">
      <alignment vertical="center" wrapText="1"/>
    </xf>
    <xf numFmtId="0" fontId="11" fillId="0" borderId="59" xfId="0" applyFont="1" applyFill="1" applyBorder="1" applyAlignment="1">
      <alignment horizontal="center" vertical="center" wrapText="1"/>
    </xf>
    <xf numFmtId="0" fontId="26" fillId="0" borderId="57" xfId="0" applyFont="1" applyBorder="1" applyAlignment="1">
      <alignment vertical="center" wrapText="1"/>
    </xf>
    <xf numFmtId="0" fontId="5" fillId="0" borderId="31" xfId="0" applyFont="1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26" fillId="0" borderId="58" xfId="0" applyFont="1" applyBorder="1" applyAlignment="1">
      <alignment horizontal="center"/>
    </xf>
    <xf numFmtId="0" fontId="4" fillId="0" borderId="46" xfId="0" applyFont="1" applyFill="1" applyBorder="1" applyAlignment="1">
      <alignment horizontal="center"/>
    </xf>
    <xf numFmtId="0" fontId="3" fillId="0" borderId="58" xfId="0" applyFont="1" applyBorder="1" applyAlignment="1">
      <alignment horizontal="left" vertical="center" wrapText="1"/>
    </xf>
    <xf numFmtId="0" fontId="2" fillId="28" borderId="41" xfId="60" applyNumberFormat="1" applyFont="1" applyFill="1" applyBorder="1" applyAlignment="1">
      <alignment horizontal="center"/>
    </xf>
    <xf numFmtId="0" fontId="3" fillId="0" borderId="61" xfId="0" applyFont="1" applyBorder="1" applyAlignment="1">
      <alignment horizontal="left" vertical="center"/>
    </xf>
    <xf numFmtId="0" fontId="3" fillId="0" borderId="61" xfId="0" applyFont="1" applyBorder="1" applyAlignment="1">
      <alignment horizontal="center" vertical="center"/>
    </xf>
    <xf numFmtId="49" fontId="2" fillId="0" borderId="56" xfId="0" applyNumberFormat="1" applyFont="1" applyFill="1" applyBorder="1" applyAlignment="1">
      <alignment horizontal="center"/>
    </xf>
    <xf numFmtId="0" fontId="3" fillId="0" borderId="63" xfId="0" applyFont="1" applyBorder="1" applyAlignment="1">
      <alignment horizontal="left" vertical="center"/>
    </xf>
    <xf numFmtId="0" fontId="2" fillId="28" borderId="51" xfId="60" applyNumberFormat="1" applyFont="1" applyFill="1" applyBorder="1" applyAlignment="1">
      <alignment horizontal="center" vertical="center"/>
    </xf>
    <xf numFmtId="0" fontId="0" fillId="0" borderId="47" xfId="0" applyBorder="1" applyAlignment="1">
      <alignment horizontal="left" wrapText="1"/>
    </xf>
    <xf numFmtId="0" fontId="2" fillId="28" borderId="51" xfId="60" applyNumberFormat="1" applyFont="1" applyFill="1" applyBorder="1" applyAlignment="1">
      <alignment horizontal="center"/>
    </xf>
    <xf numFmtId="0" fontId="0" fillId="0" borderId="62" xfId="0" applyBorder="1" applyAlignment="1">
      <alignment horizontal="left" wrapText="1"/>
    </xf>
    <xf numFmtId="0" fontId="0" fillId="0" borderId="63" xfId="0" applyBorder="1" applyAlignment="1">
      <alignment horizontal="left"/>
    </xf>
    <xf numFmtId="0" fontId="0" fillId="0" borderId="47" xfId="0" applyBorder="1" applyAlignment="1">
      <alignment horizontal="left"/>
    </xf>
    <xf numFmtId="0" fontId="2" fillId="28" borderId="64" xfId="60" applyNumberFormat="1" applyFont="1" applyFill="1" applyBorder="1" applyAlignment="1">
      <alignment horizontal="center"/>
    </xf>
    <xf numFmtId="0" fontId="0" fillId="0" borderId="63" xfId="0" applyBorder="1" applyAlignment="1">
      <alignment horizontal="left" wrapText="1"/>
    </xf>
    <xf numFmtId="0" fontId="2" fillId="28" borderId="64" xfId="60" applyNumberFormat="1" applyFont="1" applyFill="1" applyBorder="1" applyAlignment="1">
      <alignment horizontal="center" vertical="center"/>
    </xf>
    <xf numFmtId="0" fontId="0" fillId="0" borderId="63" xfId="0" applyBorder="1" applyAlignment="1">
      <alignment horizontal="left" vertical="center" wrapText="1"/>
    </xf>
    <xf numFmtId="0" fontId="26" fillId="0" borderId="62" xfId="0" applyFont="1" applyBorder="1" applyAlignment="1">
      <alignment vertical="center" wrapText="1"/>
    </xf>
    <xf numFmtId="0" fontId="2" fillId="28" borderId="65" xfId="60" applyNumberFormat="1" applyFont="1" applyFill="1" applyBorder="1" applyAlignment="1">
      <alignment horizontal="center" vertical="center"/>
    </xf>
    <xf numFmtId="0" fontId="26" fillId="0" borderId="63" xfId="0" applyFont="1" applyBorder="1" applyAlignment="1">
      <alignment vertical="center" wrapText="1"/>
    </xf>
    <xf numFmtId="0" fontId="26" fillId="0" borderId="47" xfId="0" applyFont="1" applyBorder="1" applyAlignment="1">
      <alignment vertical="center" wrapText="1"/>
    </xf>
    <xf numFmtId="0" fontId="26" fillId="29" borderId="62" xfId="0" applyFont="1" applyFill="1" applyBorder="1" applyAlignment="1">
      <alignment vertical="center" wrapText="1"/>
    </xf>
    <xf numFmtId="0" fontId="2" fillId="28" borderId="65" xfId="60" applyNumberFormat="1" applyFont="1" applyFill="1" applyBorder="1" applyAlignment="1">
      <alignment horizontal="center"/>
    </xf>
    <xf numFmtId="49" fontId="3" fillId="28" borderId="49" xfId="0" applyNumberFormat="1" applyFont="1" applyFill="1" applyBorder="1" applyAlignment="1">
      <alignment horizontal="center"/>
    </xf>
    <xf numFmtId="167" fontId="2" fillId="28" borderId="66" xfId="60" applyNumberFormat="1" applyFont="1" applyFill="1" applyBorder="1" applyAlignment="1">
      <alignment horizontal="right" vertical="center"/>
    </xf>
    <xf numFmtId="0" fontId="2" fillId="28" borderId="49" xfId="60" applyNumberFormat="1" applyFont="1" applyFill="1" applyBorder="1" applyAlignment="1">
      <alignment horizontal="center"/>
    </xf>
    <xf numFmtId="0" fontId="2" fillId="28" borderId="50" xfId="60" applyNumberFormat="1" applyFont="1" applyFill="1" applyBorder="1" applyAlignment="1">
      <alignment horizontal="center"/>
    </xf>
    <xf numFmtId="0" fontId="5" fillId="0" borderId="32" xfId="0" applyFont="1" applyFill="1" applyBorder="1" applyAlignment="1">
      <alignment horizontal="center" vertical="center" wrapText="1"/>
    </xf>
    <xf numFmtId="0" fontId="26" fillId="0" borderId="61" xfId="0" applyFont="1" applyBorder="1" applyAlignment="1">
      <alignment horizontal="center"/>
    </xf>
    <xf numFmtId="0" fontId="52" fillId="0" borderId="63" xfId="0" applyFont="1" applyBorder="1" applyAlignment="1">
      <alignment vertical="center" wrapText="1"/>
    </xf>
    <xf numFmtId="0" fontId="3" fillId="0" borderId="40" xfId="0" applyFont="1" applyBorder="1" applyAlignment="1">
      <alignment vertical="center" wrapText="1"/>
    </xf>
    <xf numFmtId="167" fontId="3" fillId="0" borderId="41" xfId="60" applyNumberFormat="1" applyFont="1" applyBorder="1" applyAlignment="1">
      <alignment horizontal="center" vertical="center"/>
    </xf>
    <xf numFmtId="0" fontId="3" fillId="0" borderId="55" xfId="0" applyFont="1" applyBorder="1" applyAlignment="1">
      <alignment vertical="center" wrapText="1"/>
    </xf>
    <xf numFmtId="167" fontId="3" fillId="0" borderId="56" xfId="60" applyNumberFormat="1" applyFont="1" applyBorder="1" applyAlignment="1">
      <alignment horizontal="center" vertical="center"/>
    </xf>
    <xf numFmtId="0" fontId="3" fillId="0" borderId="62" xfId="0" applyFont="1" applyBorder="1" applyAlignment="1">
      <alignment vertical="center" wrapText="1"/>
    </xf>
    <xf numFmtId="0" fontId="3" fillId="0" borderId="54" xfId="0" applyFont="1" applyBorder="1" applyAlignment="1">
      <alignment vertical="center" wrapText="1"/>
    </xf>
    <xf numFmtId="167" fontId="3" fillId="0" borderId="46" xfId="60" applyNumberFormat="1" applyFont="1" applyBorder="1" applyAlignment="1">
      <alignment horizontal="right" vertical="center"/>
    </xf>
    <xf numFmtId="0" fontId="3" fillId="0" borderId="33" xfId="0" applyFont="1" applyBorder="1" applyAlignment="1">
      <alignment vertical="center" wrapText="1"/>
    </xf>
    <xf numFmtId="49" fontId="3" fillId="0" borderId="34" xfId="0" applyNumberFormat="1" applyFont="1" applyBorder="1" applyAlignment="1">
      <alignment horizontal="center"/>
    </xf>
    <xf numFmtId="167" fontId="3" fillId="0" borderId="34" xfId="60" applyNumberFormat="1" applyFont="1" applyBorder="1" applyAlignment="1">
      <alignment horizontal="right" vertical="center"/>
    </xf>
    <xf numFmtId="167" fontId="3" fillId="0" borderId="35" xfId="60" applyNumberFormat="1" applyFont="1" applyBorder="1" applyAlignment="1">
      <alignment horizontal="right" vertical="center"/>
    </xf>
    <xf numFmtId="0" fontId="13" fillId="27" borderId="60" xfId="0" applyFont="1" applyFill="1" applyBorder="1" applyAlignment="1">
      <alignment horizontal="center" vertical="center" wrapText="1"/>
    </xf>
    <xf numFmtId="0" fontId="13" fillId="27" borderId="24" xfId="0" applyFont="1" applyFill="1" applyBorder="1" applyAlignment="1">
      <alignment horizontal="center" vertical="center" wrapText="1"/>
    </xf>
    <xf numFmtId="0" fontId="13" fillId="30" borderId="24" xfId="0" applyFont="1" applyFill="1" applyBorder="1" applyAlignment="1">
      <alignment horizontal="center" vertical="center" wrapText="1"/>
    </xf>
    <xf numFmtId="0" fontId="0" fillId="0" borderId="59" xfId="0" applyBorder="1" applyAlignment="1">
      <alignment horizontal="center" vertical="center"/>
    </xf>
    <xf numFmtId="0" fontId="22" fillId="24" borderId="1" xfId="40" applyFont="1" applyFill="1" applyBorder="1" applyAlignment="1">
      <alignment horizontal="center" vertical="center" wrapText="1"/>
    </xf>
    <xf numFmtId="0" fontId="22" fillId="24" borderId="54" xfId="40" applyFont="1" applyFill="1" applyBorder="1" applyAlignment="1">
      <alignment horizontal="center" vertical="center" wrapText="1"/>
    </xf>
    <xf numFmtId="0" fontId="22" fillId="24" borderId="1" xfId="40" applyFill="1" applyBorder="1" applyAlignment="1">
      <alignment horizontal="center" vertical="center" wrapText="1"/>
    </xf>
    <xf numFmtId="0" fontId="20" fillId="24" borderId="54" xfId="56" applyFill="1" applyBorder="1" applyAlignment="1">
      <alignment horizontal="left" wrapText="1"/>
    </xf>
    <xf numFmtId="0" fontId="20" fillId="24" borderId="54" xfId="56" applyFont="1" applyFill="1" applyBorder="1" applyAlignment="1">
      <alignment horizontal="left" wrapText="1"/>
    </xf>
    <xf numFmtId="0" fontId="0" fillId="0" borderId="63" xfId="0" applyBorder="1"/>
    <xf numFmtId="0" fontId="0" fillId="0" borderId="64" xfId="0" applyBorder="1"/>
    <xf numFmtId="0" fontId="13" fillId="24" borderId="63" xfId="0" applyFont="1" applyFill="1" applyBorder="1" applyAlignment="1">
      <alignment horizontal="right"/>
    </xf>
    <xf numFmtId="0" fontId="13" fillId="24" borderId="62" xfId="0" applyFont="1" applyFill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10" fillId="0" borderId="63" xfId="0" applyFont="1" applyBorder="1" applyAlignment="1">
      <alignment horizontal="right"/>
    </xf>
    <xf numFmtId="0" fontId="15" fillId="26" borderId="39" xfId="0" applyFont="1" applyFill="1" applyBorder="1" applyAlignment="1">
      <alignment vertical="center"/>
    </xf>
    <xf numFmtId="0" fontId="15" fillId="26" borderId="44" xfId="0" applyFont="1" applyFill="1" applyBorder="1" applyAlignment="1">
      <alignment horizontal="center" vertical="center"/>
    </xf>
    <xf numFmtId="0" fontId="13" fillId="28" borderId="19" xfId="0" applyFont="1" applyFill="1" applyBorder="1" applyAlignment="1">
      <alignment horizontal="center" wrapText="1"/>
    </xf>
    <xf numFmtId="3" fontId="13" fillId="28" borderId="55" xfId="0" applyNumberFormat="1" applyFont="1" applyFill="1" applyBorder="1" applyAlignment="1">
      <alignment horizontal="center"/>
    </xf>
    <xf numFmtId="3" fontId="13" fillId="28" borderId="15" xfId="0" applyNumberFormat="1" applyFont="1" applyFill="1" applyBorder="1" applyAlignment="1">
      <alignment horizontal="center"/>
    </xf>
    <xf numFmtId="3" fontId="13" fillId="28" borderId="56" xfId="0" applyNumberFormat="1" applyFont="1" applyFill="1" applyBorder="1" applyAlignment="1">
      <alignment horizontal="center"/>
    </xf>
    <xf numFmtId="0" fontId="13" fillId="28" borderId="67" xfId="0" applyFont="1" applyFill="1" applyBorder="1" applyAlignment="1">
      <alignment horizontal="center" wrapText="1"/>
    </xf>
    <xf numFmtId="3" fontId="13" fillId="28" borderId="33" xfId="0" applyNumberFormat="1" applyFont="1" applyFill="1" applyBorder="1" applyAlignment="1">
      <alignment horizontal="center"/>
    </xf>
    <xf numFmtId="3" fontId="13" fillId="28" borderId="34" xfId="0" applyNumberFormat="1" applyFont="1" applyFill="1" applyBorder="1" applyAlignment="1">
      <alignment horizontal="center"/>
    </xf>
    <xf numFmtId="3" fontId="13" fillId="28" borderId="35" xfId="0" applyNumberFormat="1" applyFont="1" applyFill="1" applyBorder="1" applyAlignment="1">
      <alignment horizontal="center"/>
    </xf>
    <xf numFmtId="0" fontId="20" fillId="24" borderId="40" xfId="56" applyFill="1" applyBorder="1" applyAlignment="1">
      <alignment horizontal="left" wrapText="1"/>
    </xf>
    <xf numFmtId="49" fontId="20" fillId="28" borderId="13" xfId="56" applyNumberFormat="1" applyFill="1" applyBorder="1" applyAlignment="1">
      <alignment horizontal="center" wrapText="1"/>
    </xf>
    <xf numFmtId="0" fontId="20" fillId="28" borderId="13" xfId="56" applyFill="1" applyBorder="1" applyAlignment="1">
      <alignment horizontal="center" wrapText="1"/>
    </xf>
    <xf numFmtId="0" fontId="20" fillId="29" borderId="40" xfId="56" applyFill="1" applyBorder="1" applyAlignment="1">
      <alignment horizontal="left" wrapText="1"/>
    </xf>
    <xf numFmtId="0" fontId="20" fillId="24" borderId="40" xfId="56" applyFont="1" applyFill="1" applyBorder="1" applyAlignment="1">
      <alignment horizontal="left" wrapText="1"/>
    </xf>
    <xf numFmtId="0" fontId="20" fillId="24" borderId="48" xfId="56" applyFill="1" applyBorder="1" applyAlignment="1">
      <alignment horizontal="left" wrapText="1"/>
    </xf>
    <xf numFmtId="0" fontId="20" fillId="25" borderId="40" xfId="56" applyFont="1" applyFill="1" applyBorder="1" applyAlignment="1">
      <alignment horizontal="left" wrapText="1"/>
    </xf>
    <xf numFmtId="49" fontId="20" fillId="25" borderId="13" xfId="56" applyNumberFormat="1" applyFill="1" applyBorder="1" applyAlignment="1">
      <alignment horizontal="center" wrapText="1"/>
    </xf>
    <xf numFmtId="0" fontId="20" fillId="25" borderId="13" xfId="56" applyFill="1" applyBorder="1" applyAlignment="1">
      <alignment horizontal="center" wrapText="1"/>
    </xf>
    <xf numFmtId="0" fontId="20" fillId="25" borderId="41" xfId="56" applyFill="1" applyBorder="1" applyAlignment="1">
      <alignment horizontal="center" wrapText="1"/>
    </xf>
    <xf numFmtId="0" fontId="22" fillId="24" borderId="52" xfId="40" applyFont="1" applyFill="1" applyBorder="1" applyAlignment="1">
      <alignment horizontal="center" vertical="center" wrapText="1"/>
    </xf>
    <xf numFmtId="0" fontId="22" fillId="24" borderId="40" xfId="40" applyFill="1" applyBorder="1" applyAlignment="1">
      <alignment horizontal="center" vertical="center" wrapText="1"/>
    </xf>
    <xf numFmtId="0" fontId="22" fillId="24" borderId="53" xfId="40" applyFont="1" applyFill="1" applyBorder="1" applyAlignment="1">
      <alignment horizontal="center" vertical="center" wrapText="1"/>
    </xf>
    <xf numFmtId="0" fontId="22" fillId="24" borderId="13" xfId="40" applyFill="1" applyBorder="1" applyAlignment="1">
      <alignment horizontal="center" vertical="center" wrapText="1"/>
    </xf>
    <xf numFmtId="0" fontId="22" fillId="24" borderId="70" xfId="40" applyFont="1" applyFill="1" applyBorder="1" applyAlignment="1">
      <alignment horizontal="center" vertical="center" wrapText="1"/>
    </xf>
    <xf numFmtId="0" fontId="22" fillId="24" borderId="70" xfId="40" applyFill="1" applyBorder="1" applyAlignment="1">
      <alignment horizontal="center" vertical="center" wrapText="1"/>
    </xf>
    <xf numFmtId="0" fontId="20" fillId="28" borderId="65" xfId="56" applyFill="1" applyBorder="1" applyAlignment="1">
      <alignment horizontal="center" wrapText="1"/>
    </xf>
    <xf numFmtId="0" fontId="20" fillId="28" borderId="13" xfId="56" applyFont="1" applyFill="1" applyBorder="1" applyAlignment="1">
      <alignment horizontal="center" wrapText="1"/>
    </xf>
    <xf numFmtId="0" fontId="20" fillId="0" borderId="40" xfId="56" applyFont="1" applyFill="1" applyBorder="1" applyAlignment="1">
      <alignment horizontal="left" wrapText="1"/>
    </xf>
    <xf numFmtId="0" fontId="20" fillId="29" borderId="40" xfId="56" applyFont="1" applyFill="1" applyBorder="1" applyAlignment="1">
      <alignment horizontal="left" wrapText="1"/>
    </xf>
    <xf numFmtId="0" fontId="20" fillId="28" borderId="1" xfId="56" applyFont="1" applyFill="1" applyBorder="1" applyAlignment="1">
      <alignment horizontal="center" wrapText="1"/>
    </xf>
    <xf numFmtId="0" fontId="20" fillId="28" borderId="70" xfId="56" applyFill="1" applyBorder="1" applyAlignment="1">
      <alignment horizontal="center" wrapText="1"/>
    </xf>
    <xf numFmtId="0" fontId="20" fillId="28" borderId="54" xfId="56" applyFill="1" applyBorder="1" applyAlignment="1">
      <alignment horizontal="left" wrapText="1"/>
    </xf>
    <xf numFmtId="0" fontId="20" fillId="28" borderId="49" xfId="56" applyFill="1" applyBorder="1" applyAlignment="1">
      <alignment horizontal="center" wrapText="1"/>
    </xf>
    <xf numFmtId="0" fontId="20" fillId="28" borderId="39" xfId="56" applyFill="1" applyBorder="1" applyAlignment="1">
      <alignment horizontal="center" wrapText="1"/>
    </xf>
    <xf numFmtId="0" fontId="11" fillId="27" borderId="29" xfId="0" applyFont="1" applyFill="1" applyBorder="1" applyAlignment="1">
      <alignment vertical="center" wrapText="1"/>
    </xf>
    <xf numFmtId="4" fontId="2" fillId="29" borderId="51" xfId="60" applyNumberFormat="1" applyFont="1" applyFill="1" applyBorder="1" applyAlignment="1">
      <alignment horizontal="center" vertical="center"/>
    </xf>
    <xf numFmtId="49" fontId="3" fillId="31" borderId="1" xfId="0" applyNumberFormat="1" applyFont="1" applyFill="1" applyBorder="1" applyAlignment="1">
      <alignment horizontal="center" vertical="center"/>
    </xf>
    <xf numFmtId="0" fontId="2" fillId="31" borderId="1" xfId="60" applyNumberFormat="1" applyFont="1" applyFill="1" applyBorder="1" applyAlignment="1">
      <alignment horizontal="center" vertical="center"/>
    </xf>
    <xf numFmtId="0" fontId="11" fillId="31" borderId="1" xfId="0" applyFont="1" applyFill="1" applyBorder="1" applyAlignment="1">
      <alignment vertical="center" wrapText="1"/>
    </xf>
    <xf numFmtId="49" fontId="3" fillId="31" borderId="1" xfId="0" applyNumberFormat="1" applyFont="1" applyFill="1" applyBorder="1" applyAlignment="1">
      <alignment horizontal="center"/>
    </xf>
    <xf numFmtId="0" fontId="3" fillId="31" borderId="16" xfId="0" applyFont="1" applyFill="1" applyBorder="1" applyAlignment="1">
      <alignment horizontal="left" vertical="center"/>
    </xf>
    <xf numFmtId="0" fontId="3" fillId="31" borderId="19" xfId="0" applyFont="1" applyFill="1" applyBorder="1" applyAlignment="1">
      <alignment horizontal="left" vertical="center"/>
    </xf>
    <xf numFmtId="0" fontId="3" fillId="31" borderId="18" xfId="0" applyFont="1" applyFill="1" applyBorder="1" applyAlignment="1">
      <alignment horizontal="left" vertical="center"/>
    </xf>
    <xf numFmtId="49" fontId="3" fillId="31" borderId="17" xfId="0" applyNumberFormat="1" applyFont="1" applyFill="1" applyBorder="1" applyAlignment="1">
      <alignment horizontal="center"/>
    </xf>
    <xf numFmtId="49" fontId="2" fillId="31" borderId="15" xfId="0" applyNumberFormat="1" applyFont="1" applyFill="1" applyBorder="1" applyAlignment="1">
      <alignment horizontal="center"/>
    </xf>
    <xf numFmtId="49" fontId="3" fillId="31" borderId="13" xfId="0" applyNumberFormat="1" applyFont="1" applyFill="1" applyBorder="1" applyAlignment="1">
      <alignment horizontal="center"/>
    </xf>
    <xf numFmtId="0" fontId="11" fillId="31" borderId="1" xfId="0" applyFont="1" applyFill="1" applyBorder="1" applyAlignment="1">
      <alignment wrapText="1"/>
    </xf>
    <xf numFmtId="49" fontId="3" fillId="31" borderId="15" xfId="0" applyNumberFormat="1" applyFont="1" applyFill="1" applyBorder="1" applyAlignment="1">
      <alignment horizontal="center"/>
    </xf>
    <xf numFmtId="49" fontId="2" fillId="31" borderId="1" xfId="0" applyNumberFormat="1" applyFont="1" applyFill="1" applyBorder="1" applyAlignment="1">
      <alignment horizontal="center"/>
    </xf>
    <xf numFmtId="0" fontId="11" fillId="31" borderId="1" xfId="0" applyFont="1" applyFill="1" applyBorder="1" applyAlignment="1">
      <alignment vertical="center"/>
    </xf>
    <xf numFmtId="0" fontId="11" fillId="31" borderId="0" xfId="0" applyFont="1" applyFill="1" applyAlignment="1">
      <alignment vertical="center"/>
    </xf>
    <xf numFmtId="0" fontId="0" fillId="31" borderId="0" xfId="0" applyFont="1" applyFill="1"/>
    <xf numFmtId="0" fontId="2" fillId="31" borderId="1" xfId="0" applyNumberFormat="1" applyFont="1" applyFill="1" applyBorder="1" applyAlignment="1">
      <alignment horizontal="center" vertical="center"/>
    </xf>
    <xf numFmtId="0" fontId="11" fillId="31" borderId="0" xfId="0" applyFont="1" applyFill="1" applyAlignment="1">
      <alignment vertical="center" wrapText="1"/>
    </xf>
    <xf numFmtId="167" fontId="3" fillId="0" borderId="15" xfId="60" applyNumberFormat="1" applyFont="1" applyBorder="1" applyAlignment="1">
      <alignment horizontal="center" vertical="center"/>
    </xf>
    <xf numFmtId="0" fontId="2" fillId="0" borderId="17" xfId="60" applyNumberFormat="1" applyFont="1" applyFill="1" applyBorder="1" applyAlignment="1">
      <alignment horizontal="center" vertical="center"/>
    </xf>
    <xf numFmtId="0" fontId="2" fillId="0" borderId="51" xfId="60" applyNumberFormat="1" applyFont="1" applyFill="1" applyBorder="1" applyAlignment="1">
      <alignment horizontal="center" vertical="center"/>
    </xf>
    <xf numFmtId="0" fontId="4" fillId="0" borderId="56" xfId="0" applyFont="1" applyFill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49" fontId="2" fillId="0" borderId="51" xfId="0" applyNumberFormat="1" applyFont="1" applyBorder="1" applyAlignment="1">
      <alignment horizontal="center"/>
    </xf>
    <xf numFmtId="0" fontId="26" fillId="31" borderId="47" xfId="0" applyFont="1" applyFill="1" applyBorder="1" applyAlignment="1">
      <alignment vertical="center" wrapText="1"/>
    </xf>
    <xf numFmtId="0" fontId="26" fillId="31" borderId="48" xfId="0" applyFont="1" applyFill="1" applyBorder="1" applyAlignment="1">
      <alignment vertical="center" wrapText="1"/>
    </xf>
    <xf numFmtId="0" fontId="3" fillId="31" borderId="40" xfId="0" applyFont="1" applyFill="1" applyBorder="1" applyAlignment="1">
      <alignment wrapText="1"/>
    </xf>
    <xf numFmtId="0" fontId="3" fillId="31" borderId="62" xfId="0" applyFont="1" applyFill="1" applyBorder="1" applyAlignment="1">
      <alignment horizontal="left" vertical="center" wrapText="1"/>
    </xf>
    <xf numFmtId="168" fontId="0" fillId="32" borderId="37" xfId="0" applyNumberFormat="1" applyFill="1" applyBorder="1" applyAlignment="1">
      <alignment horizontal="center" vertical="center"/>
    </xf>
    <xf numFmtId="168" fontId="18" fillId="32" borderId="28" xfId="0" applyNumberFormat="1" applyFont="1" applyFill="1" applyBorder="1" applyAlignment="1">
      <alignment horizontal="center" vertical="center"/>
    </xf>
    <xf numFmtId="168" fontId="0" fillId="32" borderId="0" xfId="0" applyNumberFormat="1" applyFill="1" applyAlignment="1">
      <alignment horizontal="center" vertical="center"/>
    </xf>
    <xf numFmtId="0" fontId="2" fillId="28" borderId="13" xfId="60" applyNumberFormat="1" applyFont="1" applyFill="1" applyBorder="1" applyAlignment="1">
      <alignment horizontal="center" vertical="center"/>
    </xf>
    <xf numFmtId="0" fontId="2" fillId="32" borderId="13" xfId="60" applyNumberFormat="1" applyFont="1" applyFill="1" applyBorder="1" applyAlignment="1">
      <alignment horizontal="center" vertical="center"/>
    </xf>
    <xf numFmtId="0" fontId="2" fillId="32" borderId="41" xfId="60" applyNumberFormat="1" applyFont="1" applyFill="1" applyBorder="1" applyAlignment="1">
      <alignment horizontal="center" vertical="center"/>
    </xf>
    <xf numFmtId="0" fontId="0" fillId="0" borderId="60" xfId="0" applyFont="1" applyBorder="1" applyAlignment="1">
      <alignment horizontal="center" vertical="center" wrapText="1"/>
    </xf>
    <xf numFmtId="0" fontId="2" fillId="29" borderId="17" xfId="60" applyNumberFormat="1" applyFont="1" applyFill="1" applyBorder="1" applyAlignment="1">
      <alignment horizontal="center" vertical="center"/>
    </xf>
    <xf numFmtId="0" fontId="2" fillId="28" borderId="14" xfId="60" applyNumberFormat="1" applyFont="1" applyFill="1" applyBorder="1" applyAlignment="1">
      <alignment horizontal="center"/>
    </xf>
    <xf numFmtId="0" fontId="0" fillId="24" borderId="0" xfId="0" applyFont="1" applyFill="1"/>
    <xf numFmtId="0" fontId="0" fillId="0" borderId="0" xfId="0" applyFont="1"/>
    <xf numFmtId="0" fontId="0" fillId="0" borderId="0" xfId="0"/>
    <xf numFmtId="0" fontId="56" fillId="0" borderId="15" xfId="0" applyFont="1" applyBorder="1" applyAlignment="1">
      <alignment vertical="top" wrapText="1"/>
    </xf>
    <xf numFmtId="0" fontId="0" fillId="0" borderId="0" xfId="0"/>
    <xf numFmtId="0" fontId="57" fillId="0" borderId="0" xfId="0" applyFont="1"/>
    <xf numFmtId="0" fontId="0" fillId="0" borderId="0" xfId="0"/>
    <xf numFmtId="0" fontId="0" fillId="0" borderId="0" xfId="0"/>
    <xf numFmtId="0" fontId="58" fillId="0" borderId="0" xfId="63"/>
    <xf numFmtId="0" fontId="59" fillId="0" borderId="0" xfId="63" applyFont="1" applyAlignment="1">
      <alignment horizontal="left" vertical="top" wrapText="1"/>
    </xf>
    <xf numFmtId="0" fontId="13" fillId="0" borderId="1" xfId="63" applyFont="1" applyBorder="1" applyAlignment="1">
      <alignment horizontal="left" vertical="top" wrapText="1"/>
    </xf>
    <xf numFmtId="0" fontId="13" fillId="0" borderId="1" xfId="63" applyFont="1" applyBorder="1" applyAlignment="1">
      <alignment horizontal="center" vertical="top" wrapText="1"/>
    </xf>
    <xf numFmtId="0" fontId="10" fillId="0" borderId="1" xfId="63" applyFont="1" applyBorder="1" applyAlignment="1">
      <alignment horizontal="center" vertical="center" wrapText="1"/>
    </xf>
    <xf numFmtId="0" fontId="0" fillId="0" borderId="0" xfId="0"/>
    <xf numFmtId="0" fontId="59" fillId="0" borderId="0" xfId="0" applyFont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center" vertical="top" wrapText="1"/>
    </xf>
    <xf numFmtId="0" fontId="0" fillId="0" borderId="0" xfId="0"/>
    <xf numFmtId="0" fontId="10" fillId="0" borderId="15" xfId="0" applyFont="1" applyBorder="1" applyAlignment="1">
      <alignment horizontal="center" vertical="top" wrapText="1"/>
    </xf>
    <xf numFmtId="1" fontId="33" fillId="0" borderId="1" xfId="0" applyNumberFormat="1" applyFont="1" applyBorder="1" applyAlignment="1">
      <alignment vertical="center" wrapText="1"/>
    </xf>
    <xf numFmtId="0" fontId="60" fillId="0" borderId="1" xfId="0" applyFont="1" applyBorder="1" applyAlignment="1">
      <alignment vertical="center"/>
    </xf>
    <xf numFmtId="0" fontId="33" fillId="0" borderId="0" xfId="0" applyFont="1" applyAlignment="1">
      <alignment vertical="center"/>
    </xf>
    <xf numFmtId="1" fontId="33" fillId="0" borderId="0" xfId="0" applyNumberFormat="1" applyFont="1" applyAlignment="1">
      <alignment vertical="center"/>
    </xf>
    <xf numFmtId="0" fontId="61" fillId="0" borderId="0" xfId="0" applyFont="1" applyAlignment="1">
      <alignment horizontal="left" vertical="top" wrapText="1"/>
    </xf>
    <xf numFmtId="0" fontId="62" fillId="0" borderId="1" xfId="0" applyFont="1" applyBorder="1" applyAlignment="1">
      <alignment horizontal="left" vertical="top" wrapText="1"/>
    </xf>
    <xf numFmtId="0" fontId="62" fillId="0" borderId="1" xfId="0" applyFont="1" applyBorder="1" applyAlignment="1">
      <alignment horizontal="center" vertical="top" wrapText="1"/>
    </xf>
    <xf numFmtId="0" fontId="61" fillId="0" borderId="0" xfId="0" applyFont="1" applyAlignment="1">
      <alignment vertical="top" wrapText="1"/>
    </xf>
    <xf numFmtId="0" fontId="10" fillId="0" borderId="1" xfId="63" applyFont="1" applyBorder="1" applyAlignment="1">
      <alignment horizontal="left" vertical="top" wrapText="1"/>
    </xf>
    <xf numFmtId="0" fontId="10" fillId="0" borderId="1" xfId="63" applyFont="1" applyBorder="1" applyAlignment="1">
      <alignment horizontal="center" vertical="top" wrapText="1"/>
    </xf>
    <xf numFmtId="0" fontId="10" fillId="0" borderId="1" xfId="63" applyFont="1" applyBorder="1" applyAlignment="1">
      <alignment horizontal="left" vertical="top" wrapText="1" indent="1"/>
    </xf>
    <xf numFmtId="0" fontId="10" fillId="0" borderId="1" xfId="63" applyFont="1" applyBorder="1" applyAlignment="1">
      <alignment horizontal="left" vertical="top" wrapText="1" indent="2"/>
    </xf>
    <xf numFmtId="0" fontId="10" fillId="0" borderId="1" xfId="63" applyFont="1" applyBorder="1" applyAlignment="1">
      <alignment horizontal="left" vertical="top" wrapText="1" indent="3"/>
    </xf>
    <xf numFmtId="0" fontId="10" fillId="0" borderId="1" xfId="63" applyFont="1" applyBorder="1" applyAlignment="1">
      <alignment horizontal="left" vertical="top" wrapText="1" indent="4"/>
    </xf>
    <xf numFmtId="0" fontId="10" fillId="0" borderId="1" xfId="0" applyFont="1" applyBorder="1" applyAlignment="1">
      <alignment horizontal="left" vertical="top" wrapText="1" indent="1"/>
    </xf>
    <xf numFmtId="0" fontId="10" fillId="0" borderId="1" xfId="0" applyFont="1" applyBorder="1" applyAlignment="1">
      <alignment horizontal="left" vertical="top" wrapText="1" indent="2"/>
    </xf>
    <xf numFmtId="0" fontId="10" fillId="0" borderId="1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left" vertical="top" wrapText="1" indent="4"/>
    </xf>
    <xf numFmtId="49" fontId="10" fillId="0" borderId="1" xfId="0" applyNumberFormat="1" applyFont="1" applyBorder="1" applyAlignment="1">
      <alignment horizontal="center" vertical="top" wrapText="1"/>
    </xf>
    <xf numFmtId="0" fontId="10" fillId="33" borderId="1" xfId="63" applyFont="1" applyFill="1" applyBorder="1" applyAlignment="1">
      <alignment horizontal="center" vertical="top" wrapText="1"/>
    </xf>
    <xf numFmtId="49" fontId="10" fillId="0" borderId="1" xfId="0" applyNumberFormat="1" applyFont="1" applyBorder="1" applyAlignment="1">
      <alignment horizontal="center" vertical="top"/>
    </xf>
    <xf numFmtId="0" fontId="56" fillId="0" borderId="12" xfId="0" applyFont="1" applyBorder="1" applyAlignment="1">
      <alignment horizontal="left" vertical="top" wrapText="1"/>
    </xf>
    <xf numFmtId="0" fontId="56" fillId="0" borderId="24" xfId="0" applyFont="1" applyBorder="1" applyAlignment="1">
      <alignment horizontal="left" vertical="top" wrapText="1"/>
    </xf>
    <xf numFmtId="0" fontId="56" fillId="0" borderId="20" xfId="0" applyFont="1" applyBorder="1" applyAlignment="1">
      <alignment horizontal="left" vertical="top" wrapText="1"/>
    </xf>
    <xf numFmtId="0" fontId="56" fillId="0" borderId="15" xfId="0" applyFont="1" applyBorder="1" applyAlignment="1">
      <alignment horizontal="center" vertical="center" wrapText="1"/>
    </xf>
    <xf numFmtId="0" fontId="0" fillId="0" borderId="76" xfId="0" applyNumberFormat="1" applyFont="1" applyFill="1" applyBorder="1"/>
    <xf numFmtId="0" fontId="0" fillId="0" borderId="77" xfId="0" applyNumberFormat="1" applyFont="1" applyFill="1" applyBorder="1"/>
    <xf numFmtId="0" fontId="56" fillId="0" borderId="20" xfId="0" applyFont="1" applyBorder="1" applyAlignment="1">
      <alignment vertical="top" wrapText="1"/>
    </xf>
    <xf numFmtId="0" fontId="0" fillId="0" borderId="0" xfId="0" applyNumberFormat="1" applyFont="1" applyFill="1" applyBorder="1"/>
    <xf numFmtId="0" fontId="0" fillId="0" borderId="0" xfId="0"/>
    <xf numFmtId="0" fontId="0" fillId="0" borderId="81" xfId="0" applyNumberFormat="1" applyFont="1" applyFill="1" applyBorder="1"/>
    <xf numFmtId="0" fontId="56" fillId="0" borderId="1" xfId="0" applyFont="1" applyBorder="1" applyAlignment="1">
      <alignment horizontal="center" vertical="center" wrapText="1"/>
    </xf>
    <xf numFmtId="0" fontId="0" fillId="0" borderId="82" xfId="0" applyNumberFormat="1" applyFont="1" applyFill="1" applyBorder="1"/>
    <xf numFmtId="0" fontId="56" fillId="0" borderId="1" xfId="0" applyFont="1" applyBorder="1" applyAlignment="1">
      <alignment vertical="top" wrapText="1"/>
    </xf>
    <xf numFmtId="0" fontId="0" fillId="0" borderId="79" xfId="0" applyNumberFormat="1" applyFont="1" applyFill="1" applyBorder="1"/>
    <xf numFmtId="0" fontId="56" fillId="0" borderId="12" xfId="0" applyFont="1" applyBorder="1" applyAlignment="1">
      <alignment horizontal="center" vertical="center" wrapText="1"/>
    </xf>
    <xf numFmtId="0" fontId="56" fillId="0" borderId="24" xfId="0" applyFont="1" applyBorder="1" applyAlignment="1">
      <alignment horizontal="center" vertical="center" wrapText="1"/>
    </xf>
    <xf numFmtId="0" fontId="56" fillId="0" borderId="20" xfId="0" applyFont="1" applyBorder="1" applyAlignment="1">
      <alignment horizontal="center" vertical="center" wrapText="1"/>
    </xf>
    <xf numFmtId="0" fontId="0" fillId="0" borderId="74" xfId="0" applyNumberFormat="1" applyFont="1" applyFill="1" applyBorder="1"/>
    <xf numFmtId="0" fontId="0" fillId="0" borderId="75" xfId="0" applyNumberFormat="1" applyFont="1" applyFill="1" applyBorder="1"/>
    <xf numFmtId="0" fontId="56" fillId="0" borderId="80" xfId="0" applyFont="1" applyBorder="1" applyAlignment="1">
      <alignment horizontal="left" vertical="top" wrapText="1"/>
    </xf>
    <xf numFmtId="0" fontId="56" fillId="0" borderId="0" xfId="0" applyFont="1" applyBorder="1" applyAlignment="1">
      <alignment horizontal="left" vertical="top" wrapText="1"/>
    </xf>
    <xf numFmtId="0" fontId="56" fillId="0" borderId="81" xfId="0" applyFont="1" applyBorder="1" applyAlignment="1">
      <alignment horizontal="left" vertical="top" wrapText="1"/>
    </xf>
    <xf numFmtId="0" fontId="56" fillId="0" borderId="19" xfId="0" applyFont="1" applyBorder="1" applyAlignment="1">
      <alignment horizontal="left" vertical="top" wrapText="1"/>
    </xf>
    <xf numFmtId="0" fontId="56" fillId="0" borderId="18" xfId="0" applyFont="1" applyBorder="1" applyAlignment="1">
      <alignment horizontal="left" vertical="top" wrapText="1"/>
    </xf>
    <xf numFmtId="0" fontId="56" fillId="0" borderId="83" xfId="0" applyFont="1" applyBorder="1" applyAlignment="1">
      <alignment horizontal="center" vertical="top" wrapText="1"/>
    </xf>
    <xf numFmtId="0" fontId="56" fillId="0" borderId="74" xfId="0" applyFont="1" applyBorder="1" applyAlignment="1">
      <alignment horizontal="center" vertical="top" wrapText="1"/>
    </xf>
    <xf numFmtId="0" fontId="56" fillId="0" borderId="75" xfId="0" applyFont="1" applyBorder="1" applyAlignment="1">
      <alignment horizontal="center" vertical="top" wrapText="1"/>
    </xf>
    <xf numFmtId="0" fontId="56" fillId="0" borderId="13" xfId="0" applyFont="1" applyBorder="1" applyAlignment="1">
      <alignment vertical="top" wrapText="1"/>
    </xf>
    <xf numFmtId="0" fontId="0" fillId="0" borderId="78" xfId="0" applyNumberFormat="1" applyFont="1" applyFill="1" applyBorder="1"/>
    <xf numFmtId="0" fontId="59" fillId="0" borderId="0" xfId="63" applyFont="1" applyAlignment="1">
      <alignment horizontal="center" vertical="top" wrapText="1"/>
    </xf>
    <xf numFmtId="0" fontId="58" fillId="0" borderId="0" xfId="63"/>
    <xf numFmtId="0" fontId="59" fillId="0" borderId="0" xfId="63" applyFont="1" applyAlignment="1">
      <alignment horizontal="right" vertical="top" wrapText="1"/>
    </xf>
    <xf numFmtId="0" fontId="59" fillId="0" borderId="0" xfId="0" applyFont="1" applyAlignment="1">
      <alignment horizontal="center" vertical="top" wrapText="1"/>
    </xf>
    <xf numFmtId="0" fontId="0" fillId="0" borderId="0" xfId="0" applyAlignment="1">
      <alignment wrapText="1"/>
    </xf>
    <xf numFmtId="0" fontId="59" fillId="0" borderId="0" xfId="0" applyFont="1" applyAlignment="1">
      <alignment horizontal="right" vertical="top" wrapText="1"/>
    </xf>
    <xf numFmtId="0" fontId="61" fillId="0" borderId="0" xfId="0" applyFont="1" applyAlignment="1">
      <alignment horizontal="center" vertical="top" wrapText="1"/>
    </xf>
    <xf numFmtId="0" fontId="61" fillId="0" borderId="9" xfId="0" applyFont="1" applyBorder="1" applyAlignment="1">
      <alignment horizontal="right" vertical="top" wrapText="1"/>
    </xf>
    <xf numFmtId="0" fontId="2" fillId="31" borderId="1" xfId="60" applyNumberFormat="1" applyFont="1" applyFill="1" applyBorder="1" applyAlignment="1">
      <alignment horizontal="center" vertical="center"/>
    </xf>
    <xf numFmtId="0" fontId="0" fillId="31" borderId="1" xfId="0" applyFill="1" applyBorder="1" applyAlignment="1"/>
    <xf numFmtId="0" fontId="3" fillId="31" borderId="12" xfId="0" applyFont="1" applyFill="1" applyBorder="1" applyAlignment="1">
      <alignment horizontal="left" vertical="center" wrapText="1"/>
    </xf>
    <xf numFmtId="0" fontId="3" fillId="31" borderId="24" xfId="0" applyFont="1" applyFill="1" applyBorder="1" applyAlignment="1">
      <alignment horizontal="left" vertical="center" wrapText="1"/>
    </xf>
    <xf numFmtId="0" fontId="3" fillId="31" borderId="20" xfId="0" applyFont="1" applyFill="1" applyBorder="1" applyAlignment="1">
      <alignment horizontal="left" vertical="center" wrapText="1"/>
    </xf>
    <xf numFmtId="0" fontId="2" fillId="25" borderId="12" xfId="60" applyNumberFormat="1" applyFont="1" applyFill="1" applyBorder="1" applyAlignment="1">
      <alignment horizontal="center" vertical="center"/>
    </xf>
    <xf numFmtId="0" fontId="2" fillId="25" borderId="20" xfId="60" applyNumberFormat="1" applyFont="1" applyFill="1" applyBorder="1" applyAlignment="1">
      <alignment horizontal="center" vertical="center"/>
    </xf>
    <xf numFmtId="0" fontId="0" fillId="31" borderId="12" xfId="0" applyFill="1" applyBorder="1" applyAlignment="1">
      <alignment horizontal="left" vertical="center" wrapText="1"/>
    </xf>
    <xf numFmtId="0" fontId="0" fillId="31" borderId="24" xfId="0" applyFill="1" applyBorder="1" applyAlignment="1">
      <alignment horizontal="left" vertical="center" wrapText="1"/>
    </xf>
    <xf numFmtId="0" fontId="0" fillId="31" borderId="20" xfId="0" applyFill="1" applyBorder="1" applyAlignment="1">
      <alignment horizontal="left" vertical="center" wrapText="1"/>
    </xf>
    <xf numFmtId="0" fontId="0" fillId="31" borderId="12" xfId="0" applyFill="1" applyBorder="1" applyAlignment="1">
      <alignment horizontal="left" wrapText="1"/>
    </xf>
    <xf numFmtId="0" fontId="0" fillId="31" borderId="24" xfId="0" applyFill="1" applyBorder="1" applyAlignment="1">
      <alignment horizontal="left" wrapText="1"/>
    </xf>
    <xf numFmtId="0" fontId="0" fillId="31" borderId="20" xfId="0" applyFill="1" applyBorder="1" applyAlignment="1">
      <alignment horizontal="left" wrapText="1"/>
    </xf>
    <xf numFmtId="0" fontId="0" fillId="31" borderId="16" xfId="0" applyFill="1" applyBorder="1" applyAlignment="1">
      <alignment horizontal="left"/>
    </xf>
    <xf numFmtId="0" fontId="0" fillId="31" borderId="19" xfId="0" applyFill="1" applyBorder="1" applyAlignment="1">
      <alignment horizontal="left"/>
    </xf>
    <xf numFmtId="0" fontId="0" fillId="31" borderId="18" xfId="0" applyFill="1" applyBorder="1" applyAlignment="1">
      <alignment horizontal="left"/>
    </xf>
    <xf numFmtId="0" fontId="0" fillId="31" borderId="14" xfId="0" applyFill="1" applyBorder="1" applyAlignment="1">
      <alignment horizontal="left"/>
    </xf>
    <xf numFmtId="0" fontId="0" fillId="31" borderId="9" xfId="0" applyFill="1" applyBorder="1" applyAlignment="1">
      <alignment horizontal="left"/>
    </xf>
    <xf numFmtId="0" fontId="0" fillId="31" borderId="21" xfId="0" applyFill="1" applyBorder="1" applyAlignment="1">
      <alignment horizontal="left"/>
    </xf>
    <xf numFmtId="0" fontId="3" fillId="31" borderId="16" xfId="0" applyFont="1" applyFill="1" applyBorder="1" applyAlignment="1">
      <alignment horizontal="center" vertical="center"/>
    </xf>
    <xf numFmtId="0" fontId="3" fillId="31" borderId="19" xfId="0" applyFont="1" applyFill="1" applyBorder="1" applyAlignment="1">
      <alignment horizontal="center" vertical="center"/>
    </xf>
    <xf numFmtId="0" fontId="3" fillId="31" borderId="18" xfId="0" applyFont="1" applyFill="1" applyBorder="1" applyAlignment="1">
      <alignment horizontal="center" vertical="center"/>
    </xf>
    <xf numFmtId="0" fontId="3" fillId="31" borderId="14" xfId="0" applyFont="1" applyFill="1" applyBorder="1" applyAlignment="1">
      <alignment horizontal="left" vertical="center" wrapText="1"/>
    </xf>
    <xf numFmtId="0" fontId="3" fillId="31" borderId="9" xfId="0" applyFont="1" applyFill="1" applyBorder="1" applyAlignment="1">
      <alignment horizontal="left" vertical="center" wrapText="1"/>
    </xf>
    <xf numFmtId="0" fontId="3" fillId="31" borderId="21" xfId="0" applyFont="1" applyFill="1" applyBorder="1" applyAlignment="1">
      <alignment horizontal="left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3" fillId="0" borderId="16" xfId="0" applyFont="1" applyBorder="1" applyAlignment="1">
      <alignment vertical="center" wrapText="1"/>
    </xf>
    <xf numFmtId="0" fontId="1" fillId="0" borderId="19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  <xf numFmtId="0" fontId="1" fillId="0" borderId="2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1" fillId="0" borderId="22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3" fillId="0" borderId="1" xfId="0" applyFont="1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15" fillId="0" borderId="12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8" fillId="0" borderId="23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22" xfId="0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8" fillId="0" borderId="0" xfId="0" applyFont="1" applyBorder="1" applyAlignment="1">
      <alignment horizontal="center"/>
    </xf>
    <xf numFmtId="0" fontId="5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wrapText="1"/>
    </xf>
    <xf numFmtId="0" fontId="10" fillId="0" borderId="16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1" fontId="8" fillId="0" borderId="12" xfId="0" applyNumberFormat="1" applyFont="1" applyBorder="1" applyAlignment="1">
      <alignment horizontal="center" wrapText="1"/>
    </xf>
    <xf numFmtId="1" fontId="0" fillId="0" borderId="20" xfId="0" applyNumberFormat="1" applyBorder="1" applyAlignment="1">
      <alignment horizontal="center" wrapText="1"/>
    </xf>
    <xf numFmtId="0" fontId="4" fillId="0" borderId="23" xfId="0" applyFont="1" applyBorder="1" applyAlignment="1">
      <alignment horizontal="center"/>
    </xf>
    <xf numFmtId="0" fontId="0" fillId="0" borderId="22" xfId="0" applyBorder="1" applyAlignment="1"/>
    <xf numFmtId="0" fontId="0" fillId="31" borderId="1" xfId="0" applyFont="1" applyFill="1" applyBorder="1" applyAlignment="1"/>
    <xf numFmtId="0" fontId="0" fillId="0" borderId="0" xfId="0" applyAlignment="1">
      <alignment vertical="center" wrapText="1"/>
    </xf>
    <xf numFmtId="0" fontId="7" fillId="0" borderId="12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8" fillId="0" borderId="16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49" fontId="2" fillId="31" borderId="15" xfId="0" applyNumberFormat="1" applyFont="1" applyFill="1" applyBorder="1" applyAlignment="1">
      <alignment horizontal="center"/>
    </xf>
    <xf numFmtId="0" fontId="0" fillId="31" borderId="15" xfId="0" applyFont="1" applyFill="1" applyBorder="1" applyAlignment="1"/>
    <xf numFmtId="49" fontId="2" fillId="31" borderId="1" xfId="0" applyNumberFormat="1" applyFont="1" applyFill="1" applyBorder="1" applyAlignment="1">
      <alignment horizontal="center"/>
    </xf>
    <xf numFmtId="0" fontId="2" fillId="25" borderId="1" xfId="0" applyNumberFormat="1" applyFont="1" applyFill="1" applyBorder="1" applyAlignment="1">
      <alignment horizontal="center" vertical="center"/>
    </xf>
    <xf numFmtId="0" fontId="0" fillId="25" borderId="1" xfId="0" applyFont="1" applyFill="1" applyBorder="1" applyAlignment="1">
      <alignment vertical="center"/>
    </xf>
    <xf numFmtId="0" fontId="2" fillId="25" borderId="1" xfId="60" applyNumberFormat="1" applyFont="1" applyFill="1" applyBorder="1" applyAlignment="1">
      <alignment horizontal="center" vertical="center"/>
    </xf>
    <xf numFmtId="0" fontId="0" fillId="25" borderId="1" xfId="0" applyFont="1" applyFill="1" applyBorder="1" applyAlignment="1"/>
    <xf numFmtId="0" fontId="2" fillId="33" borderId="1" xfId="60" applyNumberFormat="1" applyFont="1" applyFill="1" applyBorder="1" applyAlignment="1">
      <alignment horizontal="center" vertical="center"/>
    </xf>
    <xf numFmtId="0" fontId="0" fillId="33" borderId="1" xfId="0" applyFont="1" applyFill="1" applyBorder="1" applyAlignment="1"/>
    <xf numFmtId="0" fontId="0" fillId="31" borderId="12" xfId="0" applyFill="1" applyBorder="1" applyAlignment="1">
      <alignment horizontal="left"/>
    </xf>
    <xf numFmtId="0" fontId="0" fillId="31" borderId="24" xfId="0" applyFill="1" applyBorder="1" applyAlignment="1">
      <alignment horizontal="left"/>
    </xf>
    <xf numFmtId="0" fontId="0" fillId="31" borderId="20" xfId="0" applyFill="1" applyBorder="1" applyAlignment="1">
      <alignment horizontal="left"/>
    </xf>
    <xf numFmtId="0" fontId="2" fillId="31" borderId="12" xfId="60" applyNumberFormat="1" applyFont="1" applyFill="1" applyBorder="1" applyAlignment="1">
      <alignment horizontal="center" vertical="center"/>
    </xf>
    <xf numFmtId="0" fontId="2" fillId="31" borderId="20" xfId="60" applyNumberFormat="1" applyFont="1" applyFill="1" applyBorder="1" applyAlignment="1">
      <alignment horizontal="center" vertical="center"/>
    </xf>
    <xf numFmtId="0" fontId="0" fillId="31" borderId="14" xfId="0" applyFill="1" applyBorder="1" applyAlignment="1">
      <alignment horizontal="left" wrapText="1"/>
    </xf>
    <xf numFmtId="0" fontId="0" fillId="31" borderId="9" xfId="0" applyFill="1" applyBorder="1" applyAlignment="1">
      <alignment horizontal="left" wrapText="1"/>
    </xf>
    <xf numFmtId="0" fontId="0" fillId="31" borderId="21" xfId="0" applyFill="1" applyBorder="1" applyAlignment="1">
      <alignment horizontal="left" wrapText="1"/>
    </xf>
    <xf numFmtId="0" fontId="0" fillId="31" borderId="16" xfId="0" applyFill="1" applyBorder="1" applyAlignment="1">
      <alignment horizontal="left" wrapText="1"/>
    </xf>
    <xf numFmtId="0" fontId="0" fillId="31" borderId="19" xfId="0" applyFill="1" applyBorder="1" applyAlignment="1">
      <alignment horizontal="left" wrapText="1"/>
    </xf>
    <xf numFmtId="0" fontId="0" fillId="31" borderId="18" xfId="0" applyFill="1" applyBorder="1" applyAlignment="1">
      <alignment horizontal="left" wrapText="1"/>
    </xf>
    <xf numFmtId="0" fontId="2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7" fillId="31" borderId="0" xfId="0" applyFont="1" applyFill="1" applyBorder="1" applyAlignment="1">
      <alignment horizontal="center" vertical="center" wrapText="1"/>
    </xf>
    <xf numFmtId="0" fontId="6" fillId="31" borderId="0" xfId="0" applyFont="1" applyFill="1" applyBorder="1" applyAlignment="1">
      <alignment horizontal="center" vertical="center"/>
    </xf>
    <xf numFmtId="0" fontId="15" fillId="26" borderId="44" xfId="0" applyFont="1" applyFill="1" applyBorder="1" applyAlignment="1">
      <alignment horizontal="center" vertical="center"/>
    </xf>
    <xf numFmtId="0" fontId="15" fillId="26" borderId="39" xfId="0" applyFont="1" applyFill="1" applyBorder="1" applyAlignment="1">
      <alignment horizontal="center" vertical="center"/>
    </xf>
    <xf numFmtId="0" fontId="2" fillId="0" borderId="15" xfId="60" applyNumberFormat="1" applyFont="1" applyFill="1" applyBorder="1" applyAlignment="1">
      <alignment horizontal="center" vertical="center"/>
    </xf>
    <xf numFmtId="0" fontId="2" fillId="0" borderId="17" xfId="60" applyNumberFormat="1" applyFont="1" applyFill="1" applyBorder="1" applyAlignment="1">
      <alignment horizontal="center" vertical="center"/>
    </xf>
    <xf numFmtId="0" fontId="2" fillId="0" borderId="56" xfId="60" applyNumberFormat="1" applyFont="1" applyFill="1" applyBorder="1" applyAlignment="1">
      <alignment horizontal="center" vertical="center"/>
    </xf>
    <xf numFmtId="0" fontId="2" fillId="0" borderId="51" xfId="6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55" xfId="0" applyFont="1" applyBorder="1" applyAlignment="1">
      <alignment horizontal="center" wrapText="1"/>
    </xf>
    <xf numFmtId="0" fontId="3" fillId="0" borderId="47" xfId="0" applyFont="1" applyBorder="1" applyAlignment="1">
      <alignment horizontal="center" wrapText="1"/>
    </xf>
    <xf numFmtId="0" fontId="26" fillId="31" borderId="55" xfId="0" applyFont="1" applyFill="1" applyBorder="1" applyAlignment="1">
      <alignment horizontal="center"/>
    </xf>
    <xf numFmtId="0" fontId="26" fillId="31" borderId="47" xfId="0" applyFont="1" applyFill="1" applyBorder="1" applyAlignment="1">
      <alignment horizontal="center"/>
    </xf>
    <xf numFmtId="0" fontId="4" fillId="31" borderId="15" xfId="0" applyFont="1" applyFill="1" applyBorder="1" applyAlignment="1">
      <alignment horizontal="center"/>
    </xf>
    <xf numFmtId="0" fontId="4" fillId="31" borderId="17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7" xfId="0" applyFont="1" applyFill="1" applyBorder="1" applyAlignment="1">
      <alignment horizontal="center"/>
    </xf>
    <xf numFmtId="0" fontId="4" fillId="0" borderId="56" xfId="0" applyFont="1" applyFill="1" applyBorder="1" applyAlignment="1">
      <alignment horizontal="center"/>
    </xf>
    <xf numFmtId="0" fontId="4" fillId="0" borderId="51" xfId="0" applyFont="1" applyFill="1" applyBorder="1" applyAlignment="1">
      <alignment horizontal="center"/>
    </xf>
    <xf numFmtId="0" fontId="3" fillId="0" borderId="5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49" fontId="3" fillId="0" borderId="15" xfId="0" applyNumberFormat="1" applyFont="1" applyFill="1" applyBorder="1" applyAlignment="1">
      <alignment horizontal="center"/>
    </xf>
    <xf numFmtId="49" fontId="3" fillId="0" borderId="17" xfId="0" applyNumberFormat="1" applyFont="1" applyFill="1" applyBorder="1" applyAlignment="1">
      <alignment horizontal="center"/>
    </xf>
    <xf numFmtId="0" fontId="0" fillId="0" borderId="61" xfId="0" applyBorder="1" applyAlignment="1">
      <alignment horizontal="center" wrapText="1"/>
    </xf>
    <xf numFmtId="0" fontId="0" fillId="0" borderId="63" xfId="0" applyBorder="1" applyAlignment="1">
      <alignment horizontal="center" wrapText="1"/>
    </xf>
    <xf numFmtId="0" fontId="2" fillId="0" borderId="16" xfId="60" applyNumberFormat="1" applyFont="1" applyFill="1" applyBorder="1" applyAlignment="1">
      <alignment horizontal="center" vertical="center"/>
    </xf>
    <xf numFmtId="0" fontId="2" fillId="0" borderId="23" xfId="60" applyNumberFormat="1" applyFont="1" applyFill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/>
    </xf>
    <xf numFmtId="49" fontId="2" fillId="0" borderId="51" xfId="0" applyNumberFormat="1" applyFont="1" applyBorder="1" applyAlignment="1">
      <alignment horizontal="center"/>
    </xf>
    <xf numFmtId="49" fontId="2" fillId="0" borderId="17" xfId="0" applyNumberFormat="1" applyFont="1" applyFill="1" applyBorder="1" applyAlignment="1">
      <alignment horizontal="center"/>
    </xf>
    <xf numFmtId="49" fontId="2" fillId="0" borderId="51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 wrapText="1"/>
    </xf>
    <xf numFmtId="0" fontId="0" fillId="0" borderId="47" xfId="0" applyBorder="1" applyAlignment="1">
      <alignment horizontal="center" wrapText="1"/>
    </xf>
    <xf numFmtId="0" fontId="2" fillId="0" borderId="45" xfId="60" applyNumberFormat="1" applyFont="1" applyFill="1" applyBorder="1" applyAlignment="1">
      <alignment horizontal="center" vertical="center"/>
    </xf>
    <xf numFmtId="0" fontId="2" fillId="0" borderId="64" xfId="60" applyNumberFormat="1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61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26" fillId="0" borderId="61" xfId="0" applyFont="1" applyBorder="1" applyAlignment="1">
      <alignment horizontal="center" vertical="center" wrapText="1"/>
    </xf>
    <xf numFmtId="0" fontId="26" fillId="0" borderId="63" xfId="0" applyFont="1" applyBorder="1" applyAlignment="1">
      <alignment horizontal="center" vertical="center" wrapText="1"/>
    </xf>
    <xf numFmtId="0" fontId="2" fillId="31" borderId="15" xfId="60" applyNumberFormat="1" applyFont="1" applyFill="1" applyBorder="1" applyAlignment="1">
      <alignment horizontal="center" vertical="center"/>
    </xf>
    <xf numFmtId="0" fontId="2" fillId="31" borderId="17" xfId="60" applyNumberFormat="1" applyFont="1" applyFill="1" applyBorder="1" applyAlignment="1">
      <alignment horizontal="center" vertical="center"/>
    </xf>
    <xf numFmtId="0" fontId="26" fillId="0" borderId="55" xfId="0" applyFont="1" applyBorder="1" applyAlignment="1">
      <alignment horizontal="center" vertical="center" wrapText="1"/>
    </xf>
    <xf numFmtId="0" fontId="26" fillId="0" borderId="47" xfId="0" applyFont="1" applyBorder="1" applyAlignment="1">
      <alignment horizontal="center" vertical="center" wrapText="1"/>
    </xf>
    <xf numFmtId="0" fontId="26" fillId="0" borderId="55" xfId="0" applyFont="1" applyBorder="1" applyAlignment="1">
      <alignment horizontal="center"/>
    </xf>
    <xf numFmtId="0" fontId="26" fillId="0" borderId="4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52" fillId="0" borderId="55" xfId="0" applyFont="1" applyBorder="1" applyAlignment="1">
      <alignment horizontal="center" vertical="center" wrapText="1"/>
    </xf>
    <xf numFmtId="0" fontId="52" fillId="0" borderId="47" xfId="0" applyFont="1" applyBorder="1" applyAlignment="1">
      <alignment horizontal="center" vertical="center" wrapText="1"/>
    </xf>
    <xf numFmtId="0" fontId="52" fillId="0" borderId="61" xfId="0" applyFont="1" applyBorder="1" applyAlignment="1">
      <alignment horizontal="center" vertical="center" wrapText="1"/>
    </xf>
    <xf numFmtId="0" fontId="52" fillId="0" borderId="63" xfId="0" applyFont="1" applyBorder="1" applyAlignment="1">
      <alignment horizontal="center" vertical="center" wrapText="1"/>
    </xf>
    <xf numFmtId="0" fontId="2" fillId="0" borderId="19" xfId="60" applyNumberFormat="1" applyFont="1" applyFill="1" applyBorder="1" applyAlignment="1">
      <alignment horizontal="center" vertical="center"/>
    </xf>
    <xf numFmtId="0" fontId="2" fillId="0" borderId="0" xfId="60" applyNumberFormat="1" applyFont="1" applyFill="1" applyBorder="1" applyAlignment="1">
      <alignment horizontal="center" vertical="center"/>
    </xf>
    <xf numFmtId="0" fontId="3" fillId="0" borderId="61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167" fontId="3" fillId="0" borderId="15" xfId="60" applyNumberFormat="1" applyFont="1" applyBorder="1" applyAlignment="1">
      <alignment horizontal="center" vertical="center"/>
    </xf>
    <xf numFmtId="167" fontId="3" fillId="0" borderId="17" xfId="60" applyNumberFormat="1" applyFont="1" applyBorder="1" applyAlignment="1">
      <alignment horizontal="center" vertical="center"/>
    </xf>
    <xf numFmtId="167" fontId="3" fillId="0" borderId="45" xfId="60" applyNumberFormat="1" applyFont="1" applyBorder="1" applyAlignment="1">
      <alignment horizontal="center" vertical="center"/>
    </xf>
    <xf numFmtId="167" fontId="3" fillId="0" borderId="64" xfId="60" applyNumberFormat="1" applyFont="1" applyBorder="1" applyAlignment="1">
      <alignment horizontal="center" vertical="center"/>
    </xf>
    <xf numFmtId="0" fontId="20" fillId="24" borderId="47" xfId="56" applyFill="1" applyBorder="1" applyAlignment="1">
      <alignment horizontal="center" wrapText="1"/>
    </xf>
    <xf numFmtId="49" fontId="20" fillId="24" borderId="17" xfId="56" applyNumberFormat="1" applyFill="1" applyBorder="1" applyAlignment="1">
      <alignment horizontal="center" wrapText="1"/>
    </xf>
    <xf numFmtId="0" fontId="20" fillId="24" borderId="17" xfId="56" applyFill="1" applyBorder="1" applyAlignment="1">
      <alignment horizontal="center" wrapText="1"/>
    </xf>
    <xf numFmtId="0" fontId="20" fillId="24" borderId="64" xfId="56" applyFill="1" applyBorder="1" applyAlignment="1">
      <alignment horizontal="center" wrapText="1"/>
    </xf>
    <xf numFmtId="0" fontId="20" fillId="24" borderId="55" xfId="56" applyFill="1" applyBorder="1" applyAlignment="1">
      <alignment horizontal="center" wrapText="1"/>
    </xf>
    <xf numFmtId="49" fontId="20" fillId="24" borderId="15" xfId="56" applyNumberFormat="1" applyFill="1" applyBorder="1" applyAlignment="1">
      <alignment horizontal="center" wrapText="1"/>
    </xf>
    <xf numFmtId="0" fontId="20" fillId="24" borderId="15" xfId="56" applyFill="1" applyBorder="1" applyAlignment="1">
      <alignment horizontal="center" wrapText="1"/>
    </xf>
    <xf numFmtId="0" fontId="20" fillId="24" borderId="45" xfId="56" applyFill="1" applyBorder="1" applyAlignment="1">
      <alignment horizontal="center" wrapText="1"/>
    </xf>
    <xf numFmtId="0" fontId="22" fillId="24" borderId="47" xfId="40" applyFont="1" applyFill="1" applyBorder="1" applyAlignment="1">
      <alignment horizontal="center" vertical="center" wrapText="1"/>
    </xf>
    <xf numFmtId="0" fontId="22" fillId="24" borderId="17" xfId="40" applyFont="1" applyFill="1" applyBorder="1" applyAlignment="1">
      <alignment horizontal="center" vertical="center" wrapText="1"/>
    </xf>
    <xf numFmtId="0" fontId="22" fillId="24" borderId="17" xfId="40" applyFill="1" applyBorder="1" applyAlignment="1">
      <alignment horizontal="center" vertical="center" wrapText="1"/>
    </xf>
    <xf numFmtId="0" fontId="22" fillId="24" borderId="64" xfId="40" applyFill="1" applyBorder="1" applyAlignment="1">
      <alignment horizontal="center" vertical="center" wrapText="1"/>
    </xf>
    <xf numFmtId="0" fontId="22" fillId="24" borderId="60" xfId="40" applyFont="1" applyFill="1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0" fontId="21" fillId="29" borderId="0" xfId="38" applyFont="1" applyFill="1" applyAlignment="1">
      <alignment horizontal="center" wrapText="1"/>
    </xf>
    <xf numFmtId="0" fontId="0" fillId="29" borderId="0" xfId="0" applyFill="1" applyAlignment="1">
      <alignment horizontal="center" wrapText="1"/>
    </xf>
    <xf numFmtId="0" fontId="22" fillId="24" borderId="53" xfId="4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3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28" fillId="0" borderId="19" xfId="0" applyFont="1" applyBorder="1" applyAlignment="1">
      <alignment horizontal="center" vertical="center" wrapText="1"/>
    </xf>
    <xf numFmtId="0" fontId="32" fillId="24" borderId="69" xfId="0" applyFont="1" applyFill="1" applyBorder="1" applyAlignment="1">
      <alignment horizontal="center"/>
    </xf>
    <xf numFmtId="0" fontId="0" fillId="0" borderId="24" xfId="0" applyBorder="1" applyAlignment="1"/>
    <xf numFmtId="0" fontId="0" fillId="0" borderId="70" xfId="0" applyBorder="1" applyAlignment="1"/>
    <xf numFmtId="0" fontId="32" fillId="24" borderId="71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32" fillId="24" borderId="72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4" xfId="0" applyBorder="1" applyAlignment="1">
      <alignment horizontal="center"/>
    </xf>
    <xf numFmtId="0" fontId="32" fillId="24" borderId="73" xfId="0" applyFont="1" applyFill="1" applyBorder="1" applyAlignment="1">
      <alignment horizontal="center"/>
    </xf>
    <xf numFmtId="0" fontId="0" fillId="0" borderId="65" xfId="0" applyBorder="1" applyAlignment="1">
      <alignment horizontal="center"/>
    </xf>
  </cellXfs>
  <cellStyles count="64">
    <cellStyle name="20% - Акцент1" xfId="1"/>
    <cellStyle name="20% - Акцент2" xfId="2"/>
    <cellStyle name="20% - Акцент3" xfId="3"/>
    <cellStyle name="20% - Акцент4" xfId="4"/>
    <cellStyle name="20% - Акцент5" xfId="5"/>
    <cellStyle name="20% - Акцент6" xfId="6"/>
    <cellStyle name="40% - Акцент1" xfId="7"/>
    <cellStyle name="40% - Акцент2" xfId="8"/>
    <cellStyle name="40% - Акцент3" xfId="9"/>
    <cellStyle name="40% - Акцент4" xfId="10"/>
    <cellStyle name="40% - Акцент5" xfId="11"/>
    <cellStyle name="40% - Акцент6" xfId="12"/>
    <cellStyle name="60% - Акцент1" xfId="13"/>
    <cellStyle name="60% - Акцент2" xfId="14"/>
    <cellStyle name="60% - Акцент3" xfId="15"/>
    <cellStyle name="60% - Акцент4" xfId="16"/>
    <cellStyle name="60% - Акцент5" xfId="17"/>
    <cellStyle name="60% - Акцент6" xfId="18"/>
    <cellStyle name="Абзац" xfId="19"/>
    <cellStyle name="Акцент1 2" xfId="20"/>
    <cellStyle name="Акцент2 2" xfId="21"/>
    <cellStyle name="Акцент3 2" xfId="22"/>
    <cellStyle name="Акцент4 2" xfId="23"/>
    <cellStyle name="Акцент5 2" xfId="24"/>
    <cellStyle name="Акцент6 2" xfId="25"/>
    <cellStyle name="Блок" xfId="26"/>
    <cellStyle name="Блок 2" xfId="27"/>
    <cellStyle name="Ввод  2" xfId="28"/>
    <cellStyle name="Вывод 2" xfId="29"/>
    <cellStyle name="Вычисление 2" xfId="30"/>
    <cellStyle name="Дата" xfId="31"/>
    <cellStyle name="Дата 2" xfId="32"/>
    <cellStyle name="Денежный 2" xfId="33"/>
    <cellStyle name="Заголовок 1 2" xfId="34"/>
    <cellStyle name="Заголовок 2 2" xfId="35"/>
    <cellStyle name="Заголовок 3 2" xfId="36"/>
    <cellStyle name="Заголовок 4 2" xfId="37"/>
    <cellStyle name="ЗаголовокБланка" xfId="38"/>
    <cellStyle name="ЗаголовокБланка 2" xfId="39"/>
    <cellStyle name="ЗаголовокТаблицы" xfId="40"/>
    <cellStyle name="ЗаголовокТаблицы 2" xfId="41"/>
    <cellStyle name="ЗвездочкаСноски" xfId="42"/>
    <cellStyle name="Итог 2" xfId="43"/>
    <cellStyle name="Контрольная ячейка 2" xfId="44"/>
    <cellStyle name="Название 2" xfId="45"/>
    <cellStyle name="Нейтральный 2" xfId="46"/>
    <cellStyle name="Обычный" xfId="0" builtinId="0"/>
    <cellStyle name="Обычный 2" xfId="47"/>
    <cellStyle name="Обычный 3" xfId="63"/>
    <cellStyle name="Обычный_Формы" xfId="62"/>
    <cellStyle name="Плохой 2" xfId="48"/>
    <cellStyle name="Подпись" xfId="49"/>
    <cellStyle name="Подстрочный" xfId="50"/>
    <cellStyle name="ПоляЗаполнения" xfId="51"/>
    <cellStyle name="Пояснение 2" xfId="52"/>
    <cellStyle name="Приложение" xfId="53"/>
    <cellStyle name="Примечание 2" xfId="54"/>
    <cellStyle name="Связанная ячейка 2" xfId="55"/>
    <cellStyle name="Табличный" xfId="56"/>
    <cellStyle name="Табличный 2" xfId="57"/>
    <cellStyle name="Текст предупреждения 2" xfId="58"/>
    <cellStyle name="ТекстСноски" xfId="59"/>
    <cellStyle name="Финансовый 2" xfId="60"/>
    <cellStyle name="Хороший 2" xfId="61"/>
  </cellStyles>
  <dxfs count="0"/>
  <tableStyles count="0" defaultTableStyle="TableStyleMedium9" defaultPivotStyle="PivotStyleLight16"/>
  <colors>
    <mruColors>
      <color rgb="FFCC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67"/>
  <sheetViews>
    <sheetView workbookViewId="0">
      <selection activeCell="C16" sqref="C16"/>
    </sheetView>
  </sheetViews>
  <sheetFormatPr defaultRowHeight="12.75" x14ac:dyDescent="0.2"/>
  <cols>
    <col min="1" max="4" width="25.7109375" customWidth="1"/>
  </cols>
  <sheetData>
    <row r="1" spans="1:6" x14ac:dyDescent="0.2">
      <c r="A1" s="1" t="s">
        <v>167</v>
      </c>
      <c r="B1" s="1" t="s">
        <v>168</v>
      </c>
      <c r="C1" s="1" t="s">
        <v>169</v>
      </c>
      <c r="D1" s="1" t="s">
        <v>170</v>
      </c>
      <c r="E1" s="81" t="s">
        <v>171</v>
      </c>
      <c r="F1" s="81" t="s">
        <v>172</v>
      </c>
    </row>
    <row r="2" spans="1:6" x14ac:dyDescent="0.2">
      <c r="A2" s="1" t="s">
        <v>179</v>
      </c>
      <c r="B2" s="1" t="s">
        <v>264</v>
      </c>
      <c r="C2" s="1" t="s">
        <v>3779</v>
      </c>
      <c r="D2" s="1" t="s">
        <v>3779</v>
      </c>
      <c r="E2" s="81">
        <v>8837637.6899999995</v>
      </c>
      <c r="F2" s="81">
        <v>8837637.6899999995</v>
      </c>
    </row>
    <row r="3" spans="1:6" x14ac:dyDescent="0.2">
      <c r="A3" s="1" t="s">
        <v>179</v>
      </c>
      <c r="B3" s="1" t="s">
        <v>180</v>
      </c>
      <c r="C3" s="1" t="s">
        <v>3780</v>
      </c>
      <c r="D3" s="1" t="s">
        <v>3780</v>
      </c>
      <c r="E3" s="81">
        <v>8668726.7899999991</v>
      </c>
      <c r="F3" s="81">
        <v>8668726.7899999991</v>
      </c>
    </row>
    <row r="4" spans="1:6" x14ac:dyDescent="0.2">
      <c r="A4" s="1" t="s">
        <v>179</v>
      </c>
      <c r="B4" s="1" t="s">
        <v>265</v>
      </c>
      <c r="C4" s="1" t="s">
        <v>3781</v>
      </c>
      <c r="D4" s="1" t="s">
        <v>3781</v>
      </c>
      <c r="E4" s="81">
        <v>8329878.46</v>
      </c>
      <c r="F4" s="81">
        <v>8329878.46</v>
      </c>
    </row>
    <row r="5" spans="1:6" x14ac:dyDescent="0.2">
      <c r="A5" s="1" t="s">
        <v>179</v>
      </c>
      <c r="B5" s="1" t="s">
        <v>266</v>
      </c>
      <c r="C5" s="1" t="s">
        <v>101</v>
      </c>
      <c r="D5" s="1" t="s">
        <v>101</v>
      </c>
      <c r="E5" s="81">
        <v>0</v>
      </c>
      <c r="F5" s="81">
        <v>0</v>
      </c>
    </row>
    <row r="6" spans="1:6" x14ac:dyDescent="0.2">
      <c r="A6" s="1" t="s">
        <v>179</v>
      </c>
      <c r="B6" s="1" t="s">
        <v>267</v>
      </c>
      <c r="C6" s="1" t="s">
        <v>3782</v>
      </c>
      <c r="D6" s="1" t="s">
        <v>3782</v>
      </c>
      <c r="E6" s="81">
        <v>-151901.32999999999</v>
      </c>
      <c r="F6" s="81">
        <v>-151901.32999999999</v>
      </c>
    </row>
    <row r="7" spans="1:6" x14ac:dyDescent="0.2">
      <c r="A7" s="1" t="s">
        <v>179</v>
      </c>
      <c r="B7" s="1" t="s">
        <v>181</v>
      </c>
      <c r="C7" s="1" t="s">
        <v>3783</v>
      </c>
      <c r="D7" s="1" t="s">
        <v>3783</v>
      </c>
      <c r="E7" s="81">
        <v>8177977.1299999999</v>
      </c>
      <c r="F7" s="81">
        <v>8177977.1299999999</v>
      </c>
    </row>
    <row r="8" spans="1:6" x14ac:dyDescent="0.2">
      <c r="A8" s="1" t="s">
        <v>179</v>
      </c>
      <c r="B8" s="1" t="s">
        <v>182</v>
      </c>
      <c r="C8" s="1" t="s">
        <v>3784</v>
      </c>
      <c r="D8" s="1" t="s">
        <v>3784</v>
      </c>
      <c r="E8" s="81">
        <v>7536334.4900000002</v>
      </c>
      <c r="F8" s="81">
        <v>7536334.4900000002</v>
      </c>
    </row>
    <row r="9" spans="1:6" x14ac:dyDescent="0.2">
      <c r="A9" s="1" t="s">
        <v>179</v>
      </c>
      <c r="B9" s="1" t="s">
        <v>240</v>
      </c>
      <c r="C9" s="1" t="s">
        <v>3785</v>
      </c>
      <c r="D9" s="1" t="s">
        <v>3785</v>
      </c>
      <c r="E9" s="81">
        <v>7500262.0899999999</v>
      </c>
      <c r="F9" s="81">
        <v>7500262.0899999999</v>
      </c>
    </row>
    <row r="10" spans="1:6" x14ac:dyDescent="0.2">
      <c r="A10" s="1" t="s">
        <v>179</v>
      </c>
      <c r="B10" s="1" t="s">
        <v>610</v>
      </c>
      <c r="C10" s="1" t="s">
        <v>3786</v>
      </c>
      <c r="D10" s="1" t="s">
        <v>3786</v>
      </c>
      <c r="E10" s="81">
        <v>2546861.38</v>
      </c>
      <c r="F10" s="81">
        <v>2546861.38</v>
      </c>
    </row>
    <row r="11" spans="1:6" x14ac:dyDescent="0.2">
      <c r="A11" s="1" t="s">
        <v>179</v>
      </c>
      <c r="B11" s="1" t="s">
        <v>611</v>
      </c>
      <c r="C11" s="1" t="s">
        <v>101</v>
      </c>
      <c r="D11" s="1" t="s">
        <v>101</v>
      </c>
      <c r="E11" s="81">
        <v>0</v>
      </c>
      <c r="F11" s="81">
        <v>0</v>
      </c>
    </row>
    <row r="12" spans="1:6" x14ac:dyDescent="0.2">
      <c r="A12" s="1" t="s">
        <v>179</v>
      </c>
      <c r="B12" s="1" t="s">
        <v>612</v>
      </c>
      <c r="C12" s="1" t="s">
        <v>3787</v>
      </c>
      <c r="D12" s="1" t="s">
        <v>3787</v>
      </c>
      <c r="E12" s="81">
        <v>36507.300000000003</v>
      </c>
      <c r="F12" s="81">
        <v>36507.300000000003</v>
      </c>
    </row>
    <row r="13" spans="1:6" x14ac:dyDescent="0.2">
      <c r="A13" s="1" t="s">
        <v>179</v>
      </c>
      <c r="B13" s="1" t="s">
        <v>614</v>
      </c>
      <c r="C13" s="1" t="s">
        <v>101</v>
      </c>
      <c r="D13" s="1" t="s">
        <v>101</v>
      </c>
      <c r="E13" s="81">
        <v>0</v>
      </c>
      <c r="F13" s="81">
        <v>0</v>
      </c>
    </row>
    <row r="14" spans="1:6" x14ac:dyDescent="0.2">
      <c r="A14" s="1" t="s">
        <v>179</v>
      </c>
      <c r="B14" s="1" t="s">
        <v>615</v>
      </c>
      <c r="C14" s="1" t="s">
        <v>101</v>
      </c>
      <c r="D14" s="1" t="s">
        <v>101</v>
      </c>
      <c r="E14" s="81">
        <v>0</v>
      </c>
      <c r="F14" s="81">
        <v>0</v>
      </c>
    </row>
    <row r="15" spans="1:6" x14ac:dyDescent="0.2">
      <c r="A15" s="1" t="s">
        <v>179</v>
      </c>
      <c r="B15" s="1" t="s">
        <v>616</v>
      </c>
      <c r="C15" s="1" t="s">
        <v>3788</v>
      </c>
      <c r="D15" s="1" t="s">
        <v>3788</v>
      </c>
      <c r="E15" s="81">
        <v>2583368.6800000002</v>
      </c>
      <c r="F15" s="81">
        <v>2583368.6800000002</v>
      </c>
    </row>
    <row r="16" spans="1:6" x14ac:dyDescent="0.2">
      <c r="A16" s="1" t="s">
        <v>179</v>
      </c>
      <c r="B16" s="1" t="s">
        <v>617</v>
      </c>
      <c r="C16" s="1" t="s">
        <v>3789</v>
      </c>
      <c r="D16" s="1" t="s">
        <v>3789</v>
      </c>
      <c r="E16" s="81">
        <v>1858236.75</v>
      </c>
      <c r="F16" s="81">
        <v>1858236.75</v>
      </c>
    </row>
    <row r="17" spans="1:6" x14ac:dyDescent="0.2">
      <c r="A17" s="1" t="s">
        <v>179</v>
      </c>
      <c r="B17" s="1" t="s">
        <v>618</v>
      </c>
      <c r="C17" s="1" t="s">
        <v>3790</v>
      </c>
      <c r="D17" s="1" t="s">
        <v>3790</v>
      </c>
      <c r="E17" s="81">
        <v>2582529.63</v>
      </c>
      <c r="F17" s="81">
        <v>2582529.63</v>
      </c>
    </row>
    <row r="18" spans="1:6" x14ac:dyDescent="0.2">
      <c r="A18" s="1" t="s">
        <v>179</v>
      </c>
      <c r="B18" s="1" t="s">
        <v>619</v>
      </c>
      <c r="C18" s="1" t="s">
        <v>101</v>
      </c>
      <c r="D18" s="1" t="s">
        <v>101</v>
      </c>
      <c r="E18" s="81">
        <v>0</v>
      </c>
      <c r="F18" s="81">
        <v>0</v>
      </c>
    </row>
    <row r="19" spans="1:6" x14ac:dyDescent="0.2">
      <c r="A19" s="1" t="s">
        <v>179</v>
      </c>
      <c r="B19" s="1" t="s">
        <v>620</v>
      </c>
      <c r="C19" s="1" t="s">
        <v>101</v>
      </c>
      <c r="D19" s="1" t="s">
        <v>101</v>
      </c>
      <c r="E19" s="81">
        <v>0</v>
      </c>
      <c r="F19" s="81">
        <v>0</v>
      </c>
    </row>
    <row r="20" spans="1:6" x14ac:dyDescent="0.2">
      <c r="A20" s="1" t="s">
        <v>179</v>
      </c>
      <c r="B20" s="1" t="s">
        <v>621</v>
      </c>
      <c r="C20" s="1" t="s">
        <v>3791</v>
      </c>
      <c r="D20" s="1" t="s">
        <v>3791</v>
      </c>
      <c r="E20" s="81">
        <v>15835.82</v>
      </c>
      <c r="F20" s="81">
        <v>15835.82</v>
      </c>
    </row>
    <row r="21" spans="1:6" x14ac:dyDescent="0.2">
      <c r="A21" s="1" t="s">
        <v>179</v>
      </c>
      <c r="B21" s="1" t="s">
        <v>622</v>
      </c>
      <c r="C21" s="1" t="s">
        <v>3792</v>
      </c>
      <c r="D21" s="1" t="s">
        <v>3792</v>
      </c>
      <c r="E21" s="81">
        <v>24554.19</v>
      </c>
      <c r="F21" s="81">
        <v>24554.19</v>
      </c>
    </row>
    <row r="22" spans="1:6" x14ac:dyDescent="0.2">
      <c r="A22" s="1" t="s">
        <v>179</v>
      </c>
      <c r="B22" s="1" t="s">
        <v>623</v>
      </c>
      <c r="C22" s="1" t="s">
        <v>101</v>
      </c>
      <c r="D22" s="1" t="s">
        <v>101</v>
      </c>
      <c r="E22" s="81">
        <v>0</v>
      </c>
      <c r="F22" s="81">
        <v>0</v>
      </c>
    </row>
    <row r="23" spans="1:6" x14ac:dyDescent="0.2">
      <c r="A23" s="1" t="s">
        <v>179</v>
      </c>
      <c r="B23" s="1" t="s">
        <v>624</v>
      </c>
      <c r="C23" s="1" t="s">
        <v>101</v>
      </c>
      <c r="D23" s="1" t="s">
        <v>101</v>
      </c>
      <c r="E23" s="81">
        <v>0</v>
      </c>
      <c r="F23" s="81">
        <v>0</v>
      </c>
    </row>
    <row r="24" spans="1:6" x14ac:dyDescent="0.2">
      <c r="A24" s="1" t="s">
        <v>179</v>
      </c>
      <c r="B24" s="1" t="s">
        <v>625</v>
      </c>
      <c r="C24" s="1" t="s">
        <v>101</v>
      </c>
      <c r="D24" s="1" t="s">
        <v>101</v>
      </c>
      <c r="E24" s="81">
        <v>0</v>
      </c>
      <c r="F24" s="81">
        <v>0</v>
      </c>
    </row>
    <row r="25" spans="1:6" x14ac:dyDescent="0.2">
      <c r="A25" s="1" t="s">
        <v>179</v>
      </c>
      <c r="B25" s="1" t="s">
        <v>626</v>
      </c>
      <c r="C25" s="1" t="s">
        <v>101</v>
      </c>
      <c r="D25" s="1" t="s">
        <v>101</v>
      </c>
      <c r="E25" s="81">
        <v>0</v>
      </c>
      <c r="F25" s="81">
        <v>0</v>
      </c>
    </row>
    <row r="26" spans="1:6" x14ac:dyDescent="0.2">
      <c r="A26" s="1" t="s">
        <v>179</v>
      </c>
      <c r="B26" s="1" t="s">
        <v>627</v>
      </c>
      <c r="C26" s="1" t="s">
        <v>3793</v>
      </c>
      <c r="D26" s="1" t="s">
        <v>3793</v>
      </c>
      <c r="E26" s="81">
        <v>2607083.8199999998</v>
      </c>
      <c r="F26" s="81">
        <v>2607083.8199999998</v>
      </c>
    </row>
    <row r="27" spans="1:6" x14ac:dyDescent="0.2">
      <c r="A27" s="1" t="s">
        <v>179</v>
      </c>
      <c r="B27" s="1" t="s">
        <v>628</v>
      </c>
      <c r="C27" s="1" t="s">
        <v>3794</v>
      </c>
      <c r="D27" s="1" t="s">
        <v>3794</v>
      </c>
      <c r="E27" s="81">
        <v>93698.39</v>
      </c>
      <c r="F27" s="81">
        <v>93698.39</v>
      </c>
    </row>
    <row r="28" spans="1:6" x14ac:dyDescent="0.2">
      <c r="A28" s="1" t="s">
        <v>179</v>
      </c>
      <c r="B28" s="1" t="s">
        <v>629</v>
      </c>
      <c r="C28" s="1" t="s">
        <v>101</v>
      </c>
      <c r="D28" s="1" t="s">
        <v>101</v>
      </c>
      <c r="E28" s="81">
        <v>0</v>
      </c>
      <c r="F28" s="81">
        <v>0</v>
      </c>
    </row>
    <row r="29" spans="1:6" x14ac:dyDescent="0.2">
      <c r="A29" s="1" t="s">
        <v>179</v>
      </c>
      <c r="B29" s="1" t="s">
        <v>630</v>
      </c>
      <c r="C29" s="1" t="s">
        <v>3795</v>
      </c>
      <c r="D29" s="1" t="s">
        <v>3795</v>
      </c>
      <c r="E29" s="81">
        <v>827.27</v>
      </c>
      <c r="F29" s="81">
        <v>827.27</v>
      </c>
    </row>
    <row r="30" spans="1:6" x14ac:dyDescent="0.2">
      <c r="A30" s="1" t="s">
        <v>179</v>
      </c>
      <c r="B30" s="1" t="s">
        <v>631</v>
      </c>
      <c r="C30" s="1" t="s">
        <v>101</v>
      </c>
      <c r="D30" s="1" t="s">
        <v>101</v>
      </c>
      <c r="E30" s="81">
        <v>0</v>
      </c>
      <c r="F30" s="81">
        <v>0</v>
      </c>
    </row>
    <row r="31" spans="1:6" x14ac:dyDescent="0.2">
      <c r="A31" s="1" t="s">
        <v>179</v>
      </c>
      <c r="B31" s="1" t="s">
        <v>632</v>
      </c>
      <c r="C31" s="1" t="s">
        <v>101</v>
      </c>
      <c r="D31" s="1" t="s">
        <v>101</v>
      </c>
      <c r="E31" s="81">
        <v>0</v>
      </c>
      <c r="F31" s="81">
        <v>0</v>
      </c>
    </row>
    <row r="32" spans="1:6" x14ac:dyDescent="0.2">
      <c r="A32" s="1" t="s">
        <v>179</v>
      </c>
      <c r="B32" s="1" t="s">
        <v>633</v>
      </c>
      <c r="C32" s="1" t="s">
        <v>3796</v>
      </c>
      <c r="D32" s="1" t="s">
        <v>3796</v>
      </c>
      <c r="E32" s="81">
        <v>94525.66</v>
      </c>
      <c r="F32" s="81">
        <v>94525.66</v>
      </c>
    </row>
    <row r="33" spans="1:6" x14ac:dyDescent="0.2">
      <c r="A33" s="1" t="s">
        <v>179</v>
      </c>
      <c r="B33" s="1" t="s">
        <v>634</v>
      </c>
      <c r="C33" s="1" t="s">
        <v>3797</v>
      </c>
      <c r="D33" s="1" t="s">
        <v>3797</v>
      </c>
      <c r="E33" s="81">
        <v>103517.19</v>
      </c>
      <c r="F33" s="81">
        <v>103517.19</v>
      </c>
    </row>
    <row r="34" spans="1:6" x14ac:dyDescent="0.2">
      <c r="A34" s="1" t="s">
        <v>179</v>
      </c>
      <c r="B34" s="1" t="s">
        <v>635</v>
      </c>
      <c r="C34" s="1" t="s">
        <v>101</v>
      </c>
      <c r="D34" s="1" t="s">
        <v>101</v>
      </c>
      <c r="E34" s="81">
        <v>0</v>
      </c>
      <c r="F34" s="81">
        <v>0</v>
      </c>
    </row>
    <row r="35" spans="1:6" x14ac:dyDescent="0.2">
      <c r="A35" s="1" t="s">
        <v>179</v>
      </c>
      <c r="B35" s="1" t="s">
        <v>636</v>
      </c>
      <c r="C35" s="1" t="s">
        <v>3798</v>
      </c>
      <c r="D35" s="1" t="s">
        <v>3798</v>
      </c>
      <c r="E35" s="81">
        <v>1932.21</v>
      </c>
      <c r="F35" s="81">
        <v>1932.21</v>
      </c>
    </row>
    <row r="36" spans="1:6" x14ac:dyDescent="0.2">
      <c r="A36" s="1" t="s">
        <v>179</v>
      </c>
      <c r="B36" s="1" t="s">
        <v>637</v>
      </c>
      <c r="C36" s="1" t="s">
        <v>101</v>
      </c>
      <c r="D36" s="1" t="s">
        <v>101</v>
      </c>
      <c r="E36" s="81">
        <v>0</v>
      </c>
      <c r="F36" s="81">
        <v>0</v>
      </c>
    </row>
    <row r="37" spans="1:6" x14ac:dyDescent="0.2">
      <c r="A37" s="1" t="s">
        <v>179</v>
      </c>
      <c r="B37" s="1" t="s">
        <v>638</v>
      </c>
      <c r="C37" s="1" t="s">
        <v>101</v>
      </c>
      <c r="D37" s="1" t="s">
        <v>101</v>
      </c>
      <c r="E37" s="81">
        <v>0</v>
      </c>
      <c r="F37" s="81">
        <v>0</v>
      </c>
    </row>
    <row r="38" spans="1:6" x14ac:dyDescent="0.2">
      <c r="A38" s="1" t="s">
        <v>179</v>
      </c>
      <c r="B38" s="1" t="s">
        <v>639</v>
      </c>
      <c r="C38" s="1" t="s">
        <v>3799</v>
      </c>
      <c r="D38" s="1" t="s">
        <v>3799</v>
      </c>
      <c r="E38" s="81">
        <v>105449.4</v>
      </c>
      <c r="F38" s="81">
        <v>105449.4</v>
      </c>
    </row>
    <row r="39" spans="1:6" x14ac:dyDescent="0.2">
      <c r="A39" s="1" t="s">
        <v>179</v>
      </c>
      <c r="B39" s="1" t="s">
        <v>640</v>
      </c>
      <c r="C39" s="1" t="s">
        <v>3800</v>
      </c>
      <c r="D39" s="1" t="s">
        <v>3800</v>
      </c>
      <c r="E39" s="81">
        <v>76108.789999999994</v>
      </c>
      <c r="F39" s="81">
        <v>76108.789999999994</v>
      </c>
    </row>
    <row r="40" spans="1:6" x14ac:dyDescent="0.2">
      <c r="A40" s="1" t="s">
        <v>179</v>
      </c>
      <c r="B40" s="1" t="s">
        <v>641</v>
      </c>
      <c r="C40" s="1" t="s">
        <v>3801</v>
      </c>
      <c r="D40" s="1" t="s">
        <v>3801</v>
      </c>
      <c r="E40" s="81">
        <v>64581.29</v>
      </c>
      <c r="F40" s="81">
        <v>64581.29</v>
      </c>
    </row>
    <row r="41" spans="1:6" x14ac:dyDescent="0.2">
      <c r="A41" s="1" t="s">
        <v>179</v>
      </c>
      <c r="B41" s="1" t="s">
        <v>642</v>
      </c>
      <c r="C41" s="1" t="s">
        <v>3802</v>
      </c>
      <c r="D41" s="1" t="s">
        <v>3802</v>
      </c>
      <c r="E41" s="81">
        <v>77648.75</v>
      </c>
      <c r="F41" s="81">
        <v>77648.75</v>
      </c>
    </row>
    <row r="42" spans="1:6" x14ac:dyDescent="0.2">
      <c r="A42" s="1" t="s">
        <v>179</v>
      </c>
      <c r="B42" s="1" t="s">
        <v>643</v>
      </c>
      <c r="C42" s="1" t="s">
        <v>101</v>
      </c>
      <c r="D42" s="1" t="s">
        <v>101</v>
      </c>
      <c r="E42" s="81">
        <v>0</v>
      </c>
      <c r="F42" s="81">
        <v>0</v>
      </c>
    </row>
    <row r="43" spans="1:6" x14ac:dyDescent="0.2">
      <c r="A43" s="1" t="s">
        <v>179</v>
      </c>
      <c r="B43" s="1" t="s">
        <v>644</v>
      </c>
      <c r="C43" s="1" t="s">
        <v>3803</v>
      </c>
      <c r="D43" s="1" t="s">
        <v>3803</v>
      </c>
      <c r="E43" s="81">
        <v>5788.2</v>
      </c>
      <c r="F43" s="81">
        <v>5788.2</v>
      </c>
    </row>
    <row r="44" spans="1:6" x14ac:dyDescent="0.2">
      <c r="A44" s="1" t="s">
        <v>179</v>
      </c>
      <c r="B44" s="1" t="s">
        <v>645</v>
      </c>
      <c r="C44" s="1" t="s">
        <v>101</v>
      </c>
      <c r="D44" s="1" t="s">
        <v>101</v>
      </c>
      <c r="E44" s="81">
        <v>0</v>
      </c>
      <c r="F44" s="81">
        <v>0</v>
      </c>
    </row>
    <row r="45" spans="1:6" x14ac:dyDescent="0.2">
      <c r="A45" s="1" t="s">
        <v>179</v>
      </c>
      <c r="B45" s="1" t="s">
        <v>646</v>
      </c>
      <c r="C45" s="1" t="s">
        <v>101</v>
      </c>
      <c r="D45" s="1" t="s">
        <v>101</v>
      </c>
      <c r="E45" s="81">
        <v>0</v>
      </c>
      <c r="F45" s="81">
        <v>0</v>
      </c>
    </row>
    <row r="46" spans="1:6" x14ac:dyDescent="0.2">
      <c r="A46" s="1" t="s">
        <v>179</v>
      </c>
      <c r="B46" s="1" t="s">
        <v>647</v>
      </c>
      <c r="C46" s="1" t="s">
        <v>3804</v>
      </c>
      <c r="D46" s="1" t="s">
        <v>3804</v>
      </c>
      <c r="E46" s="81">
        <v>83436.95</v>
      </c>
      <c r="F46" s="81">
        <v>83436.95</v>
      </c>
    </row>
    <row r="47" spans="1:6" x14ac:dyDescent="0.2">
      <c r="A47" s="1" t="s">
        <v>179</v>
      </c>
      <c r="B47" s="1" t="s">
        <v>648</v>
      </c>
      <c r="C47" s="1" t="s">
        <v>3805</v>
      </c>
      <c r="D47" s="1" t="s">
        <v>3805</v>
      </c>
      <c r="E47" s="81">
        <v>63101.51</v>
      </c>
      <c r="F47" s="81">
        <v>63101.51</v>
      </c>
    </row>
    <row r="48" spans="1:6" x14ac:dyDescent="0.2">
      <c r="A48" s="1" t="s">
        <v>179</v>
      </c>
      <c r="B48" s="1" t="s">
        <v>649</v>
      </c>
      <c r="C48" s="1" t="s">
        <v>101</v>
      </c>
      <c r="D48" s="1" t="s">
        <v>101</v>
      </c>
      <c r="E48" s="81">
        <v>0</v>
      </c>
      <c r="F48" s="81">
        <v>0</v>
      </c>
    </row>
    <row r="49" spans="1:6" x14ac:dyDescent="0.2">
      <c r="A49" s="1" t="s">
        <v>179</v>
      </c>
      <c r="B49" s="1" t="s">
        <v>650</v>
      </c>
      <c r="C49" s="1" t="s">
        <v>3806</v>
      </c>
      <c r="D49" s="1" t="s">
        <v>3806</v>
      </c>
      <c r="E49" s="81">
        <v>4574.88</v>
      </c>
      <c r="F49" s="81">
        <v>4574.88</v>
      </c>
    </row>
    <row r="50" spans="1:6" x14ac:dyDescent="0.2">
      <c r="A50" s="1" t="s">
        <v>179</v>
      </c>
      <c r="B50" s="1" t="s">
        <v>651</v>
      </c>
      <c r="C50" s="1" t="s">
        <v>101</v>
      </c>
      <c r="D50" s="1" t="s">
        <v>101</v>
      </c>
      <c r="E50" s="81">
        <v>0</v>
      </c>
      <c r="F50" s="81">
        <v>0</v>
      </c>
    </row>
    <row r="51" spans="1:6" x14ac:dyDescent="0.2">
      <c r="A51" s="1" t="s">
        <v>179</v>
      </c>
      <c r="B51" s="1" t="s">
        <v>652</v>
      </c>
      <c r="C51" s="1" t="s">
        <v>101</v>
      </c>
      <c r="D51" s="1" t="s">
        <v>101</v>
      </c>
      <c r="E51" s="81">
        <v>0</v>
      </c>
      <c r="F51" s="81">
        <v>0</v>
      </c>
    </row>
    <row r="52" spans="1:6" x14ac:dyDescent="0.2">
      <c r="A52" s="1" t="s">
        <v>179</v>
      </c>
      <c r="B52" s="1" t="s">
        <v>653</v>
      </c>
      <c r="C52" s="1" t="s">
        <v>3807</v>
      </c>
      <c r="D52" s="1" t="s">
        <v>3807</v>
      </c>
      <c r="E52" s="81">
        <v>67676.39</v>
      </c>
      <c r="F52" s="81">
        <v>67676.39</v>
      </c>
    </row>
    <row r="53" spans="1:6" x14ac:dyDescent="0.2">
      <c r="A53" s="1" t="s">
        <v>179</v>
      </c>
      <c r="B53" s="1" t="s">
        <v>654</v>
      </c>
      <c r="C53" s="1" t="s">
        <v>101</v>
      </c>
      <c r="D53" s="1" t="s">
        <v>101</v>
      </c>
      <c r="E53" s="81">
        <v>0</v>
      </c>
      <c r="F53" s="81">
        <v>0</v>
      </c>
    </row>
    <row r="54" spans="1:6" x14ac:dyDescent="0.2">
      <c r="A54" s="1" t="s">
        <v>179</v>
      </c>
      <c r="B54" s="1" t="s">
        <v>655</v>
      </c>
      <c r="C54" s="1" t="s">
        <v>101</v>
      </c>
      <c r="D54" s="1" t="s">
        <v>101</v>
      </c>
      <c r="E54" s="81">
        <v>0</v>
      </c>
      <c r="F54" s="81">
        <v>0</v>
      </c>
    </row>
    <row r="55" spans="1:6" x14ac:dyDescent="0.2">
      <c r="A55" s="1" t="s">
        <v>179</v>
      </c>
      <c r="B55" s="1" t="s">
        <v>656</v>
      </c>
      <c r="C55" s="1" t="s">
        <v>3808</v>
      </c>
      <c r="D55" s="1" t="s">
        <v>3808</v>
      </c>
      <c r="E55" s="81">
        <v>1611909.98</v>
      </c>
      <c r="F55" s="81">
        <v>1611909.98</v>
      </c>
    </row>
    <row r="56" spans="1:6" x14ac:dyDescent="0.2">
      <c r="A56" s="1" t="s">
        <v>179</v>
      </c>
      <c r="B56" s="1" t="s">
        <v>657</v>
      </c>
      <c r="C56" s="1" t="s">
        <v>101</v>
      </c>
      <c r="D56" s="1" t="s">
        <v>101</v>
      </c>
      <c r="E56" s="81">
        <v>0</v>
      </c>
      <c r="F56" s="81">
        <v>0</v>
      </c>
    </row>
    <row r="57" spans="1:6" x14ac:dyDescent="0.2">
      <c r="A57" s="1" t="s">
        <v>179</v>
      </c>
      <c r="B57" s="1" t="s">
        <v>658</v>
      </c>
      <c r="C57" s="1" t="s">
        <v>3809</v>
      </c>
      <c r="D57" s="1" t="s">
        <v>3809</v>
      </c>
      <c r="E57" s="81">
        <v>7625.43</v>
      </c>
      <c r="F57" s="81">
        <v>7625.43</v>
      </c>
    </row>
    <row r="58" spans="1:6" x14ac:dyDescent="0.2">
      <c r="A58" s="1" t="s">
        <v>179</v>
      </c>
      <c r="B58" s="1" t="s">
        <v>659</v>
      </c>
      <c r="C58" s="1" t="s">
        <v>101</v>
      </c>
      <c r="D58" s="1" t="s">
        <v>101</v>
      </c>
      <c r="E58" s="81">
        <v>0</v>
      </c>
      <c r="F58" s="81">
        <v>0</v>
      </c>
    </row>
    <row r="59" spans="1:6" x14ac:dyDescent="0.2">
      <c r="A59" s="1" t="s">
        <v>179</v>
      </c>
      <c r="B59" s="1" t="s">
        <v>660</v>
      </c>
      <c r="C59" s="1" t="s">
        <v>101</v>
      </c>
      <c r="D59" s="1" t="s">
        <v>101</v>
      </c>
      <c r="E59" s="81">
        <v>0</v>
      </c>
      <c r="F59" s="81">
        <v>0</v>
      </c>
    </row>
    <row r="60" spans="1:6" x14ac:dyDescent="0.2">
      <c r="A60" s="1" t="s">
        <v>179</v>
      </c>
      <c r="B60" s="1" t="s">
        <v>661</v>
      </c>
      <c r="C60" s="1" t="s">
        <v>3810</v>
      </c>
      <c r="D60" s="1" t="s">
        <v>3810</v>
      </c>
      <c r="E60" s="81">
        <v>1619535.41</v>
      </c>
      <c r="F60" s="81">
        <v>1619535.41</v>
      </c>
    </row>
    <row r="61" spans="1:6" x14ac:dyDescent="0.2">
      <c r="A61" s="1" t="s">
        <v>179</v>
      </c>
      <c r="B61" s="1" t="s">
        <v>662</v>
      </c>
      <c r="C61" s="1" t="s">
        <v>3811</v>
      </c>
      <c r="D61" s="1" t="s">
        <v>3811</v>
      </c>
      <c r="E61" s="81">
        <v>1630283.63</v>
      </c>
      <c r="F61" s="81">
        <v>1630283.63</v>
      </c>
    </row>
    <row r="62" spans="1:6" x14ac:dyDescent="0.2">
      <c r="A62" s="1" t="s">
        <v>179</v>
      </c>
      <c r="B62" s="1" t="s">
        <v>663</v>
      </c>
      <c r="C62" s="1" t="s">
        <v>101</v>
      </c>
      <c r="D62" s="1" t="s">
        <v>101</v>
      </c>
      <c r="E62" s="81">
        <v>0</v>
      </c>
      <c r="F62" s="81">
        <v>0</v>
      </c>
    </row>
    <row r="63" spans="1:6" x14ac:dyDescent="0.2">
      <c r="A63" s="1" t="s">
        <v>179</v>
      </c>
      <c r="B63" s="1" t="s">
        <v>664</v>
      </c>
      <c r="C63" s="1" t="s">
        <v>3812</v>
      </c>
      <c r="D63" s="1" t="s">
        <v>3812</v>
      </c>
      <c r="E63" s="81">
        <v>7119.37</v>
      </c>
      <c r="F63" s="81">
        <v>7119.37</v>
      </c>
    </row>
    <row r="64" spans="1:6" x14ac:dyDescent="0.2">
      <c r="A64" s="1" t="s">
        <v>179</v>
      </c>
      <c r="B64" s="1" t="s">
        <v>665</v>
      </c>
      <c r="C64" s="1" t="s">
        <v>101</v>
      </c>
      <c r="D64" s="1" t="s">
        <v>101</v>
      </c>
      <c r="E64" s="81">
        <v>0</v>
      </c>
      <c r="F64" s="81">
        <v>0</v>
      </c>
    </row>
    <row r="65" spans="1:6" x14ac:dyDescent="0.2">
      <c r="A65" s="1" t="s">
        <v>179</v>
      </c>
      <c r="B65" s="1" t="s">
        <v>666</v>
      </c>
      <c r="C65" s="1" t="s">
        <v>101</v>
      </c>
      <c r="D65" s="1" t="s">
        <v>101</v>
      </c>
      <c r="E65" s="81">
        <v>0</v>
      </c>
      <c r="F65" s="81">
        <v>0</v>
      </c>
    </row>
    <row r="66" spans="1:6" x14ac:dyDescent="0.2">
      <c r="A66" s="1" t="s">
        <v>179</v>
      </c>
      <c r="B66" s="1" t="s">
        <v>667</v>
      </c>
      <c r="C66" s="1" t="s">
        <v>3813</v>
      </c>
      <c r="D66" s="1" t="s">
        <v>3813</v>
      </c>
      <c r="E66" s="81">
        <v>1637403</v>
      </c>
      <c r="F66" s="81">
        <v>1637403</v>
      </c>
    </row>
    <row r="67" spans="1:6" x14ac:dyDescent="0.2">
      <c r="A67" s="1" t="s">
        <v>179</v>
      </c>
      <c r="B67" s="1" t="s">
        <v>668</v>
      </c>
      <c r="C67" s="1" t="s">
        <v>3814</v>
      </c>
      <c r="D67" s="1" t="s">
        <v>3814</v>
      </c>
      <c r="E67" s="81">
        <v>154738.85999999999</v>
      </c>
      <c r="F67" s="81">
        <v>154738.85999999999</v>
      </c>
    </row>
    <row r="68" spans="1:6" x14ac:dyDescent="0.2">
      <c r="A68" s="1" t="s">
        <v>179</v>
      </c>
      <c r="B68" s="1" t="s">
        <v>669</v>
      </c>
      <c r="C68" s="1" t="s">
        <v>3815</v>
      </c>
      <c r="D68" s="1" t="s">
        <v>3815</v>
      </c>
      <c r="E68" s="81">
        <v>190369.17</v>
      </c>
      <c r="F68" s="81">
        <v>190369.17</v>
      </c>
    </row>
    <row r="69" spans="1:6" x14ac:dyDescent="0.2">
      <c r="A69" s="1" t="s">
        <v>179</v>
      </c>
      <c r="B69" s="1" t="s">
        <v>670</v>
      </c>
      <c r="C69" s="1" t="s">
        <v>3816</v>
      </c>
      <c r="D69" s="1" t="s">
        <v>3816</v>
      </c>
      <c r="E69" s="81">
        <v>1665670.45</v>
      </c>
      <c r="F69" s="81">
        <v>1665670.45</v>
      </c>
    </row>
    <row r="70" spans="1:6" x14ac:dyDescent="0.2">
      <c r="A70" s="1" t="s">
        <v>179</v>
      </c>
      <c r="B70" s="1" t="s">
        <v>671</v>
      </c>
      <c r="C70" s="1" t="s">
        <v>3817</v>
      </c>
      <c r="D70" s="1" t="s">
        <v>3817</v>
      </c>
      <c r="E70" s="81">
        <v>1452593.93</v>
      </c>
      <c r="F70" s="81">
        <v>1452593.93</v>
      </c>
    </row>
    <row r="71" spans="1:6" x14ac:dyDescent="0.2">
      <c r="A71" s="1" t="s">
        <v>179</v>
      </c>
      <c r="B71" s="1" t="s">
        <v>672</v>
      </c>
      <c r="C71" s="1" t="s">
        <v>3818</v>
      </c>
      <c r="D71" s="1" t="s">
        <v>3818</v>
      </c>
      <c r="E71" s="81">
        <v>557210.71</v>
      </c>
      <c r="F71" s="81">
        <v>557210.71</v>
      </c>
    </row>
    <row r="72" spans="1:6" x14ac:dyDescent="0.2">
      <c r="A72" s="1" t="s">
        <v>179</v>
      </c>
      <c r="B72" s="1" t="s">
        <v>673</v>
      </c>
      <c r="C72" s="1" t="s">
        <v>3819</v>
      </c>
      <c r="D72" s="1" t="s">
        <v>3819</v>
      </c>
      <c r="E72" s="81">
        <v>544730.06999999995</v>
      </c>
      <c r="F72" s="81">
        <v>544730.06999999995</v>
      </c>
    </row>
    <row r="73" spans="1:6" x14ac:dyDescent="0.2">
      <c r="A73" s="1" t="s">
        <v>179</v>
      </c>
      <c r="B73" s="1" t="s">
        <v>674</v>
      </c>
      <c r="C73" s="1" t="s">
        <v>3820</v>
      </c>
      <c r="D73" s="1" t="s">
        <v>3820</v>
      </c>
      <c r="E73" s="81">
        <v>1983815.92</v>
      </c>
      <c r="F73" s="81">
        <v>1983815.92</v>
      </c>
    </row>
    <row r="74" spans="1:6" x14ac:dyDescent="0.2">
      <c r="A74" s="1" t="s">
        <v>179</v>
      </c>
      <c r="B74" s="1" t="s">
        <v>675</v>
      </c>
      <c r="C74" s="1" t="s">
        <v>3821</v>
      </c>
      <c r="D74" s="1" t="s">
        <v>3821</v>
      </c>
      <c r="E74" s="81">
        <v>2131546.7000000002</v>
      </c>
      <c r="F74" s="81">
        <v>2131546.7000000002</v>
      </c>
    </row>
    <row r="75" spans="1:6" x14ac:dyDescent="0.2">
      <c r="A75" s="1" t="s">
        <v>179</v>
      </c>
      <c r="B75" s="1" t="s">
        <v>676</v>
      </c>
      <c r="C75" s="1" t="s">
        <v>3822</v>
      </c>
      <c r="D75" s="1" t="s">
        <v>3822</v>
      </c>
      <c r="E75" s="81">
        <v>1972785.64</v>
      </c>
      <c r="F75" s="81">
        <v>1972785.64</v>
      </c>
    </row>
    <row r="76" spans="1:6" x14ac:dyDescent="0.2">
      <c r="A76" s="1" t="s">
        <v>179</v>
      </c>
      <c r="B76" s="1" t="s">
        <v>677</v>
      </c>
      <c r="C76" s="1" t="s">
        <v>3823</v>
      </c>
      <c r="D76" s="1" t="s">
        <v>3823</v>
      </c>
      <c r="E76" s="81">
        <v>2120315.5499999998</v>
      </c>
      <c r="F76" s="81">
        <v>2120315.5499999998</v>
      </c>
    </row>
    <row r="77" spans="1:6" x14ac:dyDescent="0.2">
      <c r="A77" s="1" t="s">
        <v>179</v>
      </c>
      <c r="B77" s="1" t="s">
        <v>678</v>
      </c>
      <c r="C77" s="1" t="s">
        <v>3824</v>
      </c>
      <c r="D77" s="1" t="s">
        <v>3824</v>
      </c>
      <c r="E77" s="81">
        <v>11030.28</v>
      </c>
      <c r="F77" s="81">
        <v>11030.28</v>
      </c>
    </row>
    <row r="78" spans="1:6" x14ac:dyDescent="0.2">
      <c r="A78" s="1" t="s">
        <v>179</v>
      </c>
      <c r="B78" s="1" t="s">
        <v>680</v>
      </c>
      <c r="C78" s="1" t="s">
        <v>3825</v>
      </c>
      <c r="D78" s="1" t="s">
        <v>3825</v>
      </c>
      <c r="E78" s="81">
        <v>11231.15</v>
      </c>
      <c r="F78" s="81">
        <v>11231.15</v>
      </c>
    </row>
    <row r="79" spans="1:6" x14ac:dyDescent="0.2">
      <c r="A79" s="1" t="s">
        <v>179</v>
      </c>
      <c r="B79" s="1" t="s">
        <v>681</v>
      </c>
      <c r="C79" s="1" t="s">
        <v>3826</v>
      </c>
      <c r="D79" s="1" t="s">
        <v>3826</v>
      </c>
      <c r="E79" s="81">
        <v>322633.59999999998</v>
      </c>
      <c r="F79" s="81">
        <v>322633.59999999998</v>
      </c>
    </row>
    <row r="80" spans="1:6" x14ac:dyDescent="0.2">
      <c r="A80" s="1" t="s">
        <v>179</v>
      </c>
      <c r="B80" s="1" t="s">
        <v>682</v>
      </c>
      <c r="C80" s="1" t="s">
        <v>101</v>
      </c>
      <c r="D80" s="1" t="s">
        <v>101</v>
      </c>
      <c r="E80" s="81">
        <v>0</v>
      </c>
      <c r="F80" s="81">
        <v>0</v>
      </c>
    </row>
    <row r="81" spans="1:6" x14ac:dyDescent="0.2">
      <c r="A81" s="1" t="s">
        <v>179</v>
      </c>
      <c r="B81" s="1" t="s">
        <v>683</v>
      </c>
      <c r="C81" s="1" t="s">
        <v>3827</v>
      </c>
      <c r="D81" s="1" t="s">
        <v>3827</v>
      </c>
      <c r="E81" s="81">
        <v>423468.27</v>
      </c>
      <c r="F81" s="81">
        <v>423468.27</v>
      </c>
    </row>
    <row r="82" spans="1:6" x14ac:dyDescent="0.2">
      <c r="A82" s="1" t="s">
        <v>179</v>
      </c>
      <c r="B82" s="1" t="s">
        <v>684</v>
      </c>
      <c r="C82" s="1" t="s">
        <v>101</v>
      </c>
      <c r="D82" s="1" t="s">
        <v>101</v>
      </c>
      <c r="E82" s="81">
        <v>0</v>
      </c>
      <c r="F82" s="81">
        <v>0</v>
      </c>
    </row>
    <row r="83" spans="1:6" x14ac:dyDescent="0.2">
      <c r="A83" s="1" t="s">
        <v>179</v>
      </c>
      <c r="B83" s="1" t="s">
        <v>685</v>
      </c>
      <c r="C83" s="1" t="s">
        <v>101</v>
      </c>
      <c r="D83" s="1" t="s">
        <v>101</v>
      </c>
      <c r="E83" s="81">
        <v>0</v>
      </c>
      <c r="F83" s="81">
        <v>0</v>
      </c>
    </row>
    <row r="84" spans="1:6" x14ac:dyDescent="0.2">
      <c r="A84" s="1" t="s">
        <v>179</v>
      </c>
      <c r="B84" s="1" t="s">
        <v>686</v>
      </c>
      <c r="C84" s="1" t="s">
        <v>3828</v>
      </c>
      <c r="D84" s="1" t="s">
        <v>3828</v>
      </c>
      <c r="E84" s="81">
        <v>746101.87</v>
      </c>
      <c r="F84" s="81">
        <v>746101.87</v>
      </c>
    </row>
    <row r="85" spans="1:6" x14ac:dyDescent="0.2">
      <c r="A85" s="1" t="s">
        <v>179</v>
      </c>
      <c r="B85" s="1" t="s">
        <v>687</v>
      </c>
      <c r="C85" s="1" t="s">
        <v>3829</v>
      </c>
      <c r="D85" s="1" t="s">
        <v>3829</v>
      </c>
      <c r="E85" s="81">
        <v>368834.02</v>
      </c>
      <c r="F85" s="81">
        <v>368834.02</v>
      </c>
    </row>
    <row r="86" spans="1:6" x14ac:dyDescent="0.2">
      <c r="A86" s="1" t="s">
        <v>179</v>
      </c>
      <c r="B86" s="1" t="s">
        <v>688</v>
      </c>
      <c r="C86" s="1" t="s">
        <v>101</v>
      </c>
      <c r="D86" s="1" t="s">
        <v>101</v>
      </c>
      <c r="E86" s="81">
        <v>0</v>
      </c>
      <c r="F86" s="81">
        <v>0</v>
      </c>
    </row>
    <row r="87" spans="1:6" x14ac:dyDescent="0.2">
      <c r="A87" s="1" t="s">
        <v>179</v>
      </c>
      <c r="B87" s="1" t="s">
        <v>689</v>
      </c>
      <c r="C87" s="1" t="s">
        <v>3830</v>
      </c>
      <c r="D87" s="1" t="s">
        <v>3830</v>
      </c>
      <c r="E87" s="81">
        <v>395473.55</v>
      </c>
      <c r="F87" s="81">
        <v>395473.55</v>
      </c>
    </row>
    <row r="88" spans="1:6" x14ac:dyDescent="0.2">
      <c r="A88" s="1" t="s">
        <v>179</v>
      </c>
      <c r="B88" s="1" t="s">
        <v>690</v>
      </c>
      <c r="C88" s="1" t="s">
        <v>101</v>
      </c>
      <c r="D88" s="1" t="s">
        <v>101</v>
      </c>
      <c r="E88" s="81">
        <v>0</v>
      </c>
      <c r="F88" s="81">
        <v>0</v>
      </c>
    </row>
    <row r="89" spans="1:6" x14ac:dyDescent="0.2">
      <c r="A89" s="1" t="s">
        <v>179</v>
      </c>
      <c r="B89" s="1" t="s">
        <v>691</v>
      </c>
      <c r="C89" s="1" t="s">
        <v>101</v>
      </c>
      <c r="D89" s="1" t="s">
        <v>101</v>
      </c>
      <c r="E89" s="81">
        <v>0</v>
      </c>
      <c r="F89" s="81">
        <v>0</v>
      </c>
    </row>
    <row r="90" spans="1:6" x14ac:dyDescent="0.2">
      <c r="A90" s="1" t="s">
        <v>179</v>
      </c>
      <c r="B90" s="1" t="s">
        <v>692</v>
      </c>
      <c r="C90" s="1" t="s">
        <v>3831</v>
      </c>
      <c r="D90" s="1" t="s">
        <v>3831</v>
      </c>
      <c r="E90" s="81">
        <v>764307.57</v>
      </c>
      <c r="F90" s="81">
        <v>764307.57</v>
      </c>
    </row>
    <row r="91" spans="1:6" x14ac:dyDescent="0.2">
      <c r="A91" s="1" t="s">
        <v>179</v>
      </c>
      <c r="B91" s="1" t="s">
        <v>693</v>
      </c>
      <c r="C91" s="1" t="s">
        <v>101</v>
      </c>
      <c r="D91" s="1" t="s">
        <v>101</v>
      </c>
      <c r="E91" s="81">
        <v>0</v>
      </c>
      <c r="F91" s="81">
        <v>0</v>
      </c>
    </row>
    <row r="92" spans="1:6" x14ac:dyDescent="0.2">
      <c r="A92" s="1" t="s">
        <v>179</v>
      </c>
      <c r="B92" s="1" t="s">
        <v>694</v>
      </c>
      <c r="C92" s="1" t="s">
        <v>101</v>
      </c>
      <c r="D92" s="1" t="s">
        <v>101</v>
      </c>
      <c r="E92" s="81">
        <v>0</v>
      </c>
      <c r="F92" s="81">
        <v>0</v>
      </c>
    </row>
    <row r="93" spans="1:6" x14ac:dyDescent="0.2">
      <c r="A93" s="1" t="s">
        <v>179</v>
      </c>
      <c r="B93" s="1" t="s">
        <v>695</v>
      </c>
      <c r="C93" s="1" t="s">
        <v>101</v>
      </c>
      <c r="D93" s="1" t="s">
        <v>101</v>
      </c>
      <c r="E93" s="81">
        <v>0</v>
      </c>
      <c r="F93" s="81">
        <v>0</v>
      </c>
    </row>
    <row r="94" spans="1:6" x14ac:dyDescent="0.2">
      <c r="A94" s="1" t="s">
        <v>179</v>
      </c>
      <c r="B94" s="1" t="s">
        <v>696</v>
      </c>
      <c r="C94" s="1" t="s">
        <v>101</v>
      </c>
      <c r="D94" s="1" t="s">
        <v>101</v>
      </c>
      <c r="E94" s="81">
        <v>0</v>
      </c>
      <c r="F94" s="81">
        <v>0</v>
      </c>
    </row>
    <row r="95" spans="1:6" x14ac:dyDescent="0.2">
      <c r="A95" s="1" t="s">
        <v>179</v>
      </c>
      <c r="B95" s="1" t="s">
        <v>697</v>
      </c>
      <c r="C95" s="1" t="s">
        <v>101</v>
      </c>
      <c r="D95" s="1" t="s">
        <v>101</v>
      </c>
      <c r="E95" s="81">
        <v>0</v>
      </c>
      <c r="F95" s="81">
        <v>0</v>
      </c>
    </row>
    <row r="96" spans="1:6" x14ac:dyDescent="0.2">
      <c r="A96" s="1" t="s">
        <v>179</v>
      </c>
      <c r="B96" s="1" t="s">
        <v>698</v>
      </c>
      <c r="C96" s="1" t="s">
        <v>101</v>
      </c>
      <c r="D96" s="1" t="s">
        <v>101</v>
      </c>
      <c r="E96" s="81">
        <v>0</v>
      </c>
      <c r="F96" s="81">
        <v>0</v>
      </c>
    </row>
    <row r="97" spans="1:6" x14ac:dyDescent="0.2">
      <c r="A97" s="1" t="s">
        <v>179</v>
      </c>
      <c r="B97" s="1" t="s">
        <v>699</v>
      </c>
      <c r="C97" s="1" t="s">
        <v>101</v>
      </c>
      <c r="D97" s="1" t="s">
        <v>101</v>
      </c>
      <c r="E97" s="81">
        <v>0</v>
      </c>
      <c r="F97" s="81">
        <v>0</v>
      </c>
    </row>
    <row r="98" spans="1:6" x14ac:dyDescent="0.2">
      <c r="A98" s="1" t="s">
        <v>179</v>
      </c>
      <c r="B98" s="1" t="s">
        <v>700</v>
      </c>
      <c r="C98" s="1" t="s">
        <v>101</v>
      </c>
      <c r="D98" s="1" t="s">
        <v>101</v>
      </c>
      <c r="E98" s="81">
        <v>0</v>
      </c>
      <c r="F98" s="81">
        <v>0</v>
      </c>
    </row>
    <row r="99" spans="1:6" x14ac:dyDescent="0.2">
      <c r="A99" s="1" t="s">
        <v>179</v>
      </c>
      <c r="B99" s="1" t="s">
        <v>701</v>
      </c>
      <c r="C99" s="1" t="s">
        <v>101</v>
      </c>
      <c r="D99" s="1" t="s">
        <v>101</v>
      </c>
      <c r="E99" s="81">
        <v>0</v>
      </c>
      <c r="F99" s="81">
        <v>0</v>
      </c>
    </row>
    <row r="100" spans="1:6" x14ac:dyDescent="0.2">
      <c r="A100" s="1" t="s">
        <v>179</v>
      </c>
      <c r="B100" s="1" t="s">
        <v>702</v>
      </c>
      <c r="C100" s="1" t="s">
        <v>101</v>
      </c>
      <c r="D100" s="1" t="s">
        <v>101</v>
      </c>
      <c r="E100" s="81">
        <v>0</v>
      </c>
      <c r="F100" s="81">
        <v>0</v>
      </c>
    </row>
    <row r="101" spans="1:6" x14ac:dyDescent="0.2">
      <c r="A101" s="1" t="s">
        <v>179</v>
      </c>
      <c r="B101" s="1" t="s">
        <v>703</v>
      </c>
      <c r="C101" s="1" t="s">
        <v>101</v>
      </c>
      <c r="D101" s="1" t="s">
        <v>101</v>
      </c>
      <c r="E101" s="81">
        <v>0</v>
      </c>
      <c r="F101" s="81">
        <v>0</v>
      </c>
    </row>
    <row r="102" spans="1:6" x14ac:dyDescent="0.2">
      <c r="A102" s="1" t="s">
        <v>179</v>
      </c>
      <c r="B102" s="1" t="s">
        <v>704</v>
      </c>
      <c r="C102" s="1" t="s">
        <v>101</v>
      </c>
      <c r="D102" s="1" t="s">
        <v>101</v>
      </c>
      <c r="E102" s="81">
        <v>0</v>
      </c>
      <c r="F102" s="81">
        <v>0</v>
      </c>
    </row>
    <row r="103" spans="1:6" x14ac:dyDescent="0.2">
      <c r="A103" s="1" t="s">
        <v>179</v>
      </c>
      <c r="B103" s="1" t="s">
        <v>705</v>
      </c>
      <c r="C103" s="1" t="s">
        <v>3832</v>
      </c>
      <c r="D103" s="1" t="s">
        <v>3832</v>
      </c>
      <c r="E103" s="81">
        <v>4.45</v>
      </c>
      <c r="F103" s="81">
        <v>4.45</v>
      </c>
    </row>
    <row r="104" spans="1:6" x14ac:dyDescent="0.2">
      <c r="A104" s="1" t="s">
        <v>179</v>
      </c>
      <c r="B104" s="1" t="s">
        <v>706</v>
      </c>
      <c r="C104" s="1" t="s">
        <v>3833</v>
      </c>
      <c r="D104" s="1" t="s">
        <v>3833</v>
      </c>
      <c r="E104" s="81">
        <v>1.61</v>
      </c>
      <c r="F104" s="81">
        <v>1.61</v>
      </c>
    </row>
    <row r="105" spans="1:6" x14ac:dyDescent="0.2">
      <c r="A105" s="1" t="s">
        <v>179</v>
      </c>
      <c r="B105" s="1" t="s">
        <v>707</v>
      </c>
      <c r="C105" s="1" t="s">
        <v>3834</v>
      </c>
      <c r="D105" s="1" t="s">
        <v>3834</v>
      </c>
      <c r="E105" s="81">
        <v>171830.54</v>
      </c>
      <c r="F105" s="81">
        <v>171830.54</v>
      </c>
    </row>
    <row r="106" spans="1:6" x14ac:dyDescent="0.2">
      <c r="A106" s="1" t="s">
        <v>179</v>
      </c>
      <c r="B106" s="1" t="s">
        <v>708</v>
      </c>
      <c r="C106" s="1" t="s">
        <v>101</v>
      </c>
      <c r="D106" s="1" t="s">
        <v>101</v>
      </c>
      <c r="E106" s="81">
        <v>0</v>
      </c>
      <c r="F106" s="81">
        <v>0</v>
      </c>
    </row>
    <row r="107" spans="1:6" x14ac:dyDescent="0.2">
      <c r="A107" s="1" t="s">
        <v>179</v>
      </c>
      <c r="B107" s="1" t="s">
        <v>709</v>
      </c>
      <c r="C107" s="1" t="s">
        <v>3835</v>
      </c>
      <c r="D107" s="1" t="s">
        <v>3835</v>
      </c>
      <c r="E107" s="81">
        <v>23765.27</v>
      </c>
      <c r="F107" s="81">
        <v>23765.27</v>
      </c>
    </row>
    <row r="108" spans="1:6" x14ac:dyDescent="0.2">
      <c r="A108" s="1" t="s">
        <v>179</v>
      </c>
      <c r="B108" s="1" t="s">
        <v>710</v>
      </c>
      <c r="C108" s="1" t="s">
        <v>101</v>
      </c>
      <c r="D108" s="1" t="s">
        <v>101</v>
      </c>
      <c r="E108" s="81">
        <v>0</v>
      </c>
      <c r="F108" s="81">
        <v>0</v>
      </c>
    </row>
    <row r="109" spans="1:6" x14ac:dyDescent="0.2">
      <c r="A109" s="1" t="s">
        <v>179</v>
      </c>
      <c r="B109" s="1" t="s">
        <v>711</v>
      </c>
      <c r="C109" s="1" t="s">
        <v>101</v>
      </c>
      <c r="D109" s="1" t="s">
        <v>101</v>
      </c>
      <c r="E109" s="81">
        <v>0</v>
      </c>
      <c r="F109" s="81">
        <v>0</v>
      </c>
    </row>
    <row r="110" spans="1:6" x14ac:dyDescent="0.2">
      <c r="A110" s="1" t="s">
        <v>179</v>
      </c>
      <c r="B110" s="1" t="s">
        <v>712</v>
      </c>
      <c r="C110" s="1" t="s">
        <v>3836</v>
      </c>
      <c r="D110" s="1" t="s">
        <v>3836</v>
      </c>
      <c r="E110" s="81">
        <v>195595.81</v>
      </c>
      <c r="F110" s="81">
        <v>195595.81</v>
      </c>
    </row>
    <row r="111" spans="1:6" x14ac:dyDescent="0.2">
      <c r="A111" s="1" t="s">
        <v>179</v>
      </c>
      <c r="B111" s="1" t="s">
        <v>713</v>
      </c>
      <c r="C111" s="1" t="s">
        <v>3837</v>
      </c>
      <c r="D111" s="1" t="s">
        <v>3837</v>
      </c>
      <c r="E111" s="81">
        <v>126536.04</v>
      </c>
      <c r="F111" s="81">
        <v>126536.04</v>
      </c>
    </row>
    <row r="112" spans="1:6" x14ac:dyDescent="0.2">
      <c r="A112" s="1" t="s">
        <v>179</v>
      </c>
      <c r="B112" s="1" t="s">
        <v>714</v>
      </c>
      <c r="C112" s="1" t="s">
        <v>101</v>
      </c>
      <c r="D112" s="1" t="s">
        <v>101</v>
      </c>
      <c r="E112" s="81">
        <v>0</v>
      </c>
      <c r="F112" s="81">
        <v>0</v>
      </c>
    </row>
    <row r="113" spans="1:6" x14ac:dyDescent="0.2">
      <c r="A113" s="1" t="s">
        <v>179</v>
      </c>
      <c r="B113" s="1" t="s">
        <v>715</v>
      </c>
      <c r="C113" s="1" t="s">
        <v>3838</v>
      </c>
      <c r="D113" s="1" t="s">
        <v>3838</v>
      </c>
      <c r="E113" s="81">
        <v>19277.48</v>
      </c>
      <c r="F113" s="81">
        <v>19277.48</v>
      </c>
    </row>
    <row r="114" spans="1:6" x14ac:dyDescent="0.2">
      <c r="A114" s="1" t="s">
        <v>179</v>
      </c>
      <c r="B114" s="1" t="s">
        <v>716</v>
      </c>
      <c r="C114" s="1" t="s">
        <v>101</v>
      </c>
      <c r="D114" s="1" t="s">
        <v>101</v>
      </c>
      <c r="E114" s="81">
        <v>0</v>
      </c>
      <c r="F114" s="81">
        <v>0</v>
      </c>
    </row>
    <row r="115" spans="1:6" x14ac:dyDescent="0.2">
      <c r="A115" s="1" t="s">
        <v>179</v>
      </c>
      <c r="B115" s="1" t="s">
        <v>717</v>
      </c>
      <c r="C115" s="1" t="s">
        <v>101</v>
      </c>
      <c r="D115" s="1" t="s">
        <v>101</v>
      </c>
      <c r="E115" s="81">
        <v>0</v>
      </c>
      <c r="F115" s="81">
        <v>0</v>
      </c>
    </row>
    <row r="116" spans="1:6" x14ac:dyDescent="0.2">
      <c r="A116" s="1" t="s">
        <v>179</v>
      </c>
      <c r="B116" s="1" t="s">
        <v>718</v>
      </c>
      <c r="C116" s="1" t="s">
        <v>3839</v>
      </c>
      <c r="D116" s="1" t="s">
        <v>3839</v>
      </c>
      <c r="E116" s="81">
        <v>145813.51999999999</v>
      </c>
      <c r="F116" s="81">
        <v>145813.51999999999</v>
      </c>
    </row>
    <row r="117" spans="1:6" x14ac:dyDescent="0.2">
      <c r="A117" s="1" t="s">
        <v>179</v>
      </c>
      <c r="B117" s="1" t="s">
        <v>815</v>
      </c>
      <c r="C117" s="1" t="s">
        <v>3840</v>
      </c>
      <c r="D117" s="1" t="s">
        <v>3840</v>
      </c>
      <c r="E117" s="81">
        <v>8654795.9299999997</v>
      </c>
      <c r="F117" s="81">
        <v>8654795.9299999997</v>
      </c>
    </row>
    <row r="118" spans="1:6" x14ac:dyDescent="0.2">
      <c r="A118" s="1" t="s">
        <v>179</v>
      </c>
      <c r="B118" s="1" t="s">
        <v>816</v>
      </c>
      <c r="C118" s="1" t="s">
        <v>3841</v>
      </c>
      <c r="D118" s="1" t="s">
        <v>3841</v>
      </c>
      <c r="E118" s="81">
        <v>2960414.74</v>
      </c>
      <c r="F118" s="81">
        <v>2960414.74</v>
      </c>
    </row>
    <row r="119" spans="1:6" x14ac:dyDescent="0.2">
      <c r="A119" s="1" t="s">
        <v>179</v>
      </c>
      <c r="B119" s="1" t="s">
        <v>817</v>
      </c>
      <c r="C119" s="1" t="s">
        <v>3842</v>
      </c>
      <c r="D119" s="1" t="s">
        <v>3842</v>
      </c>
      <c r="E119" s="81">
        <v>2717432.9</v>
      </c>
      <c r="F119" s="81">
        <v>2717432.9</v>
      </c>
    </row>
    <row r="120" spans="1:6" x14ac:dyDescent="0.2">
      <c r="A120" s="1" t="s">
        <v>179</v>
      </c>
      <c r="B120" s="1" t="s">
        <v>818</v>
      </c>
      <c r="C120" s="1" t="s">
        <v>3843</v>
      </c>
      <c r="D120" s="1" t="s">
        <v>3843</v>
      </c>
      <c r="E120" s="81">
        <v>2976948.29</v>
      </c>
      <c r="F120" s="81">
        <v>2976948.29</v>
      </c>
    </row>
    <row r="121" spans="1:6" x14ac:dyDescent="0.2">
      <c r="A121" s="1" t="s">
        <v>179</v>
      </c>
      <c r="B121" s="1" t="s">
        <v>819</v>
      </c>
      <c r="C121" s="1" t="s">
        <v>101</v>
      </c>
      <c r="D121" s="1" t="s">
        <v>101</v>
      </c>
      <c r="E121" s="81">
        <v>0</v>
      </c>
      <c r="F121" s="81">
        <v>0</v>
      </c>
    </row>
    <row r="122" spans="1:6" x14ac:dyDescent="0.2">
      <c r="A122" s="1" t="s">
        <v>179</v>
      </c>
      <c r="B122" s="1" t="s">
        <v>820</v>
      </c>
      <c r="C122" s="1" t="s">
        <v>101</v>
      </c>
      <c r="D122" s="1" t="s">
        <v>101</v>
      </c>
      <c r="E122" s="81">
        <v>0</v>
      </c>
      <c r="F122" s="81">
        <v>0</v>
      </c>
    </row>
    <row r="123" spans="1:6" x14ac:dyDescent="0.2">
      <c r="A123" s="1" t="s">
        <v>179</v>
      </c>
      <c r="B123" s="1" t="s">
        <v>821</v>
      </c>
      <c r="C123" s="1" t="s">
        <v>101</v>
      </c>
      <c r="D123" s="1" t="s">
        <v>101</v>
      </c>
      <c r="E123" s="81">
        <v>0</v>
      </c>
      <c r="F123" s="81">
        <v>0</v>
      </c>
    </row>
    <row r="124" spans="1:6" x14ac:dyDescent="0.2">
      <c r="A124" s="1" t="s">
        <v>179</v>
      </c>
      <c r="B124" s="1" t="s">
        <v>822</v>
      </c>
      <c r="C124" s="1" t="s">
        <v>101</v>
      </c>
      <c r="D124" s="1" t="s">
        <v>101</v>
      </c>
      <c r="E124" s="81">
        <v>0</v>
      </c>
      <c r="F124" s="81">
        <v>0</v>
      </c>
    </row>
    <row r="125" spans="1:6" x14ac:dyDescent="0.2">
      <c r="A125" s="1" t="s">
        <v>179</v>
      </c>
      <c r="B125" s="1" t="s">
        <v>823</v>
      </c>
      <c r="C125" s="1" t="s">
        <v>101</v>
      </c>
      <c r="D125" s="1" t="s">
        <v>101</v>
      </c>
      <c r="E125" s="81">
        <v>0</v>
      </c>
      <c r="F125" s="81">
        <v>0</v>
      </c>
    </row>
    <row r="126" spans="1:6" x14ac:dyDescent="0.2">
      <c r="A126" s="1" t="s">
        <v>179</v>
      </c>
      <c r="B126" s="1" t="s">
        <v>824</v>
      </c>
      <c r="C126" s="1" t="s">
        <v>101</v>
      </c>
      <c r="D126" s="1" t="s">
        <v>101</v>
      </c>
      <c r="E126" s="81">
        <v>0</v>
      </c>
      <c r="F126" s="81">
        <v>0</v>
      </c>
    </row>
    <row r="127" spans="1:6" x14ac:dyDescent="0.2">
      <c r="A127" s="1" t="s">
        <v>179</v>
      </c>
      <c r="B127" s="1" t="s">
        <v>825</v>
      </c>
      <c r="C127" s="1" t="s">
        <v>101</v>
      </c>
      <c r="D127" s="1" t="s">
        <v>101</v>
      </c>
      <c r="E127" s="81">
        <v>0</v>
      </c>
      <c r="F127" s="81">
        <v>0</v>
      </c>
    </row>
    <row r="128" spans="1:6" x14ac:dyDescent="0.2">
      <c r="A128" s="1" t="s">
        <v>179</v>
      </c>
      <c r="B128" s="1" t="s">
        <v>826</v>
      </c>
      <c r="C128" s="1" t="s">
        <v>101</v>
      </c>
      <c r="D128" s="1" t="s">
        <v>101</v>
      </c>
      <c r="E128" s="81">
        <v>0</v>
      </c>
      <c r="F128" s="81">
        <v>0</v>
      </c>
    </row>
    <row r="129" spans="1:6" x14ac:dyDescent="0.2">
      <c r="A129" s="1" t="s">
        <v>179</v>
      </c>
      <c r="B129" s="1" t="s">
        <v>827</v>
      </c>
      <c r="C129" s="1" t="s">
        <v>101</v>
      </c>
      <c r="D129" s="1" t="s">
        <v>101</v>
      </c>
      <c r="E129" s="81">
        <v>0</v>
      </c>
      <c r="F129" s="81">
        <v>0</v>
      </c>
    </row>
    <row r="130" spans="1:6" x14ac:dyDescent="0.2">
      <c r="A130" s="1" t="s">
        <v>179</v>
      </c>
      <c r="B130" s="1" t="s">
        <v>828</v>
      </c>
      <c r="C130" s="1" t="s">
        <v>3840</v>
      </c>
      <c r="D130" s="1" t="s">
        <v>3840</v>
      </c>
      <c r="E130" s="81">
        <v>8654795.9299999997</v>
      </c>
      <c r="F130" s="81">
        <v>8654795.9299999997</v>
      </c>
    </row>
    <row r="131" spans="1:6" x14ac:dyDescent="0.2">
      <c r="A131" s="1" t="s">
        <v>179</v>
      </c>
      <c r="B131" s="1" t="s">
        <v>829</v>
      </c>
      <c r="C131" s="1" t="s">
        <v>3844</v>
      </c>
      <c r="D131" s="1" t="s">
        <v>3844</v>
      </c>
      <c r="E131" s="81">
        <v>0.998471</v>
      </c>
      <c r="F131" s="81">
        <v>0.998471</v>
      </c>
    </row>
    <row r="132" spans="1:6" x14ac:dyDescent="0.2">
      <c r="A132" s="1" t="s">
        <v>179</v>
      </c>
      <c r="B132" s="1" t="s">
        <v>830</v>
      </c>
      <c r="C132" s="1" t="s">
        <v>3845</v>
      </c>
      <c r="D132" s="1" t="s">
        <v>3845</v>
      </c>
      <c r="E132" s="81">
        <v>0.99828399999999995</v>
      </c>
      <c r="F132" s="81">
        <v>0.99828399999999995</v>
      </c>
    </row>
    <row r="133" spans="1:6" x14ac:dyDescent="0.2">
      <c r="A133" s="1" t="s">
        <v>179</v>
      </c>
      <c r="B133" s="1" t="s">
        <v>831</v>
      </c>
      <c r="C133" s="1" t="s">
        <v>3846</v>
      </c>
      <c r="D133" s="1" t="s">
        <v>3846</v>
      </c>
      <c r="E133" s="81">
        <v>0.99841500000000005</v>
      </c>
      <c r="F133" s="81">
        <v>0.99841500000000005</v>
      </c>
    </row>
    <row r="134" spans="1:6" x14ac:dyDescent="0.2">
      <c r="A134" s="1" t="s">
        <v>179</v>
      </c>
      <c r="B134" s="1" t="s">
        <v>832</v>
      </c>
      <c r="C134" s="1" t="s">
        <v>101</v>
      </c>
      <c r="D134" s="1" t="s">
        <v>101</v>
      </c>
      <c r="E134" s="81">
        <v>0</v>
      </c>
      <c r="F134" s="81">
        <v>0</v>
      </c>
    </row>
    <row r="135" spans="1:6" x14ac:dyDescent="0.2">
      <c r="A135" s="1" t="s">
        <v>179</v>
      </c>
      <c r="B135" s="1" t="s">
        <v>833</v>
      </c>
      <c r="C135" s="1" t="s">
        <v>101</v>
      </c>
      <c r="D135" s="1" t="s">
        <v>101</v>
      </c>
      <c r="E135" s="81">
        <v>0</v>
      </c>
      <c r="F135" s="81">
        <v>0</v>
      </c>
    </row>
    <row r="136" spans="1:6" x14ac:dyDescent="0.2">
      <c r="A136" s="1" t="s">
        <v>179</v>
      </c>
      <c r="B136" s="1" t="s">
        <v>834</v>
      </c>
      <c r="C136" s="1" t="s">
        <v>101</v>
      </c>
      <c r="D136" s="1" t="s">
        <v>101</v>
      </c>
      <c r="E136" s="81">
        <v>0</v>
      </c>
      <c r="F136" s="81">
        <v>0</v>
      </c>
    </row>
    <row r="137" spans="1:6" x14ac:dyDescent="0.2">
      <c r="A137" s="1" t="s">
        <v>179</v>
      </c>
      <c r="B137" s="1" t="s">
        <v>835</v>
      </c>
      <c r="C137" s="1" t="s">
        <v>101</v>
      </c>
      <c r="D137" s="1" t="s">
        <v>101</v>
      </c>
      <c r="E137" s="81">
        <v>0</v>
      </c>
      <c r="F137" s="81">
        <v>0</v>
      </c>
    </row>
    <row r="138" spans="1:6" x14ac:dyDescent="0.2">
      <c r="A138" s="1" t="s">
        <v>179</v>
      </c>
      <c r="B138" s="1" t="s">
        <v>836</v>
      </c>
      <c r="C138" s="1" t="s">
        <v>101</v>
      </c>
      <c r="D138" s="1" t="s">
        <v>101</v>
      </c>
      <c r="E138" s="81">
        <v>0</v>
      </c>
      <c r="F138" s="81">
        <v>0</v>
      </c>
    </row>
    <row r="139" spans="1:6" x14ac:dyDescent="0.2">
      <c r="A139" s="1" t="s">
        <v>179</v>
      </c>
      <c r="B139" s="1" t="s">
        <v>837</v>
      </c>
      <c r="C139" s="1" t="s">
        <v>101</v>
      </c>
      <c r="D139" s="1" t="s">
        <v>101</v>
      </c>
      <c r="E139" s="81">
        <v>0</v>
      </c>
      <c r="F139" s="81">
        <v>0</v>
      </c>
    </row>
    <row r="140" spans="1:6" x14ac:dyDescent="0.2">
      <c r="A140" s="1" t="s">
        <v>179</v>
      </c>
      <c r="B140" s="1" t="s">
        <v>838</v>
      </c>
      <c r="C140" s="1" t="s">
        <v>101</v>
      </c>
      <c r="D140" s="1" t="s">
        <v>101</v>
      </c>
      <c r="E140" s="81">
        <v>0</v>
      </c>
      <c r="F140" s="81">
        <v>0</v>
      </c>
    </row>
    <row r="141" spans="1:6" x14ac:dyDescent="0.2">
      <c r="A141" s="1" t="s">
        <v>179</v>
      </c>
      <c r="B141" s="1" t="s">
        <v>839</v>
      </c>
      <c r="C141" s="1" t="s">
        <v>101</v>
      </c>
      <c r="D141" s="1" t="s">
        <v>101</v>
      </c>
      <c r="E141" s="81">
        <v>0</v>
      </c>
      <c r="F141" s="81">
        <v>0</v>
      </c>
    </row>
    <row r="142" spans="1:6" x14ac:dyDescent="0.2">
      <c r="A142" s="1" t="s">
        <v>179</v>
      </c>
      <c r="B142" s="1" t="s">
        <v>840</v>
      </c>
      <c r="C142" s="1" t="s">
        <v>101</v>
      </c>
      <c r="D142" s="1" t="s">
        <v>101</v>
      </c>
      <c r="E142" s="81">
        <v>0</v>
      </c>
      <c r="F142" s="81">
        <v>0</v>
      </c>
    </row>
    <row r="143" spans="1:6" x14ac:dyDescent="0.2">
      <c r="A143" s="1" t="s">
        <v>179</v>
      </c>
      <c r="B143" s="1" t="s">
        <v>841</v>
      </c>
      <c r="C143" s="1" t="s">
        <v>3844</v>
      </c>
      <c r="D143" s="1" t="s">
        <v>3844</v>
      </c>
      <c r="E143" s="81">
        <v>0.998471</v>
      </c>
      <c r="F143" s="81">
        <v>0.998471</v>
      </c>
    </row>
    <row r="144" spans="1:6" x14ac:dyDescent="0.2">
      <c r="A144" s="1" t="s">
        <v>179</v>
      </c>
      <c r="B144" s="1" t="s">
        <v>842</v>
      </c>
      <c r="C144" s="1" t="s">
        <v>3845</v>
      </c>
      <c r="D144" s="1" t="s">
        <v>3845</v>
      </c>
      <c r="E144" s="81">
        <v>0.99828399999999995</v>
      </c>
      <c r="F144" s="81">
        <v>0.99828399999999995</v>
      </c>
    </row>
    <row r="145" spans="1:6" x14ac:dyDescent="0.2">
      <c r="A145" s="1" t="s">
        <v>179</v>
      </c>
      <c r="B145" s="1" t="s">
        <v>843</v>
      </c>
      <c r="C145" s="1" t="s">
        <v>3846</v>
      </c>
      <c r="D145" s="1" t="s">
        <v>3846</v>
      </c>
      <c r="E145" s="81">
        <v>0.99841500000000005</v>
      </c>
      <c r="F145" s="81">
        <v>0.99841500000000005</v>
      </c>
    </row>
    <row r="146" spans="1:6" x14ac:dyDescent="0.2">
      <c r="A146" s="1" t="s">
        <v>179</v>
      </c>
      <c r="B146" s="1" t="s">
        <v>844</v>
      </c>
      <c r="C146" s="1" t="s">
        <v>101</v>
      </c>
      <c r="D146" s="1" t="s">
        <v>101</v>
      </c>
      <c r="E146" s="81">
        <v>0</v>
      </c>
      <c r="F146" s="81">
        <v>0</v>
      </c>
    </row>
    <row r="147" spans="1:6" x14ac:dyDescent="0.2">
      <c r="A147" s="1" t="s">
        <v>179</v>
      </c>
      <c r="B147" s="1" t="s">
        <v>845</v>
      </c>
      <c r="C147" s="1" t="s">
        <v>101</v>
      </c>
      <c r="D147" s="1" t="s">
        <v>101</v>
      </c>
      <c r="E147" s="81">
        <v>0</v>
      </c>
      <c r="F147" s="81">
        <v>0</v>
      </c>
    </row>
    <row r="148" spans="1:6" x14ac:dyDescent="0.2">
      <c r="A148" s="1" t="s">
        <v>179</v>
      </c>
      <c r="B148" s="1" t="s">
        <v>846</v>
      </c>
      <c r="C148" s="1" t="s">
        <v>101</v>
      </c>
      <c r="D148" s="1" t="s">
        <v>101</v>
      </c>
      <c r="E148" s="81">
        <v>0</v>
      </c>
      <c r="F148" s="81">
        <v>0</v>
      </c>
    </row>
    <row r="149" spans="1:6" x14ac:dyDescent="0.2">
      <c r="A149" s="1" t="s">
        <v>179</v>
      </c>
      <c r="B149" s="1" t="s">
        <v>847</v>
      </c>
      <c r="C149" s="1" t="s">
        <v>101</v>
      </c>
      <c r="D149" s="1" t="s">
        <v>101</v>
      </c>
      <c r="E149" s="81">
        <v>0</v>
      </c>
      <c r="F149" s="81">
        <v>0</v>
      </c>
    </row>
    <row r="150" spans="1:6" x14ac:dyDescent="0.2">
      <c r="A150" s="1" t="s">
        <v>179</v>
      </c>
      <c r="B150" s="1" t="s">
        <v>848</v>
      </c>
      <c r="C150" s="1" t="s">
        <v>101</v>
      </c>
      <c r="D150" s="1" t="s">
        <v>101</v>
      </c>
      <c r="E150" s="81">
        <v>0</v>
      </c>
      <c r="F150" s="81">
        <v>0</v>
      </c>
    </row>
    <row r="151" spans="1:6" x14ac:dyDescent="0.2">
      <c r="A151" s="1" t="s">
        <v>179</v>
      </c>
      <c r="B151" s="1" t="s">
        <v>849</v>
      </c>
      <c r="C151" s="1" t="s">
        <v>101</v>
      </c>
      <c r="D151" s="1" t="s">
        <v>101</v>
      </c>
      <c r="E151" s="81">
        <v>0</v>
      </c>
      <c r="F151" s="81">
        <v>0</v>
      </c>
    </row>
    <row r="152" spans="1:6" x14ac:dyDescent="0.2">
      <c r="A152" s="1" t="s">
        <v>179</v>
      </c>
      <c r="B152" s="1" t="s">
        <v>850</v>
      </c>
      <c r="C152" s="1" t="s">
        <v>101</v>
      </c>
      <c r="D152" s="1" t="s">
        <v>101</v>
      </c>
      <c r="E152" s="81">
        <v>0</v>
      </c>
      <c r="F152" s="81">
        <v>0</v>
      </c>
    </row>
    <row r="153" spans="1:6" x14ac:dyDescent="0.2">
      <c r="A153" s="1" t="s">
        <v>179</v>
      </c>
      <c r="B153" s="1" t="s">
        <v>851</v>
      </c>
      <c r="C153" s="1" t="s">
        <v>101</v>
      </c>
      <c r="D153" s="1" t="s">
        <v>101</v>
      </c>
      <c r="E153" s="81">
        <v>0</v>
      </c>
      <c r="F153" s="81">
        <v>0</v>
      </c>
    </row>
    <row r="154" spans="1:6" x14ac:dyDescent="0.2">
      <c r="A154" s="1" t="s">
        <v>179</v>
      </c>
      <c r="B154" s="1" t="s">
        <v>852</v>
      </c>
      <c r="C154" s="1" t="s">
        <v>101</v>
      </c>
      <c r="D154" s="1" t="s">
        <v>101</v>
      </c>
      <c r="E154" s="81">
        <v>0</v>
      </c>
      <c r="F154" s="81">
        <v>0</v>
      </c>
    </row>
    <row r="155" spans="1:6" x14ac:dyDescent="0.2">
      <c r="A155" s="1" t="s">
        <v>179</v>
      </c>
      <c r="B155" s="1" t="s">
        <v>552</v>
      </c>
      <c r="C155" s="1" t="s">
        <v>3847</v>
      </c>
      <c r="D155" s="1" t="s">
        <v>3847</v>
      </c>
      <c r="E155" s="81"/>
      <c r="F155" s="81"/>
    </row>
    <row r="156" spans="1:6" x14ac:dyDescent="0.2">
      <c r="A156" s="1" t="s">
        <v>179</v>
      </c>
      <c r="B156" s="1" t="s">
        <v>853</v>
      </c>
      <c r="C156" s="1" t="s">
        <v>3848</v>
      </c>
      <c r="D156" s="1" t="s">
        <v>3848</v>
      </c>
      <c r="E156" s="81"/>
      <c r="F156" s="81"/>
    </row>
    <row r="157" spans="1:6" x14ac:dyDescent="0.2">
      <c r="A157" s="1" t="s">
        <v>179</v>
      </c>
      <c r="B157" s="1" t="s">
        <v>854</v>
      </c>
      <c r="C157" s="1" t="s">
        <v>3849</v>
      </c>
      <c r="D157" s="1" t="s">
        <v>3849</v>
      </c>
      <c r="E157" s="81">
        <v>4</v>
      </c>
      <c r="F157" s="81">
        <v>4</v>
      </c>
    </row>
    <row r="158" spans="1:6" x14ac:dyDescent="0.2">
      <c r="A158" s="1" t="s">
        <v>179</v>
      </c>
      <c r="B158" s="1" t="s">
        <v>855</v>
      </c>
      <c r="C158" s="1" t="s">
        <v>3850</v>
      </c>
      <c r="D158" s="1" t="s">
        <v>3850</v>
      </c>
      <c r="E158" s="81">
        <v>1</v>
      </c>
      <c r="F158" s="81">
        <v>1</v>
      </c>
    </row>
    <row r="159" spans="1:6" x14ac:dyDescent="0.2">
      <c r="A159" s="1" t="s">
        <v>179</v>
      </c>
      <c r="B159" s="1" t="s">
        <v>856</v>
      </c>
      <c r="C159" s="1" t="s">
        <v>3850</v>
      </c>
      <c r="D159" s="1" t="s">
        <v>3850</v>
      </c>
      <c r="E159" s="81">
        <v>1</v>
      </c>
      <c r="F159" s="81">
        <v>1</v>
      </c>
    </row>
    <row r="160" spans="1:6" x14ac:dyDescent="0.2">
      <c r="A160" s="1" t="s">
        <v>179</v>
      </c>
      <c r="B160" s="1" t="s">
        <v>857</v>
      </c>
      <c r="C160" s="1" t="s">
        <v>3850</v>
      </c>
      <c r="D160" s="1" t="s">
        <v>3850</v>
      </c>
      <c r="E160" s="81">
        <v>1</v>
      </c>
      <c r="F160" s="81">
        <v>1</v>
      </c>
    </row>
    <row r="161" spans="1:6" x14ac:dyDescent="0.2">
      <c r="A161" s="1" t="s">
        <v>179</v>
      </c>
      <c r="B161" s="1" t="s">
        <v>858</v>
      </c>
      <c r="C161" s="1" t="s">
        <v>101</v>
      </c>
      <c r="D161" s="1" t="s">
        <v>101</v>
      </c>
      <c r="E161" s="81">
        <v>0</v>
      </c>
      <c r="F161" s="81">
        <v>0</v>
      </c>
    </row>
    <row r="162" spans="1:6" x14ac:dyDescent="0.2">
      <c r="A162" s="1" t="s">
        <v>179</v>
      </c>
      <c r="B162" s="1" t="s">
        <v>859</v>
      </c>
      <c r="C162" s="1" t="s">
        <v>101</v>
      </c>
      <c r="D162" s="1" t="s">
        <v>101</v>
      </c>
      <c r="E162" s="81">
        <v>0</v>
      </c>
      <c r="F162" s="81">
        <v>0</v>
      </c>
    </row>
    <row r="163" spans="1:6" x14ac:dyDescent="0.2">
      <c r="A163" s="1" t="s">
        <v>179</v>
      </c>
      <c r="B163" s="1" t="s">
        <v>860</v>
      </c>
      <c r="C163" s="1" t="s">
        <v>101</v>
      </c>
      <c r="D163" s="1" t="s">
        <v>101</v>
      </c>
      <c r="E163" s="81">
        <v>0</v>
      </c>
      <c r="F163" s="81">
        <v>0</v>
      </c>
    </row>
    <row r="164" spans="1:6" x14ac:dyDescent="0.2">
      <c r="A164" s="1" t="s">
        <v>179</v>
      </c>
      <c r="B164" s="1" t="s">
        <v>861</v>
      </c>
      <c r="C164" s="1" t="s">
        <v>101</v>
      </c>
      <c r="D164" s="1" t="s">
        <v>101</v>
      </c>
      <c r="E164" s="81">
        <v>0</v>
      </c>
      <c r="F164" s="81">
        <v>0</v>
      </c>
    </row>
    <row r="165" spans="1:6" x14ac:dyDescent="0.2">
      <c r="A165" s="1" t="s">
        <v>179</v>
      </c>
      <c r="B165" s="1" t="s">
        <v>862</v>
      </c>
      <c r="C165" s="1" t="s">
        <v>101</v>
      </c>
      <c r="D165" s="1" t="s">
        <v>101</v>
      </c>
      <c r="E165" s="81">
        <v>0</v>
      </c>
      <c r="F165" s="81">
        <v>0</v>
      </c>
    </row>
    <row r="166" spans="1:6" x14ac:dyDescent="0.2">
      <c r="A166" s="1" t="s">
        <v>179</v>
      </c>
      <c r="B166" s="1" t="s">
        <v>863</v>
      </c>
      <c r="C166" s="1" t="s">
        <v>101</v>
      </c>
      <c r="D166" s="1" t="s">
        <v>101</v>
      </c>
      <c r="E166" s="81">
        <v>0</v>
      </c>
      <c r="F166" s="81">
        <v>0</v>
      </c>
    </row>
    <row r="167" spans="1:6" x14ac:dyDescent="0.2">
      <c r="A167" s="1" t="s">
        <v>179</v>
      </c>
      <c r="B167" s="1" t="s">
        <v>864</v>
      </c>
      <c r="C167" s="1" t="s">
        <v>101</v>
      </c>
      <c r="D167" s="1" t="s">
        <v>101</v>
      </c>
      <c r="E167" s="81">
        <v>0</v>
      </c>
      <c r="F167" s="81">
        <v>0</v>
      </c>
    </row>
    <row r="168" spans="1:6" x14ac:dyDescent="0.2">
      <c r="A168" s="1" t="s">
        <v>179</v>
      </c>
      <c r="B168" s="1" t="s">
        <v>865</v>
      </c>
      <c r="C168" s="1" t="s">
        <v>101</v>
      </c>
      <c r="D168" s="1" t="s">
        <v>101</v>
      </c>
      <c r="E168" s="81">
        <v>0</v>
      </c>
      <c r="F168" s="81">
        <v>0</v>
      </c>
    </row>
    <row r="169" spans="1:6" x14ac:dyDescent="0.2">
      <c r="A169" s="1" t="s">
        <v>179</v>
      </c>
      <c r="B169" s="1" t="s">
        <v>866</v>
      </c>
      <c r="C169" s="1" t="s">
        <v>101</v>
      </c>
      <c r="D169" s="1" t="s">
        <v>101</v>
      </c>
      <c r="E169" s="81">
        <v>0</v>
      </c>
      <c r="F169" s="81">
        <v>0</v>
      </c>
    </row>
    <row r="170" spans="1:6" x14ac:dyDescent="0.2">
      <c r="A170" s="1" t="s">
        <v>179</v>
      </c>
      <c r="B170" s="1" t="s">
        <v>867</v>
      </c>
      <c r="C170" s="1" t="s">
        <v>3850</v>
      </c>
      <c r="D170" s="1" t="s">
        <v>3850</v>
      </c>
      <c r="E170" s="81">
        <v>1</v>
      </c>
      <c r="F170" s="81">
        <v>1</v>
      </c>
    </row>
    <row r="171" spans="1:6" x14ac:dyDescent="0.2">
      <c r="A171" s="1" t="s">
        <v>179</v>
      </c>
      <c r="B171" s="1" t="s">
        <v>868</v>
      </c>
      <c r="C171" s="1" t="s">
        <v>3850</v>
      </c>
      <c r="D171" s="1" t="s">
        <v>3850</v>
      </c>
      <c r="E171" s="81">
        <v>1</v>
      </c>
      <c r="F171" s="81">
        <v>1</v>
      </c>
    </row>
    <row r="172" spans="1:6" x14ac:dyDescent="0.2">
      <c r="A172" s="1" t="s">
        <v>179</v>
      </c>
      <c r="B172" s="1" t="s">
        <v>869</v>
      </c>
      <c r="C172" s="1" t="s">
        <v>3850</v>
      </c>
      <c r="D172" s="1" t="s">
        <v>3850</v>
      </c>
      <c r="E172" s="81">
        <v>1</v>
      </c>
      <c r="F172" s="81">
        <v>1</v>
      </c>
    </row>
    <row r="173" spans="1:6" x14ac:dyDescent="0.2">
      <c r="A173" s="1" t="s">
        <v>179</v>
      </c>
      <c r="B173" s="1" t="s">
        <v>870</v>
      </c>
      <c r="C173" s="1" t="s">
        <v>101</v>
      </c>
      <c r="D173" s="1" t="s">
        <v>101</v>
      </c>
      <c r="E173" s="81">
        <v>0</v>
      </c>
      <c r="F173" s="81">
        <v>0</v>
      </c>
    </row>
    <row r="174" spans="1:6" x14ac:dyDescent="0.2">
      <c r="A174" s="1" t="s">
        <v>179</v>
      </c>
      <c r="B174" s="1" t="s">
        <v>871</v>
      </c>
      <c r="C174" s="1" t="s">
        <v>101</v>
      </c>
      <c r="D174" s="1" t="s">
        <v>101</v>
      </c>
      <c r="E174" s="81">
        <v>0</v>
      </c>
      <c r="F174" s="81">
        <v>0</v>
      </c>
    </row>
    <row r="175" spans="1:6" x14ac:dyDescent="0.2">
      <c r="A175" s="1" t="s">
        <v>179</v>
      </c>
      <c r="B175" s="1" t="s">
        <v>872</v>
      </c>
      <c r="C175" s="1" t="s">
        <v>101</v>
      </c>
      <c r="D175" s="1" t="s">
        <v>101</v>
      </c>
      <c r="E175" s="81">
        <v>0</v>
      </c>
      <c r="F175" s="81">
        <v>0</v>
      </c>
    </row>
    <row r="176" spans="1:6" x14ac:dyDescent="0.2">
      <c r="A176" s="1" t="s">
        <v>179</v>
      </c>
      <c r="B176" s="1" t="s">
        <v>873</v>
      </c>
      <c r="C176" s="1" t="s">
        <v>101</v>
      </c>
      <c r="D176" s="1" t="s">
        <v>101</v>
      </c>
      <c r="E176" s="81">
        <v>0</v>
      </c>
      <c r="F176" s="81">
        <v>0</v>
      </c>
    </row>
    <row r="177" spans="1:6" x14ac:dyDescent="0.2">
      <c r="A177" s="1" t="s">
        <v>179</v>
      </c>
      <c r="B177" s="1" t="s">
        <v>874</v>
      </c>
      <c r="C177" s="1" t="s">
        <v>101</v>
      </c>
      <c r="D177" s="1" t="s">
        <v>101</v>
      </c>
      <c r="E177" s="81">
        <v>0</v>
      </c>
      <c r="F177" s="81">
        <v>0</v>
      </c>
    </row>
    <row r="178" spans="1:6" x14ac:dyDescent="0.2">
      <c r="A178" s="1" t="s">
        <v>179</v>
      </c>
      <c r="B178" s="1" t="s">
        <v>875</v>
      </c>
      <c r="C178" s="1" t="s">
        <v>101</v>
      </c>
      <c r="D178" s="1" t="s">
        <v>101</v>
      </c>
      <c r="E178" s="81">
        <v>0</v>
      </c>
      <c r="F178" s="81">
        <v>0</v>
      </c>
    </row>
    <row r="179" spans="1:6" x14ac:dyDescent="0.2">
      <c r="A179" s="1" t="s">
        <v>179</v>
      </c>
      <c r="B179" s="1" t="s">
        <v>876</v>
      </c>
      <c r="C179" s="1" t="s">
        <v>101</v>
      </c>
      <c r="D179" s="1" t="s">
        <v>101</v>
      </c>
      <c r="E179" s="81">
        <v>0</v>
      </c>
      <c r="F179" s="81">
        <v>0</v>
      </c>
    </row>
    <row r="180" spans="1:6" x14ac:dyDescent="0.2">
      <c r="A180" s="1" t="s">
        <v>179</v>
      </c>
      <c r="B180" s="1" t="s">
        <v>877</v>
      </c>
      <c r="C180" s="1" t="s">
        <v>101</v>
      </c>
      <c r="D180" s="1" t="s">
        <v>101</v>
      </c>
      <c r="E180" s="81">
        <v>0</v>
      </c>
      <c r="F180" s="81">
        <v>0</v>
      </c>
    </row>
    <row r="181" spans="1:6" x14ac:dyDescent="0.2">
      <c r="A181" s="1" t="s">
        <v>179</v>
      </c>
      <c r="B181" s="1" t="s">
        <v>878</v>
      </c>
      <c r="C181" s="1" t="s">
        <v>101</v>
      </c>
      <c r="D181" s="1" t="s">
        <v>101</v>
      </c>
      <c r="E181" s="81">
        <v>0</v>
      </c>
      <c r="F181" s="81">
        <v>0</v>
      </c>
    </row>
    <row r="182" spans="1:6" x14ac:dyDescent="0.2">
      <c r="A182" s="1" t="s">
        <v>179</v>
      </c>
      <c r="B182" s="1" t="s">
        <v>879</v>
      </c>
      <c r="C182" s="1" t="s">
        <v>3850</v>
      </c>
      <c r="D182" s="1" t="s">
        <v>3850</v>
      </c>
      <c r="E182" s="81">
        <v>1</v>
      </c>
      <c r="F182" s="81">
        <v>1</v>
      </c>
    </row>
    <row r="183" spans="1:6" x14ac:dyDescent="0.2">
      <c r="A183" s="1" t="s">
        <v>179</v>
      </c>
      <c r="B183" s="1" t="s">
        <v>880</v>
      </c>
      <c r="C183" s="1" t="s">
        <v>3850</v>
      </c>
      <c r="D183" s="1" t="s">
        <v>3850</v>
      </c>
      <c r="E183" s="81">
        <v>1</v>
      </c>
      <c r="F183" s="81">
        <v>1</v>
      </c>
    </row>
    <row r="184" spans="1:6" x14ac:dyDescent="0.2">
      <c r="A184" s="1" t="s">
        <v>179</v>
      </c>
      <c r="B184" s="1" t="s">
        <v>881</v>
      </c>
      <c r="C184" s="1" t="s">
        <v>3850</v>
      </c>
      <c r="D184" s="1" t="s">
        <v>3850</v>
      </c>
      <c r="E184" s="81">
        <v>1</v>
      </c>
      <c r="F184" s="81">
        <v>1</v>
      </c>
    </row>
    <row r="185" spans="1:6" x14ac:dyDescent="0.2">
      <c r="A185" s="1" t="s">
        <v>179</v>
      </c>
      <c r="B185" s="1" t="s">
        <v>882</v>
      </c>
      <c r="C185" s="1" t="s">
        <v>101</v>
      </c>
      <c r="D185" s="1" t="s">
        <v>101</v>
      </c>
      <c r="E185" s="81">
        <v>0</v>
      </c>
      <c r="F185" s="81">
        <v>0</v>
      </c>
    </row>
    <row r="186" spans="1:6" x14ac:dyDescent="0.2">
      <c r="A186" s="1" t="s">
        <v>179</v>
      </c>
      <c r="B186" s="1" t="s">
        <v>883</v>
      </c>
      <c r="C186" s="1" t="s">
        <v>101</v>
      </c>
      <c r="D186" s="1" t="s">
        <v>101</v>
      </c>
      <c r="E186" s="81">
        <v>0</v>
      </c>
      <c r="F186" s="81">
        <v>0</v>
      </c>
    </row>
    <row r="187" spans="1:6" x14ac:dyDescent="0.2">
      <c r="A187" s="1" t="s">
        <v>179</v>
      </c>
      <c r="B187" s="1" t="s">
        <v>884</v>
      </c>
      <c r="C187" s="1" t="s">
        <v>101</v>
      </c>
      <c r="D187" s="1" t="s">
        <v>101</v>
      </c>
      <c r="E187" s="81">
        <v>0</v>
      </c>
      <c r="F187" s="81">
        <v>0</v>
      </c>
    </row>
    <row r="188" spans="1:6" x14ac:dyDescent="0.2">
      <c r="A188" s="1" t="s">
        <v>179</v>
      </c>
      <c r="B188" s="1" t="s">
        <v>885</v>
      </c>
      <c r="C188" s="1" t="s">
        <v>101</v>
      </c>
      <c r="D188" s="1" t="s">
        <v>101</v>
      </c>
      <c r="E188" s="81">
        <v>0</v>
      </c>
      <c r="F188" s="81">
        <v>0</v>
      </c>
    </row>
    <row r="189" spans="1:6" x14ac:dyDescent="0.2">
      <c r="A189" s="1" t="s">
        <v>179</v>
      </c>
      <c r="B189" s="1" t="s">
        <v>886</v>
      </c>
      <c r="C189" s="1" t="s">
        <v>101</v>
      </c>
      <c r="D189" s="1" t="s">
        <v>101</v>
      </c>
      <c r="E189" s="81">
        <v>0</v>
      </c>
      <c r="F189" s="81">
        <v>0</v>
      </c>
    </row>
    <row r="190" spans="1:6" x14ac:dyDescent="0.2">
      <c r="A190" s="1" t="s">
        <v>179</v>
      </c>
      <c r="B190" s="1" t="s">
        <v>887</v>
      </c>
      <c r="C190" s="1" t="s">
        <v>101</v>
      </c>
      <c r="D190" s="1" t="s">
        <v>101</v>
      </c>
      <c r="E190" s="81">
        <v>0</v>
      </c>
      <c r="F190" s="81">
        <v>0</v>
      </c>
    </row>
    <row r="191" spans="1:6" x14ac:dyDescent="0.2">
      <c r="A191" s="1" t="s">
        <v>179</v>
      </c>
      <c r="B191" s="1" t="s">
        <v>888</v>
      </c>
      <c r="C191" s="1" t="s">
        <v>101</v>
      </c>
      <c r="D191" s="1" t="s">
        <v>101</v>
      </c>
      <c r="E191" s="81">
        <v>0</v>
      </c>
      <c r="F191" s="81">
        <v>0</v>
      </c>
    </row>
    <row r="192" spans="1:6" x14ac:dyDescent="0.2">
      <c r="A192" s="1" t="s">
        <v>179</v>
      </c>
      <c r="B192" s="1" t="s">
        <v>889</v>
      </c>
      <c r="C192" s="1" t="s">
        <v>101</v>
      </c>
      <c r="D192" s="1" t="s">
        <v>101</v>
      </c>
      <c r="E192" s="81">
        <v>0</v>
      </c>
      <c r="F192" s="81">
        <v>0</v>
      </c>
    </row>
    <row r="193" spans="1:6" x14ac:dyDescent="0.2">
      <c r="A193" s="1" t="s">
        <v>179</v>
      </c>
      <c r="B193" s="1" t="s">
        <v>890</v>
      </c>
      <c r="C193" s="1" t="s">
        <v>101</v>
      </c>
      <c r="D193" s="1" t="s">
        <v>101</v>
      </c>
      <c r="E193" s="81">
        <v>0</v>
      </c>
      <c r="F193" s="81">
        <v>0</v>
      </c>
    </row>
    <row r="194" spans="1:6" x14ac:dyDescent="0.2">
      <c r="A194" s="1" t="s">
        <v>179</v>
      </c>
      <c r="B194" s="1" t="s">
        <v>891</v>
      </c>
      <c r="C194" s="1" t="s">
        <v>3850</v>
      </c>
      <c r="D194" s="1" t="s">
        <v>3850</v>
      </c>
      <c r="E194" s="81">
        <v>1</v>
      </c>
      <c r="F194" s="81">
        <v>1</v>
      </c>
    </row>
    <row r="195" spans="1:6" x14ac:dyDescent="0.2">
      <c r="A195" s="1" t="s">
        <v>179</v>
      </c>
      <c r="B195" s="1" t="s">
        <v>892</v>
      </c>
      <c r="C195" s="1" t="s">
        <v>3850</v>
      </c>
      <c r="D195" s="1" t="s">
        <v>3850</v>
      </c>
      <c r="E195" s="81">
        <v>1</v>
      </c>
      <c r="F195" s="81">
        <v>1</v>
      </c>
    </row>
    <row r="196" spans="1:6" x14ac:dyDescent="0.2">
      <c r="A196" s="1" t="s">
        <v>179</v>
      </c>
      <c r="B196" s="1" t="s">
        <v>893</v>
      </c>
      <c r="C196" s="1" t="s">
        <v>3850</v>
      </c>
      <c r="D196" s="1" t="s">
        <v>3850</v>
      </c>
      <c r="E196" s="81">
        <v>1</v>
      </c>
      <c r="F196" s="81">
        <v>1</v>
      </c>
    </row>
    <row r="197" spans="1:6" x14ac:dyDescent="0.2">
      <c r="A197" s="1" t="s">
        <v>179</v>
      </c>
      <c r="B197" s="1" t="s">
        <v>894</v>
      </c>
      <c r="C197" s="1" t="s">
        <v>101</v>
      </c>
      <c r="D197" s="1" t="s">
        <v>101</v>
      </c>
      <c r="E197" s="81">
        <v>0</v>
      </c>
      <c r="F197" s="81">
        <v>0</v>
      </c>
    </row>
    <row r="198" spans="1:6" x14ac:dyDescent="0.2">
      <c r="A198" s="1" t="s">
        <v>179</v>
      </c>
      <c r="B198" s="1" t="s">
        <v>895</v>
      </c>
      <c r="C198" s="1" t="s">
        <v>101</v>
      </c>
      <c r="D198" s="1" t="s">
        <v>101</v>
      </c>
      <c r="E198" s="81">
        <v>0</v>
      </c>
      <c r="F198" s="81">
        <v>0</v>
      </c>
    </row>
    <row r="199" spans="1:6" x14ac:dyDescent="0.2">
      <c r="A199" s="1" t="s">
        <v>179</v>
      </c>
      <c r="B199" s="1" t="s">
        <v>896</v>
      </c>
      <c r="C199" s="1" t="s">
        <v>101</v>
      </c>
      <c r="D199" s="1" t="s">
        <v>101</v>
      </c>
      <c r="E199" s="81">
        <v>0</v>
      </c>
      <c r="F199" s="81">
        <v>0</v>
      </c>
    </row>
    <row r="200" spans="1:6" x14ac:dyDescent="0.2">
      <c r="A200" s="1" t="s">
        <v>179</v>
      </c>
      <c r="B200" s="1" t="s">
        <v>897</v>
      </c>
      <c r="C200" s="1" t="s">
        <v>101</v>
      </c>
      <c r="D200" s="1" t="s">
        <v>101</v>
      </c>
      <c r="E200" s="81">
        <v>0</v>
      </c>
      <c r="F200" s="81">
        <v>0</v>
      </c>
    </row>
    <row r="201" spans="1:6" x14ac:dyDescent="0.2">
      <c r="A201" s="1" t="s">
        <v>179</v>
      </c>
      <c r="B201" s="1" t="s">
        <v>898</v>
      </c>
      <c r="C201" s="1" t="s">
        <v>101</v>
      </c>
      <c r="D201" s="1" t="s">
        <v>101</v>
      </c>
      <c r="E201" s="81">
        <v>0</v>
      </c>
      <c r="F201" s="81">
        <v>0</v>
      </c>
    </row>
    <row r="202" spans="1:6" x14ac:dyDescent="0.2">
      <c r="A202" s="1" t="s">
        <v>179</v>
      </c>
      <c r="B202" s="1" t="s">
        <v>899</v>
      </c>
      <c r="C202" s="1" t="s">
        <v>101</v>
      </c>
      <c r="D202" s="1" t="s">
        <v>101</v>
      </c>
      <c r="E202" s="81">
        <v>0</v>
      </c>
      <c r="F202" s="81">
        <v>0</v>
      </c>
    </row>
    <row r="203" spans="1:6" x14ac:dyDescent="0.2">
      <c r="A203" s="1" t="s">
        <v>179</v>
      </c>
      <c r="B203" s="1" t="s">
        <v>900</v>
      </c>
      <c r="C203" s="1" t="s">
        <v>101</v>
      </c>
      <c r="D203" s="1" t="s">
        <v>101</v>
      </c>
      <c r="E203" s="81">
        <v>0</v>
      </c>
      <c r="F203" s="81">
        <v>0</v>
      </c>
    </row>
    <row r="204" spans="1:6" x14ac:dyDescent="0.2">
      <c r="A204" s="1" t="s">
        <v>179</v>
      </c>
      <c r="B204" s="1" t="s">
        <v>901</v>
      </c>
      <c r="C204" s="1" t="s">
        <v>101</v>
      </c>
      <c r="D204" s="1" t="s">
        <v>101</v>
      </c>
      <c r="E204" s="81">
        <v>0</v>
      </c>
      <c r="F204" s="81">
        <v>0</v>
      </c>
    </row>
    <row r="205" spans="1:6" x14ac:dyDescent="0.2">
      <c r="A205" s="1" t="s">
        <v>179</v>
      </c>
      <c r="B205" s="1" t="s">
        <v>902</v>
      </c>
      <c r="C205" s="1" t="s">
        <v>101</v>
      </c>
      <c r="D205" s="1" t="s">
        <v>101</v>
      </c>
      <c r="E205" s="81">
        <v>0</v>
      </c>
      <c r="F205" s="81">
        <v>0</v>
      </c>
    </row>
    <row r="206" spans="1:6" x14ac:dyDescent="0.2">
      <c r="A206" s="1" t="s">
        <v>179</v>
      </c>
      <c r="B206" s="1" t="s">
        <v>903</v>
      </c>
      <c r="C206" s="1" t="s">
        <v>3851</v>
      </c>
      <c r="D206" s="1" t="s">
        <v>3851</v>
      </c>
      <c r="E206" s="81">
        <v>2497220.2400000002</v>
      </c>
      <c r="F206" s="81">
        <v>2497220.2400000002</v>
      </c>
    </row>
    <row r="207" spans="1:6" x14ac:dyDescent="0.2">
      <c r="A207" s="1" t="s">
        <v>179</v>
      </c>
      <c r="B207" s="1" t="s">
        <v>904</v>
      </c>
      <c r="C207" s="1" t="s">
        <v>3852</v>
      </c>
      <c r="D207" s="1" t="s">
        <v>3852</v>
      </c>
      <c r="E207" s="81">
        <v>2404590.37</v>
      </c>
      <c r="F207" s="81">
        <v>2404590.37</v>
      </c>
    </row>
    <row r="208" spans="1:6" x14ac:dyDescent="0.2">
      <c r="A208" s="1" t="s">
        <v>179</v>
      </c>
      <c r="B208" s="1" t="s">
        <v>905</v>
      </c>
      <c r="C208" s="1" t="s">
        <v>3853</v>
      </c>
      <c r="D208" s="1" t="s">
        <v>3853</v>
      </c>
      <c r="E208" s="81">
        <v>2622403.2999999998</v>
      </c>
      <c r="F208" s="81">
        <v>2622403.2999999998</v>
      </c>
    </row>
    <row r="209" spans="1:6" x14ac:dyDescent="0.2">
      <c r="A209" s="1" t="s">
        <v>179</v>
      </c>
      <c r="B209" s="1" t="s">
        <v>906</v>
      </c>
      <c r="C209" s="1" t="s">
        <v>101</v>
      </c>
      <c r="D209" s="1" t="s">
        <v>101</v>
      </c>
      <c r="E209" s="81">
        <v>0</v>
      </c>
      <c r="F209" s="81">
        <v>0</v>
      </c>
    </row>
    <row r="210" spans="1:6" x14ac:dyDescent="0.2">
      <c r="A210" s="1" t="s">
        <v>179</v>
      </c>
      <c r="B210" s="1" t="s">
        <v>907</v>
      </c>
      <c r="C210" s="1" t="s">
        <v>101</v>
      </c>
      <c r="D210" s="1" t="s">
        <v>101</v>
      </c>
      <c r="E210" s="81">
        <v>0</v>
      </c>
      <c r="F210" s="81">
        <v>0</v>
      </c>
    </row>
    <row r="211" spans="1:6" x14ac:dyDescent="0.2">
      <c r="A211" s="1" t="s">
        <v>179</v>
      </c>
      <c r="B211" s="1" t="s">
        <v>908</v>
      </c>
      <c r="C211" s="1" t="s">
        <v>101</v>
      </c>
      <c r="D211" s="1" t="s">
        <v>101</v>
      </c>
      <c r="E211" s="81">
        <v>0</v>
      </c>
      <c r="F211" s="81">
        <v>0</v>
      </c>
    </row>
    <row r="212" spans="1:6" x14ac:dyDescent="0.2">
      <c r="A212" s="1" t="s">
        <v>179</v>
      </c>
      <c r="B212" s="1" t="s">
        <v>909</v>
      </c>
      <c r="C212" s="1" t="s">
        <v>101</v>
      </c>
      <c r="D212" s="1" t="s">
        <v>101</v>
      </c>
      <c r="E212" s="81">
        <v>0</v>
      </c>
      <c r="F212" s="81">
        <v>0</v>
      </c>
    </row>
    <row r="213" spans="1:6" x14ac:dyDescent="0.2">
      <c r="A213" s="1" t="s">
        <v>179</v>
      </c>
      <c r="B213" s="1" t="s">
        <v>910</v>
      </c>
      <c r="C213" s="1" t="s">
        <v>101</v>
      </c>
      <c r="D213" s="1" t="s">
        <v>101</v>
      </c>
      <c r="E213" s="81">
        <v>0</v>
      </c>
      <c r="F213" s="81">
        <v>0</v>
      </c>
    </row>
    <row r="214" spans="1:6" x14ac:dyDescent="0.2">
      <c r="A214" s="1" t="s">
        <v>179</v>
      </c>
      <c r="B214" s="1" t="s">
        <v>911</v>
      </c>
      <c r="C214" s="1" t="s">
        <v>101</v>
      </c>
      <c r="D214" s="1" t="s">
        <v>101</v>
      </c>
      <c r="E214" s="81">
        <v>0</v>
      </c>
      <c r="F214" s="81">
        <v>0</v>
      </c>
    </row>
    <row r="215" spans="1:6" x14ac:dyDescent="0.2">
      <c r="A215" s="1" t="s">
        <v>179</v>
      </c>
      <c r="B215" s="1" t="s">
        <v>912</v>
      </c>
      <c r="C215" s="1" t="s">
        <v>101</v>
      </c>
      <c r="D215" s="1" t="s">
        <v>101</v>
      </c>
      <c r="E215" s="81">
        <v>0</v>
      </c>
      <c r="F215" s="81">
        <v>0</v>
      </c>
    </row>
    <row r="216" spans="1:6" x14ac:dyDescent="0.2">
      <c r="A216" s="1" t="s">
        <v>179</v>
      </c>
      <c r="B216" s="1" t="s">
        <v>913</v>
      </c>
      <c r="C216" s="1" t="s">
        <v>101</v>
      </c>
      <c r="D216" s="1" t="s">
        <v>101</v>
      </c>
      <c r="E216" s="81">
        <v>0</v>
      </c>
      <c r="F216" s="81">
        <v>0</v>
      </c>
    </row>
    <row r="217" spans="1:6" x14ac:dyDescent="0.2">
      <c r="A217" s="1" t="s">
        <v>179</v>
      </c>
      <c r="B217" s="1" t="s">
        <v>914</v>
      </c>
      <c r="C217" s="1" t="s">
        <v>101</v>
      </c>
      <c r="D217" s="1" t="s">
        <v>101</v>
      </c>
      <c r="E217" s="81">
        <v>0</v>
      </c>
      <c r="F217" s="81">
        <v>0</v>
      </c>
    </row>
    <row r="218" spans="1:6" x14ac:dyDescent="0.2">
      <c r="A218" s="1" t="s">
        <v>179</v>
      </c>
      <c r="B218" s="1" t="s">
        <v>915</v>
      </c>
      <c r="C218" s="1" t="s">
        <v>3854</v>
      </c>
      <c r="D218" s="1" t="s">
        <v>3854</v>
      </c>
      <c r="E218" s="81">
        <v>2189482.79</v>
      </c>
      <c r="F218" s="81">
        <v>2189482.79</v>
      </c>
    </row>
    <row r="219" spans="1:6" x14ac:dyDescent="0.2">
      <c r="A219" s="1" t="s">
        <v>179</v>
      </c>
      <c r="B219" s="1" t="s">
        <v>916</v>
      </c>
      <c r="C219" s="1" t="s">
        <v>3855</v>
      </c>
      <c r="D219" s="1" t="s">
        <v>3855</v>
      </c>
      <c r="E219" s="81">
        <v>2095539.66</v>
      </c>
      <c r="F219" s="81">
        <v>2095539.66</v>
      </c>
    </row>
    <row r="220" spans="1:6" x14ac:dyDescent="0.2">
      <c r="A220" s="1" t="s">
        <v>179</v>
      </c>
      <c r="B220" s="1" t="s">
        <v>917</v>
      </c>
      <c r="C220" s="1" t="s">
        <v>3856</v>
      </c>
      <c r="D220" s="1" t="s">
        <v>3856</v>
      </c>
      <c r="E220" s="81">
        <v>2297260.1800000002</v>
      </c>
      <c r="F220" s="81">
        <v>2297260.1800000002</v>
      </c>
    </row>
    <row r="221" spans="1:6" x14ac:dyDescent="0.2">
      <c r="A221" s="1" t="s">
        <v>179</v>
      </c>
      <c r="B221" s="1" t="s">
        <v>918</v>
      </c>
      <c r="C221" s="1" t="s">
        <v>101</v>
      </c>
      <c r="D221" s="1" t="s">
        <v>101</v>
      </c>
      <c r="E221" s="81">
        <v>0</v>
      </c>
      <c r="F221" s="81">
        <v>0</v>
      </c>
    </row>
    <row r="222" spans="1:6" x14ac:dyDescent="0.2">
      <c r="A222" s="1" t="s">
        <v>179</v>
      </c>
      <c r="B222" s="1" t="s">
        <v>919</v>
      </c>
      <c r="C222" s="1" t="s">
        <v>101</v>
      </c>
      <c r="D222" s="1" t="s">
        <v>101</v>
      </c>
      <c r="E222" s="81">
        <v>0</v>
      </c>
      <c r="F222" s="81">
        <v>0</v>
      </c>
    </row>
    <row r="223" spans="1:6" x14ac:dyDescent="0.2">
      <c r="A223" s="1" t="s">
        <v>179</v>
      </c>
      <c r="B223" s="1" t="s">
        <v>920</v>
      </c>
      <c r="C223" s="1" t="s">
        <v>101</v>
      </c>
      <c r="D223" s="1" t="s">
        <v>101</v>
      </c>
      <c r="E223" s="81">
        <v>0</v>
      </c>
      <c r="F223" s="81">
        <v>0</v>
      </c>
    </row>
    <row r="224" spans="1:6" x14ac:dyDescent="0.2">
      <c r="A224" s="1" t="s">
        <v>179</v>
      </c>
      <c r="B224" s="1" t="s">
        <v>921</v>
      </c>
      <c r="C224" s="1" t="s">
        <v>101</v>
      </c>
      <c r="D224" s="1" t="s">
        <v>101</v>
      </c>
      <c r="E224" s="81">
        <v>0</v>
      </c>
      <c r="F224" s="81">
        <v>0</v>
      </c>
    </row>
    <row r="225" spans="1:6" x14ac:dyDescent="0.2">
      <c r="A225" s="1" t="s">
        <v>179</v>
      </c>
      <c r="B225" s="1" t="s">
        <v>922</v>
      </c>
      <c r="C225" s="1" t="s">
        <v>101</v>
      </c>
      <c r="D225" s="1" t="s">
        <v>101</v>
      </c>
      <c r="E225" s="81">
        <v>0</v>
      </c>
      <c r="F225" s="81">
        <v>0</v>
      </c>
    </row>
    <row r="226" spans="1:6" x14ac:dyDescent="0.2">
      <c r="A226" s="1" t="s">
        <v>179</v>
      </c>
      <c r="B226" s="1" t="s">
        <v>923</v>
      </c>
      <c r="C226" s="1" t="s">
        <v>101</v>
      </c>
      <c r="D226" s="1" t="s">
        <v>101</v>
      </c>
      <c r="E226" s="81">
        <v>0</v>
      </c>
      <c r="F226" s="81">
        <v>0</v>
      </c>
    </row>
    <row r="227" spans="1:6" x14ac:dyDescent="0.2">
      <c r="A227" s="1" t="s">
        <v>179</v>
      </c>
      <c r="B227" s="1" t="s">
        <v>924</v>
      </c>
      <c r="C227" s="1" t="s">
        <v>101</v>
      </c>
      <c r="D227" s="1" t="s">
        <v>101</v>
      </c>
      <c r="E227" s="81">
        <v>0</v>
      </c>
      <c r="F227" s="81">
        <v>0</v>
      </c>
    </row>
    <row r="228" spans="1:6" x14ac:dyDescent="0.2">
      <c r="A228" s="1" t="s">
        <v>179</v>
      </c>
      <c r="B228" s="1" t="s">
        <v>925</v>
      </c>
      <c r="C228" s="1" t="s">
        <v>101</v>
      </c>
      <c r="D228" s="1" t="s">
        <v>101</v>
      </c>
      <c r="E228" s="81">
        <v>0</v>
      </c>
      <c r="F228" s="81">
        <v>0</v>
      </c>
    </row>
    <row r="229" spans="1:6" x14ac:dyDescent="0.2">
      <c r="A229" s="1" t="s">
        <v>179</v>
      </c>
      <c r="B229" s="1" t="s">
        <v>926</v>
      </c>
      <c r="C229" s="1" t="s">
        <v>101</v>
      </c>
      <c r="D229" s="1" t="s">
        <v>101</v>
      </c>
      <c r="E229" s="81">
        <v>0</v>
      </c>
      <c r="F229" s="81">
        <v>0</v>
      </c>
    </row>
    <row r="230" spans="1:6" x14ac:dyDescent="0.2">
      <c r="A230" s="1" t="s">
        <v>179</v>
      </c>
      <c r="B230" s="1" t="s">
        <v>927</v>
      </c>
      <c r="C230" s="1" t="s">
        <v>3857</v>
      </c>
      <c r="D230" s="1" t="s">
        <v>3857</v>
      </c>
      <c r="E230" s="81">
        <v>311561.55</v>
      </c>
      <c r="F230" s="81">
        <v>311561.55</v>
      </c>
    </row>
    <row r="231" spans="1:6" x14ac:dyDescent="0.2">
      <c r="A231" s="1" t="s">
        <v>179</v>
      </c>
      <c r="B231" s="1" t="s">
        <v>928</v>
      </c>
      <c r="C231" s="1" t="s">
        <v>3858</v>
      </c>
      <c r="D231" s="1" t="s">
        <v>3858</v>
      </c>
      <c r="E231" s="81">
        <v>313184.08</v>
      </c>
      <c r="F231" s="81">
        <v>313184.08</v>
      </c>
    </row>
    <row r="232" spans="1:6" x14ac:dyDescent="0.2">
      <c r="A232" s="1" t="s">
        <v>179</v>
      </c>
      <c r="B232" s="1" t="s">
        <v>929</v>
      </c>
      <c r="C232" s="1" t="s">
        <v>3859</v>
      </c>
      <c r="D232" s="1" t="s">
        <v>3859</v>
      </c>
      <c r="E232" s="81">
        <v>329306.23</v>
      </c>
      <c r="F232" s="81">
        <v>329306.23</v>
      </c>
    </row>
    <row r="233" spans="1:6" x14ac:dyDescent="0.2">
      <c r="A233" s="1" t="s">
        <v>179</v>
      </c>
      <c r="B233" s="1" t="s">
        <v>930</v>
      </c>
      <c r="C233" s="1" t="s">
        <v>101</v>
      </c>
      <c r="D233" s="1" t="s">
        <v>101</v>
      </c>
      <c r="E233" s="81">
        <v>0</v>
      </c>
      <c r="F233" s="81">
        <v>0</v>
      </c>
    </row>
    <row r="234" spans="1:6" x14ac:dyDescent="0.2">
      <c r="A234" s="1" t="s">
        <v>179</v>
      </c>
      <c r="B234" s="1" t="s">
        <v>931</v>
      </c>
      <c r="C234" s="1" t="s">
        <v>101</v>
      </c>
      <c r="D234" s="1" t="s">
        <v>101</v>
      </c>
      <c r="E234" s="81">
        <v>0</v>
      </c>
      <c r="F234" s="81">
        <v>0</v>
      </c>
    </row>
    <row r="235" spans="1:6" x14ac:dyDescent="0.2">
      <c r="A235" s="1" t="s">
        <v>179</v>
      </c>
      <c r="B235" s="1" t="s">
        <v>932</v>
      </c>
      <c r="C235" s="1" t="s">
        <v>101</v>
      </c>
      <c r="D235" s="1" t="s">
        <v>101</v>
      </c>
      <c r="E235" s="81">
        <v>0</v>
      </c>
      <c r="F235" s="81">
        <v>0</v>
      </c>
    </row>
    <row r="236" spans="1:6" x14ac:dyDescent="0.2">
      <c r="A236" s="1" t="s">
        <v>179</v>
      </c>
      <c r="B236" s="1" t="s">
        <v>933</v>
      </c>
      <c r="C236" s="1" t="s">
        <v>101</v>
      </c>
      <c r="D236" s="1" t="s">
        <v>101</v>
      </c>
      <c r="E236" s="81">
        <v>0</v>
      </c>
      <c r="F236" s="81">
        <v>0</v>
      </c>
    </row>
    <row r="237" spans="1:6" x14ac:dyDescent="0.2">
      <c r="A237" s="1" t="s">
        <v>179</v>
      </c>
      <c r="B237" s="1" t="s">
        <v>934</v>
      </c>
      <c r="C237" s="1" t="s">
        <v>101</v>
      </c>
      <c r="D237" s="1" t="s">
        <v>101</v>
      </c>
      <c r="E237" s="81">
        <v>0</v>
      </c>
      <c r="F237" s="81">
        <v>0</v>
      </c>
    </row>
    <row r="238" spans="1:6" x14ac:dyDescent="0.2">
      <c r="A238" s="1" t="s">
        <v>179</v>
      </c>
      <c r="B238" s="1" t="s">
        <v>935</v>
      </c>
      <c r="C238" s="1" t="s">
        <v>101</v>
      </c>
      <c r="D238" s="1" t="s">
        <v>101</v>
      </c>
      <c r="E238" s="81">
        <v>0</v>
      </c>
      <c r="F238" s="81">
        <v>0</v>
      </c>
    </row>
    <row r="239" spans="1:6" x14ac:dyDescent="0.2">
      <c r="A239" s="1" t="s">
        <v>179</v>
      </c>
      <c r="B239" s="1" t="s">
        <v>936</v>
      </c>
      <c r="C239" s="1" t="s">
        <v>101</v>
      </c>
      <c r="D239" s="1" t="s">
        <v>101</v>
      </c>
      <c r="E239" s="81">
        <v>0</v>
      </c>
      <c r="F239" s="81">
        <v>0</v>
      </c>
    </row>
    <row r="240" spans="1:6" x14ac:dyDescent="0.2">
      <c r="A240" s="1" t="s">
        <v>179</v>
      </c>
      <c r="B240" s="1" t="s">
        <v>937</v>
      </c>
      <c r="C240" s="1" t="s">
        <v>101</v>
      </c>
      <c r="D240" s="1" t="s">
        <v>101</v>
      </c>
      <c r="E240" s="81">
        <v>0</v>
      </c>
      <c r="F240" s="81">
        <v>0</v>
      </c>
    </row>
    <row r="241" spans="1:6" x14ac:dyDescent="0.2">
      <c r="A241" s="1" t="s">
        <v>179</v>
      </c>
      <c r="B241" s="1" t="s">
        <v>938</v>
      </c>
      <c r="C241" s="1" t="s">
        <v>101</v>
      </c>
      <c r="D241" s="1" t="s">
        <v>101</v>
      </c>
      <c r="E241" s="81">
        <v>0</v>
      </c>
      <c r="F241" s="81">
        <v>0</v>
      </c>
    </row>
    <row r="242" spans="1:6" x14ac:dyDescent="0.2">
      <c r="A242" s="1" t="s">
        <v>179</v>
      </c>
      <c r="B242" s="1" t="s">
        <v>939</v>
      </c>
      <c r="C242" s="1" t="s">
        <v>101</v>
      </c>
      <c r="D242" s="1" t="s">
        <v>101</v>
      </c>
      <c r="E242" s="81">
        <v>0</v>
      </c>
      <c r="F242" s="81">
        <v>0</v>
      </c>
    </row>
    <row r="243" spans="1:6" x14ac:dyDescent="0.2">
      <c r="A243" s="1" t="s">
        <v>179</v>
      </c>
      <c r="B243" s="1" t="s">
        <v>940</v>
      </c>
      <c r="C243" s="1" t="s">
        <v>101</v>
      </c>
      <c r="D243" s="1" t="s">
        <v>101</v>
      </c>
      <c r="E243" s="81">
        <v>0</v>
      </c>
      <c r="F243" s="81">
        <v>0</v>
      </c>
    </row>
    <row r="244" spans="1:6" x14ac:dyDescent="0.2">
      <c r="A244" s="1" t="s">
        <v>179</v>
      </c>
      <c r="B244" s="1" t="s">
        <v>941</v>
      </c>
      <c r="C244" s="1" t="s">
        <v>101</v>
      </c>
      <c r="D244" s="1" t="s">
        <v>101</v>
      </c>
      <c r="E244" s="81">
        <v>0</v>
      </c>
      <c r="F244" s="81">
        <v>0</v>
      </c>
    </row>
    <row r="245" spans="1:6" x14ac:dyDescent="0.2">
      <c r="A245" s="1" t="s">
        <v>179</v>
      </c>
      <c r="B245" s="1" t="s">
        <v>942</v>
      </c>
      <c r="C245" s="1" t="s">
        <v>101</v>
      </c>
      <c r="D245" s="1" t="s">
        <v>101</v>
      </c>
      <c r="E245" s="81">
        <v>0</v>
      </c>
      <c r="F245" s="81">
        <v>0</v>
      </c>
    </row>
    <row r="246" spans="1:6" x14ac:dyDescent="0.2">
      <c r="A246" s="1" t="s">
        <v>179</v>
      </c>
      <c r="B246" s="1" t="s">
        <v>943</v>
      </c>
      <c r="C246" s="1" t="s">
        <v>101</v>
      </c>
      <c r="D246" s="1" t="s">
        <v>101</v>
      </c>
      <c r="E246" s="81">
        <v>0</v>
      </c>
      <c r="F246" s="81">
        <v>0</v>
      </c>
    </row>
    <row r="247" spans="1:6" x14ac:dyDescent="0.2">
      <c r="A247" s="1" t="s">
        <v>179</v>
      </c>
      <c r="B247" s="1" t="s">
        <v>944</v>
      </c>
      <c r="C247" s="1" t="s">
        <v>101</v>
      </c>
      <c r="D247" s="1" t="s">
        <v>101</v>
      </c>
      <c r="E247" s="81">
        <v>0</v>
      </c>
      <c r="F247" s="81">
        <v>0</v>
      </c>
    </row>
    <row r="248" spans="1:6" x14ac:dyDescent="0.2">
      <c r="A248" s="1" t="s">
        <v>179</v>
      </c>
      <c r="B248" s="1" t="s">
        <v>945</v>
      </c>
      <c r="C248" s="1" t="s">
        <v>101</v>
      </c>
      <c r="D248" s="1" t="s">
        <v>101</v>
      </c>
      <c r="E248" s="81">
        <v>0</v>
      </c>
      <c r="F248" s="81">
        <v>0</v>
      </c>
    </row>
    <row r="249" spans="1:6" x14ac:dyDescent="0.2">
      <c r="A249" s="1" t="s">
        <v>179</v>
      </c>
      <c r="B249" s="1" t="s">
        <v>946</v>
      </c>
      <c r="C249" s="1" t="s">
        <v>101</v>
      </c>
      <c r="D249" s="1" t="s">
        <v>101</v>
      </c>
      <c r="E249" s="81">
        <v>0</v>
      </c>
      <c r="F249" s="81">
        <v>0</v>
      </c>
    </row>
    <row r="250" spans="1:6" x14ac:dyDescent="0.2">
      <c r="A250" s="1" t="s">
        <v>179</v>
      </c>
      <c r="B250" s="1" t="s">
        <v>947</v>
      </c>
      <c r="C250" s="1" t="s">
        <v>101</v>
      </c>
      <c r="D250" s="1" t="s">
        <v>101</v>
      </c>
      <c r="E250" s="81">
        <v>0</v>
      </c>
      <c r="F250" s="81">
        <v>0</v>
      </c>
    </row>
    <row r="251" spans="1:6" x14ac:dyDescent="0.2">
      <c r="A251" s="1" t="s">
        <v>179</v>
      </c>
      <c r="B251" s="1" t="s">
        <v>948</v>
      </c>
      <c r="C251" s="1" t="s">
        <v>101</v>
      </c>
      <c r="D251" s="1" t="s">
        <v>101</v>
      </c>
      <c r="E251" s="81">
        <v>0</v>
      </c>
      <c r="F251" s="81">
        <v>0</v>
      </c>
    </row>
    <row r="252" spans="1:6" x14ac:dyDescent="0.2">
      <c r="A252" s="1" t="s">
        <v>179</v>
      </c>
      <c r="B252" s="1" t="s">
        <v>949</v>
      </c>
      <c r="C252" s="1" t="s">
        <v>101</v>
      </c>
      <c r="D252" s="1" t="s">
        <v>101</v>
      </c>
      <c r="E252" s="81">
        <v>0</v>
      </c>
      <c r="F252" s="81">
        <v>0</v>
      </c>
    </row>
    <row r="253" spans="1:6" x14ac:dyDescent="0.2">
      <c r="A253" s="1" t="s">
        <v>179</v>
      </c>
      <c r="B253" s="1" t="s">
        <v>950</v>
      </c>
      <c r="C253" s="1" t="s">
        <v>101</v>
      </c>
      <c r="D253" s="1" t="s">
        <v>101</v>
      </c>
      <c r="E253" s="81">
        <v>0</v>
      </c>
      <c r="F253" s="81">
        <v>0</v>
      </c>
    </row>
    <row r="254" spans="1:6" x14ac:dyDescent="0.2">
      <c r="A254" s="1" t="s">
        <v>179</v>
      </c>
      <c r="B254" s="1" t="s">
        <v>951</v>
      </c>
      <c r="C254" s="1" t="s">
        <v>3860</v>
      </c>
      <c r="D254" s="1" t="s">
        <v>3860</v>
      </c>
      <c r="E254" s="81">
        <v>7524213.9199999999</v>
      </c>
      <c r="F254" s="81">
        <v>7524213.9199999999</v>
      </c>
    </row>
    <row r="255" spans="1:6" x14ac:dyDescent="0.2">
      <c r="A255" s="1" t="s">
        <v>179</v>
      </c>
      <c r="B255" s="1" t="s">
        <v>952</v>
      </c>
      <c r="C255" s="1" t="s">
        <v>3851</v>
      </c>
      <c r="D255" s="1" t="s">
        <v>3851</v>
      </c>
      <c r="E255" s="81">
        <v>2497220.2400000002</v>
      </c>
      <c r="F255" s="81">
        <v>2497220.2400000002</v>
      </c>
    </row>
    <row r="256" spans="1:6" x14ac:dyDescent="0.2">
      <c r="A256" s="1" t="s">
        <v>179</v>
      </c>
      <c r="B256" s="1" t="s">
        <v>953</v>
      </c>
      <c r="C256" s="1" t="s">
        <v>3852</v>
      </c>
      <c r="D256" s="1" t="s">
        <v>3852</v>
      </c>
      <c r="E256" s="81">
        <v>2404590.37</v>
      </c>
      <c r="F256" s="81">
        <v>2404590.37</v>
      </c>
    </row>
    <row r="257" spans="1:6" x14ac:dyDescent="0.2">
      <c r="A257" s="1" t="s">
        <v>179</v>
      </c>
      <c r="B257" s="1" t="s">
        <v>954</v>
      </c>
      <c r="C257" s="1" t="s">
        <v>3853</v>
      </c>
      <c r="D257" s="1" t="s">
        <v>3853</v>
      </c>
      <c r="E257" s="81">
        <v>2622403.2999999998</v>
      </c>
      <c r="F257" s="81">
        <v>2622403.2999999998</v>
      </c>
    </row>
    <row r="258" spans="1:6" x14ac:dyDescent="0.2">
      <c r="A258" s="1" t="s">
        <v>179</v>
      </c>
      <c r="B258" s="1" t="s">
        <v>955</v>
      </c>
      <c r="C258" s="1" t="s">
        <v>101</v>
      </c>
      <c r="D258" s="1" t="s">
        <v>101</v>
      </c>
      <c r="E258" s="81">
        <v>0</v>
      </c>
      <c r="F258" s="81">
        <v>0</v>
      </c>
    </row>
    <row r="259" spans="1:6" x14ac:dyDescent="0.2">
      <c r="A259" s="1" t="s">
        <v>179</v>
      </c>
      <c r="B259" s="1" t="s">
        <v>956</v>
      </c>
      <c r="C259" s="1" t="s">
        <v>101</v>
      </c>
      <c r="D259" s="1" t="s">
        <v>101</v>
      </c>
      <c r="E259" s="81">
        <v>0</v>
      </c>
      <c r="F259" s="81">
        <v>0</v>
      </c>
    </row>
    <row r="260" spans="1:6" x14ac:dyDescent="0.2">
      <c r="A260" s="1" t="s">
        <v>179</v>
      </c>
      <c r="B260" s="1" t="s">
        <v>957</v>
      </c>
      <c r="C260" s="1" t="s">
        <v>101</v>
      </c>
      <c r="D260" s="1" t="s">
        <v>101</v>
      </c>
      <c r="E260" s="81">
        <v>0</v>
      </c>
      <c r="F260" s="81">
        <v>0</v>
      </c>
    </row>
    <row r="261" spans="1:6" x14ac:dyDescent="0.2">
      <c r="A261" s="1" t="s">
        <v>179</v>
      </c>
      <c r="B261" s="1" t="s">
        <v>958</v>
      </c>
      <c r="C261" s="1" t="s">
        <v>101</v>
      </c>
      <c r="D261" s="1" t="s">
        <v>101</v>
      </c>
      <c r="E261" s="81">
        <v>0</v>
      </c>
      <c r="F261" s="81">
        <v>0</v>
      </c>
    </row>
    <row r="262" spans="1:6" x14ac:dyDescent="0.2">
      <c r="A262" s="1" t="s">
        <v>179</v>
      </c>
      <c r="B262" s="1" t="s">
        <v>959</v>
      </c>
      <c r="C262" s="1" t="s">
        <v>101</v>
      </c>
      <c r="D262" s="1" t="s">
        <v>101</v>
      </c>
      <c r="E262" s="81">
        <v>0</v>
      </c>
      <c r="F262" s="81">
        <v>0</v>
      </c>
    </row>
    <row r="263" spans="1:6" x14ac:dyDescent="0.2">
      <c r="A263" s="1" t="s">
        <v>179</v>
      </c>
      <c r="B263" s="1" t="s">
        <v>960</v>
      </c>
      <c r="C263" s="1" t="s">
        <v>101</v>
      </c>
      <c r="D263" s="1" t="s">
        <v>101</v>
      </c>
      <c r="E263" s="81">
        <v>0</v>
      </c>
      <c r="F263" s="81">
        <v>0</v>
      </c>
    </row>
    <row r="264" spans="1:6" x14ac:dyDescent="0.2">
      <c r="A264" s="1" t="s">
        <v>179</v>
      </c>
      <c r="B264" s="1" t="s">
        <v>961</v>
      </c>
      <c r="C264" s="1" t="s">
        <v>101</v>
      </c>
      <c r="D264" s="1" t="s">
        <v>101</v>
      </c>
      <c r="E264" s="81">
        <v>0</v>
      </c>
      <c r="F264" s="81">
        <v>0</v>
      </c>
    </row>
    <row r="265" spans="1:6" x14ac:dyDescent="0.2">
      <c r="A265" s="1" t="s">
        <v>179</v>
      </c>
      <c r="B265" s="1" t="s">
        <v>962</v>
      </c>
      <c r="C265" s="1" t="s">
        <v>101</v>
      </c>
      <c r="D265" s="1" t="s">
        <v>101</v>
      </c>
      <c r="E265" s="81">
        <v>0</v>
      </c>
      <c r="F265" s="81">
        <v>0</v>
      </c>
    </row>
    <row r="266" spans="1:6" x14ac:dyDescent="0.2">
      <c r="A266" s="1" t="s">
        <v>179</v>
      </c>
      <c r="B266" s="1" t="s">
        <v>963</v>
      </c>
      <c r="C266" s="1" t="s">
        <v>101</v>
      </c>
      <c r="D266" s="1" t="s">
        <v>101</v>
      </c>
      <c r="E266" s="81">
        <v>0</v>
      </c>
      <c r="F266" s="81">
        <v>0</v>
      </c>
    </row>
    <row r="267" spans="1:6" x14ac:dyDescent="0.2">
      <c r="A267" s="1" t="s">
        <v>179</v>
      </c>
      <c r="B267" s="1" t="s">
        <v>964</v>
      </c>
      <c r="C267" s="1" t="s">
        <v>3860</v>
      </c>
      <c r="D267" s="1" t="s">
        <v>3860</v>
      </c>
      <c r="E267" s="81">
        <v>7524213.9199999999</v>
      </c>
      <c r="F267" s="81">
        <v>7524213.9199999999</v>
      </c>
    </row>
    <row r="268" spans="1:6" x14ac:dyDescent="0.2">
      <c r="A268" s="1" t="s">
        <v>179</v>
      </c>
      <c r="B268" s="1" t="s">
        <v>965</v>
      </c>
      <c r="C268" s="1" t="s">
        <v>3861</v>
      </c>
      <c r="D268" s="1" t="s">
        <v>3861</v>
      </c>
      <c r="E268" s="81">
        <v>836723.05</v>
      </c>
      <c r="F268" s="81">
        <v>836723.05</v>
      </c>
    </row>
    <row r="269" spans="1:6" x14ac:dyDescent="0.2">
      <c r="A269" s="1" t="s">
        <v>179</v>
      </c>
      <c r="B269" s="1" t="s">
        <v>966</v>
      </c>
      <c r="C269" s="1" t="s">
        <v>3862</v>
      </c>
      <c r="D269" s="1" t="s">
        <v>3862</v>
      </c>
      <c r="E269" s="81">
        <v>774880.74</v>
      </c>
      <c r="F269" s="81">
        <v>774880.74</v>
      </c>
    </row>
    <row r="270" spans="1:6" x14ac:dyDescent="0.2">
      <c r="A270" s="1" t="s">
        <v>179</v>
      </c>
      <c r="B270" s="1" t="s">
        <v>967</v>
      </c>
      <c r="C270" s="1" t="s">
        <v>3863</v>
      </c>
      <c r="D270" s="1" t="s">
        <v>3863</v>
      </c>
      <c r="E270" s="81">
        <v>935257.59</v>
      </c>
      <c r="F270" s="81">
        <v>935257.59</v>
      </c>
    </row>
    <row r="271" spans="1:6" x14ac:dyDescent="0.2">
      <c r="A271" s="1" t="s">
        <v>179</v>
      </c>
      <c r="B271" s="1" t="s">
        <v>968</v>
      </c>
      <c r="C271" s="1" t="s">
        <v>101</v>
      </c>
      <c r="D271" s="1" t="s">
        <v>101</v>
      </c>
      <c r="E271" s="81">
        <v>0</v>
      </c>
      <c r="F271" s="81">
        <v>0</v>
      </c>
    </row>
    <row r="272" spans="1:6" x14ac:dyDescent="0.2">
      <c r="A272" s="1" t="s">
        <v>179</v>
      </c>
      <c r="B272" s="1" t="s">
        <v>969</v>
      </c>
      <c r="C272" s="1" t="s">
        <v>101</v>
      </c>
      <c r="D272" s="1" t="s">
        <v>101</v>
      </c>
      <c r="E272" s="81">
        <v>0</v>
      </c>
      <c r="F272" s="81">
        <v>0</v>
      </c>
    </row>
    <row r="273" spans="1:6" x14ac:dyDescent="0.2">
      <c r="A273" s="1" t="s">
        <v>179</v>
      </c>
      <c r="B273" s="1" t="s">
        <v>970</v>
      </c>
      <c r="C273" s="1" t="s">
        <v>101</v>
      </c>
      <c r="D273" s="1" t="s">
        <v>101</v>
      </c>
      <c r="E273" s="81">
        <v>0</v>
      </c>
      <c r="F273" s="81">
        <v>0</v>
      </c>
    </row>
    <row r="274" spans="1:6" x14ac:dyDescent="0.2">
      <c r="A274" s="1" t="s">
        <v>179</v>
      </c>
      <c r="B274" s="1" t="s">
        <v>971</v>
      </c>
      <c r="C274" s="1" t="s">
        <v>101</v>
      </c>
      <c r="D274" s="1" t="s">
        <v>101</v>
      </c>
      <c r="E274" s="81">
        <v>0</v>
      </c>
      <c r="F274" s="81">
        <v>0</v>
      </c>
    </row>
    <row r="275" spans="1:6" x14ac:dyDescent="0.2">
      <c r="A275" s="1" t="s">
        <v>179</v>
      </c>
      <c r="B275" s="1" t="s">
        <v>972</v>
      </c>
      <c r="C275" s="1" t="s">
        <v>101</v>
      </c>
      <c r="D275" s="1" t="s">
        <v>101</v>
      </c>
      <c r="E275" s="81">
        <v>0</v>
      </c>
      <c r="F275" s="81">
        <v>0</v>
      </c>
    </row>
    <row r="276" spans="1:6" x14ac:dyDescent="0.2">
      <c r="A276" s="1" t="s">
        <v>179</v>
      </c>
      <c r="B276" s="1" t="s">
        <v>973</v>
      </c>
      <c r="C276" s="1" t="s">
        <v>101</v>
      </c>
      <c r="D276" s="1" t="s">
        <v>101</v>
      </c>
      <c r="E276" s="81">
        <v>0</v>
      </c>
      <c r="F276" s="81">
        <v>0</v>
      </c>
    </row>
    <row r="277" spans="1:6" x14ac:dyDescent="0.2">
      <c r="A277" s="1" t="s">
        <v>179</v>
      </c>
      <c r="B277" s="1" t="s">
        <v>974</v>
      </c>
      <c r="C277" s="1" t="s">
        <v>101</v>
      </c>
      <c r="D277" s="1" t="s">
        <v>101</v>
      </c>
      <c r="E277" s="81">
        <v>0</v>
      </c>
      <c r="F277" s="81">
        <v>0</v>
      </c>
    </row>
    <row r="278" spans="1:6" x14ac:dyDescent="0.2">
      <c r="A278" s="1" t="s">
        <v>179</v>
      </c>
      <c r="B278" s="1" t="s">
        <v>975</v>
      </c>
      <c r="C278" s="1" t="s">
        <v>101</v>
      </c>
      <c r="D278" s="1" t="s">
        <v>101</v>
      </c>
      <c r="E278" s="81">
        <v>0</v>
      </c>
      <c r="F278" s="81">
        <v>0</v>
      </c>
    </row>
    <row r="279" spans="1:6" x14ac:dyDescent="0.2">
      <c r="A279" s="1" t="s">
        <v>179</v>
      </c>
      <c r="B279" s="1" t="s">
        <v>976</v>
      </c>
      <c r="C279" s="1" t="s">
        <v>101</v>
      </c>
      <c r="D279" s="1" t="s">
        <v>101</v>
      </c>
      <c r="E279" s="81">
        <v>0</v>
      </c>
      <c r="F279" s="81">
        <v>0</v>
      </c>
    </row>
    <row r="280" spans="1:6" x14ac:dyDescent="0.2">
      <c r="A280" s="1" t="s">
        <v>179</v>
      </c>
      <c r="B280" s="1" t="s">
        <v>977</v>
      </c>
      <c r="C280" s="1" t="s">
        <v>3864</v>
      </c>
      <c r="D280" s="1" t="s">
        <v>3864</v>
      </c>
      <c r="E280" s="81">
        <v>7738.64</v>
      </c>
      <c r="F280" s="81">
        <v>7738.64</v>
      </c>
    </row>
    <row r="281" spans="1:6" x14ac:dyDescent="0.2">
      <c r="A281" s="1" t="s">
        <v>179</v>
      </c>
      <c r="B281" s="1" t="s">
        <v>978</v>
      </c>
      <c r="C281" s="1" t="s">
        <v>3865</v>
      </c>
      <c r="D281" s="1" t="s">
        <v>3865</v>
      </c>
      <c r="E281" s="81">
        <v>13147.67</v>
      </c>
      <c r="F281" s="81">
        <v>13147.67</v>
      </c>
    </row>
    <row r="282" spans="1:6" x14ac:dyDescent="0.2">
      <c r="A282" s="1" t="s">
        <v>179</v>
      </c>
      <c r="B282" s="1" t="s">
        <v>979</v>
      </c>
      <c r="C282" s="1" t="s">
        <v>3866</v>
      </c>
      <c r="D282" s="1" t="s">
        <v>3866</v>
      </c>
      <c r="E282" s="81">
        <v>15620.99</v>
      </c>
      <c r="F282" s="81">
        <v>15620.99</v>
      </c>
    </row>
    <row r="283" spans="1:6" x14ac:dyDescent="0.2">
      <c r="A283" s="1" t="s">
        <v>179</v>
      </c>
      <c r="B283" s="1" t="s">
        <v>980</v>
      </c>
      <c r="C283" s="1" t="s">
        <v>101</v>
      </c>
      <c r="D283" s="1" t="s">
        <v>101</v>
      </c>
      <c r="E283" s="81">
        <v>0</v>
      </c>
      <c r="F283" s="81">
        <v>0</v>
      </c>
    </row>
    <row r="284" spans="1:6" x14ac:dyDescent="0.2">
      <c r="A284" s="1" t="s">
        <v>179</v>
      </c>
      <c r="B284" s="1" t="s">
        <v>981</v>
      </c>
      <c r="C284" s="1" t="s">
        <v>101</v>
      </c>
      <c r="D284" s="1" t="s">
        <v>101</v>
      </c>
      <c r="E284" s="81">
        <v>0</v>
      </c>
      <c r="F284" s="81">
        <v>0</v>
      </c>
    </row>
    <row r="285" spans="1:6" x14ac:dyDescent="0.2">
      <c r="A285" s="1" t="s">
        <v>179</v>
      </c>
      <c r="B285" s="1" t="s">
        <v>982</v>
      </c>
      <c r="C285" s="1" t="s">
        <v>101</v>
      </c>
      <c r="D285" s="1" t="s">
        <v>101</v>
      </c>
      <c r="E285" s="81">
        <v>0</v>
      </c>
      <c r="F285" s="81">
        <v>0</v>
      </c>
    </row>
    <row r="286" spans="1:6" x14ac:dyDescent="0.2">
      <c r="A286" s="1" t="s">
        <v>179</v>
      </c>
      <c r="B286" s="1" t="s">
        <v>983</v>
      </c>
      <c r="C286" s="1" t="s">
        <v>101</v>
      </c>
      <c r="D286" s="1" t="s">
        <v>101</v>
      </c>
      <c r="E286" s="81">
        <v>0</v>
      </c>
      <c r="F286" s="81">
        <v>0</v>
      </c>
    </row>
    <row r="287" spans="1:6" x14ac:dyDescent="0.2">
      <c r="A287" s="1" t="s">
        <v>179</v>
      </c>
      <c r="B287" s="1" t="s">
        <v>984</v>
      </c>
      <c r="C287" s="1" t="s">
        <v>101</v>
      </c>
      <c r="D287" s="1" t="s">
        <v>101</v>
      </c>
      <c r="E287" s="81">
        <v>0</v>
      </c>
      <c r="F287" s="81">
        <v>0</v>
      </c>
    </row>
    <row r="288" spans="1:6" x14ac:dyDescent="0.2">
      <c r="A288" s="1" t="s">
        <v>179</v>
      </c>
      <c r="B288" s="1" t="s">
        <v>985</v>
      </c>
      <c r="C288" s="1" t="s">
        <v>101</v>
      </c>
      <c r="D288" s="1" t="s">
        <v>101</v>
      </c>
      <c r="E288" s="81">
        <v>0</v>
      </c>
      <c r="F288" s="81">
        <v>0</v>
      </c>
    </row>
    <row r="289" spans="1:6" x14ac:dyDescent="0.2">
      <c r="A289" s="1" t="s">
        <v>179</v>
      </c>
      <c r="B289" s="1" t="s">
        <v>986</v>
      </c>
      <c r="C289" s="1" t="s">
        <v>101</v>
      </c>
      <c r="D289" s="1" t="s">
        <v>101</v>
      </c>
      <c r="E289" s="81">
        <v>0</v>
      </c>
      <c r="F289" s="81">
        <v>0</v>
      </c>
    </row>
    <row r="290" spans="1:6" x14ac:dyDescent="0.2">
      <c r="A290" s="1" t="s">
        <v>179</v>
      </c>
      <c r="B290" s="1" t="s">
        <v>987</v>
      </c>
      <c r="C290" s="1" t="s">
        <v>101</v>
      </c>
      <c r="D290" s="1" t="s">
        <v>101</v>
      </c>
      <c r="E290" s="81">
        <v>0</v>
      </c>
      <c r="F290" s="81">
        <v>0</v>
      </c>
    </row>
    <row r="291" spans="1:6" x14ac:dyDescent="0.2">
      <c r="A291" s="1" t="s">
        <v>179</v>
      </c>
      <c r="B291" s="1" t="s">
        <v>988</v>
      </c>
      <c r="C291" s="1" t="s">
        <v>101</v>
      </c>
      <c r="D291" s="1" t="s">
        <v>101</v>
      </c>
      <c r="E291" s="81">
        <v>0</v>
      </c>
      <c r="F291" s="81">
        <v>0</v>
      </c>
    </row>
    <row r="292" spans="1:6" x14ac:dyDescent="0.2">
      <c r="A292" s="1" t="s">
        <v>179</v>
      </c>
      <c r="B292" s="1" t="s">
        <v>989</v>
      </c>
      <c r="C292" s="1" t="s">
        <v>101</v>
      </c>
      <c r="D292" s="1" t="s">
        <v>101</v>
      </c>
      <c r="E292" s="81">
        <v>0</v>
      </c>
      <c r="F292" s="81">
        <v>0</v>
      </c>
    </row>
    <row r="293" spans="1:6" x14ac:dyDescent="0.2">
      <c r="A293" s="1" t="s">
        <v>179</v>
      </c>
      <c r="B293" s="1" t="s">
        <v>990</v>
      </c>
      <c r="C293" s="1" t="s">
        <v>101</v>
      </c>
      <c r="D293" s="1" t="s">
        <v>101</v>
      </c>
      <c r="E293" s="81">
        <v>0</v>
      </c>
      <c r="F293" s="81">
        <v>0</v>
      </c>
    </row>
    <row r="294" spans="1:6" x14ac:dyDescent="0.2">
      <c r="A294" s="1" t="s">
        <v>179</v>
      </c>
      <c r="B294" s="1" t="s">
        <v>991</v>
      </c>
      <c r="C294" s="1" t="s">
        <v>101</v>
      </c>
      <c r="D294" s="1" t="s">
        <v>101</v>
      </c>
      <c r="E294" s="81">
        <v>0</v>
      </c>
      <c r="F294" s="81">
        <v>0</v>
      </c>
    </row>
    <row r="295" spans="1:6" x14ac:dyDescent="0.2">
      <c r="A295" s="1" t="s">
        <v>179</v>
      </c>
      <c r="B295" s="1" t="s">
        <v>992</v>
      </c>
      <c r="C295" s="1" t="s">
        <v>101</v>
      </c>
      <c r="D295" s="1" t="s">
        <v>101</v>
      </c>
      <c r="E295" s="81">
        <v>0</v>
      </c>
      <c r="F295" s="81">
        <v>0</v>
      </c>
    </row>
    <row r="296" spans="1:6" x14ac:dyDescent="0.2">
      <c r="A296" s="1" t="s">
        <v>179</v>
      </c>
      <c r="B296" s="1" t="s">
        <v>993</v>
      </c>
      <c r="C296" s="1" t="s">
        <v>101</v>
      </c>
      <c r="D296" s="1" t="s">
        <v>101</v>
      </c>
      <c r="E296" s="81">
        <v>0</v>
      </c>
      <c r="F296" s="81">
        <v>0</v>
      </c>
    </row>
    <row r="297" spans="1:6" x14ac:dyDescent="0.2">
      <c r="A297" s="1" t="s">
        <v>179</v>
      </c>
      <c r="B297" s="1" t="s">
        <v>994</v>
      </c>
      <c r="C297" s="1" t="s">
        <v>101</v>
      </c>
      <c r="D297" s="1" t="s">
        <v>101</v>
      </c>
      <c r="E297" s="81">
        <v>0</v>
      </c>
      <c r="F297" s="81">
        <v>0</v>
      </c>
    </row>
    <row r="298" spans="1:6" x14ac:dyDescent="0.2">
      <c r="A298" s="1" t="s">
        <v>179</v>
      </c>
      <c r="B298" s="1" t="s">
        <v>995</v>
      </c>
      <c r="C298" s="1" t="s">
        <v>101</v>
      </c>
      <c r="D298" s="1" t="s">
        <v>101</v>
      </c>
      <c r="E298" s="81">
        <v>0</v>
      </c>
      <c r="F298" s="81">
        <v>0</v>
      </c>
    </row>
    <row r="299" spans="1:6" x14ac:dyDescent="0.2">
      <c r="A299" s="1" t="s">
        <v>179</v>
      </c>
      <c r="B299" s="1" t="s">
        <v>996</v>
      </c>
      <c r="C299" s="1" t="s">
        <v>101</v>
      </c>
      <c r="D299" s="1" t="s">
        <v>101</v>
      </c>
      <c r="E299" s="81">
        <v>0</v>
      </c>
      <c r="F299" s="81">
        <v>0</v>
      </c>
    </row>
    <row r="300" spans="1:6" x14ac:dyDescent="0.2">
      <c r="A300" s="1" t="s">
        <v>179</v>
      </c>
      <c r="B300" s="1" t="s">
        <v>997</v>
      </c>
      <c r="C300" s="1" t="s">
        <v>101</v>
      </c>
      <c r="D300" s="1" t="s">
        <v>101</v>
      </c>
      <c r="E300" s="81">
        <v>0</v>
      </c>
      <c r="F300" s="81">
        <v>0</v>
      </c>
    </row>
    <row r="301" spans="1:6" x14ac:dyDescent="0.2">
      <c r="A301" s="1" t="s">
        <v>179</v>
      </c>
      <c r="B301" s="1" t="s">
        <v>998</v>
      </c>
      <c r="C301" s="1" t="s">
        <v>101</v>
      </c>
      <c r="D301" s="1" t="s">
        <v>101</v>
      </c>
      <c r="E301" s="81">
        <v>0</v>
      </c>
      <c r="F301" s="81">
        <v>0</v>
      </c>
    </row>
    <row r="302" spans="1:6" x14ac:dyDescent="0.2">
      <c r="A302" s="1" t="s">
        <v>179</v>
      </c>
      <c r="B302" s="1" t="s">
        <v>999</v>
      </c>
      <c r="C302" s="1" t="s">
        <v>101</v>
      </c>
      <c r="D302" s="1" t="s">
        <v>101</v>
      </c>
      <c r="E302" s="81">
        <v>0</v>
      </c>
      <c r="F302" s="81">
        <v>0</v>
      </c>
    </row>
    <row r="303" spans="1:6" x14ac:dyDescent="0.2">
      <c r="A303" s="1" t="s">
        <v>179</v>
      </c>
      <c r="B303" s="1" t="s">
        <v>1000</v>
      </c>
      <c r="C303" s="1" t="s">
        <v>101</v>
      </c>
      <c r="D303" s="1" t="s">
        <v>101</v>
      </c>
      <c r="E303" s="81">
        <v>0</v>
      </c>
      <c r="F303" s="81">
        <v>0</v>
      </c>
    </row>
    <row r="304" spans="1:6" x14ac:dyDescent="0.2">
      <c r="A304" s="1" t="s">
        <v>179</v>
      </c>
      <c r="B304" s="1" t="s">
        <v>1001</v>
      </c>
      <c r="C304" s="1" t="s">
        <v>3867</v>
      </c>
      <c r="D304" s="1" t="s">
        <v>3867</v>
      </c>
      <c r="E304" s="81">
        <v>2542769.9500000002</v>
      </c>
      <c r="F304" s="81">
        <v>2542769.9500000002</v>
      </c>
    </row>
    <row r="305" spans="1:6" x14ac:dyDescent="0.2">
      <c r="A305" s="1" t="s">
        <v>179</v>
      </c>
      <c r="B305" s="1" t="s">
        <v>1002</v>
      </c>
      <c r="C305" s="1" t="s">
        <v>3868</v>
      </c>
      <c r="D305" s="1" t="s">
        <v>3868</v>
      </c>
      <c r="E305" s="81">
        <v>36448.15</v>
      </c>
      <c r="F305" s="81">
        <v>36448.15</v>
      </c>
    </row>
    <row r="306" spans="1:6" x14ac:dyDescent="0.2">
      <c r="A306" s="1" t="s">
        <v>179</v>
      </c>
      <c r="B306" s="1" t="s">
        <v>1003</v>
      </c>
      <c r="C306" s="1" t="s">
        <v>101</v>
      </c>
      <c r="D306" s="1" t="s">
        <v>101</v>
      </c>
      <c r="E306" s="81">
        <v>0</v>
      </c>
      <c r="F306" s="81">
        <v>0</v>
      </c>
    </row>
    <row r="307" spans="1:6" x14ac:dyDescent="0.2">
      <c r="A307" s="1" t="s">
        <v>179</v>
      </c>
      <c r="B307" s="1" t="s">
        <v>1004</v>
      </c>
      <c r="C307" s="1" t="s">
        <v>3869</v>
      </c>
      <c r="D307" s="1" t="s">
        <v>3869</v>
      </c>
      <c r="E307" s="81">
        <v>2579218.1</v>
      </c>
      <c r="F307" s="81">
        <v>2579218.1</v>
      </c>
    </row>
    <row r="308" spans="1:6" x14ac:dyDescent="0.2">
      <c r="A308" s="1" t="s">
        <v>179</v>
      </c>
      <c r="B308" s="1" t="s">
        <v>1005</v>
      </c>
      <c r="C308" s="1" t="s">
        <v>3870</v>
      </c>
      <c r="D308" s="1" t="s">
        <v>3870</v>
      </c>
      <c r="E308" s="81">
        <v>835443.7</v>
      </c>
      <c r="F308" s="81">
        <v>835443.7</v>
      </c>
    </row>
    <row r="309" spans="1:6" x14ac:dyDescent="0.2">
      <c r="A309" s="1" t="s">
        <v>179</v>
      </c>
      <c r="B309" s="1" t="s">
        <v>1006</v>
      </c>
      <c r="C309" s="1" t="s">
        <v>3871</v>
      </c>
      <c r="D309" s="1" t="s">
        <v>3871</v>
      </c>
      <c r="E309" s="81">
        <v>773551.04</v>
      </c>
      <c r="F309" s="81">
        <v>773551.04</v>
      </c>
    </row>
    <row r="310" spans="1:6" x14ac:dyDescent="0.2">
      <c r="A310" s="1" t="s">
        <v>179</v>
      </c>
      <c r="B310" s="1" t="s">
        <v>1007</v>
      </c>
      <c r="C310" s="1" t="s">
        <v>3872</v>
      </c>
      <c r="D310" s="1" t="s">
        <v>3872</v>
      </c>
      <c r="E310" s="81">
        <v>933775.21</v>
      </c>
      <c r="F310" s="81">
        <v>933775.21</v>
      </c>
    </row>
    <row r="311" spans="1:6" x14ac:dyDescent="0.2">
      <c r="A311" s="1" t="s">
        <v>179</v>
      </c>
      <c r="B311" s="1" t="s">
        <v>1008</v>
      </c>
      <c r="C311" s="1" t="s">
        <v>101</v>
      </c>
      <c r="D311" s="1" t="s">
        <v>101</v>
      </c>
      <c r="E311" s="81">
        <v>0</v>
      </c>
      <c r="F311" s="81">
        <v>0</v>
      </c>
    </row>
    <row r="312" spans="1:6" x14ac:dyDescent="0.2">
      <c r="A312" s="1" t="s">
        <v>179</v>
      </c>
      <c r="B312" s="1" t="s">
        <v>1009</v>
      </c>
      <c r="C312" s="1" t="s">
        <v>101</v>
      </c>
      <c r="D312" s="1" t="s">
        <v>101</v>
      </c>
      <c r="E312" s="81">
        <v>0</v>
      </c>
      <c r="F312" s="81">
        <v>0</v>
      </c>
    </row>
    <row r="313" spans="1:6" x14ac:dyDescent="0.2">
      <c r="A313" s="1" t="s">
        <v>179</v>
      </c>
      <c r="B313" s="1" t="s">
        <v>1010</v>
      </c>
      <c r="C313" s="1" t="s">
        <v>101</v>
      </c>
      <c r="D313" s="1" t="s">
        <v>101</v>
      </c>
      <c r="E313" s="81">
        <v>0</v>
      </c>
      <c r="F313" s="81">
        <v>0</v>
      </c>
    </row>
    <row r="314" spans="1:6" x14ac:dyDescent="0.2">
      <c r="A314" s="1" t="s">
        <v>179</v>
      </c>
      <c r="B314" s="1" t="s">
        <v>1011</v>
      </c>
      <c r="C314" s="1" t="s">
        <v>101</v>
      </c>
      <c r="D314" s="1" t="s">
        <v>101</v>
      </c>
      <c r="E314" s="81">
        <v>0</v>
      </c>
      <c r="F314" s="81">
        <v>0</v>
      </c>
    </row>
    <row r="315" spans="1:6" x14ac:dyDescent="0.2">
      <c r="A315" s="1" t="s">
        <v>179</v>
      </c>
      <c r="B315" s="1" t="s">
        <v>1012</v>
      </c>
      <c r="C315" s="1" t="s">
        <v>101</v>
      </c>
      <c r="D315" s="1" t="s">
        <v>101</v>
      </c>
      <c r="E315" s="81">
        <v>0</v>
      </c>
      <c r="F315" s="81">
        <v>0</v>
      </c>
    </row>
    <row r="316" spans="1:6" x14ac:dyDescent="0.2">
      <c r="A316" s="1" t="s">
        <v>179</v>
      </c>
      <c r="B316" s="1" t="s">
        <v>1013</v>
      </c>
      <c r="C316" s="1" t="s">
        <v>101</v>
      </c>
      <c r="D316" s="1" t="s">
        <v>101</v>
      </c>
      <c r="E316" s="81">
        <v>0</v>
      </c>
      <c r="F316" s="81">
        <v>0</v>
      </c>
    </row>
    <row r="317" spans="1:6" x14ac:dyDescent="0.2">
      <c r="A317" s="1" t="s">
        <v>179</v>
      </c>
      <c r="B317" s="1" t="s">
        <v>1014</v>
      </c>
      <c r="C317" s="1" t="s">
        <v>101</v>
      </c>
      <c r="D317" s="1" t="s">
        <v>101</v>
      </c>
      <c r="E317" s="81">
        <v>0</v>
      </c>
      <c r="F317" s="81">
        <v>0</v>
      </c>
    </row>
    <row r="318" spans="1:6" x14ac:dyDescent="0.2">
      <c r="A318" s="1" t="s">
        <v>179</v>
      </c>
      <c r="B318" s="1" t="s">
        <v>1015</v>
      </c>
      <c r="C318" s="1" t="s">
        <v>101</v>
      </c>
      <c r="D318" s="1" t="s">
        <v>101</v>
      </c>
      <c r="E318" s="81">
        <v>0</v>
      </c>
      <c r="F318" s="81">
        <v>0</v>
      </c>
    </row>
    <row r="319" spans="1:6" x14ac:dyDescent="0.2">
      <c r="A319" s="1" t="s">
        <v>179</v>
      </c>
      <c r="B319" s="1" t="s">
        <v>1016</v>
      </c>
      <c r="C319" s="1" t="s">
        <v>101</v>
      </c>
      <c r="D319" s="1" t="s">
        <v>101</v>
      </c>
      <c r="E319" s="81">
        <v>0</v>
      </c>
      <c r="F319" s="81">
        <v>0</v>
      </c>
    </row>
    <row r="320" spans="1:6" x14ac:dyDescent="0.2">
      <c r="A320" s="1" t="s">
        <v>179</v>
      </c>
      <c r="B320" s="1" t="s">
        <v>1017</v>
      </c>
      <c r="C320" s="1" t="s">
        <v>3873</v>
      </c>
      <c r="D320" s="1" t="s">
        <v>3873</v>
      </c>
      <c r="E320" s="81">
        <v>7726.81</v>
      </c>
      <c r="F320" s="81">
        <v>7726.81</v>
      </c>
    </row>
    <row r="321" spans="1:6" x14ac:dyDescent="0.2">
      <c r="A321" s="1" t="s">
        <v>179</v>
      </c>
      <c r="B321" s="1" t="s">
        <v>1018</v>
      </c>
      <c r="C321" s="1" t="s">
        <v>3874</v>
      </c>
      <c r="D321" s="1" t="s">
        <v>3874</v>
      </c>
      <c r="E321" s="81">
        <v>13125.11</v>
      </c>
      <c r="F321" s="81">
        <v>13125.11</v>
      </c>
    </row>
    <row r="322" spans="1:6" x14ac:dyDescent="0.2">
      <c r="A322" s="1" t="s">
        <v>179</v>
      </c>
      <c r="B322" s="1" t="s">
        <v>1019</v>
      </c>
      <c r="C322" s="1" t="s">
        <v>3875</v>
      </c>
      <c r="D322" s="1" t="s">
        <v>3875</v>
      </c>
      <c r="E322" s="81">
        <v>15596.23</v>
      </c>
      <c r="F322" s="81">
        <v>15596.23</v>
      </c>
    </row>
    <row r="323" spans="1:6" x14ac:dyDescent="0.2">
      <c r="A323" s="1" t="s">
        <v>179</v>
      </c>
      <c r="B323" s="1" t="s">
        <v>1020</v>
      </c>
      <c r="C323" s="1" t="s">
        <v>101</v>
      </c>
      <c r="D323" s="1" t="s">
        <v>101</v>
      </c>
      <c r="E323" s="81">
        <v>0</v>
      </c>
      <c r="F323" s="81">
        <v>0</v>
      </c>
    </row>
    <row r="324" spans="1:6" x14ac:dyDescent="0.2">
      <c r="A324" s="1" t="s">
        <v>179</v>
      </c>
      <c r="B324" s="1" t="s">
        <v>1021</v>
      </c>
      <c r="C324" s="1" t="s">
        <v>101</v>
      </c>
      <c r="D324" s="1" t="s">
        <v>101</v>
      </c>
      <c r="E324" s="81">
        <v>0</v>
      </c>
      <c r="F324" s="81">
        <v>0</v>
      </c>
    </row>
    <row r="325" spans="1:6" x14ac:dyDescent="0.2">
      <c r="A325" s="1" t="s">
        <v>179</v>
      </c>
      <c r="B325" s="1" t="s">
        <v>1022</v>
      </c>
      <c r="C325" s="1" t="s">
        <v>101</v>
      </c>
      <c r="D325" s="1" t="s">
        <v>101</v>
      </c>
      <c r="E325" s="81">
        <v>0</v>
      </c>
      <c r="F325" s="81">
        <v>0</v>
      </c>
    </row>
    <row r="326" spans="1:6" x14ac:dyDescent="0.2">
      <c r="A326" s="1" t="s">
        <v>179</v>
      </c>
      <c r="B326" s="1" t="s">
        <v>1023</v>
      </c>
      <c r="C326" s="1" t="s">
        <v>101</v>
      </c>
      <c r="D326" s="1" t="s">
        <v>101</v>
      </c>
      <c r="E326" s="81">
        <v>0</v>
      </c>
      <c r="F326" s="81">
        <v>0</v>
      </c>
    </row>
    <row r="327" spans="1:6" x14ac:dyDescent="0.2">
      <c r="A327" s="1" t="s">
        <v>179</v>
      </c>
      <c r="B327" s="1" t="s">
        <v>1024</v>
      </c>
      <c r="C327" s="1" t="s">
        <v>101</v>
      </c>
      <c r="D327" s="1" t="s">
        <v>101</v>
      </c>
      <c r="E327" s="81">
        <v>0</v>
      </c>
      <c r="F327" s="81">
        <v>0</v>
      </c>
    </row>
    <row r="328" spans="1:6" x14ac:dyDescent="0.2">
      <c r="A328" s="1" t="s">
        <v>179</v>
      </c>
      <c r="B328" s="1" t="s">
        <v>1025</v>
      </c>
      <c r="C328" s="1" t="s">
        <v>101</v>
      </c>
      <c r="D328" s="1" t="s">
        <v>101</v>
      </c>
      <c r="E328" s="81">
        <v>0</v>
      </c>
      <c r="F328" s="81">
        <v>0</v>
      </c>
    </row>
    <row r="329" spans="1:6" x14ac:dyDescent="0.2">
      <c r="A329" s="1" t="s">
        <v>179</v>
      </c>
      <c r="B329" s="1" t="s">
        <v>1026</v>
      </c>
      <c r="C329" s="1" t="s">
        <v>101</v>
      </c>
      <c r="D329" s="1" t="s">
        <v>101</v>
      </c>
      <c r="E329" s="81">
        <v>0</v>
      </c>
      <c r="F329" s="81">
        <v>0</v>
      </c>
    </row>
    <row r="330" spans="1:6" x14ac:dyDescent="0.2">
      <c r="A330" s="1" t="s">
        <v>179</v>
      </c>
      <c r="B330" s="1" t="s">
        <v>1027</v>
      </c>
      <c r="C330" s="1" t="s">
        <v>101</v>
      </c>
      <c r="D330" s="1" t="s">
        <v>101</v>
      </c>
      <c r="E330" s="81">
        <v>0</v>
      </c>
      <c r="F330" s="81">
        <v>0</v>
      </c>
    </row>
    <row r="331" spans="1:6" x14ac:dyDescent="0.2">
      <c r="A331" s="1" t="s">
        <v>179</v>
      </c>
      <c r="B331" s="1" t="s">
        <v>1028</v>
      </c>
      <c r="C331" s="1" t="s">
        <v>101</v>
      </c>
      <c r="D331" s="1" t="s">
        <v>101</v>
      </c>
      <c r="E331" s="81">
        <v>0</v>
      </c>
      <c r="F331" s="81">
        <v>0</v>
      </c>
    </row>
    <row r="332" spans="1:6" x14ac:dyDescent="0.2">
      <c r="A332" s="1" t="s">
        <v>179</v>
      </c>
      <c r="B332" s="1" t="s">
        <v>1029</v>
      </c>
      <c r="C332" s="1" t="s">
        <v>101</v>
      </c>
      <c r="D332" s="1" t="s">
        <v>101</v>
      </c>
      <c r="E332" s="81">
        <v>0</v>
      </c>
      <c r="F332" s="81">
        <v>0</v>
      </c>
    </row>
    <row r="333" spans="1:6" x14ac:dyDescent="0.2">
      <c r="A333" s="1" t="s">
        <v>179</v>
      </c>
      <c r="B333" s="1" t="s">
        <v>1030</v>
      </c>
      <c r="C333" s="1" t="s">
        <v>101</v>
      </c>
      <c r="D333" s="1" t="s">
        <v>101</v>
      </c>
      <c r="E333" s="81">
        <v>0</v>
      </c>
      <c r="F333" s="81">
        <v>0</v>
      </c>
    </row>
    <row r="334" spans="1:6" x14ac:dyDescent="0.2">
      <c r="A334" s="1" t="s">
        <v>179</v>
      </c>
      <c r="B334" s="1" t="s">
        <v>1031</v>
      </c>
      <c r="C334" s="1" t="s">
        <v>101</v>
      </c>
      <c r="D334" s="1" t="s">
        <v>101</v>
      </c>
      <c r="E334" s="81">
        <v>0</v>
      </c>
      <c r="F334" s="81">
        <v>0</v>
      </c>
    </row>
    <row r="335" spans="1:6" x14ac:dyDescent="0.2">
      <c r="A335" s="1" t="s">
        <v>179</v>
      </c>
      <c r="B335" s="1" t="s">
        <v>1032</v>
      </c>
      <c r="C335" s="1" t="s">
        <v>101</v>
      </c>
      <c r="D335" s="1" t="s">
        <v>101</v>
      </c>
      <c r="E335" s="81">
        <v>0</v>
      </c>
      <c r="F335" s="81">
        <v>0</v>
      </c>
    </row>
    <row r="336" spans="1:6" x14ac:dyDescent="0.2">
      <c r="A336" s="1" t="s">
        <v>179</v>
      </c>
      <c r="B336" s="1" t="s">
        <v>1033</v>
      </c>
      <c r="C336" s="1" t="s">
        <v>101</v>
      </c>
      <c r="D336" s="1" t="s">
        <v>101</v>
      </c>
      <c r="E336" s="81">
        <v>0</v>
      </c>
      <c r="F336" s="81">
        <v>0</v>
      </c>
    </row>
    <row r="337" spans="1:6" x14ac:dyDescent="0.2">
      <c r="A337" s="1" t="s">
        <v>179</v>
      </c>
      <c r="B337" s="1" t="s">
        <v>1034</v>
      </c>
      <c r="C337" s="1" t="s">
        <v>101</v>
      </c>
      <c r="D337" s="1" t="s">
        <v>101</v>
      </c>
      <c r="E337" s="81">
        <v>0</v>
      </c>
      <c r="F337" s="81">
        <v>0</v>
      </c>
    </row>
    <row r="338" spans="1:6" x14ac:dyDescent="0.2">
      <c r="A338" s="1" t="s">
        <v>179</v>
      </c>
      <c r="B338" s="1" t="s">
        <v>1035</v>
      </c>
      <c r="C338" s="1" t="s">
        <v>101</v>
      </c>
      <c r="D338" s="1" t="s">
        <v>101</v>
      </c>
      <c r="E338" s="81">
        <v>0</v>
      </c>
      <c r="F338" s="81">
        <v>0</v>
      </c>
    </row>
    <row r="339" spans="1:6" x14ac:dyDescent="0.2">
      <c r="A339" s="1" t="s">
        <v>179</v>
      </c>
      <c r="B339" s="1" t="s">
        <v>1036</v>
      </c>
      <c r="C339" s="1" t="s">
        <v>101</v>
      </c>
      <c r="D339" s="1" t="s">
        <v>101</v>
      </c>
      <c r="E339" s="81">
        <v>0</v>
      </c>
      <c r="F339" s="81">
        <v>0</v>
      </c>
    </row>
    <row r="340" spans="1:6" x14ac:dyDescent="0.2">
      <c r="A340" s="1" t="s">
        <v>179</v>
      </c>
      <c r="B340" s="1" t="s">
        <v>1037</v>
      </c>
      <c r="C340" s="1" t="s">
        <v>101</v>
      </c>
      <c r="D340" s="1" t="s">
        <v>101</v>
      </c>
      <c r="E340" s="81">
        <v>0</v>
      </c>
      <c r="F340" s="81">
        <v>0</v>
      </c>
    </row>
    <row r="341" spans="1:6" x14ac:dyDescent="0.2">
      <c r="A341" s="1" t="s">
        <v>179</v>
      </c>
      <c r="B341" s="1" t="s">
        <v>1038</v>
      </c>
      <c r="C341" s="1" t="s">
        <v>101</v>
      </c>
      <c r="D341" s="1" t="s">
        <v>101</v>
      </c>
      <c r="E341" s="81">
        <v>0</v>
      </c>
      <c r="F341" s="81">
        <v>0</v>
      </c>
    </row>
    <row r="342" spans="1:6" x14ac:dyDescent="0.2">
      <c r="A342" s="1" t="s">
        <v>179</v>
      </c>
      <c r="B342" s="1" t="s">
        <v>1039</v>
      </c>
      <c r="C342" s="1" t="s">
        <v>101</v>
      </c>
      <c r="D342" s="1" t="s">
        <v>101</v>
      </c>
      <c r="E342" s="81">
        <v>0</v>
      </c>
      <c r="F342" s="81">
        <v>0</v>
      </c>
    </row>
    <row r="343" spans="1:6" x14ac:dyDescent="0.2">
      <c r="A343" s="1" t="s">
        <v>179</v>
      </c>
      <c r="B343" s="1" t="s">
        <v>1040</v>
      </c>
      <c r="C343" s="1" t="s">
        <v>101</v>
      </c>
      <c r="D343" s="1" t="s">
        <v>101</v>
      </c>
      <c r="E343" s="81">
        <v>0</v>
      </c>
      <c r="F343" s="81">
        <v>0</v>
      </c>
    </row>
    <row r="344" spans="1:6" x14ac:dyDescent="0.2">
      <c r="A344" s="1" t="s">
        <v>179</v>
      </c>
      <c r="B344" s="1" t="s">
        <v>1041</v>
      </c>
      <c r="C344" s="1" t="s">
        <v>3867</v>
      </c>
      <c r="D344" s="1" t="s">
        <v>3867</v>
      </c>
      <c r="E344" s="81">
        <v>2542769.9500000002</v>
      </c>
      <c r="F344" s="81">
        <v>2542769.9500000002</v>
      </c>
    </row>
    <row r="345" spans="1:6" x14ac:dyDescent="0.2">
      <c r="A345" s="1" t="s">
        <v>179</v>
      </c>
      <c r="B345" s="1" t="s">
        <v>1042</v>
      </c>
      <c r="C345" s="1" t="s">
        <v>3868</v>
      </c>
      <c r="D345" s="1" t="s">
        <v>3868</v>
      </c>
      <c r="E345" s="81">
        <v>36448.15</v>
      </c>
      <c r="F345" s="81">
        <v>36448.15</v>
      </c>
    </row>
    <row r="346" spans="1:6" x14ac:dyDescent="0.2">
      <c r="A346" s="1" t="s">
        <v>179</v>
      </c>
      <c r="B346" s="1" t="s">
        <v>1043</v>
      </c>
      <c r="C346" s="1" t="s">
        <v>101</v>
      </c>
      <c r="D346" s="1" t="s">
        <v>101</v>
      </c>
      <c r="E346" s="81">
        <v>0</v>
      </c>
      <c r="F346" s="81">
        <v>0</v>
      </c>
    </row>
    <row r="347" spans="1:6" x14ac:dyDescent="0.2">
      <c r="A347" s="1" t="s">
        <v>179</v>
      </c>
      <c r="B347" s="1" t="s">
        <v>1044</v>
      </c>
      <c r="C347" s="1" t="s">
        <v>3869</v>
      </c>
      <c r="D347" s="1" t="s">
        <v>3869</v>
      </c>
      <c r="E347" s="81">
        <v>2579218.1</v>
      </c>
      <c r="F347" s="81">
        <v>2579218.1</v>
      </c>
    </row>
    <row r="348" spans="1:6" x14ac:dyDescent="0.2">
      <c r="A348" s="1" t="s">
        <v>179</v>
      </c>
      <c r="B348" s="1" t="s">
        <v>1045</v>
      </c>
      <c r="C348" s="1" t="s">
        <v>3876</v>
      </c>
      <c r="D348" s="1" t="s">
        <v>3876</v>
      </c>
      <c r="E348" s="81">
        <v>24863.19</v>
      </c>
      <c r="F348" s="81">
        <v>24863.19</v>
      </c>
    </row>
    <row r="349" spans="1:6" x14ac:dyDescent="0.2">
      <c r="A349" s="1" t="s">
        <v>179</v>
      </c>
      <c r="B349" s="1" t="s">
        <v>1046</v>
      </c>
      <c r="C349" s="1" t="s">
        <v>3877</v>
      </c>
      <c r="D349" s="1" t="s">
        <v>3877</v>
      </c>
      <c r="E349" s="81">
        <v>20687.650000000001</v>
      </c>
      <c r="F349" s="81">
        <v>20687.650000000001</v>
      </c>
    </row>
    <row r="350" spans="1:6" x14ac:dyDescent="0.2">
      <c r="A350" s="1" t="s">
        <v>179</v>
      </c>
      <c r="B350" s="1" t="s">
        <v>1047</v>
      </c>
      <c r="C350" s="1" t="s">
        <v>3878</v>
      </c>
      <c r="D350" s="1" t="s">
        <v>3878</v>
      </c>
      <c r="E350" s="81">
        <v>48823.68</v>
      </c>
      <c r="F350" s="81">
        <v>48823.68</v>
      </c>
    </row>
    <row r="351" spans="1:6" x14ac:dyDescent="0.2">
      <c r="A351" s="1" t="s">
        <v>179</v>
      </c>
      <c r="B351" s="1" t="s">
        <v>1048</v>
      </c>
      <c r="C351" s="1" t="s">
        <v>101</v>
      </c>
      <c r="D351" s="1" t="s">
        <v>101</v>
      </c>
      <c r="E351" s="81">
        <v>0</v>
      </c>
      <c r="F351" s="81">
        <v>0</v>
      </c>
    </row>
    <row r="352" spans="1:6" x14ac:dyDescent="0.2">
      <c r="A352" s="1" t="s">
        <v>179</v>
      </c>
      <c r="B352" s="1" t="s">
        <v>1049</v>
      </c>
      <c r="C352" s="1" t="s">
        <v>101</v>
      </c>
      <c r="D352" s="1" t="s">
        <v>101</v>
      </c>
      <c r="E352" s="81">
        <v>0</v>
      </c>
      <c r="F352" s="81">
        <v>0</v>
      </c>
    </row>
    <row r="353" spans="1:6" x14ac:dyDescent="0.2">
      <c r="A353" s="1" t="s">
        <v>179</v>
      </c>
      <c r="B353" s="1" t="s">
        <v>1050</v>
      </c>
      <c r="C353" s="1" t="s">
        <v>101</v>
      </c>
      <c r="D353" s="1" t="s">
        <v>101</v>
      </c>
      <c r="E353" s="81">
        <v>0</v>
      </c>
      <c r="F353" s="81">
        <v>0</v>
      </c>
    </row>
    <row r="354" spans="1:6" x14ac:dyDescent="0.2">
      <c r="A354" s="1" t="s">
        <v>179</v>
      </c>
      <c r="B354" s="1" t="s">
        <v>1051</v>
      </c>
      <c r="C354" s="1" t="s">
        <v>101</v>
      </c>
      <c r="D354" s="1" t="s">
        <v>101</v>
      </c>
      <c r="E354" s="81">
        <v>0</v>
      </c>
      <c r="F354" s="81">
        <v>0</v>
      </c>
    </row>
    <row r="355" spans="1:6" x14ac:dyDescent="0.2">
      <c r="A355" s="1" t="s">
        <v>179</v>
      </c>
      <c r="B355" s="1" t="s">
        <v>1052</v>
      </c>
      <c r="C355" s="1" t="s">
        <v>101</v>
      </c>
      <c r="D355" s="1" t="s">
        <v>101</v>
      </c>
      <c r="E355" s="81">
        <v>0</v>
      </c>
      <c r="F355" s="81">
        <v>0</v>
      </c>
    </row>
    <row r="356" spans="1:6" x14ac:dyDescent="0.2">
      <c r="A356" s="1" t="s">
        <v>179</v>
      </c>
      <c r="B356" s="1" t="s">
        <v>1053</v>
      </c>
      <c r="C356" s="1" t="s">
        <v>101</v>
      </c>
      <c r="D356" s="1" t="s">
        <v>101</v>
      </c>
      <c r="E356" s="81">
        <v>0</v>
      </c>
      <c r="F356" s="81">
        <v>0</v>
      </c>
    </row>
    <row r="357" spans="1:6" x14ac:dyDescent="0.2">
      <c r="A357" s="1" t="s">
        <v>179</v>
      </c>
      <c r="B357" s="1" t="s">
        <v>1054</v>
      </c>
      <c r="C357" s="1" t="s">
        <v>101</v>
      </c>
      <c r="D357" s="1" t="s">
        <v>101</v>
      </c>
      <c r="E357" s="81">
        <v>0</v>
      </c>
      <c r="F357" s="81">
        <v>0</v>
      </c>
    </row>
    <row r="358" spans="1:6" x14ac:dyDescent="0.2">
      <c r="A358" s="1" t="s">
        <v>179</v>
      </c>
      <c r="B358" s="1" t="s">
        <v>1055</v>
      </c>
      <c r="C358" s="1" t="s">
        <v>101</v>
      </c>
      <c r="D358" s="1" t="s">
        <v>101</v>
      </c>
      <c r="E358" s="81">
        <v>0</v>
      </c>
      <c r="F358" s="81">
        <v>0</v>
      </c>
    </row>
    <row r="359" spans="1:6" x14ac:dyDescent="0.2">
      <c r="A359" s="1" t="s">
        <v>179</v>
      </c>
      <c r="B359" s="1" t="s">
        <v>1056</v>
      </c>
      <c r="C359" s="1" t="s">
        <v>101</v>
      </c>
      <c r="D359" s="1" t="s">
        <v>101</v>
      </c>
      <c r="E359" s="81">
        <v>0</v>
      </c>
      <c r="F359" s="81">
        <v>0</v>
      </c>
    </row>
    <row r="360" spans="1:6" x14ac:dyDescent="0.2">
      <c r="A360" s="1" t="s">
        <v>179</v>
      </c>
      <c r="B360" s="1" t="s">
        <v>1057</v>
      </c>
      <c r="C360" s="1" t="s">
        <v>3879</v>
      </c>
      <c r="D360" s="1" t="s">
        <v>3879</v>
      </c>
      <c r="E360" s="81">
        <v>94374.52</v>
      </c>
      <c r="F360" s="81">
        <v>94374.52</v>
      </c>
    </row>
    <row r="361" spans="1:6" x14ac:dyDescent="0.2">
      <c r="A361" s="1" t="s">
        <v>179</v>
      </c>
      <c r="B361" s="1" t="s">
        <v>1058</v>
      </c>
      <c r="C361" s="1" t="s">
        <v>3880</v>
      </c>
      <c r="D361" s="1" t="s">
        <v>3880</v>
      </c>
      <c r="E361" s="81">
        <v>24473.21</v>
      </c>
      <c r="F361" s="81">
        <v>24473.21</v>
      </c>
    </row>
    <row r="362" spans="1:6" x14ac:dyDescent="0.2">
      <c r="A362" s="1" t="s">
        <v>179</v>
      </c>
      <c r="B362" s="1" t="s">
        <v>1059</v>
      </c>
      <c r="C362" s="1" t="s">
        <v>3881</v>
      </c>
      <c r="D362" s="1" t="s">
        <v>3881</v>
      </c>
      <c r="E362" s="81">
        <v>20584.87</v>
      </c>
      <c r="F362" s="81">
        <v>20584.87</v>
      </c>
    </row>
    <row r="363" spans="1:6" x14ac:dyDescent="0.2">
      <c r="A363" s="1" t="s">
        <v>179</v>
      </c>
      <c r="B363" s="1" t="s">
        <v>1060</v>
      </c>
      <c r="C363" s="1" t="s">
        <v>3882</v>
      </c>
      <c r="D363" s="1" t="s">
        <v>3882</v>
      </c>
      <c r="E363" s="81">
        <v>48640.31</v>
      </c>
      <c r="F363" s="81">
        <v>48640.31</v>
      </c>
    </row>
    <row r="364" spans="1:6" x14ac:dyDescent="0.2">
      <c r="A364" s="1" t="s">
        <v>179</v>
      </c>
      <c r="B364" s="1" t="s">
        <v>1061</v>
      </c>
      <c r="C364" s="1" t="s">
        <v>101</v>
      </c>
      <c r="D364" s="1" t="s">
        <v>101</v>
      </c>
      <c r="E364" s="81">
        <v>0</v>
      </c>
      <c r="F364" s="81">
        <v>0</v>
      </c>
    </row>
    <row r="365" spans="1:6" x14ac:dyDescent="0.2">
      <c r="A365" s="1" t="s">
        <v>179</v>
      </c>
      <c r="B365" s="1" t="s">
        <v>1062</v>
      </c>
      <c r="C365" s="1" t="s">
        <v>101</v>
      </c>
      <c r="D365" s="1" t="s">
        <v>101</v>
      </c>
      <c r="E365" s="81">
        <v>0</v>
      </c>
      <c r="F365" s="81">
        <v>0</v>
      </c>
    </row>
    <row r="366" spans="1:6" x14ac:dyDescent="0.2">
      <c r="A366" s="1" t="s">
        <v>179</v>
      </c>
      <c r="B366" s="1" t="s">
        <v>1063</v>
      </c>
      <c r="C366" s="1" t="s">
        <v>101</v>
      </c>
      <c r="D366" s="1" t="s">
        <v>101</v>
      </c>
      <c r="E366" s="81">
        <v>0</v>
      </c>
      <c r="F366" s="81">
        <v>0</v>
      </c>
    </row>
    <row r="367" spans="1:6" x14ac:dyDescent="0.2">
      <c r="A367" s="1" t="s">
        <v>179</v>
      </c>
      <c r="B367" s="1" t="s">
        <v>1064</v>
      </c>
      <c r="C367" s="1" t="s">
        <v>101</v>
      </c>
      <c r="D367" s="1" t="s">
        <v>101</v>
      </c>
      <c r="E367" s="81">
        <v>0</v>
      </c>
      <c r="F367" s="81">
        <v>0</v>
      </c>
    </row>
    <row r="368" spans="1:6" x14ac:dyDescent="0.2">
      <c r="A368" s="1" t="s">
        <v>179</v>
      </c>
      <c r="B368" s="1" t="s">
        <v>1065</v>
      </c>
      <c r="C368" s="1" t="s">
        <v>101</v>
      </c>
      <c r="D368" s="1" t="s">
        <v>101</v>
      </c>
      <c r="E368" s="81">
        <v>0</v>
      </c>
      <c r="F368" s="81">
        <v>0</v>
      </c>
    </row>
    <row r="369" spans="1:6" x14ac:dyDescent="0.2">
      <c r="A369" s="1" t="s">
        <v>179</v>
      </c>
      <c r="B369" s="1" t="s">
        <v>1066</v>
      </c>
      <c r="C369" s="1" t="s">
        <v>101</v>
      </c>
      <c r="D369" s="1" t="s">
        <v>101</v>
      </c>
      <c r="E369" s="81">
        <v>0</v>
      </c>
      <c r="F369" s="81">
        <v>0</v>
      </c>
    </row>
    <row r="370" spans="1:6" x14ac:dyDescent="0.2">
      <c r="A370" s="1" t="s">
        <v>179</v>
      </c>
      <c r="B370" s="1" t="s">
        <v>1067</v>
      </c>
      <c r="C370" s="1" t="s">
        <v>101</v>
      </c>
      <c r="D370" s="1" t="s">
        <v>101</v>
      </c>
      <c r="E370" s="81">
        <v>0</v>
      </c>
      <c r="F370" s="81">
        <v>0</v>
      </c>
    </row>
    <row r="371" spans="1:6" x14ac:dyDescent="0.2">
      <c r="A371" s="1" t="s">
        <v>179</v>
      </c>
      <c r="B371" s="1" t="s">
        <v>1068</v>
      </c>
      <c r="C371" s="1" t="s">
        <v>101</v>
      </c>
      <c r="D371" s="1" t="s">
        <v>101</v>
      </c>
      <c r="E371" s="81">
        <v>0</v>
      </c>
      <c r="F371" s="81">
        <v>0</v>
      </c>
    </row>
    <row r="372" spans="1:6" x14ac:dyDescent="0.2">
      <c r="A372" s="1" t="s">
        <v>179</v>
      </c>
      <c r="B372" s="1" t="s">
        <v>1069</v>
      </c>
      <c r="C372" s="1" t="s">
        <v>101</v>
      </c>
      <c r="D372" s="1" t="s">
        <v>101</v>
      </c>
      <c r="E372" s="81">
        <v>0</v>
      </c>
      <c r="F372" s="81">
        <v>0</v>
      </c>
    </row>
    <row r="373" spans="1:6" x14ac:dyDescent="0.2">
      <c r="A373" s="1" t="s">
        <v>179</v>
      </c>
      <c r="B373" s="1" t="s">
        <v>1070</v>
      </c>
      <c r="C373" s="1" t="s">
        <v>3883</v>
      </c>
      <c r="D373" s="1" t="s">
        <v>3883</v>
      </c>
      <c r="E373" s="81">
        <v>428.05</v>
      </c>
      <c r="F373" s="81">
        <v>428.05</v>
      </c>
    </row>
    <row r="374" spans="1:6" x14ac:dyDescent="0.2">
      <c r="A374" s="1" t="s">
        <v>179</v>
      </c>
      <c r="B374" s="1" t="s">
        <v>1071</v>
      </c>
      <c r="C374" s="1" t="s">
        <v>3884</v>
      </c>
      <c r="D374" s="1" t="s">
        <v>3884</v>
      </c>
      <c r="E374" s="81">
        <v>138.34</v>
      </c>
      <c r="F374" s="81">
        <v>138.34</v>
      </c>
    </row>
    <row r="375" spans="1:6" x14ac:dyDescent="0.2">
      <c r="A375" s="1" t="s">
        <v>179</v>
      </c>
      <c r="B375" s="1" t="s">
        <v>1072</v>
      </c>
      <c r="C375" s="1" t="s">
        <v>3885</v>
      </c>
      <c r="D375" s="1" t="s">
        <v>3885</v>
      </c>
      <c r="E375" s="81">
        <v>260.88</v>
      </c>
      <c r="F375" s="81">
        <v>260.88</v>
      </c>
    </row>
    <row r="376" spans="1:6" x14ac:dyDescent="0.2">
      <c r="A376" s="1" t="s">
        <v>179</v>
      </c>
      <c r="B376" s="1" t="s">
        <v>1073</v>
      </c>
      <c r="C376" s="1" t="s">
        <v>101</v>
      </c>
      <c r="D376" s="1" t="s">
        <v>101</v>
      </c>
      <c r="E376" s="81">
        <v>0</v>
      </c>
      <c r="F376" s="81">
        <v>0</v>
      </c>
    </row>
    <row r="377" spans="1:6" x14ac:dyDescent="0.2">
      <c r="A377" s="1" t="s">
        <v>179</v>
      </c>
      <c r="B377" s="1" t="s">
        <v>1074</v>
      </c>
      <c r="C377" s="1" t="s">
        <v>101</v>
      </c>
      <c r="D377" s="1" t="s">
        <v>101</v>
      </c>
      <c r="E377" s="81">
        <v>0</v>
      </c>
      <c r="F377" s="81">
        <v>0</v>
      </c>
    </row>
    <row r="378" spans="1:6" x14ac:dyDescent="0.2">
      <c r="A378" s="1" t="s">
        <v>179</v>
      </c>
      <c r="B378" s="1" t="s">
        <v>1075</v>
      </c>
      <c r="C378" s="1" t="s">
        <v>101</v>
      </c>
      <c r="D378" s="1" t="s">
        <v>101</v>
      </c>
      <c r="E378" s="81">
        <v>0</v>
      </c>
      <c r="F378" s="81">
        <v>0</v>
      </c>
    </row>
    <row r="379" spans="1:6" x14ac:dyDescent="0.2">
      <c r="A379" s="1" t="s">
        <v>179</v>
      </c>
      <c r="B379" s="1" t="s">
        <v>1076</v>
      </c>
      <c r="C379" s="1" t="s">
        <v>101</v>
      </c>
      <c r="D379" s="1" t="s">
        <v>101</v>
      </c>
      <c r="E379" s="81">
        <v>0</v>
      </c>
      <c r="F379" s="81">
        <v>0</v>
      </c>
    </row>
    <row r="380" spans="1:6" x14ac:dyDescent="0.2">
      <c r="A380" s="1" t="s">
        <v>179</v>
      </c>
      <c r="B380" s="1" t="s">
        <v>1077</v>
      </c>
      <c r="C380" s="1" t="s">
        <v>101</v>
      </c>
      <c r="D380" s="1" t="s">
        <v>101</v>
      </c>
      <c r="E380" s="81">
        <v>0</v>
      </c>
      <c r="F380" s="81">
        <v>0</v>
      </c>
    </row>
    <row r="381" spans="1:6" x14ac:dyDescent="0.2">
      <c r="A381" s="1" t="s">
        <v>179</v>
      </c>
      <c r="B381" s="1" t="s">
        <v>1078</v>
      </c>
      <c r="C381" s="1" t="s">
        <v>101</v>
      </c>
      <c r="D381" s="1" t="s">
        <v>101</v>
      </c>
      <c r="E381" s="81">
        <v>0</v>
      </c>
      <c r="F381" s="81">
        <v>0</v>
      </c>
    </row>
    <row r="382" spans="1:6" x14ac:dyDescent="0.2">
      <c r="A382" s="1" t="s">
        <v>179</v>
      </c>
      <c r="B382" s="1" t="s">
        <v>1079</v>
      </c>
      <c r="C382" s="1" t="s">
        <v>101</v>
      </c>
      <c r="D382" s="1" t="s">
        <v>101</v>
      </c>
      <c r="E382" s="81">
        <v>0</v>
      </c>
      <c r="F382" s="81">
        <v>0</v>
      </c>
    </row>
    <row r="383" spans="1:6" x14ac:dyDescent="0.2">
      <c r="A383" s="1" t="s">
        <v>179</v>
      </c>
      <c r="B383" s="1" t="s">
        <v>1080</v>
      </c>
      <c r="C383" s="1" t="s">
        <v>101</v>
      </c>
      <c r="D383" s="1" t="s">
        <v>101</v>
      </c>
      <c r="E383" s="81">
        <v>0</v>
      </c>
      <c r="F383" s="81">
        <v>0</v>
      </c>
    </row>
    <row r="384" spans="1:6" x14ac:dyDescent="0.2">
      <c r="A384" s="1" t="s">
        <v>179</v>
      </c>
      <c r="B384" s="1" t="s">
        <v>1081</v>
      </c>
      <c r="C384" s="1" t="s">
        <v>101</v>
      </c>
      <c r="D384" s="1" t="s">
        <v>101</v>
      </c>
      <c r="E384" s="81">
        <v>0</v>
      </c>
      <c r="F384" s="81">
        <v>0</v>
      </c>
    </row>
    <row r="385" spans="1:6" x14ac:dyDescent="0.2">
      <c r="A385" s="1" t="s">
        <v>179</v>
      </c>
      <c r="B385" s="1" t="s">
        <v>1082</v>
      </c>
      <c r="C385" s="1" t="s">
        <v>101</v>
      </c>
      <c r="D385" s="1" t="s">
        <v>101</v>
      </c>
      <c r="E385" s="81">
        <v>0</v>
      </c>
      <c r="F385" s="81">
        <v>0</v>
      </c>
    </row>
    <row r="386" spans="1:6" x14ac:dyDescent="0.2">
      <c r="A386" s="1" t="s">
        <v>179</v>
      </c>
      <c r="B386" s="1" t="s">
        <v>1083</v>
      </c>
      <c r="C386" s="1" t="s">
        <v>101</v>
      </c>
      <c r="D386" s="1" t="s">
        <v>101</v>
      </c>
      <c r="E386" s="81">
        <v>0</v>
      </c>
      <c r="F386" s="81">
        <v>0</v>
      </c>
    </row>
    <row r="387" spans="1:6" x14ac:dyDescent="0.2">
      <c r="A387" s="1" t="s">
        <v>179</v>
      </c>
      <c r="B387" s="1" t="s">
        <v>1084</v>
      </c>
      <c r="C387" s="1" t="s">
        <v>101</v>
      </c>
      <c r="D387" s="1" t="s">
        <v>101</v>
      </c>
      <c r="E387" s="81">
        <v>0</v>
      </c>
      <c r="F387" s="81">
        <v>0</v>
      </c>
    </row>
    <row r="388" spans="1:6" x14ac:dyDescent="0.2">
      <c r="A388" s="1" t="s">
        <v>179</v>
      </c>
      <c r="B388" s="1" t="s">
        <v>1085</v>
      </c>
      <c r="C388" s="1" t="s">
        <v>101</v>
      </c>
      <c r="D388" s="1" t="s">
        <v>101</v>
      </c>
      <c r="E388" s="81">
        <v>0</v>
      </c>
      <c r="F388" s="81">
        <v>0</v>
      </c>
    </row>
    <row r="389" spans="1:6" x14ac:dyDescent="0.2">
      <c r="A389" s="1" t="s">
        <v>179</v>
      </c>
      <c r="B389" s="1" t="s">
        <v>1086</v>
      </c>
      <c r="C389" s="1" t="s">
        <v>101</v>
      </c>
      <c r="D389" s="1" t="s">
        <v>101</v>
      </c>
      <c r="E389" s="81">
        <v>0</v>
      </c>
      <c r="F389" s="81">
        <v>0</v>
      </c>
    </row>
    <row r="390" spans="1:6" x14ac:dyDescent="0.2">
      <c r="A390" s="1" t="s">
        <v>179</v>
      </c>
      <c r="B390" s="1" t="s">
        <v>1087</v>
      </c>
      <c r="C390" s="1" t="s">
        <v>101</v>
      </c>
      <c r="D390" s="1" t="s">
        <v>101</v>
      </c>
      <c r="E390" s="81">
        <v>0</v>
      </c>
      <c r="F390" s="81">
        <v>0</v>
      </c>
    </row>
    <row r="391" spans="1:6" x14ac:dyDescent="0.2">
      <c r="A391" s="1" t="s">
        <v>179</v>
      </c>
      <c r="B391" s="1" t="s">
        <v>1088</v>
      </c>
      <c r="C391" s="1" t="s">
        <v>101</v>
      </c>
      <c r="D391" s="1" t="s">
        <v>101</v>
      </c>
      <c r="E391" s="81">
        <v>0</v>
      </c>
      <c r="F391" s="81">
        <v>0</v>
      </c>
    </row>
    <row r="392" spans="1:6" x14ac:dyDescent="0.2">
      <c r="A392" s="1" t="s">
        <v>179</v>
      </c>
      <c r="B392" s="1" t="s">
        <v>1089</v>
      </c>
      <c r="C392" s="1" t="s">
        <v>101</v>
      </c>
      <c r="D392" s="1" t="s">
        <v>101</v>
      </c>
      <c r="E392" s="81">
        <v>0</v>
      </c>
      <c r="F392" s="81">
        <v>0</v>
      </c>
    </row>
    <row r="393" spans="1:6" x14ac:dyDescent="0.2">
      <c r="A393" s="1" t="s">
        <v>179</v>
      </c>
      <c r="B393" s="1" t="s">
        <v>1090</v>
      </c>
      <c r="C393" s="1" t="s">
        <v>101</v>
      </c>
      <c r="D393" s="1" t="s">
        <v>101</v>
      </c>
      <c r="E393" s="81">
        <v>0</v>
      </c>
      <c r="F393" s="81">
        <v>0</v>
      </c>
    </row>
    <row r="394" spans="1:6" x14ac:dyDescent="0.2">
      <c r="A394" s="1" t="s">
        <v>179</v>
      </c>
      <c r="B394" s="1" t="s">
        <v>1091</v>
      </c>
      <c r="C394" s="1" t="s">
        <v>101</v>
      </c>
      <c r="D394" s="1" t="s">
        <v>101</v>
      </c>
      <c r="E394" s="81">
        <v>0</v>
      </c>
      <c r="F394" s="81">
        <v>0</v>
      </c>
    </row>
    <row r="395" spans="1:6" x14ac:dyDescent="0.2">
      <c r="A395" s="1" t="s">
        <v>179</v>
      </c>
      <c r="B395" s="1" t="s">
        <v>1092</v>
      </c>
      <c r="C395" s="1" t="s">
        <v>101</v>
      </c>
      <c r="D395" s="1" t="s">
        <v>101</v>
      </c>
      <c r="E395" s="81">
        <v>0</v>
      </c>
      <c r="F395" s="81">
        <v>0</v>
      </c>
    </row>
    <row r="396" spans="1:6" x14ac:dyDescent="0.2">
      <c r="A396" s="1" t="s">
        <v>179</v>
      </c>
      <c r="B396" s="1" t="s">
        <v>1093</v>
      </c>
      <c r="C396" s="1" t="s">
        <v>101</v>
      </c>
      <c r="D396" s="1" t="s">
        <v>101</v>
      </c>
      <c r="E396" s="81">
        <v>0</v>
      </c>
      <c r="F396" s="81">
        <v>0</v>
      </c>
    </row>
    <row r="397" spans="1:6" x14ac:dyDescent="0.2">
      <c r="A397" s="1" t="s">
        <v>179</v>
      </c>
      <c r="B397" s="1" t="s">
        <v>1094</v>
      </c>
      <c r="C397" s="1" t="s">
        <v>3876</v>
      </c>
      <c r="D397" s="1" t="s">
        <v>3876</v>
      </c>
      <c r="E397" s="81">
        <v>24863.19</v>
      </c>
      <c r="F397" s="81">
        <v>24863.19</v>
      </c>
    </row>
    <row r="398" spans="1:6" x14ac:dyDescent="0.2">
      <c r="A398" s="1" t="s">
        <v>179</v>
      </c>
      <c r="B398" s="1" t="s">
        <v>1095</v>
      </c>
      <c r="C398" s="1" t="s">
        <v>3877</v>
      </c>
      <c r="D398" s="1" t="s">
        <v>3877</v>
      </c>
      <c r="E398" s="81">
        <v>20687.650000000001</v>
      </c>
      <c r="F398" s="81">
        <v>20687.650000000001</v>
      </c>
    </row>
    <row r="399" spans="1:6" x14ac:dyDescent="0.2">
      <c r="A399" s="1" t="s">
        <v>179</v>
      </c>
      <c r="B399" s="1" t="s">
        <v>1096</v>
      </c>
      <c r="C399" s="1" t="s">
        <v>3878</v>
      </c>
      <c r="D399" s="1" t="s">
        <v>3878</v>
      </c>
      <c r="E399" s="81">
        <v>48823.68</v>
      </c>
      <c r="F399" s="81">
        <v>48823.68</v>
      </c>
    </row>
    <row r="400" spans="1:6" x14ac:dyDescent="0.2">
      <c r="A400" s="1" t="s">
        <v>179</v>
      </c>
      <c r="B400" s="1" t="s">
        <v>1097</v>
      </c>
      <c r="C400" s="1" t="s">
        <v>101</v>
      </c>
      <c r="D400" s="1" t="s">
        <v>101</v>
      </c>
      <c r="E400" s="81">
        <v>0</v>
      </c>
      <c r="F400" s="81">
        <v>0</v>
      </c>
    </row>
    <row r="401" spans="1:6" x14ac:dyDescent="0.2">
      <c r="A401" s="1" t="s">
        <v>179</v>
      </c>
      <c r="B401" s="1" t="s">
        <v>1098</v>
      </c>
      <c r="C401" s="1" t="s">
        <v>101</v>
      </c>
      <c r="D401" s="1" t="s">
        <v>101</v>
      </c>
      <c r="E401" s="81">
        <v>0</v>
      </c>
      <c r="F401" s="81">
        <v>0</v>
      </c>
    </row>
    <row r="402" spans="1:6" x14ac:dyDescent="0.2">
      <c r="A402" s="1" t="s">
        <v>179</v>
      </c>
      <c r="B402" s="1" t="s">
        <v>1099</v>
      </c>
      <c r="C402" s="1" t="s">
        <v>101</v>
      </c>
      <c r="D402" s="1" t="s">
        <v>101</v>
      </c>
      <c r="E402" s="81">
        <v>0</v>
      </c>
      <c r="F402" s="81">
        <v>0</v>
      </c>
    </row>
    <row r="403" spans="1:6" x14ac:dyDescent="0.2">
      <c r="A403" s="1" t="s">
        <v>179</v>
      </c>
      <c r="B403" s="1" t="s">
        <v>1100</v>
      </c>
      <c r="C403" s="1" t="s">
        <v>101</v>
      </c>
      <c r="D403" s="1" t="s">
        <v>101</v>
      </c>
      <c r="E403" s="81">
        <v>0</v>
      </c>
      <c r="F403" s="81">
        <v>0</v>
      </c>
    </row>
    <row r="404" spans="1:6" x14ac:dyDescent="0.2">
      <c r="A404" s="1" t="s">
        <v>179</v>
      </c>
      <c r="B404" s="1" t="s">
        <v>1101</v>
      </c>
      <c r="C404" s="1" t="s">
        <v>101</v>
      </c>
      <c r="D404" s="1" t="s">
        <v>101</v>
      </c>
      <c r="E404" s="81">
        <v>0</v>
      </c>
      <c r="F404" s="81">
        <v>0</v>
      </c>
    </row>
    <row r="405" spans="1:6" x14ac:dyDescent="0.2">
      <c r="A405" s="1" t="s">
        <v>179</v>
      </c>
      <c r="B405" s="1" t="s">
        <v>1102</v>
      </c>
      <c r="C405" s="1" t="s">
        <v>101</v>
      </c>
      <c r="D405" s="1" t="s">
        <v>101</v>
      </c>
      <c r="E405" s="81">
        <v>0</v>
      </c>
      <c r="F405" s="81">
        <v>0</v>
      </c>
    </row>
    <row r="406" spans="1:6" x14ac:dyDescent="0.2">
      <c r="A406" s="1" t="s">
        <v>179</v>
      </c>
      <c r="B406" s="1" t="s">
        <v>1103</v>
      </c>
      <c r="C406" s="1" t="s">
        <v>101</v>
      </c>
      <c r="D406" s="1" t="s">
        <v>101</v>
      </c>
      <c r="E406" s="81">
        <v>0</v>
      </c>
      <c r="F406" s="81">
        <v>0</v>
      </c>
    </row>
    <row r="407" spans="1:6" x14ac:dyDescent="0.2">
      <c r="A407" s="1" t="s">
        <v>179</v>
      </c>
      <c r="B407" s="1" t="s">
        <v>1104</v>
      </c>
      <c r="C407" s="1" t="s">
        <v>101</v>
      </c>
      <c r="D407" s="1" t="s">
        <v>101</v>
      </c>
      <c r="E407" s="81">
        <v>0</v>
      </c>
      <c r="F407" s="81">
        <v>0</v>
      </c>
    </row>
    <row r="408" spans="1:6" x14ac:dyDescent="0.2">
      <c r="A408" s="1" t="s">
        <v>179</v>
      </c>
      <c r="B408" s="1" t="s">
        <v>1105</v>
      </c>
      <c r="C408" s="1" t="s">
        <v>101</v>
      </c>
      <c r="D408" s="1" t="s">
        <v>101</v>
      </c>
      <c r="E408" s="81">
        <v>0</v>
      </c>
      <c r="F408" s="81">
        <v>0</v>
      </c>
    </row>
    <row r="409" spans="1:6" x14ac:dyDescent="0.2">
      <c r="A409" s="1" t="s">
        <v>179</v>
      </c>
      <c r="B409" s="1" t="s">
        <v>1106</v>
      </c>
      <c r="C409" s="1" t="s">
        <v>3879</v>
      </c>
      <c r="D409" s="1" t="s">
        <v>3879</v>
      </c>
      <c r="E409" s="81">
        <v>94374.52</v>
      </c>
      <c r="F409" s="81">
        <v>94374.52</v>
      </c>
    </row>
    <row r="410" spans="1:6" x14ac:dyDescent="0.2">
      <c r="A410" s="1" t="s">
        <v>179</v>
      </c>
      <c r="B410" s="1" t="s">
        <v>1107</v>
      </c>
      <c r="C410" s="1" t="s">
        <v>101</v>
      </c>
      <c r="D410" s="1" t="s">
        <v>101</v>
      </c>
      <c r="E410" s="81">
        <v>0</v>
      </c>
      <c r="F410" s="81">
        <v>0</v>
      </c>
    </row>
    <row r="411" spans="1:6" x14ac:dyDescent="0.2">
      <c r="A411" s="1" t="s">
        <v>179</v>
      </c>
      <c r="B411" s="1" t="s">
        <v>1108</v>
      </c>
      <c r="C411" s="1" t="s">
        <v>101</v>
      </c>
      <c r="D411" s="1" t="s">
        <v>101</v>
      </c>
      <c r="E411" s="81">
        <v>0</v>
      </c>
      <c r="F411" s="81">
        <v>0</v>
      </c>
    </row>
    <row r="412" spans="1:6" x14ac:dyDescent="0.2">
      <c r="A412" s="1" t="s">
        <v>179</v>
      </c>
      <c r="B412" s="1" t="s">
        <v>1109</v>
      </c>
      <c r="C412" s="1" t="s">
        <v>101</v>
      </c>
      <c r="D412" s="1" t="s">
        <v>101</v>
      </c>
      <c r="E412" s="81">
        <v>0</v>
      </c>
      <c r="F412" s="81">
        <v>0</v>
      </c>
    </row>
    <row r="413" spans="1:6" x14ac:dyDescent="0.2">
      <c r="A413" s="1" t="s">
        <v>179</v>
      </c>
      <c r="B413" s="1" t="s">
        <v>1110</v>
      </c>
      <c r="C413" s="1" t="s">
        <v>101</v>
      </c>
      <c r="D413" s="1" t="s">
        <v>101</v>
      </c>
      <c r="E413" s="81">
        <v>0</v>
      </c>
      <c r="F413" s="81">
        <v>0</v>
      </c>
    </row>
    <row r="414" spans="1:6" x14ac:dyDescent="0.2">
      <c r="A414" s="1" t="s">
        <v>179</v>
      </c>
      <c r="B414" s="1" t="s">
        <v>1111</v>
      </c>
      <c r="C414" s="1" t="s">
        <v>101</v>
      </c>
      <c r="D414" s="1" t="s">
        <v>101</v>
      </c>
      <c r="E414" s="81">
        <v>0</v>
      </c>
      <c r="F414" s="81">
        <v>0</v>
      </c>
    </row>
    <row r="415" spans="1:6" x14ac:dyDescent="0.2">
      <c r="A415" s="1" t="s">
        <v>179</v>
      </c>
      <c r="B415" s="1" t="s">
        <v>1112</v>
      </c>
      <c r="C415" s="1" t="s">
        <v>101</v>
      </c>
      <c r="D415" s="1" t="s">
        <v>101</v>
      </c>
      <c r="E415" s="81">
        <v>0</v>
      </c>
      <c r="F415" s="81">
        <v>0</v>
      </c>
    </row>
    <row r="416" spans="1:6" x14ac:dyDescent="0.2">
      <c r="A416" s="1" t="s">
        <v>179</v>
      </c>
      <c r="B416" s="1" t="s">
        <v>1113</v>
      </c>
      <c r="C416" s="1" t="s">
        <v>101</v>
      </c>
      <c r="D416" s="1" t="s">
        <v>101</v>
      </c>
      <c r="E416" s="81">
        <v>0</v>
      </c>
      <c r="F416" s="81">
        <v>0</v>
      </c>
    </row>
    <row r="417" spans="1:6" x14ac:dyDescent="0.2">
      <c r="A417" s="1" t="s">
        <v>179</v>
      </c>
      <c r="B417" s="1" t="s">
        <v>1114</v>
      </c>
      <c r="C417" s="1" t="s">
        <v>101</v>
      </c>
      <c r="D417" s="1" t="s">
        <v>101</v>
      </c>
      <c r="E417" s="81">
        <v>0</v>
      </c>
      <c r="F417" s="81">
        <v>0</v>
      </c>
    </row>
    <row r="418" spans="1:6" x14ac:dyDescent="0.2">
      <c r="A418" s="1" t="s">
        <v>179</v>
      </c>
      <c r="B418" s="1" t="s">
        <v>1115</v>
      </c>
      <c r="C418" s="1" t="s">
        <v>101</v>
      </c>
      <c r="D418" s="1" t="s">
        <v>101</v>
      </c>
      <c r="E418" s="81">
        <v>0</v>
      </c>
      <c r="F418" s="81">
        <v>0</v>
      </c>
    </row>
    <row r="419" spans="1:6" x14ac:dyDescent="0.2">
      <c r="A419" s="1" t="s">
        <v>179</v>
      </c>
      <c r="B419" s="1" t="s">
        <v>1116</v>
      </c>
      <c r="C419" s="1" t="s">
        <v>101</v>
      </c>
      <c r="D419" s="1" t="s">
        <v>101</v>
      </c>
      <c r="E419" s="81">
        <v>0</v>
      </c>
      <c r="F419" s="81">
        <v>0</v>
      </c>
    </row>
    <row r="420" spans="1:6" x14ac:dyDescent="0.2">
      <c r="A420" s="1" t="s">
        <v>179</v>
      </c>
      <c r="B420" s="1" t="s">
        <v>1117</v>
      </c>
      <c r="C420" s="1" t="s">
        <v>101</v>
      </c>
      <c r="D420" s="1" t="s">
        <v>101</v>
      </c>
      <c r="E420" s="81">
        <v>0</v>
      </c>
      <c r="F420" s="81">
        <v>0</v>
      </c>
    </row>
    <row r="421" spans="1:6" x14ac:dyDescent="0.2">
      <c r="A421" s="1" t="s">
        <v>179</v>
      </c>
      <c r="B421" s="1" t="s">
        <v>1118</v>
      </c>
      <c r="C421" s="1" t="s">
        <v>101</v>
      </c>
      <c r="D421" s="1" t="s">
        <v>101</v>
      </c>
      <c r="E421" s="81">
        <v>0</v>
      </c>
      <c r="F421" s="81">
        <v>0</v>
      </c>
    </row>
    <row r="422" spans="1:6" x14ac:dyDescent="0.2">
      <c r="A422" s="1" t="s">
        <v>179</v>
      </c>
      <c r="B422" s="1" t="s">
        <v>1119</v>
      </c>
      <c r="C422" s="1" t="s">
        <v>101</v>
      </c>
      <c r="D422" s="1" t="s">
        <v>101</v>
      </c>
      <c r="E422" s="81">
        <v>0</v>
      </c>
      <c r="F422" s="81">
        <v>0</v>
      </c>
    </row>
    <row r="423" spans="1:6" x14ac:dyDescent="0.2">
      <c r="A423" s="1" t="s">
        <v>179</v>
      </c>
      <c r="B423" s="1" t="s">
        <v>1120</v>
      </c>
      <c r="C423" s="1" t="s">
        <v>101</v>
      </c>
      <c r="D423" s="1" t="s">
        <v>101</v>
      </c>
      <c r="E423" s="81">
        <v>0</v>
      </c>
      <c r="F423" s="81">
        <v>0</v>
      </c>
    </row>
    <row r="424" spans="1:6" x14ac:dyDescent="0.2">
      <c r="A424" s="1" t="s">
        <v>179</v>
      </c>
      <c r="B424" s="1" t="s">
        <v>1121</v>
      </c>
      <c r="C424" s="1" t="s">
        <v>101</v>
      </c>
      <c r="D424" s="1" t="s">
        <v>101</v>
      </c>
      <c r="E424" s="81">
        <v>0</v>
      </c>
      <c r="F424" s="81">
        <v>0</v>
      </c>
    </row>
    <row r="425" spans="1:6" x14ac:dyDescent="0.2">
      <c r="A425" s="1" t="s">
        <v>179</v>
      </c>
      <c r="B425" s="1" t="s">
        <v>1122</v>
      </c>
      <c r="C425" s="1" t="s">
        <v>101</v>
      </c>
      <c r="D425" s="1" t="s">
        <v>101</v>
      </c>
      <c r="E425" s="81">
        <v>0</v>
      </c>
      <c r="F425" s="81">
        <v>0</v>
      </c>
    </row>
    <row r="426" spans="1:6" x14ac:dyDescent="0.2">
      <c r="A426" s="1" t="s">
        <v>179</v>
      </c>
      <c r="B426" s="1" t="s">
        <v>1123</v>
      </c>
      <c r="C426" s="1" t="s">
        <v>101</v>
      </c>
      <c r="D426" s="1" t="s">
        <v>101</v>
      </c>
      <c r="E426" s="81">
        <v>0</v>
      </c>
      <c r="F426" s="81">
        <v>0</v>
      </c>
    </row>
    <row r="427" spans="1:6" x14ac:dyDescent="0.2">
      <c r="A427" s="1" t="s">
        <v>179</v>
      </c>
      <c r="B427" s="1" t="s">
        <v>1124</v>
      </c>
      <c r="C427" s="1" t="s">
        <v>101</v>
      </c>
      <c r="D427" s="1" t="s">
        <v>101</v>
      </c>
      <c r="E427" s="81">
        <v>0</v>
      </c>
      <c r="F427" s="81">
        <v>0</v>
      </c>
    </row>
    <row r="428" spans="1:6" x14ac:dyDescent="0.2">
      <c r="A428" s="1" t="s">
        <v>179</v>
      </c>
      <c r="B428" s="1" t="s">
        <v>1125</v>
      </c>
      <c r="C428" s="1" t="s">
        <v>101</v>
      </c>
      <c r="D428" s="1" t="s">
        <v>101</v>
      </c>
      <c r="E428" s="81">
        <v>0</v>
      </c>
      <c r="F428" s="81">
        <v>0</v>
      </c>
    </row>
    <row r="429" spans="1:6" x14ac:dyDescent="0.2">
      <c r="A429" s="1" t="s">
        <v>179</v>
      </c>
      <c r="B429" s="1" t="s">
        <v>1126</v>
      </c>
      <c r="C429" s="1" t="s">
        <v>101</v>
      </c>
      <c r="D429" s="1" t="s">
        <v>101</v>
      </c>
      <c r="E429" s="81">
        <v>0</v>
      </c>
      <c r="F429" s="81">
        <v>0</v>
      </c>
    </row>
    <row r="430" spans="1:6" x14ac:dyDescent="0.2">
      <c r="A430" s="1" t="s">
        <v>179</v>
      </c>
      <c r="B430" s="1" t="s">
        <v>1127</v>
      </c>
      <c r="C430" s="1" t="s">
        <v>101</v>
      </c>
      <c r="D430" s="1" t="s">
        <v>101</v>
      </c>
      <c r="E430" s="81">
        <v>0</v>
      </c>
      <c r="F430" s="81">
        <v>0</v>
      </c>
    </row>
    <row r="431" spans="1:6" x14ac:dyDescent="0.2">
      <c r="A431" s="1" t="s">
        <v>179</v>
      </c>
      <c r="B431" s="1" t="s">
        <v>1128</v>
      </c>
      <c r="C431" s="1" t="s">
        <v>101</v>
      </c>
      <c r="D431" s="1" t="s">
        <v>101</v>
      </c>
      <c r="E431" s="81">
        <v>0</v>
      </c>
      <c r="F431" s="81">
        <v>0</v>
      </c>
    </row>
    <row r="432" spans="1:6" x14ac:dyDescent="0.2">
      <c r="A432" s="1" t="s">
        <v>179</v>
      </c>
      <c r="B432" s="1" t="s">
        <v>1129</v>
      </c>
      <c r="C432" s="1" t="s">
        <v>101</v>
      </c>
      <c r="D432" s="1" t="s">
        <v>101</v>
      </c>
      <c r="E432" s="81">
        <v>0</v>
      </c>
      <c r="F432" s="81">
        <v>0</v>
      </c>
    </row>
    <row r="433" spans="1:6" x14ac:dyDescent="0.2">
      <c r="A433" s="1" t="s">
        <v>179</v>
      </c>
      <c r="B433" s="1" t="s">
        <v>1130</v>
      </c>
      <c r="C433" s="1" t="s">
        <v>101</v>
      </c>
      <c r="D433" s="1" t="s">
        <v>101</v>
      </c>
      <c r="E433" s="81">
        <v>0</v>
      </c>
      <c r="F433" s="81">
        <v>0</v>
      </c>
    </row>
    <row r="434" spans="1:6" x14ac:dyDescent="0.2">
      <c r="A434" s="1" t="s">
        <v>179</v>
      </c>
      <c r="B434" s="1" t="s">
        <v>1131</v>
      </c>
      <c r="C434" s="1" t="s">
        <v>101</v>
      </c>
      <c r="D434" s="1" t="s">
        <v>101</v>
      </c>
      <c r="E434" s="81">
        <v>0</v>
      </c>
      <c r="F434" s="81">
        <v>0</v>
      </c>
    </row>
    <row r="435" spans="1:6" x14ac:dyDescent="0.2">
      <c r="A435" s="1" t="s">
        <v>179</v>
      </c>
      <c r="B435" s="1" t="s">
        <v>1132</v>
      </c>
      <c r="C435" s="1" t="s">
        <v>101</v>
      </c>
      <c r="D435" s="1" t="s">
        <v>101</v>
      </c>
      <c r="E435" s="81">
        <v>0</v>
      </c>
      <c r="F435" s="81">
        <v>0</v>
      </c>
    </row>
    <row r="436" spans="1:6" x14ac:dyDescent="0.2">
      <c r="A436" s="1" t="s">
        <v>179</v>
      </c>
      <c r="B436" s="1" t="s">
        <v>1133</v>
      </c>
      <c r="C436" s="1" t="s">
        <v>101</v>
      </c>
      <c r="D436" s="1" t="s">
        <v>101</v>
      </c>
      <c r="E436" s="81">
        <v>0</v>
      </c>
      <c r="F436" s="81">
        <v>0</v>
      </c>
    </row>
    <row r="437" spans="1:6" x14ac:dyDescent="0.2">
      <c r="A437" s="1" t="s">
        <v>179</v>
      </c>
      <c r="B437" s="1" t="s">
        <v>1134</v>
      </c>
      <c r="C437" s="1" t="s">
        <v>101</v>
      </c>
      <c r="D437" s="1" t="s">
        <v>101</v>
      </c>
      <c r="E437" s="81">
        <v>0</v>
      </c>
      <c r="F437" s="81">
        <v>0</v>
      </c>
    </row>
    <row r="438" spans="1:6" x14ac:dyDescent="0.2">
      <c r="A438" s="1" t="s">
        <v>179</v>
      </c>
      <c r="B438" s="1" t="s">
        <v>1135</v>
      </c>
      <c r="C438" s="1" t="s">
        <v>101</v>
      </c>
      <c r="D438" s="1" t="s">
        <v>101</v>
      </c>
      <c r="E438" s="81">
        <v>0</v>
      </c>
      <c r="F438" s="81">
        <v>0</v>
      </c>
    </row>
    <row r="439" spans="1:6" x14ac:dyDescent="0.2">
      <c r="A439" s="1" t="s">
        <v>179</v>
      </c>
      <c r="B439" s="1" t="s">
        <v>1136</v>
      </c>
      <c r="C439" s="1" t="s">
        <v>101</v>
      </c>
      <c r="D439" s="1" t="s">
        <v>101</v>
      </c>
      <c r="E439" s="81">
        <v>0</v>
      </c>
      <c r="F439" s="81">
        <v>0</v>
      </c>
    </row>
    <row r="440" spans="1:6" x14ac:dyDescent="0.2">
      <c r="A440" s="1" t="s">
        <v>179</v>
      </c>
      <c r="B440" s="1" t="s">
        <v>1137</v>
      </c>
      <c r="C440" s="1" t="s">
        <v>101</v>
      </c>
      <c r="D440" s="1" t="s">
        <v>101</v>
      </c>
      <c r="E440" s="81">
        <v>0</v>
      </c>
      <c r="F440" s="81">
        <v>0</v>
      </c>
    </row>
    <row r="441" spans="1:6" x14ac:dyDescent="0.2">
      <c r="A441" s="1" t="s">
        <v>179</v>
      </c>
      <c r="B441" s="1" t="s">
        <v>1138</v>
      </c>
      <c r="C441" s="1" t="s">
        <v>101</v>
      </c>
      <c r="D441" s="1" t="s">
        <v>101</v>
      </c>
      <c r="E441" s="81">
        <v>0</v>
      </c>
      <c r="F441" s="81">
        <v>0</v>
      </c>
    </row>
    <row r="442" spans="1:6" x14ac:dyDescent="0.2">
      <c r="A442" s="1" t="s">
        <v>179</v>
      </c>
      <c r="B442" s="1" t="s">
        <v>1139</v>
      </c>
      <c r="C442" s="1" t="s">
        <v>101</v>
      </c>
      <c r="D442" s="1" t="s">
        <v>101</v>
      </c>
      <c r="E442" s="81">
        <v>0</v>
      </c>
      <c r="F442" s="81">
        <v>0</v>
      </c>
    </row>
    <row r="443" spans="1:6" x14ac:dyDescent="0.2">
      <c r="A443" s="1" t="s">
        <v>179</v>
      </c>
      <c r="B443" s="1" t="s">
        <v>1140</v>
      </c>
      <c r="C443" s="1" t="s">
        <v>101</v>
      </c>
      <c r="D443" s="1" t="s">
        <v>101</v>
      </c>
      <c r="E443" s="81">
        <v>0</v>
      </c>
      <c r="F443" s="81">
        <v>0</v>
      </c>
    </row>
    <row r="444" spans="1:6" x14ac:dyDescent="0.2">
      <c r="A444" s="1" t="s">
        <v>179</v>
      </c>
      <c r="B444" s="1" t="s">
        <v>1141</v>
      </c>
      <c r="C444" s="1" t="s">
        <v>101</v>
      </c>
      <c r="D444" s="1" t="s">
        <v>101</v>
      </c>
      <c r="E444" s="81">
        <v>0</v>
      </c>
      <c r="F444" s="81">
        <v>0</v>
      </c>
    </row>
    <row r="445" spans="1:6" x14ac:dyDescent="0.2">
      <c r="A445" s="1" t="s">
        <v>179</v>
      </c>
      <c r="B445" s="1" t="s">
        <v>1142</v>
      </c>
      <c r="C445" s="1" t="s">
        <v>101</v>
      </c>
      <c r="D445" s="1" t="s">
        <v>101</v>
      </c>
      <c r="E445" s="81">
        <v>0</v>
      </c>
      <c r="F445" s="81">
        <v>0</v>
      </c>
    </row>
    <row r="446" spans="1:6" x14ac:dyDescent="0.2">
      <c r="A446" s="1" t="s">
        <v>179</v>
      </c>
      <c r="B446" s="1" t="s">
        <v>1143</v>
      </c>
      <c r="C446" s="1" t="s">
        <v>101</v>
      </c>
      <c r="D446" s="1" t="s">
        <v>101</v>
      </c>
      <c r="E446" s="81">
        <v>0</v>
      </c>
      <c r="F446" s="81">
        <v>0</v>
      </c>
    </row>
    <row r="447" spans="1:6" x14ac:dyDescent="0.2">
      <c r="A447" s="1" t="s">
        <v>179</v>
      </c>
      <c r="B447" s="1" t="s">
        <v>1144</v>
      </c>
      <c r="C447" s="1" t="s">
        <v>101</v>
      </c>
      <c r="D447" s="1" t="s">
        <v>101</v>
      </c>
      <c r="E447" s="81">
        <v>0</v>
      </c>
      <c r="F447" s="81">
        <v>0</v>
      </c>
    </row>
    <row r="448" spans="1:6" x14ac:dyDescent="0.2">
      <c r="A448" s="1" t="s">
        <v>179</v>
      </c>
      <c r="B448" s="1" t="s">
        <v>1145</v>
      </c>
      <c r="C448" s="1" t="s">
        <v>101</v>
      </c>
      <c r="D448" s="1" t="s">
        <v>101</v>
      </c>
      <c r="E448" s="81">
        <v>0</v>
      </c>
      <c r="F448" s="81">
        <v>0</v>
      </c>
    </row>
    <row r="449" spans="1:6" x14ac:dyDescent="0.2">
      <c r="A449" s="1" t="s">
        <v>179</v>
      </c>
      <c r="B449" s="1" t="s">
        <v>1146</v>
      </c>
      <c r="C449" s="1" t="s">
        <v>101</v>
      </c>
      <c r="D449" s="1" t="s">
        <v>101</v>
      </c>
      <c r="E449" s="81">
        <v>0</v>
      </c>
      <c r="F449" s="81">
        <v>0</v>
      </c>
    </row>
    <row r="450" spans="1:6" x14ac:dyDescent="0.2">
      <c r="A450" s="1" t="s">
        <v>179</v>
      </c>
      <c r="B450" s="1" t="s">
        <v>1147</v>
      </c>
      <c r="C450" s="1" t="s">
        <v>101</v>
      </c>
      <c r="D450" s="1" t="s">
        <v>101</v>
      </c>
      <c r="E450" s="81">
        <v>0</v>
      </c>
      <c r="F450" s="81">
        <v>0</v>
      </c>
    </row>
    <row r="451" spans="1:6" x14ac:dyDescent="0.2">
      <c r="A451" s="1" t="s">
        <v>179</v>
      </c>
      <c r="B451" s="1" t="s">
        <v>1148</v>
      </c>
      <c r="C451" s="1" t="s">
        <v>101</v>
      </c>
      <c r="D451" s="1" t="s">
        <v>101</v>
      </c>
      <c r="E451" s="81">
        <v>0</v>
      </c>
      <c r="F451" s="81">
        <v>0</v>
      </c>
    </row>
    <row r="452" spans="1:6" x14ac:dyDescent="0.2">
      <c r="A452" s="1" t="s">
        <v>179</v>
      </c>
      <c r="B452" s="1" t="s">
        <v>1149</v>
      </c>
      <c r="C452" s="1" t="s">
        <v>101</v>
      </c>
      <c r="D452" s="1" t="s">
        <v>101</v>
      </c>
      <c r="E452" s="81">
        <v>0</v>
      </c>
      <c r="F452" s="81">
        <v>0</v>
      </c>
    </row>
    <row r="453" spans="1:6" x14ac:dyDescent="0.2">
      <c r="A453" s="1" t="s">
        <v>179</v>
      </c>
      <c r="B453" s="1" t="s">
        <v>1150</v>
      </c>
      <c r="C453" s="1" t="s">
        <v>101</v>
      </c>
      <c r="D453" s="1" t="s">
        <v>101</v>
      </c>
      <c r="E453" s="81">
        <v>0</v>
      </c>
      <c r="F453" s="81">
        <v>0</v>
      </c>
    </row>
    <row r="454" spans="1:6" x14ac:dyDescent="0.2">
      <c r="A454" s="1" t="s">
        <v>179</v>
      </c>
      <c r="B454" s="1" t="s">
        <v>1151</v>
      </c>
      <c r="C454" s="1" t="s">
        <v>101</v>
      </c>
      <c r="D454" s="1" t="s">
        <v>101</v>
      </c>
      <c r="E454" s="81">
        <v>0</v>
      </c>
      <c r="F454" s="81">
        <v>0</v>
      </c>
    </row>
    <row r="455" spans="1:6" x14ac:dyDescent="0.2">
      <c r="A455" s="1" t="s">
        <v>179</v>
      </c>
      <c r="B455" s="1" t="s">
        <v>1152</v>
      </c>
      <c r="C455" s="1" t="s">
        <v>101</v>
      </c>
      <c r="D455" s="1" t="s">
        <v>101</v>
      </c>
      <c r="E455" s="81">
        <v>0</v>
      </c>
      <c r="F455" s="81">
        <v>0</v>
      </c>
    </row>
    <row r="456" spans="1:6" x14ac:dyDescent="0.2">
      <c r="A456" s="1" t="s">
        <v>179</v>
      </c>
      <c r="B456" s="1" t="s">
        <v>1153</v>
      </c>
      <c r="C456" s="1" t="s">
        <v>101</v>
      </c>
      <c r="D456" s="1" t="s">
        <v>101</v>
      </c>
      <c r="E456" s="81">
        <v>0</v>
      </c>
      <c r="F456" s="81">
        <v>0</v>
      </c>
    </row>
    <row r="457" spans="1:6" x14ac:dyDescent="0.2">
      <c r="A457" s="1" t="s">
        <v>179</v>
      </c>
      <c r="B457" s="1" t="s">
        <v>1154</v>
      </c>
      <c r="C457" s="1" t="s">
        <v>101</v>
      </c>
      <c r="D457" s="1" t="s">
        <v>101</v>
      </c>
      <c r="E457" s="81">
        <v>0</v>
      </c>
      <c r="F457" s="81">
        <v>0</v>
      </c>
    </row>
    <row r="458" spans="1:6" x14ac:dyDescent="0.2">
      <c r="A458" s="1" t="s">
        <v>179</v>
      </c>
      <c r="B458" s="1" t="s">
        <v>1155</v>
      </c>
      <c r="C458" s="1" t="s">
        <v>101</v>
      </c>
      <c r="D458" s="1" t="s">
        <v>101</v>
      </c>
      <c r="E458" s="81">
        <v>0</v>
      </c>
      <c r="F458" s="81">
        <v>0</v>
      </c>
    </row>
    <row r="459" spans="1:6" x14ac:dyDescent="0.2">
      <c r="A459" s="1" t="s">
        <v>179</v>
      </c>
      <c r="B459" s="1" t="s">
        <v>1156</v>
      </c>
      <c r="C459" s="1" t="s">
        <v>101</v>
      </c>
      <c r="D459" s="1" t="s">
        <v>101</v>
      </c>
      <c r="E459" s="81">
        <v>0</v>
      </c>
      <c r="F459" s="81">
        <v>0</v>
      </c>
    </row>
    <row r="460" spans="1:6" x14ac:dyDescent="0.2">
      <c r="A460" s="1" t="s">
        <v>179</v>
      </c>
      <c r="B460" s="1" t="s">
        <v>1157</v>
      </c>
      <c r="C460" s="1" t="s">
        <v>101</v>
      </c>
      <c r="D460" s="1" t="s">
        <v>101</v>
      </c>
      <c r="E460" s="81">
        <v>0</v>
      </c>
      <c r="F460" s="81">
        <v>0</v>
      </c>
    </row>
    <row r="461" spans="1:6" x14ac:dyDescent="0.2">
      <c r="A461" s="1" t="s">
        <v>179</v>
      </c>
      <c r="B461" s="1" t="s">
        <v>1158</v>
      </c>
      <c r="C461" s="1" t="s">
        <v>101</v>
      </c>
      <c r="D461" s="1" t="s">
        <v>101</v>
      </c>
      <c r="E461" s="81">
        <v>0</v>
      </c>
      <c r="F461" s="81">
        <v>0</v>
      </c>
    </row>
    <row r="462" spans="1:6" x14ac:dyDescent="0.2">
      <c r="A462" s="1" t="s">
        <v>179</v>
      </c>
      <c r="B462" s="1" t="s">
        <v>1159</v>
      </c>
      <c r="C462" s="1" t="s">
        <v>101</v>
      </c>
      <c r="D462" s="1" t="s">
        <v>101</v>
      </c>
      <c r="E462" s="81">
        <v>0</v>
      </c>
      <c r="F462" s="81">
        <v>0</v>
      </c>
    </row>
    <row r="463" spans="1:6" x14ac:dyDescent="0.2">
      <c r="A463" s="1" t="s">
        <v>179</v>
      </c>
      <c r="B463" s="1" t="s">
        <v>1160</v>
      </c>
      <c r="C463" s="1" t="s">
        <v>101</v>
      </c>
      <c r="D463" s="1" t="s">
        <v>101</v>
      </c>
      <c r="E463" s="81">
        <v>0</v>
      </c>
      <c r="F463" s="81">
        <v>0</v>
      </c>
    </row>
    <row r="464" spans="1:6" x14ac:dyDescent="0.2">
      <c r="A464" s="1" t="s">
        <v>179</v>
      </c>
      <c r="B464" s="1" t="s">
        <v>1161</v>
      </c>
      <c r="C464" s="1" t="s">
        <v>101</v>
      </c>
      <c r="D464" s="1" t="s">
        <v>101</v>
      </c>
      <c r="E464" s="81">
        <v>0</v>
      </c>
      <c r="F464" s="81">
        <v>0</v>
      </c>
    </row>
    <row r="465" spans="1:6" x14ac:dyDescent="0.2">
      <c r="A465" s="1" t="s">
        <v>179</v>
      </c>
      <c r="B465" s="1" t="s">
        <v>1162</v>
      </c>
      <c r="C465" s="1" t="s">
        <v>101</v>
      </c>
      <c r="D465" s="1" t="s">
        <v>101</v>
      </c>
      <c r="E465" s="81">
        <v>0</v>
      </c>
      <c r="F465" s="81">
        <v>0</v>
      </c>
    </row>
    <row r="466" spans="1:6" x14ac:dyDescent="0.2">
      <c r="A466" s="1" t="s">
        <v>179</v>
      </c>
      <c r="B466" s="1" t="s">
        <v>1163</v>
      </c>
      <c r="C466" s="1" t="s">
        <v>101</v>
      </c>
      <c r="D466" s="1" t="s">
        <v>101</v>
      </c>
      <c r="E466" s="81">
        <v>0</v>
      </c>
      <c r="F466" s="81">
        <v>0</v>
      </c>
    </row>
    <row r="467" spans="1:6" x14ac:dyDescent="0.2">
      <c r="A467" s="1" t="s">
        <v>179</v>
      </c>
      <c r="B467" s="1" t="s">
        <v>1164</v>
      </c>
      <c r="C467" s="1" t="s">
        <v>101</v>
      </c>
      <c r="D467" s="1" t="s">
        <v>101</v>
      </c>
      <c r="E467" s="81">
        <v>0</v>
      </c>
      <c r="F467" s="81">
        <v>0</v>
      </c>
    </row>
    <row r="468" spans="1:6" x14ac:dyDescent="0.2">
      <c r="A468" s="1" t="s">
        <v>179</v>
      </c>
      <c r="B468" s="1" t="s">
        <v>1165</v>
      </c>
      <c r="C468" s="1" t="s">
        <v>101</v>
      </c>
      <c r="D468" s="1" t="s">
        <v>101</v>
      </c>
      <c r="E468" s="81">
        <v>0</v>
      </c>
      <c r="F468" s="81">
        <v>0</v>
      </c>
    </row>
    <row r="469" spans="1:6" x14ac:dyDescent="0.2">
      <c r="A469" s="1" t="s">
        <v>179</v>
      </c>
      <c r="B469" s="1" t="s">
        <v>1166</v>
      </c>
      <c r="C469" s="1" t="s">
        <v>101</v>
      </c>
      <c r="D469" s="1" t="s">
        <v>101</v>
      </c>
      <c r="E469" s="81">
        <v>0</v>
      </c>
      <c r="F469" s="81">
        <v>0</v>
      </c>
    </row>
    <row r="470" spans="1:6" x14ac:dyDescent="0.2">
      <c r="A470" s="1" t="s">
        <v>179</v>
      </c>
      <c r="B470" s="1" t="s">
        <v>1167</v>
      </c>
      <c r="C470" s="1" t="s">
        <v>101</v>
      </c>
      <c r="D470" s="1" t="s">
        <v>101</v>
      </c>
      <c r="E470" s="81">
        <v>0</v>
      </c>
      <c r="F470" s="81">
        <v>0</v>
      </c>
    </row>
    <row r="471" spans="1:6" x14ac:dyDescent="0.2">
      <c r="A471" s="1" t="s">
        <v>179</v>
      </c>
      <c r="B471" s="1" t="s">
        <v>1168</v>
      </c>
      <c r="C471" s="1" t="s">
        <v>101</v>
      </c>
      <c r="D471" s="1" t="s">
        <v>101</v>
      </c>
      <c r="E471" s="81">
        <v>0</v>
      </c>
      <c r="F471" s="81">
        <v>0</v>
      </c>
    </row>
    <row r="472" spans="1:6" x14ac:dyDescent="0.2">
      <c r="A472" s="1" t="s">
        <v>179</v>
      </c>
      <c r="B472" s="1" t="s">
        <v>1181</v>
      </c>
      <c r="C472" s="1" t="s">
        <v>3886</v>
      </c>
      <c r="D472" s="1" t="s">
        <v>3886</v>
      </c>
      <c r="E472" s="81">
        <v>17379.650000000001</v>
      </c>
      <c r="F472" s="81">
        <v>17379.650000000001</v>
      </c>
    </row>
    <row r="473" spans="1:6" x14ac:dyDescent="0.2">
      <c r="A473" s="1" t="s">
        <v>179</v>
      </c>
      <c r="B473" s="1" t="s">
        <v>1182</v>
      </c>
      <c r="C473" s="1" t="s">
        <v>3887</v>
      </c>
      <c r="D473" s="1" t="s">
        <v>3887</v>
      </c>
      <c r="E473" s="81">
        <v>16733.37</v>
      </c>
      <c r="F473" s="81">
        <v>16733.37</v>
      </c>
    </row>
    <row r="474" spans="1:6" x14ac:dyDescent="0.2">
      <c r="A474" s="1" t="s">
        <v>179</v>
      </c>
      <c r="B474" s="1" t="s">
        <v>1183</v>
      </c>
      <c r="C474" s="1" t="s">
        <v>3888</v>
      </c>
      <c r="D474" s="1" t="s">
        <v>3888</v>
      </c>
      <c r="E474" s="81">
        <v>36837.9</v>
      </c>
      <c r="F474" s="81">
        <v>36837.9</v>
      </c>
    </row>
    <row r="475" spans="1:6" x14ac:dyDescent="0.2">
      <c r="A475" s="1" t="s">
        <v>179</v>
      </c>
      <c r="B475" s="1" t="s">
        <v>1184</v>
      </c>
      <c r="C475" s="1" t="s">
        <v>101</v>
      </c>
      <c r="D475" s="1" t="s">
        <v>101</v>
      </c>
      <c r="E475" s="81">
        <v>0</v>
      </c>
      <c r="F475" s="81">
        <v>0</v>
      </c>
    </row>
    <row r="476" spans="1:6" x14ac:dyDescent="0.2">
      <c r="A476" s="1" t="s">
        <v>179</v>
      </c>
      <c r="B476" s="1" t="s">
        <v>1185</v>
      </c>
      <c r="C476" s="1" t="s">
        <v>101</v>
      </c>
      <c r="D476" s="1" t="s">
        <v>101</v>
      </c>
      <c r="E476" s="81">
        <v>0</v>
      </c>
      <c r="F476" s="81">
        <v>0</v>
      </c>
    </row>
    <row r="477" spans="1:6" x14ac:dyDescent="0.2">
      <c r="A477" s="1" t="s">
        <v>179</v>
      </c>
      <c r="B477" s="1" t="s">
        <v>1186</v>
      </c>
      <c r="C477" s="1" t="s">
        <v>101</v>
      </c>
      <c r="D477" s="1" t="s">
        <v>101</v>
      </c>
      <c r="E477" s="81">
        <v>0</v>
      </c>
      <c r="F477" s="81">
        <v>0</v>
      </c>
    </row>
    <row r="478" spans="1:6" x14ac:dyDescent="0.2">
      <c r="A478" s="1" t="s">
        <v>179</v>
      </c>
      <c r="B478" s="1" t="s">
        <v>1187</v>
      </c>
      <c r="C478" s="1" t="s">
        <v>101</v>
      </c>
      <c r="D478" s="1" t="s">
        <v>101</v>
      </c>
      <c r="E478" s="81">
        <v>0</v>
      </c>
      <c r="F478" s="81">
        <v>0</v>
      </c>
    </row>
    <row r="479" spans="1:6" x14ac:dyDescent="0.2">
      <c r="A479" s="1" t="s">
        <v>179</v>
      </c>
      <c r="B479" s="1" t="s">
        <v>1188</v>
      </c>
      <c r="C479" s="1" t="s">
        <v>101</v>
      </c>
      <c r="D479" s="1" t="s">
        <v>101</v>
      </c>
      <c r="E479" s="81">
        <v>0</v>
      </c>
      <c r="F479" s="81">
        <v>0</v>
      </c>
    </row>
    <row r="480" spans="1:6" x14ac:dyDescent="0.2">
      <c r="A480" s="1" t="s">
        <v>179</v>
      </c>
      <c r="B480" s="1" t="s">
        <v>1189</v>
      </c>
      <c r="C480" s="1" t="s">
        <v>101</v>
      </c>
      <c r="D480" s="1" t="s">
        <v>101</v>
      </c>
      <c r="E480" s="81">
        <v>0</v>
      </c>
      <c r="F480" s="81">
        <v>0</v>
      </c>
    </row>
    <row r="481" spans="1:6" x14ac:dyDescent="0.2">
      <c r="A481" s="1" t="s">
        <v>179</v>
      </c>
      <c r="B481" s="1" t="s">
        <v>1190</v>
      </c>
      <c r="C481" s="1" t="s">
        <v>101</v>
      </c>
      <c r="D481" s="1" t="s">
        <v>101</v>
      </c>
      <c r="E481" s="81">
        <v>0</v>
      </c>
      <c r="F481" s="81">
        <v>0</v>
      </c>
    </row>
    <row r="482" spans="1:6" x14ac:dyDescent="0.2">
      <c r="A482" s="1" t="s">
        <v>179</v>
      </c>
      <c r="B482" s="1" t="s">
        <v>1191</v>
      </c>
      <c r="C482" s="1" t="s">
        <v>101</v>
      </c>
      <c r="D482" s="1" t="s">
        <v>101</v>
      </c>
      <c r="E482" s="81">
        <v>0</v>
      </c>
      <c r="F482" s="81">
        <v>0</v>
      </c>
    </row>
    <row r="483" spans="1:6" x14ac:dyDescent="0.2">
      <c r="A483" s="1" t="s">
        <v>179</v>
      </c>
      <c r="B483" s="1" t="s">
        <v>1192</v>
      </c>
      <c r="C483" s="1" t="s">
        <v>101</v>
      </c>
      <c r="D483" s="1" t="s">
        <v>101</v>
      </c>
      <c r="E483" s="81">
        <v>0</v>
      </c>
      <c r="F483" s="81">
        <v>0</v>
      </c>
    </row>
    <row r="484" spans="1:6" x14ac:dyDescent="0.2">
      <c r="A484" s="1" t="s">
        <v>179</v>
      </c>
      <c r="B484" s="1" t="s">
        <v>1193</v>
      </c>
      <c r="C484" s="1" t="s">
        <v>3889</v>
      </c>
      <c r="D484" s="1" t="s">
        <v>3889</v>
      </c>
      <c r="E484" s="81">
        <v>354.56</v>
      </c>
      <c r="F484" s="81">
        <v>354.56</v>
      </c>
    </row>
    <row r="485" spans="1:6" x14ac:dyDescent="0.2">
      <c r="A485" s="1" t="s">
        <v>179</v>
      </c>
      <c r="B485" s="1" t="s">
        <v>1194</v>
      </c>
      <c r="C485" s="1" t="s">
        <v>3890</v>
      </c>
      <c r="D485" s="1" t="s">
        <v>3890</v>
      </c>
      <c r="E485" s="81">
        <v>2863.71</v>
      </c>
      <c r="F485" s="81">
        <v>2863.71</v>
      </c>
    </row>
    <row r="486" spans="1:6" x14ac:dyDescent="0.2">
      <c r="A486" s="1" t="s">
        <v>179</v>
      </c>
      <c r="B486" s="1" t="s">
        <v>1195</v>
      </c>
      <c r="C486" s="1" t="s">
        <v>3891</v>
      </c>
      <c r="D486" s="1" t="s">
        <v>3891</v>
      </c>
      <c r="E486" s="81">
        <v>8206.8799999999992</v>
      </c>
      <c r="F486" s="81">
        <v>8206.8799999999992</v>
      </c>
    </row>
    <row r="487" spans="1:6" x14ac:dyDescent="0.2">
      <c r="A487" s="1" t="s">
        <v>179</v>
      </c>
      <c r="B487" s="1" t="s">
        <v>1196</v>
      </c>
      <c r="C487" s="1" t="s">
        <v>101</v>
      </c>
      <c r="D487" s="1" t="s">
        <v>101</v>
      </c>
      <c r="E487" s="81">
        <v>0</v>
      </c>
      <c r="F487" s="81">
        <v>0</v>
      </c>
    </row>
    <row r="488" spans="1:6" x14ac:dyDescent="0.2">
      <c r="A488" s="1" t="s">
        <v>179</v>
      </c>
      <c r="B488" s="1" t="s">
        <v>1197</v>
      </c>
      <c r="C488" s="1" t="s">
        <v>101</v>
      </c>
      <c r="D488" s="1" t="s">
        <v>101</v>
      </c>
      <c r="E488" s="81">
        <v>0</v>
      </c>
      <c r="F488" s="81">
        <v>0</v>
      </c>
    </row>
    <row r="489" spans="1:6" x14ac:dyDescent="0.2">
      <c r="A489" s="1" t="s">
        <v>179</v>
      </c>
      <c r="B489" s="1" t="s">
        <v>1198</v>
      </c>
      <c r="C489" s="1" t="s">
        <v>101</v>
      </c>
      <c r="D489" s="1" t="s">
        <v>101</v>
      </c>
      <c r="E489" s="81">
        <v>0</v>
      </c>
      <c r="F489" s="81">
        <v>0</v>
      </c>
    </row>
    <row r="490" spans="1:6" x14ac:dyDescent="0.2">
      <c r="A490" s="1" t="s">
        <v>179</v>
      </c>
      <c r="B490" s="1" t="s">
        <v>1199</v>
      </c>
      <c r="C490" s="1" t="s">
        <v>101</v>
      </c>
      <c r="D490" s="1" t="s">
        <v>101</v>
      </c>
      <c r="E490" s="81">
        <v>0</v>
      </c>
      <c r="F490" s="81">
        <v>0</v>
      </c>
    </row>
    <row r="491" spans="1:6" x14ac:dyDescent="0.2">
      <c r="A491" s="1" t="s">
        <v>179</v>
      </c>
      <c r="B491" s="1" t="s">
        <v>1200</v>
      </c>
      <c r="C491" s="1" t="s">
        <v>101</v>
      </c>
      <c r="D491" s="1" t="s">
        <v>101</v>
      </c>
      <c r="E491" s="81">
        <v>0</v>
      </c>
      <c r="F491" s="81">
        <v>0</v>
      </c>
    </row>
    <row r="492" spans="1:6" x14ac:dyDescent="0.2">
      <c r="A492" s="1" t="s">
        <v>179</v>
      </c>
      <c r="B492" s="1" t="s">
        <v>1201</v>
      </c>
      <c r="C492" s="1" t="s">
        <v>101</v>
      </c>
      <c r="D492" s="1" t="s">
        <v>101</v>
      </c>
      <c r="E492" s="81">
        <v>0</v>
      </c>
      <c r="F492" s="81">
        <v>0</v>
      </c>
    </row>
    <row r="493" spans="1:6" x14ac:dyDescent="0.2">
      <c r="A493" s="1" t="s">
        <v>179</v>
      </c>
      <c r="B493" s="1" t="s">
        <v>1202</v>
      </c>
      <c r="C493" s="1" t="s">
        <v>101</v>
      </c>
      <c r="D493" s="1" t="s">
        <v>101</v>
      </c>
      <c r="E493" s="81">
        <v>0</v>
      </c>
      <c r="F493" s="81">
        <v>0</v>
      </c>
    </row>
    <row r="494" spans="1:6" x14ac:dyDescent="0.2">
      <c r="A494" s="1" t="s">
        <v>179</v>
      </c>
      <c r="B494" s="1" t="s">
        <v>1203</v>
      </c>
      <c r="C494" s="1" t="s">
        <v>101</v>
      </c>
      <c r="D494" s="1" t="s">
        <v>101</v>
      </c>
      <c r="E494" s="81">
        <v>0</v>
      </c>
      <c r="F494" s="81">
        <v>0</v>
      </c>
    </row>
    <row r="495" spans="1:6" x14ac:dyDescent="0.2">
      <c r="A495" s="1" t="s">
        <v>179</v>
      </c>
      <c r="B495" s="1" t="s">
        <v>1204</v>
      </c>
      <c r="C495" s="1" t="s">
        <v>101</v>
      </c>
      <c r="D495" s="1" t="s">
        <v>101</v>
      </c>
      <c r="E495" s="81">
        <v>0</v>
      </c>
      <c r="F495" s="81">
        <v>0</v>
      </c>
    </row>
    <row r="496" spans="1:6" x14ac:dyDescent="0.2">
      <c r="A496" s="1" t="s">
        <v>179</v>
      </c>
      <c r="B496" s="1" t="s">
        <v>1205</v>
      </c>
      <c r="C496" s="1" t="s">
        <v>101</v>
      </c>
      <c r="D496" s="1" t="s">
        <v>101</v>
      </c>
      <c r="E496" s="81">
        <v>0</v>
      </c>
      <c r="F496" s="81">
        <v>0</v>
      </c>
    </row>
    <row r="497" spans="1:6" x14ac:dyDescent="0.2">
      <c r="A497" s="1" t="s">
        <v>179</v>
      </c>
      <c r="B497" s="1" t="s">
        <v>1206</v>
      </c>
      <c r="C497" s="1" t="s">
        <v>101</v>
      </c>
      <c r="D497" s="1" t="s">
        <v>101</v>
      </c>
      <c r="E497" s="81">
        <v>0</v>
      </c>
      <c r="F497" s="81">
        <v>0</v>
      </c>
    </row>
    <row r="498" spans="1:6" x14ac:dyDescent="0.2">
      <c r="A498" s="1" t="s">
        <v>179</v>
      </c>
      <c r="B498" s="1" t="s">
        <v>1207</v>
      </c>
      <c r="C498" s="1" t="s">
        <v>101</v>
      </c>
      <c r="D498" s="1" t="s">
        <v>101</v>
      </c>
      <c r="E498" s="81">
        <v>0</v>
      </c>
      <c r="F498" s="81">
        <v>0</v>
      </c>
    </row>
    <row r="499" spans="1:6" x14ac:dyDescent="0.2">
      <c r="A499" s="1" t="s">
        <v>179</v>
      </c>
      <c r="B499" s="1" t="s">
        <v>1208</v>
      </c>
      <c r="C499" s="1" t="s">
        <v>101</v>
      </c>
      <c r="D499" s="1" t="s">
        <v>101</v>
      </c>
      <c r="E499" s="81">
        <v>0</v>
      </c>
      <c r="F499" s="81">
        <v>0</v>
      </c>
    </row>
    <row r="500" spans="1:6" x14ac:dyDescent="0.2">
      <c r="A500" s="1" t="s">
        <v>179</v>
      </c>
      <c r="B500" s="1" t="s">
        <v>1209</v>
      </c>
      <c r="C500" s="1" t="s">
        <v>101</v>
      </c>
      <c r="D500" s="1" t="s">
        <v>101</v>
      </c>
      <c r="E500" s="81">
        <v>0</v>
      </c>
      <c r="F500" s="81">
        <v>0</v>
      </c>
    </row>
    <row r="501" spans="1:6" x14ac:dyDescent="0.2">
      <c r="A501" s="1" t="s">
        <v>179</v>
      </c>
      <c r="B501" s="1" t="s">
        <v>1210</v>
      </c>
      <c r="C501" s="1" t="s">
        <v>101</v>
      </c>
      <c r="D501" s="1" t="s">
        <v>101</v>
      </c>
      <c r="E501" s="81">
        <v>0</v>
      </c>
      <c r="F501" s="81">
        <v>0</v>
      </c>
    </row>
    <row r="502" spans="1:6" x14ac:dyDescent="0.2">
      <c r="A502" s="1" t="s">
        <v>179</v>
      </c>
      <c r="B502" s="1" t="s">
        <v>1211</v>
      </c>
      <c r="C502" s="1" t="s">
        <v>101</v>
      </c>
      <c r="D502" s="1" t="s">
        <v>101</v>
      </c>
      <c r="E502" s="81">
        <v>0</v>
      </c>
      <c r="F502" s="81">
        <v>0</v>
      </c>
    </row>
    <row r="503" spans="1:6" x14ac:dyDescent="0.2">
      <c r="A503" s="1" t="s">
        <v>179</v>
      </c>
      <c r="B503" s="1" t="s">
        <v>1212</v>
      </c>
      <c r="C503" s="1" t="s">
        <v>101</v>
      </c>
      <c r="D503" s="1" t="s">
        <v>101</v>
      </c>
      <c r="E503" s="81">
        <v>0</v>
      </c>
      <c r="F503" s="81">
        <v>0</v>
      </c>
    </row>
    <row r="504" spans="1:6" x14ac:dyDescent="0.2">
      <c r="A504" s="1" t="s">
        <v>179</v>
      </c>
      <c r="B504" s="1" t="s">
        <v>1213</v>
      </c>
      <c r="C504" s="1" t="s">
        <v>101</v>
      </c>
      <c r="D504" s="1" t="s">
        <v>101</v>
      </c>
      <c r="E504" s="81">
        <v>0</v>
      </c>
      <c r="F504" s="81">
        <v>0</v>
      </c>
    </row>
    <row r="505" spans="1:6" x14ac:dyDescent="0.2">
      <c r="A505" s="1" t="s">
        <v>179</v>
      </c>
      <c r="B505" s="1" t="s">
        <v>1214</v>
      </c>
      <c r="C505" s="1" t="s">
        <v>101</v>
      </c>
      <c r="D505" s="1" t="s">
        <v>101</v>
      </c>
      <c r="E505" s="81">
        <v>0</v>
      </c>
      <c r="F505" s="81">
        <v>0</v>
      </c>
    </row>
    <row r="506" spans="1:6" x14ac:dyDescent="0.2">
      <c r="A506" s="1" t="s">
        <v>179</v>
      </c>
      <c r="B506" s="1" t="s">
        <v>1215</v>
      </c>
      <c r="C506" s="1" t="s">
        <v>101</v>
      </c>
      <c r="D506" s="1" t="s">
        <v>101</v>
      </c>
      <c r="E506" s="81">
        <v>0</v>
      </c>
      <c r="F506" s="81">
        <v>0</v>
      </c>
    </row>
    <row r="507" spans="1:6" x14ac:dyDescent="0.2">
      <c r="A507" s="1" t="s">
        <v>179</v>
      </c>
      <c r="B507" s="1" t="s">
        <v>1216</v>
      </c>
      <c r="C507" s="1" t="s">
        <v>101</v>
      </c>
      <c r="D507" s="1" t="s">
        <v>101</v>
      </c>
      <c r="E507" s="81">
        <v>0</v>
      </c>
      <c r="F507" s="81">
        <v>0</v>
      </c>
    </row>
    <row r="508" spans="1:6" x14ac:dyDescent="0.2">
      <c r="A508" s="1" t="s">
        <v>179</v>
      </c>
      <c r="B508" s="1" t="s">
        <v>3605</v>
      </c>
      <c r="C508" s="1" t="s">
        <v>3892</v>
      </c>
      <c r="D508" s="1" t="s">
        <v>3892</v>
      </c>
      <c r="E508" s="81">
        <v>0.01</v>
      </c>
      <c r="F508" s="81">
        <v>0.01</v>
      </c>
    </row>
    <row r="509" spans="1:6" x14ac:dyDescent="0.2">
      <c r="A509" s="1" t="s">
        <v>179</v>
      </c>
      <c r="B509" s="1" t="s">
        <v>3606</v>
      </c>
      <c r="C509" s="1" t="s">
        <v>3893</v>
      </c>
      <c r="D509" s="1" t="s">
        <v>3893</v>
      </c>
      <c r="E509" s="81">
        <v>1582.99</v>
      </c>
      <c r="F509" s="81">
        <v>1582.99</v>
      </c>
    </row>
    <row r="510" spans="1:6" x14ac:dyDescent="0.2">
      <c r="A510" s="1" t="s">
        <v>179</v>
      </c>
      <c r="B510" s="1" t="s">
        <v>3607</v>
      </c>
      <c r="C510" s="1" t="s">
        <v>3894</v>
      </c>
      <c r="D510" s="1" t="s">
        <v>3894</v>
      </c>
      <c r="E510" s="81">
        <v>833.35</v>
      </c>
      <c r="F510" s="81">
        <v>833.35</v>
      </c>
    </row>
    <row r="511" spans="1:6" x14ac:dyDescent="0.2">
      <c r="A511" s="1" t="s">
        <v>179</v>
      </c>
      <c r="B511" s="1" t="s">
        <v>3608</v>
      </c>
      <c r="C511" s="1" t="s">
        <v>101</v>
      </c>
      <c r="D511" s="1" t="s">
        <v>101</v>
      </c>
      <c r="E511" s="81">
        <v>0</v>
      </c>
      <c r="F511" s="81">
        <v>0</v>
      </c>
    </row>
    <row r="512" spans="1:6" x14ac:dyDescent="0.2">
      <c r="A512" s="1" t="s">
        <v>179</v>
      </c>
      <c r="B512" s="1" t="s">
        <v>3609</v>
      </c>
      <c r="C512" s="1" t="s">
        <v>101</v>
      </c>
      <c r="D512" s="1" t="s">
        <v>101</v>
      </c>
      <c r="E512" s="81">
        <v>0</v>
      </c>
      <c r="F512" s="81">
        <v>0</v>
      </c>
    </row>
    <row r="513" spans="1:6" x14ac:dyDescent="0.2">
      <c r="A513" s="1" t="s">
        <v>179</v>
      </c>
      <c r="B513" s="1" t="s">
        <v>3610</v>
      </c>
      <c r="C513" s="1" t="s">
        <v>101</v>
      </c>
      <c r="D513" s="1" t="s">
        <v>101</v>
      </c>
      <c r="E513" s="81">
        <v>0</v>
      </c>
      <c r="F513" s="81">
        <v>0</v>
      </c>
    </row>
    <row r="514" spans="1:6" x14ac:dyDescent="0.2">
      <c r="A514" s="1" t="s">
        <v>179</v>
      </c>
      <c r="B514" s="1" t="s">
        <v>3611</v>
      </c>
      <c r="C514" s="1" t="s">
        <v>101</v>
      </c>
      <c r="D514" s="1" t="s">
        <v>101</v>
      </c>
      <c r="E514" s="81">
        <v>0</v>
      </c>
      <c r="F514" s="81">
        <v>0</v>
      </c>
    </row>
    <row r="515" spans="1:6" x14ac:dyDescent="0.2">
      <c r="A515" s="1" t="s">
        <v>179</v>
      </c>
      <c r="B515" s="1" t="s">
        <v>3612</v>
      </c>
      <c r="C515" s="1" t="s">
        <v>101</v>
      </c>
      <c r="D515" s="1" t="s">
        <v>101</v>
      </c>
      <c r="E515" s="81">
        <v>0</v>
      </c>
      <c r="F515" s="81">
        <v>0</v>
      </c>
    </row>
    <row r="516" spans="1:6" x14ac:dyDescent="0.2">
      <c r="A516" s="1" t="s">
        <v>179</v>
      </c>
      <c r="B516" s="1" t="s">
        <v>3613</v>
      </c>
      <c r="C516" s="1" t="s">
        <v>101</v>
      </c>
      <c r="D516" s="1" t="s">
        <v>101</v>
      </c>
      <c r="E516" s="81">
        <v>0</v>
      </c>
      <c r="F516" s="81">
        <v>0</v>
      </c>
    </row>
    <row r="517" spans="1:6" x14ac:dyDescent="0.2">
      <c r="A517" s="1" t="s">
        <v>179</v>
      </c>
      <c r="B517" s="1" t="s">
        <v>1169</v>
      </c>
      <c r="C517" s="1" t="s">
        <v>3895</v>
      </c>
      <c r="D517" s="1" t="s">
        <v>3895</v>
      </c>
      <c r="E517" s="81">
        <v>17707.09</v>
      </c>
      <c r="F517" s="81">
        <v>17707.09</v>
      </c>
    </row>
    <row r="518" spans="1:6" x14ac:dyDescent="0.2">
      <c r="A518" s="1" t="s">
        <v>179</v>
      </c>
      <c r="B518" s="1" t="s">
        <v>1170</v>
      </c>
      <c r="C518" s="1" t="s">
        <v>3896</v>
      </c>
      <c r="D518" s="1" t="s">
        <v>3896</v>
      </c>
      <c r="E518" s="81">
        <v>19563.45</v>
      </c>
      <c r="F518" s="81">
        <v>19563.45</v>
      </c>
    </row>
    <row r="519" spans="1:6" x14ac:dyDescent="0.2">
      <c r="A519" s="1" t="s">
        <v>179</v>
      </c>
      <c r="B519" s="1" t="s">
        <v>1171</v>
      </c>
      <c r="C519" s="1" t="s">
        <v>3897</v>
      </c>
      <c r="D519" s="1" t="s">
        <v>3897</v>
      </c>
      <c r="E519" s="81">
        <v>44973.38</v>
      </c>
      <c r="F519" s="81">
        <v>44973.38</v>
      </c>
    </row>
    <row r="520" spans="1:6" x14ac:dyDescent="0.2">
      <c r="A520" s="1" t="s">
        <v>179</v>
      </c>
      <c r="B520" s="1" t="s">
        <v>1172</v>
      </c>
      <c r="C520" s="1" t="s">
        <v>101</v>
      </c>
      <c r="D520" s="1" t="s">
        <v>101</v>
      </c>
      <c r="E520" s="81">
        <v>0</v>
      </c>
      <c r="F520" s="81">
        <v>0</v>
      </c>
    </row>
    <row r="521" spans="1:6" x14ac:dyDescent="0.2">
      <c r="A521" s="1" t="s">
        <v>179</v>
      </c>
      <c r="B521" s="1" t="s">
        <v>1173</v>
      </c>
      <c r="C521" s="1" t="s">
        <v>101</v>
      </c>
      <c r="D521" s="1" t="s">
        <v>101</v>
      </c>
      <c r="E521" s="81">
        <v>0</v>
      </c>
      <c r="F521" s="81">
        <v>0</v>
      </c>
    </row>
    <row r="522" spans="1:6" x14ac:dyDescent="0.2">
      <c r="A522" s="1" t="s">
        <v>179</v>
      </c>
      <c r="B522" s="1" t="s">
        <v>1174</v>
      </c>
      <c r="C522" s="1" t="s">
        <v>101</v>
      </c>
      <c r="D522" s="1" t="s">
        <v>101</v>
      </c>
      <c r="E522" s="81">
        <v>0</v>
      </c>
      <c r="F522" s="81">
        <v>0</v>
      </c>
    </row>
    <row r="523" spans="1:6" x14ac:dyDescent="0.2">
      <c r="A523" s="1" t="s">
        <v>179</v>
      </c>
      <c r="B523" s="1" t="s">
        <v>1175</v>
      </c>
      <c r="C523" s="1" t="s">
        <v>101</v>
      </c>
      <c r="D523" s="1" t="s">
        <v>101</v>
      </c>
      <c r="E523" s="81">
        <v>0</v>
      </c>
      <c r="F523" s="81">
        <v>0</v>
      </c>
    </row>
    <row r="524" spans="1:6" x14ac:dyDescent="0.2">
      <c r="A524" s="1" t="s">
        <v>179</v>
      </c>
      <c r="B524" s="1" t="s">
        <v>1176</v>
      </c>
      <c r="C524" s="1" t="s">
        <v>101</v>
      </c>
      <c r="D524" s="1" t="s">
        <v>101</v>
      </c>
      <c r="E524" s="81">
        <v>0</v>
      </c>
      <c r="F524" s="81">
        <v>0</v>
      </c>
    </row>
    <row r="525" spans="1:6" x14ac:dyDescent="0.2">
      <c r="A525" s="1" t="s">
        <v>179</v>
      </c>
      <c r="B525" s="1" t="s">
        <v>1177</v>
      </c>
      <c r="C525" s="1" t="s">
        <v>101</v>
      </c>
      <c r="D525" s="1" t="s">
        <v>101</v>
      </c>
      <c r="E525" s="81">
        <v>0</v>
      </c>
      <c r="F525" s="81">
        <v>0</v>
      </c>
    </row>
    <row r="526" spans="1:6" x14ac:dyDescent="0.2">
      <c r="A526" s="1" t="s">
        <v>179</v>
      </c>
      <c r="B526" s="1" t="s">
        <v>1178</v>
      </c>
      <c r="C526" s="1" t="s">
        <v>101</v>
      </c>
      <c r="D526" s="1" t="s">
        <v>101</v>
      </c>
      <c r="E526" s="81">
        <v>0</v>
      </c>
      <c r="F526" s="81">
        <v>0</v>
      </c>
    </row>
    <row r="527" spans="1:6" x14ac:dyDescent="0.2">
      <c r="A527" s="1" t="s">
        <v>179</v>
      </c>
      <c r="B527" s="1" t="s">
        <v>1179</v>
      </c>
      <c r="C527" s="1" t="s">
        <v>101</v>
      </c>
      <c r="D527" s="1" t="s">
        <v>101</v>
      </c>
      <c r="E527" s="81">
        <v>0</v>
      </c>
      <c r="F527" s="81">
        <v>0</v>
      </c>
    </row>
    <row r="528" spans="1:6" x14ac:dyDescent="0.2">
      <c r="A528" s="1" t="s">
        <v>179</v>
      </c>
      <c r="B528" s="1" t="s">
        <v>1180</v>
      </c>
      <c r="C528" s="1" t="s">
        <v>101</v>
      </c>
      <c r="D528" s="1" t="s">
        <v>101</v>
      </c>
      <c r="E528" s="81">
        <v>0</v>
      </c>
      <c r="F528" s="81">
        <v>0</v>
      </c>
    </row>
    <row r="529" spans="1:6" x14ac:dyDescent="0.2">
      <c r="A529" s="1" t="s">
        <v>179</v>
      </c>
      <c r="B529" s="1" t="s">
        <v>1217</v>
      </c>
      <c r="C529" s="1" t="s">
        <v>3898</v>
      </c>
      <c r="D529" s="1" t="s">
        <v>3898</v>
      </c>
      <c r="E529" s="81">
        <v>82243.929999999993</v>
      </c>
      <c r="F529" s="81">
        <v>82243.929999999993</v>
      </c>
    </row>
    <row r="530" spans="1:6" x14ac:dyDescent="0.2">
      <c r="A530" s="1" t="s">
        <v>179</v>
      </c>
      <c r="B530" s="1" t="s">
        <v>1218</v>
      </c>
      <c r="C530" s="1" t="s">
        <v>3895</v>
      </c>
      <c r="D530" s="1" t="s">
        <v>3895</v>
      </c>
      <c r="E530" s="81">
        <v>17707.09</v>
      </c>
      <c r="F530" s="81">
        <v>17707.09</v>
      </c>
    </row>
    <row r="531" spans="1:6" x14ac:dyDescent="0.2">
      <c r="A531" s="1" t="s">
        <v>179</v>
      </c>
      <c r="B531" s="1" t="s">
        <v>1219</v>
      </c>
      <c r="C531" s="1" t="s">
        <v>3896</v>
      </c>
      <c r="D531" s="1" t="s">
        <v>3896</v>
      </c>
      <c r="E531" s="81">
        <v>19563.45</v>
      </c>
      <c r="F531" s="81">
        <v>19563.45</v>
      </c>
    </row>
    <row r="532" spans="1:6" x14ac:dyDescent="0.2">
      <c r="A532" s="1" t="s">
        <v>179</v>
      </c>
      <c r="B532" s="1" t="s">
        <v>1220</v>
      </c>
      <c r="C532" s="1" t="s">
        <v>3897</v>
      </c>
      <c r="D532" s="1" t="s">
        <v>3897</v>
      </c>
      <c r="E532" s="81">
        <v>44973.38</v>
      </c>
      <c r="F532" s="81">
        <v>44973.38</v>
      </c>
    </row>
    <row r="533" spans="1:6" x14ac:dyDescent="0.2">
      <c r="A533" s="1" t="s">
        <v>179</v>
      </c>
      <c r="B533" s="1" t="s">
        <v>1221</v>
      </c>
      <c r="C533" s="1" t="s">
        <v>101</v>
      </c>
      <c r="D533" s="1" t="s">
        <v>101</v>
      </c>
      <c r="E533" s="81">
        <v>0</v>
      </c>
      <c r="F533" s="81">
        <v>0</v>
      </c>
    </row>
    <row r="534" spans="1:6" x14ac:dyDescent="0.2">
      <c r="A534" s="1" t="s">
        <v>179</v>
      </c>
      <c r="B534" s="1" t="s">
        <v>1222</v>
      </c>
      <c r="C534" s="1" t="s">
        <v>101</v>
      </c>
      <c r="D534" s="1" t="s">
        <v>101</v>
      </c>
      <c r="E534" s="81">
        <v>0</v>
      </c>
      <c r="F534" s="81">
        <v>0</v>
      </c>
    </row>
    <row r="535" spans="1:6" x14ac:dyDescent="0.2">
      <c r="A535" s="1" t="s">
        <v>179</v>
      </c>
      <c r="B535" s="1" t="s">
        <v>1223</v>
      </c>
      <c r="C535" s="1" t="s">
        <v>101</v>
      </c>
      <c r="D535" s="1" t="s">
        <v>101</v>
      </c>
      <c r="E535" s="81">
        <v>0</v>
      </c>
      <c r="F535" s="81">
        <v>0</v>
      </c>
    </row>
    <row r="536" spans="1:6" x14ac:dyDescent="0.2">
      <c r="A536" s="1" t="s">
        <v>179</v>
      </c>
      <c r="B536" s="1" t="s">
        <v>1224</v>
      </c>
      <c r="C536" s="1" t="s">
        <v>101</v>
      </c>
      <c r="D536" s="1" t="s">
        <v>101</v>
      </c>
      <c r="E536" s="81">
        <v>0</v>
      </c>
      <c r="F536" s="81">
        <v>0</v>
      </c>
    </row>
    <row r="537" spans="1:6" x14ac:dyDescent="0.2">
      <c r="A537" s="1" t="s">
        <v>179</v>
      </c>
      <c r="B537" s="1" t="s">
        <v>1225</v>
      </c>
      <c r="C537" s="1" t="s">
        <v>101</v>
      </c>
      <c r="D537" s="1" t="s">
        <v>101</v>
      </c>
      <c r="E537" s="81">
        <v>0</v>
      </c>
      <c r="F537" s="81">
        <v>0</v>
      </c>
    </row>
    <row r="538" spans="1:6" x14ac:dyDescent="0.2">
      <c r="A538" s="1" t="s">
        <v>179</v>
      </c>
      <c r="B538" s="1" t="s">
        <v>1226</v>
      </c>
      <c r="C538" s="1" t="s">
        <v>101</v>
      </c>
      <c r="D538" s="1" t="s">
        <v>101</v>
      </c>
      <c r="E538" s="81">
        <v>0</v>
      </c>
      <c r="F538" s="81">
        <v>0</v>
      </c>
    </row>
    <row r="539" spans="1:6" x14ac:dyDescent="0.2">
      <c r="A539" s="1" t="s">
        <v>179</v>
      </c>
      <c r="B539" s="1" t="s">
        <v>1227</v>
      </c>
      <c r="C539" s="1" t="s">
        <v>101</v>
      </c>
      <c r="D539" s="1" t="s">
        <v>101</v>
      </c>
      <c r="E539" s="81">
        <v>0</v>
      </c>
      <c r="F539" s="81">
        <v>0</v>
      </c>
    </row>
    <row r="540" spans="1:6" x14ac:dyDescent="0.2">
      <c r="A540" s="1" t="s">
        <v>179</v>
      </c>
      <c r="B540" s="1" t="s">
        <v>1228</v>
      </c>
      <c r="C540" s="1" t="s">
        <v>101</v>
      </c>
      <c r="D540" s="1" t="s">
        <v>101</v>
      </c>
      <c r="E540" s="81">
        <v>0</v>
      </c>
      <c r="F540" s="81">
        <v>0</v>
      </c>
    </row>
    <row r="541" spans="1:6" x14ac:dyDescent="0.2">
      <c r="A541" s="1" t="s">
        <v>179</v>
      </c>
      <c r="B541" s="1" t="s">
        <v>1229</v>
      </c>
      <c r="C541" s="1" t="s">
        <v>101</v>
      </c>
      <c r="D541" s="1" t="s">
        <v>101</v>
      </c>
      <c r="E541" s="81">
        <v>0</v>
      </c>
      <c r="F541" s="81">
        <v>0</v>
      </c>
    </row>
    <row r="542" spans="1:6" x14ac:dyDescent="0.2">
      <c r="A542" s="1" t="s">
        <v>179</v>
      </c>
      <c r="B542" s="1" t="s">
        <v>1230</v>
      </c>
      <c r="C542" s="1" t="s">
        <v>3898</v>
      </c>
      <c r="D542" s="1" t="s">
        <v>3898</v>
      </c>
      <c r="E542" s="81">
        <v>82243.929999999993</v>
      </c>
      <c r="F542" s="81">
        <v>82243.929999999993</v>
      </c>
    </row>
    <row r="543" spans="1:6" x14ac:dyDescent="0.2">
      <c r="A543" s="1" t="s">
        <v>179</v>
      </c>
      <c r="B543" s="1" t="s">
        <v>1231</v>
      </c>
      <c r="C543" s="1" t="s">
        <v>101</v>
      </c>
      <c r="D543" s="1" t="s">
        <v>101</v>
      </c>
      <c r="E543" s="81">
        <v>0</v>
      </c>
      <c r="F543" s="81">
        <v>0</v>
      </c>
    </row>
    <row r="544" spans="1:6" x14ac:dyDescent="0.2">
      <c r="A544" s="1" t="s">
        <v>179</v>
      </c>
      <c r="B544" s="1" t="s">
        <v>1232</v>
      </c>
      <c r="C544" s="1" t="s">
        <v>101</v>
      </c>
      <c r="D544" s="1" t="s">
        <v>101</v>
      </c>
      <c r="E544" s="81">
        <v>0</v>
      </c>
      <c r="F544" s="81">
        <v>0</v>
      </c>
    </row>
    <row r="545" spans="1:6" x14ac:dyDescent="0.2">
      <c r="A545" s="1" t="s">
        <v>179</v>
      </c>
      <c r="B545" s="1" t="s">
        <v>1233</v>
      </c>
      <c r="C545" s="1" t="s">
        <v>101</v>
      </c>
      <c r="D545" s="1" t="s">
        <v>101</v>
      </c>
      <c r="E545" s="81">
        <v>0</v>
      </c>
      <c r="F545" s="81">
        <v>0</v>
      </c>
    </row>
    <row r="546" spans="1:6" x14ac:dyDescent="0.2">
      <c r="A546" s="1" t="s">
        <v>179</v>
      </c>
      <c r="B546" s="1" t="s">
        <v>1234</v>
      </c>
      <c r="C546" s="1" t="s">
        <v>101</v>
      </c>
      <c r="D546" s="1" t="s">
        <v>101</v>
      </c>
      <c r="E546" s="81">
        <v>0</v>
      </c>
      <c r="F546" s="81">
        <v>0</v>
      </c>
    </row>
    <row r="547" spans="1:6" x14ac:dyDescent="0.2">
      <c r="A547" s="1" t="s">
        <v>179</v>
      </c>
      <c r="B547" s="1" t="s">
        <v>1235</v>
      </c>
      <c r="C547" s="1" t="s">
        <v>101</v>
      </c>
      <c r="D547" s="1" t="s">
        <v>101</v>
      </c>
      <c r="E547" s="81">
        <v>0</v>
      </c>
      <c r="F547" s="81">
        <v>0</v>
      </c>
    </row>
    <row r="548" spans="1:6" x14ac:dyDescent="0.2">
      <c r="A548" s="1" t="s">
        <v>179</v>
      </c>
      <c r="B548" s="1" t="s">
        <v>1236</v>
      </c>
      <c r="C548" s="1" t="s">
        <v>101</v>
      </c>
      <c r="D548" s="1" t="s">
        <v>101</v>
      </c>
      <c r="E548" s="81">
        <v>0</v>
      </c>
      <c r="F548" s="81">
        <v>0</v>
      </c>
    </row>
    <row r="549" spans="1:6" x14ac:dyDescent="0.2">
      <c r="A549" s="1" t="s">
        <v>179</v>
      </c>
      <c r="B549" s="1" t="s">
        <v>1237</v>
      </c>
      <c r="C549" s="1" t="s">
        <v>101</v>
      </c>
      <c r="D549" s="1" t="s">
        <v>101</v>
      </c>
      <c r="E549" s="81">
        <v>0</v>
      </c>
      <c r="F549" s="81">
        <v>0</v>
      </c>
    </row>
    <row r="550" spans="1:6" x14ac:dyDescent="0.2">
      <c r="A550" s="1" t="s">
        <v>179</v>
      </c>
      <c r="B550" s="1" t="s">
        <v>1238</v>
      </c>
      <c r="C550" s="1" t="s">
        <v>101</v>
      </c>
      <c r="D550" s="1" t="s">
        <v>101</v>
      </c>
      <c r="E550" s="81">
        <v>0</v>
      </c>
      <c r="F550" s="81">
        <v>0</v>
      </c>
    </row>
    <row r="551" spans="1:6" x14ac:dyDescent="0.2">
      <c r="A551" s="1" t="s">
        <v>179</v>
      </c>
      <c r="B551" s="1" t="s">
        <v>1239</v>
      </c>
      <c r="C551" s="1" t="s">
        <v>101</v>
      </c>
      <c r="D551" s="1" t="s">
        <v>101</v>
      </c>
      <c r="E551" s="81">
        <v>0</v>
      </c>
      <c r="F551" s="81">
        <v>0</v>
      </c>
    </row>
    <row r="552" spans="1:6" x14ac:dyDescent="0.2">
      <c r="A552" s="1" t="s">
        <v>179</v>
      </c>
      <c r="B552" s="1" t="s">
        <v>1240</v>
      </c>
      <c r="C552" s="1" t="s">
        <v>101</v>
      </c>
      <c r="D552" s="1" t="s">
        <v>101</v>
      </c>
      <c r="E552" s="81">
        <v>0</v>
      </c>
      <c r="F552" s="81">
        <v>0</v>
      </c>
    </row>
    <row r="553" spans="1:6" x14ac:dyDescent="0.2">
      <c r="A553" s="1" t="s">
        <v>179</v>
      </c>
      <c r="B553" s="1" t="s">
        <v>1241</v>
      </c>
      <c r="C553" s="1" t="s">
        <v>101</v>
      </c>
      <c r="D553" s="1" t="s">
        <v>101</v>
      </c>
      <c r="E553" s="81">
        <v>0</v>
      </c>
      <c r="F553" s="81">
        <v>0</v>
      </c>
    </row>
    <row r="554" spans="1:6" x14ac:dyDescent="0.2">
      <c r="A554" s="1" t="s">
        <v>179</v>
      </c>
      <c r="B554" s="1" t="s">
        <v>1242</v>
      </c>
      <c r="C554" s="1" t="s">
        <v>101</v>
      </c>
      <c r="D554" s="1" t="s">
        <v>101</v>
      </c>
      <c r="E554" s="81">
        <v>0</v>
      </c>
      <c r="F554" s="81">
        <v>0</v>
      </c>
    </row>
    <row r="555" spans="1:6" x14ac:dyDescent="0.2">
      <c r="A555" s="1" t="s">
        <v>179</v>
      </c>
      <c r="B555" s="1" t="s">
        <v>1243</v>
      </c>
      <c r="C555" s="1" t="s">
        <v>101</v>
      </c>
      <c r="D555" s="1" t="s">
        <v>101</v>
      </c>
      <c r="E555" s="81">
        <v>0</v>
      </c>
      <c r="F555" s="81">
        <v>0</v>
      </c>
    </row>
    <row r="556" spans="1:6" x14ac:dyDescent="0.2">
      <c r="A556" s="1" t="s">
        <v>179</v>
      </c>
      <c r="B556" s="1" t="s">
        <v>1244</v>
      </c>
      <c r="C556" s="1" t="s">
        <v>101</v>
      </c>
      <c r="D556" s="1" t="s">
        <v>101</v>
      </c>
      <c r="E556" s="81">
        <v>0</v>
      </c>
      <c r="F556" s="81">
        <v>0</v>
      </c>
    </row>
    <row r="557" spans="1:6" x14ac:dyDescent="0.2">
      <c r="A557" s="1" t="s">
        <v>179</v>
      </c>
      <c r="B557" s="1" t="s">
        <v>1245</v>
      </c>
      <c r="C557" s="1" t="s">
        <v>101</v>
      </c>
      <c r="D557" s="1" t="s">
        <v>101</v>
      </c>
      <c r="E557" s="81">
        <v>0</v>
      </c>
      <c r="F557" s="81">
        <v>0</v>
      </c>
    </row>
    <row r="558" spans="1:6" x14ac:dyDescent="0.2">
      <c r="A558" s="1" t="s">
        <v>179</v>
      </c>
      <c r="B558" s="1" t="s">
        <v>1246</v>
      </c>
      <c r="C558" s="1" t="s">
        <v>101</v>
      </c>
      <c r="D558" s="1" t="s">
        <v>101</v>
      </c>
      <c r="E558" s="81">
        <v>0</v>
      </c>
      <c r="F558" s="81">
        <v>0</v>
      </c>
    </row>
    <row r="559" spans="1:6" x14ac:dyDescent="0.2">
      <c r="A559" s="1" t="s">
        <v>179</v>
      </c>
      <c r="B559" s="1" t="s">
        <v>1247</v>
      </c>
      <c r="C559" s="1" t="s">
        <v>101</v>
      </c>
      <c r="D559" s="1" t="s">
        <v>101</v>
      </c>
      <c r="E559" s="81">
        <v>0</v>
      </c>
      <c r="F559" s="81">
        <v>0</v>
      </c>
    </row>
    <row r="560" spans="1:6" x14ac:dyDescent="0.2">
      <c r="A560" s="1" t="s">
        <v>179</v>
      </c>
      <c r="B560" s="1" t="s">
        <v>1248</v>
      </c>
      <c r="C560" s="1" t="s">
        <v>101</v>
      </c>
      <c r="D560" s="1" t="s">
        <v>101</v>
      </c>
      <c r="E560" s="81">
        <v>0</v>
      </c>
      <c r="F560" s="81">
        <v>0</v>
      </c>
    </row>
    <row r="561" spans="1:6" x14ac:dyDescent="0.2">
      <c r="A561" s="1" t="s">
        <v>179</v>
      </c>
      <c r="B561" s="1" t="s">
        <v>1249</v>
      </c>
      <c r="C561" s="1" t="s">
        <v>101</v>
      </c>
      <c r="D561" s="1" t="s">
        <v>101</v>
      </c>
      <c r="E561" s="81">
        <v>0</v>
      </c>
      <c r="F561" s="81">
        <v>0</v>
      </c>
    </row>
    <row r="562" spans="1:6" x14ac:dyDescent="0.2">
      <c r="A562" s="1" t="s">
        <v>179</v>
      </c>
      <c r="B562" s="1" t="s">
        <v>1250</v>
      </c>
      <c r="C562" s="1" t="s">
        <v>101</v>
      </c>
      <c r="D562" s="1" t="s">
        <v>101</v>
      </c>
      <c r="E562" s="81">
        <v>0</v>
      </c>
      <c r="F562" s="81">
        <v>0</v>
      </c>
    </row>
    <row r="563" spans="1:6" x14ac:dyDescent="0.2">
      <c r="A563" s="1" t="s">
        <v>179</v>
      </c>
      <c r="B563" s="1" t="s">
        <v>1251</v>
      </c>
      <c r="C563" s="1" t="s">
        <v>101</v>
      </c>
      <c r="D563" s="1" t="s">
        <v>101</v>
      </c>
      <c r="E563" s="81">
        <v>0</v>
      </c>
      <c r="F563" s="81">
        <v>0</v>
      </c>
    </row>
    <row r="564" spans="1:6" x14ac:dyDescent="0.2">
      <c r="A564" s="1" t="s">
        <v>179</v>
      </c>
      <c r="B564" s="1" t="s">
        <v>1252</v>
      </c>
      <c r="C564" s="1" t="s">
        <v>101</v>
      </c>
      <c r="D564" s="1" t="s">
        <v>101</v>
      </c>
      <c r="E564" s="81">
        <v>0</v>
      </c>
      <c r="F564" s="81">
        <v>0</v>
      </c>
    </row>
    <row r="565" spans="1:6" x14ac:dyDescent="0.2">
      <c r="A565" s="1" t="s">
        <v>179</v>
      </c>
      <c r="B565" s="1" t="s">
        <v>1253</v>
      </c>
      <c r="C565" s="1" t="s">
        <v>101</v>
      </c>
      <c r="D565" s="1" t="s">
        <v>101</v>
      </c>
      <c r="E565" s="81">
        <v>0</v>
      </c>
      <c r="F565" s="81">
        <v>0</v>
      </c>
    </row>
    <row r="566" spans="1:6" x14ac:dyDescent="0.2">
      <c r="A566" s="1" t="s">
        <v>179</v>
      </c>
      <c r="B566" s="1" t="s">
        <v>1254</v>
      </c>
      <c r="C566" s="1" t="s">
        <v>101</v>
      </c>
      <c r="D566" s="1" t="s">
        <v>101</v>
      </c>
      <c r="E566" s="81">
        <v>0</v>
      </c>
      <c r="F566" s="81">
        <v>0</v>
      </c>
    </row>
    <row r="567" spans="1:6" x14ac:dyDescent="0.2">
      <c r="A567" s="1" t="s">
        <v>179</v>
      </c>
      <c r="B567" s="1" t="s">
        <v>1255</v>
      </c>
      <c r="C567" s="1" t="s">
        <v>101</v>
      </c>
      <c r="D567" s="1" t="s">
        <v>101</v>
      </c>
      <c r="E567" s="81">
        <v>0</v>
      </c>
      <c r="F567" s="81">
        <v>0</v>
      </c>
    </row>
    <row r="568" spans="1:6" x14ac:dyDescent="0.2">
      <c r="A568" s="1" t="s">
        <v>179</v>
      </c>
      <c r="B568" s="1" t="s">
        <v>1256</v>
      </c>
      <c r="C568" s="1" t="s">
        <v>101</v>
      </c>
      <c r="D568" s="1" t="s">
        <v>101</v>
      </c>
      <c r="E568" s="81">
        <v>0</v>
      </c>
      <c r="F568" s="81">
        <v>0</v>
      </c>
    </row>
    <row r="569" spans="1:6" x14ac:dyDescent="0.2">
      <c r="A569" s="1" t="s">
        <v>179</v>
      </c>
      <c r="B569" s="1" t="s">
        <v>1257</v>
      </c>
      <c r="C569" s="1" t="s">
        <v>101</v>
      </c>
      <c r="D569" s="1" t="s">
        <v>101</v>
      </c>
      <c r="E569" s="81">
        <v>0</v>
      </c>
      <c r="F569" s="81">
        <v>0</v>
      </c>
    </row>
    <row r="570" spans="1:6" x14ac:dyDescent="0.2">
      <c r="A570" s="1" t="s">
        <v>179</v>
      </c>
      <c r="B570" s="1" t="s">
        <v>1258</v>
      </c>
      <c r="C570" s="1" t="s">
        <v>101</v>
      </c>
      <c r="D570" s="1" t="s">
        <v>101</v>
      </c>
      <c r="E570" s="81">
        <v>0</v>
      </c>
      <c r="F570" s="81">
        <v>0</v>
      </c>
    </row>
    <row r="571" spans="1:6" x14ac:dyDescent="0.2">
      <c r="A571" s="1" t="s">
        <v>179</v>
      </c>
      <c r="B571" s="1" t="s">
        <v>1259</v>
      </c>
      <c r="C571" s="1" t="s">
        <v>101</v>
      </c>
      <c r="D571" s="1" t="s">
        <v>101</v>
      </c>
      <c r="E571" s="81">
        <v>0</v>
      </c>
      <c r="F571" s="81">
        <v>0</v>
      </c>
    </row>
    <row r="572" spans="1:6" x14ac:dyDescent="0.2">
      <c r="A572" s="1" t="s">
        <v>179</v>
      </c>
      <c r="B572" s="1" t="s">
        <v>1260</v>
      </c>
      <c r="C572" s="1" t="s">
        <v>101</v>
      </c>
      <c r="D572" s="1" t="s">
        <v>101</v>
      </c>
      <c r="E572" s="81">
        <v>0</v>
      </c>
      <c r="F572" s="81">
        <v>0</v>
      </c>
    </row>
    <row r="573" spans="1:6" x14ac:dyDescent="0.2">
      <c r="A573" s="1" t="s">
        <v>179</v>
      </c>
      <c r="B573" s="1" t="s">
        <v>1261</v>
      </c>
      <c r="C573" s="1" t="s">
        <v>101</v>
      </c>
      <c r="D573" s="1" t="s">
        <v>101</v>
      </c>
      <c r="E573" s="81">
        <v>0</v>
      </c>
      <c r="F573" s="81">
        <v>0</v>
      </c>
    </row>
    <row r="574" spans="1:6" x14ac:dyDescent="0.2">
      <c r="A574" s="1" t="s">
        <v>179</v>
      </c>
      <c r="B574" s="1" t="s">
        <v>1262</v>
      </c>
      <c r="C574" s="1" t="s">
        <v>101</v>
      </c>
      <c r="D574" s="1" t="s">
        <v>101</v>
      </c>
      <c r="E574" s="81">
        <v>0</v>
      </c>
      <c r="F574" s="81">
        <v>0</v>
      </c>
    </row>
    <row r="575" spans="1:6" x14ac:dyDescent="0.2">
      <c r="A575" s="1" t="s">
        <v>179</v>
      </c>
      <c r="B575" s="1" t="s">
        <v>1263</v>
      </c>
      <c r="C575" s="1" t="s">
        <v>101</v>
      </c>
      <c r="D575" s="1" t="s">
        <v>101</v>
      </c>
      <c r="E575" s="81">
        <v>0</v>
      </c>
      <c r="F575" s="81">
        <v>0</v>
      </c>
    </row>
    <row r="576" spans="1:6" x14ac:dyDescent="0.2">
      <c r="A576" s="1" t="s">
        <v>179</v>
      </c>
      <c r="B576" s="1" t="s">
        <v>1264</v>
      </c>
      <c r="C576" s="1" t="s">
        <v>101</v>
      </c>
      <c r="D576" s="1" t="s">
        <v>101</v>
      </c>
      <c r="E576" s="81">
        <v>0</v>
      </c>
      <c r="F576" s="81">
        <v>0</v>
      </c>
    </row>
    <row r="577" spans="1:6" x14ac:dyDescent="0.2">
      <c r="A577" s="1" t="s">
        <v>179</v>
      </c>
      <c r="B577" s="1" t="s">
        <v>1265</v>
      </c>
      <c r="C577" s="1" t="s">
        <v>101</v>
      </c>
      <c r="D577" s="1" t="s">
        <v>101</v>
      </c>
      <c r="E577" s="81">
        <v>0</v>
      </c>
      <c r="F577" s="81">
        <v>0</v>
      </c>
    </row>
    <row r="578" spans="1:6" x14ac:dyDescent="0.2">
      <c r="A578" s="1" t="s">
        <v>179</v>
      </c>
      <c r="B578" s="1" t="s">
        <v>1266</v>
      </c>
      <c r="C578" s="1" t="s">
        <v>101</v>
      </c>
      <c r="D578" s="1" t="s">
        <v>101</v>
      </c>
      <c r="E578" s="81">
        <v>0</v>
      </c>
      <c r="F578" s="81">
        <v>0</v>
      </c>
    </row>
    <row r="579" spans="1:6" x14ac:dyDescent="0.2">
      <c r="A579" s="1" t="s">
        <v>179</v>
      </c>
      <c r="B579" s="1" t="s">
        <v>1267</v>
      </c>
      <c r="C579" s="1" t="s">
        <v>101</v>
      </c>
      <c r="D579" s="1" t="s">
        <v>101</v>
      </c>
      <c r="E579" s="81">
        <v>0</v>
      </c>
      <c r="F579" s="81">
        <v>0</v>
      </c>
    </row>
    <row r="580" spans="1:6" x14ac:dyDescent="0.2">
      <c r="A580" s="1" t="s">
        <v>179</v>
      </c>
      <c r="B580" s="1" t="s">
        <v>1268</v>
      </c>
      <c r="C580" s="1" t="s">
        <v>101</v>
      </c>
      <c r="D580" s="1" t="s">
        <v>101</v>
      </c>
      <c r="E580" s="81">
        <v>0</v>
      </c>
      <c r="F580" s="81">
        <v>0</v>
      </c>
    </row>
    <row r="581" spans="1:6" x14ac:dyDescent="0.2">
      <c r="A581" s="1" t="s">
        <v>179</v>
      </c>
      <c r="B581" s="1" t="s">
        <v>1269</v>
      </c>
      <c r="C581" s="1" t="s">
        <v>101</v>
      </c>
      <c r="D581" s="1" t="s">
        <v>101</v>
      </c>
      <c r="E581" s="81">
        <v>0</v>
      </c>
      <c r="F581" s="81">
        <v>0</v>
      </c>
    </row>
    <row r="582" spans="1:6" x14ac:dyDescent="0.2">
      <c r="A582" s="1" t="s">
        <v>179</v>
      </c>
      <c r="B582" s="1" t="s">
        <v>1270</v>
      </c>
      <c r="C582" s="1" t="s">
        <v>101</v>
      </c>
      <c r="D582" s="1" t="s">
        <v>101</v>
      </c>
      <c r="E582" s="81">
        <v>0</v>
      </c>
      <c r="F582" s="81">
        <v>0</v>
      </c>
    </row>
    <row r="583" spans="1:6" x14ac:dyDescent="0.2">
      <c r="A583" s="1" t="s">
        <v>179</v>
      </c>
      <c r="B583" s="1" t="s">
        <v>1271</v>
      </c>
      <c r="C583" s="1" t="s">
        <v>101</v>
      </c>
      <c r="D583" s="1" t="s">
        <v>101</v>
      </c>
      <c r="E583" s="81">
        <v>0</v>
      </c>
      <c r="F583" s="81">
        <v>0</v>
      </c>
    </row>
    <row r="584" spans="1:6" x14ac:dyDescent="0.2">
      <c r="A584" s="1" t="s">
        <v>179</v>
      </c>
      <c r="B584" s="1" t="s">
        <v>1272</v>
      </c>
      <c r="C584" s="1" t="s">
        <v>101</v>
      </c>
      <c r="D584" s="1" t="s">
        <v>101</v>
      </c>
      <c r="E584" s="81">
        <v>0</v>
      </c>
      <c r="F584" s="81">
        <v>0</v>
      </c>
    </row>
    <row r="585" spans="1:6" x14ac:dyDescent="0.2">
      <c r="A585" s="1" t="s">
        <v>179</v>
      </c>
      <c r="B585" s="1" t="s">
        <v>1273</v>
      </c>
      <c r="C585" s="1" t="s">
        <v>101</v>
      </c>
      <c r="D585" s="1" t="s">
        <v>101</v>
      </c>
      <c r="E585" s="81">
        <v>0</v>
      </c>
      <c r="F585" s="81">
        <v>0</v>
      </c>
    </row>
    <row r="586" spans="1:6" x14ac:dyDescent="0.2">
      <c r="A586" s="1" t="s">
        <v>179</v>
      </c>
      <c r="B586" s="1" t="s">
        <v>1274</v>
      </c>
      <c r="C586" s="1" t="s">
        <v>101</v>
      </c>
      <c r="D586" s="1" t="s">
        <v>101</v>
      </c>
      <c r="E586" s="81">
        <v>0</v>
      </c>
      <c r="F586" s="81">
        <v>0</v>
      </c>
    </row>
    <row r="587" spans="1:6" x14ac:dyDescent="0.2">
      <c r="A587" s="1" t="s">
        <v>179</v>
      </c>
      <c r="B587" s="1" t="s">
        <v>1275</v>
      </c>
      <c r="C587" s="1" t="s">
        <v>101</v>
      </c>
      <c r="D587" s="1" t="s">
        <v>101</v>
      </c>
      <c r="E587" s="81">
        <v>0</v>
      </c>
      <c r="F587" s="81">
        <v>0</v>
      </c>
    </row>
    <row r="588" spans="1:6" x14ac:dyDescent="0.2">
      <c r="A588" s="1" t="s">
        <v>179</v>
      </c>
      <c r="B588" s="1" t="s">
        <v>1276</v>
      </c>
      <c r="C588" s="1" t="s">
        <v>101</v>
      </c>
      <c r="D588" s="1" t="s">
        <v>101</v>
      </c>
      <c r="E588" s="81">
        <v>0</v>
      </c>
      <c r="F588" s="81">
        <v>0</v>
      </c>
    </row>
    <row r="589" spans="1:6" x14ac:dyDescent="0.2">
      <c r="A589" s="1" t="s">
        <v>179</v>
      </c>
      <c r="B589" s="1" t="s">
        <v>1277</v>
      </c>
      <c r="C589" s="1" t="s">
        <v>101</v>
      </c>
      <c r="D589" s="1" t="s">
        <v>101</v>
      </c>
      <c r="E589" s="81">
        <v>0</v>
      </c>
      <c r="F589" s="81">
        <v>0</v>
      </c>
    </row>
    <row r="590" spans="1:6" x14ac:dyDescent="0.2">
      <c r="A590" s="1" t="s">
        <v>179</v>
      </c>
      <c r="B590" s="1" t="s">
        <v>1278</v>
      </c>
      <c r="C590" s="1" t="s">
        <v>101</v>
      </c>
      <c r="D590" s="1" t="s">
        <v>101</v>
      </c>
      <c r="E590" s="81">
        <v>0</v>
      </c>
      <c r="F590" s="81">
        <v>0</v>
      </c>
    </row>
    <row r="591" spans="1:6" x14ac:dyDescent="0.2">
      <c r="A591" s="1" t="s">
        <v>179</v>
      </c>
      <c r="B591" s="1" t="s">
        <v>1279</v>
      </c>
      <c r="C591" s="1" t="s">
        <v>101</v>
      </c>
      <c r="D591" s="1" t="s">
        <v>101</v>
      </c>
      <c r="E591" s="81">
        <v>0</v>
      </c>
      <c r="F591" s="81">
        <v>0</v>
      </c>
    </row>
    <row r="592" spans="1:6" x14ac:dyDescent="0.2">
      <c r="A592" s="1" t="s">
        <v>179</v>
      </c>
      <c r="B592" s="1" t="s">
        <v>1280</v>
      </c>
      <c r="C592" s="1" t="s">
        <v>101</v>
      </c>
      <c r="D592" s="1" t="s">
        <v>101</v>
      </c>
      <c r="E592" s="81">
        <v>0</v>
      </c>
      <c r="F592" s="81">
        <v>0</v>
      </c>
    </row>
    <row r="593" spans="1:6" x14ac:dyDescent="0.2">
      <c r="A593" s="1" t="s">
        <v>179</v>
      </c>
      <c r="B593" s="1" t="s">
        <v>1281</v>
      </c>
      <c r="C593" s="1" t="s">
        <v>101</v>
      </c>
      <c r="D593" s="1" t="s">
        <v>101</v>
      </c>
      <c r="E593" s="81">
        <v>0</v>
      </c>
      <c r="F593" s="81">
        <v>0</v>
      </c>
    </row>
    <row r="594" spans="1:6" x14ac:dyDescent="0.2">
      <c r="A594" s="1" t="s">
        <v>179</v>
      </c>
      <c r="B594" s="1" t="s">
        <v>1282</v>
      </c>
      <c r="C594" s="1" t="s">
        <v>101</v>
      </c>
      <c r="D594" s="1" t="s">
        <v>101</v>
      </c>
      <c r="E594" s="81">
        <v>0</v>
      </c>
      <c r="F594" s="81">
        <v>0</v>
      </c>
    </row>
    <row r="595" spans="1:6" x14ac:dyDescent="0.2">
      <c r="A595" s="1" t="s">
        <v>179</v>
      </c>
      <c r="B595" s="1" t="s">
        <v>1283</v>
      </c>
      <c r="C595" s="1" t="s">
        <v>101</v>
      </c>
      <c r="D595" s="1" t="s">
        <v>101</v>
      </c>
      <c r="E595" s="81">
        <v>0</v>
      </c>
      <c r="F595" s="81">
        <v>0</v>
      </c>
    </row>
    <row r="596" spans="1:6" x14ac:dyDescent="0.2">
      <c r="A596" s="1" t="s">
        <v>179</v>
      </c>
      <c r="B596" s="1" t="s">
        <v>1284</v>
      </c>
      <c r="C596" s="1" t="s">
        <v>101</v>
      </c>
      <c r="D596" s="1" t="s">
        <v>101</v>
      </c>
      <c r="E596" s="81">
        <v>0</v>
      </c>
      <c r="F596" s="81">
        <v>0</v>
      </c>
    </row>
    <row r="597" spans="1:6" x14ac:dyDescent="0.2">
      <c r="A597" s="1" t="s">
        <v>179</v>
      </c>
      <c r="B597" s="1" t="s">
        <v>1285</v>
      </c>
      <c r="C597" s="1" t="s">
        <v>101</v>
      </c>
      <c r="D597" s="1" t="s">
        <v>101</v>
      </c>
      <c r="E597" s="81">
        <v>0</v>
      </c>
      <c r="F597" s="81">
        <v>0</v>
      </c>
    </row>
    <row r="598" spans="1:6" x14ac:dyDescent="0.2">
      <c r="A598" s="1" t="s">
        <v>179</v>
      </c>
      <c r="B598" s="1" t="s">
        <v>1286</v>
      </c>
      <c r="C598" s="1" t="s">
        <v>101</v>
      </c>
      <c r="D598" s="1" t="s">
        <v>101</v>
      </c>
      <c r="E598" s="81">
        <v>0</v>
      </c>
      <c r="F598" s="81">
        <v>0</v>
      </c>
    </row>
    <row r="599" spans="1:6" x14ac:dyDescent="0.2">
      <c r="A599" s="1" t="s">
        <v>179</v>
      </c>
      <c r="B599" s="1" t="s">
        <v>1287</v>
      </c>
      <c r="C599" s="1" t="s">
        <v>101</v>
      </c>
      <c r="D599" s="1" t="s">
        <v>101</v>
      </c>
      <c r="E599" s="81">
        <v>0</v>
      </c>
      <c r="F599" s="81">
        <v>0</v>
      </c>
    </row>
    <row r="600" spans="1:6" x14ac:dyDescent="0.2">
      <c r="A600" s="1" t="s">
        <v>179</v>
      </c>
      <c r="B600" s="1" t="s">
        <v>1288</v>
      </c>
      <c r="C600" s="1" t="s">
        <v>101</v>
      </c>
      <c r="D600" s="1" t="s">
        <v>101</v>
      </c>
      <c r="E600" s="81">
        <v>0</v>
      </c>
      <c r="F600" s="81">
        <v>0</v>
      </c>
    </row>
    <row r="601" spans="1:6" x14ac:dyDescent="0.2">
      <c r="A601" s="1" t="s">
        <v>179</v>
      </c>
      <c r="B601" s="1" t="s">
        <v>1289</v>
      </c>
      <c r="C601" s="1" t="s">
        <v>101</v>
      </c>
      <c r="D601" s="1" t="s">
        <v>101</v>
      </c>
      <c r="E601" s="81">
        <v>0</v>
      </c>
      <c r="F601" s="81">
        <v>0</v>
      </c>
    </row>
    <row r="602" spans="1:6" x14ac:dyDescent="0.2">
      <c r="A602" s="1" t="s">
        <v>179</v>
      </c>
      <c r="B602" s="1" t="s">
        <v>1290</v>
      </c>
      <c r="C602" s="1" t="s">
        <v>101</v>
      </c>
      <c r="D602" s="1" t="s">
        <v>101</v>
      </c>
      <c r="E602" s="81">
        <v>0</v>
      </c>
      <c r="F602" s="81">
        <v>0</v>
      </c>
    </row>
    <row r="603" spans="1:6" x14ac:dyDescent="0.2">
      <c r="A603" s="1" t="s">
        <v>179</v>
      </c>
      <c r="B603" s="1" t="s">
        <v>1291</v>
      </c>
      <c r="C603" s="1" t="s">
        <v>101</v>
      </c>
      <c r="D603" s="1" t="s">
        <v>101</v>
      </c>
      <c r="E603" s="81">
        <v>0</v>
      </c>
      <c r="F603" s="81">
        <v>0</v>
      </c>
    </row>
    <row r="604" spans="1:6" x14ac:dyDescent="0.2">
      <c r="A604" s="1" t="s">
        <v>179</v>
      </c>
      <c r="B604" s="1" t="s">
        <v>1292</v>
      </c>
      <c r="C604" s="1" t="s">
        <v>101</v>
      </c>
      <c r="D604" s="1" t="s">
        <v>101</v>
      </c>
      <c r="E604" s="81">
        <v>0</v>
      </c>
      <c r="F604" s="81">
        <v>0</v>
      </c>
    </row>
    <row r="605" spans="1:6" x14ac:dyDescent="0.2">
      <c r="A605" s="1" t="s">
        <v>179</v>
      </c>
      <c r="B605" s="1" t="s">
        <v>1293</v>
      </c>
      <c r="C605" s="1" t="s">
        <v>3899</v>
      </c>
      <c r="D605" s="1" t="s">
        <v>3899</v>
      </c>
      <c r="E605" s="81">
        <v>227.94</v>
      </c>
      <c r="F605" s="81">
        <v>227.94</v>
      </c>
    </row>
    <row r="606" spans="1:6" x14ac:dyDescent="0.2">
      <c r="A606" s="1" t="s">
        <v>179</v>
      </c>
      <c r="B606" s="1" t="s">
        <v>1294</v>
      </c>
      <c r="C606" s="1" t="s">
        <v>101</v>
      </c>
      <c r="D606" s="1" t="s">
        <v>101</v>
      </c>
      <c r="E606" s="81">
        <v>0</v>
      </c>
      <c r="F606" s="81">
        <v>0</v>
      </c>
    </row>
    <row r="607" spans="1:6" x14ac:dyDescent="0.2">
      <c r="A607" s="1" t="s">
        <v>179</v>
      </c>
      <c r="B607" s="1" t="s">
        <v>1295</v>
      </c>
      <c r="C607" s="1" t="s">
        <v>3900</v>
      </c>
      <c r="D607" s="1" t="s">
        <v>3900</v>
      </c>
      <c r="E607" s="81">
        <v>17433.669999999998</v>
      </c>
      <c r="F607" s="81">
        <v>17433.669999999998</v>
      </c>
    </row>
    <row r="608" spans="1:6" x14ac:dyDescent="0.2">
      <c r="A608" s="1" t="s">
        <v>179</v>
      </c>
      <c r="B608" s="1" t="s">
        <v>1296</v>
      </c>
      <c r="C608" s="1" t="s">
        <v>101</v>
      </c>
      <c r="D608" s="1" t="s">
        <v>101</v>
      </c>
      <c r="E608" s="81">
        <v>0</v>
      </c>
      <c r="F608" s="81">
        <v>0</v>
      </c>
    </row>
    <row r="609" spans="1:6" x14ac:dyDescent="0.2">
      <c r="A609" s="1" t="s">
        <v>179</v>
      </c>
      <c r="B609" s="1" t="s">
        <v>1297</v>
      </c>
      <c r="C609" s="1" t="s">
        <v>101</v>
      </c>
      <c r="D609" s="1" t="s">
        <v>101</v>
      </c>
      <c r="E609" s="81">
        <v>0</v>
      </c>
      <c r="F609" s="81">
        <v>0</v>
      </c>
    </row>
    <row r="610" spans="1:6" x14ac:dyDescent="0.2">
      <c r="A610" s="1" t="s">
        <v>179</v>
      </c>
      <c r="B610" s="1" t="s">
        <v>1298</v>
      </c>
      <c r="C610" s="1" t="s">
        <v>101</v>
      </c>
      <c r="D610" s="1" t="s">
        <v>101</v>
      </c>
      <c r="E610" s="81">
        <v>0</v>
      </c>
      <c r="F610" s="81">
        <v>0</v>
      </c>
    </row>
    <row r="611" spans="1:6" x14ac:dyDescent="0.2">
      <c r="A611" s="1" t="s">
        <v>179</v>
      </c>
      <c r="B611" s="1" t="s">
        <v>1299</v>
      </c>
      <c r="C611" s="1" t="s">
        <v>101</v>
      </c>
      <c r="D611" s="1" t="s">
        <v>101</v>
      </c>
      <c r="E611" s="81">
        <v>0</v>
      </c>
      <c r="F611" s="81">
        <v>0</v>
      </c>
    </row>
    <row r="612" spans="1:6" x14ac:dyDescent="0.2">
      <c r="A612" s="1" t="s">
        <v>179</v>
      </c>
      <c r="B612" s="1" t="s">
        <v>1300</v>
      </c>
      <c r="C612" s="1" t="s">
        <v>101</v>
      </c>
      <c r="D612" s="1" t="s">
        <v>101</v>
      </c>
      <c r="E612" s="81">
        <v>0</v>
      </c>
      <c r="F612" s="81">
        <v>0</v>
      </c>
    </row>
    <row r="613" spans="1:6" x14ac:dyDescent="0.2">
      <c r="A613" s="1" t="s">
        <v>179</v>
      </c>
      <c r="B613" s="1" t="s">
        <v>1301</v>
      </c>
      <c r="C613" s="1" t="s">
        <v>101</v>
      </c>
      <c r="D613" s="1" t="s">
        <v>101</v>
      </c>
      <c r="E613" s="81">
        <v>0</v>
      </c>
      <c r="F613" s="81">
        <v>0</v>
      </c>
    </row>
    <row r="614" spans="1:6" x14ac:dyDescent="0.2">
      <c r="A614" s="1" t="s">
        <v>179</v>
      </c>
      <c r="B614" s="1" t="s">
        <v>1302</v>
      </c>
      <c r="C614" s="1" t="s">
        <v>101</v>
      </c>
      <c r="D614" s="1" t="s">
        <v>101</v>
      </c>
      <c r="E614" s="81">
        <v>0</v>
      </c>
      <c r="F614" s="81">
        <v>0</v>
      </c>
    </row>
    <row r="615" spans="1:6" x14ac:dyDescent="0.2">
      <c r="A615" s="1" t="s">
        <v>179</v>
      </c>
      <c r="B615" s="1" t="s">
        <v>1303</v>
      </c>
      <c r="C615" s="1" t="s">
        <v>101</v>
      </c>
      <c r="D615" s="1" t="s">
        <v>101</v>
      </c>
      <c r="E615" s="81">
        <v>0</v>
      </c>
      <c r="F615" s="81">
        <v>0</v>
      </c>
    </row>
    <row r="616" spans="1:6" x14ac:dyDescent="0.2">
      <c r="A616" s="1" t="s">
        <v>179</v>
      </c>
      <c r="B616" s="1" t="s">
        <v>1304</v>
      </c>
      <c r="C616" s="1" t="s">
        <v>101</v>
      </c>
      <c r="D616" s="1" t="s">
        <v>101</v>
      </c>
      <c r="E616" s="81">
        <v>0</v>
      </c>
      <c r="F616" s="81">
        <v>0</v>
      </c>
    </row>
    <row r="617" spans="1:6" x14ac:dyDescent="0.2">
      <c r="A617" s="1" t="s">
        <v>179</v>
      </c>
      <c r="B617" s="1" t="s">
        <v>1305</v>
      </c>
      <c r="C617" s="1" t="s">
        <v>101</v>
      </c>
      <c r="D617" s="1" t="s">
        <v>101</v>
      </c>
      <c r="E617" s="81">
        <v>0</v>
      </c>
      <c r="F617" s="81">
        <v>0</v>
      </c>
    </row>
    <row r="618" spans="1:6" x14ac:dyDescent="0.2">
      <c r="A618" s="1" t="s">
        <v>179</v>
      </c>
      <c r="B618" s="1" t="s">
        <v>1306</v>
      </c>
      <c r="C618" s="1" t="s">
        <v>101</v>
      </c>
      <c r="D618" s="1" t="s">
        <v>101</v>
      </c>
      <c r="E618" s="81">
        <v>0</v>
      </c>
      <c r="F618" s="81">
        <v>0</v>
      </c>
    </row>
    <row r="619" spans="1:6" x14ac:dyDescent="0.2">
      <c r="A619" s="1" t="s">
        <v>179</v>
      </c>
      <c r="B619" s="1" t="s">
        <v>1307</v>
      </c>
      <c r="C619" s="1" t="s">
        <v>101</v>
      </c>
      <c r="D619" s="1" t="s">
        <v>101</v>
      </c>
      <c r="E619" s="81">
        <v>0</v>
      </c>
      <c r="F619" s="81">
        <v>0</v>
      </c>
    </row>
    <row r="620" spans="1:6" x14ac:dyDescent="0.2">
      <c r="A620" s="1" t="s">
        <v>179</v>
      </c>
      <c r="B620" s="1" t="s">
        <v>1308</v>
      </c>
      <c r="C620" s="1" t="s">
        <v>101</v>
      </c>
      <c r="D620" s="1" t="s">
        <v>101</v>
      </c>
      <c r="E620" s="81">
        <v>0</v>
      </c>
      <c r="F620" s="81">
        <v>0</v>
      </c>
    </row>
    <row r="621" spans="1:6" x14ac:dyDescent="0.2">
      <c r="A621" s="1" t="s">
        <v>179</v>
      </c>
      <c r="B621" s="1" t="s">
        <v>1309</v>
      </c>
      <c r="C621" s="1" t="s">
        <v>101</v>
      </c>
      <c r="D621" s="1" t="s">
        <v>101</v>
      </c>
      <c r="E621" s="81">
        <v>0</v>
      </c>
      <c r="F621" s="81">
        <v>0</v>
      </c>
    </row>
    <row r="622" spans="1:6" x14ac:dyDescent="0.2">
      <c r="A622" s="1" t="s">
        <v>179</v>
      </c>
      <c r="B622" s="1" t="s">
        <v>1310</v>
      </c>
      <c r="C622" s="1" t="s">
        <v>101</v>
      </c>
      <c r="D622" s="1" t="s">
        <v>101</v>
      </c>
      <c r="E622" s="81">
        <v>0</v>
      </c>
      <c r="F622" s="81">
        <v>0</v>
      </c>
    </row>
    <row r="623" spans="1:6" x14ac:dyDescent="0.2">
      <c r="A623" s="1" t="s">
        <v>179</v>
      </c>
      <c r="B623" s="1" t="s">
        <v>1311</v>
      </c>
      <c r="C623" s="1" t="s">
        <v>101</v>
      </c>
      <c r="D623" s="1" t="s">
        <v>101</v>
      </c>
      <c r="E623" s="81">
        <v>0</v>
      </c>
      <c r="F623" s="81">
        <v>0</v>
      </c>
    </row>
    <row r="624" spans="1:6" x14ac:dyDescent="0.2">
      <c r="A624" s="1" t="s">
        <v>179</v>
      </c>
      <c r="B624" s="1" t="s">
        <v>1312</v>
      </c>
      <c r="C624" s="1" t="s">
        <v>101</v>
      </c>
      <c r="D624" s="1" t="s">
        <v>101</v>
      </c>
      <c r="E624" s="81">
        <v>0</v>
      </c>
      <c r="F624" s="81">
        <v>0</v>
      </c>
    </row>
    <row r="625" spans="1:6" x14ac:dyDescent="0.2">
      <c r="A625" s="1" t="s">
        <v>179</v>
      </c>
      <c r="B625" s="1" t="s">
        <v>1313</v>
      </c>
      <c r="C625" s="1" t="s">
        <v>101</v>
      </c>
      <c r="D625" s="1" t="s">
        <v>101</v>
      </c>
      <c r="E625" s="81">
        <v>0</v>
      </c>
      <c r="F625" s="81">
        <v>0</v>
      </c>
    </row>
    <row r="626" spans="1:6" x14ac:dyDescent="0.2">
      <c r="A626" s="1" t="s">
        <v>179</v>
      </c>
      <c r="B626" s="1" t="s">
        <v>1314</v>
      </c>
      <c r="C626" s="1" t="s">
        <v>101</v>
      </c>
      <c r="D626" s="1" t="s">
        <v>101</v>
      </c>
      <c r="E626" s="81">
        <v>0</v>
      </c>
      <c r="F626" s="81">
        <v>0</v>
      </c>
    </row>
    <row r="627" spans="1:6" x14ac:dyDescent="0.2">
      <c r="A627" s="1" t="s">
        <v>179</v>
      </c>
      <c r="B627" s="1" t="s">
        <v>1315</v>
      </c>
      <c r="C627" s="1" t="s">
        <v>101</v>
      </c>
      <c r="D627" s="1" t="s">
        <v>101</v>
      </c>
      <c r="E627" s="81">
        <v>0</v>
      </c>
      <c r="F627" s="81">
        <v>0</v>
      </c>
    </row>
    <row r="628" spans="1:6" x14ac:dyDescent="0.2">
      <c r="A628" s="1" t="s">
        <v>179</v>
      </c>
      <c r="B628" s="1" t="s">
        <v>1316</v>
      </c>
      <c r="C628" s="1" t="s">
        <v>101</v>
      </c>
      <c r="D628" s="1" t="s">
        <v>101</v>
      </c>
      <c r="E628" s="81">
        <v>0</v>
      </c>
      <c r="F628" s="81">
        <v>0</v>
      </c>
    </row>
    <row r="629" spans="1:6" x14ac:dyDescent="0.2">
      <c r="A629" s="1" t="s">
        <v>179</v>
      </c>
      <c r="B629" s="1" t="s">
        <v>1317</v>
      </c>
      <c r="C629" s="1" t="s">
        <v>101</v>
      </c>
      <c r="D629" s="1" t="s">
        <v>101</v>
      </c>
      <c r="E629" s="81">
        <v>0</v>
      </c>
      <c r="F629" s="81">
        <v>0</v>
      </c>
    </row>
    <row r="630" spans="1:6" x14ac:dyDescent="0.2">
      <c r="A630" s="1" t="s">
        <v>179</v>
      </c>
      <c r="B630" s="1" t="s">
        <v>1318</v>
      </c>
      <c r="C630" s="1" t="s">
        <v>101</v>
      </c>
      <c r="D630" s="1" t="s">
        <v>101</v>
      </c>
      <c r="E630" s="81">
        <v>0</v>
      </c>
      <c r="F630" s="81">
        <v>0</v>
      </c>
    </row>
    <row r="631" spans="1:6" x14ac:dyDescent="0.2">
      <c r="A631" s="1" t="s">
        <v>179</v>
      </c>
      <c r="B631" s="1" t="s">
        <v>1319</v>
      </c>
      <c r="C631" s="1" t="s">
        <v>101</v>
      </c>
      <c r="D631" s="1" t="s">
        <v>101</v>
      </c>
      <c r="E631" s="81">
        <v>0</v>
      </c>
      <c r="F631" s="81">
        <v>0</v>
      </c>
    </row>
    <row r="632" spans="1:6" x14ac:dyDescent="0.2">
      <c r="A632" s="1" t="s">
        <v>179</v>
      </c>
      <c r="B632" s="1" t="s">
        <v>1320</v>
      </c>
      <c r="C632" s="1" t="s">
        <v>101</v>
      </c>
      <c r="D632" s="1" t="s">
        <v>101</v>
      </c>
      <c r="E632" s="81">
        <v>0</v>
      </c>
      <c r="F632" s="81">
        <v>0</v>
      </c>
    </row>
    <row r="633" spans="1:6" x14ac:dyDescent="0.2">
      <c r="A633" s="1" t="s">
        <v>179</v>
      </c>
      <c r="B633" s="1" t="s">
        <v>1321</v>
      </c>
      <c r="C633" s="1" t="s">
        <v>101</v>
      </c>
      <c r="D633" s="1" t="s">
        <v>101</v>
      </c>
      <c r="E633" s="81">
        <v>0</v>
      </c>
      <c r="F633" s="81">
        <v>0</v>
      </c>
    </row>
    <row r="634" spans="1:6" x14ac:dyDescent="0.2">
      <c r="A634" s="1" t="s">
        <v>179</v>
      </c>
      <c r="B634" s="1" t="s">
        <v>1322</v>
      </c>
      <c r="C634" s="1" t="s">
        <v>101</v>
      </c>
      <c r="D634" s="1" t="s">
        <v>101</v>
      </c>
      <c r="E634" s="81">
        <v>0</v>
      </c>
      <c r="F634" s="81">
        <v>0</v>
      </c>
    </row>
    <row r="635" spans="1:6" x14ac:dyDescent="0.2">
      <c r="A635" s="1" t="s">
        <v>179</v>
      </c>
      <c r="B635" s="1" t="s">
        <v>1323</v>
      </c>
      <c r="C635" s="1" t="s">
        <v>101</v>
      </c>
      <c r="D635" s="1" t="s">
        <v>101</v>
      </c>
      <c r="E635" s="81">
        <v>0</v>
      </c>
      <c r="F635" s="81">
        <v>0</v>
      </c>
    </row>
    <row r="636" spans="1:6" x14ac:dyDescent="0.2">
      <c r="A636" s="1" t="s">
        <v>179</v>
      </c>
      <c r="B636" s="1" t="s">
        <v>1324</v>
      </c>
      <c r="C636" s="1" t="s">
        <v>101</v>
      </c>
      <c r="D636" s="1" t="s">
        <v>101</v>
      </c>
      <c r="E636" s="81">
        <v>0</v>
      </c>
      <c r="F636" s="81">
        <v>0</v>
      </c>
    </row>
    <row r="637" spans="1:6" x14ac:dyDescent="0.2">
      <c r="A637" s="1" t="s">
        <v>179</v>
      </c>
      <c r="B637" s="1" t="s">
        <v>1325</v>
      </c>
      <c r="C637" s="1" t="s">
        <v>101</v>
      </c>
      <c r="D637" s="1" t="s">
        <v>101</v>
      </c>
      <c r="E637" s="81">
        <v>0</v>
      </c>
      <c r="F637" s="81">
        <v>0</v>
      </c>
    </row>
    <row r="638" spans="1:6" x14ac:dyDescent="0.2">
      <c r="A638" s="1" t="s">
        <v>179</v>
      </c>
      <c r="B638" s="1" t="s">
        <v>1326</v>
      </c>
      <c r="C638" s="1" t="s">
        <v>101</v>
      </c>
      <c r="D638" s="1" t="s">
        <v>101</v>
      </c>
      <c r="E638" s="81">
        <v>0</v>
      </c>
      <c r="F638" s="81">
        <v>0</v>
      </c>
    </row>
    <row r="639" spans="1:6" x14ac:dyDescent="0.2">
      <c r="A639" s="1" t="s">
        <v>179</v>
      </c>
      <c r="B639" s="1" t="s">
        <v>1327</v>
      </c>
      <c r="C639" s="1" t="s">
        <v>101</v>
      </c>
      <c r="D639" s="1" t="s">
        <v>101</v>
      </c>
      <c r="E639" s="81">
        <v>0</v>
      </c>
      <c r="F639" s="81">
        <v>0</v>
      </c>
    </row>
    <row r="640" spans="1:6" x14ac:dyDescent="0.2">
      <c r="A640" s="1" t="s">
        <v>179</v>
      </c>
      <c r="B640" s="1" t="s">
        <v>1328</v>
      </c>
      <c r="C640" s="1" t="s">
        <v>101</v>
      </c>
      <c r="D640" s="1" t="s">
        <v>101</v>
      </c>
      <c r="E640" s="81">
        <v>0</v>
      </c>
      <c r="F640" s="81">
        <v>0</v>
      </c>
    </row>
    <row r="641" spans="1:6" x14ac:dyDescent="0.2">
      <c r="A641" s="1" t="s">
        <v>179</v>
      </c>
      <c r="B641" s="1" t="s">
        <v>1329</v>
      </c>
      <c r="C641" s="1" t="s">
        <v>3901</v>
      </c>
      <c r="D641" s="1" t="s">
        <v>3901</v>
      </c>
      <c r="E641" s="81">
        <v>227.59</v>
      </c>
      <c r="F641" s="81">
        <v>227.59</v>
      </c>
    </row>
    <row r="642" spans="1:6" x14ac:dyDescent="0.2">
      <c r="A642" s="1" t="s">
        <v>179</v>
      </c>
      <c r="B642" s="1" t="s">
        <v>1330</v>
      </c>
      <c r="C642" s="1" t="s">
        <v>101</v>
      </c>
      <c r="D642" s="1" t="s">
        <v>101</v>
      </c>
      <c r="E642" s="81">
        <v>0</v>
      </c>
      <c r="F642" s="81">
        <v>0</v>
      </c>
    </row>
    <row r="643" spans="1:6" x14ac:dyDescent="0.2">
      <c r="A643" s="1" t="s">
        <v>179</v>
      </c>
      <c r="B643" s="1" t="s">
        <v>1331</v>
      </c>
      <c r="C643" s="1" t="s">
        <v>3902</v>
      </c>
      <c r="D643" s="1" t="s">
        <v>3902</v>
      </c>
      <c r="E643" s="81">
        <v>17406.04</v>
      </c>
      <c r="F643" s="81">
        <v>17406.04</v>
      </c>
    </row>
    <row r="644" spans="1:6" x14ac:dyDescent="0.2">
      <c r="A644" s="1" t="s">
        <v>179</v>
      </c>
      <c r="B644" s="1" t="s">
        <v>1332</v>
      </c>
      <c r="C644" s="1" t="s">
        <v>101</v>
      </c>
      <c r="D644" s="1" t="s">
        <v>101</v>
      </c>
      <c r="E644" s="81">
        <v>0</v>
      </c>
      <c r="F644" s="81">
        <v>0</v>
      </c>
    </row>
    <row r="645" spans="1:6" x14ac:dyDescent="0.2">
      <c r="A645" s="1" t="s">
        <v>179</v>
      </c>
      <c r="B645" s="1" t="s">
        <v>1333</v>
      </c>
      <c r="C645" s="1" t="s">
        <v>101</v>
      </c>
      <c r="D645" s="1" t="s">
        <v>101</v>
      </c>
      <c r="E645" s="81">
        <v>0</v>
      </c>
      <c r="F645" s="81">
        <v>0</v>
      </c>
    </row>
    <row r="646" spans="1:6" x14ac:dyDescent="0.2">
      <c r="A646" s="1" t="s">
        <v>179</v>
      </c>
      <c r="B646" s="1" t="s">
        <v>1334</v>
      </c>
      <c r="C646" s="1" t="s">
        <v>101</v>
      </c>
      <c r="D646" s="1" t="s">
        <v>101</v>
      </c>
      <c r="E646" s="81">
        <v>0</v>
      </c>
      <c r="F646" s="81">
        <v>0</v>
      </c>
    </row>
    <row r="647" spans="1:6" x14ac:dyDescent="0.2">
      <c r="A647" s="1" t="s">
        <v>179</v>
      </c>
      <c r="B647" s="1" t="s">
        <v>1335</v>
      </c>
      <c r="C647" s="1" t="s">
        <v>101</v>
      </c>
      <c r="D647" s="1" t="s">
        <v>101</v>
      </c>
      <c r="E647" s="81">
        <v>0</v>
      </c>
      <c r="F647" s="81">
        <v>0</v>
      </c>
    </row>
    <row r="648" spans="1:6" x14ac:dyDescent="0.2">
      <c r="A648" s="1" t="s">
        <v>179</v>
      </c>
      <c r="B648" s="1" t="s">
        <v>1336</v>
      </c>
      <c r="C648" s="1" t="s">
        <v>101</v>
      </c>
      <c r="D648" s="1" t="s">
        <v>101</v>
      </c>
      <c r="E648" s="81">
        <v>0</v>
      </c>
      <c r="F648" s="81">
        <v>0</v>
      </c>
    </row>
    <row r="649" spans="1:6" x14ac:dyDescent="0.2">
      <c r="A649" s="1" t="s">
        <v>179</v>
      </c>
      <c r="B649" s="1" t="s">
        <v>1337</v>
      </c>
      <c r="C649" s="1" t="s">
        <v>101</v>
      </c>
      <c r="D649" s="1" t="s">
        <v>101</v>
      </c>
      <c r="E649" s="81">
        <v>0</v>
      </c>
      <c r="F649" s="81">
        <v>0</v>
      </c>
    </row>
    <row r="650" spans="1:6" x14ac:dyDescent="0.2">
      <c r="A650" s="1" t="s">
        <v>179</v>
      </c>
      <c r="B650" s="1" t="s">
        <v>1338</v>
      </c>
      <c r="C650" s="1" t="s">
        <v>101</v>
      </c>
      <c r="D650" s="1" t="s">
        <v>101</v>
      </c>
      <c r="E650" s="81">
        <v>0</v>
      </c>
      <c r="F650" s="81">
        <v>0</v>
      </c>
    </row>
    <row r="651" spans="1:6" x14ac:dyDescent="0.2">
      <c r="A651" s="1" t="s">
        <v>179</v>
      </c>
      <c r="B651" s="1" t="s">
        <v>1339</v>
      </c>
      <c r="C651" s="1" t="s">
        <v>101</v>
      </c>
      <c r="D651" s="1" t="s">
        <v>101</v>
      </c>
      <c r="E651" s="81">
        <v>0</v>
      </c>
      <c r="F651" s="81">
        <v>0</v>
      </c>
    </row>
    <row r="652" spans="1:6" x14ac:dyDescent="0.2">
      <c r="A652" s="1" t="s">
        <v>179</v>
      </c>
      <c r="B652" s="1" t="s">
        <v>1340</v>
      </c>
      <c r="C652" s="1" t="s">
        <v>101</v>
      </c>
      <c r="D652" s="1" t="s">
        <v>101</v>
      </c>
      <c r="E652" s="81">
        <v>0</v>
      </c>
      <c r="F652" s="81">
        <v>0</v>
      </c>
    </row>
    <row r="653" spans="1:6" x14ac:dyDescent="0.2">
      <c r="A653" s="1" t="s">
        <v>179</v>
      </c>
      <c r="B653" s="1" t="s">
        <v>1341</v>
      </c>
      <c r="C653" s="1" t="s">
        <v>3903</v>
      </c>
      <c r="D653" s="1" t="s">
        <v>3903</v>
      </c>
      <c r="E653" s="81">
        <v>17633.63</v>
      </c>
      <c r="F653" s="81">
        <v>17633.63</v>
      </c>
    </row>
    <row r="654" spans="1:6" x14ac:dyDescent="0.2">
      <c r="A654" s="1" t="s">
        <v>179</v>
      </c>
      <c r="B654" s="1" t="s">
        <v>1342</v>
      </c>
      <c r="C654" s="1" t="s">
        <v>3901</v>
      </c>
      <c r="D654" s="1" t="s">
        <v>3901</v>
      </c>
      <c r="E654" s="81">
        <v>227.59</v>
      </c>
      <c r="F654" s="81">
        <v>227.59</v>
      </c>
    </row>
    <row r="655" spans="1:6" x14ac:dyDescent="0.2">
      <c r="A655" s="1" t="s">
        <v>179</v>
      </c>
      <c r="B655" s="1" t="s">
        <v>1343</v>
      </c>
      <c r="C655" s="1" t="s">
        <v>101</v>
      </c>
      <c r="D655" s="1" t="s">
        <v>101</v>
      </c>
      <c r="E655" s="81">
        <v>0</v>
      </c>
      <c r="F655" s="81">
        <v>0</v>
      </c>
    </row>
    <row r="656" spans="1:6" x14ac:dyDescent="0.2">
      <c r="A656" s="1" t="s">
        <v>179</v>
      </c>
      <c r="B656" s="1" t="s">
        <v>1344</v>
      </c>
      <c r="C656" s="1" t="s">
        <v>3902</v>
      </c>
      <c r="D656" s="1" t="s">
        <v>3902</v>
      </c>
      <c r="E656" s="81">
        <v>17406.04</v>
      </c>
      <c r="F656" s="81">
        <v>17406.04</v>
      </c>
    </row>
    <row r="657" spans="1:6" x14ac:dyDescent="0.2">
      <c r="A657" s="1" t="s">
        <v>179</v>
      </c>
      <c r="B657" s="1" t="s">
        <v>1345</v>
      </c>
      <c r="C657" s="1" t="s">
        <v>101</v>
      </c>
      <c r="D657" s="1" t="s">
        <v>101</v>
      </c>
      <c r="E657" s="81">
        <v>0</v>
      </c>
      <c r="F657" s="81">
        <v>0</v>
      </c>
    </row>
    <row r="658" spans="1:6" x14ac:dyDescent="0.2">
      <c r="A658" s="1" t="s">
        <v>179</v>
      </c>
      <c r="B658" s="1" t="s">
        <v>1346</v>
      </c>
      <c r="C658" s="1" t="s">
        <v>101</v>
      </c>
      <c r="D658" s="1" t="s">
        <v>101</v>
      </c>
      <c r="E658" s="81">
        <v>0</v>
      </c>
      <c r="F658" s="81">
        <v>0</v>
      </c>
    </row>
    <row r="659" spans="1:6" x14ac:dyDescent="0.2">
      <c r="A659" s="1" t="s">
        <v>179</v>
      </c>
      <c r="B659" s="1" t="s">
        <v>1347</v>
      </c>
      <c r="C659" s="1" t="s">
        <v>101</v>
      </c>
      <c r="D659" s="1" t="s">
        <v>101</v>
      </c>
      <c r="E659" s="81">
        <v>0</v>
      </c>
      <c r="F659" s="81">
        <v>0</v>
      </c>
    </row>
    <row r="660" spans="1:6" x14ac:dyDescent="0.2">
      <c r="A660" s="1" t="s">
        <v>179</v>
      </c>
      <c r="B660" s="1" t="s">
        <v>1348</v>
      </c>
      <c r="C660" s="1" t="s">
        <v>101</v>
      </c>
      <c r="D660" s="1" t="s">
        <v>101</v>
      </c>
      <c r="E660" s="81">
        <v>0</v>
      </c>
      <c r="F660" s="81">
        <v>0</v>
      </c>
    </row>
    <row r="661" spans="1:6" x14ac:dyDescent="0.2">
      <c r="A661" s="1" t="s">
        <v>179</v>
      </c>
      <c r="B661" s="1" t="s">
        <v>1349</v>
      </c>
      <c r="C661" s="1" t="s">
        <v>101</v>
      </c>
      <c r="D661" s="1" t="s">
        <v>101</v>
      </c>
      <c r="E661" s="81">
        <v>0</v>
      </c>
      <c r="F661" s="81">
        <v>0</v>
      </c>
    </row>
    <row r="662" spans="1:6" x14ac:dyDescent="0.2">
      <c r="A662" s="1" t="s">
        <v>179</v>
      </c>
      <c r="B662" s="1" t="s">
        <v>1350</v>
      </c>
      <c r="C662" s="1" t="s">
        <v>101</v>
      </c>
      <c r="D662" s="1" t="s">
        <v>101</v>
      </c>
      <c r="E662" s="81">
        <v>0</v>
      </c>
      <c r="F662" s="81">
        <v>0</v>
      </c>
    </row>
    <row r="663" spans="1:6" x14ac:dyDescent="0.2">
      <c r="A663" s="1" t="s">
        <v>179</v>
      </c>
      <c r="B663" s="1" t="s">
        <v>1351</v>
      </c>
      <c r="C663" s="1" t="s">
        <v>101</v>
      </c>
      <c r="D663" s="1" t="s">
        <v>101</v>
      </c>
      <c r="E663" s="81">
        <v>0</v>
      </c>
      <c r="F663" s="81">
        <v>0</v>
      </c>
    </row>
    <row r="664" spans="1:6" x14ac:dyDescent="0.2">
      <c r="A664" s="1" t="s">
        <v>179</v>
      </c>
      <c r="B664" s="1" t="s">
        <v>1352</v>
      </c>
      <c r="C664" s="1" t="s">
        <v>101</v>
      </c>
      <c r="D664" s="1" t="s">
        <v>101</v>
      </c>
      <c r="E664" s="81">
        <v>0</v>
      </c>
      <c r="F664" s="81">
        <v>0</v>
      </c>
    </row>
    <row r="665" spans="1:6" x14ac:dyDescent="0.2">
      <c r="A665" s="1" t="s">
        <v>179</v>
      </c>
      <c r="B665" s="1" t="s">
        <v>1353</v>
      </c>
      <c r="C665" s="1" t="s">
        <v>101</v>
      </c>
      <c r="D665" s="1" t="s">
        <v>101</v>
      </c>
      <c r="E665" s="81">
        <v>0</v>
      </c>
      <c r="F665" s="81">
        <v>0</v>
      </c>
    </row>
    <row r="666" spans="1:6" x14ac:dyDescent="0.2">
      <c r="A666" s="1" t="s">
        <v>179</v>
      </c>
      <c r="B666" s="1" t="s">
        <v>1354</v>
      </c>
      <c r="C666" s="1" t="s">
        <v>3903</v>
      </c>
      <c r="D666" s="1" t="s">
        <v>3903</v>
      </c>
      <c r="E666" s="81">
        <v>17633.63</v>
      </c>
      <c r="F666" s="81">
        <v>17633.63</v>
      </c>
    </row>
    <row r="667" spans="1:6" x14ac:dyDescent="0.2">
      <c r="A667" s="1" t="s">
        <v>179</v>
      </c>
      <c r="B667" s="1" t="s">
        <v>1355</v>
      </c>
      <c r="C667" s="1" t="s">
        <v>3904</v>
      </c>
      <c r="D667" s="1" t="s">
        <v>3904</v>
      </c>
      <c r="E667" s="81">
        <v>3529.98</v>
      </c>
      <c r="F667" s="81">
        <v>3529.98</v>
      </c>
    </row>
    <row r="668" spans="1:6" x14ac:dyDescent="0.2">
      <c r="A668" s="1" t="s">
        <v>179</v>
      </c>
      <c r="B668" s="1" t="s">
        <v>1356</v>
      </c>
      <c r="C668" s="1" t="s">
        <v>3905</v>
      </c>
      <c r="D668" s="1" t="s">
        <v>3905</v>
      </c>
      <c r="E668" s="81">
        <v>9467.74</v>
      </c>
      <c r="F668" s="81">
        <v>9467.74</v>
      </c>
    </row>
    <row r="669" spans="1:6" x14ac:dyDescent="0.2">
      <c r="A669" s="1" t="s">
        <v>179</v>
      </c>
      <c r="B669" s="1" t="s">
        <v>1357</v>
      </c>
      <c r="C669" s="1" t="s">
        <v>3906</v>
      </c>
      <c r="D669" s="1" t="s">
        <v>3906</v>
      </c>
      <c r="E669" s="81">
        <v>3128.37</v>
      </c>
      <c r="F669" s="81">
        <v>3128.37</v>
      </c>
    </row>
    <row r="670" spans="1:6" x14ac:dyDescent="0.2">
      <c r="A670" s="1" t="s">
        <v>179</v>
      </c>
      <c r="B670" s="1" t="s">
        <v>1358</v>
      </c>
      <c r="C670" s="1" t="s">
        <v>101</v>
      </c>
      <c r="D670" s="1" t="s">
        <v>101</v>
      </c>
      <c r="E670" s="81">
        <v>0</v>
      </c>
      <c r="F670" s="81">
        <v>0</v>
      </c>
    </row>
    <row r="671" spans="1:6" x14ac:dyDescent="0.2">
      <c r="A671" s="1" t="s">
        <v>179</v>
      </c>
      <c r="B671" s="1" t="s">
        <v>1359</v>
      </c>
      <c r="C671" s="1" t="s">
        <v>101</v>
      </c>
      <c r="D671" s="1" t="s">
        <v>101</v>
      </c>
      <c r="E671" s="81">
        <v>0</v>
      </c>
      <c r="F671" s="81">
        <v>0</v>
      </c>
    </row>
    <row r="672" spans="1:6" x14ac:dyDescent="0.2">
      <c r="A672" s="1" t="s">
        <v>179</v>
      </c>
      <c r="B672" s="1" t="s">
        <v>1360</v>
      </c>
      <c r="C672" s="1" t="s">
        <v>101</v>
      </c>
      <c r="D672" s="1" t="s">
        <v>101</v>
      </c>
      <c r="E672" s="81">
        <v>0</v>
      </c>
      <c r="F672" s="81">
        <v>0</v>
      </c>
    </row>
    <row r="673" spans="1:6" x14ac:dyDescent="0.2">
      <c r="A673" s="1" t="s">
        <v>179</v>
      </c>
      <c r="B673" s="1" t="s">
        <v>1361</v>
      </c>
      <c r="C673" s="1" t="s">
        <v>101</v>
      </c>
      <c r="D673" s="1" t="s">
        <v>101</v>
      </c>
      <c r="E673" s="81">
        <v>0</v>
      </c>
      <c r="F673" s="81">
        <v>0</v>
      </c>
    </row>
    <row r="674" spans="1:6" x14ac:dyDescent="0.2">
      <c r="A674" s="1" t="s">
        <v>179</v>
      </c>
      <c r="B674" s="1" t="s">
        <v>1362</v>
      </c>
      <c r="C674" s="1" t="s">
        <v>101</v>
      </c>
      <c r="D674" s="1" t="s">
        <v>101</v>
      </c>
      <c r="E674" s="81">
        <v>0</v>
      </c>
      <c r="F674" s="81">
        <v>0</v>
      </c>
    </row>
    <row r="675" spans="1:6" x14ac:dyDescent="0.2">
      <c r="A675" s="1" t="s">
        <v>179</v>
      </c>
      <c r="B675" s="1" t="s">
        <v>1363</v>
      </c>
      <c r="C675" s="1" t="s">
        <v>101</v>
      </c>
      <c r="D675" s="1" t="s">
        <v>101</v>
      </c>
      <c r="E675" s="81">
        <v>0</v>
      </c>
      <c r="F675" s="81">
        <v>0</v>
      </c>
    </row>
    <row r="676" spans="1:6" x14ac:dyDescent="0.2">
      <c r="A676" s="1" t="s">
        <v>179</v>
      </c>
      <c r="B676" s="1" t="s">
        <v>1364</v>
      </c>
      <c r="C676" s="1" t="s">
        <v>101</v>
      </c>
      <c r="D676" s="1" t="s">
        <v>101</v>
      </c>
      <c r="E676" s="81">
        <v>0</v>
      </c>
      <c r="F676" s="81">
        <v>0</v>
      </c>
    </row>
    <row r="677" spans="1:6" x14ac:dyDescent="0.2">
      <c r="A677" s="1" t="s">
        <v>179</v>
      </c>
      <c r="B677" s="1" t="s">
        <v>1365</v>
      </c>
      <c r="C677" s="1" t="s">
        <v>101</v>
      </c>
      <c r="D677" s="1" t="s">
        <v>101</v>
      </c>
      <c r="E677" s="81">
        <v>0</v>
      </c>
      <c r="F677" s="81">
        <v>0</v>
      </c>
    </row>
    <row r="678" spans="1:6" x14ac:dyDescent="0.2">
      <c r="A678" s="1" t="s">
        <v>179</v>
      </c>
      <c r="B678" s="1" t="s">
        <v>1366</v>
      </c>
      <c r="C678" s="1" t="s">
        <v>101</v>
      </c>
      <c r="D678" s="1" t="s">
        <v>101</v>
      </c>
      <c r="E678" s="81">
        <v>0</v>
      </c>
      <c r="F678" s="81">
        <v>0</v>
      </c>
    </row>
    <row r="679" spans="1:6" x14ac:dyDescent="0.2">
      <c r="A679" s="1" t="s">
        <v>179</v>
      </c>
      <c r="B679" s="1" t="s">
        <v>1367</v>
      </c>
      <c r="C679" s="1" t="s">
        <v>3907</v>
      </c>
      <c r="D679" s="1" t="s">
        <v>3907</v>
      </c>
      <c r="E679" s="81">
        <v>16126.09</v>
      </c>
      <c r="F679" s="81">
        <v>16126.09</v>
      </c>
    </row>
    <row r="680" spans="1:6" x14ac:dyDescent="0.2">
      <c r="A680" s="1" t="s">
        <v>179</v>
      </c>
      <c r="B680" s="1" t="s">
        <v>1368</v>
      </c>
      <c r="C680" s="1" t="s">
        <v>3908</v>
      </c>
      <c r="D680" s="1" t="s">
        <v>3908</v>
      </c>
      <c r="E680" s="81">
        <v>3535.39</v>
      </c>
      <c r="F680" s="81">
        <v>3535.39</v>
      </c>
    </row>
    <row r="681" spans="1:6" x14ac:dyDescent="0.2">
      <c r="A681" s="1" t="s">
        <v>179</v>
      </c>
      <c r="B681" s="1" t="s">
        <v>1369</v>
      </c>
      <c r="C681" s="1" t="s">
        <v>3909</v>
      </c>
      <c r="D681" s="1" t="s">
        <v>3909</v>
      </c>
      <c r="E681" s="81">
        <v>8817.81</v>
      </c>
      <c r="F681" s="81">
        <v>8817.81</v>
      </c>
    </row>
    <row r="682" spans="1:6" x14ac:dyDescent="0.2">
      <c r="A682" s="1" t="s">
        <v>179</v>
      </c>
      <c r="B682" s="1" t="s">
        <v>1370</v>
      </c>
      <c r="C682" s="1" t="s">
        <v>3910</v>
      </c>
      <c r="D682" s="1" t="s">
        <v>3910</v>
      </c>
      <c r="E682" s="81">
        <v>3133.34</v>
      </c>
      <c r="F682" s="81">
        <v>3133.34</v>
      </c>
    </row>
    <row r="683" spans="1:6" x14ac:dyDescent="0.2">
      <c r="A683" s="1" t="s">
        <v>179</v>
      </c>
      <c r="B683" s="1" t="s">
        <v>1371</v>
      </c>
      <c r="C683" s="1" t="s">
        <v>101</v>
      </c>
      <c r="D683" s="1" t="s">
        <v>101</v>
      </c>
      <c r="E683" s="81">
        <v>0</v>
      </c>
      <c r="F683" s="81">
        <v>0</v>
      </c>
    </row>
    <row r="684" spans="1:6" x14ac:dyDescent="0.2">
      <c r="A684" s="1" t="s">
        <v>179</v>
      </c>
      <c r="B684" s="1" t="s">
        <v>1372</v>
      </c>
      <c r="C684" s="1" t="s">
        <v>101</v>
      </c>
      <c r="D684" s="1" t="s">
        <v>101</v>
      </c>
      <c r="E684" s="81">
        <v>0</v>
      </c>
      <c r="F684" s="81">
        <v>0</v>
      </c>
    </row>
    <row r="685" spans="1:6" x14ac:dyDescent="0.2">
      <c r="A685" s="1" t="s">
        <v>179</v>
      </c>
      <c r="B685" s="1" t="s">
        <v>1373</v>
      </c>
      <c r="C685" s="1" t="s">
        <v>101</v>
      </c>
      <c r="D685" s="1" t="s">
        <v>101</v>
      </c>
      <c r="E685" s="81">
        <v>0</v>
      </c>
      <c r="F685" s="81">
        <v>0</v>
      </c>
    </row>
    <row r="686" spans="1:6" x14ac:dyDescent="0.2">
      <c r="A686" s="1" t="s">
        <v>179</v>
      </c>
      <c r="B686" s="1" t="s">
        <v>1374</v>
      </c>
      <c r="C686" s="1" t="s">
        <v>101</v>
      </c>
      <c r="D686" s="1" t="s">
        <v>101</v>
      </c>
      <c r="E686" s="81">
        <v>0</v>
      </c>
      <c r="F686" s="81">
        <v>0</v>
      </c>
    </row>
    <row r="687" spans="1:6" x14ac:dyDescent="0.2">
      <c r="A687" s="1" t="s">
        <v>179</v>
      </c>
      <c r="B687" s="1" t="s">
        <v>1375</v>
      </c>
      <c r="C687" s="1" t="s">
        <v>101</v>
      </c>
      <c r="D687" s="1" t="s">
        <v>101</v>
      </c>
      <c r="E687" s="81">
        <v>0</v>
      </c>
      <c r="F687" s="81">
        <v>0</v>
      </c>
    </row>
    <row r="688" spans="1:6" x14ac:dyDescent="0.2">
      <c r="A688" s="1" t="s">
        <v>179</v>
      </c>
      <c r="B688" s="1" t="s">
        <v>1376</v>
      </c>
      <c r="C688" s="1" t="s">
        <v>101</v>
      </c>
      <c r="D688" s="1" t="s">
        <v>101</v>
      </c>
      <c r="E688" s="81">
        <v>0</v>
      </c>
      <c r="F688" s="81">
        <v>0</v>
      </c>
    </row>
    <row r="689" spans="1:6" x14ac:dyDescent="0.2">
      <c r="A689" s="1" t="s">
        <v>179</v>
      </c>
      <c r="B689" s="1" t="s">
        <v>1377</v>
      </c>
      <c r="C689" s="1" t="s">
        <v>101</v>
      </c>
      <c r="D689" s="1" t="s">
        <v>101</v>
      </c>
      <c r="E689" s="81">
        <v>0</v>
      </c>
      <c r="F689" s="81">
        <v>0</v>
      </c>
    </row>
    <row r="690" spans="1:6" x14ac:dyDescent="0.2">
      <c r="A690" s="1" t="s">
        <v>179</v>
      </c>
      <c r="B690" s="1" t="s">
        <v>1378</v>
      </c>
      <c r="C690" s="1" t="s">
        <v>101</v>
      </c>
      <c r="D690" s="1" t="s">
        <v>101</v>
      </c>
      <c r="E690" s="81">
        <v>0</v>
      </c>
      <c r="F690" s="81">
        <v>0</v>
      </c>
    </row>
    <row r="691" spans="1:6" x14ac:dyDescent="0.2">
      <c r="A691" s="1" t="s">
        <v>179</v>
      </c>
      <c r="B691" s="1" t="s">
        <v>1379</v>
      </c>
      <c r="C691" s="1" t="s">
        <v>101</v>
      </c>
      <c r="D691" s="1" t="s">
        <v>101</v>
      </c>
      <c r="E691" s="81">
        <v>0</v>
      </c>
      <c r="F691" s="81">
        <v>0</v>
      </c>
    </row>
    <row r="692" spans="1:6" x14ac:dyDescent="0.2">
      <c r="A692" s="1" t="s">
        <v>179</v>
      </c>
      <c r="B692" s="1" t="s">
        <v>1380</v>
      </c>
      <c r="C692" s="1" t="s">
        <v>101</v>
      </c>
      <c r="D692" s="1" t="s">
        <v>101</v>
      </c>
      <c r="E692" s="81">
        <v>0</v>
      </c>
      <c r="F692" s="81">
        <v>0</v>
      </c>
    </row>
    <row r="693" spans="1:6" x14ac:dyDescent="0.2">
      <c r="A693" s="1" t="s">
        <v>179</v>
      </c>
      <c r="B693" s="1" t="s">
        <v>1381</v>
      </c>
      <c r="C693" s="1" t="s">
        <v>3911</v>
      </c>
      <c r="D693" s="1" t="s">
        <v>3911</v>
      </c>
      <c r="E693" s="81">
        <v>666.2</v>
      </c>
      <c r="F693" s="81">
        <v>666.2</v>
      </c>
    </row>
    <row r="694" spans="1:6" x14ac:dyDescent="0.2">
      <c r="A694" s="1" t="s">
        <v>179</v>
      </c>
      <c r="B694" s="1" t="s">
        <v>1382</v>
      </c>
      <c r="C694" s="1" t="s">
        <v>101</v>
      </c>
      <c r="D694" s="1" t="s">
        <v>101</v>
      </c>
      <c r="E694" s="81">
        <v>0</v>
      </c>
      <c r="F694" s="81">
        <v>0</v>
      </c>
    </row>
    <row r="695" spans="1:6" x14ac:dyDescent="0.2">
      <c r="A695" s="1" t="s">
        <v>179</v>
      </c>
      <c r="B695" s="1" t="s">
        <v>1383</v>
      </c>
      <c r="C695" s="1" t="s">
        <v>101</v>
      </c>
      <c r="D695" s="1" t="s">
        <v>101</v>
      </c>
      <c r="E695" s="81">
        <v>0</v>
      </c>
      <c r="F695" s="81">
        <v>0</v>
      </c>
    </row>
    <row r="696" spans="1:6" x14ac:dyDescent="0.2">
      <c r="A696" s="1" t="s">
        <v>179</v>
      </c>
      <c r="B696" s="1" t="s">
        <v>1384</v>
      </c>
      <c r="C696" s="1" t="s">
        <v>101</v>
      </c>
      <c r="D696" s="1" t="s">
        <v>101</v>
      </c>
      <c r="E696" s="81">
        <v>0</v>
      </c>
      <c r="F696" s="81">
        <v>0</v>
      </c>
    </row>
    <row r="697" spans="1:6" x14ac:dyDescent="0.2">
      <c r="A697" s="1" t="s">
        <v>179</v>
      </c>
      <c r="B697" s="1" t="s">
        <v>1385</v>
      </c>
      <c r="C697" s="1" t="s">
        <v>101</v>
      </c>
      <c r="D697" s="1" t="s">
        <v>101</v>
      </c>
      <c r="E697" s="81">
        <v>0</v>
      </c>
      <c r="F697" s="81">
        <v>0</v>
      </c>
    </row>
    <row r="698" spans="1:6" x14ac:dyDescent="0.2">
      <c r="A698" s="1" t="s">
        <v>179</v>
      </c>
      <c r="B698" s="1" t="s">
        <v>1386</v>
      </c>
      <c r="C698" s="1" t="s">
        <v>101</v>
      </c>
      <c r="D698" s="1" t="s">
        <v>101</v>
      </c>
      <c r="E698" s="81">
        <v>0</v>
      </c>
      <c r="F698" s="81">
        <v>0</v>
      </c>
    </row>
    <row r="699" spans="1:6" x14ac:dyDescent="0.2">
      <c r="A699" s="1" t="s">
        <v>179</v>
      </c>
      <c r="B699" s="1" t="s">
        <v>1387</v>
      </c>
      <c r="C699" s="1" t="s">
        <v>101</v>
      </c>
      <c r="D699" s="1" t="s">
        <v>101</v>
      </c>
      <c r="E699" s="81">
        <v>0</v>
      </c>
      <c r="F699" s="81">
        <v>0</v>
      </c>
    </row>
    <row r="700" spans="1:6" x14ac:dyDescent="0.2">
      <c r="A700" s="1" t="s">
        <v>179</v>
      </c>
      <c r="B700" s="1" t="s">
        <v>1388</v>
      </c>
      <c r="C700" s="1" t="s">
        <v>101</v>
      </c>
      <c r="D700" s="1" t="s">
        <v>101</v>
      </c>
      <c r="E700" s="81">
        <v>0</v>
      </c>
      <c r="F700" s="81">
        <v>0</v>
      </c>
    </row>
    <row r="701" spans="1:6" x14ac:dyDescent="0.2">
      <c r="A701" s="1" t="s">
        <v>179</v>
      </c>
      <c r="B701" s="1" t="s">
        <v>1389</v>
      </c>
      <c r="C701" s="1" t="s">
        <v>101</v>
      </c>
      <c r="D701" s="1" t="s">
        <v>101</v>
      </c>
      <c r="E701" s="81">
        <v>0</v>
      </c>
      <c r="F701" s="81">
        <v>0</v>
      </c>
    </row>
    <row r="702" spans="1:6" x14ac:dyDescent="0.2">
      <c r="A702" s="1" t="s">
        <v>179</v>
      </c>
      <c r="B702" s="1" t="s">
        <v>1390</v>
      </c>
      <c r="C702" s="1" t="s">
        <v>101</v>
      </c>
      <c r="D702" s="1" t="s">
        <v>101</v>
      </c>
      <c r="E702" s="81">
        <v>0</v>
      </c>
      <c r="F702" s="81">
        <v>0</v>
      </c>
    </row>
    <row r="703" spans="1:6" x14ac:dyDescent="0.2">
      <c r="A703" s="1" t="s">
        <v>179</v>
      </c>
      <c r="B703" s="1" t="s">
        <v>1391</v>
      </c>
      <c r="C703" s="1" t="s">
        <v>101</v>
      </c>
      <c r="D703" s="1" t="s">
        <v>101</v>
      </c>
      <c r="E703" s="81">
        <v>0</v>
      </c>
      <c r="F703" s="81">
        <v>0</v>
      </c>
    </row>
    <row r="704" spans="1:6" x14ac:dyDescent="0.2">
      <c r="A704" s="1" t="s">
        <v>179</v>
      </c>
      <c r="B704" s="1" t="s">
        <v>1392</v>
      </c>
      <c r="C704" s="1" t="s">
        <v>101</v>
      </c>
      <c r="D704" s="1" t="s">
        <v>101</v>
      </c>
      <c r="E704" s="81">
        <v>0</v>
      </c>
      <c r="F704" s="81">
        <v>0</v>
      </c>
    </row>
    <row r="705" spans="1:6" x14ac:dyDescent="0.2">
      <c r="A705" s="1" t="s">
        <v>179</v>
      </c>
      <c r="B705" s="1" t="s">
        <v>1393</v>
      </c>
      <c r="C705" s="1" t="s">
        <v>101</v>
      </c>
      <c r="D705" s="1" t="s">
        <v>101</v>
      </c>
      <c r="E705" s="81">
        <v>0</v>
      </c>
      <c r="F705" s="81">
        <v>0</v>
      </c>
    </row>
    <row r="706" spans="1:6" x14ac:dyDescent="0.2">
      <c r="A706" s="1" t="s">
        <v>179</v>
      </c>
      <c r="B706" s="1" t="s">
        <v>1394</v>
      </c>
      <c r="C706" s="1" t="s">
        <v>101</v>
      </c>
      <c r="D706" s="1" t="s">
        <v>101</v>
      </c>
      <c r="E706" s="81">
        <v>0</v>
      </c>
      <c r="F706" s="81">
        <v>0</v>
      </c>
    </row>
    <row r="707" spans="1:6" x14ac:dyDescent="0.2">
      <c r="A707" s="1" t="s">
        <v>179</v>
      </c>
      <c r="B707" s="1" t="s">
        <v>1395</v>
      </c>
      <c r="C707" s="1" t="s">
        <v>101</v>
      </c>
      <c r="D707" s="1" t="s">
        <v>101</v>
      </c>
      <c r="E707" s="81">
        <v>0</v>
      </c>
      <c r="F707" s="81">
        <v>0</v>
      </c>
    </row>
    <row r="708" spans="1:6" x14ac:dyDescent="0.2">
      <c r="A708" s="1" t="s">
        <v>179</v>
      </c>
      <c r="B708" s="1" t="s">
        <v>1396</v>
      </c>
      <c r="C708" s="1" t="s">
        <v>101</v>
      </c>
      <c r="D708" s="1" t="s">
        <v>101</v>
      </c>
      <c r="E708" s="81">
        <v>0</v>
      </c>
      <c r="F708" s="81">
        <v>0</v>
      </c>
    </row>
    <row r="709" spans="1:6" x14ac:dyDescent="0.2">
      <c r="A709" s="1" t="s">
        <v>179</v>
      </c>
      <c r="B709" s="1" t="s">
        <v>1397</v>
      </c>
      <c r="C709" s="1" t="s">
        <v>101</v>
      </c>
      <c r="D709" s="1" t="s">
        <v>101</v>
      </c>
      <c r="E709" s="81">
        <v>0</v>
      </c>
      <c r="F709" s="81">
        <v>0</v>
      </c>
    </row>
    <row r="710" spans="1:6" x14ac:dyDescent="0.2">
      <c r="A710" s="1" t="s">
        <v>179</v>
      </c>
      <c r="B710" s="1" t="s">
        <v>1398</v>
      </c>
      <c r="C710" s="1" t="s">
        <v>101</v>
      </c>
      <c r="D710" s="1" t="s">
        <v>101</v>
      </c>
      <c r="E710" s="81">
        <v>0</v>
      </c>
      <c r="F710" s="81">
        <v>0</v>
      </c>
    </row>
    <row r="711" spans="1:6" x14ac:dyDescent="0.2">
      <c r="A711" s="1" t="s">
        <v>179</v>
      </c>
      <c r="B711" s="1" t="s">
        <v>1399</v>
      </c>
      <c r="C711" s="1" t="s">
        <v>101</v>
      </c>
      <c r="D711" s="1" t="s">
        <v>101</v>
      </c>
      <c r="E711" s="81">
        <v>0</v>
      </c>
      <c r="F711" s="81">
        <v>0</v>
      </c>
    </row>
    <row r="712" spans="1:6" x14ac:dyDescent="0.2">
      <c r="A712" s="1" t="s">
        <v>179</v>
      </c>
      <c r="B712" s="1" t="s">
        <v>1400</v>
      </c>
      <c r="C712" s="1" t="s">
        <v>101</v>
      </c>
      <c r="D712" s="1" t="s">
        <v>101</v>
      </c>
      <c r="E712" s="81">
        <v>0</v>
      </c>
      <c r="F712" s="81">
        <v>0</v>
      </c>
    </row>
    <row r="713" spans="1:6" x14ac:dyDescent="0.2">
      <c r="A713" s="1" t="s">
        <v>179</v>
      </c>
      <c r="B713" s="1" t="s">
        <v>1401</v>
      </c>
      <c r="C713" s="1" t="s">
        <v>101</v>
      </c>
      <c r="D713" s="1" t="s">
        <v>101</v>
      </c>
      <c r="E713" s="81">
        <v>0</v>
      </c>
      <c r="F713" s="81">
        <v>0</v>
      </c>
    </row>
    <row r="714" spans="1:6" x14ac:dyDescent="0.2">
      <c r="A714" s="1" t="s">
        <v>179</v>
      </c>
      <c r="B714" s="1" t="s">
        <v>1402</v>
      </c>
      <c r="C714" s="1" t="s">
        <v>101</v>
      </c>
      <c r="D714" s="1" t="s">
        <v>101</v>
      </c>
      <c r="E714" s="81">
        <v>0</v>
      </c>
      <c r="F714" s="81">
        <v>0</v>
      </c>
    </row>
    <row r="715" spans="1:6" x14ac:dyDescent="0.2">
      <c r="A715" s="1" t="s">
        <v>179</v>
      </c>
      <c r="B715" s="1" t="s">
        <v>1403</v>
      </c>
      <c r="C715" s="1" t="s">
        <v>101</v>
      </c>
      <c r="D715" s="1" t="s">
        <v>101</v>
      </c>
      <c r="E715" s="81">
        <v>0</v>
      </c>
      <c r="F715" s="81">
        <v>0</v>
      </c>
    </row>
    <row r="716" spans="1:6" x14ac:dyDescent="0.2">
      <c r="A716" s="1" t="s">
        <v>179</v>
      </c>
      <c r="B716" s="1" t="s">
        <v>1404</v>
      </c>
      <c r="C716" s="1" t="s">
        <v>3904</v>
      </c>
      <c r="D716" s="1" t="s">
        <v>3904</v>
      </c>
      <c r="E716" s="81">
        <v>3529.98</v>
      </c>
      <c r="F716" s="81">
        <v>3529.98</v>
      </c>
    </row>
    <row r="717" spans="1:6" x14ac:dyDescent="0.2">
      <c r="A717" s="1" t="s">
        <v>179</v>
      </c>
      <c r="B717" s="1" t="s">
        <v>1405</v>
      </c>
      <c r="C717" s="1" t="s">
        <v>3905</v>
      </c>
      <c r="D717" s="1" t="s">
        <v>3905</v>
      </c>
      <c r="E717" s="81">
        <v>9467.74</v>
      </c>
      <c r="F717" s="81">
        <v>9467.74</v>
      </c>
    </row>
    <row r="718" spans="1:6" x14ac:dyDescent="0.2">
      <c r="A718" s="1" t="s">
        <v>179</v>
      </c>
      <c r="B718" s="1" t="s">
        <v>1406</v>
      </c>
      <c r="C718" s="1" t="s">
        <v>3906</v>
      </c>
      <c r="D718" s="1" t="s">
        <v>3906</v>
      </c>
      <c r="E718" s="81">
        <v>3128.37</v>
      </c>
      <c r="F718" s="81">
        <v>3128.37</v>
      </c>
    </row>
    <row r="719" spans="1:6" x14ac:dyDescent="0.2">
      <c r="A719" s="1" t="s">
        <v>179</v>
      </c>
      <c r="B719" s="1" t="s">
        <v>1407</v>
      </c>
      <c r="C719" s="1" t="s">
        <v>101</v>
      </c>
      <c r="D719" s="1" t="s">
        <v>101</v>
      </c>
      <c r="E719" s="81">
        <v>0</v>
      </c>
      <c r="F719" s="81">
        <v>0</v>
      </c>
    </row>
    <row r="720" spans="1:6" x14ac:dyDescent="0.2">
      <c r="A720" s="1" t="s">
        <v>179</v>
      </c>
      <c r="B720" s="1" t="s">
        <v>1408</v>
      </c>
      <c r="C720" s="1" t="s">
        <v>101</v>
      </c>
      <c r="D720" s="1" t="s">
        <v>101</v>
      </c>
      <c r="E720" s="81">
        <v>0</v>
      </c>
      <c r="F720" s="81">
        <v>0</v>
      </c>
    </row>
    <row r="721" spans="1:6" x14ac:dyDescent="0.2">
      <c r="A721" s="1" t="s">
        <v>179</v>
      </c>
      <c r="B721" s="1" t="s">
        <v>1409</v>
      </c>
      <c r="C721" s="1" t="s">
        <v>101</v>
      </c>
      <c r="D721" s="1" t="s">
        <v>101</v>
      </c>
      <c r="E721" s="81">
        <v>0</v>
      </c>
      <c r="F721" s="81">
        <v>0</v>
      </c>
    </row>
    <row r="722" spans="1:6" x14ac:dyDescent="0.2">
      <c r="A722" s="1" t="s">
        <v>179</v>
      </c>
      <c r="B722" s="1" t="s">
        <v>1410</v>
      </c>
      <c r="C722" s="1" t="s">
        <v>101</v>
      </c>
      <c r="D722" s="1" t="s">
        <v>101</v>
      </c>
      <c r="E722" s="81">
        <v>0</v>
      </c>
      <c r="F722" s="81">
        <v>0</v>
      </c>
    </row>
    <row r="723" spans="1:6" x14ac:dyDescent="0.2">
      <c r="A723" s="1" t="s">
        <v>179</v>
      </c>
      <c r="B723" s="1" t="s">
        <v>1411</v>
      </c>
      <c r="C723" s="1" t="s">
        <v>101</v>
      </c>
      <c r="D723" s="1" t="s">
        <v>101</v>
      </c>
      <c r="E723" s="81">
        <v>0</v>
      </c>
      <c r="F723" s="81">
        <v>0</v>
      </c>
    </row>
    <row r="724" spans="1:6" x14ac:dyDescent="0.2">
      <c r="A724" s="1" t="s">
        <v>179</v>
      </c>
      <c r="B724" s="1" t="s">
        <v>1412</v>
      </c>
      <c r="C724" s="1" t="s">
        <v>101</v>
      </c>
      <c r="D724" s="1" t="s">
        <v>101</v>
      </c>
      <c r="E724" s="81">
        <v>0</v>
      </c>
      <c r="F724" s="81">
        <v>0</v>
      </c>
    </row>
    <row r="725" spans="1:6" x14ac:dyDescent="0.2">
      <c r="A725" s="1" t="s">
        <v>179</v>
      </c>
      <c r="B725" s="1" t="s">
        <v>1413</v>
      </c>
      <c r="C725" s="1" t="s">
        <v>101</v>
      </c>
      <c r="D725" s="1" t="s">
        <v>101</v>
      </c>
      <c r="E725" s="81">
        <v>0</v>
      </c>
      <c r="F725" s="81">
        <v>0</v>
      </c>
    </row>
    <row r="726" spans="1:6" x14ac:dyDescent="0.2">
      <c r="A726" s="1" t="s">
        <v>179</v>
      </c>
      <c r="B726" s="1" t="s">
        <v>1414</v>
      </c>
      <c r="C726" s="1" t="s">
        <v>101</v>
      </c>
      <c r="D726" s="1" t="s">
        <v>101</v>
      </c>
      <c r="E726" s="81">
        <v>0</v>
      </c>
      <c r="F726" s="81">
        <v>0</v>
      </c>
    </row>
    <row r="727" spans="1:6" x14ac:dyDescent="0.2">
      <c r="A727" s="1" t="s">
        <v>179</v>
      </c>
      <c r="B727" s="1" t="s">
        <v>1415</v>
      </c>
      <c r="C727" s="1" t="s">
        <v>101</v>
      </c>
      <c r="D727" s="1" t="s">
        <v>101</v>
      </c>
      <c r="E727" s="81">
        <v>0</v>
      </c>
      <c r="F727" s="81">
        <v>0</v>
      </c>
    </row>
    <row r="728" spans="1:6" x14ac:dyDescent="0.2">
      <c r="A728" s="1" t="s">
        <v>179</v>
      </c>
      <c r="B728" s="1" t="s">
        <v>1416</v>
      </c>
      <c r="C728" s="1" t="s">
        <v>3907</v>
      </c>
      <c r="D728" s="1" t="s">
        <v>3907</v>
      </c>
      <c r="E728" s="81">
        <v>16126.09</v>
      </c>
      <c r="F728" s="81">
        <v>16126.09</v>
      </c>
    </row>
    <row r="729" spans="1:6" x14ac:dyDescent="0.2">
      <c r="A729" s="1" t="s">
        <v>179</v>
      </c>
      <c r="B729" s="1" t="s">
        <v>1417</v>
      </c>
      <c r="C729" s="1" t="s">
        <v>101</v>
      </c>
      <c r="D729" s="1" t="s">
        <v>101</v>
      </c>
      <c r="E729" s="81">
        <v>0</v>
      </c>
      <c r="F729" s="81">
        <v>0</v>
      </c>
    </row>
    <row r="730" spans="1:6" x14ac:dyDescent="0.2">
      <c r="A730" s="1" t="s">
        <v>179</v>
      </c>
      <c r="B730" s="1" t="s">
        <v>1418</v>
      </c>
      <c r="C730" s="1" t="s">
        <v>101</v>
      </c>
      <c r="D730" s="1" t="s">
        <v>101</v>
      </c>
      <c r="E730" s="81">
        <v>0</v>
      </c>
      <c r="F730" s="81">
        <v>0</v>
      </c>
    </row>
    <row r="731" spans="1:6" x14ac:dyDescent="0.2">
      <c r="A731" s="1" t="s">
        <v>179</v>
      </c>
      <c r="B731" s="1" t="s">
        <v>1419</v>
      </c>
      <c r="C731" s="1" t="s">
        <v>101</v>
      </c>
      <c r="D731" s="1" t="s">
        <v>101</v>
      </c>
      <c r="E731" s="81">
        <v>0</v>
      </c>
      <c r="F731" s="81">
        <v>0</v>
      </c>
    </row>
    <row r="732" spans="1:6" x14ac:dyDescent="0.2">
      <c r="A732" s="1" t="s">
        <v>179</v>
      </c>
      <c r="B732" s="1" t="s">
        <v>1420</v>
      </c>
      <c r="C732" s="1" t="s">
        <v>101</v>
      </c>
      <c r="D732" s="1" t="s">
        <v>101</v>
      </c>
      <c r="E732" s="81">
        <v>0</v>
      </c>
      <c r="F732" s="81">
        <v>0</v>
      </c>
    </row>
    <row r="733" spans="1:6" x14ac:dyDescent="0.2">
      <c r="A733" s="1" t="s">
        <v>179</v>
      </c>
      <c r="B733" s="1" t="s">
        <v>1421</v>
      </c>
      <c r="C733" s="1" t="s">
        <v>101</v>
      </c>
      <c r="D733" s="1" t="s">
        <v>101</v>
      </c>
      <c r="E733" s="81">
        <v>0</v>
      </c>
      <c r="F733" s="81">
        <v>0</v>
      </c>
    </row>
    <row r="734" spans="1:6" x14ac:dyDescent="0.2">
      <c r="A734" s="1" t="s">
        <v>179</v>
      </c>
      <c r="B734" s="1" t="s">
        <v>1422</v>
      </c>
      <c r="C734" s="1" t="s">
        <v>101</v>
      </c>
      <c r="D734" s="1" t="s">
        <v>101</v>
      </c>
      <c r="E734" s="81">
        <v>0</v>
      </c>
      <c r="F734" s="81">
        <v>0</v>
      </c>
    </row>
    <row r="735" spans="1:6" x14ac:dyDescent="0.2">
      <c r="A735" s="1" t="s">
        <v>179</v>
      </c>
      <c r="B735" s="1" t="s">
        <v>1423</v>
      </c>
      <c r="C735" s="1" t="s">
        <v>101</v>
      </c>
      <c r="D735" s="1" t="s">
        <v>101</v>
      </c>
      <c r="E735" s="81">
        <v>0</v>
      </c>
      <c r="F735" s="81">
        <v>0</v>
      </c>
    </row>
    <row r="736" spans="1:6" x14ac:dyDescent="0.2">
      <c r="A736" s="1" t="s">
        <v>179</v>
      </c>
      <c r="B736" s="1" t="s">
        <v>1424</v>
      </c>
      <c r="C736" s="1" t="s">
        <v>101</v>
      </c>
      <c r="D736" s="1" t="s">
        <v>101</v>
      </c>
      <c r="E736" s="81">
        <v>0</v>
      </c>
      <c r="F736" s="81">
        <v>0</v>
      </c>
    </row>
    <row r="737" spans="1:6" x14ac:dyDescent="0.2">
      <c r="A737" s="1" t="s">
        <v>179</v>
      </c>
      <c r="B737" s="1" t="s">
        <v>1425</v>
      </c>
      <c r="C737" s="1" t="s">
        <v>101</v>
      </c>
      <c r="D737" s="1" t="s">
        <v>101</v>
      </c>
      <c r="E737" s="81">
        <v>0</v>
      </c>
      <c r="F737" s="81">
        <v>0</v>
      </c>
    </row>
    <row r="738" spans="1:6" x14ac:dyDescent="0.2">
      <c r="A738" s="1" t="s">
        <v>179</v>
      </c>
      <c r="B738" s="1" t="s">
        <v>1426</v>
      </c>
      <c r="C738" s="1" t="s">
        <v>101</v>
      </c>
      <c r="D738" s="1" t="s">
        <v>101</v>
      </c>
      <c r="E738" s="81">
        <v>0</v>
      </c>
      <c r="F738" s="81">
        <v>0</v>
      </c>
    </row>
    <row r="739" spans="1:6" x14ac:dyDescent="0.2">
      <c r="A739" s="1" t="s">
        <v>179</v>
      </c>
      <c r="B739" s="1" t="s">
        <v>1427</v>
      </c>
      <c r="C739" s="1" t="s">
        <v>101</v>
      </c>
      <c r="D739" s="1" t="s">
        <v>101</v>
      </c>
      <c r="E739" s="81">
        <v>0</v>
      </c>
      <c r="F739" s="81">
        <v>0</v>
      </c>
    </row>
    <row r="740" spans="1:6" x14ac:dyDescent="0.2">
      <c r="A740" s="1" t="s">
        <v>179</v>
      </c>
      <c r="B740" s="1" t="s">
        <v>1428</v>
      </c>
      <c r="C740" s="1" t="s">
        <v>101</v>
      </c>
      <c r="D740" s="1" t="s">
        <v>101</v>
      </c>
      <c r="E740" s="81">
        <v>0</v>
      </c>
      <c r="F740" s="81">
        <v>0</v>
      </c>
    </row>
    <row r="741" spans="1:6" x14ac:dyDescent="0.2">
      <c r="A741" s="1" t="s">
        <v>179</v>
      </c>
      <c r="B741" s="1" t="s">
        <v>1429</v>
      </c>
      <c r="C741" s="1" t="s">
        <v>101</v>
      </c>
      <c r="D741" s="1" t="s">
        <v>101</v>
      </c>
      <c r="E741" s="81">
        <v>0</v>
      </c>
      <c r="F741" s="81">
        <v>0</v>
      </c>
    </row>
    <row r="742" spans="1:6" x14ac:dyDescent="0.2">
      <c r="A742" s="1" t="s">
        <v>179</v>
      </c>
      <c r="B742" s="1" t="s">
        <v>1430</v>
      </c>
      <c r="C742" s="1" t="s">
        <v>101</v>
      </c>
      <c r="D742" s="1" t="s">
        <v>101</v>
      </c>
      <c r="E742" s="81">
        <v>0</v>
      </c>
      <c r="F742" s="81">
        <v>0</v>
      </c>
    </row>
    <row r="743" spans="1:6" x14ac:dyDescent="0.2">
      <c r="A743" s="1" t="s">
        <v>179</v>
      </c>
      <c r="B743" s="1" t="s">
        <v>1431</v>
      </c>
      <c r="C743" s="1" t="s">
        <v>101</v>
      </c>
      <c r="D743" s="1" t="s">
        <v>101</v>
      </c>
      <c r="E743" s="81">
        <v>0</v>
      </c>
      <c r="F743" s="81">
        <v>0</v>
      </c>
    </row>
    <row r="744" spans="1:6" x14ac:dyDescent="0.2">
      <c r="A744" s="1" t="s">
        <v>179</v>
      </c>
      <c r="B744" s="1" t="s">
        <v>1432</v>
      </c>
      <c r="C744" s="1" t="s">
        <v>101</v>
      </c>
      <c r="D744" s="1" t="s">
        <v>101</v>
      </c>
      <c r="E744" s="81">
        <v>0</v>
      </c>
      <c r="F744" s="81">
        <v>0</v>
      </c>
    </row>
    <row r="745" spans="1:6" x14ac:dyDescent="0.2">
      <c r="A745" s="1" t="s">
        <v>179</v>
      </c>
      <c r="B745" s="1" t="s">
        <v>1433</v>
      </c>
      <c r="C745" s="1" t="s">
        <v>101</v>
      </c>
      <c r="D745" s="1" t="s">
        <v>101</v>
      </c>
      <c r="E745" s="81">
        <v>0</v>
      </c>
      <c r="F745" s="81">
        <v>0</v>
      </c>
    </row>
    <row r="746" spans="1:6" x14ac:dyDescent="0.2">
      <c r="A746" s="1" t="s">
        <v>179</v>
      </c>
      <c r="B746" s="1" t="s">
        <v>1434</v>
      </c>
      <c r="C746" s="1" t="s">
        <v>101</v>
      </c>
      <c r="D746" s="1" t="s">
        <v>101</v>
      </c>
      <c r="E746" s="81">
        <v>0</v>
      </c>
      <c r="F746" s="81">
        <v>0</v>
      </c>
    </row>
    <row r="747" spans="1:6" x14ac:dyDescent="0.2">
      <c r="A747" s="1" t="s">
        <v>179</v>
      </c>
      <c r="B747" s="1" t="s">
        <v>1435</v>
      </c>
      <c r="C747" s="1" t="s">
        <v>101</v>
      </c>
      <c r="D747" s="1" t="s">
        <v>101</v>
      </c>
      <c r="E747" s="81">
        <v>0</v>
      </c>
      <c r="F747" s="81">
        <v>0</v>
      </c>
    </row>
    <row r="748" spans="1:6" x14ac:dyDescent="0.2">
      <c r="A748" s="1" t="s">
        <v>179</v>
      </c>
      <c r="B748" s="1" t="s">
        <v>1436</v>
      </c>
      <c r="C748" s="1" t="s">
        <v>101</v>
      </c>
      <c r="D748" s="1" t="s">
        <v>101</v>
      </c>
      <c r="E748" s="81">
        <v>0</v>
      </c>
      <c r="F748" s="81">
        <v>0</v>
      </c>
    </row>
    <row r="749" spans="1:6" x14ac:dyDescent="0.2">
      <c r="A749" s="1" t="s">
        <v>179</v>
      </c>
      <c r="B749" s="1" t="s">
        <v>1437</v>
      </c>
      <c r="C749" s="1" t="s">
        <v>101</v>
      </c>
      <c r="D749" s="1" t="s">
        <v>101</v>
      </c>
      <c r="E749" s="81">
        <v>0</v>
      </c>
      <c r="F749" s="81">
        <v>0</v>
      </c>
    </row>
    <row r="750" spans="1:6" x14ac:dyDescent="0.2">
      <c r="A750" s="1" t="s">
        <v>179</v>
      </c>
      <c r="B750" s="1" t="s">
        <v>1438</v>
      </c>
      <c r="C750" s="1" t="s">
        <v>101</v>
      </c>
      <c r="D750" s="1" t="s">
        <v>101</v>
      </c>
      <c r="E750" s="81">
        <v>0</v>
      </c>
      <c r="F750" s="81">
        <v>0</v>
      </c>
    </row>
    <row r="751" spans="1:6" x14ac:dyDescent="0.2">
      <c r="A751" s="1" t="s">
        <v>179</v>
      </c>
      <c r="B751" s="1" t="s">
        <v>1439</v>
      </c>
      <c r="C751" s="1" t="s">
        <v>101</v>
      </c>
      <c r="D751" s="1" t="s">
        <v>101</v>
      </c>
      <c r="E751" s="81">
        <v>0</v>
      </c>
      <c r="F751" s="81">
        <v>0</v>
      </c>
    </row>
    <row r="752" spans="1:6" x14ac:dyDescent="0.2">
      <c r="A752" s="1" t="s">
        <v>179</v>
      </c>
      <c r="B752" s="1" t="s">
        <v>1440</v>
      </c>
      <c r="C752" s="1" t="s">
        <v>101</v>
      </c>
      <c r="D752" s="1" t="s">
        <v>101</v>
      </c>
      <c r="E752" s="81">
        <v>0</v>
      </c>
      <c r="F752" s="81">
        <v>0</v>
      </c>
    </row>
    <row r="753" spans="1:6" x14ac:dyDescent="0.2">
      <c r="A753" s="1" t="s">
        <v>179</v>
      </c>
      <c r="B753" s="1" t="s">
        <v>1441</v>
      </c>
      <c r="C753" s="1" t="s">
        <v>101</v>
      </c>
      <c r="D753" s="1" t="s">
        <v>101</v>
      </c>
      <c r="E753" s="81">
        <v>0</v>
      </c>
      <c r="F753" s="81">
        <v>0</v>
      </c>
    </row>
    <row r="754" spans="1:6" x14ac:dyDescent="0.2">
      <c r="A754" s="1" t="s">
        <v>179</v>
      </c>
      <c r="B754" s="1" t="s">
        <v>1442</v>
      </c>
      <c r="C754" s="1" t="s">
        <v>101</v>
      </c>
      <c r="D754" s="1" t="s">
        <v>101</v>
      </c>
      <c r="E754" s="81">
        <v>0</v>
      </c>
      <c r="F754" s="81">
        <v>0</v>
      </c>
    </row>
    <row r="755" spans="1:6" x14ac:dyDescent="0.2">
      <c r="A755" s="1" t="s">
        <v>179</v>
      </c>
      <c r="B755" s="1" t="s">
        <v>1443</v>
      </c>
      <c r="C755" s="1" t="s">
        <v>101</v>
      </c>
      <c r="D755" s="1" t="s">
        <v>101</v>
      </c>
      <c r="E755" s="81">
        <v>0</v>
      </c>
      <c r="F755" s="81">
        <v>0</v>
      </c>
    </row>
    <row r="756" spans="1:6" x14ac:dyDescent="0.2">
      <c r="A756" s="1" t="s">
        <v>179</v>
      </c>
      <c r="B756" s="1" t="s">
        <v>1444</v>
      </c>
      <c r="C756" s="1" t="s">
        <v>101</v>
      </c>
      <c r="D756" s="1" t="s">
        <v>101</v>
      </c>
      <c r="E756" s="81">
        <v>0</v>
      </c>
      <c r="F756" s="81">
        <v>0</v>
      </c>
    </row>
    <row r="757" spans="1:6" x14ac:dyDescent="0.2">
      <c r="A757" s="1" t="s">
        <v>179</v>
      </c>
      <c r="B757" s="1" t="s">
        <v>1445</v>
      </c>
      <c r="C757" s="1" t="s">
        <v>101</v>
      </c>
      <c r="D757" s="1" t="s">
        <v>101</v>
      </c>
      <c r="E757" s="81">
        <v>0</v>
      </c>
      <c r="F757" s="81">
        <v>0</v>
      </c>
    </row>
    <row r="758" spans="1:6" x14ac:dyDescent="0.2">
      <c r="A758" s="1" t="s">
        <v>179</v>
      </c>
      <c r="B758" s="1" t="s">
        <v>1446</v>
      </c>
      <c r="C758" s="1" t="s">
        <v>101</v>
      </c>
      <c r="D758" s="1" t="s">
        <v>101</v>
      </c>
      <c r="E758" s="81">
        <v>0</v>
      </c>
      <c r="F758" s="81">
        <v>0</v>
      </c>
    </row>
    <row r="759" spans="1:6" x14ac:dyDescent="0.2">
      <c r="A759" s="1" t="s">
        <v>179</v>
      </c>
      <c r="B759" s="1" t="s">
        <v>1447</v>
      </c>
      <c r="C759" s="1" t="s">
        <v>101</v>
      </c>
      <c r="D759" s="1" t="s">
        <v>101</v>
      </c>
      <c r="E759" s="81">
        <v>0</v>
      </c>
      <c r="F759" s="81">
        <v>0</v>
      </c>
    </row>
    <row r="760" spans="1:6" x14ac:dyDescent="0.2">
      <c r="A760" s="1" t="s">
        <v>179</v>
      </c>
      <c r="B760" s="1" t="s">
        <v>1448</v>
      </c>
      <c r="C760" s="1" t="s">
        <v>101</v>
      </c>
      <c r="D760" s="1" t="s">
        <v>101</v>
      </c>
      <c r="E760" s="81">
        <v>0</v>
      </c>
      <c r="F760" s="81">
        <v>0</v>
      </c>
    </row>
    <row r="761" spans="1:6" x14ac:dyDescent="0.2">
      <c r="A761" s="1" t="s">
        <v>179</v>
      </c>
      <c r="B761" s="1" t="s">
        <v>1449</v>
      </c>
      <c r="C761" s="1" t="s">
        <v>101</v>
      </c>
      <c r="D761" s="1" t="s">
        <v>101</v>
      </c>
      <c r="E761" s="81">
        <v>0</v>
      </c>
      <c r="F761" s="81">
        <v>0</v>
      </c>
    </row>
    <row r="762" spans="1:6" x14ac:dyDescent="0.2">
      <c r="A762" s="1" t="s">
        <v>179</v>
      </c>
      <c r="B762" s="1" t="s">
        <v>1450</v>
      </c>
      <c r="C762" s="1" t="s">
        <v>101</v>
      </c>
      <c r="D762" s="1" t="s">
        <v>101</v>
      </c>
      <c r="E762" s="81">
        <v>0</v>
      </c>
      <c r="F762" s="81">
        <v>0</v>
      </c>
    </row>
    <row r="763" spans="1:6" x14ac:dyDescent="0.2">
      <c r="A763" s="1" t="s">
        <v>179</v>
      </c>
      <c r="B763" s="1" t="s">
        <v>1451</v>
      </c>
      <c r="C763" s="1" t="s">
        <v>101</v>
      </c>
      <c r="D763" s="1" t="s">
        <v>101</v>
      </c>
      <c r="E763" s="81">
        <v>0</v>
      </c>
      <c r="F763" s="81">
        <v>0</v>
      </c>
    </row>
    <row r="764" spans="1:6" x14ac:dyDescent="0.2">
      <c r="A764" s="1" t="s">
        <v>179</v>
      </c>
      <c r="B764" s="1" t="s">
        <v>1452</v>
      </c>
      <c r="C764" s="1" t="s">
        <v>101</v>
      </c>
      <c r="D764" s="1" t="s">
        <v>101</v>
      </c>
      <c r="E764" s="81">
        <v>0</v>
      </c>
      <c r="F764" s="81">
        <v>0</v>
      </c>
    </row>
    <row r="765" spans="1:6" x14ac:dyDescent="0.2">
      <c r="A765" s="1" t="s">
        <v>179</v>
      </c>
      <c r="B765" s="1" t="s">
        <v>1453</v>
      </c>
      <c r="C765" s="1" t="s">
        <v>101</v>
      </c>
      <c r="D765" s="1" t="s">
        <v>101</v>
      </c>
      <c r="E765" s="81">
        <v>0</v>
      </c>
      <c r="F765" s="81">
        <v>0</v>
      </c>
    </row>
    <row r="766" spans="1:6" x14ac:dyDescent="0.2">
      <c r="A766" s="1" t="s">
        <v>179</v>
      </c>
      <c r="B766" s="1" t="s">
        <v>1454</v>
      </c>
      <c r="C766" s="1" t="s">
        <v>101</v>
      </c>
      <c r="D766" s="1" t="s">
        <v>101</v>
      </c>
      <c r="E766" s="81">
        <v>0</v>
      </c>
      <c r="F766" s="81">
        <v>0</v>
      </c>
    </row>
    <row r="767" spans="1:6" x14ac:dyDescent="0.2">
      <c r="A767" s="1" t="s">
        <v>179</v>
      </c>
      <c r="B767" s="1" t="s">
        <v>1455</v>
      </c>
      <c r="C767" s="1" t="s">
        <v>101</v>
      </c>
      <c r="D767" s="1" t="s">
        <v>101</v>
      </c>
      <c r="E767" s="81">
        <v>0</v>
      </c>
      <c r="F767" s="81">
        <v>0</v>
      </c>
    </row>
    <row r="768" spans="1:6" x14ac:dyDescent="0.2">
      <c r="A768" s="1" t="s">
        <v>179</v>
      </c>
      <c r="B768" s="1" t="s">
        <v>1456</v>
      </c>
      <c r="C768" s="1" t="s">
        <v>101</v>
      </c>
      <c r="D768" s="1" t="s">
        <v>101</v>
      </c>
      <c r="E768" s="81">
        <v>0</v>
      </c>
      <c r="F768" s="81">
        <v>0</v>
      </c>
    </row>
    <row r="769" spans="1:6" x14ac:dyDescent="0.2">
      <c r="A769" s="1" t="s">
        <v>179</v>
      </c>
      <c r="B769" s="1" t="s">
        <v>1457</v>
      </c>
      <c r="C769" s="1" t="s">
        <v>101</v>
      </c>
      <c r="D769" s="1" t="s">
        <v>101</v>
      </c>
      <c r="E769" s="81">
        <v>0</v>
      </c>
      <c r="F769" s="81">
        <v>0</v>
      </c>
    </row>
    <row r="770" spans="1:6" x14ac:dyDescent="0.2">
      <c r="A770" s="1" t="s">
        <v>179</v>
      </c>
      <c r="B770" s="1" t="s">
        <v>1458</v>
      </c>
      <c r="C770" s="1" t="s">
        <v>101</v>
      </c>
      <c r="D770" s="1" t="s">
        <v>101</v>
      </c>
      <c r="E770" s="81">
        <v>0</v>
      </c>
      <c r="F770" s="81">
        <v>0</v>
      </c>
    </row>
    <row r="771" spans="1:6" x14ac:dyDescent="0.2">
      <c r="A771" s="1" t="s">
        <v>179</v>
      </c>
      <c r="B771" s="1" t="s">
        <v>1459</v>
      </c>
      <c r="C771" s="1" t="s">
        <v>101</v>
      </c>
      <c r="D771" s="1" t="s">
        <v>101</v>
      </c>
      <c r="E771" s="81">
        <v>0</v>
      </c>
      <c r="F771" s="81">
        <v>0</v>
      </c>
    </row>
    <row r="772" spans="1:6" x14ac:dyDescent="0.2">
      <c r="A772" s="1" t="s">
        <v>179</v>
      </c>
      <c r="B772" s="1" t="s">
        <v>1460</v>
      </c>
      <c r="C772" s="1" t="s">
        <v>101</v>
      </c>
      <c r="D772" s="1" t="s">
        <v>101</v>
      </c>
      <c r="E772" s="81">
        <v>0</v>
      </c>
      <c r="F772" s="81">
        <v>0</v>
      </c>
    </row>
    <row r="773" spans="1:6" x14ac:dyDescent="0.2">
      <c r="A773" s="1" t="s">
        <v>179</v>
      </c>
      <c r="B773" s="1" t="s">
        <v>1461</v>
      </c>
      <c r="C773" s="1" t="s">
        <v>101</v>
      </c>
      <c r="D773" s="1" t="s">
        <v>101</v>
      </c>
      <c r="E773" s="81">
        <v>0</v>
      </c>
      <c r="F773" s="81">
        <v>0</v>
      </c>
    </row>
    <row r="774" spans="1:6" x14ac:dyDescent="0.2">
      <c r="A774" s="1" t="s">
        <v>179</v>
      </c>
      <c r="B774" s="1" t="s">
        <v>1462</v>
      </c>
      <c r="C774" s="1" t="s">
        <v>101</v>
      </c>
      <c r="D774" s="1" t="s">
        <v>101</v>
      </c>
      <c r="E774" s="81">
        <v>0</v>
      </c>
      <c r="F774" s="81">
        <v>0</v>
      </c>
    </row>
    <row r="775" spans="1:6" x14ac:dyDescent="0.2">
      <c r="A775" s="1" t="s">
        <v>179</v>
      </c>
      <c r="B775" s="1" t="s">
        <v>1463</v>
      </c>
      <c r="C775" s="1" t="s">
        <v>101</v>
      </c>
      <c r="D775" s="1" t="s">
        <v>101</v>
      </c>
      <c r="E775" s="81">
        <v>0</v>
      </c>
      <c r="F775" s="81">
        <v>0</v>
      </c>
    </row>
    <row r="776" spans="1:6" x14ac:dyDescent="0.2">
      <c r="A776" s="1" t="s">
        <v>179</v>
      </c>
      <c r="B776" s="1" t="s">
        <v>1464</v>
      </c>
      <c r="C776" s="1" t="s">
        <v>101</v>
      </c>
      <c r="D776" s="1" t="s">
        <v>101</v>
      </c>
      <c r="E776" s="81">
        <v>0</v>
      </c>
      <c r="F776" s="81">
        <v>0</v>
      </c>
    </row>
    <row r="777" spans="1:6" x14ac:dyDescent="0.2">
      <c r="A777" s="1" t="s">
        <v>179</v>
      </c>
      <c r="B777" s="1" t="s">
        <v>1465</v>
      </c>
      <c r="C777" s="1" t="s">
        <v>101</v>
      </c>
      <c r="D777" s="1" t="s">
        <v>101</v>
      </c>
      <c r="E777" s="81">
        <v>0</v>
      </c>
      <c r="F777" s="81">
        <v>0</v>
      </c>
    </row>
    <row r="778" spans="1:6" x14ac:dyDescent="0.2">
      <c r="A778" s="1" t="s">
        <v>179</v>
      </c>
      <c r="B778" s="1" t="s">
        <v>1466</v>
      </c>
      <c r="C778" s="1" t="s">
        <v>101</v>
      </c>
      <c r="D778" s="1" t="s">
        <v>101</v>
      </c>
      <c r="E778" s="81">
        <v>0</v>
      </c>
      <c r="F778" s="81">
        <v>0</v>
      </c>
    </row>
    <row r="779" spans="1:6" x14ac:dyDescent="0.2">
      <c r="A779" s="1" t="s">
        <v>179</v>
      </c>
      <c r="B779" s="1" t="s">
        <v>1467</v>
      </c>
      <c r="C779" s="1" t="s">
        <v>101</v>
      </c>
      <c r="D779" s="1" t="s">
        <v>101</v>
      </c>
      <c r="E779" s="81">
        <v>0</v>
      </c>
      <c r="F779" s="81">
        <v>0</v>
      </c>
    </row>
    <row r="780" spans="1:6" x14ac:dyDescent="0.2">
      <c r="A780" s="1" t="s">
        <v>179</v>
      </c>
      <c r="B780" s="1" t="s">
        <v>1468</v>
      </c>
      <c r="C780" s="1" t="s">
        <v>101</v>
      </c>
      <c r="D780" s="1" t="s">
        <v>101</v>
      </c>
      <c r="E780" s="81">
        <v>0</v>
      </c>
      <c r="F780" s="81">
        <v>0</v>
      </c>
    </row>
    <row r="781" spans="1:6" x14ac:dyDescent="0.2">
      <c r="A781" s="1" t="s">
        <v>179</v>
      </c>
      <c r="B781" s="1" t="s">
        <v>1469</v>
      </c>
      <c r="C781" s="1" t="s">
        <v>101</v>
      </c>
      <c r="D781" s="1" t="s">
        <v>101</v>
      </c>
      <c r="E781" s="81">
        <v>0</v>
      </c>
      <c r="F781" s="81">
        <v>0</v>
      </c>
    </row>
    <row r="782" spans="1:6" x14ac:dyDescent="0.2">
      <c r="A782" s="1" t="s">
        <v>179</v>
      </c>
      <c r="B782" s="1" t="s">
        <v>1470</v>
      </c>
      <c r="C782" s="1" t="s">
        <v>101</v>
      </c>
      <c r="D782" s="1" t="s">
        <v>101</v>
      </c>
      <c r="E782" s="81">
        <v>0</v>
      </c>
      <c r="F782" s="81">
        <v>0</v>
      </c>
    </row>
    <row r="783" spans="1:6" x14ac:dyDescent="0.2">
      <c r="A783" s="1" t="s">
        <v>179</v>
      </c>
      <c r="B783" s="1" t="s">
        <v>1471</v>
      </c>
      <c r="C783" s="1" t="s">
        <v>101</v>
      </c>
      <c r="D783" s="1" t="s">
        <v>101</v>
      </c>
      <c r="E783" s="81">
        <v>0</v>
      </c>
      <c r="F783" s="81">
        <v>0</v>
      </c>
    </row>
    <row r="784" spans="1:6" x14ac:dyDescent="0.2">
      <c r="A784" s="1" t="s">
        <v>179</v>
      </c>
      <c r="B784" s="1" t="s">
        <v>1472</v>
      </c>
      <c r="C784" s="1" t="s">
        <v>101</v>
      </c>
      <c r="D784" s="1" t="s">
        <v>101</v>
      </c>
      <c r="E784" s="81">
        <v>0</v>
      </c>
      <c r="F784" s="81">
        <v>0</v>
      </c>
    </row>
    <row r="785" spans="1:6" x14ac:dyDescent="0.2">
      <c r="A785" s="1" t="s">
        <v>179</v>
      </c>
      <c r="B785" s="1" t="s">
        <v>1473</v>
      </c>
      <c r="C785" s="1" t="s">
        <v>101</v>
      </c>
      <c r="D785" s="1" t="s">
        <v>101</v>
      </c>
      <c r="E785" s="81">
        <v>0</v>
      </c>
      <c r="F785" s="81">
        <v>0</v>
      </c>
    </row>
    <row r="786" spans="1:6" x14ac:dyDescent="0.2">
      <c r="A786" s="1" t="s">
        <v>179</v>
      </c>
      <c r="B786" s="1" t="s">
        <v>1474</v>
      </c>
      <c r="C786" s="1" t="s">
        <v>101</v>
      </c>
      <c r="D786" s="1" t="s">
        <v>101</v>
      </c>
      <c r="E786" s="81">
        <v>0</v>
      </c>
      <c r="F786" s="81">
        <v>0</v>
      </c>
    </row>
    <row r="787" spans="1:6" x14ac:dyDescent="0.2">
      <c r="A787" s="1" t="s">
        <v>179</v>
      </c>
      <c r="B787" s="1" t="s">
        <v>1475</v>
      </c>
      <c r="C787" s="1" t="s">
        <v>101</v>
      </c>
      <c r="D787" s="1" t="s">
        <v>101</v>
      </c>
      <c r="E787" s="81">
        <v>0</v>
      </c>
      <c r="F787" s="81">
        <v>0</v>
      </c>
    </row>
    <row r="788" spans="1:6" x14ac:dyDescent="0.2">
      <c r="A788" s="1" t="s">
        <v>179</v>
      </c>
      <c r="B788" s="1" t="s">
        <v>1476</v>
      </c>
      <c r="C788" s="1" t="s">
        <v>101</v>
      </c>
      <c r="D788" s="1" t="s">
        <v>101</v>
      </c>
      <c r="E788" s="81">
        <v>0</v>
      </c>
      <c r="F788" s="81">
        <v>0</v>
      </c>
    </row>
    <row r="789" spans="1:6" x14ac:dyDescent="0.2">
      <c r="A789" s="1" t="s">
        <v>179</v>
      </c>
      <c r="B789" s="1" t="s">
        <v>1477</v>
      </c>
      <c r="C789" s="1" t="s">
        <v>101</v>
      </c>
      <c r="D789" s="1" t="s">
        <v>101</v>
      </c>
      <c r="E789" s="81">
        <v>0</v>
      </c>
      <c r="F789" s="81">
        <v>0</v>
      </c>
    </row>
    <row r="790" spans="1:6" x14ac:dyDescent="0.2">
      <c r="A790" s="1" t="s">
        <v>179</v>
      </c>
      <c r="B790" s="1" t="s">
        <v>1478</v>
      </c>
      <c r="C790" s="1" t="s">
        <v>101</v>
      </c>
      <c r="D790" s="1" t="s">
        <v>101</v>
      </c>
      <c r="E790" s="81">
        <v>0</v>
      </c>
      <c r="F790" s="81">
        <v>0</v>
      </c>
    </row>
    <row r="791" spans="1:6" x14ac:dyDescent="0.2">
      <c r="A791" s="1" t="s">
        <v>179</v>
      </c>
      <c r="B791" s="1" t="s">
        <v>1479</v>
      </c>
      <c r="C791" s="1" t="s">
        <v>3912</v>
      </c>
      <c r="D791" s="1" t="s">
        <v>3912</v>
      </c>
      <c r="E791" s="81">
        <v>9715.85</v>
      </c>
      <c r="F791" s="81">
        <v>9715.85</v>
      </c>
    </row>
    <row r="792" spans="1:6" x14ac:dyDescent="0.2">
      <c r="A792" s="1" t="s">
        <v>179</v>
      </c>
      <c r="B792" s="1" t="s">
        <v>1480</v>
      </c>
      <c r="C792" s="1" t="s">
        <v>3913</v>
      </c>
      <c r="D792" s="1" t="s">
        <v>3913</v>
      </c>
      <c r="E792" s="81">
        <v>7057.05</v>
      </c>
      <c r="F792" s="81">
        <v>7057.05</v>
      </c>
    </row>
    <row r="793" spans="1:6" x14ac:dyDescent="0.2">
      <c r="A793" s="1" t="s">
        <v>179</v>
      </c>
      <c r="B793" s="1" t="s">
        <v>1481</v>
      </c>
      <c r="C793" s="1" t="s">
        <v>3914</v>
      </c>
      <c r="D793" s="1" t="s">
        <v>3914</v>
      </c>
      <c r="E793" s="81">
        <v>16552.29</v>
      </c>
      <c r="F793" s="81">
        <v>16552.29</v>
      </c>
    </row>
    <row r="794" spans="1:6" x14ac:dyDescent="0.2">
      <c r="A794" s="1" t="s">
        <v>179</v>
      </c>
      <c r="B794" s="1" t="s">
        <v>1482</v>
      </c>
      <c r="C794" s="1" t="s">
        <v>101</v>
      </c>
      <c r="D794" s="1" t="s">
        <v>101</v>
      </c>
      <c r="E794" s="81">
        <v>0</v>
      </c>
      <c r="F794" s="81">
        <v>0</v>
      </c>
    </row>
    <row r="795" spans="1:6" x14ac:dyDescent="0.2">
      <c r="A795" s="1" t="s">
        <v>179</v>
      </c>
      <c r="B795" s="1" t="s">
        <v>1483</v>
      </c>
      <c r="C795" s="1" t="s">
        <v>101</v>
      </c>
      <c r="D795" s="1" t="s">
        <v>101</v>
      </c>
      <c r="E795" s="81">
        <v>0</v>
      </c>
      <c r="F795" s="81">
        <v>0</v>
      </c>
    </row>
    <row r="796" spans="1:6" x14ac:dyDescent="0.2">
      <c r="A796" s="1" t="s">
        <v>179</v>
      </c>
      <c r="B796" s="1" t="s">
        <v>1484</v>
      </c>
      <c r="C796" s="1" t="s">
        <v>101</v>
      </c>
      <c r="D796" s="1" t="s">
        <v>101</v>
      </c>
      <c r="E796" s="81">
        <v>0</v>
      </c>
      <c r="F796" s="81">
        <v>0</v>
      </c>
    </row>
    <row r="797" spans="1:6" x14ac:dyDescent="0.2">
      <c r="A797" s="1" t="s">
        <v>179</v>
      </c>
      <c r="B797" s="1" t="s">
        <v>1485</v>
      </c>
      <c r="C797" s="1" t="s">
        <v>101</v>
      </c>
      <c r="D797" s="1" t="s">
        <v>101</v>
      </c>
      <c r="E797" s="81">
        <v>0</v>
      </c>
      <c r="F797" s="81">
        <v>0</v>
      </c>
    </row>
    <row r="798" spans="1:6" x14ac:dyDescent="0.2">
      <c r="A798" s="1" t="s">
        <v>179</v>
      </c>
      <c r="B798" s="1" t="s">
        <v>1486</v>
      </c>
      <c r="C798" s="1" t="s">
        <v>101</v>
      </c>
      <c r="D798" s="1" t="s">
        <v>101</v>
      </c>
      <c r="E798" s="81">
        <v>0</v>
      </c>
      <c r="F798" s="81">
        <v>0</v>
      </c>
    </row>
    <row r="799" spans="1:6" x14ac:dyDescent="0.2">
      <c r="A799" s="1" t="s">
        <v>179</v>
      </c>
      <c r="B799" s="1" t="s">
        <v>1487</v>
      </c>
      <c r="C799" s="1" t="s">
        <v>101</v>
      </c>
      <c r="D799" s="1" t="s">
        <v>101</v>
      </c>
      <c r="E799" s="81">
        <v>0</v>
      </c>
      <c r="F799" s="81">
        <v>0</v>
      </c>
    </row>
    <row r="800" spans="1:6" x14ac:dyDescent="0.2">
      <c r="A800" s="1" t="s">
        <v>179</v>
      </c>
      <c r="B800" s="1" t="s">
        <v>1488</v>
      </c>
      <c r="C800" s="1" t="s">
        <v>101</v>
      </c>
      <c r="D800" s="1" t="s">
        <v>101</v>
      </c>
      <c r="E800" s="81">
        <v>0</v>
      </c>
      <c r="F800" s="81">
        <v>0</v>
      </c>
    </row>
    <row r="801" spans="1:6" x14ac:dyDescent="0.2">
      <c r="A801" s="1" t="s">
        <v>179</v>
      </c>
      <c r="B801" s="1" t="s">
        <v>1489</v>
      </c>
      <c r="C801" s="1" t="s">
        <v>101</v>
      </c>
      <c r="D801" s="1" t="s">
        <v>101</v>
      </c>
      <c r="E801" s="81">
        <v>0</v>
      </c>
      <c r="F801" s="81">
        <v>0</v>
      </c>
    </row>
    <row r="802" spans="1:6" x14ac:dyDescent="0.2">
      <c r="A802" s="1" t="s">
        <v>179</v>
      </c>
      <c r="B802" s="1" t="s">
        <v>1490</v>
      </c>
      <c r="C802" s="1" t="s">
        <v>101</v>
      </c>
      <c r="D802" s="1" t="s">
        <v>101</v>
      </c>
      <c r="E802" s="81">
        <v>0</v>
      </c>
      <c r="F802" s="81">
        <v>0</v>
      </c>
    </row>
    <row r="803" spans="1:6" x14ac:dyDescent="0.2">
      <c r="A803" s="1" t="s">
        <v>179</v>
      </c>
      <c r="B803" s="1" t="s">
        <v>1491</v>
      </c>
      <c r="C803" s="1" t="s">
        <v>3915</v>
      </c>
      <c r="D803" s="1" t="s">
        <v>3915</v>
      </c>
      <c r="E803" s="81">
        <v>33325.19</v>
      </c>
      <c r="F803" s="81">
        <v>33325.19</v>
      </c>
    </row>
    <row r="804" spans="1:6" x14ac:dyDescent="0.2">
      <c r="A804" s="1" t="s">
        <v>179</v>
      </c>
      <c r="B804" s="1" t="s">
        <v>1492</v>
      </c>
      <c r="C804" s="1" t="s">
        <v>3916</v>
      </c>
      <c r="D804" s="1" t="s">
        <v>3916</v>
      </c>
      <c r="E804" s="81">
        <v>9573.23</v>
      </c>
      <c r="F804" s="81">
        <v>9573.23</v>
      </c>
    </row>
    <row r="805" spans="1:6" x14ac:dyDescent="0.2">
      <c r="A805" s="1" t="s">
        <v>179</v>
      </c>
      <c r="B805" s="1" t="s">
        <v>1493</v>
      </c>
      <c r="C805" s="1" t="s">
        <v>3917</v>
      </c>
      <c r="D805" s="1" t="s">
        <v>3917</v>
      </c>
      <c r="E805" s="81">
        <v>5068.7299999999996</v>
      </c>
      <c r="F805" s="81">
        <v>5068.7299999999996</v>
      </c>
    </row>
    <row r="806" spans="1:6" x14ac:dyDescent="0.2">
      <c r="A806" s="1" t="s">
        <v>179</v>
      </c>
      <c r="B806" s="1" t="s">
        <v>1494</v>
      </c>
      <c r="C806" s="1" t="s">
        <v>3918</v>
      </c>
      <c r="D806" s="1" t="s">
        <v>3918</v>
      </c>
      <c r="E806" s="81">
        <v>9922.75</v>
      </c>
      <c r="F806" s="81">
        <v>9922.75</v>
      </c>
    </row>
    <row r="807" spans="1:6" x14ac:dyDescent="0.2">
      <c r="A807" s="1" t="s">
        <v>179</v>
      </c>
      <c r="B807" s="1" t="s">
        <v>1495</v>
      </c>
      <c r="C807" s="1" t="s">
        <v>101</v>
      </c>
      <c r="D807" s="1" t="s">
        <v>101</v>
      </c>
      <c r="E807" s="81">
        <v>0</v>
      </c>
      <c r="F807" s="81">
        <v>0</v>
      </c>
    </row>
    <row r="808" spans="1:6" x14ac:dyDescent="0.2">
      <c r="A808" s="1" t="s">
        <v>179</v>
      </c>
      <c r="B808" s="1" t="s">
        <v>1496</v>
      </c>
      <c r="C808" s="1" t="s">
        <v>101</v>
      </c>
      <c r="D808" s="1" t="s">
        <v>101</v>
      </c>
      <c r="E808" s="81">
        <v>0</v>
      </c>
      <c r="F808" s="81">
        <v>0</v>
      </c>
    </row>
    <row r="809" spans="1:6" x14ac:dyDescent="0.2">
      <c r="A809" s="1" t="s">
        <v>179</v>
      </c>
      <c r="B809" s="1" t="s">
        <v>1497</v>
      </c>
      <c r="C809" s="1" t="s">
        <v>101</v>
      </c>
      <c r="D809" s="1" t="s">
        <v>101</v>
      </c>
      <c r="E809" s="81">
        <v>0</v>
      </c>
      <c r="F809" s="81">
        <v>0</v>
      </c>
    </row>
    <row r="810" spans="1:6" x14ac:dyDescent="0.2">
      <c r="A810" s="1" t="s">
        <v>179</v>
      </c>
      <c r="B810" s="1" t="s">
        <v>1498</v>
      </c>
      <c r="C810" s="1" t="s">
        <v>101</v>
      </c>
      <c r="D810" s="1" t="s">
        <v>101</v>
      </c>
      <c r="E810" s="81">
        <v>0</v>
      </c>
      <c r="F810" s="81">
        <v>0</v>
      </c>
    </row>
    <row r="811" spans="1:6" x14ac:dyDescent="0.2">
      <c r="A811" s="1" t="s">
        <v>179</v>
      </c>
      <c r="B811" s="1" t="s">
        <v>1499</v>
      </c>
      <c r="C811" s="1" t="s">
        <v>101</v>
      </c>
      <c r="D811" s="1" t="s">
        <v>101</v>
      </c>
      <c r="E811" s="81">
        <v>0</v>
      </c>
      <c r="F811" s="81">
        <v>0</v>
      </c>
    </row>
    <row r="812" spans="1:6" x14ac:dyDescent="0.2">
      <c r="A812" s="1" t="s">
        <v>179</v>
      </c>
      <c r="B812" s="1" t="s">
        <v>1500</v>
      </c>
      <c r="C812" s="1" t="s">
        <v>101</v>
      </c>
      <c r="D812" s="1" t="s">
        <v>101</v>
      </c>
      <c r="E812" s="81">
        <v>0</v>
      </c>
      <c r="F812" s="81">
        <v>0</v>
      </c>
    </row>
    <row r="813" spans="1:6" x14ac:dyDescent="0.2">
      <c r="A813" s="1" t="s">
        <v>179</v>
      </c>
      <c r="B813" s="1" t="s">
        <v>1501</v>
      </c>
      <c r="C813" s="1" t="s">
        <v>101</v>
      </c>
      <c r="D813" s="1" t="s">
        <v>101</v>
      </c>
      <c r="E813" s="81">
        <v>0</v>
      </c>
      <c r="F813" s="81">
        <v>0</v>
      </c>
    </row>
    <row r="814" spans="1:6" x14ac:dyDescent="0.2">
      <c r="A814" s="1" t="s">
        <v>179</v>
      </c>
      <c r="B814" s="1" t="s">
        <v>1502</v>
      </c>
      <c r="C814" s="1" t="s">
        <v>101</v>
      </c>
      <c r="D814" s="1" t="s">
        <v>101</v>
      </c>
      <c r="E814" s="81">
        <v>0</v>
      </c>
      <c r="F814" s="81">
        <v>0</v>
      </c>
    </row>
    <row r="815" spans="1:6" x14ac:dyDescent="0.2">
      <c r="A815" s="1" t="s">
        <v>179</v>
      </c>
      <c r="B815" s="1" t="s">
        <v>1503</v>
      </c>
      <c r="C815" s="1" t="s">
        <v>101</v>
      </c>
      <c r="D815" s="1" t="s">
        <v>101</v>
      </c>
      <c r="E815" s="81">
        <v>0</v>
      </c>
      <c r="F815" s="81">
        <v>0</v>
      </c>
    </row>
    <row r="816" spans="1:6" x14ac:dyDescent="0.2">
      <c r="A816" s="1" t="s">
        <v>179</v>
      </c>
      <c r="B816" s="1" t="s">
        <v>1504</v>
      </c>
      <c r="C816" s="1" t="s">
        <v>3919</v>
      </c>
      <c r="D816" s="1" t="s">
        <v>3919</v>
      </c>
      <c r="E816" s="81">
        <v>157.5</v>
      </c>
      <c r="F816" s="81">
        <v>157.5</v>
      </c>
    </row>
    <row r="817" spans="1:6" x14ac:dyDescent="0.2">
      <c r="A817" s="1" t="s">
        <v>179</v>
      </c>
      <c r="B817" s="1" t="s">
        <v>1505</v>
      </c>
      <c r="C817" s="1" t="s">
        <v>3920</v>
      </c>
      <c r="D817" s="1" t="s">
        <v>3920</v>
      </c>
      <c r="E817" s="81">
        <v>2000.45</v>
      </c>
      <c r="F817" s="81">
        <v>2000.45</v>
      </c>
    </row>
    <row r="818" spans="1:6" x14ac:dyDescent="0.2">
      <c r="A818" s="1" t="s">
        <v>179</v>
      </c>
      <c r="B818" s="1" t="s">
        <v>1506</v>
      </c>
      <c r="C818" s="1" t="s">
        <v>3921</v>
      </c>
      <c r="D818" s="1" t="s">
        <v>3921</v>
      </c>
      <c r="E818" s="81">
        <v>6655.82</v>
      </c>
      <c r="F818" s="81">
        <v>6655.82</v>
      </c>
    </row>
    <row r="819" spans="1:6" x14ac:dyDescent="0.2">
      <c r="A819" s="1" t="s">
        <v>179</v>
      </c>
      <c r="B819" s="1" t="s">
        <v>1507</v>
      </c>
      <c r="C819" s="1" t="s">
        <v>101</v>
      </c>
      <c r="D819" s="1" t="s">
        <v>101</v>
      </c>
      <c r="E819" s="81">
        <v>0</v>
      </c>
      <c r="F819" s="81">
        <v>0</v>
      </c>
    </row>
    <row r="820" spans="1:6" x14ac:dyDescent="0.2">
      <c r="A820" s="1" t="s">
        <v>179</v>
      </c>
      <c r="B820" s="1" t="s">
        <v>1508</v>
      </c>
      <c r="C820" s="1" t="s">
        <v>101</v>
      </c>
      <c r="D820" s="1" t="s">
        <v>101</v>
      </c>
      <c r="E820" s="81">
        <v>0</v>
      </c>
      <c r="F820" s="81">
        <v>0</v>
      </c>
    </row>
    <row r="821" spans="1:6" x14ac:dyDescent="0.2">
      <c r="A821" s="1" t="s">
        <v>179</v>
      </c>
      <c r="B821" s="1" t="s">
        <v>1509</v>
      </c>
      <c r="C821" s="1" t="s">
        <v>101</v>
      </c>
      <c r="D821" s="1" t="s">
        <v>101</v>
      </c>
      <c r="E821" s="81">
        <v>0</v>
      </c>
      <c r="F821" s="81">
        <v>0</v>
      </c>
    </row>
    <row r="822" spans="1:6" x14ac:dyDescent="0.2">
      <c r="A822" s="1" t="s">
        <v>179</v>
      </c>
      <c r="B822" s="1" t="s">
        <v>1510</v>
      </c>
      <c r="C822" s="1" t="s">
        <v>101</v>
      </c>
      <c r="D822" s="1" t="s">
        <v>101</v>
      </c>
      <c r="E822" s="81">
        <v>0</v>
      </c>
      <c r="F822" s="81">
        <v>0</v>
      </c>
    </row>
    <row r="823" spans="1:6" x14ac:dyDescent="0.2">
      <c r="A823" s="1" t="s">
        <v>179</v>
      </c>
      <c r="B823" s="1" t="s">
        <v>1511</v>
      </c>
      <c r="C823" s="1" t="s">
        <v>101</v>
      </c>
      <c r="D823" s="1" t="s">
        <v>101</v>
      </c>
      <c r="E823" s="81">
        <v>0</v>
      </c>
      <c r="F823" s="81">
        <v>0</v>
      </c>
    </row>
    <row r="824" spans="1:6" x14ac:dyDescent="0.2">
      <c r="A824" s="1" t="s">
        <v>179</v>
      </c>
      <c r="B824" s="1" t="s">
        <v>1512</v>
      </c>
      <c r="C824" s="1" t="s">
        <v>101</v>
      </c>
      <c r="D824" s="1" t="s">
        <v>101</v>
      </c>
      <c r="E824" s="81">
        <v>0</v>
      </c>
      <c r="F824" s="81">
        <v>0</v>
      </c>
    </row>
    <row r="825" spans="1:6" x14ac:dyDescent="0.2">
      <c r="A825" s="1" t="s">
        <v>179</v>
      </c>
      <c r="B825" s="1" t="s">
        <v>1513</v>
      </c>
      <c r="C825" s="1" t="s">
        <v>101</v>
      </c>
      <c r="D825" s="1" t="s">
        <v>101</v>
      </c>
      <c r="E825" s="81">
        <v>0</v>
      </c>
      <c r="F825" s="81">
        <v>0</v>
      </c>
    </row>
    <row r="826" spans="1:6" x14ac:dyDescent="0.2">
      <c r="A826" s="1" t="s">
        <v>179</v>
      </c>
      <c r="B826" s="1" t="s">
        <v>1514</v>
      </c>
      <c r="C826" s="1" t="s">
        <v>101</v>
      </c>
      <c r="D826" s="1" t="s">
        <v>101</v>
      </c>
      <c r="E826" s="81">
        <v>0</v>
      </c>
      <c r="F826" s="81">
        <v>0</v>
      </c>
    </row>
    <row r="827" spans="1:6" x14ac:dyDescent="0.2">
      <c r="A827" s="1" t="s">
        <v>179</v>
      </c>
      <c r="B827" s="1" t="s">
        <v>1515</v>
      </c>
      <c r="C827" s="1" t="s">
        <v>101</v>
      </c>
      <c r="D827" s="1" t="s">
        <v>101</v>
      </c>
      <c r="E827" s="81">
        <v>0</v>
      </c>
      <c r="F827" s="81">
        <v>0</v>
      </c>
    </row>
    <row r="828" spans="1:6" x14ac:dyDescent="0.2">
      <c r="A828" s="1" t="s">
        <v>179</v>
      </c>
      <c r="B828" s="1" t="s">
        <v>1516</v>
      </c>
      <c r="C828" s="1" t="s">
        <v>101</v>
      </c>
      <c r="D828" s="1" t="s">
        <v>101</v>
      </c>
      <c r="E828" s="81">
        <v>0</v>
      </c>
      <c r="F828" s="81">
        <v>0</v>
      </c>
    </row>
    <row r="829" spans="1:6" x14ac:dyDescent="0.2">
      <c r="A829" s="1" t="s">
        <v>179</v>
      </c>
      <c r="B829" s="1" t="s">
        <v>1517</v>
      </c>
      <c r="C829" s="1" t="s">
        <v>101</v>
      </c>
      <c r="D829" s="1" t="s">
        <v>101</v>
      </c>
      <c r="E829" s="81">
        <v>0</v>
      </c>
      <c r="F829" s="81">
        <v>0</v>
      </c>
    </row>
    <row r="830" spans="1:6" x14ac:dyDescent="0.2">
      <c r="A830" s="1" t="s">
        <v>179</v>
      </c>
      <c r="B830" s="1" t="s">
        <v>1518</v>
      </c>
      <c r="C830" s="1" t="s">
        <v>101</v>
      </c>
      <c r="D830" s="1" t="s">
        <v>101</v>
      </c>
      <c r="E830" s="81">
        <v>0</v>
      </c>
      <c r="F830" s="81">
        <v>0</v>
      </c>
    </row>
    <row r="831" spans="1:6" x14ac:dyDescent="0.2">
      <c r="A831" s="1" t="s">
        <v>179</v>
      </c>
      <c r="B831" s="1" t="s">
        <v>1519</v>
      </c>
      <c r="C831" s="1" t="s">
        <v>101</v>
      </c>
      <c r="D831" s="1" t="s">
        <v>101</v>
      </c>
      <c r="E831" s="81">
        <v>0</v>
      </c>
      <c r="F831" s="81">
        <v>0</v>
      </c>
    </row>
    <row r="832" spans="1:6" x14ac:dyDescent="0.2">
      <c r="A832" s="1" t="s">
        <v>179</v>
      </c>
      <c r="B832" s="1" t="s">
        <v>1520</v>
      </c>
      <c r="C832" s="1" t="s">
        <v>101</v>
      </c>
      <c r="D832" s="1" t="s">
        <v>101</v>
      </c>
      <c r="E832" s="81">
        <v>0</v>
      </c>
      <c r="F832" s="81">
        <v>0</v>
      </c>
    </row>
    <row r="833" spans="1:6" x14ac:dyDescent="0.2">
      <c r="A833" s="1" t="s">
        <v>179</v>
      </c>
      <c r="B833" s="1" t="s">
        <v>1521</v>
      </c>
      <c r="C833" s="1" t="s">
        <v>101</v>
      </c>
      <c r="D833" s="1" t="s">
        <v>101</v>
      </c>
      <c r="E833" s="81">
        <v>0</v>
      </c>
      <c r="F833" s="81">
        <v>0</v>
      </c>
    </row>
    <row r="834" spans="1:6" x14ac:dyDescent="0.2">
      <c r="A834" s="1" t="s">
        <v>179</v>
      </c>
      <c r="B834" s="1" t="s">
        <v>1522</v>
      </c>
      <c r="C834" s="1" t="s">
        <v>101</v>
      </c>
      <c r="D834" s="1" t="s">
        <v>101</v>
      </c>
      <c r="E834" s="81">
        <v>0</v>
      </c>
      <c r="F834" s="81">
        <v>0</v>
      </c>
    </row>
    <row r="835" spans="1:6" x14ac:dyDescent="0.2">
      <c r="A835" s="1" t="s">
        <v>179</v>
      </c>
      <c r="B835" s="1" t="s">
        <v>1523</v>
      </c>
      <c r="C835" s="1" t="s">
        <v>101</v>
      </c>
      <c r="D835" s="1" t="s">
        <v>101</v>
      </c>
      <c r="E835" s="81">
        <v>0</v>
      </c>
      <c r="F835" s="81">
        <v>0</v>
      </c>
    </row>
    <row r="836" spans="1:6" x14ac:dyDescent="0.2">
      <c r="A836" s="1" t="s">
        <v>179</v>
      </c>
      <c r="B836" s="1" t="s">
        <v>1524</v>
      </c>
      <c r="C836" s="1" t="s">
        <v>101</v>
      </c>
      <c r="D836" s="1" t="s">
        <v>101</v>
      </c>
      <c r="E836" s="81">
        <v>0</v>
      </c>
      <c r="F836" s="81">
        <v>0</v>
      </c>
    </row>
    <row r="837" spans="1:6" x14ac:dyDescent="0.2">
      <c r="A837" s="1" t="s">
        <v>179</v>
      </c>
      <c r="B837" s="1" t="s">
        <v>1525</v>
      </c>
      <c r="C837" s="1" t="s">
        <v>101</v>
      </c>
      <c r="D837" s="1" t="s">
        <v>101</v>
      </c>
      <c r="E837" s="81">
        <v>0</v>
      </c>
      <c r="F837" s="81">
        <v>0</v>
      </c>
    </row>
    <row r="838" spans="1:6" x14ac:dyDescent="0.2">
      <c r="A838" s="1" t="s">
        <v>179</v>
      </c>
      <c r="B838" s="1" t="s">
        <v>1526</v>
      </c>
      <c r="C838" s="1" t="s">
        <v>101</v>
      </c>
      <c r="D838" s="1" t="s">
        <v>101</v>
      </c>
      <c r="E838" s="81">
        <v>0</v>
      </c>
      <c r="F838" s="81">
        <v>0</v>
      </c>
    </row>
    <row r="839" spans="1:6" x14ac:dyDescent="0.2">
      <c r="A839" s="1" t="s">
        <v>179</v>
      </c>
      <c r="B839" s="1" t="s">
        <v>1527</v>
      </c>
      <c r="C839" s="1" t="s">
        <v>101</v>
      </c>
      <c r="D839" s="1" t="s">
        <v>101</v>
      </c>
      <c r="E839" s="81">
        <v>0</v>
      </c>
      <c r="F839" s="81">
        <v>0</v>
      </c>
    </row>
    <row r="840" spans="1:6" x14ac:dyDescent="0.2">
      <c r="A840" s="1" t="s">
        <v>179</v>
      </c>
      <c r="B840" s="1" t="s">
        <v>1528</v>
      </c>
      <c r="C840" s="1" t="s">
        <v>3912</v>
      </c>
      <c r="D840" s="1" t="s">
        <v>3912</v>
      </c>
      <c r="E840" s="81">
        <v>9715.85</v>
      </c>
      <c r="F840" s="81">
        <v>9715.85</v>
      </c>
    </row>
    <row r="841" spans="1:6" x14ac:dyDescent="0.2">
      <c r="A841" s="1" t="s">
        <v>179</v>
      </c>
      <c r="B841" s="1" t="s">
        <v>1529</v>
      </c>
      <c r="C841" s="1" t="s">
        <v>3913</v>
      </c>
      <c r="D841" s="1" t="s">
        <v>3913</v>
      </c>
      <c r="E841" s="81">
        <v>7057.05</v>
      </c>
      <c r="F841" s="81">
        <v>7057.05</v>
      </c>
    </row>
    <row r="842" spans="1:6" x14ac:dyDescent="0.2">
      <c r="A842" s="1" t="s">
        <v>179</v>
      </c>
      <c r="B842" s="1" t="s">
        <v>1530</v>
      </c>
      <c r="C842" s="1" t="s">
        <v>3914</v>
      </c>
      <c r="D842" s="1" t="s">
        <v>3914</v>
      </c>
      <c r="E842" s="81">
        <v>16552.29</v>
      </c>
      <c r="F842" s="81">
        <v>16552.29</v>
      </c>
    </row>
    <row r="843" spans="1:6" x14ac:dyDescent="0.2">
      <c r="A843" s="1" t="s">
        <v>179</v>
      </c>
      <c r="B843" s="1" t="s">
        <v>1531</v>
      </c>
      <c r="C843" s="1" t="s">
        <v>101</v>
      </c>
      <c r="D843" s="1" t="s">
        <v>101</v>
      </c>
      <c r="E843" s="81">
        <v>0</v>
      </c>
      <c r="F843" s="81">
        <v>0</v>
      </c>
    </row>
    <row r="844" spans="1:6" x14ac:dyDescent="0.2">
      <c r="A844" s="1" t="s">
        <v>179</v>
      </c>
      <c r="B844" s="1" t="s">
        <v>1532</v>
      </c>
      <c r="C844" s="1" t="s">
        <v>101</v>
      </c>
      <c r="D844" s="1" t="s">
        <v>101</v>
      </c>
      <c r="E844" s="81">
        <v>0</v>
      </c>
      <c r="F844" s="81">
        <v>0</v>
      </c>
    </row>
    <row r="845" spans="1:6" x14ac:dyDescent="0.2">
      <c r="A845" s="1" t="s">
        <v>179</v>
      </c>
      <c r="B845" s="1" t="s">
        <v>1533</v>
      </c>
      <c r="C845" s="1" t="s">
        <v>101</v>
      </c>
      <c r="D845" s="1" t="s">
        <v>101</v>
      </c>
      <c r="E845" s="81">
        <v>0</v>
      </c>
      <c r="F845" s="81">
        <v>0</v>
      </c>
    </row>
    <row r="846" spans="1:6" x14ac:dyDescent="0.2">
      <c r="A846" s="1" t="s">
        <v>179</v>
      </c>
      <c r="B846" s="1" t="s">
        <v>1534</v>
      </c>
      <c r="C846" s="1" t="s">
        <v>101</v>
      </c>
      <c r="D846" s="1" t="s">
        <v>101</v>
      </c>
      <c r="E846" s="81">
        <v>0</v>
      </c>
      <c r="F846" s="81">
        <v>0</v>
      </c>
    </row>
    <row r="847" spans="1:6" x14ac:dyDescent="0.2">
      <c r="A847" s="1" t="s">
        <v>179</v>
      </c>
      <c r="B847" s="1" t="s">
        <v>1535</v>
      </c>
      <c r="C847" s="1" t="s">
        <v>101</v>
      </c>
      <c r="D847" s="1" t="s">
        <v>101</v>
      </c>
      <c r="E847" s="81">
        <v>0</v>
      </c>
      <c r="F847" s="81">
        <v>0</v>
      </c>
    </row>
    <row r="848" spans="1:6" x14ac:dyDescent="0.2">
      <c r="A848" s="1" t="s">
        <v>179</v>
      </c>
      <c r="B848" s="1" t="s">
        <v>1536</v>
      </c>
      <c r="C848" s="1" t="s">
        <v>101</v>
      </c>
      <c r="D848" s="1" t="s">
        <v>101</v>
      </c>
      <c r="E848" s="81">
        <v>0</v>
      </c>
      <c r="F848" s="81">
        <v>0</v>
      </c>
    </row>
    <row r="849" spans="1:6" x14ac:dyDescent="0.2">
      <c r="A849" s="1" t="s">
        <v>179</v>
      </c>
      <c r="B849" s="1" t="s">
        <v>1537</v>
      </c>
      <c r="C849" s="1" t="s">
        <v>101</v>
      </c>
      <c r="D849" s="1" t="s">
        <v>101</v>
      </c>
      <c r="E849" s="81">
        <v>0</v>
      </c>
      <c r="F849" s="81">
        <v>0</v>
      </c>
    </row>
    <row r="850" spans="1:6" x14ac:dyDescent="0.2">
      <c r="A850" s="1" t="s">
        <v>179</v>
      </c>
      <c r="B850" s="1" t="s">
        <v>1538</v>
      </c>
      <c r="C850" s="1" t="s">
        <v>101</v>
      </c>
      <c r="D850" s="1" t="s">
        <v>101</v>
      </c>
      <c r="E850" s="81">
        <v>0</v>
      </c>
      <c r="F850" s="81">
        <v>0</v>
      </c>
    </row>
    <row r="851" spans="1:6" x14ac:dyDescent="0.2">
      <c r="A851" s="1" t="s">
        <v>179</v>
      </c>
      <c r="B851" s="1" t="s">
        <v>1539</v>
      </c>
      <c r="C851" s="1" t="s">
        <v>101</v>
      </c>
      <c r="D851" s="1" t="s">
        <v>101</v>
      </c>
      <c r="E851" s="81">
        <v>0</v>
      </c>
      <c r="F851" s="81">
        <v>0</v>
      </c>
    </row>
    <row r="852" spans="1:6" x14ac:dyDescent="0.2">
      <c r="A852" s="1" t="s">
        <v>179</v>
      </c>
      <c r="B852" s="1" t="s">
        <v>1540</v>
      </c>
      <c r="C852" s="1" t="s">
        <v>3915</v>
      </c>
      <c r="D852" s="1" t="s">
        <v>3915</v>
      </c>
      <c r="E852" s="81">
        <v>33325.19</v>
      </c>
      <c r="F852" s="81">
        <v>33325.19</v>
      </c>
    </row>
    <row r="853" spans="1:6" x14ac:dyDescent="0.2">
      <c r="A853" s="1" t="s">
        <v>179</v>
      </c>
      <c r="B853" s="1" t="s">
        <v>1541</v>
      </c>
      <c r="C853" s="1" t="s">
        <v>3922</v>
      </c>
      <c r="D853" s="1" t="s">
        <v>3922</v>
      </c>
      <c r="E853" s="81">
        <v>25116.52</v>
      </c>
      <c r="F853" s="81">
        <v>25116.52</v>
      </c>
    </row>
    <row r="854" spans="1:6" x14ac:dyDescent="0.2">
      <c r="A854" s="1" t="s">
        <v>179</v>
      </c>
      <c r="B854" s="1" t="s">
        <v>1542</v>
      </c>
      <c r="C854" s="1" t="s">
        <v>3923</v>
      </c>
      <c r="D854" s="1" t="s">
        <v>3923</v>
      </c>
      <c r="E854" s="81">
        <v>28692.11</v>
      </c>
      <c r="F854" s="81">
        <v>28692.11</v>
      </c>
    </row>
    <row r="855" spans="1:6" x14ac:dyDescent="0.2">
      <c r="A855" s="1" t="s">
        <v>179</v>
      </c>
      <c r="B855" s="1" t="s">
        <v>1543</v>
      </c>
      <c r="C855" s="1" t="s">
        <v>3924</v>
      </c>
      <c r="D855" s="1" t="s">
        <v>3924</v>
      </c>
      <c r="E855" s="81">
        <v>29493.72</v>
      </c>
      <c r="F855" s="81">
        <v>29493.72</v>
      </c>
    </row>
    <row r="856" spans="1:6" x14ac:dyDescent="0.2">
      <c r="A856" s="1" t="s">
        <v>179</v>
      </c>
      <c r="B856" s="1" t="s">
        <v>1544</v>
      </c>
      <c r="C856" s="1" t="s">
        <v>101</v>
      </c>
      <c r="D856" s="1" t="s">
        <v>101</v>
      </c>
      <c r="E856" s="81">
        <v>0</v>
      </c>
      <c r="F856" s="81">
        <v>0</v>
      </c>
    </row>
    <row r="857" spans="1:6" x14ac:dyDescent="0.2">
      <c r="A857" s="1" t="s">
        <v>179</v>
      </c>
      <c r="B857" s="1" t="s">
        <v>1545</v>
      </c>
      <c r="C857" s="1" t="s">
        <v>101</v>
      </c>
      <c r="D857" s="1" t="s">
        <v>101</v>
      </c>
      <c r="E857" s="81">
        <v>0</v>
      </c>
      <c r="F857" s="81">
        <v>0</v>
      </c>
    </row>
    <row r="858" spans="1:6" x14ac:dyDescent="0.2">
      <c r="A858" s="1" t="s">
        <v>179</v>
      </c>
      <c r="B858" s="1" t="s">
        <v>1546</v>
      </c>
      <c r="C858" s="1" t="s">
        <v>101</v>
      </c>
      <c r="D858" s="1" t="s">
        <v>101</v>
      </c>
      <c r="E858" s="81">
        <v>0</v>
      </c>
      <c r="F858" s="81">
        <v>0</v>
      </c>
    </row>
    <row r="859" spans="1:6" x14ac:dyDescent="0.2">
      <c r="A859" s="1" t="s">
        <v>179</v>
      </c>
      <c r="B859" s="1" t="s">
        <v>1547</v>
      </c>
      <c r="C859" s="1" t="s">
        <v>101</v>
      </c>
      <c r="D859" s="1" t="s">
        <v>101</v>
      </c>
      <c r="E859" s="81">
        <v>0</v>
      </c>
      <c r="F859" s="81">
        <v>0</v>
      </c>
    </row>
    <row r="860" spans="1:6" x14ac:dyDescent="0.2">
      <c r="A860" s="1" t="s">
        <v>179</v>
      </c>
      <c r="B860" s="1" t="s">
        <v>1548</v>
      </c>
      <c r="C860" s="1" t="s">
        <v>101</v>
      </c>
      <c r="D860" s="1" t="s">
        <v>101</v>
      </c>
      <c r="E860" s="81">
        <v>0</v>
      </c>
      <c r="F860" s="81">
        <v>0</v>
      </c>
    </row>
    <row r="861" spans="1:6" x14ac:dyDescent="0.2">
      <c r="A861" s="1" t="s">
        <v>179</v>
      </c>
      <c r="B861" s="1" t="s">
        <v>1549</v>
      </c>
      <c r="C861" s="1" t="s">
        <v>101</v>
      </c>
      <c r="D861" s="1" t="s">
        <v>101</v>
      </c>
      <c r="E861" s="81">
        <v>0</v>
      </c>
      <c r="F861" s="81">
        <v>0</v>
      </c>
    </row>
    <row r="862" spans="1:6" x14ac:dyDescent="0.2">
      <c r="A862" s="1" t="s">
        <v>179</v>
      </c>
      <c r="B862" s="1" t="s">
        <v>1550</v>
      </c>
      <c r="C862" s="1" t="s">
        <v>101</v>
      </c>
      <c r="D862" s="1" t="s">
        <v>101</v>
      </c>
      <c r="E862" s="81">
        <v>0</v>
      </c>
      <c r="F862" s="81">
        <v>0</v>
      </c>
    </row>
    <row r="863" spans="1:6" x14ac:dyDescent="0.2">
      <c r="A863" s="1" t="s">
        <v>179</v>
      </c>
      <c r="B863" s="1" t="s">
        <v>1551</v>
      </c>
      <c r="C863" s="1" t="s">
        <v>101</v>
      </c>
      <c r="D863" s="1" t="s">
        <v>101</v>
      </c>
      <c r="E863" s="81">
        <v>0</v>
      </c>
      <c r="F863" s="81">
        <v>0</v>
      </c>
    </row>
    <row r="864" spans="1:6" x14ac:dyDescent="0.2">
      <c r="A864" s="1" t="s">
        <v>179</v>
      </c>
      <c r="B864" s="1" t="s">
        <v>1552</v>
      </c>
      <c r="C864" s="1" t="s">
        <v>101</v>
      </c>
      <c r="D864" s="1" t="s">
        <v>101</v>
      </c>
      <c r="E864" s="81">
        <v>0</v>
      </c>
      <c r="F864" s="81">
        <v>0</v>
      </c>
    </row>
    <row r="865" spans="1:6" x14ac:dyDescent="0.2">
      <c r="A865" s="1" t="s">
        <v>179</v>
      </c>
      <c r="B865" s="1" t="s">
        <v>1553</v>
      </c>
      <c r="C865" s="1" t="s">
        <v>3925</v>
      </c>
      <c r="D865" s="1" t="s">
        <v>3925</v>
      </c>
      <c r="E865" s="81">
        <v>83302.350000000006</v>
      </c>
      <c r="F865" s="81">
        <v>83302.350000000006</v>
      </c>
    </row>
    <row r="866" spans="1:6" x14ac:dyDescent="0.2">
      <c r="A866" s="1" t="s">
        <v>179</v>
      </c>
      <c r="B866" s="1" t="s">
        <v>1554</v>
      </c>
      <c r="C866" s="1" t="s">
        <v>3926</v>
      </c>
      <c r="D866" s="1" t="s">
        <v>3926</v>
      </c>
      <c r="E866" s="81">
        <v>24026.720000000001</v>
      </c>
      <c r="F866" s="81">
        <v>24026.720000000001</v>
      </c>
    </row>
    <row r="867" spans="1:6" x14ac:dyDescent="0.2">
      <c r="A867" s="1" t="s">
        <v>179</v>
      </c>
      <c r="B867" s="1" t="s">
        <v>1555</v>
      </c>
      <c r="C867" s="1" t="s">
        <v>3927</v>
      </c>
      <c r="D867" s="1" t="s">
        <v>3927</v>
      </c>
      <c r="E867" s="81">
        <v>26848.6</v>
      </c>
      <c r="F867" s="81">
        <v>26848.6</v>
      </c>
    </row>
    <row r="868" spans="1:6" x14ac:dyDescent="0.2">
      <c r="A868" s="1" t="s">
        <v>179</v>
      </c>
      <c r="B868" s="1" t="s">
        <v>1556</v>
      </c>
      <c r="C868" s="1" t="s">
        <v>3928</v>
      </c>
      <c r="D868" s="1" t="s">
        <v>3928</v>
      </c>
      <c r="E868" s="81">
        <v>26773.43</v>
      </c>
      <c r="F868" s="81">
        <v>26773.43</v>
      </c>
    </row>
    <row r="869" spans="1:6" x14ac:dyDescent="0.2">
      <c r="A869" s="1" t="s">
        <v>179</v>
      </c>
      <c r="B869" s="1" t="s">
        <v>1557</v>
      </c>
      <c r="C869" s="1" t="s">
        <v>101</v>
      </c>
      <c r="D869" s="1" t="s">
        <v>101</v>
      </c>
      <c r="E869" s="81">
        <v>0</v>
      </c>
      <c r="F869" s="81">
        <v>0</v>
      </c>
    </row>
    <row r="870" spans="1:6" x14ac:dyDescent="0.2">
      <c r="A870" s="1" t="s">
        <v>179</v>
      </c>
      <c r="B870" s="1" t="s">
        <v>1558</v>
      </c>
      <c r="C870" s="1" t="s">
        <v>101</v>
      </c>
      <c r="D870" s="1" t="s">
        <v>101</v>
      </c>
      <c r="E870" s="81">
        <v>0</v>
      </c>
      <c r="F870" s="81">
        <v>0</v>
      </c>
    </row>
    <row r="871" spans="1:6" x14ac:dyDescent="0.2">
      <c r="A871" s="1" t="s">
        <v>179</v>
      </c>
      <c r="B871" s="1" t="s">
        <v>1559</v>
      </c>
      <c r="C871" s="1" t="s">
        <v>101</v>
      </c>
      <c r="D871" s="1" t="s">
        <v>101</v>
      </c>
      <c r="E871" s="81">
        <v>0</v>
      </c>
      <c r="F871" s="81">
        <v>0</v>
      </c>
    </row>
    <row r="872" spans="1:6" x14ac:dyDescent="0.2">
      <c r="A872" s="1" t="s">
        <v>179</v>
      </c>
      <c r="B872" s="1" t="s">
        <v>1560</v>
      </c>
      <c r="C872" s="1" t="s">
        <v>101</v>
      </c>
      <c r="D872" s="1" t="s">
        <v>101</v>
      </c>
      <c r="E872" s="81">
        <v>0</v>
      </c>
      <c r="F872" s="81">
        <v>0</v>
      </c>
    </row>
    <row r="873" spans="1:6" x14ac:dyDescent="0.2">
      <c r="A873" s="1" t="s">
        <v>179</v>
      </c>
      <c r="B873" s="1" t="s">
        <v>1561</v>
      </c>
      <c r="C873" s="1" t="s">
        <v>101</v>
      </c>
      <c r="D873" s="1" t="s">
        <v>101</v>
      </c>
      <c r="E873" s="81">
        <v>0</v>
      </c>
      <c r="F873" s="81">
        <v>0</v>
      </c>
    </row>
    <row r="874" spans="1:6" x14ac:dyDescent="0.2">
      <c r="A874" s="1" t="s">
        <v>179</v>
      </c>
      <c r="B874" s="1" t="s">
        <v>1562</v>
      </c>
      <c r="C874" s="1" t="s">
        <v>101</v>
      </c>
      <c r="D874" s="1" t="s">
        <v>101</v>
      </c>
      <c r="E874" s="81">
        <v>0</v>
      </c>
      <c r="F874" s="81">
        <v>0</v>
      </c>
    </row>
    <row r="875" spans="1:6" x14ac:dyDescent="0.2">
      <c r="A875" s="1" t="s">
        <v>179</v>
      </c>
      <c r="B875" s="1" t="s">
        <v>1563</v>
      </c>
      <c r="C875" s="1" t="s">
        <v>101</v>
      </c>
      <c r="D875" s="1" t="s">
        <v>101</v>
      </c>
      <c r="E875" s="81">
        <v>0</v>
      </c>
      <c r="F875" s="81">
        <v>0</v>
      </c>
    </row>
    <row r="876" spans="1:6" x14ac:dyDescent="0.2">
      <c r="A876" s="1" t="s">
        <v>179</v>
      </c>
      <c r="B876" s="1" t="s">
        <v>1564</v>
      </c>
      <c r="C876" s="1" t="s">
        <v>101</v>
      </c>
      <c r="D876" s="1" t="s">
        <v>101</v>
      </c>
      <c r="E876" s="81">
        <v>0</v>
      </c>
      <c r="F876" s="81">
        <v>0</v>
      </c>
    </row>
    <row r="877" spans="1:6" x14ac:dyDescent="0.2">
      <c r="A877" s="1" t="s">
        <v>179</v>
      </c>
      <c r="B877" s="1" t="s">
        <v>1565</v>
      </c>
      <c r="C877" s="1" t="s">
        <v>101</v>
      </c>
      <c r="D877" s="1" t="s">
        <v>101</v>
      </c>
      <c r="E877" s="81">
        <v>0</v>
      </c>
      <c r="F877" s="81">
        <v>0</v>
      </c>
    </row>
    <row r="878" spans="1:6" x14ac:dyDescent="0.2">
      <c r="A878" s="1" t="s">
        <v>179</v>
      </c>
      <c r="B878" s="1" t="s">
        <v>1566</v>
      </c>
      <c r="C878" s="1" t="s">
        <v>3929</v>
      </c>
      <c r="D878" s="1" t="s">
        <v>3929</v>
      </c>
      <c r="E878" s="81">
        <v>1128.26</v>
      </c>
      <c r="F878" s="81">
        <v>1128.26</v>
      </c>
    </row>
    <row r="879" spans="1:6" x14ac:dyDescent="0.2">
      <c r="A879" s="1" t="s">
        <v>179</v>
      </c>
      <c r="B879" s="1" t="s">
        <v>1567</v>
      </c>
      <c r="C879" s="1" t="s">
        <v>3930</v>
      </c>
      <c r="D879" s="1" t="s">
        <v>3930</v>
      </c>
      <c r="E879" s="81">
        <v>1892.83</v>
      </c>
      <c r="F879" s="81">
        <v>1892.83</v>
      </c>
    </row>
    <row r="880" spans="1:6" x14ac:dyDescent="0.2">
      <c r="A880" s="1" t="s">
        <v>179</v>
      </c>
      <c r="B880" s="1" t="s">
        <v>1568</v>
      </c>
      <c r="C880" s="1" t="s">
        <v>3931</v>
      </c>
      <c r="D880" s="1" t="s">
        <v>3931</v>
      </c>
      <c r="E880" s="81">
        <v>2767.11</v>
      </c>
      <c r="F880" s="81">
        <v>2767.11</v>
      </c>
    </row>
    <row r="881" spans="1:6" x14ac:dyDescent="0.2">
      <c r="A881" s="1" t="s">
        <v>179</v>
      </c>
      <c r="B881" s="1" t="s">
        <v>1569</v>
      </c>
      <c r="C881" s="1" t="s">
        <v>101</v>
      </c>
      <c r="D881" s="1" t="s">
        <v>101</v>
      </c>
      <c r="E881" s="81">
        <v>0</v>
      </c>
      <c r="F881" s="81">
        <v>0</v>
      </c>
    </row>
    <row r="882" spans="1:6" x14ac:dyDescent="0.2">
      <c r="A882" s="1" t="s">
        <v>179</v>
      </c>
      <c r="B882" s="1" t="s">
        <v>1570</v>
      </c>
      <c r="C882" s="1" t="s">
        <v>101</v>
      </c>
      <c r="D882" s="1" t="s">
        <v>101</v>
      </c>
      <c r="E882" s="81">
        <v>0</v>
      </c>
      <c r="F882" s="81">
        <v>0</v>
      </c>
    </row>
    <row r="883" spans="1:6" x14ac:dyDescent="0.2">
      <c r="A883" s="1" t="s">
        <v>179</v>
      </c>
      <c r="B883" s="1" t="s">
        <v>1571</v>
      </c>
      <c r="C883" s="1" t="s">
        <v>101</v>
      </c>
      <c r="D883" s="1" t="s">
        <v>101</v>
      </c>
      <c r="E883" s="81">
        <v>0</v>
      </c>
      <c r="F883" s="81">
        <v>0</v>
      </c>
    </row>
    <row r="884" spans="1:6" x14ac:dyDescent="0.2">
      <c r="A884" s="1" t="s">
        <v>179</v>
      </c>
      <c r="B884" s="1" t="s">
        <v>1572</v>
      </c>
      <c r="C884" s="1" t="s">
        <v>101</v>
      </c>
      <c r="D884" s="1" t="s">
        <v>101</v>
      </c>
      <c r="E884" s="81">
        <v>0</v>
      </c>
      <c r="F884" s="81">
        <v>0</v>
      </c>
    </row>
    <row r="885" spans="1:6" x14ac:dyDescent="0.2">
      <c r="A885" s="1" t="s">
        <v>179</v>
      </c>
      <c r="B885" s="1" t="s">
        <v>1573</v>
      </c>
      <c r="C885" s="1" t="s">
        <v>101</v>
      </c>
      <c r="D885" s="1" t="s">
        <v>101</v>
      </c>
      <c r="E885" s="81">
        <v>0</v>
      </c>
      <c r="F885" s="81">
        <v>0</v>
      </c>
    </row>
    <row r="886" spans="1:6" x14ac:dyDescent="0.2">
      <c r="A886" s="1" t="s">
        <v>179</v>
      </c>
      <c r="B886" s="1" t="s">
        <v>1574</v>
      </c>
      <c r="C886" s="1" t="s">
        <v>101</v>
      </c>
      <c r="D886" s="1" t="s">
        <v>101</v>
      </c>
      <c r="E886" s="81">
        <v>0</v>
      </c>
      <c r="F886" s="81">
        <v>0</v>
      </c>
    </row>
    <row r="887" spans="1:6" x14ac:dyDescent="0.2">
      <c r="A887" s="1" t="s">
        <v>179</v>
      </c>
      <c r="B887" s="1" t="s">
        <v>1575</v>
      </c>
      <c r="C887" s="1" t="s">
        <v>101</v>
      </c>
      <c r="D887" s="1" t="s">
        <v>101</v>
      </c>
      <c r="E887" s="81">
        <v>0</v>
      </c>
      <c r="F887" s="81">
        <v>0</v>
      </c>
    </row>
    <row r="888" spans="1:6" x14ac:dyDescent="0.2">
      <c r="A888" s="1" t="s">
        <v>179</v>
      </c>
      <c r="B888" s="1" t="s">
        <v>1576</v>
      </c>
      <c r="C888" s="1" t="s">
        <v>101</v>
      </c>
      <c r="D888" s="1" t="s">
        <v>101</v>
      </c>
      <c r="E888" s="81">
        <v>0</v>
      </c>
      <c r="F888" s="81">
        <v>0</v>
      </c>
    </row>
    <row r="889" spans="1:6" x14ac:dyDescent="0.2">
      <c r="A889" s="1" t="s">
        <v>179</v>
      </c>
      <c r="B889" s="1" t="s">
        <v>1577</v>
      </c>
      <c r="C889" s="1" t="s">
        <v>101</v>
      </c>
      <c r="D889" s="1" t="s">
        <v>101</v>
      </c>
      <c r="E889" s="81">
        <v>0</v>
      </c>
      <c r="F889" s="81">
        <v>0</v>
      </c>
    </row>
    <row r="890" spans="1:6" x14ac:dyDescent="0.2">
      <c r="A890" s="1" t="s">
        <v>179</v>
      </c>
      <c r="B890" s="1" t="s">
        <v>1578</v>
      </c>
      <c r="C890" s="1" t="s">
        <v>3922</v>
      </c>
      <c r="D890" s="1" t="s">
        <v>3922</v>
      </c>
      <c r="E890" s="81">
        <v>25116.52</v>
      </c>
      <c r="F890" s="81">
        <v>25116.52</v>
      </c>
    </row>
    <row r="891" spans="1:6" x14ac:dyDescent="0.2">
      <c r="A891" s="1" t="s">
        <v>179</v>
      </c>
      <c r="B891" s="1" t="s">
        <v>1579</v>
      </c>
      <c r="C891" s="1" t="s">
        <v>3923</v>
      </c>
      <c r="D891" s="1" t="s">
        <v>3923</v>
      </c>
      <c r="E891" s="81">
        <v>28692.11</v>
      </c>
      <c r="F891" s="81">
        <v>28692.11</v>
      </c>
    </row>
    <row r="892" spans="1:6" x14ac:dyDescent="0.2">
      <c r="A892" s="1" t="s">
        <v>179</v>
      </c>
      <c r="B892" s="1" t="s">
        <v>1580</v>
      </c>
      <c r="C892" s="1" t="s">
        <v>3924</v>
      </c>
      <c r="D892" s="1" t="s">
        <v>3924</v>
      </c>
      <c r="E892" s="81">
        <v>29493.72</v>
      </c>
      <c r="F892" s="81">
        <v>29493.72</v>
      </c>
    </row>
    <row r="893" spans="1:6" x14ac:dyDescent="0.2">
      <c r="A893" s="1" t="s">
        <v>179</v>
      </c>
      <c r="B893" s="1" t="s">
        <v>1581</v>
      </c>
      <c r="C893" s="1" t="s">
        <v>101</v>
      </c>
      <c r="D893" s="1" t="s">
        <v>101</v>
      </c>
      <c r="E893" s="81">
        <v>0</v>
      </c>
      <c r="F893" s="81">
        <v>0</v>
      </c>
    </row>
    <row r="894" spans="1:6" x14ac:dyDescent="0.2">
      <c r="A894" s="1" t="s">
        <v>179</v>
      </c>
      <c r="B894" s="1" t="s">
        <v>1582</v>
      </c>
      <c r="C894" s="1" t="s">
        <v>101</v>
      </c>
      <c r="D894" s="1" t="s">
        <v>101</v>
      </c>
      <c r="E894" s="81">
        <v>0</v>
      </c>
      <c r="F894" s="81">
        <v>0</v>
      </c>
    </row>
    <row r="895" spans="1:6" x14ac:dyDescent="0.2">
      <c r="A895" s="1" t="s">
        <v>179</v>
      </c>
      <c r="B895" s="1" t="s">
        <v>1583</v>
      </c>
      <c r="C895" s="1" t="s">
        <v>101</v>
      </c>
      <c r="D895" s="1" t="s">
        <v>101</v>
      </c>
      <c r="E895" s="81">
        <v>0</v>
      </c>
      <c r="F895" s="81">
        <v>0</v>
      </c>
    </row>
    <row r="896" spans="1:6" x14ac:dyDescent="0.2">
      <c r="A896" s="1" t="s">
        <v>179</v>
      </c>
      <c r="B896" s="1" t="s">
        <v>1584</v>
      </c>
      <c r="C896" s="1" t="s">
        <v>101</v>
      </c>
      <c r="D896" s="1" t="s">
        <v>101</v>
      </c>
      <c r="E896" s="81">
        <v>0</v>
      </c>
      <c r="F896" s="81">
        <v>0</v>
      </c>
    </row>
    <row r="897" spans="1:6" x14ac:dyDescent="0.2">
      <c r="A897" s="1" t="s">
        <v>179</v>
      </c>
      <c r="B897" s="1" t="s">
        <v>1585</v>
      </c>
      <c r="C897" s="1" t="s">
        <v>101</v>
      </c>
      <c r="D897" s="1" t="s">
        <v>101</v>
      </c>
      <c r="E897" s="81">
        <v>0</v>
      </c>
      <c r="F897" s="81">
        <v>0</v>
      </c>
    </row>
    <row r="898" spans="1:6" x14ac:dyDescent="0.2">
      <c r="A898" s="1" t="s">
        <v>179</v>
      </c>
      <c r="B898" s="1" t="s">
        <v>1586</v>
      </c>
      <c r="C898" s="1" t="s">
        <v>101</v>
      </c>
      <c r="D898" s="1" t="s">
        <v>101</v>
      </c>
      <c r="E898" s="81">
        <v>0</v>
      </c>
      <c r="F898" s="81">
        <v>0</v>
      </c>
    </row>
    <row r="899" spans="1:6" x14ac:dyDescent="0.2">
      <c r="A899" s="1" t="s">
        <v>179</v>
      </c>
      <c r="B899" s="1" t="s">
        <v>1587</v>
      </c>
      <c r="C899" s="1" t="s">
        <v>101</v>
      </c>
      <c r="D899" s="1" t="s">
        <v>101</v>
      </c>
      <c r="E899" s="81">
        <v>0</v>
      </c>
      <c r="F899" s="81">
        <v>0</v>
      </c>
    </row>
    <row r="900" spans="1:6" x14ac:dyDescent="0.2">
      <c r="A900" s="1" t="s">
        <v>179</v>
      </c>
      <c r="B900" s="1" t="s">
        <v>1588</v>
      </c>
      <c r="C900" s="1" t="s">
        <v>101</v>
      </c>
      <c r="D900" s="1" t="s">
        <v>101</v>
      </c>
      <c r="E900" s="81">
        <v>0</v>
      </c>
      <c r="F900" s="81">
        <v>0</v>
      </c>
    </row>
    <row r="901" spans="1:6" x14ac:dyDescent="0.2">
      <c r="A901" s="1" t="s">
        <v>179</v>
      </c>
      <c r="B901" s="1" t="s">
        <v>1589</v>
      </c>
      <c r="C901" s="1" t="s">
        <v>101</v>
      </c>
      <c r="D901" s="1" t="s">
        <v>101</v>
      </c>
      <c r="E901" s="81">
        <v>0</v>
      </c>
      <c r="F901" s="81">
        <v>0</v>
      </c>
    </row>
    <row r="902" spans="1:6" x14ac:dyDescent="0.2">
      <c r="A902" s="1" t="s">
        <v>179</v>
      </c>
      <c r="B902" s="1" t="s">
        <v>1590</v>
      </c>
      <c r="C902" s="1" t="s">
        <v>3925</v>
      </c>
      <c r="D902" s="1" t="s">
        <v>3925</v>
      </c>
      <c r="E902" s="81">
        <v>83302.350000000006</v>
      </c>
      <c r="F902" s="81">
        <v>83302.350000000006</v>
      </c>
    </row>
    <row r="903" spans="1:6" x14ac:dyDescent="0.2">
      <c r="A903" s="1" t="s">
        <v>179</v>
      </c>
      <c r="B903" s="1" t="s">
        <v>1591</v>
      </c>
      <c r="C903" s="1" t="s">
        <v>3932</v>
      </c>
      <c r="D903" s="1" t="s">
        <v>3932</v>
      </c>
      <c r="E903" s="81">
        <v>531433.54</v>
      </c>
      <c r="F903" s="81">
        <v>531433.54</v>
      </c>
    </row>
    <row r="904" spans="1:6" x14ac:dyDescent="0.2">
      <c r="A904" s="1" t="s">
        <v>179</v>
      </c>
      <c r="B904" s="1" t="s">
        <v>1592</v>
      </c>
      <c r="C904" s="1" t="s">
        <v>3933</v>
      </c>
      <c r="D904" s="1" t="s">
        <v>3933</v>
      </c>
      <c r="E904" s="81">
        <v>497752.38</v>
      </c>
      <c r="F904" s="81">
        <v>497752.38</v>
      </c>
    </row>
    <row r="905" spans="1:6" x14ac:dyDescent="0.2">
      <c r="A905" s="1" t="s">
        <v>179</v>
      </c>
      <c r="B905" s="1" t="s">
        <v>1593</v>
      </c>
      <c r="C905" s="1" t="s">
        <v>3934</v>
      </c>
      <c r="D905" s="1" t="s">
        <v>3934</v>
      </c>
      <c r="E905" s="81">
        <v>587747.01</v>
      </c>
      <c r="F905" s="81">
        <v>587747.01</v>
      </c>
    </row>
    <row r="906" spans="1:6" x14ac:dyDescent="0.2">
      <c r="A906" s="1" t="s">
        <v>179</v>
      </c>
      <c r="B906" s="1" t="s">
        <v>1594</v>
      </c>
      <c r="C906" s="1" t="s">
        <v>101</v>
      </c>
      <c r="D906" s="1" t="s">
        <v>101</v>
      </c>
      <c r="E906" s="81">
        <v>0</v>
      </c>
      <c r="F906" s="81">
        <v>0</v>
      </c>
    </row>
    <row r="907" spans="1:6" x14ac:dyDescent="0.2">
      <c r="A907" s="1" t="s">
        <v>179</v>
      </c>
      <c r="B907" s="1" t="s">
        <v>1595</v>
      </c>
      <c r="C907" s="1" t="s">
        <v>101</v>
      </c>
      <c r="D907" s="1" t="s">
        <v>101</v>
      </c>
      <c r="E907" s="81">
        <v>0</v>
      </c>
      <c r="F907" s="81">
        <v>0</v>
      </c>
    </row>
    <row r="908" spans="1:6" x14ac:dyDescent="0.2">
      <c r="A908" s="1" t="s">
        <v>179</v>
      </c>
      <c r="B908" s="1" t="s">
        <v>1596</v>
      </c>
      <c r="C908" s="1" t="s">
        <v>101</v>
      </c>
      <c r="D908" s="1" t="s">
        <v>101</v>
      </c>
      <c r="E908" s="81">
        <v>0</v>
      </c>
      <c r="F908" s="81">
        <v>0</v>
      </c>
    </row>
    <row r="909" spans="1:6" x14ac:dyDescent="0.2">
      <c r="A909" s="1" t="s">
        <v>179</v>
      </c>
      <c r="B909" s="1" t="s">
        <v>1597</v>
      </c>
      <c r="C909" s="1" t="s">
        <v>101</v>
      </c>
      <c r="D909" s="1" t="s">
        <v>101</v>
      </c>
      <c r="E909" s="81">
        <v>0</v>
      </c>
      <c r="F909" s="81">
        <v>0</v>
      </c>
    </row>
    <row r="910" spans="1:6" x14ac:dyDescent="0.2">
      <c r="A910" s="1" t="s">
        <v>179</v>
      </c>
      <c r="B910" s="1" t="s">
        <v>1598</v>
      </c>
      <c r="C910" s="1" t="s">
        <v>101</v>
      </c>
      <c r="D910" s="1" t="s">
        <v>101</v>
      </c>
      <c r="E910" s="81">
        <v>0</v>
      </c>
      <c r="F910" s="81">
        <v>0</v>
      </c>
    </row>
    <row r="911" spans="1:6" x14ac:dyDescent="0.2">
      <c r="A911" s="1" t="s">
        <v>179</v>
      </c>
      <c r="B911" s="1" t="s">
        <v>1599</v>
      </c>
      <c r="C911" s="1" t="s">
        <v>101</v>
      </c>
      <c r="D911" s="1" t="s">
        <v>101</v>
      </c>
      <c r="E911" s="81">
        <v>0</v>
      </c>
      <c r="F911" s="81">
        <v>0</v>
      </c>
    </row>
    <row r="912" spans="1:6" x14ac:dyDescent="0.2">
      <c r="A912" s="1" t="s">
        <v>179</v>
      </c>
      <c r="B912" s="1" t="s">
        <v>1600</v>
      </c>
      <c r="C912" s="1" t="s">
        <v>101</v>
      </c>
      <c r="D912" s="1" t="s">
        <v>101</v>
      </c>
      <c r="E912" s="81">
        <v>0</v>
      </c>
      <c r="F912" s="81">
        <v>0</v>
      </c>
    </row>
    <row r="913" spans="1:6" x14ac:dyDescent="0.2">
      <c r="A913" s="1" t="s">
        <v>179</v>
      </c>
      <c r="B913" s="1" t="s">
        <v>1601</v>
      </c>
      <c r="C913" s="1" t="s">
        <v>101</v>
      </c>
      <c r="D913" s="1" t="s">
        <v>101</v>
      </c>
      <c r="E913" s="81">
        <v>0</v>
      </c>
      <c r="F913" s="81">
        <v>0</v>
      </c>
    </row>
    <row r="914" spans="1:6" x14ac:dyDescent="0.2">
      <c r="A914" s="1" t="s">
        <v>179</v>
      </c>
      <c r="B914" s="1" t="s">
        <v>1602</v>
      </c>
      <c r="C914" s="1" t="s">
        <v>101</v>
      </c>
      <c r="D914" s="1" t="s">
        <v>101</v>
      </c>
      <c r="E914" s="81">
        <v>0</v>
      </c>
      <c r="F914" s="81">
        <v>0</v>
      </c>
    </row>
    <row r="915" spans="1:6" x14ac:dyDescent="0.2">
      <c r="A915" s="1" t="s">
        <v>179</v>
      </c>
      <c r="B915" s="1" t="s">
        <v>1603</v>
      </c>
      <c r="C915" s="1" t="s">
        <v>3935</v>
      </c>
      <c r="D915" s="1" t="s">
        <v>3935</v>
      </c>
      <c r="E915" s="81">
        <v>1616932.93</v>
      </c>
      <c r="F915" s="81">
        <v>1616932.93</v>
      </c>
    </row>
    <row r="916" spans="1:6" x14ac:dyDescent="0.2">
      <c r="A916" s="1" t="s">
        <v>179</v>
      </c>
      <c r="B916" s="1" t="s">
        <v>1604</v>
      </c>
      <c r="C916" s="1" t="s">
        <v>3936</v>
      </c>
      <c r="D916" s="1" t="s">
        <v>3936</v>
      </c>
      <c r="E916" s="81">
        <v>529869.14</v>
      </c>
      <c r="F916" s="81">
        <v>529869.14</v>
      </c>
    </row>
    <row r="917" spans="1:6" x14ac:dyDescent="0.2">
      <c r="A917" s="1" t="s">
        <v>179</v>
      </c>
      <c r="B917" s="1" t="s">
        <v>1605</v>
      </c>
      <c r="C917" s="1" t="s">
        <v>3937</v>
      </c>
      <c r="D917" s="1" t="s">
        <v>3937</v>
      </c>
      <c r="E917" s="81">
        <v>496028.84</v>
      </c>
      <c r="F917" s="81">
        <v>496028.84</v>
      </c>
    </row>
    <row r="918" spans="1:6" x14ac:dyDescent="0.2">
      <c r="A918" s="1" t="s">
        <v>179</v>
      </c>
      <c r="B918" s="1" t="s">
        <v>1606</v>
      </c>
      <c r="C918" s="1" t="s">
        <v>3938</v>
      </c>
      <c r="D918" s="1" t="s">
        <v>3938</v>
      </c>
      <c r="E918" s="81">
        <v>586012</v>
      </c>
      <c r="F918" s="81">
        <v>586012</v>
      </c>
    </row>
    <row r="919" spans="1:6" x14ac:dyDescent="0.2">
      <c r="A919" s="1" t="s">
        <v>179</v>
      </c>
      <c r="B919" s="1" t="s">
        <v>1607</v>
      </c>
      <c r="C919" s="1" t="s">
        <v>101</v>
      </c>
      <c r="D919" s="1" t="s">
        <v>101</v>
      </c>
      <c r="E919" s="81">
        <v>0</v>
      </c>
      <c r="F919" s="81">
        <v>0</v>
      </c>
    </row>
    <row r="920" spans="1:6" x14ac:dyDescent="0.2">
      <c r="A920" s="1" t="s">
        <v>179</v>
      </c>
      <c r="B920" s="1" t="s">
        <v>1608</v>
      </c>
      <c r="C920" s="1" t="s">
        <v>101</v>
      </c>
      <c r="D920" s="1" t="s">
        <v>101</v>
      </c>
      <c r="E920" s="81">
        <v>0</v>
      </c>
      <c r="F920" s="81">
        <v>0</v>
      </c>
    </row>
    <row r="921" spans="1:6" x14ac:dyDescent="0.2">
      <c r="A921" s="1" t="s">
        <v>179</v>
      </c>
      <c r="B921" s="1" t="s">
        <v>1609</v>
      </c>
      <c r="C921" s="1" t="s">
        <v>101</v>
      </c>
      <c r="D921" s="1" t="s">
        <v>101</v>
      </c>
      <c r="E921" s="81">
        <v>0</v>
      </c>
      <c r="F921" s="81">
        <v>0</v>
      </c>
    </row>
    <row r="922" spans="1:6" x14ac:dyDescent="0.2">
      <c r="A922" s="1" t="s">
        <v>179</v>
      </c>
      <c r="B922" s="1" t="s">
        <v>1610</v>
      </c>
      <c r="C922" s="1" t="s">
        <v>101</v>
      </c>
      <c r="D922" s="1" t="s">
        <v>101</v>
      </c>
      <c r="E922" s="81">
        <v>0</v>
      </c>
      <c r="F922" s="81">
        <v>0</v>
      </c>
    </row>
    <row r="923" spans="1:6" x14ac:dyDescent="0.2">
      <c r="A923" s="1" t="s">
        <v>179</v>
      </c>
      <c r="B923" s="1" t="s">
        <v>1611</v>
      </c>
      <c r="C923" s="1" t="s">
        <v>101</v>
      </c>
      <c r="D923" s="1" t="s">
        <v>101</v>
      </c>
      <c r="E923" s="81">
        <v>0</v>
      </c>
      <c r="F923" s="81">
        <v>0</v>
      </c>
    </row>
    <row r="924" spans="1:6" x14ac:dyDescent="0.2">
      <c r="A924" s="1" t="s">
        <v>179</v>
      </c>
      <c r="B924" s="1" t="s">
        <v>1612</v>
      </c>
      <c r="C924" s="1" t="s">
        <v>101</v>
      </c>
      <c r="D924" s="1" t="s">
        <v>101</v>
      </c>
      <c r="E924" s="81">
        <v>0</v>
      </c>
      <c r="F924" s="81">
        <v>0</v>
      </c>
    </row>
    <row r="925" spans="1:6" x14ac:dyDescent="0.2">
      <c r="A925" s="1" t="s">
        <v>179</v>
      </c>
      <c r="B925" s="1" t="s">
        <v>1613</v>
      </c>
      <c r="C925" s="1" t="s">
        <v>101</v>
      </c>
      <c r="D925" s="1" t="s">
        <v>101</v>
      </c>
      <c r="E925" s="81">
        <v>0</v>
      </c>
      <c r="F925" s="81">
        <v>0</v>
      </c>
    </row>
    <row r="926" spans="1:6" x14ac:dyDescent="0.2">
      <c r="A926" s="1" t="s">
        <v>179</v>
      </c>
      <c r="B926" s="1" t="s">
        <v>1614</v>
      </c>
      <c r="C926" s="1" t="s">
        <v>101</v>
      </c>
      <c r="D926" s="1" t="s">
        <v>101</v>
      </c>
      <c r="E926" s="81">
        <v>0</v>
      </c>
      <c r="F926" s="81">
        <v>0</v>
      </c>
    </row>
    <row r="927" spans="1:6" x14ac:dyDescent="0.2">
      <c r="A927" s="1" t="s">
        <v>179</v>
      </c>
      <c r="B927" s="1" t="s">
        <v>1615</v>
      </c>
      <c r="C927" s="1" t="s">
        <v>101</v>
      </c>
      <c r="D927" s="1" t="s">
        <v>101</v>
      </c>
      <c r="E927" s="81">
        <v>0</v>
      </c>
      <c r="F927" s="81">
        <v>0</v>
      </c>
    </row>
    <row r="928" spans="1:6" x14ac:dyDescent="0.2">
      <c r="A928" s="1" t="s">
        <v>179</v>
      </c>
      <c r="B928" s="1" t="s">
        <v>1616</v>
      </c>
      <c r="C928" s="1" t="s">
        <v>3939</v>
      </c>
      <c r="D928" s="1" t="s">
        <v>3939</v>
      </c>
      <c r="E928" s="81">
        <v>2378.21</v>
      </c>
      <c r="F928" s="81">
        <v>2378.21</v>
      </c>
    </row>
    <row r="929" spans="1:6" x14ac:dyDescent="0.2">
      <c r="A929" s="1" t="s">
        <v>179</v>
      </c>
      <c r="B929" s="1" t="s">
        <v>1617</v>
      </c>
      <c r="C929" s="1" t="s">
        <v>3940</v>
      </c>
      <c r="D929" s="1" t="s">
        <v>3940</v>
      </c>
      <c r="E929" s="81">
        <v>2579.15</v>
      </c>
      <c r="F929" s="81">
        <v>2579.15</v>
      </c>
    </row>
    <row r="930" spans="1:6" x14ac:dyDescent="0.2">
      <c r="A930" s="1" t="s">
        <v>179</v>
      </c>
      <c r="B930" s="1" t="s">
        <v>1618</v>
      </c>
      <c r="C930" s="1" t="s">
        <v>3941</v>
      </c>
      <c r="D930" s="1" t="s">
        <v>3941</v>
      </c>
      <c r="E930" s="81">
        <v>2668.07</v>
      </c>
      <c r="F930" s="81">
        <v>2668.07</v>
      </c>
    </row>
    <row r="931" spans="1:6" x14ac:dyDescent="0.2">
      <c r="A931" s="1" t="s">
        <v>179</v>
      </c>
      <c r="B931" s="1" t="s">
        <v>1619</v>
      </c>
      <c r="C931" s="1" t="s">
        <v>101</v>
      </c>
      <c r="D931" s="1" t="s">
        <v>101</v>
      </c>
      <c r="E931" s="81">
        <v>0</v>
      </c>
      <c r="F931" s="81">
        <v>0</v>
      </c>
    </row>
    <row r="932" spans="1:6" x14ac:dyDescent="0.2">
      <c r="A932" s="1" t="s">
        <v>179</v>
      </c>
      <c r="B932" s="1" t="s">
        <v>1620</v>
      </c>
      <c r="C932" s="1" t="s">
        <v>101</v>
      </c>
      <c r="D932" s="1" t="s">
        <v>101</v>
      </c>
      <c r="E932" s="81">
        <v>0</v>
      </c>
      <c r="F932" s="81">
        <v>0</v>
      </c>
    </row>
    <row r="933" spans="1:6" x14ac:dyDescent="0.2">
      <c r="A933" s="1" t="s">
        <v>179</v>
      </c>
      <c r="B933" s="1" t="s">
        <v>1621</v>
      </c>
      <c r="C933" s="1" t="s">
        <v>101</v>
      </c>
      <c r="D933" s="1" t="s">
        <v>101</v>
      </c>
      <c r="E933" s="81">
        <v>0</v>
      </c>
      <c r="F933" s="81">
        <v>0</v>
      </c>
    </row>
    <row r="934" spans="1:6" x14ac:dyDescent="0.2">
      <c r="A934" s="1" t="s">
        <v>179</v>
      </c>
      <c r="B934" s="1" t="s">
        <v>1622</v>
      </c>
      <c r="C934" s="1" t="s">
        <v>101</v>
      </c>
      <c r="D934" s="1" t="s">
        <v>101</v>
      </c>
      <c r="E934" s="81">
        <v>0</v>
      </c>
      <c r="F934" s="81">
        <v>0</v>
      </c>
    </row>
    <row r="935" spans="1:6" x14ac:dyDescent="0.2">
      <c r="A935" s="1" t="s">
        <v>179</v>
      </c>
      <c r="B935" s="1" t="s">
        <v>1623</v>
      </c>
      <c r="C935" s="1" t="s">
        <v>101</v>
      </c>
      <c r="D935" s="1" t="s">
        <v>101</v>
      </c>
      <c r="E935" s="81">
        <v>0</v>
      </c>
      <c r="F935" s="81">
        <v>0</v>
      </c>
    </row>
    <row r="936" spans="1:6" x14ac:dyDescent="0.2">
      <c r="A936" s="1" t="s">
        <v>179</v>
      </c>
      <c r="B936" s="1" t="s">
        <v>1624</v>
      </c>
      <c r="C936" s="1" t="s">
        <v>101</v>
      </c>
      <c r="D936" s="1" t="s">
        <v>101</v>
      </c>
      <c r="E936" s="81">
        <v>0</v>
      </c>
      <c r="F936" s="81">
        <v>0</v>
      </c>
    </row>
    <row r="937" spans="1:6" x14ac:dyDescent="0.2">
      <c r="A937" s="1" t="s">
        <v>179</v>
      </c>
      <c r="B937" s="1" t="s">
        <v>1625</v>
      </c>
      <c r="C937" s="1" t="s">
        <v>101</v>
      </c>
      <c r="D937" s="1" t="s">
        <v>101</v>
      </c>
      <c r="E937" s="81">
        <v>0</v>
      </c>
      <c r="F937" s="81">
        <v>0</v>
      </c>
    </row>
    <row r="938" spans="1:6" x14ac:dyDescent="0.2">
      <c r="A938" s="1" t="s">
        <v>179</v>
      </c>
      <c r="B938" s="1" t="s">
        <v>1626</v>
      </c>
      <c r="C938" s="1" t="s">
        <v>101</v>
      </c>
      <c r="D938" s="1" t="s">
        <v>101</v>
      </c>
      <c r="E938" s="81">
        <v>0</v>
      </c>
      <c r="F938" s="81">
        <v>0</v>
      </c>
    </row>
    <row r="939" spans="1:6" x14ac:dyDescent="0.2">
      <c r="A939" s="1" t="s">
        <v>179</v>
      </c>
      <c r="B939" s="1" t="s">
        <v>1627</v>
      </c>
      <c r="C939" s="1" t="s">
        <v>101</v>
      </c>
      <c r="D939" s="1" t="s">
        <v>101</v>
      </c>
      <c r="E939" s="81">
        <v>0</v>
      </c>
      <c r="F939" s="81">
        <v>0</v>
      </c>
    </row>
    <row r="940" spans="1:6" x14ac:dyDescent="0.2">
      <c r="A940" s="1" t="s">
        <v>179</v>
      </c>
      <c r="B940" s="1" t="s">
        <v>1628</v>
      </c>
      <c r="C940" s="1" t="s">
        <v>101</v>
      </c>
      <c r="D940" s="1" t="s">
        <v>101</v>
      </c>
      <c r="E940" s="81">
        <v>0</v>
      </c>
      <c r="F940" s="81">
        <v>0</v>
      </c>
    </row>
    <row r="941" spans="1:6" x14ac:dyDescent="0.2">
      <c r="A941" s="1" t="s">
        <v>179</v>
      </c>
      <c r="B941" s="1" t="s">
        <v>1629</v>
      </c>
      <c r="C941" s="1" t="s">
        <v>101</v>
      </c>
      <c r="D941" s="1" t="s">
        <v>101</v>
      </c>
      <c r="E941" s="81">
        <v>0</v>
      </c>
      <c r="F941" s="81">
        <v>0</v>
      </c>
    </row>
    <row r="942" spans="1:6" x14ac:dyDescent="0.2">
      <c r="A942" s="1" t="s">
        <v>179</v>
      </c>
      <c r="B942" s="1" t="s">
        <v>1630</v>
      </c>
      <c r="C942" s="1" t="s">
        <v>101</v>
      </c>
      <c r="D942" s="1" t="s">
        <v>101</v>
      </c>
      <c r="E942" s="81">
        <v>0</v>
      </c>
      <c r="F942" s="81">
        <v>0</v>
      </c>
    </row>
    <row r="943" spans="1:6" x14ac:dyDescent="0.2">
      <c r="A943" s="1" t="s">
        <v>179</v>
      </c>
      <c r="B943" s="1" t="s">
        <v>1631</v>
      </c>
      <c r="C943" s="1" t="s">
        <v>101</v>
      </c>
      <c r="D943" s="1" t="s">
        <v>101</v>
      </c>
      <c r="E943" s="81">
        <v>0</v>
      </c>
      <c r="F943" s="81">
        <v>0</v>
      </c>
    </row>
    <row r="944" spans="1:6" x14ac:dyDescent="0.2">
      <c r="A944" s="1" t="s">
        <v>179</v>
      </c>
      <c r="B944" s="1" t="s">
        <v>1632</v>
      </c>
      <c r="C944" s="1" t="s">
        <v>101</v>
      </c>
      <c r="D944" s="1" t="s">
        <v>101</v>
      </c>
      <c r="E944" s="81">
        <v>0</v>
      </c>
      <c r="F944" s="81">
        <v>0</v>
      </c>
    </row>
    <row r="945" spans="1:6" x14ac:dyDescent="0.2">
      <c r="A945" s="1" t="s">
        <v>179</v>
      </c>
      <c r="B945" s="1" t="s">
        <v>1633</v>
      </c>
      <c r="C945" s="1" t="s">
        <v>101</v>
      </c>
      <c r="D945" s="1" t="s">
        <v>101</v>
      </c>
      <c r="E945" s="81">
        <v>0</v>
      </c>
      <c r="F945" s="81">
        <v>0</v>
      </c>
    </row>
    <row r="946" spans="1:6" x14ac:dyDescent="0.2">
      <c r="A946" s="1" t="s">
        <v>179</v>
      </c>
      <c r="B946" s="1" t="s">
        <v>1634</v>
      </c>
      <c r="C946" s="1" t="s">
        <v>101</v>
      </c>
      <c r="D946" s="1" t="s">
        <v>101</v>
      </c>
      <c r="E946" s="81">
        <v>0</v>
      </c>
      <c r="F946" s="81">
        <v>0</v>
      </c>
    </row>
    <row r="947" spans="1:6" x14ac:dyDescent="0.2">
      <c r="A947" s="1" t="s">
        <v>179</v>
      </c>
      <c r="B947" s="1" t="s">
        <v>1635</v>
      </c>
      <c r="C947" s="1" t="s">
        <v>101</v>
      </c>
      <c r="D947" s="1" t="s">
        <v>101</v>
      </c>
      <c r="E947" s="81">
        <v>0</v>
      </c>
      <c r="F947" s="81">
        <v>0</v>
      </c>
    </row>
    <row r="948" spans="1:6" x14ac:dyDescent="0.2">
      <c r="A948" s="1" t="s">
        <v>179</v>
      </c>
      <c r="B948" s="1" t="s">
        <v>1636</v>
      </c>
      <c r="C948" s="1" t="s">
        <v>101</v>
      </c>
      <c r="D948" s="1" t="s">
        <v>101</v>
      </c>
      <c r="E948" s="81">
        <v>0</v>
      </c>
      <c r="F948" s="81">
        <v>0</v>
      </c>
    </row>
    <row r="949" spans="1:6" x14ac:dyDescent="0.2">
      <c r="A949" s="1" t="s">
        <v>179</v>
      </c>
      <c r="B949" s="1" t="s">
        <v>1637</v>
      </c>
      <c r="C949" s="1" t="s">
        <v>101</v>
      </c>
      <c r="D949" s="1" t="s">
        <v>101</v>
      </c>
      <c r="E949" s="81">
        <v>0</v>
      </c>
      <c r="F949" s="81">
        <v>0</v>
      </c>
    </row>
    <row r="950" spans="1:6" x14ac:dyDescent="0.2">
      <c r="A950" s="1" t="s">
        <v>179</v>
      </c>
      <c r="B950" s="1" t="s">
        <v>1638</v>
      </c>
      <c r="C950" s="1" t="s">
        <v>101</v>
      </c>
      <c r="D950" s="1" t="s">
        <v>101</v>
      </c>
      <c r="E950" s="81">
        <v>0</v>
      </c>
      <c r="F950" s="81">
        <v>0</v>
      </c>
    </row>
    <row r="951" spans="1:6" x14ac:dyDescent="0.2">
      <c r="A951" s="1" t="s">
        <v>179</v>
      </c>
      <c r="B951" s="1" t="s">
        <v>1639</v>
      </c>
      <c r="C951" s="1" t="s">
        <v>101</v>
      </c>
      <c r="D951" s="1" t="s">
        <v>101</v>
      </c>
      <c r="E951" s="81">
        <v>0</v>
      </c>
      <c r="F951" s="81">
        <v>0</v>
      </c>
    </row>
    <row r="952" spans="1:6" x14ac:dyDescent="0.2">
      <c r="A952" s="1" t="s">
        <v>179</v>
      </c>
      <c r="B952" s="1" t="s">
        <v>1640</v>
      </c>
      <c r="C952" s="1" t="s">
        <v>3932</v>
      </c>
      <c r="D952" s="1" t="s">
        <v>3932</v>
      </c>
      <c r="E952" s="81">
        <v>531433.54</v>
      </c>
      <c r="F952" s="81">
        <v>531433.54</v>
      </c>
    </row>
    <row r="953" spans="1:6" x14ac:dyDescent="0.2">
      <c r="A953" s="1" t="s">
        <v>179</v>
      </c>
      <c r="B953" s="1" t="s">
        <v>1641</v>
      </c>
      <c r="C953" s="1" t="s">
        <v>3933</v>
      </c>
      <c r="D953" s="1" t="s">
        <v>3933</v>
      </c>
      <c r="E953" s="81">
        <v>497752.38</v>
      </c>
      <c r="F953" s="81">
        <v>497752.38</v>
      </c>
    </row>
    <row r="954" spans="1:6" x14ac:dyDescent="0.2">
      <c r="A954" s="1" t="s">
        <v>179</v>
      </c>
      <c r="B954" s="1" t="s">
        <v>1642</v>
      </c>
      <c r="C954" s="1" t="s">
        <v>3934</v>
      </c>
      <c r="D954" s="1" t="s">
        <v>3934</v>
      </c>
      <c r="E954" s="81">
        <v>587747.01</v>
      </c>
      <c r="F954" s="81">
        <v>587747.01</v>
      </c>
    </row>
    <row r="955" spans="1:6" x14ac:dyDescent="0.2">
      <c r="A955" s="1" t="s">
        <v>179</v>
      </c>
      <c r="B955" s="1" t="s">
        <v>1643</v>
      </c>
      <c r="C955" s="1" t="s">
        <v>101</v>
      </c>
      <c r="D955" s="1" t="s">
        <v>101</v>
      </c>
      <c r="E955" s="81">
        <v>0</v>
      </c>
      <c r="F955" s="81">
        <v>0</v>
      </c>
    </row>
    <row r="956" spans="1:6" x14ac:dyDescent="0.2">
      <c r="A956" s="1" t="s">
        <v>179</v>
      </c>
      <c r="B956" s="1" t="s">
        <v>1644</v>
      </c>
      <c r="C956" s="1" t="s">
        <v>101</v>
      </c>
      <c r="D956" s="1" t="s">
        <v>101</v>
      </c>
      <c r="E956" s="81">
        <v>0</v>
      </c>
      <c r="F956" s="81">
        <v>0</v>
      </c>
    </row>
    <row r="957" spans="1:6" x14ac:dyDescent="0.2">
      <c r="A957" s="1" t="s">
        <v>179</v>
      </c>
      <c r="B957" s="1" t="s">
        <v>1645</v>
      </c>
      <c r="C957" s="1" t="s">
        <v>101</v>
      </c>
      <c r="D957" s="1" t="s">
        <v>101</v>
      </c>
      <c r="E957" s="81">
        <v>0</v>
      </c>
      <c r="F957" s="81">
        <v>0</v>
      </c>
    </row>
    <row r="958" spans="1:6" x14ac:dyDescent="0.2">
      <c r="A958" s="1" t="s">
        <v>179</v>
      </c>
      <c r="B958" s="1" t="s">
        <v>1646</v>
      </c>
      <c r="C958" s="1" t="s">
        <v>101</v>
      </c>
      <c r="D958" s="1" t="s">
        <v>101</v>
      </c>
      <c r="E958" s="81">
        <v>0</v>
      </c>
      <c r="F958" s="81">
        <v>0</v>
      </c>
    </row>
    <row r="959" spans="1:6" x14ac:dyDescent="0.2">
      <c r="A959" s="1" t="s">
        <v>179</v>
      </c>
      <c r="B959" s="1" t="s">
        <v>1647</v>
      </c>
      <c r="C959" s="1" t="s">
        <v>101</v>
      </c>
      <c r="D959" s="1" t="s">
        <v>101</v>
      </c>
      <c r="E959" s="81">
        <v>0</v>
      </c>
      <c r="F959" s="81">
        <v>0</v>
      </c>
    </row>
    <row r="960" spans="1:6" x14ac:dyDescent="0.2">
      <c r="A960" s="1" t="s">
        <v>179</v>
      </c>
      <c r="B960" s="1" t="s">
        <v>1648</v>
      </c>
      <c r="C960" s="1" t="s">
        <v>101</v>
      </c>
      <c r="D960" s="1" t="s">
        <v>101</v>
      </c>
      <c r="E960" s="81">
        <v>0</v>
      </c>
      <c r="F960" s="81">
        <v>0</v>
      </c>
    </row>
    <row r="961" spans="1:6" x14ac:dyDescent="0.2">
      <c r="A961" s="1" t="s">
        <v>179</v>
      </c>
      <c r="B961" s="1" t="s">
        <v>1649</v>
      </c>
      <c r="C961" s="1" t="s">
        <v>101</v>
      </c>
      <c r="D961" s="1" t="s">
        <v>101</v>
      </c>
      <c r="E961" s="81">
        <v>0</v>
      </c>
      <c r="F961" s="81">
        <v>0</v>
      </c>
    </row>
    <row r="962" spans="1:6" x14ac:dyDescent="0.2">
      <c r="A962" s="1" t="s">
        <v>179</v>
      </c>
      <c r="B962" s="1" t="s">
        <v>1650</v>
      </c>
      <c r="C962" s="1" t="s">
        <v>101</v>
      </c>
      <c r="D962" s="1" t="s">
        <v>101</v>
      </c>
      <c r="E962" s="81">
        <v>0</v>
      </c>
      <c r="F962" s="81">
        <v>0</v>
      </c>
    </row>
    <row r="963" spans="1:6" x14ac:dyDescent="0.2">
      <c r="A963" s="1" t="s">
        <v>179</v>
      </c>
      <c r="B963" s="1" t="s">
        <v>1651</v>
      </c>
      <c r="C963" s="1" t="s">
        <v>101</v>
      </c>
      <c r="D963" s="1" t="s">
        <v>101</v>
      </c>
      <c r="E963" s="81">
        <v>0</v>
      </c>
      <c r="F963" s="81">
        <v>0</v>
      </c>
    </row>
    <row r="964" spans="1:6" x14ac:dyDescent="0.2">
      <c r="A964" s="1" t="s">
        <v>179</v>
      </c>
      <c r="B964" s="1" t="s">
        <v>1652</v>
      </c>
      <c r="C964" s="1" t="s">
        <v>3935</v>
      </c>
      <c r="D964" s="1" t="s">
        <v>3935</v>
      </c>
      <c r="E964" s="81">
        <v>1616932.93</v>
      </c>
      <c r="F964" s="81">
        <v>1616932.93</v>
      </c>
    </row>
    <row r="965" spans="1:6" x14ac:dyDescent="0.2">
      <c r="A965" s="1" t="s">
        <v>179</v>
      </c>
      <c r="B965" s="1" t="s">
        <v>1653</v>
      </c>
      <c r="C965" s="1" t="s">
        <v>3942</v>
      </c>
      <c r="D965" s="1" t="s">
        <v>3942</v>
      </c>
      <c r="E965" s="81">
        <v>61061.5</v>
      </c>
      <c r="F965" s="81">
        <v>61061.5</v>
      </c>
    </row>
    <row r="966" spans="1:6" x14ac:dyDescent="0.2">
      <c r="A966" s="1" t="s">
        <v>179</v>
      </c>
      <c r="B966" s="1" t="s">
        <v>1654</v>
      </c>
      <c r="C966" s="1" t="s">
        <v>3943</v>
      </c>
      <c r="D966" s="1" t="s">
        <v>3943</v>
      </c>
      <c r="E966" s="81">
        <v>49989.7</v>
      </c>
      <c r="F966" s="81">
        <v>49989.7</v>
      </c>
    </row>
    <row r="967" spans="1:6" x14ac:dyDescent="0.2">
      <c r="A967" s="1" t="s">
        <v>179</v>
      </c>
      <c r="B967" s="1" t="s">
        <v>1655</v>
      </c>
      <c r="C967" s="1" t="s">
        <v>3944</v>
      </c>
      <c r="D967" s="1" t="s">
        <v>3944</v>
      </c>
      <c r="E967" s="81">
        <v>43439.26</v>
      </c>
      <c r="F967" s="81">
        <v>43439.26</v>
      </c>
    </row>
    <row r="968" spans="1:6" x14ac:dyDescent="0.2">
      <c r="A968" s="1" t="s">
        <v>179</v>
      </c>
      <c r="B968" s="1" t="s">
        <v>1656</v>
      </c>
      <c r="C968" s="1" t="s">
        <v>101</v>
      </c>
      <c r="D968" s="1" t="s">
        <v>101</v>
      </c>
      <c r="E968" s="81">
        <v>0</v>
      </c>
      <c r="F968" s="81">
        <v>0</v>
      </c>
    </row>
    <row r="969" spans="1:6" x14ac:dyDescent="0.2">
      <c r="A969" s="1" t="s">
        <v>179</v>
      </c>
      <c r="B969" s="1" t="s">
        <v>1657</v>
      </c>
      <c r="C969" s="1" t="s">
        <v>101</v>
      </c>
      <c r="D969" s="1" t="s">
        <v>101</v>
      </c>
      <c r="E969" s="81">
        <v>0</v>
      </c>
      <c r="F969" s="81">
        <v>0</v>
      </c>
    </row>
    <row r="970" spans="1:6" x14ac:dyDescent="0.2">
      <c r="A970" s="1" t="s">
        <v>179</v>
      </c>
      <c r="B970" s="1" t="s">
        <v>1658</v>
      </c>
      <c r="C970" s="1" t="s">
        <v>101</v>
      </c>
      <c r="D970" s="1" t="s">
        <v>101</v>
      </c>
      <c r="E970" s="81">
        <v>0</v>
      </c>
      <c r="F970" s="81">
        <v>0</v>
      </c>
    </row>
    <row r="971" spans="1:6" x14ac:dyDescent="0.2">
      <c r="A971" s="1" t="s">
        <v>179</v>
      </c>
      <c r="B971" s="1" t="s">
        <v>1659</v>
      </c>
      <c r="C971" s="1" t="s">
        <v>101</v>
      </c>
      <c r="D971" s="1" t="s">
        <v>101</v>
      </c>
      <c r="E971" s="81">
        <v>0</v>
      </c>
      <c r="F971" s="81">
        <v>0</v>
      </c>
    </row>
    <row r="972" spans="1:6" x14ac:dyDescent="0.2">
      <c r="A972" s="1" t="s">
        <v>179</v>
      </c>
      <c r="B972" s="1" t="s">
        <v>1660</v>
      </c>
      <c r="C972" s="1" t="s">
        <v>101</v>
      </c>
      <c r="D972" s="1" t="s">
        <v>101</v>
      </c>
      <c r="E972" s="81">
        <v>0</v>
      </c>
      <c r="F972" s="81">
        <v>0</v>
      </c>
    </row>
    <row r="973" spans="1:6" x14ac:dyDescent="0.2">
      <c r="A973" s="1" t="s">
        <v>179</v>
      </c>
      <c r="B973" s="1" t="s">
        <v>1661</v>
      </c>
      <c r="C973" s="1" t="s">
        <v>101</v>
      </c>
      <c r="D973" s="1" t="s">
        <v>101</v>
      </c>
      <c r="E973" s="81">
        <v>0</v>
      </c>
      <c r="F973" s="81">
        <v>0</v>
      </c>
    </row>
    <row r="974" spans="1:6" x14ac:dyDescent="0.2">
      <c r="A974" s="1" t="s">
        <v>179</v>
      </c>
      <c r="B974" s="1" t="s">
        <v>1662</v>
      </c>
      <c r="C974" s="1" t="s">
        <v>101</v>
      </c>
      <c r="D974" s="1" t="s">
        <v>101</v>
      </c>
      <c r="E974" s="81">
        <v>0</v>
      </c>
      <c r="F974" s="81">
        <v>0</v>
      </c>
    </row>
    <row r="975" spans="1:6" x14ac:dyDescent="0.2">
      <c r="A975" s="1" t="s">
        <v>179</v>
      </c>
      <c r="B975" s="1" t="s">
        <v>1663</v>
      </c>
      <c r="C975" s="1" t="s">
        <v>101</v>
      </c>
      <c r="D975" s="1" t="s">
        <v>101</v>
      </c>
      <c r="E975" s="81">
        <v>0</v>
      </c>
      <c r="F975" s="81">
        <v>0</v>
      </c>
    </row>
    <row r="976" spans="1:6" x14ac:dyDescent="0.2">
      <c r="A976" s="1" t="s">
        <v>179</v>
      </c>
      <c r="B976" s="1" t="s">
        <v>1664</v>
      </c>
      <c r="C976" s="1" t="s">
        <v>101</v>
      </c>
      <c r="D976" s="1" t="s">
        <v>101</v>
      </c>
      <c r="E976" s="81">
        <v>0</v>
      </c>
      <c r="F976" s="81">
        <v>0</v>
      </c>
    </row>
    <row r="977" spans="1:6" x14ac:dyDescent="0.2">
      <c r="A977" s="1" t="s">
        <v>179</v>
      </c>
      <c r="B977" s="1" t="s">
        <v>1665</v>
      </c>
      <c r="C977" s="1" t="s">
        <v>3945</v>
      </c>
      <c r="D977" s="1" t="s">
        <v>3945</v>
      </c>
      <c r="E977" s="81">
        <v>154490.46</v>
      </c>
      <c r="F977" s="81">
        <v>154490.46</v>
      </c>
    </row>
    <row r="978" spans="1:6" x14ac:dyDescent="0.2">
      <c r="A978" s="1" t="s">
        <v>179</v>
      </c>
      <c r="B978" s="1" t="s">
        <v>1666</v>
      </c>
      <c r="C978" s="1" t="s">
        <v>3946</v>
      </c>
      <c r="D978" s="1" t="s">
        <v>3946</v>
      </c>
      <c r="E978" s="81">
        <v>57937.99</v>
      </c>
      <c r="F978" s="81">
        <v>57937.99</v>
      </c>
    </row>
    <row r="979" spans="1:6" x14ac:dyDescent="0.2">
      <c r="A979" s="1" t="s">
        <v>179</v>
      </c>
      <c r="B979" s="1" t="s">
        <v>1667</v>
      </c>
      <c r="C979" s="1" t="s">
        <v>3947</v>
      </c>
      <c r="D979" s="1" t="s">
        <v>3947</v>
      </c>
      <c r="E979" s="81">
        <v>46489.99</v>
      </c>
      <c r="F979" s="81">
        <v>46489.99</v>
      </c>
    </row>
    <row r="980" spans="1:6" x14ac:dyDescent="0.2">
      <c r="A980" s="1" t="s">
        <v>179</v>
      </c>
      <c r="B980" s="1" t="s">
        <v>1668</v>
      </c>
      <c r="C980" s="1" t="s">
        <v>3948</v>
      </c>
      <c r="D980" s="1" t="s">
        <v>3948</v>
      </c>
      <c r="E980" s="81">
        <v>42463.33</v>
      </c>
      <c r="F980" s="81">
        <v>42463.33</v>
      </c>
    </row>
    <row r="981" spans="1:6" x14ac:dyDescent="0.2">
      <c r="A981" s="1" t="s">
        <v>179</v>
      </c>
      <c r="B981" s="1" t="s">
        <v>1669</v>
      </c>
      <c r="C981" s="1" t="s">
        <v>101</v>
      </c>
      <c r="D981" s="1" t="s">
        <v>101</v>
      </c>
      <c r="E981" s="81">
        <v>0</v>
      </c>
      <c r="F981" s="81">
        <v>0</v>
      </c>
    </row>
    <row r="982" spans="1:6" x14ac:dyDescent="0.2">
      <c r="A982" s="1" t="s">
        <v>179</v>
      </c>
      <c r="B982" s="1" t="s">
        <v>1670</v>
      </c>
      <c r="C982" s="1" t="s">
        <v>101</v>
      </c>
      <c r="D982" s="1" t="s">
        <v>101</v>
      </c>
      <c r="E982" s="81">
        <v>0</v>
      </c>
      <c r="F982" s="81">
        <v>0</v>
      </c>
    </row>
    <row r="983" spans="1:6" x14ac:dyDescent="0.2">
      <c r="A983" s="1" t="s">
        <v>179</v>
      </c>
      <c r="B983" s="1" t="s">
        <v>1671</v>
      </c>
      <c r="C983" s="1" t="s">
        <v>101</v>
      </c>
      <c r="D983" s="1" t="s">
        <v>101</v>
      </c>
      <c r="E983" s="81">
        <v>0</v>
      </c>
      <c r="F983" s="81">
        <v>0</v>
      </c>
    </row>
    <row r="984" spans="1:6" x14ac:dyDescent="0.2">
      <c r="A984" s="1" t="s">
        <v>179</v>
      </c>
      <c r="B984" s="1" t="s">
        <v>1672</v>
      </c>
      <c r="C984" s="1" t="s">
        <v>101</v>
      </c>
      <c r="D984" s="1" t="s">
        <v>101</v>
      </c>
      <c r="E984" s="81">
        <v>0</v>
      </c>
      <c r="F984" s="81">
        <v>0</v>
      </c>
    </row>
    <row r="985" spans="1:6" x14ac:dyDescent="0.2">
      <c r="A985" s="1" t="s">
        <v>179</v>
      </c>
      <c r="B985" s="1" t="s">
        <v>1673</v>
      </c>
      <c r="C985" s="1" t="s">
        <v>101</v>
      </c>
      <c r="D985" s="1" t="s">
        <v>101</v>
      </c>
      <c r="E985" s="81">
        <v>0</v>
      </c>
      <c r="F985" s="81">
        <v>0</v>
      </c>
    </row>
    <row r="986" spans="1:6" x14ac:dyDescent="0.2">
      <c r="A986" s="1" t="s">
        <v>179</v>
      </c>
      <c r="B986" s="1" t="s">
        <v>1674</v>
      </c>
      <c r="C986" s="1" t="s">
        <v>101</v>
      </c>
      <c r="D986" s="1" t="s">
        <v>101</v>
      </c>
      <c r="E986" s="81">
        <v>0</v>
      </c>
      <c r="F986" s="81">
        <v>0</v>
      </c>
    </row>
    <row r="987" spans="1:6" x14ac:dyDescent="0.2">
      <c r="A987" s="1" t="s">
        <v>179</v>
      </c>
      <c r="B987" s="1" t="s">
        <v>1675</v>
      </c>
      <c r="C987" s="1" t="s">
        <v>101</v>
      </c>
      <c r="D987" s="1" t="s">
        <v>101</v>
      </c>
      <c r="E987" s="81">
        <v>0</v>
      </c>
      <c r="F987" s="81">
        <v>0</v>
      </c>
    </row>
    <row r="988" spans="1:6" x14ac:dyDescent="0.2">
      <c r="A988" s="1" t="s">
        <v>179</v>
      </c>
      <c r="B988" s="1" t="s">
        <v>1676</v>
      </c>
      <c r="C988" s="1" t="s">
        <v>101</v>
      </c>
      <c r="D988" s="1" t="s">
        <v>101</v>
      </c>
      <c r="E988" s="81">
        <v>0</v>
      </c>
      <c r="F988" s="81">
        <v>0</v>
      </c>
    </row>
    <row r="989" spans="1:6" x14ac:dyDescent="0.2">
      <c r="A989" s="1" t="s">
        <v>179</v>
      </c>
      <c r="B989" s="1" t="s">
        <v>1677</v>
      </c>
      <c r="C989" s="1" t="s">
        <v>101</v>
      </c>
      <c r="D989" s="1" t="s">
        <v>101</v>
      </c>
      <c r="E989" s="81">
        <v>0</v>
      </c>
      <c r="F989" s="81">
        <v>0</v>
      </c>
    </row>
    <row r="990" spans="1:6" x14ac:dyDescent="0.2">
      <c r="A990" s="1" t="s">
        <v>179</v>
      </c>
      <c r="B990" s="1" t="s">
        <v>1678</v>
      </c>
      <c r="C990" s="1" t="s">
        <v>3949</v>
      </c>
      <c r="D990" s="1" t="s">
        <v>3949</v>
      </c>
      <c r="E990" s="81">
        <v>3217.02</v>
      </c>
      <c r="F990" s="81">
        <v>3217.02</v>
      </c>
    </row>
    <row r="991" spans="1:6" x14ac:dyDescent="0.2">
      <c r="A991" s="1" t="s">
        <v>179</v>
      </c>
      <c r="B991" s="1" t="s">
        <v>1679</v>
      </c>
      <c r="C991" s="1" t="s">
        <v>3950</v>
      </c>
      <c r="D991" s="1" t="s">
        <v>3950</v>
      </c>
      <c r="E991" s="81">
        <v>3585.64</v>
      </c>
      <c r="F991" s="81">
        <v>3585.64</v>
      </c>
    </row>
    <row r="992" spans="1:6" x14ac:dyDescent="0.2">
      <c r="A992" s="1" t="s">
        <v>179</v>
      </c>
      <c r="B992" s="1" t="s">
        <v>1680</v>
      </c>
      <c r="C992" s="1" t="s">
        <v>3951</v>
      </c>
      <c r="D992" s="1" t="s">
        <v>3951</v>
      </c>
      <c r="E992" s="81">
        <v>1044.8900000000001</v>
      </c>
      <c r="F992" s="81">
        <v>1044.8900000000001</v>
      </c>
    </row>
    <row r="993" spans="1:6" x14ac:dyDescent="0.2">
      <c r="A993" s="1" t="s">
        <v>179</v>
      </c>
      <c r="B993" s="1" t="s">
        <v>1681</v>
      </c>
      <c r="C993" s="1" t="s">
        <v>101</v>
      </c>
      <c r="D993" s="1" t="s">
        <v>101</v>
      </c>
      <c r="E993" s="81">
        <v>0</v>
      </c>
      <c r="F993" s="81">
        <v>0</v>
      </c>
    </row>
    <row r="994" spans="1:6" x14ac:dyDescent="0.2">
      <c r="A994" s="1" t="s">
        <v>179</v>
      </c>
      <c r="B994" s="1" t="s">
        <v>1682</v>
      </c>
      <c r="C994" s="1" t="s">
        <v>101</v>
      </c>
      <c r="D994" s="1" t="s">
        <v>101</v>
      </c>
      <c r="E994" s="81">
        <v>0</v>
      </c>
      <c r="F994" s="81">
        <v>0</v>
      </c>
    </row>
    <row r="995" spans="1:6" x14ac:dyDescent="0.2">
      <c r="A995" s="1" t="s">
        <v>179</v>
      </c>
      <c r="B995" s="1" t="s">
        <v>1683</v>
      </c>
      <c r="C995" s="1" t="s">
        <v>101</v>
      </c>
      <c r="D995" s="1" t="s">
        <v>101</v>
      </c>
      <c r="E995" s="81">
        <v>0</v>
      </c>
      <c r="F995" s="81">
        <v>0</v>
      </c>
    </row>
    <row r="996" spans="1:6" x14ac:dyDescent="0.2">
      <c r="A996" s="1" t="s">
        <v>179</v>
      </c>
      <c r="B996" s="1" t="s">
        <v>1684</v>
      </c>
      <c r="C996" s="1" t="s">
        <v>101</v>
      </c>
      <c r="D996" s="1" t="s">
        <v>101</v>
      </c>
      <c r="E996" s="81">
        <v>0</v>
      </c>
      <c r="F996" s="81">
        <v>0</v>
      </c>
    </row>
    <row r="997" spans="1:6" x14ac:dyDescent="0.2">
      <c r="A997" s="1" t="s">
        <v>179</v>
      </c>
      <c r="B997" s="1" t="s">
        <v>1685</v>
      </c>
      <c r="C997" s="1" t="s">
        <v>101</v>
      </c>
      <c r="D997" s="1" t="s">
        <v>101</v>
      </c>
      <c r="E997" s="81">
        <v>0</v>
      </c>
      <c r="F997" s="81">
        <v>0</v>
      </c>
    </row>
    <row r="998" spans="1:6" x14ac:dyDescent="0.2">
      <c r="A998" s="1" t="s">
        <v>179</v>
      </c>
      <c r="B998" s="1" t="s">
        <v>1686</v>
      </c>
      <c r="C998" s="1" t="s">
        <v>101</v>
      </c>
      <c r="D998" s="1" t="s">
        <v>101</v>
      </c>
      <c r="E998" s="81">
        <v>0</v>
      </c>
      <c r="F998" s="81">
        <v>0</v>
      </c>
    </row>
    <row r="999" spans="1:6" x14ac:dyDescent="0.2">
      <c r="A999" s="1" t="s">
        <v>179</v>
      </c>
      <c r="B999" s="1" t="s">
        <v>1687</v>
      </c>
      <c r="C999" s="1" t="s">
        <v>101</v>
      </c>
      <c r="D999" s="1" t="s">
        <v>101</v>
      </c>
      <c r="E999" s="81">
        <v>0</v>
      </c>
      <c r="F999" s="81">
        <v>0</v>
      </c>
    </row>
    <row r="1000" spans="1:6" x14ac:dyDescent="0.2">
      <c r="A1000" s="1" t="s">
        <v>179</v>
      </c>
      <c r="B1000" s="1" t="s">
        <v>1688</v>
      </c>
      <c r="C1000" s="1" t="s">
        <v>101</v>
      </c>
      <c r="D1000" s="1" t="s">
        <v>101</v>
      </c>
      <c r="E1000" s="81">
        <v>0</v>
      </c>
      <c r="F1000" s="81">
        <v>0</v>
      </c>
    </row>
    <row r="1001" spans="1:6" x14ac:dyDescent="0.2">
      <c r="A1001" s="1" t="s">
        <v>179</v>
      </c>
      <c r="B1001" s="1" t="s">
        <v>1689</v>
      </c>
      <c r="C1001" s="1" t="s">
        <v>101</v>
      </c>
      <c r="D1001" s="1" t="s">
        <v>101</v>
      </c>
      <c r="E1001" s="81">
        <v>0</v>
      </c>
      <c r="F1001" s="81">
        <v>0</v>
      </c>
    </row>
    <row r="1002" spans="1:6" x14ac:dyDescent="0.2">
      <c r="A1002" s="1" t="s">
        <v>179</v>
      </c>
      <c r="B1002" s="1" t="s">
        <v>1690</v>
      </c>
      <c r="C1002" s="1" t="s">
        <v>101</v>
      </c>
      <c r="D1002" s="1" t="s">
        <v>101</v>
      </c>
      <c r="E1002" s="81">
        <v>0</v>
      </c>
      <c r="F1002" s="81">
        <v>0</v>
      </c>
    </row>
    <row r="1003" spans="1:6" x14ac:dyDescent="0.2">
      <c r="A1003" s="1" t="s">
        <v>179</v>
      </c>
      <c r="B1003" s="1" t="s">
        <v>1691</v>
      </c>
      <c r="C1003" s="1" t="s">
        <v>101</v>
      </c>
      <c r="D1003" s="1" t="s">
        <v>101</v>
      </c>
      <c r="E1003" s="81">
        <v>0</v>
      </c>
      <c r="F1003" s="81">
        <v>0</v>
      </c>
    </row>
    <row r="1004" spans="1:6" x14ac:dyDescent="0.2">
      <c r="A1004" s="1" t="s">
        <v>179</v>
      </c>
      <c r="B1004" s="1" t="s">
        <v>1692</v>
      </c>
      <c r="C1004" s="1" t="s">
        <v>101</v>
      </c>
      <c r="D1004" s="1" t="s">
        <v>101</v>
      </c>
      <c r="E1004" s="81">
        <v>0</v>
      </c>
      <c r="F1004" s="81">
        <v>0</v>
      </c>
    </row>
    <row r="1005" spans="1:6" x14ac:dyDescent="0.2">
      <c r="A1005" s="1" t="s">
        <v>179</v>
      </c>
      <c r="B1005" s="1" t="s">
        <v>1693</v>
      </c>
      <c r="C1005" s="1" t="s">
        <v>101</v>
      </c>
      <c r="D1005" s="1" t="s">
        <v>101</v>
      </c>
      <c r="E1005" s="81">
        <v>0</v>
      </c>
      <c r="F1005" s="81">
        <v>0</v>
      </c>
    </row>
    <row r="1006" spans="1:6" x14ac:dyDescent="0.2">
      <c r="A1006" s="1" t="s">
        <v>179</v>
      </c>
      <c r="B1006" s="1" t="s">
        <v>1694</v>
      </c>
      <c r="C1006" s="1" t="s">
        <v>101</v>
      </c>
      <c r="D1006" s="1" t="s">
        <v>101</v>
      </c>
      <c r="E1006" s="81">
        <v>0</v>
      </c>
      <c r="F1006" s="81">
        <v>0</v>
      </c>
    </row>
    <row r="1007" spans="1:6" x14ac:dyDescent="0.2">
      <c r="A1007" s="1" t="s">
        <v>179</v>
      </c>
      <c r="B1007" s="1" t="s">
        <v>1695</v>
      </c>
      <c r="C1007" s="1" t="s">
        <v>101</v>
      </c>
      <c r="D1007" s="1" t="s">
        <v>101</v>
      </c>
      <c r="E1007" s="81">
        <v>0</v>
      </c>
      <c r="F1007" s="81">
        <v>0</v>
      </c>
    </row>
    <row r="1008" spans="1:6" x14ac:dyDescent="0.2">
      <c r="A1008" s="1" t="s">
        <v>179</v>
      </c>
      <c r="B1008" s="1" t="s">
        <v>1696</v>
      </c>
      <c r="C1008" s="1" t="s">
        <v>101</v>
      </c>
      <c r="D1008" s="1" t="s">
        <v>101</v>
      </c>
      <c r="E1008" s="81">
        <v>0</v>
      </c>
      <c r="F1008" s="81">
        <v>0</v>
      </c>
    </row>
    <row r="1009" spans="1:6" x14ac:dyDescent="0.2">
      <c r="A1009" s="1" t="s">
        <v>179</v>
      </c>
      <c r="B1009" s="1" t="s">
        <v>1697</v>
      </c>
      <c r="C1009" s="1" t="s">
        <v>101</v>
      </c>
      <c r="D1009" s="1" t="s">
        <v>101</v>
      </c>
      <c r="E1009" s="81">
        <v>0</v>
      </c>
      <c r="F1009" s="81">
        <v>0</v>
      </c>
    </row>
    <row r="1010" spans="1:6" x14ac:dyDescent="0.2">
      <c r="A1010" s="1" t="s">
        <v>179</v>
      </c>
      <c r="B1010" s="1" t="s">
        <v>1698</v>
      </c>
      <c r="C1010" s="1" t="s">
        <v>101</v>
      </c>
      <c r="D1010" s="1" t="s">
        <v>101</v>
      </c>
      <c r="E1010" s="81">
        <v>0</v>
      </c>
      <c r="F1010" s="81">
        <v>0</v>
      </c>
    </row>
    <row r="1011" spans="1:6" x14ac:dyDescent="0.2">
      <c r="A1011" s="1" t="s">
        <v>179</v>
      </c>
      <c r="B1011" s="1" t="s">
        <v>1699</v>
      </c>
      <c r="C1011" s="1" t="s">
        <v>101</v>
      </c>
      <c r="D1011" s="1" t="s">
        <v>101</v>
      </c>
      <c r="E1011" s="81">
        <v>0</v>
      </c>
      <c r="F1011" s="81">
        <v>0</v>
      </c>
    </row>
    <row r="1012" spans="1:6" x14ac:dyDescent="0.2">
      <c r="A1012" s="1" t="s">
        <v>179</v>
      </c>
      <c r="B1012" s="1" t="s">
        <v>1700</v>
      </c>
      <c r="C1012" s="1" t="s">
        <v>101</v>
      </c>
      <c r="D1012" s="1" t="s">
        <v>101</v>
      </c>
      <c r="E1012" s="81">
        <v>0</v>
      </c>
      <c r="F1012" s="81">
        <v>0</v>
      </c>
    </row>
    <row r="1013" spans="1:6" x14ac:dyDescent="0.2">
      <c r="A1013" s="1" t="s">
        <v>179</v>
      </c>
      <c r="B1013" s="1" t="s">
        <v>1701</v>
      </c>
      <c r="C1013" s="1" t="s">
        <v>101</v>
      </c>
      <c r="D1013" s="1" t="s">
        <v>101</v>
      </c>
      <c r="E1013" s="81">
        <v>0</v>
      </c>
      <c r="F1013" s="81">
        <v>0</v>
      </c>
    </row>
    <row r="1014" spans="1:6" x14ac:dyDescent="0.2">
      <c r="A1014" s="1" t="s">
        <v>179</v>
      </c>
      <c r="B1014" s="1" t="s">
        <v>1702</v>
      </c>
      <c r="C1014" s="1" t="s">
        <v>3942</v>
      </c>
      <c r="D1014" s="1" t="s">
        <v>3942</v>
      </c>
      <c r="E1014" s="81">
        <v>61061.5</v>
      </c>
      <c r="F1014" s="81">
        <v>61061.5</v>
      </c>
    </row>
    <row r="1015" spans="1:6" x14ac:dyDescent="0.2">
      <c r="A1015" s="1" t="s">
        <v>179</v>
      </c>
      <c r="B1015" s="1" t="s">
        <v>1703</v>
      </c>
      <c r="C1015" s="1" t="s">
        <v>3943</v>
      </c>
      <c r="D1015" s="1" t="s">
        <v>3943</v>
      </c>
      <c r="E1015" s="81">
        <v>49989.7</v>
      </c>
      <c r="F1015" s="81">
        <v>49989.7</v>
      </c>
    </row>
    <row r="1016" spans="1:6" x14ac:dyDescent="0.2">
      <c r="A1016" s="1" t="s">
        <v>179</v>
      </c>
      <c r="B1016" s="1" t="s">
        <v>1704</v>
      </c>
      <c r="C1016" s="1" t="s">
        <v>3944</v>
      </c>
      <c r="D1016" s="1" t="s">
        <v>3944</v>
      </c>
      <c r="E1016" s="81">
        <v>43439.26</v>
      </c>
      <c r="F1016" s="81">
        <v>43439.26</v>
      </c>
    </row>
    <row r="1017" spans="1:6" x14ac:dyDescent="0.2">
      <c r="A1017" s="1" t="s">
        <v>179</v>
      </c>
      <c r="B1017" s="1" t="s">
        <v>1705</v>
      </c>
      <c r="C1017" s="1" t="s">
        <v>101</v>
      </c>
      <c r="D1017" s="1" t="s">
        <v>101</v>
      </c>
      <c r="E1017" s="81">
        <v>0</v>
      </c>
      <c r="F1017" s="81">
        <v>0</v>
      </c>
    </row>
    <row r="1018" spans="1:6" x14ac:dyDescent="0.2">
      <c r="A1018" s="1" t="s">
        <v>179</v>
      </c>
      <c r="B1018" s="1" t="s">
        <v>1706</v>
      </c>
      <c r="C1018" s="1" t="s">
        <v>101</v>
      </c>
      <c r="D1018" s="1" t="s">
        <v>101</v>
      </c>
      <c r="E1018" s="81">
        <v>0</v>
      </c>
      <c r="F1018" s="81">
        <v>0</v>
      </c>
    </row>
    <row r="1019" spans="1:6" x14ac:dyDescent="0.2">
      <c r="A1019" s="1" t="s">
        <v>179</v>
      </c>
      <c r="B1019" s="1" t="s">
        <v>1707</v>
      </c>
      <c r="C1019" s="1" t="s">
        <v>101</v>
      </c>
      <c r="D1019" s="1" t="s">
        <v>101</v>
      </c>
      <c r="E1019" s="81">
        <v>0</v>
      </c>
      <c r="F1019" s="81">
        <v>0</v>
      </c>
    </row>
    <row r="1020" spans="1:6" x14ac:dyDescent="0.2">
      <c r="A1020" s="1" t="s">
        <v>179</v>
      </c>
      <c r="B1020" s="1" t="s">
        <v>1708</v>
      </c>
      <c r="C1020" s="1" t="s">
        <v>101</v>
      </c>
      <c r="D1020" s="1" t="s">
        <v>101</v>
      </c>
      <c r="E1020" s="81">
        <v>0</v>
      </c>
      <c r="F1020" s="81">
        <v>0</v>
      </c>
    </row>
    <row r="1021" spans="1:6" x14ac:dyDescent="0.2">
      <c r="A1021" s="1" t="s">
        <v>179</v>
      </c>
      <c r="B1021" s="1" t="s">
        <v>1709</v>
      </c>
      <c r="C1021" s="1" t="s">
        <v>101</v>
      </c>
      <c r="D1021" s="1" t="s">
        <v>101</v>
      </c>
      <c r="E1021" s="81">
        <v>0</v>
      </c>
      <c r="F1021" s="81">
        <v>0</v>
      </c>
    </row>
    <row r="1022" spans="1:6" x14ac:dyDescent="0.2">
      <c r="A1022" s="1" t="s">
        <v>179</v>
      </c>
      <c r="B1022" s="1" t="s">
        <v>1710</v>
      </c>
      <c r="C1022" s="1" t="s">
        <v>101</v>
      </c>
      <c r="D1022" s="1" t="s">
        <v>101</v>
      </c>
      <c r="E1022" s="81">
        <v>0</v>
      </c>
      <c r="F1022" s="81">
        <v>0</v>
      </c>
    </row>
    <row r="1023" spans="1:6" x14ac:dyDescent="0.2">
      <c r="A1023" s="1" t="s">
        <v>179</v>
      </c>
      <c r="B1023" s="1" t="s">
        <v>1711</v>
      </c>
      <c r="C1023" s="1" t="s">
        <v>101</v>
      </c>
      <c r="D1023" s="1" t="s">
        <v>101</v>
      </c>
      <c r="E1023" s="81">
        <v>0</v>
      </c>
      <c r="F1023" s="81">
        <v>0</v>
      </c>
    </row>
    <row r="1024" spans="1:6" x14ac:dyDescent="0.2">
      <c r="A1024" s="1" t="s">
        <v>179</v>
      </c>
      <c r="B1024" s="1" t="s">
        <v>1712</v>
      </c>
      <c r="C1024" s="1" t="s">
        <v>101</v>
      </c>
      <c r="D1024" s="1" t="s">
        <v>101</v>
      </c>
      <c r="E1024" s="81">
        <v>0</v>
      </c>
      <c r="F1024" s="81">
        <v>0</v>
      </c>
    </row>
    <row r="1025" spans="1:6" x14ac:dyDescent="0.2">
      <c r="A1025" s="1" t="s">
        <v>179</v>
      </c>
      <c r="B1025" s="1" t="s">
        <v>1713</v>
      </c>
      <c r="C1025" s="1" t="s">
        <v>101</v>
      </c>
      <c r="D1025" s="1" t="s">
        <v>101</v>
      </c>
      <c r="E1025" s="81">
        <v>0</v>
      </c>
      <c r="F1025" s="81">
        <v>0</v>
      </c>
    </row>
    <row r="1026" spans="1:6" x14ac:dyDescent="0.2">
      <c r="A1026" s="1" t="s">
        <v>179</v>
      </c>
      <c r="B1026" s="1" t="s">
        <v>1714</v>
      </c>
      <c r="C1026" s="1" t="s">
        <v>3945</v>
      </c>
      <c r="D1026" s="1" t="s">
        <v>3945</v>
      </c>
      <c r="E1026" s="81">
        <v>154490.46</v>
      </c>
      <c r="F1026" s="81">
        <v>154490.46</v>
      </c>
    </row>
    <row r="1027" spans="1:6" x14ac:dyDescent="0.2">
      <c r="A1027" s="1" t="s">
        <v>179</v>
      </c>
      <c r="B1027" s="1" t="s">
        <v>1715</v>
      </c>
      <c r="C1027" s="1" t="s">
        <v>3952</v>
      </c>
      <c r="D1027" s="1" t="s">
        <v>3952</v>
      </c>
      <c r="E1027" s="81">
        <v>182988.66</v>
      </c>
      <c r="F1027" s="81">
        <v>182988.66</v>
      </c>
    </row>
    <row r="1028" spans="1:6" x14ac:dyDescent="0.2">
      <c r="A1028" s="1" t="s">
        <v>179</v>
      </c>
      <c r="B1028" s="1" t="s">
        <v>1716</v>
      </c>
      <c r="C1028" s="1" t="s">
        <v>3953</v>
      </c>
      <c r="D1028" s="1" t="s">
        <v>3953</v>
      </c>
      <c r="E1028" s="81">
        <v>169990.86</v>
      </c>
      <c r="F1028" s="81">
        <v>169990.86</v>
      </c>
    </row>
    <row r="1029" spans="1:6" x14ac:dyDescent="0.2">
      <c r="A1029" s="1" t="s">
        <v>179</v>
      </c>
      <c r="B1029" s="1" t="s">
        <v>1717</v>
      </c>
      <c r="C1029" s="1" t="s">
        <v>3954</v>
      </c>
      <c r="D1029" s="1" t="s">
        <v>3954</v>
      </c>
      <c r="E1029" s="81">
        <v>194894.38</v>
      </c>
      <c r="F1029" s="81">
        <v>194894.38</v>
      </c>
    </row>
    <row r="1030" spans="1:6" x14ac:dyDescent="0.2">
      <c r="A1030" s="1" t="s">
        <v>179</v>
      </c>
      <c r="B1030" s="1" t="s">
        <v>1718</v>
      </c>
      <c r="C1030" s="1" t="s">
        <v>101</v>
      </c>
      <c r="D1030" s="1" t="s">
        <v>101</v>
      </c>
      <c r="E1030" s="81">
        <v>0</v>
      </c>
      <c r="F1030" s="81">
        <v>0</v>
      </c>
    </row>
    <row r="1031" spans="1:6" x14ac:dyDescent="0.2">
      <c r="A1031" s="1" t="s">
        <v>179</v>
      </c>
      <c r="B1031" s="1" t="s">
        <v>1719</v>
      </c>
      <c r="C1031" s="1" t="s">
        <v>101</v>
      </c>
      <c r="D1031" s="1" t="s">
        <v>101</v>
      </c>
      <c r="E1031" s="81">
        <v>0</v>
      </c>
      <c r="F1031" s="81">
        <v>0</v>
      </c>
    </row>
    <row r="1032" spans="1:6" x14ac:dyDescent="0.2">
      <c r="A1032" s="1" t="s">
        <v>179</v>
      </c>
      <c r="B1032" s="1" t="s">
        <v>1720</v>
      </c>
      <c r="C1032" s="1" t="s">
        <v>101</v>
      </c>
      <c r="D1032" s="1" t="s">
        <v>101</v>
      </c>
      <c r="E1032" s="81">
        <v>0</v>
      </c>
      <c r="F1032" s="81">
        <v>0</v>
      </c>
    </row>
    <row r="1033" spans="1:6" x14ac:dyDescent="0.2">
      <c r="A1033" s="1" t="s">
        <v>179</v>
      </c>
      <c r="B1033" s="1" t="s">
        <v>1721</v>
      </c>
      <c r="C1033" s="1" t="s">
        <v>101</v>
      </c>
      <c r="D1033" s="1" t="s">
        <v>101</v>
      </c>
      <c r="E1033" s="81">
        <v>0</v>
      </c>
      <c r="F1033" s="81">
        <v>0</v>
      </c>
    </row>
    <row r="1034" spans="1:6" x14ac:dyDescent="0.2">
      <c r="A1034" s="1" t="s">
        <v>179</v>
      </c>
      <c r="B1034" s="1" t="s">
        <v>1722</v>
      </c>
      <c r="C1034" s="1" t="s">
        <v>101</v>
      </c>
      <c r="D1034" s="1" t="s">
        <v>101</v>
      </c>
      <c r="E1034" s="81">
        <v>0</v>
      </c>
      <c r="F1034" s="81">
        <v>0</v>
      </c>
    </row>
    <row r="1035" spans="1:6" x14ac:dyDescent="0.2">
      <c r="A1035" s="1" t="s">
        <v>179</v>
      </c>
      <c r="B1035" s="1" t="s">
        <v>1723</v>
      </c>
      <c r="C1035" s="1" t="s">
        <v>101</v>
      </c>
      <c r="D1035" s="1" t="s">
        <v>101</v>
      </c>
      <c r="E1035" s="81">
        <v>0</v>
      </c>
      <c r="F1035" s="81">
        <v>0</v>
      </c>
    </row>
    <row r="1036" spans="1:6" x14ac:dyDescent="0.2">
      <c r="A1036" s="1" t="s">
        <v>179</v>
      </c>
      <c r="B1036" s="1" t="s">
        <v>1724</v>
      </c>
      <c r="C1036" s="1" t="s">
        <v>101</v>
      </c>
      <c r="D1036" s="1" t="s">
        <v>101</v>
      </c>
      <c r="E1036" s="81">
        <v>0</v>
      </c>
      <c r="F1036" s="81">
        <v>0</v>
      </c>
    </row>
    <row r="1037" spans="1:6" x14ac:dyDescent="0.2">
      <c r="A1037" s="1" t="s">
        <v>179</v>
      </c>
      <c r="B1037" s="1" t="s">
        <v>1725</v>
      </c>
      <c r="C1037" s="1" t="s">
        <v>101</v>
      </c>
      <c r="D1037" s="1" t="s">
        <v>101</v>
      </c>
      <c r="E1037" s="81">
        <v>0</v>
      </c>
      <c r="F1037" s="81">
        <v>0</v>
      </c>
    </row>
    <row r="1038" spans="1:6" x14ac:dyDescent="0.2">
      <c r="A1038" s="1" t="s">
        <v>179</v>
      </c>
      <c r="B1038" s="1" t="s">
        <v>1726</v>
      </c>
      <c r="C1038" s="1" t="s">
        <v>101</v>
      </c>
      <c r="D1038" s="1" t="s">
        <v>101</v>
      </c>
      <c r="E1038" s="81">
        <v>0</v>
      </c>
      <c r="F1038" s="81">
        <v>0</v>
      </c>
    </row>
    <row r="1039" spans="1:6" x14ac:dyDescent="0.2">
      <c r="A1039" s="1" t="s">
        <v>179</v>
      </c>
      <c r="B1039" s="1" t="s">
        <v>1727</v>
      </c>
      <c r="C1039" s="1" t="s">
        <v>3955</v>
      </c>
      <c r="D1039" s="1" t="s">
        <v>3955</v>
      </c>
      <c r="E1039" s="81">
        <v>547873.91</v>
      </c>
      <c r="F1039" s="81">
        <v>547873.91</v>
      </c>
    </row>
    <row r="1040" spans="1:6" x14ac:dyDescent="0.2">
      <c r="A1040" s="1" t="s">
        <v>179</v>
      </c>
      <c r="B1040" s="1" t="s">
        <v>1728</v>
      </c>
      <c r="C1040" s="1" t="s">
        <v>3956</v>
      </c>
      <c r="D1040" s="1" t="s">
        <v>3956</v>
      </c>
      <c r="E1040" s="81">
        <v>183036.34</v>
      </c>
      <c r="F1040" s="81">
        <v>183036.34</v>
      </c>
    </row>
    <row r="1041" spans="1:6" x14ac:dyDescent="0.2">
      <c r="A1041" s="1" t="s">
        <v>179</v>
      </c>
      <c r="B1041" s="1" t="s">
        <v>1729</v>
      </c>
      <c r="C1041" s="1" t="s">
        <v>3957</v>
      </c>
      <c r="D1041" s="1" t="s">
        <v>3957</v>
      </c>
      <c r="E1041" s="81">
        <v>168195.07</v>
      </c>
      <c r="F1041" s="81">
        <v>168195.07</v>
      </c>
    </row>
    <row r="1042" spans="1:6" x14ac:dyDescent="0.2">
      <c r="A1042" s="1" t="s">
        <v>179</v>
      </c>
      <c r="B1042" s="1" t="s">
        <v>1730</v>
      </c>
      <c r="C1042" s="1" t="s">
        <v>3958</v>
      </c>
      <c r="D1042" s="1" t="s">
        <v>3958</v>
      </c>
      <c r="E1042" s="81">
        <v>194530.62</v>
      </c>
      <c r="F1042" s="81">
        <v>194530.62</v>
      </c>
    </row>
    <row r="1043" spans="1:6" x14ac:dyDescent="0.2">
      <c r="A1043" s="1" t="s">
        <v>179</v>
      </c>
      <c r="B1043" s="1" t="s">
        <v>1731</v>
      </c>
      <c r="C1043" s="1" t="s">
        <v>101</v>
      </c>
      <c r="D1043" s="1" t="s">
        <v>101</v>
      </c>
      <c r="E1043" s="81">
        <v>0</v>
      </c>
      <c r="F1043" s="81">
        <v>0</v>
      </c>
    </row>
    <row r="1044" spans="1:6" x14ac:dyDescent="0.2">
      <c r="A1044" s="1" t="s">
        <v>179</v>
      </c>
      <c r="B1044" s="1" t="s">
        <v>1732</v>
      </c>
      <c r="C1044" s="1" t="s">
        <v>101</v>
      </c>
      <c r="D1044" s="1" t="s">
        <v>101</v>
      </c>
      <c r="E1044" s="81">
        <v>0</v>
      </c>
      <c r="F1044" s="81">
        <v>0</v>
      </c>
    </row>
    <row r="1045" spans="1:6" x14ac:dyDescent="0.2">
      <c r="A1045" s="1" t="s">
        <v>179</v>
      </c>
      <c r="B1045" s="1" t="s">
        <v>1733</v>
      </c>
      <c r="C1045" s="1" t="s">
        <v>101</v>
      </c>
      <c r="D1045" s="1" t="s">
        <v>101</v>
      </c>
      <c r="E1045" s="81">
        <v>0</v>
      </c>
      <c r="F1045" s="81">
        <v>0</v>
      </c>
    </row>
    <row r="1046" spans="1:6" x14ac:dyDescent="0.2">
      <c r="A1046" s="1" t="s">
        <v>179</v>
      </c>
      <c r="B1046" s="1" t="s">
        <v>1734</v>
      </c>
      <c r="C1046" s="1" t="s">
        <v>101</v>
      </c>
      <c r="D1046" s="1" t="s">
        <v>101</v>
      </c>
      <c r="E1046" s="81">
        <v>0</v>
      </c>
      <c r="F1046" s="81">
        <v>0</v>
      </c>
    </row>
    <row r="1047" spans="1:6" x14ac:dyDescent="0.2">
      <c r="A1047" s="1" t="s">
        <v>179</v>
      </c>
      <c r="B1047" s="1" t="s">
        <v>1735</v>
      </c>
      <c r="C1047" s="1" t="s">
        <v>101</v>
      </c>
      <c r="D1047" s="1" t="s">
        <v>101</v>
      </c>
      <c r="E1047" s="81">
        <v>0</v>
      </c>
      <c r="F1047" s="81">
        <v>0</v>
      </c>
    </row>
    <row r="1048" spans="1:6" x14ac:dyDescent="0.2">
      <c r="A1048" s="1" t="s">
        <v>179</v>
      </c>
      <c r="B1048" s="1" t="s">
        <v>1736</v>
      </c>
      <c r="C1048" s="1" t="s">
        <v>101</v>
      </c>
      <c r="D1048" s="1" t="s">
        <v>101</v>
      </c>
      <c r="E1048" s="81">
        <v>0</v>
      </c>
      <c r="F1048" s="81">
        <v>0</v>
      </c>
    </row>
    <row r="1049" spans="1:6" x14ac:dyDescent="0.2">
      <c r="A1049" s="1" t="s">
        <v>179</v>
      </c>
      <c r="B1049" s="1" t="s">
        <v>1737</v>
      </c>
      <c r="C1049" s="1" t="s">
        <v>101</v>
      </c>
      <c r="D1049" s="1" t="s">
        <v>101</v>
      </c>
      <c r="E1049" s="81">
        <v>0</v>
      </c>
      <c r="F1049" s="81">
        <v>0</v>
      </c>
    </row>
    <row r="1050" spans="1:6" x14ac:dyDescent="0.2">
      <c r="A1050" s="1" t="s">
        <v>179</v>
      </c>
      <c r="B1050" s="1" t="s">
        <v>1738</v>
      </c>
      <c r="C1050" s="1" t="s">
        <v>101</v>
      </c>
      <c r="D1050" s="1" t="s">
        <v>101</v>
      </c>
      <c r="E1050" s="81">
        <v>0</v>
      </c>
      <c r="F1050" s="81">
        <v>0</v>
      </c>
    </row>
    <row r="1051" spans="1:6" x14ac:dyDescent="0.2">
      <c r="A1051" s="1" t="s">
        <v>179</v>
      </c>
      <c r="B1051" s="1" t="s">
        <v>1739</v>
      </c>
      <c r="C1051" s="1" t="s">
        <v>101</v>
      </c>
      <c r="D1051" s="1" t="s">
        <v>101</v>
      </c>
      <c r="E1051" s="81">
        <v>0</v>
      </c>
      <c r="F1051" s="81">
        <v>0</v>
      </c>
    </row>
    <row r="1052" spans="1:6" x14ac:dyDescent="0.2">
      <c r="A1052" s="1" t="s">
        <v>179</v>
      </c>
      <c r="B1052" s="1" t="s">
        <v>1740</v>
      </c>
      <c r="C1052" s="1" t="s">
        <v>3959</v>
      </c>
      <c r="D1052" s="1" t="s">
        <v>3959</v>
      </c>
      <c r="E1052" s="81">
        <v>232.54</v>
      </c>
      <c r="F1052" s="81">
        <v>232.54</v>
      </c>
    </row>
    <row r="1053" spans="1:6" x14ac:dyDescent="0.2">
      <c r="A1053" s="1" t="s">
        <v>179</v>
      </c>
      <c r="B1053" s="1" t="s">
        <v>1741</v>
      </c>
      <c r="C1053" s="1" t="s">
        <v>3960</v>
      </c>
      <c r="D1053" s="1" t="s">
        <v>3960</v>
      </c>
      <c r="E1053" s="81">
        <v>2088</v>
      </c>
      <c r="F1053" s="81">
        <v>2088</v>
      </c>
    </row>
    <row r="1054" spans="1:6" x14ac:dyDescent="0.2">
      <c r="A1054" s="1" t="s">
        <v>179</v>
      </c>
      <c r="B1054" s="1" t="s">
        <v>1742</v>
      </c>
      <c r="C1054" s="1" t="s">
        <v>3961</v>
      </c>
      <c r="D1054" s="1" t="s">
        <v>3961</v>
      </c>
      <c r="E1054" s="81">
        <v>673.16</v>
      </c>
      <c r="F1054" s="81">
        <v>673.16</v>
      </c>
    </row>
    <row r="1055" spans="1:6" x14ac:dyDescent="0.2">
      <c r="A1055" s="1" t="s">
        <v>179</v>
      </c>
      <c r="B1055" s="1" t="s">
        <v>1743</v>
      </c>
      <c r="C1055" s="1" t="s">
        <v>101</v>
      </c>
      <c r="D1055" s="1" t="s">
        <v>101</v>
      </c>
      <c r="E1055" s="81">
        <v>0</v>
      </c>
      <c r="F1055" s="81">
        <v>0</v>
      </c>
    </row>
    <row r="1056" spans="1:6" x14ac:dyDescent="0.2">
      <c r="A1056" s="1" t="s">
        <v>179</v>
      </c>
      <c r="B1056" s="1" t="s">
        <v>1744</v>
      </c>
      <c r="C1056" s="1" t="s">
        <v>101</v>
      </c>
      <c r="D1056" s="1" t="s">
        <v>101</v>
      </c>
      <c r="E1056" s="81">
        <v>0</v>
      </c>
      <c r="F1056" s="81">
        <v>0</v>
      </c>
    </row>
    <row r="1057" spans="1:6" x14ac:dyDescent="0.2">
      <c r="A1057" s="1" t="s">
        <v>179</v>
      </c>
      <c r="B1057" s="1" t="s">
        <v>1745</v>
      </c>
      <c r="C1057" s="1" t="s">
        <v>101</v>
      </c>
      <c r="D1057" s="1" t="s">
        <v>101</v>
      </c>
      <c r="E1057" s="81">
        <v>0</v>
      </c>
      <c r="F1057" s="81">
        <v>0</v>
      </c>
    </row>
    <row r="1058" spans="1:6" x14ac:dyDescent="0.2">
      <c r="A1058" s="1" t="s">
        <v>179</v>
      </c>
      <c r="B1058" s="1" t="s">
        <v>1746</v>
      </c>
      <c r="C1058" s="1" t="s">
        <v>101</v>
      </c>
      <c r="D1058" s="1" t="s">
        <v>101</v>
      </c>
      <c r="E1058" s="81">
        <v>0</v>
      </c>
      <c r="F1058" s="81">
        <v>0</v>
      </c>
    </row>
    <row r="1059" spans="1:6" x14ac:dyDescent="0.2">
      <c r="A1059" s="1" t="s">
        <v>179</v>
      </c>
      <c r="B1059" s="1" t="s">
        <v>1747</v>
      </c>
      <c r="C1059" s="1" t="s">
        <v>101</v>
      </c>
      <c r="D1059" s="1" t="s">
        <v>101</v>
      </c>
      <c r="E1059" s="81">
        <v>0</v>
      </c>
      <c r="F1059" s="81">
        <v>0</v>
      </c>
    </row>
    <row r="1060" spans="1:6" x14ac:dyDescent="0.2">
      <c r="A1060" s="1" t="s">
        <v>179</v>
      </c>
      <c r="B1060" s="1" t="s">
        <v>1748</v>
      </c>
      <c r="C1060" s="1" t="s">
        <v>101</v>
      </c>
      <c r="D1060" s="1" t="s">
        <v>101</v>
      </c>
      <c r="E1060" s="81">
        <v>0</v>
      </c>
      <c r="F1060" s="81">
        <v>0</v>
      </c>
    </row>
    <row r="1061" spans="1:6" x14ac:dyDescent="0.2">
      <c r="A1061" s="1" t="s">
        <v>179</v>
      </c>
      <c r="B1061" s="1" t="s">
        <v>1749</v>
      </c>
      <c r="C1061" s="1" t="s">
        <v>101</v>
      </c>
      <c r="D1061" s="1" t="s">
        <v>101</v>
      </c>
      <c r="E1061" s="81">
        <v>0</v>
      </c>
      <c r="F1061" s="81">
        <v>0</v>
      </c>
    </row>
    <row r="1062" spans="1:6" x14ac:dyDescent="0.2">
      <c r="A1062" s="1" t="s">
        <v>179</v>
      </c>
      <c r="B1062" s="1" t="s">
        <v>1750</v>
      </c>
      <c r="C1062" s="1" t="s">
        <v>101</v>
      </c>
      <c r="D1062" s="1" t="s">
        <v>101</v>
      </c>
      <c r="E1062" s="81">
        <v>0</v>
      </c>
      <c r="F1062" s="81">
        <v>0</v>
      </c>
    </row>
    <row r="1063" spans="1:6" x14ac:dyDescent="0.2">
      <c r="A1063" s="1" t="s">
        <v>179</v>
      </c>
      <c r="B1063" s="1" t="s">
        <v>1751</v>
      </c>
      <c r="C1063" s="1" t="s">
        <v>101</v>
      </c>
      <c r="D1063" s="1" t="s">
        <v>101</v>
      </c>
      <c r="E1063" s="81">
        <v>0</v>
      </c>
      <c r="F1063" s="81">
        <v>0</v>
      </c>
    </row>
    <row r="1064" spans="1:6" x14ac:dyDescent="0.2">
      <c r="A1064" s="1" t="s">
        <v>179</v>
      </c>
      <c r="B1064" s="1" t="s">
        <v>1752</v>
      </c>
      <c r="C1064" s="1" t="s">
        <v>101</v>
      </c>
      <c r="D1064" s="1" t="s">
        <v>101</v>
      </c>
      <c r="E1064" s="81">
        <v>0</v>
      </c>
      <c r="F1064" s="81">
        <v>0</v>
      </c>
    </row>
    <row r="1065" spans="1:6" x14ac:dyDescent="0.2">
      <c r="A1065" s="1" t="s">
        <v>179</v>
      </c>
      <c r="B1065" s="1" t="s">
        <v>1753</v>
      </c>
      <c r="C1065" s="1" t="s">
        <v>101</v>
      </c>
      <c r="D1065" s="1" t="s">
        <v>101</v>
      </c>
      <c r="E1065" s="81">
        <v>0</v>
      </c>
      <c r="F1065" s="81">
        <v>0</v>
      </c>
    </row>
    <row r="1066" spans="1:6" x14ac:dyDescent="0.2">
      <c r="A1066" s="1" t="s">
        <v>179</v>
      </c>
      <c r="B1066" s="1" t="s">
        <v>1754</v>
      </c>
      <c r="C1066" s="1" t="s">
        <v>101</v>
      </c>
      <c r="D1066" s="1" t="s">
        <v>101</v>
      </c>
      <c r="E1066" s="81">
        <v>0</v>
      </c>
      <c r="F1066" s="81">
        <v>0</v>
      </c>
    </row>
    <row r="1067" spans="1:6" x14ac:dyDescent="0.2">
      <c r="A1067" s="1" t="s">
        <v>179</v>
      </c>
      <c r="B1067" s="1" t="s">
        <v>1755</v>
      </c>
      <c r="C1067" s="1" t="s">
        <v>101</v>
      </c>
      <c r="D1067" s="1" t="s">
        <v>101</v>
      </c>
      <c r="E1067" s="81">
        <v>0</v>
      </c>
      <c r="F1067" s="81">
        <v>0</v>
      </c>
    </row>
    <row r="1068" spans="1:6" x14ac:dyDescent="0.2">
      <c r="A1068" s="1" t="s">
        <v>179</v>
      </c>
      <c r="B1068" s="1" t="s">
        <v>1756</v>
      </c>
      <c r="C1068" s="1" t="s">
        <v>101</v>
      </c>
      <c r="D1068" s="1" t="s">
        <v>101</v>
      </c>
      <c r="E1068" s="81">
        <v>0</v>
      </c>
      <c r="F1068" s="81">
        <v>0</v>
      </c>
    </row>
    <row r="1069" spans="1:6" x14ac:dyDescent="0.2">
      <c r="A1069" s="1" t="s">
        <v>179</v>
      </c>
      <c r="B1069" s="1" t="s">
        <v>1757</v>
      </c>
      <c r="C1069" s="1" t="s">
        <v>101</v>
      </c>
      <c r="D1069" s="1" t="s">
        <v>101</v>
      </c>
      <c r="E1069" s="81">
        <v>0</v>
      </c>
      <c r="F1069" s="81">
        <v>0</v>
      </c>
    </row>
    <row r="1070" spans="1:6" x14ac:dyDescent="0.2">
      <c r="A1070" s="1" t="s">
        <v>179</v>
      </c>
      <c r="B1070" s="1" t="s">
        <v>1758</v>
      </c>
      <c r="C1070" s="1" t="s">
        <v>101</v>
      </c>
      <c r="D1070" s="1" t="s">
        <v>101</v>
      </c>
      <c r="E1070" s="81">
        <v>0</v>
      </c>
      <c r="F1070" s="81">
        <v>0</v>
      </c>
    </row>
    <row r="1071" spans="1:6" x14ac:dyDescent="0.2">
      <c r="A1071" s="1" t="s">
        <v>179</v>
      </c>
      <c r="B1071" s="1" t="s">
        <v>1759</v>
      </c>
      <c r="C1071" s="1" t="s">
        <v>101</v>
      </c>
      <c r="D1071" s="1" t="s">
        <v>101</v>
      </c>
      <c r="E1071" s="81">
        <v>0</v>
      </c>
      <c r="F1071" s="81">
        <v>0</v>
      </c>
    </row>
    <row r="1072" spans="1:6" x14ac:dyDescent="0.2">
      <c r="A1072" s="1" t="s">
        <v>179</v>
      </c>
      <c r="B1072" s="1" t="s">
        <v>1760</v>
      </c>
      <c r="C1072" s="1" t="s">
        <v>101</v>
      </c>
      <c r="D1072" s="1" t="s">
        <v>101</v>
      </c>
      <c r="E1072" s="81">
        <v>0</v>
      </c>
      <c r="F1072" s="81">
        <v>0</v>
      </c>
    </row>
    <row r="1073" spans="1:6" x14ac:dyDescent="0.2">
      <c r="A1073" s="1" t="s">
        <v>179</v>
      </c>
      <c r="B1073" s="1" t="s">
        <v>1761</v>
      </c>
      <c r="C1073" s="1" t="s">
        <v>101</v>
      </c>
      <c r="D1073" s="1" t="s">
        <v>101</v>
      </c>
      <c r="E1073" s="81">
        <v>0</v>
      </c>
      <c r="F1073" s="81">
        <v>0</v>
      </c>
    </row>
    <row r="1074" spans="1:6" x14ac:dyDescent="0.2">
      <c r="A1074" s="1" t="s">
        <v>179</v>
      </c>
      <c r="B1074" s="1" t="s">
        <v>1762</v>
      </c>
      <c r="C1074" s="1" t="s">
        <v>101</v>
      </c>
      <c r="D1074" s="1" t="s">
        <v>101</v>
      </c>
      <c r="E1074" s="81">
        <v>0</v>
      </c>
      <c r="F1074" s="81">
        <v>0</v>
      </c>
    </row>
    <row r="1075" spans="1:6" x14ac:dyDescent="0.2">
      <c r="A1075" s="1" t="s">
        <v>179</v>
      </c>
      <c r="B1075" s="1" t="s">
        <v>1763</v>
      </c>
      <c r="C1075" s="1" t="s">
        <v>101</v>
      </c>
      <c r="D1075" s="1" t="s">
        <v>101</v>
      </c>
      <c r="E1075" s="81">
        <v>0</v>
      </c>
      <c r="F1075" s="81">
        <v>0</v>
      </c>
    </row>
    <row r="1076" spans="1:6" x14ac:dyDescent="0.2">
      <c r="A1076" s="1" t="s">
        <v>179</v>
      </c>
      <c r="B1076" s="1" t="s">
        <v>1764</v>
      </c>
      <c r="C1076" s="1" t="s">
        <v>3952</v>
      </c>
      <c r="D1076" s="1" t="s">
        <v>3952</v>
      </c>
      <c r="E1076" s="81">
        <v>182988.66</v>
      </c>
      <c r="F1076" s="81">
        <v>182988.66</v>
      </c>
    </row>
    <row r="1077" spans="1:6" x14ac:dyDescent="0.2">
      <c r="A1077" s="1" t="s">
        <v>179</v>
      </c>
      <c r="B1077" s="1" t="s">
        <v>1765</v>
      </c>
      <c r="C1077" s="1" t="s">
        <v>3953</v>
      </c>
      <c r="D1077" s="1" t="s">
        <v>3953</v>
      </c>
      <c r="E1077" s="81">
        <v>169990.86</v>
      </c>
      <c r="F1077" s="81">
        <v>169990.86</v>
      </c>
    </row>
    <row r="1078" spans="1:6" x14ac:dyDescent="0.2">
      <c r="A1078" s="1" t="s">
        <v>179</v>
      </c>
      <c r="B1078" s="1" t="s">
        <v>1766</v>
      </c>
      <c r="C1078" s="1" t="s">
        <v>3954</v>
      </c>
      <c r="D1078" s="1" t="s">
        <v>3954</v>
      </c>
      <c r="E1078" s="81">
        <v>194894.38</v>
      </c>
      <c r="F1078" s="81">
        <v>194894.38</v>
      </c>
    </row>
    <row r="1079" spans="1:6" x14ac:dyDescent="0.2">
      <c r="A1079" s="1" t="s">
        <v>179</v>
      </c>
      <c r="B1079" s="1" t="s">
        <v>1767</v>
      </c>
      <c r="C1079" s="1" t="s">
        <v>101</v>
      </c>
      <c r="D1079" s="1" t="s">
        <v>101</v>
      </c>
      <c r="E1079" s="81">
        <v>0</v>
      </c>
      <c r="F1079" s="81">
        <v>0</v>
      </c>
    </row>
    <row r="1080" spans="1:6" x14ac:dyDescent="0.2">
      <c r="A1080" s="1" t="s">
        <v>179</v>
      </c>
      <c r="B1080" s="1" t="s">
        <v>1768</v>
      </c>
      <c r="C1080" s="1" t="s">
        <v>101</v>
      </c>
      <c r="D1080" s="1" t="s">
        <v>101</v>
      </c>
      <c r="E1080" s="81">
        <v>0</v>
      </c>
      <c r="F1080" s="81">
        <v>0</v>
      </c>
    </row>
    <row r="1081" spans="1:6" x14ac:dyDescent="0.2">
      <c r="A1081" s="1" t="s">
        <v>179</v>
      </c>
      <c r="B1081" s="1" t="s">
        <v>1769</v>
      </c>
      <c r="C1081" s="1" t="s">
        <v>101</v>
      </c>
      <c r="D1081" s="1" t="s">
        <v>101</v>
      </c>
      <c r="E1081" s="81">
        <v>0</v>
      </c>
      <c r="F1081" s="81">
        <v>0</v>
      </c>
    </row>
    <row r="1082" spans="1:6" x14ac:dyDescent="0.2">
      <c r="A1082" s="1" t="s">
        <v>179</v>
      </c>
      <c r="B1082" s="1" t="s">
        <v>1770</v>
      </c>
      <c r="C1082" s="1" t="s">
        <v>101</v>
      </c>
      <c r="D1082" s="1" t="s">
        <v>101</v>
      </c>
      <c r="E1082" s="81">
        <v>0</v>
      </c>
      <c r="F1082" s="81">
        <v>0</v>
      </c>
    </row>
    <row r="1083" spans="1:6" x14ac:dyDescent="0.2">
      <c r="A1083" s="1" t="s">
        <v>179</v>
      </c>
      <c r="B1083" s="1" t="s">
        <v>1771</v>
      </c>
      <c r="C1083" s="1" t="s">
        <v>101</v>
      </c>
      <c r="D1083" s="1" t="s">
        <v>101</v>
      </c>
      <c r="E1083" s="81">
        <v>0</v>
      </c>
      <c r="F1083" s="81">
        <v>0</v>
      </c>
    </row>
    <row r="1084" spans="1:6" x14ac:dyDescent="0.2">
      <c r="A1084" s="1" t="s">
        <v>179</v>
      </c>
      <c r="B1084" s="1" t="s">
        <v>1772</v>
      </c>
      <c r="C1084" s="1" t="s">
        <v>101</v>
      </c>
      <c r="D1084" s="1" t="s">
        <v>101</v>
      </c>
      <c r="E1084" s="81">
        <v>0</v>
      </c>
      <c r="F1084" s="81">
        <v>0</v>
      </c>
    </row>
    <row r="1085" spans="1:6" x14ac:dyDescent="0.2">
      <c r="A1085" s="1" t="s">
        <v>179</v>
      </c>
      <c r="B1085" s="1" t="s">
        <v>1773</v>
      </c>
      <c r="C1085" s="1" t="s">
        <v>101</v>
      </c>
      <c r="D1085" s="1" t="s">
        <v>101</v>
      </c>
      <c r="E1085" s="81">
        <v>0</v>
      </c>
      <c r="F1085" s="81">
        <v>0</v>
      </c>
    </row>
    <row r="1086" spans="1:6" x14ac:dyDescent="0.2">
      <c r="A1086" s="1" t="s">
        <v>179</v>
      </c>
      <c r="B1086" s="1" t="s">
        <v>1774</v>
      </c>
      <c r="C1086" s="1" t="s">
        <v>101</v>
      </c>
      <c r="D1086" s="1" t="s">
        <v>101</v>
      </c>
      <c r="E1086" s="81">
        <v>0</v>
      </c>
      <c r="F1086" s="81">
        <v>0</v>
      </c>
    </row>
    <row r="1087" spans="1:6" x14ac:dyDescent="0.2">
      <c r="A1087" s="1" t="s">
        <v>179</v>
      </c>
      <c r="B1087" s="1" t="s">
        <v>1775</v>
      </c>
      <c r="C1087" s="1" t="s">
        <v>101</v>
      </c>
      <c r="D1087" s="1" t="s">
        <v>101</v>
      </c>
      <c r="E1087" s="81">
        <v>0</v>
      </c>
      <c r="F1087" s="81">
        <v>0</v>
      </c>
    </row>
    <row r="1088" spans="1:6" x14ac:dyDescent="0.2">
      <c r="A1088" s="1" t="s">
        <v>179</v>
      </c>
      <c r="B1088" s="1" t="s">
        <v>1776</v>
      </c>
      <c r="C1088" s="1" t="s">
        <v>3955</v>
      </c>
      <c r="D1088" s="1" t="s">
        <v>3955</v>
      </c>
      <c r="E1088" s="81">
        <v>547873.91</v>
      </c>
      <c r="F1088" s="81">
        <v>547873.91</v>
      </c>
    </row>
    <row r="1089" spans="1:6" x14ac:dyDescent="0.2">
      <c r="A1089" s="1" t="s">
        <v>179</v>
      </c>
      <c r="B1089" s="1" t="s">
        <v>1777</v>
      </c>
      <c r="C1089" s="1" t="s">
        <v>3962</v>
      </c>
      <c r="D1089" s="1" t="s">
        <v>3962</v>
      </c>
      <c r="E1089" s="81">
        <v>0.91</v>
      </c>
      <c r="F1089" s="81">
        <v>0.91</v>
      </c>
    </row>
    <row r="1090" spans="1:6" x14ac:dyDescent="0.2">
      <c r="A1090" s="1" t="s">
        <v>179</v>
      </c>
      <c r="B1090" s="1" t="s">
        <v>1778</v>
      </c>
      <c r="C1090" s="1" t="s">
        <v>3963</v>
      </c>
      <c r="D1090" s="1" t="s">
        <v>3963</v>
      </c>
      <c r="E1090" s="81">
        <v>2.0699999999999998</v>
      </c>
      <c r="F1090" s="81">
        <v>2.0699999999999998</v>
      </c>
    </row>
    <row r="1091" spans="1:6" x14ac:dyDescent="0.2">
      <c r="A1091" s="1" t="s">
        <v>179</v>
      </c>
      <c r="B1091" s="1" t="s">
        <v>1779</v>
      </c>
      <c r="C1091" s="1" t="s">
        <v>3964</v>
      </c>
      <c r="D1091" s="1" t="s">
        <v>3964</v>
      </c>
      <c r="E1091" s="81">
        <v>1.47</v>
      </c>
      <c r="F1091" s="81">
        <v>1.47</v>
      </c>
    </row>
    <row r="1092" spans="1:6" x14ac:dyDescent="0.2">
      <c r="A1092" s="1" t="s">
        <v>179</v>
      </c>
      <c r="B1092" s="1" t="s">
        <v>1780</v>
      </c>
      <c r="C1092" s="1" t="s">
        <v>101</v>
      </c>
      <c r="D1092" s="1" t="s">
        <v>101</v>
      </c>
      <c r="E1092" s="81">
        <v>0</v>
      </c>
      <c r="F1092" s="81">
        <v>0</v>
      </c>
    </row>
    <row r="1093" spans="1:6" x14ac:dyDescent="0.2">
      <c r="A1093" s="1" t="s">
        <v>179</v>
      </c>
      <c r="B1093" s="1" t="s">
        <v>1781</v>
      </c>
      <c r="C1093" s="1" t="s">
        <v>101</v>
      </c>
      <c r="D1093" s="1" t="s">
        <v>101</v>
      </c>
      <c r="E1093" s="81">
        <v>0</v>
      </c>
      <c r="F1093" s="81">
        <v>0</v>
      </c>
    </row>
    <row r="1094" spans="1:6" x14ac:dyDescent="0.2">
      <c r="A1094" s="1" t="s">
        <v>179</v>
      </c>
      <c r="B1094" s="1" t="s">
        <v>1782</v>
      </c>
      <c r="C1094" s="1" t="s">
        <v>101</v>
      </c>
      <c r="D1094" s="1" t="s">
        <v>101</v>
      </c>
      <c r="E1094" s="81">
        <v>0</v>
      </c>
      <c r="F1094" s="81">
        <v>0</v>
      </c>
    </row>
    <row r="1095" spans="1:6" x14ac:dyDescent="0.2">
      <c r="A1095" s="1" t="s">
        <v>179</v>
      </c>
      <c r="B1095" s="1" t="s">
        <v>1783</v>
      </c>
      <c r="C1095" s="1" t="s">
        <v>101</v>
      </c>
      <c r="D1095" s="1" t="s">
        <v>101</v>
      </c>
      <c r="E1095" s="81">
        <v>0</v>
      </c>
      <c r="F1095" s="81">
        <v>0</v>
      </c>
    </row>
    <row r="1096" spans="1:6" x14ac:dyDescent="0.2">
      <c r="A1096" s="1" t="s">
        <v>179</v>
      </c>
      <c r="B1096" s="1" t="s">
        <v>1784</v>
      </c>
      <c r="C1096" s="1" t="s">
        <v>101</v>
      </c>
      <c r="D1096" s="1" t="s">
        <v>101</v>
      </c>
      <c r="E1096" s="81">
        <v>0</v>
      </c>
      <c r="F1096" s="81">
        <v>0</v>
      </c>
    </row>
    <row r="1097" spans="1:6" x14ac:dyDescent="0.2">
      <c r="A1097" s="1" t="s">
        <v>179</v>
      </c>
      <c r="B1097" s="1" t="s">
        <v>1785</v>
      </c>
      <c r="C1097" s="1" t="s">
        <v>101</v>
      </c>
      <c r="D1097" s="1" t="s">
        <v>101</v>
      </c>
      <c r="E1097" s="81">
        <v>0</v>
      </c>
      <c r="F1097" s="81">
        <v>0</v>
      </c>
    </row>
    <row r="1098" spans="1:6" x14ac:dyDescent="0.2">
      <c r="A1098" s="1" t="s">
        <v>179</v>
      </c>
      <c r="B1098" s="1" t="s">
        <v>1786</v>
      </c>
      <c r="C1098" s="1" t="s">
        <v>101</v>
      </c>
      <c r="D1098" s="1" t="s">
        <v>101</v>
      </c>
      <c r="E1098" s="81">
        <v>0</v>
      </c>
      <c r="F1098" s="81">
        <v>0</v>
      </c>
    </row>
    <row r="1099" spans="1:6" x14ac:dyDescent="0.2">
      <c r="A1099" s="1" t="s">
        <v>179</v>
      </c>
      <c r="B1099" s="1" t="s">
        <v>1787</v>
      </c>
      <c r="C1099" s="1" t="s">
        <v>101</v>
      </c>
      <c r="D1099" s="1" t="s">
        <v>101</v>
      </c>
      <c r="E1099" s="81">
        <v>0</v>
      </c>
      <c r="F1099" s="81">
        <v>0</v>
      </c>
    </row>
    <row r="1100" spans="1:6" x14ac:dyDescent="0.2">
      <c r="A1100" s="1" t="s">
        <v>179</v>
      </c>
      <c r="B1100" s="1" t="s">
        <v>1788</v>
      </c>
      <c r="C1100" s="1" t="s">
        <v>101</v>
      </c>
      <c r="D1100" s="1" t="s">
        <v>101</v>
      </c>
      <c r="E1100" s="81">
        <v>0</v>
      </c>
      <c r="F1100" s="81">
        <v>0</v>
      </c>
    </row>
    <row r="1101" spans="1:6" x14ac:dyDescent="0.2">
      <c r="A1101" s="1" t="s">
        <v>179</v>
      </c>
      <c r="B1101" s="1" t="s">
        <v>1789</v>
      </c>
      <c r="C1101" s="1" t="s">
        <v>3965</v>
      </c>
      <c r="D1101" s="1" t="s">
        <v>3965</v>
      </c>
      <c r="E1101" s="81">
        <v>4.4400000000000004</v>
      </c>
      <c r="F1101" s="81">
        <v>4.4400000000000004</v>
      </c>
    </row>
    <row r="1102" spans="1:6" x14ac:dyDescent="0.2">
      <c r="A1102" s="1" t="s">
        <v>179</v>
      </c>
      <c r="B1102" s="1" t="s">
        <v>1790</v>
      </c>
      <c r="C1102" s="1" t="s">
        <v>3962</v>
      </c>
      <c r="D1102" s="1" t="s">
        <v>3962</v>
      </c>
      <c r="E1102" s="81">
        <v>0.91</v>
      </c>
      <c r="F1102" s="81">
        <v>0.91</v>
      </c>
    </row>
    <row r="1103" spans="1:6" x14ac:dyDescent="0.2">
      <c r="A1103" s="1" t="s">
        <v>179</v>
      </c>
      <c r="B1103" s="1" t="s">
        <v>1791</v>
      </c>
      <c r="C1103" s="1" t="s">
        <v>3963</v>
      </c>
      <c r="D1103" s="1" t="s">
        <v>3963</v>
      </c>
      <c r="E1103" s="81">
        <v>2.0699999999999998</v>
      </c>
      <c r="F1103" s="81">
        <v>2.0699999999999998</v>
      </c>
    </row>
    <row r="1104" spans="1:6" x14ac:dyDescent="0.2">
      <c r="A1104" s="1" t="s">
        <v>179</v>
      </c>
      <c r="B1104" s="1" t="s">
        <v>1792</v>
      </c>
      <c r="C1104" s="1" t="s">
        <v>3964</v>
      </c>
      <c r="D1104" s="1" t="s">
        <v>3964</v>
      </c>
      <c r="E1104" s="81">
        <v>1.47</v>
      </c>
      <c r="F1104" s="81">
        <v>1.47</v>
      </c>
    </row>
    <row r="1105" spans="1:6" x14ac:dyDescent="0.2">
      <c r="A1105" s="1" t="s">
        <v>179</v>
      </c>
      <c r="B1105" s="1" t="s">
        <v>1793</v>
      </c>
      <c r="C1105" s="1" t="s">
        <v>101</v>
      </c>
      <c r="D1105" s="1" t="s">
        <v>101</v>
      </c>
      <c r="E1105" s="81">
        <v>0</v>
      </c>
      <c r="F1105" s="81">
        <v>0</v>
      </c>
    </row>
    <row r="1106" spans="1:6" x14ac:dyDescent="0.2">
      <c r="A1106" s="1" t="s">
        <v>179</v>
      </c>
      <c r="B1106" s="1" t="s">
        <v>1794</v>
      </c>
      <c r="C1106" s="1" t="s">
        <v>101</v>
      </c>
      <c r="D1106" s="1" t="s">
        <v>101</v>
      </c>
      <c r="E1106" s="81">
        <v>0</v>
      </c>
      <c r="F1106" s="81">
        <v>0</v>
      </c>
    </row>
    <row r="1107" spans="1:6" x14ac:dyDescent="0.2">
      <c r="A1107" s="1" t="s">
        <v>179</v>
      </c>
      <c r="B1107" s="1" t="s">
        <v>1795</v>
      </c>
      <c r="C1107" s="1" t="s">
        <v>101</v>
      </c>
      <c r="D1107" s="1" t="s">
        <v>101</v>
      </c>
      <c r="E1107" s="81">
        <v>0</v>
      </c>
      <c r="F1107" s="81">
        <v>0</v>
      </c>
    </row>
    <row r="1108" spans="1:6" x14ac:dyDescent="0.2">
      <c r="A1108" s="1" t="s">
        <v>179</v>
      </c>
      <c r="B1108" s="1" t="s">
        <v>1796</v>
      </c>
      <c r="C1108" s="1" t="s">
        <v>101</v>
      </c>
      <c r="D1108" s="1" t="s">
        <v>101</v>
      </c>
      <c r="E1108" s="81">
        <v>0</v>
      </c>
      <c r="F1108" s="81">
        <v>0</v>
      </c>
    </row>
    <row r="1109" spans="1:6" x14ac:dyDescent="0.2">
      <c r="A1109" s="1" t="s">
        <v>179</v>
      </c>
      <c r="B1109" s="1" t="s">
        <v>1797</v>
      </c>
      <c r="C1109" s="1" t="s">
        <v>101</v>
      </c>
      <c r="D1109" s="1" t="s">
        <v>101</v>
      </c>
      <c r="E1109" s="81">
        <v>0</v>
      </c>
      <c r="F1109" s="81">
        <v>0</v>
      </c>
    </row>
    <row r="1110" spans="1:6" x14ac:dyDescent="0.2">
      <c r="A1110" s="1" t="s">
        <v>179</v>
      </c>
      <c r="B1110" s="1" t="s">
        <v>1798</v>
      </c>
      <c r="C1110" s="1" t="s">
        <v>101</v>
      </c>
      <c r="D1110" s="1" t="s">
        <v>101</v>
      </c>
      <c r="E1110" s="81">
        <v>0</v>
      </c>
      <c r="F1110" s="81">
        <v>0</v>
      </c>
    </row>
    <row r="1111" spans="1:6" x14ac:dyDescent="0.2">
      <c r="A1111" s="1" t="s">
        <v>179</v>
      </c>
      <c r="B1111" s="1" t="s">
        <v>1799</v>
      </c>
      <c r="C1111" s="1" t="s">
        <v>101</v>
      </c>
      <c r="D1111" s="1" t="s">
        <v>101</v>
      </c>
      <c r="E1111" s="81">
        <v>0</v>
      </c>
      <c r="F1111" s="81">
        <v>0</v>
      </c>
    </row>
    <row r="1112" spans="1:6" x14ac:dyDescent="0.2">
      <c r="A1112" s="1" t="s">
        <v>179</v>
      </c>
      <c r="B1112" s="1" t="s">
        <v>1800</v>
      </c>
      <c r="C1112" s="1" t="s">
        <v>101</v>
      </c>
      <c r="D1112" s="1" t="s">
        <v>101</v>
      </c>
      <c r="E1112" s="81">
        <v>0</v>
      </c>
      <c r="F1112" s="81">
        <v>0</v>
      </c>
    </row>
    <row r="1113" spans="1:6" x14ac:dyDescent="0.2">
      <c r="A1113" s="1" t="s">
        <v>179</v>
      </c>
      <c r="B1113" s="1" t="s">
        <v>1801</v>
      </c>
      <c r="C1113" s="1" t="s">
        <v>101</v>
      </c>
      <c r="D1113" s="1" t="s">
        <v>101</v>
      </c>
      <c r="E1113" s="81">
        <v>0</v>
      </c>
      <c r="F1113" s="81">
        <v>0</v>
      </c>
    </row>
    <row r="1114" spans="1:6" x14ac:dyDescent="0.2">
      <c r="A1114" s="1" t="s">
        <v>179</v>
      </c>
      <c r="B1114" s="1" t="s">
        <v>1802</v>
      </c>
      <c r="C1114" s="1" t="s">
        <v>101</v>
      </c>
      <c r="D1114" s="1" t="s">
        <v>101</v>
      </c>
      <c r="E1114" s="81">
        <v>0</v>
      </c>
      <c r="F1114" s="81">
        <v>0</v>
      </c>
    </row>
    <row r="1115" spans="1:6" x14ac:dyDescent="0.2">
      <c r="A1115" s="1" t="s">
        <v>179</v>
      </c>
      <c r="B1115" s="1" t="s">
        <v>1803</v>
      </c>
      <c r="C1115" s="1" t="s">
        <v>101</v>
      </c>
      <c r="D1115" s="1" t="s">
        <v>101</v>
      </c>
      <c r="E1115" s="81">
        <v>0</v>
      </c>
      <c r="F1115" s="81">
        <v>0</v>
      </c>
    </row>
    <row r="1116" spans="1:6" x14ac:dyDescent="0.2">
      <c r="A1116" s="1" t="s">
        <v>179</v>
      </c>
      <c r="B1116" s="1" t="s">
        <v>1804</v>
      </c>
      <c r="C1116" s="1" t="s">
        <v>101</v>
      </c>
      <c r="D1116" s="1" t="s">
        <v>101</v>
      </c>
      <c r="E1116" s="81">
        <v>0</v>
      </c>
      <c r="F1116" s="81">
        <v>0</v>
      </c>
    </row>
    <row r="1117" spans="1:6" x14ac:dyDescent="0.2">
      <c r="A1117" s="1" t="s">
        <v>179</v>
      </c>
      <c r="B1117" s="1" t="s">
        <v>1805</v>
      </c>
      <c r="C1117" s="1" t="s">
        <v>101</v>
      </c>
      <c r="D1117" s="1" t="s">
        <v>101</v>
      </c>
      <c r="E1117" s="81">
        <v>0</v>
      </c>
      <c r="F1117" s="81">
        <v>0</v>
      </c>
    </row>
    <row r="1118" spans="1:6" x14ac:dyDescent="0.2">
      <c r="A1118" s="1" t="s">
        <v>179</v>
      </c>
      <c r="B1118" s="1" t="s">
        <v>1806</v>
      </c>
      <c r="C1118" s="1" t="s">
        <v>101</v>
      </c>
      <c r="D1118" s="1" t="s">
        <v>101</v>
      </c>
      <c r="E1118" s="81">
        <v>0</v>
      </c>
      <c r="F1118" s="81">
        <v>0</v>
      </c>
    </row>
    <row r="1119" spans="1:6" x14ac:dyDescent="0.2">
      <c r="A1119" s="1" t="s">
        <v>179</v>
      </c>
      <c r="B1119" s="1" t="s">
        <v>1807</v>
      </c>
      <c r="C1119" s="1" t="s">
        <v>101</v>
      </c>
      <c r="D1119" s="1" t="s">
        <v>101</v>
      </c>
      <c r="E1119" s="81">
        <v>0</v>
      </c>
      <c r="F1119" s="81">
        <v>0</v>
      </c>
    </row>
    <row r="1120" spans="1:6" x14ac:dyDescent="0.2">
      <c r="A1120" s="1" t="s">
        <v>179</v>
      </c>
      <c r="B1120" s="1" t="s">
        <v>1808</v>
      </c>
      <c r="C1120" s="1" t="s">
        <v>101</v>
      </c>
      <c r="D1120" s="1" t="s">
        <v>101</v>
      </c>
      <c r="E1120" s="81">
        <v>0</v>
      </c>
      <c r="F1120" s="81">
        <v>0</v>
      </c>
    </row>
    <row r="1121" spans="1:6" x14ac:dyDescent="0.2">
      <c r="A1121" s="1" t="s">
        <v>179</v>
      </c>
      <c r="B1121" s="1" t="s">
        <v>1809</v>
      </c>
      <c r="C1121" s="1" t="s">
        <v>101</v>
      </c>
      <c r="D1121" s="1" t="s">
        <v>101</v>
      </c>
      <c r="E1121" s="81">
        <v>0</v>
      </c>
      <c r="F1121" s="81">
        <v>0</v>
      </c>
    </row>
    <row r="1122" spans="1:6" x14ac:dyDescent="0.2">
      <c r="A1122" s="1" t="s">
        <v>179</v>
      </c>
      <c r="B1122" s="1" t="s">
        <v>1810</v>
      </c>
      <c r="C1122" s="1" t="s">
        <v>101</v>
      </c>
      <c r="D1122" s="1" t="s">
        <v>101</v>
      </c>
      <c r="E1122" s="81">
        <v>0</v>
      </c>
      <c r="F1122" s="81">
        <v>0</v>
      </c>
    </row>
    <row r="1123" spans="1:6" x14ac:dyDescent="0.2">
      <c r="A1123" s="1" t="s">
        <v>179</v>
      </c>
      <c r="B1123" s="1" t="s">
        <v>1811</v>
      </c>
      <c r="C1123" s="1" t="s">
        <v>101</v>
      </c>
      <c r="D1123" s="1" t="s">
        <v>101</v>
      </c>
      <c r="E1123" s="81">
        <v>0</v>
      </c>
      <c r="F1123" s="81">
        <v>0</v>
      </c>
    </row>
    <row r="1124" spans="1:6" x14ac:dyDescent="0.2">
      <c r="A1124" s="1" t="s">
        <v>179</v>
      </c>
      <c r="B1124" s="1" t="s">
        <v>1812</v>
      </c>
      <c r="C1124" s="1" t="s">
        <v>101</v>
      </c>
      <c r="D1124" s="1" t="s">
        <v>101</v>
      </c>
      <c r="E1124" s="81">
        <v>0</v>
      </c>
      <c r="F1124" s="81">
        <v>0</v>
      </c>
    </row>
    <row r="1125" spans="1:6" x14ac:dyDescent="0.2">
      <c r="A1125" s="1" t="s">
        <v>179</v>
      </c>
      <c r="B1125" s="1" t="s">
        <v>1813</v>
      </c>
      <c r="C1125" s="1" t="s">
        <v>101</v>
      </c>
      <c r="D1125" s="1" t="s">
        <v>101</v>
      </c>
      <c r="E1125" s="81">
        <v>0</v>
      </c>
      <c r="F1125" s="81">
        <v>0</v>
      </c>
    </row>
    <row r="1126" spans="1:6" x14ac:dyDescent="0.2">
      <c r="A1126" s="1" t="s">
        <v>179</v>
      </c>
      <c r="B1126" s="1" t="s">
        <v>1814</v>
      </c>
      <c r="C1126" s="1" t="s">
        <v>101</v>
      </c>
      <c r="D1126" s="1" t="s">
        <v>101</v>
      </c>
      <c r="E1126" s="81">
        <v>0</v>
      </c>
      <c r="F1126" s="81">
        <v>0</v>
      </c>
    </row>
    <row r="1127" spans="1:6" x14ac:dyDescent="0.2">
      <c r="A1127" s="1" t="s">
        <v>179</v>
      </c>
      <c r="B1127" s="1" t="s">
        <v>1815</v>
      </c>
      <c r="C1127" s="1" t="s">
        <v>101</v>
      </c>
      <c r="D1127" s="1" t="s">
        <v>101</v>
      </c>
      <c r="E1127" s="81">
        <v>0</v>
      </c>
      <c r="F1127" s="81">
        <v>0</v>
      </c>
    </row>
    <row r="1128" spans="1:6" x14ac:dyDescent="0.2">
      <c r="A1128" s="1" t="s">
        <v>179</v>
      </c>
      <c r="B1128" s="1" t="s">
        <v>1816</v>
      </c>
      <c r="C1128" s="1" t="s">
        <v>101</v>
      </c>
      <c r="D1128" s="1" t="s">
        <v>101</v>
      </c>
      <c r="E1128" s="81">
        <v>0</v>
      </c>
      <c r="F1128" s="81">
        <v>0</v>
      </c>
    </row>
    <row r="1129" spans="1:6" x14ac:dyDescent="0.2">
      <c r="A1129" s="1" t="s">
        <v>179</v>
      </c>
      <c r="B1129" s="1" t="s">
        <v>1817</v>
      </c>
      <c r="C1129" s="1" t="s">
        <v>101</v>
      </c>
      <c r="D1129" s="1" t="s">
        <v>101</v>
      </c>
      <c r="E1129" s="81">
        <v>0</v>
      </c>
      <c r="F1129" s="81">
        <v>0</v>
      </c>
    </row>
    <row r="1130" spans="1:6" x14ac:dyDescent="0.2">
      <c r="A1130" s="1" t="s">
        <v>179</v>
      </c>
      <c r="B1130" s="1" t="s">
        <v>1818</v>
      </c>
      <c r="C1130" s="1" t="s">
        <v>101</v>
      </c>
      <c r="D1130" s="1" t="s">
        <v>101</v>
      </c>
      <c r="E1130" s="81">
        <v>0</v>
      </c>
      <c r="F1130" s="81">
        <v>0</v>
      </c>
    </row>
    <row r="1131" spans="1:6" x14ac:dyDescent="0.2">
      <c r="A1131" s="1" t="s">
        <v>179</v>
      </c>
      <c r="B1131" s="1" t="s">
        <v>1819</v>
      </c>
      <c r="C1131" s="1" t="s">
        <v>101</v>
      </c>
      <c r="D1131" s="1" t="s">
        <v>101</v>
      </c>
      <c r="E1131" s="81">
        <v>0</v>
      </c>
      <c r="F1131" s="81">
        <v>0</v>
      </c>
    </row>
    <row r="1132" spans="1:6" x14ac:dyDescent="0.2">
      <c r="A1132" s="1" t="s">
        <v>179</v>
      </c>
      <c r="B1132" s="1" t="s">
        <v>1820</v>
      </c>
      <c r="C1132" s="1" t="s">
        <v>101</v>
      </c>
      <c r="D1132" s="1" t="s">
        <v>101</v>
      </c>
      <c r="E1132" s="81">
        <v>0</v>
      </c>
      <c r="F1132" s="81">
        <v>0</v>
      </c>
    </row>
    <row r="1133" spans="1:6" x14ac:dyDescent="0.2">
      <c r="A1133" s="1" t="s">
        <v>179</v>
      </c>
      <c r="B1133" s="1" t="s">
        <v>1821</v>
      </c>
      <c r="C1133" s="1" t="s">
        <v>101</v>
      </c>
      <c r="D1133" s="1" t="s">
        <v>101</v>
      </c>
      <c r="E1133" s="81">
        <v>0</v>
      </c>
      <c r="F1133" s="81">
        <v>0</v>
      </c>
    </row>
    <row r="1134" spans="1:6" x14ac:dyDescent="0.2">
      <c r="A1134" s="1" t="s">
        <v>179</v>
      </c>
      <c r="B1134" s="1" t="s">
        <v>1822</v>
      </c>
      <c r="C1134" s="1" t="s">
        <v>101</v>
      </c>
      <c r="D1134" s="1" t="s">
        <v>101</v>
      </c>
      <c r="E1134" s="81">
        <v>0</v>
      </c>
      <c r="F1134" s="81">
        <v>0</v>
      </c>
    </row>
    <row r="1135" spans="1:6" x14ac:dyDescent="0.2">
      <c r="A1135" s="1" t="s">
        <v>179</v>
      </c>
      <c r="B1135" s="1" t="s">
        <v>1823</v>
      </c>
      <c r="C1135" s="1" t="s">
        <v>101</v>
      </c>
      <c r="D1135" s="1" t="s">
        <v>101</v>
      </c>
      <c r="E1135" s="81">
        <v>0</v>
      </c>
      <c r="F1135" s="81">
        <v>0</v>
      </c>
    </row>
    <row r="1136" spans="1:6" x14ac:dyDescent="0.2">
      <c r="A1136" s="1" t="s">
        <v>179</v>
      </c>
      <c r="B1136" s="1" t="s">
        <v>1824</v>
      </c>
      <c r="C1136" s="1" t="s">
        <v>101</v>
      </c>
      <c r="D1136" s="1" t="s">
        <v>101</v>
      </c>
      <c r="E1136" s="81">
        <v>0</v>
      </c>
      <c r="F1136" s="81">
        <v>0</v>
      </c>
    </row>
    <row r="1137" spans="1:6" x14ac:dyDescent="0.2">
      <c r="A1137" s="1" t="s">
        <v>179</v>
      </c>
      <c r="B1137" s="1" t="s">
        <v>1825</v>
      </c>
      <c r="C1137" s="1" t="s">
        <v>101</v>
      </c>
      <c r="D1137" s="1" t="s">
        <v>101</v>
      </c>
      <c r="E1137" s="81">
        <v>0</v>
      </c>
      <c r="F1137" s="81">
        <v>0</v>
      </c>
    </row>
    <row r="1138" spans="1:6" x14ac:dyDescent="0.2">
      <c r="A1138" s="1" t="s">
        <v>179</v>
      </c>
      <c r="B1138" s="1" t="s">
        <v>1826</v>
      </c>
      <c r="C1138" s="1" t="s">
        <v>3962</v>
      </c>
      <c r="D1138" s="1" t="s">
        <v>3962</v>
      </c>
      <c r="E1138" s="81">
        <v>0.91</v>
      </c>
      <c r="F1138" s="81">
        <v>0.91</v>
      </c>
    </row>
    <row r="1139" spans="1:6" x14ac:dyDescent="0.2">
      <c r="A1139" s="1" t="s">
        <v>179</v>
      </c>
      <c r="B1139" s="1" t="s">
        <v>1827</v>
      </c>
      <c r="C1139" s="1" t="s">
        <v>3963</v>
      </c>
      <c r="D1139" s="1" t="s">
        <v>3963</v>
      </c>
      <c r="E1139" s="81">
        <v>2.0699999999999998</v>
      </c>
      <c r="F1139" s="81">
        <v>2.0699999999999998</v>
      </c>
    </row>
    <row r="1140" spans="1:6" x14ac:dyDescent="0.2">
      <c r="A1140" s="1" t="s">
        <v>179</v>
      </c>
      <c r="B1140" s="1" t="s">
        <v>1828</v>
      </c>
      <c r="C1140" s="1" t="s">
        <v>3964</v>
      </c>
      <c r="D1140" s="1" t="s">
        <v>3964</v>
      </c>
      <c r="E1140" s="81">
        <v>1.47</v>
      </c>
      <c r="F1140" s="81">
        <v>1.47</v>
      </c>
    </row>
    <row r="1141" spans="1:6" x14ac:dyDescent="0.2">
      <c r="A1141" s="1" t="s">
        <v>179</v>
      </c>
      <c r="B1141" s="1" t="s">
        <v>1829</v>
      </c>
      <c r="C1141" s="1" t="s">
        <v>101</v>
      </c>
      <c r="D1141" s="1" t="s">
        <v>101</v>
      </c>
      <c r="E1141" s="81">
        <v>0</v>
      </c>
      <c r="F1141" s="81">
        <v>0</v>
      </c>
    </row>
    <row r="1142" spans="1:6" x14ac:dyDescent="0.2">
      <c r="A1142" s="1" t="s">
        <v>179</v>
      </c>
      <c r="B1142" s="1" t="s">
        <v>1830</v>
      </c>
      <c r="C1142" s="1" t="s">
        <v>101</v>
      </c>
      <c r="D1142" s="1" t="s">
        <v>101</v>
      </c>
      <c r="E1142" s="81">
        <v>0</v>
      </c>
      <c r="F1142" s="81">
        <v>0</v>
      </c>
    </row>
    <row r="1143" spans="1:6" x14ac:dyDescent="0.2">
      <c r="A1143" s="1" t="s">
        <v>179</v>
      </c>
      <c r="B1143" s="1" t="s">
        <v>1831</v>
      </c>
      <c r="C1143" s="1" t="s">
        <v>101</v>
      </c>
      <c r="D1143" s="1" t="s">
        <v>101</v>
      </c>
      <c r="E1143" s="81">
        <v>0</v>
      </c>
      <c r="F1143" s="81">
        <v>0</v>
      </c>
    </row>
    <row r="1144" spans="1:6" x14ac:dyDescent="0.2">
      <c r="A1144" s="1" t="s">
        <v>179</v>
      </c>
      <c r="B1144" s="1" t="s">
        <v>1832</v>
      </c>
      <c r="C1144" s="1" t="s">
        <v>101</v>
      </c>
      <c r="D1144" s="1" t="s">
        <v>101</v>
      </c>
      <c r="E1144" s="81">
        <v>0</v>
      </c>
      <c r="F1144" s="81">
        <v>0</v>
      </c>
    </row>
    <row r="1145" spans="1:6" x14ac:dyDescent="0.2">
      <c r="A1145" s="1" t="s">
        <v>179</v>
      </c>
      <c r="B1145" s="1" t="s">
        <v>1833</v>
      </c>
      <c r="C1145" s="1" t="s">
        <v>101</v>
      </c>
      <c r="D1145" s="1" t="s">
        <v>101</v>
      </c>
      <c r="E1145" s="81">
        <v>0</v>
      </c>
      <c r="F1145" s="81">
        <v>0</v>
      </c>
    </row>
    <row r="1146" spans="1:6" x14ac:dyDescent="0.2">
      <c r="A1146" s="1" t="s">
        <v>179</v>
      </c>
      <c r="B1146" s="1" t="s">
        <v>1834</v>
      </c>
      <c r="C1146" s="1" t="s">
        <v>101</v>
      </c>
      <c r="D1146" s="1" t="s">
        <v>101</v>
      </c>
      <c r="E1146" s="81">
        <v>0</v>
      </c>
      <c r="F1146" s="81">
        <v>0</v>
      </c>
    </row>
    <row r="1147" spans="1:6" x14ac:dyDescent="0.2">
      <c r="A1147" s="1" t="s">
        <v>179</v>
      </c>
      <c r="B1147" s="1" t="s">
        <v>1835</v>
      </c>
      <c r="C1147" s="1" t="s">
        <v>101</v>
      </c>
      <c r="D1147" s="1" t="s">
        <v>101</v>
      </c>
      <c r="E1147" s="81">
        <v>0</v>
      </c>
      <c r="F1147" s="81">
        <v>0</v>
      </c>
    </row>
    <row r="1148" spans="1:6" x14ac:dyDescent="0.2">
      <c r="A1148" s="1" t="s">
        <v>179</v>
      </c>
      <c r="B1148" s="1" t="s">
        <v>1836</v>
      </c>
      <c r="C1148" s="1" t="s">
        <v>101</v>
      </c>
      <c r="D1148" s="1" t="s">
        <v>101</v>
      </c>
      <c r="E1148" s="81">
        <v>0</v>
      </c>
      <c r="F1148" s="81">
        <v>0</v>
      </c>
    </row>
    <row r="1149" spans="1:6" x14ac:dyDescent="0.2">
      <c r="A1149" s="1" t="s">
        <v>179</v>
      </c>
      <c r="B1149" s="1" t="s">
        <v>1837</v>
      </c>
      <c r="C1149" s="1" t="s">
        <v>101</v>
      </c>
      <c r="D1149" s="1" t="s">
        <v>101</v>
      </c>
      <c r="E1149" s="81">
        <v>0</v>
      </c>
      <c r="F1149" s="81">
        <v>0</v>
      </c>
    </row>
    <row r="1150" spans="1:6" x14ac:dyDescent="0.2">
      <c r="A1150" s="1" t="s">
        <v>179</v>
      </c>
      <c r="B1150" s="1" t="s">
        <v>1838</v>
      </c>
      <c r="C1150" s="1" t="s">
        <v>3965</v>
      </c>
      <c r="D1150" s="1" t="s">
        <v>3965</v>
      </c>
      <c r="E1150" s="81">
        <v>4.4400000000000004</v>
      </c>
      <c r="F1150" s="81">
        <v>4.4400000000000004</v>
      </c>
    </row>
    <row r="1151" spans="1:6" x14ac:dyDescent="0.2">
      <c r="A1151" s="1" t="s">
        <v>179</v>
      </c>
      <c r="B1151" s="1" t="s">
        <v>1839</v>
      </c>
      <c r="C1151" s="1" t="s">
        <v>3966</v>
      </c>
      <c r="D1151" s="1" t="s">
        <v>3966</v>
      </c>
      <c r="E1151" s="81">
        <v>172615.86</v>
      </c>
      <c r="F1151" s="81">
        <v>172615.86</v>
      </c>
    </row>
    <row r="1152" spans="1:6" x14ac:dyDescent="0.2">
      <c r="A1152" s="1" t="s">
        <v>179</v>
      </c>
      <c r="B1152" s="1" t="s">
        <v>1840</v>
      </c>
      <c r="C1152" s="1" t="s">
        <v>3967</v>
      </c>
      <c r="D1152" s="1" t="s">
        <v>3967</v>
      </c>
      <c r="E1152" s="81">
        <v>161434.82999999999</v>
      </c>
      <c r="F1152" s="81">
        <v>161434.82999999999</v>
      </c>
    </row>
    <row r="1153" spans="1:6" x14ac:dyDescent="0.2">
      <c r="A1153" s="1" t="s">
        <v>179</v>
      </c>
      <c r="B1153" s="1" t="s">
        <v>1841</v>
      </c>
      <c r="C1153" s="1" t="s">
        <v>3968</v>
      </c>
      <c r="D1153" s="1" t="s">
        <v>3968</v>
      </c>
      <c r="E1153" s="81">
        <v>188282.84</v>
      </c>
      <c r="F1153" s="81">
        <v>188282.84</v>
      </c>
    </row>
    <row r="1154" spans="1:6" x14ac:dyDescent="0.2">
      <c r="A1154" s="1" t="s">
        <v>179</v>
      </c>
      <c r="B1154" s="1" t="s">
        <v>1842</v>
      </c>
      <c r="C1154" s="1" t="s">
        <v>101</v>
      </c>
      <c r="D1154" s="1" t="s">
        <v>101</v>
      </c>
      <c r="E1154" s="81">
        <v>0</v>
      </c>
      <c r="F1154" s="81">
        <v>0</v>
      </c>
    </row>
    <row r="1155" spans="1:6" x14ac:dyDescent="0.2">
      <c r="A1155" s="1" t="s">
        <v>179</v>
      </c>
      <c r="B1155" s="1" t="s">
        <v>1843</v>
      </c>
      <c r="C1155" s="1" t="s">
        <v>101</v>
      </c>
      <c r="D1155" s="1" t="s">
        <v>101</v>
      </c>
      <c r="E1155" s="81">
        <v>0</v>
      </c>
      <c r="F1155" s="81">
        <v>0</v>
      </c>
    </row>
    <row r="1156" spans="1:6" x14ac:dyDescent="0.2">
      <c r="A1156" s="1" t="s">
        <v>179</v>
      </c>
      <c r="B1156" s="1" t="s">
        <v>1844</v>
      </c>
      <c r="C1156" s="1" t="s">
        <v>101</v>
      </c>
      <c r="D1156" s="1" t="s">
        <v>101</v>
      </c>
      <c r="E1156" s="81">
        <v>0</v>
      </c>
      <c r="F1156" s="81">
        <v>0</v>
      </c>
    </row>
    <row r="1157" spans="1:6" x14ac:dyDescent="0.2">
      <c r="A1157" s="1" t="s">
        <v>179</v>
      </c>
      <c r="B1157" s="1" t="s">
        <v>1845</v>
      </c>
      <c r="C1157" s="1" t="s">
        <v>101</v>
      </c>
      <c r="D1157" s="1" t="s">
        <v>101</v>
      </c>
      <c r="E1157" s="81">
        <v>0</v>
      </c>
      <c r="F1157" s="81">
        <v>0</v>
      </c>
    </row>
    <row r="1158" spans="1:6" x14ac:dyDescent="0.2">
      <c r="A1158" s="1" t="s">
        <v>179</v>
      </c>
      <c r="B1158" s="1" t="s">
        <v>1846</v>
      </c>
      <c r="C1158" s="1" t="s">
        <v>101</v>
      </c>
      <c r="D1158" s="1" t="s">
        <v>101</v>
      </c>
      <c r="E1158" s="81">
        <v>0</v>
      </c>
      <c r="F1158" s="81">
        <v>0</v>
      </c>
    </row>
    <row r="1159" spans="1:6" x14ac:dyDescent="0.2">
      <c r="A1159" s="1" t="s">
        <v>179</v>
      </c>
      <c r="B1159" s="1" t="s">
        <v>1847</v>
      </c>
      <c r="C1159" s="1" t="s">
        <v>101</v>
      </c>
      <c r="D1159" s="1" t="s">
        <v>101</v>
      </c>
      <c r="E1159" s="81">
        <v>0</v>
      </c>
      <c r="F1159" s="81">
        <v>0</v>
      </c>
    </row>
    <row r="1160" spans="1:6" x14ac:dyDescent="0.2">
      <c r="A1160" s="1" t="s">
        <v>179</v>
      </c>
      <c r="B1160" s="1" t="s">
        <v>1848</v>
      </c>
      <c r="C1160" s="1" t="s">
        <v>101</v>
      </c>
      <c r="D1160" s="1" t="s">
        <v>101</v>
      </c>
      <c r="E1160" s="81">
        <v>0</v>
      </c>
      <c r="F1160" s="81">
        <v>0</v>
      </c>
    </row>
    <row r="1161" spans="1:6" x14ac:dyDescent="0.2">
      <c r="A1161" s="1" t="s">
        <v>179</v>
      </c>
      <c r="B1161" s="1" t="s">
        <v>1849</v>
      </c>
      <c r="C1161" s="1" t="s">
        <v>101</v>
      </c>
      <c r="D1161" s="1" t="s">
        <v>101</v>
      </c>
      <c r="E1161" s="81">
        <v>0</v>
      </c>
      <c r="F1161" s="81">
        <v>0</v>
      </c>
    </row>
    <row r="1162" spans="1:6" x14ac:dyDescent="0.2">
      <c r="A1162" s="1" t="s">
        <v>179</v>
      </c>
      <c r="B1162" s="1" t="s">
        <v>1850</v>
      </c>
      <c r="C1162" s="1" t="s">
        <v>101</v>
      </c>
      <c r="D1162" s="1" t="s">
        <v>101</v>
      </c>
      <c r="E1162" s="81">
        <v>0</v>
      </c>
      <c r="F1162" s="81">
        <v>0</v>
      </c>
    </row>
    <row r="1163" spans="1:6" x14ac:dyDescent="0.2">
      <c r="A1163" s="1" t="s">
        <v>179</v>
      </c>
      <c r="B1163" s="1" t="s">
        <v>1851</v>
      </c>
      <c r="C1163" s="1" t="s">
        <v>3969</v>
      </c>
      <c r="D1163" s="1" t="s">
        <v>3969</v>
      </c>
      <c r="E1163" s="81">
        <v>522333.53</v>
      </c>
      <c r="F1163" s="81">
        <v>522333.53</v>
      </c>
    </row>
    <row r="1164" spans="1:6" x14ac:dyDescent="0.2">
      <c r="A1164" s="1" t="s">
        <v>179</v>
      </c>
      <c r="B1164" s="1" t="s">
        <v>1852</v>
      </c>
      <c r="C1164" s="1" t="s">
        <v>3970</v>
      </c>
      <c r="D1164" s="1" t="s">
        <v>3970</v>
      </c>
      <c r="E1164" s="81">
        <v>172880.19</v>
      </c>
      <c r="F1164" s="81">
        <v>172880.19</v>
      </c>
    </row>
    <row r="1165" spans="1:6" x14ac:dyDescent="0.2">
      <c r="A1165" s="1" t="s">
        <v>179</v>
      </c>
      <c r="B1165" s="1" t="s">
        <v>1853</v>
      </c>
      <c r="C1165" s="1" t="s">
        <v>3971</v>
      </c>
      <c r="D1165" s="1" t="s">
        <v>3971</v>
      </c>
      <c r="E1165" s="81">
        <v>161712.32999999999</v>
      </c>
      <c r="F1165" s="81">
        <v>161712.32999999999</v>
      </c>
    </row>
    <row r="1166" spans="1:6" x14ac:dyDescent="0.2">
      <c r="A1166" s="1" t="s">
        <v>179</v>
      </c>
      <c r="B1166" s="1" t="s">
        <v>1854</v>
      </c>
      <c r="C1166" s="1" t="s">
        <v>3972</v>
      </c>
      <c r="D1166" s="1" t="s">
        <v>3972</v>
      </c>
      <c r="E1166" s="81">
        <v>188581.74</v>
      </c>
      <c r="F1166" s="81">
        <v>188581.74</v>
      </c>
    </row>
    <row r="1167" spans="1:6" x14ac:dyDescent="0.2">
      <c r="A1167" s="1" t="s">
        <v>179</v>
      </c>
      <c r="B1167" s="1" t="s">
        <v>1855</v>
      </c>
      <c r="C1167" s="1" t="s">
        <v>101</v>
      </c>
      <c r="D1167" s="1" t="s">
        <v>101</v>
      </c>
      <c r="E1167" s="81">
        <v>0</v>
      </c>
      <c r="F1167" s="81">
        <v>0</v>
      </c>
    </row>
    <row r="1168" spans="1:6" x14ac:dyDescent="0.2">
      <c r="A1168" s="1" t="s">
        <v>179</v>
      </c>
      <c r="B1168" s="1" t="s">
        <v>1856</v>
      </c>
      <c r="C1168" s="1" t="s">
        <v>101</v>
      </c>
      <c r="D1168" s="1" t="s">
        <v>101</v>
      </c>
      <c r="E1168" s="81">
        <v>0</v>
      </c>
      <c r="F1168" s="81">
        <v>0</v>
      </c>
    </row>
    <row r="1169" spans="1:6" x14ac:dyDescent="0.2">
      <c r="A1169" s="1" t="s">
        <v>179</v>
      </c>
      <c r="B1169" s="1" t="s">
        <v>1857</v>
      </c>
      <c r="C1169" s="1" t="s">
        <v>101</v>
      </c>
      <c r="D1169" s="1" t="s">
        <v>101</v>
      </c>
      <c r="E1169" s="81">
        <v>0</v>
      </c>
      <c r="F1169" s="81">
        <v>0</v>
      </c>
    </row>
    <row r="1170" spans="1:6" x14ac:dyDescent="0.2">
      <c r="A1170" s="1" t="s">
        <v>179</v>
      </c>
      <c r="B1170" s="1" t="s">
        <v>1858</v>
      </c>
      <c r="C1170" s="1" t="s">
        <v>101</v>
      </c>
      <c r="D1170" s="1" t="s">
        <v>101</v>
      </c>
      <c r="E1170" s="81">
        <v>0</v>
      </c>
      <c r="F1170" s="81">
        <v>0</v>
      </c>
    </row>
    <row r="1171" spans="1:6" x14ac:dyDescent="0.2">
      <c r="A1171" s="1" t="s">
        <v>179</v>
      </c>
      <c r="B1171" s="1" t="s">
        <v>1859</v>
      </c>
      <c r="C1171" s="1" t="s">
        <v>101</v>
      </c>
      <c r="D1171" s="1" t="s">
        <v>101</v>
      </c>
      <c r="E1171" s="81">
        <v>0</v>
      </c>
      <c r="F1171" s="81">
        <v>0</v>
      </c>
    </row>
    <row r="1172" spans="1:6" x14ac:dyDescent="0.2">
      <c r="A1172" s="1" t="s">
        <v>179</v>
      </c>
      <c r="B1172" s="1" t="s">
        <v>1860</v>
      </c>
      <c r="C1172" s="1" t="s">
        <v>101</v>
      </c>
      <c r="D1172" s="1" t="s">
        <v>101</v>
      </c>
      <c r="E1172" s="81">
        <v>0</v>
      </c>
      <c r="F1172" s="81">
        <v>0</v>
      </c>
    </row>
    <row r="1173" spans="1:6" x14ac:dyDescent="0.2">
      <c r="A1173" s="1" t="s">
        <v>179</v>
      </c>
      <c r="B1173" s="1" t="s">
        <v>1861</v>
      </c>
      <c r="C1173" s="1" t="s">
        <v>101</v>
      </c>
      <c r="D1173" s="1" t="s">
        <v>101</v>
      </c>
      <c r="E1173" s="81">
        <v>0</v>
      </c>
      <c r="F1173" s="81">
        <v>0</v>
      </c>
    </row>
    <row r="1174" spans="1:6" x14ac:dyDescent="0.2">
      <c r="A1174" s="1" t="s">
        <v>179</v>
      </c>
      <c r="B1174" s="1" t="s">
        <v>1862</v>
      </c>
      <c r="C1174" s="1" t="s">
        <v>101</v>
      </c>
      <c r="D1174" s="1" t="s">
        <v>101</v>
      </c>
      <c r="E1174" s="81">
        <v>0</v>
      </c>
      <c r="F1174" s="81">
        <v>0</v>
      </c>
    </row>
    <row r="1175" spans="1:6" x14ac:dyDescent="0.2">
      <c r="A1175" s="1" t="s">
        <v>179</v>
      </c>
      <c r="B1175" s="1" t="s">
        <v>1863</v>
      </c>
      <c r="C1175" s="1" t="s">
        <v>101</v>
      </c>
      <c r="D1175" s="1" t="s">
        <v>101</v>
      </c>
      <c r="E1175" s="81">
        <v>0</v>
      </c>
      <c r="F1175" s="81">
        <v>0</v>
      </c>
    </row>
    <row r="1176" spans="1:6" x14ac:dyDescent="0.2">
      <c r="A1176" s="1" t="s">
        <v>179</v>
      </c>
      <c r="B1176" s="1" t="s">
        <v>1864</v>
      </c>
      <c r="C1176" s="1" t="s">
        <v>101</v>
      </c>
      <c r="D1176" s="1" t="s">
        <v>101</v>
      </c>
      <c r="E1176" s="81">
        <v>0</v>
      </c>
      <c r="F1176" s="81">
        <v>0</v>
      </c>
    </row>
    <row r="1177" spans="1:6" x14ac:dyDescent="0.2">
      <c r="A1177" s="1" t="s">
        <v>179</v>
      </c>
      <c r="B1177" s="1" t="s">
        <v>1865</v>
      </c>
      <c r="C1177" s="1" t="s">
        <v>101</v>
      </c>
      <c r="D1177" s="1" t="s">
        <v>101</v>
      </c>
      <c r="E1177" s="81">
        <v>0</v>
      </c>
      <c r="F1177" s="81">
        <v>0</v>
      </c>
    </row>
    <row r="1178" spans="1:6" x14ac:dyDescent="0.2">
      <c r="A1178" s="1" t="s">
        <v>179</v>
      </c>
      <c r="B1178" s="1" t="s">
        <v>1866</v>
      </c>
      <c r="C1178" s="1" t="s">
        <v>101</v>
      </c>
      <c r="D1178" s="1" t="s">
        <v>101</v>
      </c>
      <c r="E1178" s="81">
        <v>0</v>
      </c>
      <c r="F1178" s="81">
        <v>0</v>
      </c>
    </row>
    <row r="1179" spans="1:6" x14ac:dyDescent="0.2">
      <c r="A1179" s="1" t="s">
        <v>179</v>
      </c>
      <c r="B1179" s="1" t="s">
        <v>1867</v>
      </c>
      <c r="C1179" s="1" t="s">
        <v>101</v>
      </c>
      <c r="D1179" s="1" t="s">
        <v>101</v>
      </c>
      <c r="E1179" s="81">
        <v>0</v>
      </c>
      <c r="F1179" s="81">
        <v>0</v>
      </c>
    </row>
    <row r="1180" spans="1:6" x14ac:dyDescent="0.2">
      <c r="A1180" s="1" t="s">
        <v>179</v>
      </c>
      <c r="B1180" s="1" t="s">
        <v>1868</v>
      </c>
      <c r="C1180" s="1" t="s">
        <v>101</v>
      </c>
      <c r="D1180" s="1" t="s">
        <v>101</v>
      </c>
      <c r="E1180" s="81">
        <v>0</v>
      </c>
      <c r="F1180" s="81">
        <v>0</v>
      </c>
    </row>
    <row r="1181" spans="1:6" x14ac:dyDescent="0.2">
      <c r="A1181" s="1" t="s">
        <v>179</v>
      </c>
      <c r="B1181" s="1" t="s">
        <v>1869</v>
      </c>
      <c r="C1181" s="1" t="s">
        <v>101</v>
      </c>
      <c r="D1181" s="1" t="s">
        <v>101</v>
      </c>
      <c r="E1181" s="81">
        <v>0</v>
      </c>
      <c r="F1181" s="81">
        <v>0</v>
      </c>
    </row>
    <row r="1182" spans="1:6" x14ac:dyDescent="0.2">
      <c r="A1182" s="1" t="s">
        <v>179</v>
      </c>
      <c r="B1182" s="1" t="s">
        <v>1870</v>
      </c>
      <c r="C1182" s="1" t="s">
        <v>101</v>
      </c>
      <c r="D1182" s="1" t="s">
        <v>101</v>
      </c>
      <c r="E1182" s="81">
        <v>0</v>
      </c>
      <c r="F1182" s="81">
        <v>0</v>
      </c>
    </row>
    <row r="1183" spans="1:6" x14ac:dyDescent="0.2">
      <c r="A1183" s="1" t="s">
        <v>179</v>
      </c>
      <c r="B1183" s="1" t="s">
        <v>1871</v>
      </c>
      <c r="C1183" s="1" t="s">
        <v>101</v>
      </c>
      <c r="D1183" s="1" t="s">
        <v>101</v>
      </c>
      <c r="E1183" s="81">
        <v>0</v>
      </c>
      <c r="F1183" s="81">
        <v>0</v>
      </c>
    </row>
    <row r="1184" spans="1:6" x14ac:dyDescent="0.2">
      <c r="A1184" s="1" t="s">
        <v>179</v>
      </c>
      <c r="B1184" s="1" t="s">
        <v>1872</v>
      </c>
      <c r="C1184" s="1" t="s">
        <v>101</v>
      </c>
      <c r="D1184" s="1" t="s">
        <v>101</v>
      </c>
      <c r="E1184" s="81">
        <v>0</v>
      </c>
      <c r="F1184" s="81">
        <v>0</v>
      </c>
    </row>
    <row r="1185" spans="1:6" x14ac:dyDescent="0.2">
      <c r="A1185" s="1" t="s">
        <v>179</v>
      </c>
      <c r="B1185" s="1" t="s">
        <v>1873</v>
      </c>
      <c r="C1185" s="1" t="s">
        <v>101</v>
      </c>
      <c r="D1185" s="1" t="s">
        <v>101</v>
      </c>
      <c r="E1185" s="81">
        <v>0</v>
      </c>
      <c r="F1185" s="81">
        <v>0</v>
      </c>
    </row>
    <row r="1186" spans="1:6" x14ac:dyDescent="0.2">
      <c r="A1186" s="1" t="s">
        <v>179</v>
      </c>
      <c r="B1186" s="1" t="s">
        <v>1874</v>
      </c>
      <c r="C1186" s="1" t="s">
        <v>101</v>
      </c>
      <c r="D1186" s="1" t="s">
        <v>101</v>
      </c>
      <c r="E1186" s="81">
        <v>0</v>
      </c>
      <c r="F1186" s="81">
        <v>0</v>
      </c>
    </row>
    <row r="1187" spans="1:6" x14ac:dyDescent="0.2">
      <c r="A1187" s="1" t="s">
        <v>179</v>
      </c>
      <c r="B1187" s="1" t="s">
        <v>1875</v>
      </c>
      <c r="C1187" s="1" t="s">
        <v>101</v>
      </c>
      <c r="D1187" s="1" t="s">
        <v>101</v>
      </c>
      <c r="E1187" s="81">
        <v>0</v>
      </c>
      <c r="F1187" s="81">
        <v>0</v>
      </c>
    </row>
    <row r="1188" spans="1:6" x14ac:dyDescent="0.2">
      <c r="A1188" s="1" t="s">
        <v>179</v>
      </c>
      <c r="B1188" s="1" t="s">
        <v>1876</v>
      </c>
      <c r="C1188" s="1" t="s">
        <v>101</v>
      </c>
      <c r="D1188" s="1" t="s">
        <v>101</v>
      </c>
      <c r="E1188" s="81">
        <v>0</v>
      </c>
      <c r="F1188" s="81">
        <v>0</v>
      </c>
    </row>
    <row r="1189" spans="1:6" x14ac:dyDescent="0.2">
      <c r="A1189" s="1" t="s">
        <v>179</v>
      </c>
      <c r="B1189" s="1" t="s">
        <v>1877</v>
      </c>
      <c r="C1189" s="1" t="s">
        <v>101</v>
      </c>
      <c r="D1189" s="1" t="s">
        <v>101</v>
      </c>
      <c r="E1189" s="81">
        <v>0</v>
      </c>
      <c r="F1189" s="81">
        <v>0</v>
      </c>
    </row>
    <row r="1190" spans="1:6" x14ac:dyDescent="0.2">
      <c r="A1190" s="1" t="s">
        <v>179</v>
      </c>
      <c r="B1190" s="1" t="s">
        <v>1878</v>
      </c>
      <c r="C1190" s="1" t="s">
        <v>101</v>
      </c>
      <c r="D1190" s="1" t="s">
        <v>101</v>
      </c>
      <c r="E1190" s="81">
        <v>0</v>
      </c>
      <c r="F1190" s="81">
        <v>0</v>
      </c>
    </row>
    <row r="1191" spans="1:6" x14ac:dyDescent="0.2">
      <c r="A1191" s="1" t="s">
        <v>179</v>
      </c>
      <c r="B1191" s="1" t="s">
        <v>1879</v>
      </c>
      <c r="C1191" s="1" t="s">
        <v>101</v>
      </c>
      <c r="D1191" s="1" t="s">
        <v>101</v>
      </c>
      <c r="E1191" s="81">
        <v>0</v>
      </c>
      <c r="F1191" s="81">
        <v>0</v>
      </c>
    </row>
    <row r="1192" spans="1:6" x14ac:dyDescent="0.2">
      <c r="A1192" s="1" t="s">
        <v>179</v>
      </c>
      <c r="B1192" s="1" t="s">
        <v>1880</v>
      </c>
      <c r="C1192" s="1" t="s">
        <v>101</v>
      </c>
      <c r="D1192" s="1" t="s">
        <v>101</v>
      </c>
      <c r="E1192" s="81">
        <v>0</v>
      </c>
      <c r="F1192" s="81">
        <v>0</v>
      </c>
    </row>
    <row r="1193" spans="1:6" x14ac:dyDescent="0.2">
      <c r="A1193" s="1" t="s">
        <v>179</v>
      </c>
      <c r="B1193" s="1" t="s">
        <v>1881</v>
      </c>
      <c r="C1193" s="1" t="s">
        <v>101</v>
      </c>
      <c r="D1193" s="1" t="s">
        <v>101</v>
      </c>
      <c r="E1193" s="81">
        <v>0</v>
      </c>
      <c r="F1193" s="81">
        <v>0</v>
      </c>
    </row>
    <row r="1194" spans="1:6" x14ac:dyDescent="0.2">
      <c r="A1194" s="1" t="s">
        <v>179</v>
      </c>
      <c r="B1194" s="1" t="s">
        <v>1882</v>
      </c>
      <c r="C1194" s="1" t="s">
        <v>101</v>
      </c>
      <c r="D1194" s="1" t="s">
        <v>101</v>
      </c>
      <c r="E1194" s="81">
        <v>0</v>
      </c>
      <c r="F1194" s="81">
        <v>0</v>
      </c>
    </row>
    <row r="1195" spans="1:6" x14ac:dyDescent="0.2">
      <c r="A1195" s="1" t="s">
        <v>179</v>
      </c>
      <c r="B1195" s="1" t="s">
        <v>1883</v>
      </c>
      <c r="C1195" s="1" t="s">
        <v>101</v>
      </c>
      <c r="D1195" s="1" t="s">
        <v>101</v>
      </c>
      <c r="E1195" s="81">
        <v>0</v>
      </c>
      <c r="F1195" s="81">
        <v>0</v>
      </c>
    </row>
    <row r="1196" spans="1:6" x14ac:dyDescent="0.2">
      <c r="A1196" s="1" t="s">
        <v>179</v>
      </c>
      <c r="B1196" s="1" t="s">
        <v>1884</v>
      </c>
      <c r="C1196" s="1" t="s">
        <v>101</v>
      </c>
      <c r="D1196" s="1" t="s">
        <v>101</v>
      </c>
      <c r="E1196" s="81">
        <v>0</v>
      </c>
      <c r="F1196" s="81">
        <v>0</v>
      </c>
    </row>
    <row r="1197" spans="1:6" x14ac:dyDescent="0.2">
      <c r="A1197" s="1" t="s">
        <v>179</v>
      </c>
      <c r="B1197" s="1" t="s">
        <v>1885</v>
      </c>
      <c r="C1197" s="1" t="s">
        <v>101</v>
      </c>
      <c r="D1197" s="1" t="s">
        <v>101</v>
      </c>
      <c r="E1197" s="81">
        <v>0</v>
      </c>
      <c r="F1197" s="81">
        <v>0</v>
      </c>
    </row>
    <row r="1198" spans="1:6" x14ac:dyDescent="0.2">
      <c r="A1198" s="1" t="s">
        <v>179</v>
      </c>
      <c r="B1198" s="1" t="s">
        <v>1886</v>
      </c>
      <c r="C1198" s="1" t="s">
        <v>101</v>
      </c>
      <c r="D1198" s="1" t="s">
        <v>101</v>
      </c>
      <c r="E1198" s="81">
        <v>0</v>
      </c>
      <c r="F1198" s="81">
        <v>0</v>
      </c>
    </row>
    <row r="1199" spans="1:6" x14ac:dyDescent="0.2">
      <c r="A1199" s="1" t="s">
        <v>179</v>
      </c>
      <c r="B1199" s="1" t="s">
        <v>1887</v>
      </c>
      <c r="C1199" s="1" t="s">
        <v>101</v>
      </c>
      <c r="D1199" s="1" t="s">
        <v>101</v>
      </c>
      <c r="E1199" s="81">
        <v>0</v>
      </c>
      <c r="F1199" s="81">
        <v>0</v>
      </c>
    </row>
    <row r="1200" spans="1:6" x14ac:dyDescent="0.2">
      <c r="A1200" s="1" t="s">
        <v>179</v>
      </c>
      <c r="B1200" s="1" t="s">
        <v>1888</v>
      </c>
      <c r="C1200" s="1" t="s">
        <v>3966</v>
      </c>
      <c r="D1200" s="1" t="s">
        <v>3966</v>
      </c>
      <c r="E1200" s="81">
        <v>172615.86</v>
      </c>
      <c r="F1200" s="81">
        <v>172615.86</v>
      </c>
    </row>
    <row r="1201" spans="1:6" x14ac:dyDescent="0.2">
      <c r="A1201" s="1" t="s">
        <v>179</v>
      </c>
      <c r="B1201" s="1" t="s">
        <v>1889</v>
      </c>
      <c r="C1201" s="1" t="s">
        <v>3967</v>
      </c>
      <c r="D1201" s="1" t="s">
        <v>3967</v>
      </c>
      <c r="E1201" s="81">
        <v>161434.82999999999</v>
      </c>
      <c r="F1201" s="81">
        <v>161434.82999999999</v>
      </c>
    </row>
    <row r="1202" spans="1:6" x14ac:dyDescent="0.2">
      <c r="A1202" s="1" t="s">
        <v>179</v>
      </c>
      <c r="B1202" s="1" t="s">
        <v>1890</v>
      </c>
      <c r="C1202" s="1" t="s">
        <v>3968</v>
      </c>
      <c r="D1202" s="1" t="s">
        <v>3968</v>
      </c>
      <c r="E1202" s="81">
        <v>188282.84</v>
      </c>
      <c r="F1202" s="81">
        <v>188282.84</v>
      </c>
    </row>
    <row r="1203" spans="1:6" x14ac:dyDescent="0.2">
      <c r="A1203" s="1" t="s">
        <v>179</v>
      </c>
      <c r="B1203" s="1" t="s">
        <v>1891</v>
      </c>
      <c r="C1203" s="1" t="s">
        <v>101</v>
      </c>
      <c r="D1203" s="1" t="s">
        <v>101</v>
      </c>
      <c r="E1203" s="81">
        <v>0</v>
      </c>
      <c r="F1203" s="81">
        <v>0</v>
      </c>
    </row>
    <row r="1204" spans="1:6" x14ac:dyDescent="0.2">
      <c r="A1204" s="1" t="s">
        <v>179</v>
      </c>
      <c r="B1204" s="1" t="s">
        <v>1892</v>
      </c>
      <c r="C1204" s="1" t="s">
        <v>101</v>
      </c>
      <c r="D1204" s="1" t="s">
        <v>101</v>
      </c>
      <c r="E1204" s="81">
        <v>0</v>
      </c>
      <c r="F1204" s="81">
        <v>0</v>
      </c>
    </row>
    <row r="1205" spans="1:6" x14ac:dyDescent="0.2">
      <c r="A1205" s="1" t="s">
        <v>179</v>
      </c>
      <c r="B1205" s="1" t="s">
        <v>1893</v>
      </c>
      <c r="C1205" s="1" t="s">
        <v>101</v>
      </c>
      <c r="D1205" s="1" t="s">
        <v>101</v>
      </c>
      <c r="E1205" s="81">
        <v>0</v>
      </c>
      <c r="F1205" s="81">
        <v>0</v>
      </c>
    </row>
    <row r="1206" spans="1:6" x14ac:dyDescent="0.2">
      <c r="A1206" s="1" t="s">
        <v>179</v>
      </c>
      <c r="B1206" s="1" t="s">
        <v>1894</v>
      </c>
      <c r="C1206" s="1" t="s">
        <v>101</v>
      </c>
      <c r="D1206" s="1" t="s">
        <v>101</v>
      </c>
      <c r="E1206" s="81">
        <v>0</v>
      </c>
      <c r="F1206" s="81">
        <v>0</v>
      </c>
    </row>
    <row r="1207" spans="1:6" x14ac:dyDescent="0.2">
      <c r="A1207" s="1" t="s">
        <v>179</v>
      </c>
      <c r="B1207" s="1" t="s">
        <v>1895</v>
      </c>
      <c r="C1207" s="1" t="s">
        <v>101</v>
      </c>
      <c r="D1207" s="1" t="s">
        <v>101</v>
      </c>
      <c r="E1207" s="81">
        <v>0</v>
      </c>
      <c r="F1207" s="81">
        <v>0</v>
      </c>
    </row>
    <row r="1208" spans="1:6" x14ac:dyDescent="0.2">
      <c r="A1208" s="1" t="s">
        <v>179</v>
      </c>
      <c r="B1208" s="1" t="s">
        <v>1896</v>
      </c>
      <c r="C1208" s="1" t="s">
        <v>101</v>
      </c>
      <c r="D1208" s="1" t="s">
        <v>101</v>
      </c>
      <c r="E1208" s="81">
        <v>0</v>
      </c>
      <c r="F1208" s="81">
        <v>0</v>
      </c>
    </row>
    <row r="1209" spans="1:6" x14ac:dyDescent="0.2">
      <c r="A1209" s="1" t="s">
        <v>179</v>
      </c>
      <c r="B1209" s="1" t="s">
        <v>1897</v>
      </c>
      <c r="C1209" s="1" t="s">
        <v>101</v>
      </c>
      <c r="D1209" s="1" t="s">
        <v>101</v>
      </c>
      <c r="E1209" s="81">
        <v>0</v>
      </c>
      <c r="F1209" s="81">
        <v>0</v>
      </c>
    </row>
    <row r="1210" spans="1:6" x14ac:dyDescent="0.2">
      <c r="A1210" s="1" t="s">
        <v>179</v>
      </c>
      <c r="B1210" s="1" t="s">
        <v>1898</v>
      </c>
      <c r="C1210" s="1" t="s">
        <v>101</v>
      </c>
      <c r="D1210" s="1" t="s">
        <v>101</v>
      </c>
      <c r="E1210" s="81">
        <v>0</v>
      </c>
      <c r="F1210" s="81">
        <v>0</v>
      </c>
    </row>
    <row r="1211" spans="1:6" x14ac:dyDescent="0.2">
      <c r="A1211" s="1" t="s">
        <v>179</v>
      </c>
      <c r="B1211" s="1" t="s">
        <v>1899</v>
      </c>
      <c r="C1211" s="1" t="s">
        <v>101</v>
      </c>
      <c r="D1211" s="1" t="s">
        <v>101</v>
      </c>
      <c r="E1211" s="81">
        <v>0</v>
      </c>
      <c r="F1211" s="81">
        <v>0</v>
      </c>
    </row>
    <row r="1212" spans="1:6" x14ac:dyDescent="0.2">
      <c r="A1212" s="1" t="s">
        <v>179</v>
      </c>
      <c r="B1212" s="1" t="s">
        <v>1900</v>
      </c>
      <c r="C1212" s="1" t="s">
        <v>3969</v>
      </c>
      <c r="D1212" s="1" t="s">
        <v>3969</v>
      </c>
      <c r="E1212" s="81">
        <v>522333.53</v>
      </c>
      <c r="F1212" s="81">
        <v>522333.53</v>
      </c>
    </row>
    <row r="1213" spans="1:6" x14ac:dyDescent="0.2">
      <c r="A1213" s="1" t="s">
        <v>179</v>
      </c>
      <c r="B1213" s="1" t="s">
        <v>1901</v>
      </c>
      <c r="C1213" s="1" t="s">
        <v>3973</v>
      </c>
      <c r="D1213" s="1" t="s">
        <v>3973</v>
      </c>
      <c r="E1213" s="81">
        <v>563555.39</v>
      </c>
      <c r="F1213" s="81">
        <v>563555.39</v>
      </c>
    </row>
    <row r="1214" spans="1:6" x14ac:dyDescent="0.2">
      <c r="A1214" s="1" t="s">
        <v>179</v>
      </c>
      <c r="B1214" s="1" t="s">
        <v>1902</v>
      </c>
      <c r="C1214" s="1" t="s">
        <v>3974</v>
      </c>
      <c r="D1214" s="1" t="s">
        <v>3974</v>
      </c>
      <c r="E1214" s="81">
        <v>527991.12</v>
      </c>
      <c r="F1214" s="81">
        <v>527991.12</v>
      </c>
    </row>
    <row r="1215" spans="1:6" x14ac:dyDescent="0.2">
      <c r="A1215" s="1" t="s">
        <v>179</v>
      </c>
      <c r="B1215" s="1" t="s">
        <v>1903</v>
      </c>
      <c r="C1215" s="1" t="s">
        <v>3975</v>
      </c>
      <c r="D1215" s="1" t="s">
        <v>3975</v>
      </c>
      <c r="E1215" s="81">
        <v>571446.17000000004</v>
      </c>
      <c r="F1215" s="81">
        <v>571446.17000000004</v>
      </c>
    </row>
    <row r="1216" spans="1:6" x14ac:dyDescent="0.2">
      <c r="A1216" s="1" t="s">
        <v>179</v>
      </c>
      <c r="B1216" s="1" t="s">
        <v>1904</v>
      </c>
      <c r="C1216" s="1" t="s">
        <v>101</v>
      </c>
      <c r="D1216" s="1" t="s">
        <v>101</v>
      </c>
      <c r="E1216" s="81">
        <v>0</v>
      </c>
      <c r="F1216" s="81">
        <v>0</v>
      </c>
    </row>
    <row r="1217" spans="1:6" x14ac:dyDescent="0.2">
      <c r="A1217" s="1" t="s">
        <v>179</v>
      </c>
      <c r="B1217" s="1" t="s">
        <v>1905</v>
      </c>
      <c r="C1217" s="1" t="s">
        <v>101</v>
      </c>
      <c r="D1217" s="1" t="s">
        <v>101</v>
      </c>
      <c r="E1217" s="81">
        <v>0</v>
      </c>
      <c r="F1217" s="81">
        <v>0</v>
      </c>
    </row>
    <row r="1218" spans="1:6" x14ac:dyDescent="0.2">
      <c r="A1218" s="1" t="s">
        <v>179</v>
      </c>
      <c r="B1218" s="1" t="s">
        <v>1906</v>
      </c>
      <c r="C1218" s="1" t="s">
        <v>101</v>
      </c>
      <c r="D1218" s="1" t="s">
        <v>101</v>
      </c>
      <c r="E1218" s="81">
        <v>0</v>
      </c>
      <c r="F1218" s="81">
        <v>0</v>
      </c>
    </row>
    <row r="1219" spans="1:6" x14ac:dyDescent="0.2">
      <c r="A1219" s="1" t="s">
        <v>179</v>
      </c>
      <c r="B1219" s="1" t="s">
        <v>1907</v>
      </c>
      <c r="C1219" s="1" t="s">
        <v>101</v>
      </c>
      <c r="D1219" s="1" t="s">
        <v>101</v>
      </c>
      <c r="E1219" s="81">
        <v>0</v>
      </c>
      <c r="F1219" s="81">
        <v>0</v>
      </c>
    </row>
    <row r="1220" spans="1:6" x14ac:dyDescent="0.2">
      <c r="A1220" s="1" t="s">
        <v>179</v>
      </c>
      <c r="B1220" s="1" t="s">
        <v>1908</v>
      </c>
      <c r="C1220" s="1" t="s">
        <v>101</v>
      </c>
      <c r="D1220" s="1" t="s">
        <v>101</v>
      </c>
      <c r="E1220" s="81">
        <v>0</v>
      </c>
      <c r="F1220" s="81">
        <v>0</v>
      </c>
    </row>
    <row r="1221" spans="1:6" x14ac:dyDescent="0.2">
      <c r="A1221" s="1" t="s">
        <v>179</v>
      </c>
      <c r="B1221" s="1" t="s">
        <v>1909</v>
      </c>
      <c r="C1221" s="1" t="s">
        <v>101</v>
      </c>
      <c r="D1221" s="1" t="s">
        <v>101</v>
      </c>
      <c r="E1221" s="81">
        <v>0</v>
      </c>
      <c r="F1221" s="81">
        <v>0</v>
      </c>
    </row>
    <row r="1222" spans="1:6" x14ac:dyDescent="0.2">
      <c r="A1222" s="1" t="s">
        <v>179</v>
      </c>
      <c r="B1222" s="1" t="s">
        <v>1910</v>
      </c>
      <c r="C1222" s="1" t="s">
        <v>101</v>
      </c>
      <c r="D1222" s="1" t="s">
        <v>101</v>
      </c>
      <c r="E1222" s="81">
        <v>0</v>
      </c>
      <c r="F1222" s="81">
        <v>0</v>
      </c>
    </row>
    <row r="1223" spans="1:6" x14ac:dyDescent="0.2">
      <c r="A1223" s="1" t="s">
        <v>179</v>
      </c>
      <c r="B1223" s="1" t="s">
        <v>1911</v>
      </c>
      <c r="C1223" s="1" t="s">
        <v>101</v>
      </c>
      <c r="D1223" s="1" t="s">
        <v>101</v>
      </c>
      <c r="E1223" s="81">
        <v>0</v>
      </c>
      <c r="F1223" s="81">
        <v>0</v>
      </c>
    </row>
    <row r="1224" spans="1:6" x14ac:dyDescent="0.2">
      <c r="A1224" s="1" t="s">
        <v>179</v>
      </c>
      <c r="B1224" s="1" t="s">
        <v>1912</v>
      </c>
      <c r="C1224" s="1" t="s">
        <v>101</v>
      </c>
      <c r="D1224" s="1" t="s">
        <v>101</v>
      </c>
      <c r="E1224" s="81">
        <v>0</v>
      </c>
      <c r="F1224" s="81">
        <v>0</v>
      </c>
    </row>
    <row r="1225" spans="1:6" x14ac:dyDescent="0.2">
      <c r="A1225" s="1" t="s">
        <v>179</v>
      </c>
      <c r="B1225" s="1" t="s">
        <v>1913</v>
      </c>
      <c r="C1225" s="1" t="s">
        <v>3976</v>
      </c>
      <c r="D1225" s="1" t="s">
        <v>3976</v>
      </c>
      <c r="E1225" s="81">
        <v>1662992.68</v>
      </c>
      <c r="F1225" s="81">
        <v>1662992.68</v>
      </c>
    </row>
    <row r="1226" spans="1:6" x14ac:dyDescent="0.2">
      <c r="A1226" s="1" t="s">
        <v>179</v>
      </c>
      <c r="B1226" s="1" t="s">
        <v>1914</v>
      </c>
      <c r="C1226" s="1" t="s">
        <v>3977</v>
      </c>
      <c r="D1226" s="1" t="s">
        <v>3977</v>
      </c>
      <c r="E1226" s="81">
        <v>442489.64</v>
      </c>
      <c r="F1226" s="81">
        <v>442489.64</v>
      </c>
    </row>
    <row r="1227" spans="1:6" x14ac:dyDescent="0.2">
      <c r="A1227" s="1" t="s">
        <v>179</v>
      </c>
      <c r="B1227" s="1" t="s">
        <v>1915</v>
      </c>
      <c r="C1227" s="1" t="s">
        <v>3978</v>
      </c>
      <c r="D1227" s="1" t="s">
        <v>3978</v>
      </c>
      <c r="E1227" s="81">
        <v>412399.33</v>
      </c>
      <c r="F1227" s="81">
        <v>412399.33</v>
      </c>
    </row>
    <row r="1228" spans="1:6" x14ac:dyDescent="0.2">
      <c r="A1228" s="1" t="s">
        <v>179</v>
      </c>
      <c r="B1228" s="1" t="s">
        <v>1916</v>
      </c>
      <c r="C1228" s="1" t="s">
        <v>3979</v>
      </c>
      <c r="D1228" s="1" t="s">
        <v>3979</v>
      </c>
      <c r="E1228" s="81">
        <v>448833.24</v>
      </c>
      <c r="F1228" s="81">
        <v>448833.24</v>
      </c>
    </row>
    <row r="1229" spans="1:6" x14ac:dyDescent="0.2">
      <c r="A1229" s="1" t="s">
        <v>179</v>
      </c>
      <c r="B1229" s="1" t="s">
        <v>1917</v>
      </c>
      <c r="C1229" s="1" t="s">
        <v>101</v>
      </c>
      <c r="D1229" s="1" t="s">
        <v>101</v>
      </c>
      <c r="E1229" s="81">
        <v>0</v>
      </c>
      <c r="F1229" s="81">
        <v>0</v>
      </c>
    </row>
    <row r="1230" spans="1:6" x14ac:dyDescent="0.2">
      <c r="A1230" s="1" t="s">
        <v>179</v>
      </c>
      <c r="B1230" s="1" t="s">
        <v>1918</v>
      </c>
      <c r="C1230" s="1" t="s">
        <v>101</v>
      </c>
      <c r="D1230" s="1" t="s">
        <v>101</v>
      </c>
      <c r="E1230" s="81">
        <v>0</v>
      </c>
      <c r="F1230" s="81">
        <v>0</v>
      </c>
    </row>
    <row r="1231" spans="1:6" x14ac:dyDescent="0.2">
      <c r="A1231" s="1" t="s">
        <v>179</v>
      </c>
      <c r="B1231" s="1" t="s">
        <v>1919</v>
      </c>
      <c r="C1231" s="1" t="s">
        <v>101</v>
      </c>
      <c r="D1231" s="1" t="s">
        <v>101</v>
      </c>
      <c r="E1231" s="81">
        <v>0</v>
      </c>
      <c r="F1231" s="81">
        <v>0</v>
      </c>
    </row>
    <row r="1232" spans="1:6" x14ac:dyDescent="0.2">
      <c r="A1232" s="1" t="s">
        <v>179</v>
      </c>
      <c r="B1232" s="1" t="s">
        <v>1920</v>
      </c>
      <c r="C1232" s="1" t="s">
        <v>101</v>
      </c>
      <c r="D1232" s="1" t="s">
        <v>101</v>
      </c>
      <c r="E1232" s="81">
        <v>0</v>
      </c>
      <c r="F1232" s="81">
        <v>0</v>
      </c>
    </row>
    <row r="1233" spans="1:6" x14ac:dyDescent="0.2">
      <c r="A1233" s="1" t="s">
        <v>179</v>
      </c>
      <c r="B1233" s="1" t="s">
        <v>1921</v>
      </c>
      <c r="C1233" s="1" t="s">
        <v>101</v>
      </c>
      <c r="D1233" s="1" t="s">
        <v>101</v>
      </c>
      <c r="E1233" s="81">
        <v>0</v>
      </c>
      <c r="F1233" s="81">
        <v>0</v>
      </c>
    </row>
    <row r="1234" spans="1:6" x14ac:dyDescent="0.2">
      <c r="A1234" s="1" t="s">
        <v>179</v>
      </c>
      <c r="B1234" s="1" t="s">
        <v>1922</v>
      </c>
      <c r="C1234" s="1" t="s">
        <v>101</v>
      </c>
      <c r="D1234" s="1" t="s">
        <v>101</v>
      </c>
      <c r="E1234" s="81">
        <v>0</v>
      </c>
      <c r="F1234" s="81">
        <v>0</v>
      </c>
    </row>
    <row r="1235" spans="1:6" x14ac:dyDescent="0.2">
      <c r="A1235" s="1" t="s">
        <v>179</v>
      </c>
      <c r="B1235" s="1" t="s">
        <v>1923</v>
      </c>
      <c r="C1235" s="1" t="s">
        <v>101</v>
      </c>
      <c r="D1235" s="1" t="s">
        <v>101</v>
      </c>
      <c r="E1235" s="81">
        <v>0</v>
      </c>
      <c r="F1235" s="81">
        <v>0</v>
      </c>
    </row>
    <row r="1236" spans="1:6" x14ac:dyDescent="0.2">
      <c r="A1236" s="1" t="s">
        <v>179</v>
      </c>
      <c r="B1236" s="1" t="s">
        <v>1924</v>
      </c>
      <c r="C1236" s="1" t="s">
        <v>101</v>
      </c>
      <c r="D1236" s="1" t="s">
        <v>101</v>
      </c>
      <c r="E1236" s="81">
        <v>0</v>
      </c>
      <c r="F1236" s="81">
        <v>0</v>
      </c>
    </row>
    <row r="1237" spans="1:6" x14ac:dyDescent="0.2">
      <c r="A1237" s="1" t="s">
        <v>179</v>
      </c>
      <c r="B1237" s="1" t="s">
        <v>1925</v>
      </c>
      <c r="C1237" s="1" t="s">
        <v>101</v>
      </c>
      <c r="D1237" s="1" t="s">
        <v>101</v>
      </c>
      <c r="E1237" s="81">
        <v>0</v>
      </c>
      <c r="F1237" s="81">
        <v>0</v>
      </c>
    </row>
    <row r="1238" spans="1:6" x14ac:dyDescent="0.2">
      <c r="A1238" s="1" t="s">
        <v>179</v>
      </c>
      <c r="B1238" s="1" t="s">
        <v>1926</v>
      </c>
      <c r="C1238" s="1" t="s">
        <v>3980</v>
      </c>
      <c r="D1238" s="1" t="s">
        <v>3980</v>
      </c>
      <c r="E1238" s="81">
        <v>121928.75</v>
      </c>
      <c r="F1238" s="81">
        <v>121928.75</v>
      </c>
    </row>
    <row r="1239" spans="1:6" x14ac:dyDescent="0.2">
      <c r="A1239" s="1" t="s">
        <v>179</v>
      </c>
      <c r="B1239" s="1" t="s">
        <v>1927</v>
      </c>
      <c r="C1239" s="1" t="s">
        <v>3981</v>
      </c>
      <c r="D1239" s="1" t="s">
        <v>3981</v>
      </c>
      <c r="E1239" s="81">
        <v>116499.38</v>
      </c>
      <c r="F1239" s="81">
        <v>116499.38</v>
      </c>
    </row>
    <row r="1240" spans="1:6" x14ac:dyDescent="0.2">
      <c r="A1240" s="1" t="s">
        <v>179</v>
      </c>
      <c r="B1240" s="1" t="s">
        <v>1928</v>
      </c>
      <c r="C1240" s="1" t="s">
        <v>3982</v>
      </c>
      <c r="D1240" s="1" t="s">
        <v>3982</v>
      </c>
      <c r="E1240" s="81">
        <v>123520.11</v>
      </c>
      <c r="F1240" s="81">
        <v>123520.11</v>
      </c>
    </row>
    <row r="1241" spans="1:6" x14ac:dyDescent="0.2">
      <c r="A1241" s="1" t="s">
        <v>179</v>
      </c>
      <c r="B1241" s="1" t="s">
        <v>1929</v>
      </c>
      <c r="C1241" s="1" t="s">
        <v>101</v>
      </c>
      <c r="D1241" s="1" t="s">
        <v>101</v>
      </c>
      <c r="E1241" s="81">
        <v>0</v>
      </c>
      <c r="F1241" s="81">
        <v>0</v>
      </c>
    </row>
    <row r="1242" spans="1:6" x14ac:dyDescent="0.2">
      <c r="A1242" s="1" t="s">
        <v>179</v>
      </c>
      <c r="B1242" s="1" t="s">
        <v>1930</v>
      </c>
      <c r="C1242" s="1" t="s">
        <v>101</v>
      </c>
      <c r="D1242" s="1" t="s">
        <v>101</v>
      </c>
      <c r="E1242" s="81">
        <v>0</v>
      </c>
      <c r="F1242" s="81">
        <v>0</v>
      </c>
    </row>
    <row r="1243" spans="1:6" x14ac:dyDescent="0.2">
      <c r="A1243" s="1" t="s">
        <v>179</v>
      </c>
      <c r="B1243" s="1" t="s">
        <v>1931</v>
      </c>
      <c r="C1243" s="1" t="s">
        <v>101</v>
      </c>
      <c r="D1243" s="1" t="s">
        <v>101</v>
      </c>
      <c r="E1243" s="81">
        <v>0</v>
      </c>
      <c r="F1243" s="81">
        <v>0</v>
      </c>
    </row>
    <row r="1244" spans="1:6" x14ac:dyDescent="0.2">
      <c r="A1244" s="1" t="s">
        <v>179</v>
      </c>
      <c r="B1244" s="1" t="s">
        <v>1932</v>
      </c>
      <c r="C1244" s="1" t="s">
        <v>101</v>
      </c>
      <c r="D1244" s="1" t="s">
        <v>101</v>
      </c>
      <c r="E1244" s="81">
        <v>0</v>
      </c>
      <c r="F1244" s="81">
        <v>0</v>
      </c>
    </row>
    <row r="1245" spans="1:6" x14ac:dyDescent="0.2">
      <c r="A1245" s="1" t="s">
        <v>179</v>
      </c>
      <c r="B1245" s="1" t="s">
        <v>1933</v>
      </c>
      <c r="C1245" s="1" t="s">
        <v>101</v>
      </c>
      <c r="D1245" s="1" t="s">
        <v>101</v>
      </c>
      <c r="E1245" s="81">
        <v>0</v>
      </c>
      <c r="F1245" s="81">
        <v>0</v>
      </c>
    </row>
    <row r="1246" spans="1:6" x14ac:dyDescent="0.2">
      <c r="A1246" s="1" t="s">
        <v>179</v>
      </c>
      <c r="B1246" s="1" t="s">
        <v>1934</v>
      </c>
      <c r="C1246" s="1" t="s">
        <v>101</v>
      </c>
      <c r="D1246" s="1" t="s">
        <v>101</v>
      </c>
      <c r="E1246" s="81">
        <v>0</v>
      </c>
      <c r="F1246" s="81">
        <v>0</v>
      </c>
    </row>
    <row r="1247" spans="1:6" x14ac:dyDescent="0.2">
      <c r="A1247" s="1" t="s">
        <v>179</v>
      </c>
      <c r="B1247" s="1" t="s">
        <v>1935</v>
      </c>
      <c r="C1247" s="1" t="s">
        <v>101</v>
      </c>
      <c r="D1247" s="1" t="s">
        <v>101</v>
      </c>
      <c r="E1247" s="81">
        <v>0</v>
      </c>
      <c r="F1247" s="81">
        <v>0</v>
      </c>
    </row>
    <row r="1248" spans="1:6" x14ac:dyDescent="0.2">
      <c r="A1248" s="1" t="s">
        <v>179</v>
      </c>
      <c r="B1248" s="1" t="s">
        <v>1936</v>
      </c>
      <c r="C1248" s="1" t="s">
        <v>101</v>
      </c>
      <c r="D1248" s="1" t="s">
        <v>101</v>
      </c>
      <c r="E1248" s="81">
        <v>0</v>
      </c>
      <c r="F1248" s="81">
        <v>0</v>
      </c>
    </row>
    <row r="1249" spans="1:6" x14ac:dyDescent="0.2">
      <c r="A1249" s="1" t="s">
        <v>179</v>
      </c>
      <c r="B1249" s="1" t="s">
        <v>1937</v>
      </c>
      <c r="C1249" s="1" t="s">
        <v>101</v>
      </c>
      <c r="D1249" s="1" t="s">
        <v>101</v>
      </c>
      <c r="E1249" s="81">
        <v>0</v>
      </c>
      <c r="F1249" s="81">
        <v>0</v>
      </c>
    </row>
    <row r="1250" spans="1:6" x14ac:dyDescent="0.2">
      <c r="A1250" s="1" t="s">
        <v>179</v>
      </c>
      <c r="B1250" s="1" t="s">
        <v>1938</v>
      </c>
      <c r="C1250" s="1" t="s">
        <v>101</v>
      </c>
      <c r="D1250" s="1" t="s">
        <v>101</v>
      </c>
      <c r="E1250" s="81">
        <v>0</v>
      </c>
      <c r="F1250" s="81">
        <v>0</v>
      </c>
    </row>
    <row r="1251" spans="1:6" x14ac:dyDescent="0.2">
      <c r="A1251" s="1" t="s">
        <v>179</v>
      </c>
      <c r="B1251" s="1" t="s">
        <v>1939</v>
      </c>
      <c r="C1251" s="1" t="s">
        <v>101</v>
      </c>
      <c r="D1251" s="1" t="s">
        <v>101</v>
      </c>
      <c r="E1251" s="81">
        <v>0</v>
      </c>
      <c r="F1251" s="81">
        <v>0</v>
      </c>
    </row>
    <row r="1252" spans="1:6" x14ac:dyDescent="0.2">
      <c r="A1252" s="1" t="s">
        <v>179</v>
      </c>
      <c r="B1252" s="1" t="s">
        <v>1940</v>
      </c>
      <c r="C1252" s="1" t="s">
        <v>101</v>
      </c>
      <c r="D1252" s="1" t="s">
        <v>101</v>
      </c>
      <c r="E1252" s="81">
        <v>0</v>
      </c>
      <c r="F1252" s="81">
        <v>0</v>
      </c>
    </row>
    <row r="1253" spans="1:6" x14ac:dyDescent="0.2">
      <c r="A1253" s="1" t="s">
        <v>179</v>
      </c>
      <c r="B1253" s="1" t="s">
        <v>1941</v>
      </c>
      <c r="C1253" s="1" t="s">
        <v>101</v>
      </c>
      <c r="D1253" s="1" t="s">
        <v>101</v>
      </c>
      <c r="E1253" s="81">
        <v>0</v>
      </c>
      <c r="F1253" s="81">
        <v>0</v>
      </c>
    </row>
    <row r="1254" spans="1:6" x14ac:dyDescent="0.2">
      <c r="A1254" s="1" t="s">
        <v>179</v>
      </c>
      <c r="B1254" s="1" t="s">
        <v>1942</v>
      </c>
      <c r="C1254" s="1" t="s">
        <v>101</v>
      </c>
      <c r="D1254" s="1" t="s">
        <v>101</v>
      </c>
      <c r="E1254" s="81">
        <v>0</v>
      </c>
      <c r="F1254" s="81">
        <v>0</v>
      </c>
    </row>
    <row r="1255" spans="1:6" x14ac:dyDescent="0.2">
      <c r="A1255" s="1" t="s">
        <v>179</v>
      </c>
      <c r="B1255" s="1" t="s">
        <v>1943</v>
      </c>
      <c r="C1255" s="1" t="s">
        <v>101</v>
      </c>
      <c r="D1255" s="1" t="s">
        <v>101</v>
      </c>
      <c r="E1255" s="81">
        <v>0</v>
      </c>
      <c r="F1255" s="81">
        <v>0</v>
      </c>
    </row>
    <row r="1256" spans="1:6" x14ac:dyDescent="0.2">
      <c r="A1256" s="1" t="s">
        <v>179</v>
      </c>
      <c r="B1256" s="1" t="s">
        <v>1944</v>
      </c>
      <c r="C1256" s="1" t="s">
        <v>101</v>
      </c>
      <c r="D1256" s="1" t="s">
        <v>101</v>
      </c>
      <c r="E1256" s="81">
        <v>0</v>
      </c>
      <c r="F1256" s="81">
        <v>0</v>
      </c>
    </row>
    <row r="1257" spans="1:6" x14ac:dyDescent="0.2">
      <c r="A1257" s="1" t="s">
        <v>179</v>
      </c>
      <c r="B1257" s="1" t="s">
        <v>1945</v>
      </c>
      <c r="C1257" s="1" t="s">
        <v>101</v>
      </c>
      <c r="D1257" s="1" t="s">
        <v>101</v>
      </c>
      <c r="E1257" s="81">
        <v>0</v>
      </c>
      <c r="F1257" s="81">
        <v>0</v>
      </c>
    </row>
    <row r="1258" spans="1:6" x14ac:dyDescent="0.2">
      <c r="A1258" s="1" t="s">
        <v>179</v>
      </c>
      <c r="B1258" s="1" t="s">
        <v>1946</v>
      </c>
      <c r="C1258" s="1" t="s">
        <v>101</v>
      </c>
      <c r="D1258" s="1" t="s">
        <v>101</v>
      </c>
      <c r="E1258" s="81">
        <v>0</v>
      </c>
      <c r="F1258" s="81">
        <v>0</v>
      </c>
    </row>
    <row r="1259" spans="1:6" x14ac:dyDescent="0.2">
      <c r="A1259" s="1" t="s">
        <v>179</v>
      </c>
      <c r="B1259" s="1" t="s">
        <v>1947</v>
      </c>
      <c r="C1259" s="1" t="s">
        <v>101</v>
      </c>
      <c r="D1259" s="1" t="s">
        <v>101</v>
      </c>
      <c r="E1259" s="81">
        <v>0</v>
      </c>
      <c r="F1259" s="81">
        <v>0</v>
      </c>
    </row>
    <row r="1260" spans="1:6" x14ac:dyDescent="0.2">
      <c r="A1260" s="1" t="s">
        <v>179</v>
      </c>
      <c r="B1260" s="1" t="s">
        <v>1948</v>
      </c>
      <c r="C1260" s="1" t="s">
        <v>101</v>
      </c>
      <c r="D1260" s="1" t="s">
        <v>101</v>
      </c>
      <c r="E1260" s="81">
        <v>0</v>
      </c>
      <c r="F1260" s="81">
        <v>0</v>
      </c>
    </row>
    <row r="1261" spans="1:6" x14ac:dyDescent="0.2">
      <c r="A1261" s="1" t="s">
        <v>179</v>
      </c>
      <c r="B1261" s="1" t="s">
        <v>1949</v>
      </c>
      <c r="C1261" s="1" t="s">
        <v>101</v>
      </c>
      <c r="D1261" s="1" t="s">
        <v>101</v>
      </c>
      <c r="E1261" s="81">
        <v>0</v>
      </c>
      <c r="F1261" s="81">
        <v>0</v>
      </c>
    </row>
    <row r="1262" spans="1:6" x14ac:dyDescent="0.2">
      <c r="A1262" s="1" t="s">
        <v>179</v>
      </c>
      <c r="B1262" s="1" t="s">
        <v>1950</v>
      </c>
      <c r="C1262" s="1" t="s">
        <v>3973</v>
      </c>
      <c r="D1262" s="1" t="s">
        <v>3973</v>
      </c>
      <c r="E1262" s="81">
        <v>563555.39</v>
      </c>
      <c r="F1262" s="81">
        <v>563555.39</v>
      </c>
    </row>
    <row r="1263" spans="1:6" x14ac:dyDescent="0.2">
      <c r="A1263" s="1" t="s">
        <v>179</v>
      </c>
      <c r="B1263" s="1" t="s">
        <v>1951</v>
      </c>
      <c r="C1263" s="1" t="s">
        <v>3974</v>
      </c>
      <c r="D1263" s="1" t="s">
        <v>3974</v>
      </c>
      <c r="E1263" s="81">
        <v>527991.12</v>
      </c>
      <c r="F1263" s="81">
        <v>527991.12</v>
      </c>
    </row>
    <row r="1264" spans="1:6" x14ac:dyDescent="0.2">
      <c r="A1264" s="1" t="s">
        <v>179</v>
      </c>
      <c r="B1264" s="1" t="s">
        <v>1952</v>
      </c>
      <c r="C1264" s="1" t="s">
        <v>3975</v>
      </c>
      <c r="D1264" s="1" t="s">
        <v>3975</v>
      </c>
      <c r="E1264" s="81">
        <v>571446.17000000004</v>
      </c>
      <c r="F1264" s="81">
        <v>571446.17000000004</v>
      </c>
    </row>
    <row r="1265" spans="1:6" x14ac:dyDescent="0.2">
      <c r="A1265" s="1" t="s">
        <v>179</v>
      </c>
      <c r="B1265" s="1" t="s">
        <v>1953</v>
      </c>
      <c r="C1265" s="1" t="s">
        <v>101</v>
      </c>
      <c r="D1265" s="1" t="s">
        <v>101</v>
      </c>
      <c r="E1265" s="81">
        <v>0</v>
      </c>
      <c r="F1265" s="81">
        <v>0</v>
      </c>
    </row>
    <row r="1266" spans="1:6" x14ac:dyDescent="0.2">
      <c r="A1266" s="1" t="s">
        <v>179</v>
      </c>
      <c r="B1266" s="1" t="s">
        <v>1954</v>
      </c>
      <c r="C1266" s="1" t="s">
        <v>101</v>
      </c>
      <c r="D1266" s="1" t="s">
        <v>101</v>
      </c>
      <c r="E1266" s="81">
        <v>0</v>
      </c>
      <c r="F1266" s="81">
        <v>0</v>
      </c>
    </row>
    <row r="1267" spans="1:6" x14ac:dyDescent="0.2">
      <c r="A1267" s="1" t="s">
        <v>179</v>
      </c>
      <c r="B1267" s="1" t="s">
        <v>1955</v>
      </c>
      <c r="C1267" s="1" t="s">
        <v>101</v>
      </c>
      <c r="D1267" s="1" t="s">
        <v>101</v>
      </c>
      <c r="E1267" s="81">
        <v>0</v>
      </c>
      <c r="F1267" s="81">
        <v>0</v>
      </c>
    </row>
    <row r="1268" spans="1:6" x14ac:dyDescent="0.2">
      <c r="A1268" s="1" t="s">
        <v>179</v>
      </c>
      <c r="B1268" s="1" t="s">
        <v>1956</v>
      </c>
      <c r="C1268" s="1" t="s">
        <v>101</v>
      </c>
      <c r="D1268" s="1" t="s">
        <v>101</v>
      </c>
      <c r="E1268" s="81">
        <v>0</v>
      </c>
      <c r="F1268" s="81">
        <v>0</v>
      </c>
    </row>
    <row r="1269" spans="1:6" x14ac:dyDescent="0.2">
      <c r="A1269" s="1" t="s">
        <v>179</v>
      </c>
      <c r="B1269" s="1" t="s">
        <v>1957</v>
      </c>
      <c r="C1269" s="1" t="s">
        <v>101</v>
      </c>
      <c r="D1269" s="1" t="s">
        <v>101</v>
      </c>
      <c r="E1269" s="81">
        <v>0</v>
      </c>
      <c r="F1269" s="81">
        <v>0</v>
      </c>
    </row>
    <row r="1270" spans="1:6" x14ac:dyDescent="0.2">
      <c r="A1270" s="1" t="s">
        <v>179</v>
      </c>
      <c r="B1270" s="1" t="s">
        <v>1958</v>
      </c>
      <c r="C1270" s="1" t="s">
        <v>101</v>
      </c>
      <c r="D1270" s="1" t="s">
        <v>101</v>
      </c>
      <c r="E1270" s="81">
        <v>0</v>
      </c>
      <c r="F1270" s="81">
        <v>0</v>
      </c>
    </row>
    <row r="1271" spans="1:6" x14ac:dyDescent="0.2">
      <c r="A1271" s="1" t="s">
        <v>179</v>
      </c>
      <c r="B1271" s="1" t="s">
        <v>1959</v>
      </c>
      <c r="C1271" s="1" t="s">
        <v>101</v>
      </c>
      <c r="D1271" s="1" t="s">
        <v>101</v>
      </c>
      <c r="E1271" s="81">
        <v>0</v>
      </c>
      <c r="F1271" s="81">
        <v>0</v>
      </c>
    </row>
    <row r="1272" spans="1:6" x14ac:dyDescent="0.2">
      <c r="A1272" s="1" t="s">
        <v>179</v>
      </c>
      <c r="B1272" s="1" t="s">
        <v>1960</v>
      </c>
      <c r="C1272" s="1" t="s">
        <v>101</v>
      </c>
      <c r="D1272" s="1" t="s">
        <v>101</v>
      </c>
      <c r="E1272" s="81">
        <v>0</v>
      </c>
      <c r="F1272" s="81">
        <v>0</v>
      </c>
    </row>
    <row r="1273" spans="1:6" x14ac:dyDescent="0.2">
      <c r="A1273" s="1" t="s">
        <v>179</v>
      </c>
      <c r="B1273" s="1" t="s">
        <v>1961</v>
      </c>
      <c r="C1273" s="1" t="s">
        <v>101</v>
      </c>
      <c r="D1273" s="1" t="s">
        <v>101</v>
      </c>
      <c r="E1273" s="81">
        <v>0</v>
      </c>
      <c r="F1273" s="81">
        <v>0</v>
      </c>
    </row>
    <row r="1274" spans="1:6" x14ac:dyDescent="0.2">
      <c r="A1274" s="1" t="s">
        <v>179</v>
      </c>
      <c r="B1274" s="1" t="s">
        <v>1962</v>
      </c>
      <c r="C1274" s="1" t="s">
        <v>3976</v>
      </c>
      <c r="D1274" s="1" t="s">
        <v>3976</v>
      </c>
      <c r="E1274" s="81">
        <v>1662992.68</v>
      </c>
      <c r="F1274" s="81">
        <v>1662992.68</v>
      </c>
    </row>
    <row r="1275" spans="1:6" x14ac:dyDescent="0.2">
      <c r="A1275" s="1" t="s">
        <v>179</v>
      </c>
      <c r="B1275" s="1" t="s">
        <v>1963</v>
      </c>
      <c r="C1275" s="1" t="s">
        <v>101</v>
      </c>
      <c r="D1275" s="1" t="s">
        <v>101</v>
      </c>
      <c r="E1275" s="81">
        <v>0</v>
      </c>
      <c r="F1275" s="81">
        <v>0</v>
      </c>
    </row>
    <row r="1276" spans="1:6" x14ac:dyDescent="0.2">
      <c r="A1276" s="1" t="s">
        <v>179</v>
      </c>
      <c r="B1276" s="1" t="s">
        <v>1964</v>
      </c>
      <c r="C1276" s="1" t="s">
        <v>101</v>
      </c>
      <c r="D1276" s="1" t="s">
        <v>101</v>
      </c>
      <c r="E1276" s="81">
        <v>0</v>
      </c>
      <c r="F1276" s="81">
        <v>0</v>
      </c>
    </row>
    <row r="1277" spans="1:6" x14ac:dyDescent="0.2">
      <c r="A1277" s="1" t="s">
        <v>179</v>
      </c>
      <c r="B1277" s="1" t="s">
        <v>1965</v>
      </c>
      <c r="C1277" s="1" t="s">
        <v>3983</v>
      </c>
      <c r="D1277" s="1" t="s">
        <v>3983</v>
      </c>
      <c r="E1277" s="81">
        <v>188854.15</v>
      </c>
      <c r="F1277" s="81">
        <v>188854.15</v>
      </c>
    </row>
    <row r="1278" spans="1:6" x14ac:dyDescent="0.2">
      <c r="A1278" s="1" t="s">
        <v>179</v>
      </c>
      <c r="B1278" s="1" t="s">
        <v>1966</v>
      </c>
      <c r="C1278" s="1" t="s">
        <v>3984</v>
      </c>
      <c r="D1278" s="1" t="s">
        <v>3984</v>
      </c>
      <c r="E1278" s="81">
        <v>178323.68</v>
      </c>
      <c r="F1278" s="81">
        <v>178323.68</v>
      </c>
    </row>
    <row r="1279" spans="1:6" x14ac:dyDescent="0.2">
      <c r="A1279" s="1" t="s">
        <v>179</v>
      </c>
      <c r="B1279" s="1" t="s">
        <v>1967</v>
      </c>
      <c r="C1279" s="1" t="s">
        <v>3985</v>
      </c>
      <c r="D1279" s="1" t="s">
        <v>3985</v>
      </c>
      <c r="E1279" s="81">
        <v>189136.89</v>
      </c>
      <c r="F1279" s="81">
        <v>189136.89</v>
      </c>
    </row>
    <row r="1280" spans="1:6" x14ac:dyDescent="0.2">
      <c r="A1280" s="1" t="s">
        <v>179</v>
      </c>
      <c r="B1280" s="1" t="s">
        <v>1968</v>
      </c>
      <c r="C1280" s="1" t="s">
        <v>101</v>
      </c>
      <c r="D1280" s="1" t="s">
        <v>101</v>
      </c>
      <c r="E1280" s="81">
        <v>0</v>
      </c>
      <c r="F1280" s="81">
        <v>0</v>
      </c>
    </row>
    <row r="1281" spans="1:6" x14ac:dyDescent="0.2">
      <c r="A1281" s="1" t="s">
        <v>179</v>
      </c>
      <c r="B1281" s="1" t="s">
        <v>1969</v>
      </c>
      <c r="C1281" s="1" t="s">
        <v>101</v>
      </c>
      <c r="D1281" s="1" t="s">
        <v>101</v>
      </c>
      <c r="E1281" s="81">
        <v>0</v>
      </c>
      <c r="F1281" s="81">
        <v>0</v>
      </c>
    </row>
    <row r="1282" spans="1:6" x14ac:dyDescent="0.2">
      <c r="A1282" s="1" t="s">
        <v>179</v>
      </c>
      <c r="B1282" s="1" t="s">
        <v>1970</v>
      </c>
      <c r="C1282" s="1" t="s">
        <v>101</v>
      </c>
      <c r="D1282" s="1" t="s">
        <v>101</v>
      </c>
      <c r="E1282" s="81">
        <v>0</v>
      </c>
      <c r="F1282" s="81">
        <v>0</v>
      </c>
    </row>
    <row r="1283" spans="1:6" x14ac:dyDescent="0.2">
      <c r="A1283" s="1" t="s">
        <v>179</v>
      </c>
      <c r="B1283" s="1" t="s">
        <v>1971</v>
      </c>
      <c r="C1283" s="1" t="s">
        <v>101</v>
      </c>
      <c r="D1283" s="1" t="s">
        <v>101</v>
      </c>
      <c r="E1283" s="81">
        <v>0</v>
      </c>
      <c r="F1283" s="81">
        <v>0</v>
      </c>
    </row>
    <row r="1284" spans="1:6" x14ac:dyDescent="0.2">
      <c r="A1284" s="1" t="s">
        <v>179</v>
      </c>
      <c r="B1284" s="1" t="s">
        <v>1972</v>
      </c>
      <c r="C1284" s="1" t="s">
        <v>101</v>
      </c>
      <c r="D1284" s="1" t="s">
        <v>101</v>
      </c>
      <c r="E1284" s="81">
        <v>0</v>
      </c>
      <c r="F1284" s="81">
        <v>0</v>
      </c>
    </row>
    <row r="1285" spans="1:6" x14ac:dyDescent="0.2">
      <c r="A1285" s="1" t="s">
        <v>179</v>
      </c>
      <c r="B1285" s="1" t="s">
        <v>1973</v>
      </c>
      <c r="C1285" s="1" t="s">
        <v>101</v>
      </c>
      <c r="D1285" s="1" t="s">
        <v>101</v>
      </c>
      <c r="E1285" s="81">
        <v>0</v>
      </c>
      <c r="F1285" s="81">
        <v>0</v>
      </c>
    </row>
    <row r="1286" spans="1:6" x14ac:dyDescent="0.2">
      <c r="A1286" s="1" t="s">
        <v>179</v>
      </c>
      <c r="B1286" s="1" t="s">
        <v>1974</v>
      </c>
      <c r="C1286" s="1" t="s">
        <v>101</v>
      </c>
      <c r="D1286" s="1" t="s">
        <v>101</v>
      </c>
      <c r="E1286" s="81">
        <v>0</v>
      </c>
      <c r="F1286" s="81">
        <v>0</v>
      </c>
    </row>
    <row r="1287" spans="1:6" x14ac:dyDescent="0.2">
      <c r="A1287" s="1" t="s">
        <v>179</v>
      </c>
      <c r="B1287" s="1" t="s">
        <v>1975</v>
      </c>
      <c r="C1287" s="1" t="s">
        <v>101</v>
      </c>
      <c r="D1287" s="1" t="s">
        <v>101</v>
      </c>
      <c r="E1287" s="81">
        <v>0</v>
      </c>
      <c r="F1287" s="81">
        <v>0</v>
      </c>
    </row>
    <row r="1288" spans="1:6" x14ac:dyDescent="0.2">
      <c r="A1288" s="1" t="s">
        <v>179</v>
      </c>
      <c r="B1288" s="1" t="s">
        <v>1976</v>
      </c>
      <c r="C1288" s="1" t="s">
        <v>101</v>
      </c>
      <c r="D1288" s="1" t="s">
        <v>101</v>
      </c>
      <c r="E1288" s="81">
        <v>0</v>
      </c>
      <c r="F1288" s="81">
        <v>0</v>
      </c>
    </row>
    <row r="1289" spans="1:6" x14ac:dyDescent="0.2">
      <c r="A1289" s="1" t="s">
        <v>179</v>
      </c>
      <c r="B1289" s="1" t="s">
        <v>1977</v>
      </c>
      <c r="C1289" s="1" t="s">
        <v>3986</v>
      </c>
      <c r="D1289" s="1" t="s">
        <v>3986</v>
      </c>
      <c r="E1289" s="81">
        <v>556314.72</v>
      </c>
      <c r="F1289" s="81">
        <v>556314.72</v>
      </c>
    </row>
    <row r="1290" spans="1:6" x14ac:dyDescent="0.2">
      <c r="A1290" s="1" t="s">
        <v>179</v>
      </c>
      <c r="B1290" s="1" t="s">
        <v>1978</v>
      </c>
      <c r="C1290" s="1" t="s">
        <v>3987</v>
      </c>
      <c r="D1290" s="1" t="s">
        <v>3987</v>
      </c>
      <c r="E1290" s="81">
        <v>147809.39000000001</v>
      </c>
      <c r="F1290" s="81">
        <v>147809.39000000001</v>
      </c>
    </row>
    <row r="1291" spans="1:6" x14ac:dyDescent="0.2">
      <c r="A1291" s="1" t="s">
        <v>179</v>
      </c>
      <c r="B1291" s="1" t="s">
        <v>1979</v>
      </c>
      <c r="C1291" s="1" t="s">
        <v>3988</v>
      </c>
      <c r="D1291" s="1" t="s">
        <v>3988</v>
      </c>
      <c r="E1291" s="81">
        <v>139077.51</v>
      </c>
      <c r="F1291" s="81">
        <v>139077.51</v>
      </c>
    </row>
    <row r="1292" spans="1:6" x14ac:dyDescent="0.2">
      <c r="A1292" s="1" t="s">
        <v>179</v>
      </c>
      <c r="B1292" s="1" t="s">
        <v>1980</v>
      </c>
      <c r="C1292" s="1" t="s">
        <v>3989</v>
      </c>
      <c r="D1292" s="1" t="s">
        <v>3989</v>
      </c>
      <c r="E1292" s="81">
        <v>147977.64000000001</v>
      </c>
      <c r="F1292" s="81">
        <v>147977.64000000001</v>
      </c>
    </row>
    <row r="1293" spans="1:6" x14ac:dyDescent="0.2">
      <c r="A1293" s="1" t="s">
        <v>179</v>
      </c>
      <c r="B1293" s="1" t="s">
        <v>1981</v>
      </c>
      <c r="C1293" s="1" t="s">
        <v>101</v>
      </c>
      <c r="D1293" s="1" t="s">
        <v>101</v>
      </c>
      <c r="E1293" s="81">
        <v>0</v>
      </c>
      <c r="F1293" s="81">
        <v>0</v>
      </c>
    </row>
    <row r="1294" spans="1:6" x14ac:dyDescent="0.2">
      <c r="A1294" s="1" t="s">
        <v>179</v>
      </c>
      <c r="B1294" s="1" t="s">
        <v>1982</v>
      </c>
      <c r="C1294" s="1" t="s">
        <v>101</v>
      </c>
      <c r="D1294" s="1" t="s">
        <v>101</v>
      </c>
      <c r="E1294" s="81">
        <v>0</v>
      </c>
      <c r="F1294" s="81">
        <v>0</v>
      </c>
    </row>
    <row r="1295" spans="1:6" x14ac:dyDescent="0.2">
      <c r="A1295" s="1" t="s">
        <v>179</v>
      </c>
      <c r="B1295" s="1" t="s">
        <v>1983</v>
      </c>
      <c r="C1295" s="1" t="s">
        <v>101</v>
      </c>
      <c r="D1295" s="1" t="s">
        <v>101</v>
      </c>
      <c r="E1295" s="81">
        <v>0</v>
      </c>
      <c r="F1295" s="81">
        <v>0</v>
      </c>
    </row>
    <row r="1296" spans="1:6" x14ac:dyDescent="0.2">
      <c r="A1296" s="1" t="s">
        <v>179</v>
      </c>
      <c r="B1296" s="1" t="s">
        <v>1984</v>
      </c>
      <c r="C1296" s="1" t="s">
        <v>101</v>
      </c>
      <c r="D1296" s="1" t="s">
        <v>101</v>
      </c>
      <c r="E1296" s="81">
        <v>0</v>
      </c>
      <c r="F1296" s="81">
        <v>0</v>
      </c>
    </row>
    <row r="1297" spans="1:6" x14ac:dyDescent="0.2">
      <c r="A1297" s="1" t="s">
        <v>179</v>
      </c>
      <c r="B1297" s="1" t="s">
        <v>1985</v>
      </c>
      <c r="C1297" s="1" t="s">
        <v>101</v>
      </c>
      <c r="D1297" s="1" t="s">
        <v>101</v>
      </c>
      <c r="E1297" s="81">
        <v>0</v>
      </c>
      <c r="F1297" s="81">
        <v>0</v>
      </c>
    </row>
    <row r="1298" spans="1:6" x14ac:dyDescent="0.2">
      <c r="A1298" s="1" t="s">
        <v>179</v>
      </c>
      <c r="B1298" s="1" t="s">
        <v>1986</v>
      </c>
      <c r="C1298" s="1" t="s">
        <v>101</v>
      </c>
      <c r="D1298" s="1" t="s">
        <v>101</v>
      </c>
      <c r="E1298" s="81">
        <v>0</v>
      </c>
      <c r="F1298" s="81">
        <v>0</v>
      </c>
    </row>
    <row r="1299" spans="1:6" x14ac:dyDescent="0.2">
      <c r="A1299" s="1" t="s">
        <v>179</v>
      </c>
      <c r="B1299" s="1" t="s">
        <v>1987</v>
      </c>
      <c r="C1299" s="1" t="s">
        <v>101</v>
      </c>
      <c r="D1299" s="1" t="s">
        <v>101</v>
      </c>
      <c r="E1299" s="81">
        <v>0</v>
      </c>
      <c r="F1299" s="81">
        <v>0</v>
      </c>
    </row>
    <row r="1300" spans="1:6" x14ac:dyDescent="0.2">
      <c r="A1300" s="1" t="s">
        <v>179</v>
      </c>
      <c r="B1300" s="1" t="s">
        <v>1988</v>
      </c>
      <c r="C1300" s="1" t="s">
        <v>101</v>
      </c>
      <c r="D1300" s="1" t="s">
        <v>101</v>
      </c>
      <c r="E1300" s="81">
        <v>0</v>
      </c>
      <c r="F1300" s="81">
        <v>0</v>
      </c>
    </row>
    <row r="1301" spans="1:6" x14ac:dyDescent="0.2">
      <c r="A1301" s="1" t="s">
        <v>179</v>
      </c>
      <c r="B1301" s="1" t="s">
        <v>1989</v>
      </c>
      <c r="C1301" s="1" t="s">
        <v>101</v>
      </c>
      <c r="D1301" s="1" t="s">
        <v>101</v>
      </c>
      <c r="E1301" s="81">
        <v>0</v>
      </c>
      <c r="F1301" s="81">
        <v>0</v>
      </c>
    </row>
    <row r="1302" spans="1:6" x14ac:dyDescent="0.2">
      <c r="A1302" s="1" t="s">
        <v>179</v>
      </c>
      <c r="B1302" s="1" t="s">
        <v>1990</v>
      </c>
      <c r="C1302" s="1" t="s">
        <v>3990</v>
      </c>
      <c r="D1302" s="1" t="s">
        <v>3990</v>
      </c>
      <c r="E1302" s="81">
        <v>41333.96</v>
      </c>
      <c r="F1302" s="81">
        <v>41333.96</v>
      </c>
    </row>
    <row r="1303" spans="1:6" x14ac:dyDescent="0.2">
      <c r="A1303" s="1" t="s">
        <v>179</v>
      </c>
      <c r="B1303" s="1" t="s">
        <v>1991</v>
      </c>
      <c r="C1303" s="1" t="s">
        <v>3991</v>
      </c>
      <c r="D1303" s="1" t="s">
        <v>3991</v>
      </c>
      <c r="E1303" s="81">
        <v>39552.699999999997</v>
      </c>
      <c r="F1303" s="81">
        <v>39552.699999999997</v>
      </c>
    </row>
    <row r="1304" spans="1:6" x14ac:dyDescent="0.2">
      <c r="A1304" s="1" t="s">
        <v>179</v>
      </c>
      <c r="B1304" s="1" t="s">
        <v>1992</v>
      </c>
      <c r="C1304" s="1" t="s">
        <v>3992</v>
      </c>
      <c r="D1304" s="1" t="s">
        <v>3992</v>
      </c>
      <c r="E1304" s="81">
        <v>41459.51</v>
      </c>
      <c r="F1304" s="81">
        <v>41459.51</v>
      </c>
    </row>
    <row r="1305" spans="1:6" x14ac:dyDescent="0.2">
      <c r="A1305" s="1" t="s">
        <v>179</v>
      </c>
      <c r="B1305" s="1" t="s">
        <v>1993</v>
      </c>
      <c r="C1305" s="1" t="s">
        <v>101</v>
      </c>
      <c r="D1305" s="1" t="s">
        <v>101</v>
      </c>
      <c r="E1305" s="81">
        <v>0</v>
      </c>
      <c r="F1305" s="81">
        <v>0</v>
      </c>
    </row>
    <row r="1306" spans="1:6" x14ac:dyDescent="0.2">
      <c r="A1306" s="1" t="s">
        <v>179</v>
      </c>
      <c r="B1306" s="1" t="s">
        <v>1994</v>
      </c>
      <c r="C1306" s="1" t="s">
        <v>101</v>
      </c>
      <c r="D1306" s="1" t="s">
        <v>101</v>
      </c>
      <c r="E1306" s="81">
        <v>0</v>
      </c>
      <c r="F1306" s="81">
        <v>0</v>
      </c>
    </row>
    <row r="1307" spans="1:6" x14ac:dyDescent="0.2">
      <c r="A1307" s="1" t="s">
        <v>179</v>
      </c>
      <c r="B1307" s="1" t="s">
        <v>1995</v>
      </c>
      <c r="C1307" s="1" t="s">
        <v>101</v>
      </c>
      <c r="D1307" s="1" t="s">
        <v>101</v>
      </c>
      <c r="E1307" s="81">
        <v>0</v>
      </c>
      <c r="F1307" s="81">
        <v>0</v>
      </c>
    </row>
    <row r="1308" spans="1:6" x14ac:dyDescent="0.2">
      <c r="A1308" s="1" t="s">
        <v>179</v>
      </c>
      <c r="B1308" s="1" t="s">
        <v>1996</v>
      </c>
      <c r="C1308" s="1" t="s">
        <v>101</v>
      </c>
      <c r="D1308" s="1" t="s">
        <v>101</v>
      </c>
      <c r="E1308" s="81">
        <v>0</v>
      </c>
      <c r="F1308" s="81">
        <v>0</v>
      </c>
    </row>
    <row r="1309" spans="1:6" x14ac:dyDescent="0.2">
      <c r="A1309" s="1" t="s">
        <v>179</v>
      </c>
      <c r="B1309" s="1" t="s">
        <v>1997</v>
      </c>
      <c r="C1309" s="1" t="s">
        <v>101</v>
      </c>
      <c r="D1309" s="1" t="s">
        <v>101</v>
      </c>
      <c r="E1309" s="81">
        <v>0</v>
      </c>
      <c r="F1309" s="81">
        <v>0</v>
      </c>
    </row>
    <row r="1310" spans="1:6" x14ac:dyDescent="0.2">
      <c r="A1310" s="1" t="s">
        <v>179</v>
      </c>
      <c r="B1310" s="1" t="s">
        <v>1998</v>
      </c>
      <c r="C1310" s="1" t="s">
        <v>101</v>
      </c>
      <c r="D1310" s="1" t="s">
        <v>101</v>
      </c>
      <c r="E1310" s="81">
        <v>0</v>
      </c>
      <c r="F1310" s="81">
        <v>0</v>
      </c>
    </row>
    <row r="1311" spans="1:6" x14ac:dyDescent="0.2">
      <c r="A1311" s="1" t="s">
        <v>179</v>
      </c>
      <c r="B1311" s="1" t="s">
        <v>1999</v>
      </c>
      <c r="C1311" s="1" t="s">
        <v>101</v>
      </c>
      <c r="D1311" s="1" t="s">
        <v>101</v>
      </c>
      <c r="E1311" s="81">
        <v>0</v>
      </c>
      <c r="F1311" s="81">
        <v>0</v>
      </c>
    </row>
    <row r="1312" spans="1:6" x14ac:dyDescent="0.2">
      <c r="A1312" s="1" t="s">
        <v>179</v>
      </c>
      <c r="B1312" s="1" t="s">
        <v>2000</v>
      </c>
      <c r="C1312" s="1" t="s">
        <v>101</v>
      </c>
      <c r="D1312" s="1" t="s">
        <v>101</v>
      </c>
      <c r="E1312" s="81">
        <v>0</v>
      </c>
      <c r="F1312" s="81">
        <v>0</v>
      </c>
    </row>
    <row r="1313" spans="1:6" x14ac:dyDescent="0.2">
      <c r="A1313" s="1" t="s">
        <v>179</v>
      </c>
      <c r="B1313" s="1" t="s">
        <v>2001</v>
      </c>
      <c r="C1313" s="1" t="s">
        <v>101</v>
      </c>
      <c r="D1313" s="1" t="s">
        <v>101</v>
      </c>
      <c r="E1313" s="81">
        <v>0</v>
      </c>
      <c r="F1313" s="81">
        <v>0</v>
      </c>
    </row>
    <row r="1314" spans="1:6" x14ac:dyDescent="0.2">
      <c r="A1314" s="1" t="s">
        <v>179</v>
      </c>
      <c r="B1314" s="1" t="s">
        <v>2002</v>
      </c>
      <c r="C1314" s="1" t="s">
        <v>101</v>
      </c>
      <c r="D1314" s="1" t="s">
        <v>101</v>
      </c>
      <c r="E1314" s="81">
        <v>0</v>
      </c>
      <c r="F1314" s="81">
        <v>0</v>
      </c>
    </row>
    <row r="1315" spans="1:6" x14ac:dyDescent="0.2">
      <c r="A1315" s="1" t="s">
        <v>179</v>
      </c>
      <c r="B1315" s="1" t="s">
        <v>2003</v>
      </c>
      <c r="C1315" s="1" t="s">
        <v>101</v>
      </c>
      <c r="D1315" s="1" t="s">
        <v>101</v>
      </c>
      <c r="E1315" s="81">
        <v>0</v>
      </c>
      <c r="F1315" s="81">
        <v>0</v>
      </c>
    </row>
    <row r="1316" spans="1:6" x14ac:dyDescent="0.2">
      <c r="A1316" s="1" t="s">
        <v>179</v>
      </c>
      <c r="B1316" s="1" t="s">
        <v>2004</v>
      </c>
      <c r="C1316" s="1" t="s">
        <v>101</v>
      </c>
      <c r="D1316" s="1" t="s">
        <v>101</v>
      </c>
      <c r="E1316" s="81">
        <v>0</v>
      </c>
      <c r="F1316" s="81">
        <v>0</v>
      </c>
    </row>
    <row r="1317" spans="1:6" x14ac:dyDescent="0.2">
      <c r="A1317" s="1" t="s">
        <v>179</v>
      </c>
      <c r="B1317" s="1" t="s">
        <v>2005</v>
      </c>
      <c r="C1317" s="1" t="s">
        <v>101</v>
      </c>
      <c r="D1317" s="1" t="s">
        <v>101</v>
      </c>
      <c r="E1317" s="81">
        <v>0</v>
      </c>
      <c r="F1317" s="81">
        <v>0</v>
      </c>
    </row>
    <row r="1318" spans="1:6" x14ac:dyDescent="0.2">
      <c r="A1318" s="1" t="s">
        <v>179</v>
      </c>
      <c r="B1318" s="1" t="s">
        <v>2006</v>
      </c>
      <c r="C1318" s="1" t="s">
        <v>101</v>
      </c>
      <c r="D1318" s="1" t="s">
        <v>101</v>
      </c>
      <c r="E1318" s="81">
        <v>0</v>
      </c>
      <c r="F1318" s="81">
        <v>0</v>
      </c>
    </row>
    <row r="1319" spans="1:6" x14ac:dyDescent="0.2">
      <c r="A1319" s="1" t="s">
        <v>179</v>
      </c>
      <c r="B1319" s="1" t="s">
        <v>2007</v>
      </c>
      <c r="C1319" s="1" t="s">
        <v>101</v>
      </c>
      <c r="D1319" s="1" t="s">
        <v>101</v>
      </c>
      <c r="E1319" s="81">
        <v>0</v>
      </c>
      <c r="F1319" s="81">
        <v>0</v>
      </c>
    </row>
    <row r="1320" spans="1:6" x14ac:dyDescent="0.2">
      <c r="A1320" s="1" t="s">
        <v>179</v>
      </c>
      <c r="B1320" s="1" t="s">
        <v>2008</v>
      </c>
      <c r="C1320" s="1" t="s">
        <v>101</v>
      </c>
      <c r="D1320" s="1" t="s">
        <v>101</v>
      </c>
      <c r="E1320" s="81">
        <v>0</v>
      </c>
      <c r="F1320" s="81">
        <v>0</v>
      </c>
    </row>
    <row r="1321" spans="1:6" x14ac:dyDescent="0.2">
      <c r="A1321" s="1" t="s">
        <v>179</v>
      </c>
      <c r="B1321" s="1" t="s">
        <v>2009</v>
      </c>
      <c r="C1321" s="1" t="s">
        <v>101</v>
      </c>
      <c r="D1321" s="1" t="s">
        <v>101</v>
      </c>
      <c r="E1321" s="81">
        <v>0</v>
      </c>
      <c r="F1321" s="81">
        <v>0</v>
      </c>
    </row>
    <row r="1322" spans="1:6" x14ac:dyDescent="0.2">
      <c r="A1322" s="1" t="s">
        <v>179</v>
      </c>
      <c r="B1322" s="1" t="s">
        <v>2010</v>
      </c>
      <c r="C1322" s="1" t="s">
        <v>101</v>
      </c>
      <c r="D1322" s="1" t="s">
        <v>101</v>
      </c>
      <c r="E1322" s="81">
        <v>0</v>
      </c>
      <c r="F1322" s="81">
        <v>0</v>
      </c>
    </row>
    <row r="1323" spans="1:6" x14ac:dyDescent="0.2">
      <c r="A1323" s="1" t="s">
        <v>179</v>
      </c>
      <c r="B1323" s="1" t="s">
        <v>2011</v>
      </c>
      <c r="C1323" s="1" t="s">
        <v>101</v>
      </c>
      <c r="D1323" s="1" t="s">
        <v>101</v>
      </c>
      <c r="E1323" s="81">
        <v>0</v>
      </c>
      <c r="F1323" s="81">
        <v>0</v>
      </c>
    </row>
    <row r="1324" spans="1:6" x14ac:dyDescent="0.2">
      <c r="A1324" s="1" t="s">
        <v>179</v>
      </c>
      <c r="B1324" s="1" t="s">
        <v>2012</v>
      </c>
      <c r="C1324" s="1" t="s">
        <v>101</v>
      </c>
      <c r="D1324" s="1" t="s">
        <v>101</v>
      </c>
      <c r="E1324" s="81">
        <v>0</v>
      </c>
      <c r="F1324" s="81">
        <v>0</v>
      </c>
    </row>
    <row r="1325" spans="1:6" x14ac:dyDescent="0.2">
      <c r="A1325" s="1" t="s">
        <v>179</v>
      </c>
      <c r="B1325" s="1" t="s">
        <v>2013</v>
      </c>
      <c r="C1325" s="1" t="s">
        <v>101</v>
      </c>
      <c r="D1325" s="1" t="s">
        <v>101</v>
      </c>
      <c r="E1325" s="81">
        <v>0</v>
      </c>
      <c r="F1325" s="81">
        <v>0</v>
      </c>
    </row>
    <row r="1326" spans="1:6" x14ac:dyDescent="0.2">
      <c r="A1326" s="1" t="s">
        <v>179</v>
      </c>
      <c r="B1326" s="1" t="s">
        <v>2014</v>
      </c>
      <c r="C1326" s="1" t="s">
        <v>3983</v>
      </c>
      <c r="D1326" s="1" t="s">
        <v>3983</v>
      </c>
      <c r="E1326" s="81">
        <v>188854.15</v>
      </c>
      <c r="F1326" s="81">
        <v>188854.15</v>
      </c>
    </row>
    <row r="1327" spans="1:6" x14ac:dyDescent="0.2">
      <c r="A1327" s="1" t="s">
        <v>179</v>
      </c>
      <c r="B1327" s="1" t="s">
        <v>2015</v>
      </c>
      <c r="C1327" s="1" t="s">
        <v>3984</v>
      </c>
      <c r="D1327" s="1" t="s">
        <v>3984</v>
      </c>
      <c r="E1327" s="81">
        <v>178323.68</v>
      </c>
      <c r="F1327" s="81">
        <v>178323.68</v>
      </c>
    </row>
    <row r="1328" spans="1:6" x14ac:dyDescent="0.2">
      <c r="A1328" s="1" t="s">
        <v>179</v>
      </c>
      <c r="B1328" s="1" t="s">
        <v>2016</v>
      </c>
      <c r="C1328" s="1" t="s">
        <v>3985</v>
      </c>
      <c r="D1328" s="1" t="s">
        <v>3985</v>
      </c>
      <c r="E1328" s="81">
        <v>189136.89</v>
      </c>
      <c r="F1328" s="81">
        <v>189136.89</v>
      </c>
    </row>
    <row r="1329" spans="1:6" x14ac:dyDescent="0.2">
      <c r="A1329" s="1" t="s">
        <v>179</v>
      </c>
      <c r="B1329" s="1" t="s">
        <v>2017</v>
      </c>
      <c r="C1329" s="1" t="s">
        <v>101</v>
      </c>
      <c r="D1329" s="1" t="s">
        <v>101</v>
      </c>
      <c r="E1329" s="81">
        <v>0</v>
      </c>
      <c r="F1329" s="81">
        <v>0</v>
      </c>
    </row>
    <row r="1330" spans="1:6" x14ac:dyDescent="0.2">
      <c r="A1330" s="1" t="s">
        <v>179</v>
      </c>
      <c r="B1330" s="1" t="s">
        <v>2018</v>
      </c>
      <c r="C1330" s="1" t="s">
        <v>101</v>
      </c>
      <c r="D1330" s="1" t="s">
        <v>101</v>
      </c>
      <c r="E1330" s="81">
        <v>0</v>
      </c>
      <c r="F1330" s="81">
        <v>0</v>
      </c>
    </row>
    <row r="1331" spans="1:6" x14ac:dyDescent="0.2">
      <c r="A1331" s="1" t="s">
        <v>179</v>
      </c>
      <c r="B1331" s="1" t="s">
        <v>2019</v>
      </c>
      <c r="C1331" s="1" t="s">
        <v>101</v>
      </c>
      <c r="D1331" s="1" t="s">
        <v>101</v>
      </c>
      <c r="E1331" s="81">
        <v>0</v>
      </c>
      <c r="F1331" s="81">
        <v>0</v>
      </c>
    </row>
    <row r="1332" spans="1:6" x14ac:dyDescent="0.2">
      <c r="A1332" s="1" t="s">
        <v>179</v>
      </c>
      <c r="B1332" s="1" t="s">
        <v>2020</v>
      </c>
      <c r="C1332" s="1" t="s">
        <v>101</v>
      </c>
      <c r="D1332" s="1" t="s">
        <v>101</v>
      </c>
      <c r="E1332" s="81">
        <v>0</v>
      </c>
      <c r="F1332" s="81">
        <v>0</v>
      </c>
    </row>
    <row r="1333" spans="1:6" x14ac:dyDescent="0.2">
      <c r="A1333" s="1" t="s">
        <v>179</v>
      </c>
      <c r="B1333" s="1" t="s">
        <v>2021</v>
      </c>
      <c r="C1333" s="1" t="s">
        <v>101</v>
      </c>
      <c r="D1333" s="1" t="s">
        <v>101</v>
      </c>
      <c r="E1333" s="81">
        <v>0</v>
      </c>
      <c r="F1333" s="81">
        <v>0</v>
      </c>
    </row>
    <row r="1334" spans="1:6" x14ac:dyDescent="0.2">
      <c r="A1334" s="1" t="s">
        <v>179</v>
      </c>
      <c r="B1334" s="1" t="s">
        <v>2022</v>
      </c>
      <c r="C1334" s="1" t="s">
        <v>101</v>
      </c>
      <c r="D1334" s="1" t="s">
        <v>101</v>
      </c>
      <c r="E1334" s="81">
        <v>0</v>
      </c>
      <c r="F1334" s="81">
        <v>0</v>
      </c>
    </row>
    <row r="1335" spans="1:6" x14ac:dyDescent="0.2">
      <c r="A1335" s="1" t="s">
        <v>179</v>
      </c>
      <c r="B1335" s="1" t="s">
        <v>2023</v>
      </c>
      <c r="C1335" s="1" t="s">
        <v>101</v>
      </c>
      <c r="D1335" s="1" t="s">
        <v>101</v>
      </c>
      <c r="E1335" s="81">
        <v>0</v>
      </c>
      <c r="F1335" s="81">
        <v>0</v>
      </c>
    </row>
    <row r="1336" spans="1:6" x14ac:dyDescent="0.2">
      <c r="A1336" s="1" t="s">
        <v>179</v>
      </c>
      <c r="B1336" s="1" t="s">
        <v>2024</v>
      </c>
      <c r="C1336" s="1" t="s">
        <v>101</v>
      </c>
      <c r="D1336" s="1" t="s">
        <v>101</v>
      </c>
      <c r="E1336" s="81">
        <v>0</v>
      </c>
      <c r="F1336" s="81">
        <v>0</v>
      </c>
    </row>
    <row r="1337" spans="1:6" x14ac:dyDescent="0.2">
      <c r="A1337" s="1" t="s">
        <v>179</v>
      </c>
      <c r="B1337" s="1" t="s">
        <v>2025</v>
      </c>
      <c r="C1337" s="1" t="s">
        <v>101</v>
      </c>
      <c r="D1337" s="1" t="s">
        <v>101</v>
      </c>
      <c r="E1337" s="81">
        <v>0</v>
      </c>
      <c r="F1337" s="81">
        <v>0</v>
      </c>
    </row>
    <row r="1338" spans="1:6" x14ac:dyDescent="0.2">
      <c r="A1338" s="1" t="s">
        <v>179</v>
      </c>
      <c r="B1338" s="1" t="s">
        <v>2026</v>
      </c>
      <c r="C1338" s="1" t="s">
        <v>3986</v>
      </c>
      <c r="D1338" s="1" t="s">
        <v>3986</v>
      </c>
      <c r="E1338" s="81">
        <v>556314.72</v>
      </c>
      <c r="F1338" s="81">
        <v>556314.72</v>
      </c>
    </row>
    <row r="1339" spans="1:6" x14ac:dyDescent="0.2">
      <c r="A1339" s="1" t="s">
        <v>179</v>
      </c>
      <c r="B1339" s="1" t="s">
        <v>2027</v>
      </c>
      <c r="C1339" s="1" t="s">
        <v>3993</v>
      </c>
      <c r="D1339" s="1" t="s">
        <v>3993</v>
      </c>
      <c r="E1339" s="81">
        <v>657767.89</v>
      </c>
      <c r="F1339" s="81">
        <v>657767.89</v>
      </c>
    </row>
    <row r="1340" spans="1:6" x14ac:dyDescent="0.2">
      <c r="A1340" s="1" t="s">
        <v>179</v>
      </c>
      <c r="B1340" s="1" t="s">
        <v>2028</v>
      </c>
      <c r="C1340" s="1" t="s">
        <v>3994</v>
      </c>
      <c r="D1340" s="1" t="s">
        <v>3994</v>
      </c>
      <c r="E1340" s="81">
        <v>665879.17000000004</v>
      </c>
      <c r="F1340" s="81">
        <v>665879.17000000004</v>
      </c>
    </row>
    <row r="1341" spans="1:6" x14ac:dyDescent="0.2">
      <c r="A1341" s="1" t="s">
        <v>179</v>
      </c>
      <c r="B1341" s="1" t="s">
        <v>2029</v>
      </c>
      <c r="C1341" s="1" t="s">
        <v>3995</v>
      </c>
      <c r="D1341" s="1" t="s">
        <v>3995</v>
      </c>
      <c r="E1341" s="81">
        <v>656974.02</v>
      </c>
      <c r="F1341" s="81">
        <v>656974.02</v>
      </c>
    </row>
    <row r="1342" spans="1:6" x14ac:dyDescent="0.2">
      <c r="A1342" s="1" t="s">
        <v>179</v>
      </c>
      <c r="B1342" s="1" t="s">
        <v>2030</v>
      </c>
      <c r="C1342" s="1" t="s">
        <v>101</v>
      </c>
      <c r="D1342" s="1" t="s">
        <v>101</v>
      </c>
      <c r="E1342" s="81">
        <v>0</v>
      </c>
      <c r="F1342" s="81">
        <v>0</v>
      </c>
    </row>
    <row r="1343" spans="1:6" x14ac:dyDescent="0.2">
      <c r="A1343" s="1" t="s">
        <v>179</v>
      </c>
      <c r="B1343" s="1" t="s">
        <v>2031</v>
      </c>
      <c r="C1343" s="1" t="s">
        <v>101</v>
      </c>
      <c r="D1343" s="1" t="s">
        <v>101</v>
      </c>
      <c r="E1343" s="81">
        <v>0</v>
      </c>
      <c r="F1343" s="81">
        <v>0</v>
      </c>
    </row>
    <row r="1344" spans="1:6" x14ac:dyDescent="0.2">
      <c r="A1344" s="1" t="s">
        <v>179</v>
      </c>
      <c r="B1344" s="1" t="s">
        <v>2032</v>
      </c>
      <c r="C1344" s="1" t="s">
        <v>101</v>
      </c>
      <c r="D1344" s="1" t="s">
        <v>101</v>
      </c>
      <c r="E1344" s="81">
        <v>0</v>
      </c>
      <c r="F1344" s="81">
        <v>0</v>
      </c>
    </row>
    <row r="1345" spans="1:6" x14ac:dyDescent="0.2">
      <c r="A1345" s="1" t="s">
        <v>179</v>
      </c>
      <c r="B1345" s="1" t="s">
        <v>2033</v>
      </c>
      <c r="C1345" s="1" t="s">
        <v>101</v>
      </c>
      <c r="D1345" s="1" t="s">
        <v>101</v>
      </c>
      <c r="E1345" s="81">
        <v>0</v>
      </c>
      <c r="F1345" s="81">
        <v>0</v>
      </c>
    </row>
    <row r="1346" spans="1:6" x14ac:dyDescent="0.2">
      <c r="A1346" s="1" t="s">
        <v>179</v>
      </c>
      <c r="B1346" s="1" t="s">
        <v>2034</v>
      </c>
      <c r="C1346" s="1" t="s">
        <v>101</v>
      </c>
      <c r="D1346" s="1" t="s">
        <v>101</v>
      </c>
      <c r="E1346" s="81">
        <v>0</v>
      </c>
      <c r="F1346" s="81">
        <v>0</v>
      </c>
    </row>
    <row r="1347" spans="1:6" x14ac:dyDescent="0.2">
      <c r="A1347" s="1" t="s">
        <v>179</v>
      </c>
      <c r="B1347" s="1" t="s">
        <v>2035</v>
      </c>
      <c r="C1347" s="1" t="s">
        <v>101</v>
      </c>
      <c r="D1347" s="1" t="s">
        <v>101</v>
      </c>
      <c r="E1347" s="81">
        <v>0</v>
      </c>
      <c r="F1347" s="81">
        <v>0</v>
      </c>
    </row>
    <row r="1348" spans="1:6" x14ac:dyDescent="0.2">
      <c r="A1348" s="1" t="s">
        <v>179</v>
      </c>
      <c r="B1348" s="1" t="s">
        <v>2036</v>
      </c>
      <c r="C1348" s="1" t="s">
        <v>101</v>
      </c>
      <c r="D1348" s="1" t="s">
        <v>101</v>
      </c>
      <c r="E1348" s="81">
        <v>0</v>
      </c>
      <c r="F1348" s="81">
        <v>0</v>
      </c>
    </row>
    <row r="1349" spans="1:6" x14ac:dyDescent="0.2">
      <c r="A1349" s="1" t="s">
        <v>179</v>
      </c>
      <c r="B1349" s="1" t="s">
        <v>2037</v>
      </c>
      <c r="C1349" s="1" t="s">
        <v>101</v>
      </c>
      <c r="D1349" s="1" t="s">
        <v>101</v>
      </c>
      <c r="E1349" s="81">
        <v>0</v>
      </c>
      <c r="F1349" s="81">
        <v>0</v>
      </c>
    </row>
    <row r="1350" spans="1:6" x14ac:dyDescent="0.2">
      <c r="A1350" s="1" t="s">
        <v>179</v>
      </c>
      <c r="B1350" s="1" t="s">
        <v>2038</v>
      </c>
      <c r="C1350" s="1" t="s">
        <v>101</v>
      </c>
      <c r="D1350" s="1" t="s">
        <v>101</v>
      </c>
      <c r="E1350" s="81">
        <v>0</v>
      </c>
      <c r="F1350" s="81">
        <v>0</v>
      </c>
    </row>
    <row r="1351" spans="1:6" x14ac:dyDescent="0.2">
      <c r="A1351" s="1" t="s">
        <v>179</v>
      </c>
      <c r="B1351" s="1" t="s">
        <v>2039</v>
      </c>
      <c r="C1351" s="1" t="s">
        <v>3996</v>
      </c>
      <c r="D1351" s="1" t="s">
        <v>3996</v>
      </c>
      <c r="E1351" s="81">
        <v>1980621.08</v>
      </c>
      <c r="F1351" s="81">
        <v>1980621.08</v>
      </c>
    </row>
    <row r="1352" spans="1:6" x14ac:dyDescent="0.2">
      <c r="A1352" s="1" t="s">
        <v>179</v>
      </c>
      <c r="B1352" s="1" t="s">
        <v>2040</v>
      </c>
      <c r="C1352" s="1" t="s">
        <v>3997</v>
      </c>
      <c r="D1352" s="1" t="s">
        <v>3997</v>
      </c>
      <c r="E1352" s="81">
        <v>656507.59</v>
      </c>
      <c r="F1352" s="81">
        <v>656507.59</v>
      </c>
    </row>
    <row r="1353" spans="1:6" x14ac:dyDescent="0.2">
      <c r="A1353" s="1" t="s">
        <v>179</v>
      </c>
      <c r="B1353" s="1" t="s">
        <v>2041</v>
      </c>
      <c r="C1353" s="1" t="s">
        <v>3998</v>
      </c>
      <c r="D1353" s="1" t="s">
        <v>3998</v>
      </c>
      <c r="E1353" s="81">
        <v>663263.31999999995</v>
      </c>
      <c r="F1353" s="81">
        <v>663263.31999999995</v>
      </c>
    </row>
    <row r="1354" spans="1:6" x14ac:dyDescent="0.2">
      <c r="A1354" s="1" t="s">
        <v>179</v>
      </c>
      <c r="B1354" s="1" t="s">
        <v>2042</v>
      </c>
      <c r="C1354" s="1" t="s">
        <v>3999</v>
      </c>
      <c r="D1354" s="1" t="s">
        <v>3999</v>
      </c>
      <c r="E1354" s="81">
        <v>654429.99</v>
      </c>
      <c r="F1354" s="81">
        <v>654429.99</v>
      </c>
    </row>
    <row r="1355" spans="1:6" x14ac:dyDescent="0.2">
      <c r="A1355" s="1" t="s">
        <v>179</v>
      </c>
      <c r="B1355" s="1" t="s">
        <v>2043</v>
      </c>
      <c r="C1355" s="1" t="s">
        <v>101</v>
      </c>
      <c r="D1355" s="1" t="s">
        <v>101</v>
      </c>
      <c r="E1355" s="81">
        <v>0</v>
      </c>
      <c r="F1355" s="81">
        <v>0</v>
      </c>
    </row>
    <row r="1356" spans="1:6" x14ac:dyDescent="0.2">
      <c r="A1356" s="1" t="s">
        <v>179</v>
      </c>
      <c r="B1356" s="1" t="s">
        <v>2044</v>
      </c>
      <c r="C1356" s="1" t="s">
        <v>101</v>
      </c>
      <c r="D1356" s="1" t="s">
        <v>101</v>
      </c>
      <c r="E1356" s="81">
        <v>0</v>
      </c>
      <c r="F1356" s="81">
        <v>0</v>
      </c>
    </row>
    <row r="1357" spans="1:6" x14ac:dyDescent="0.2">
      <c r="A1357" s="1" t="s">
        <v>179</v>
      </c>
      <c r="B1357" s="1" t="s">
        <v>2045</v>
      </c>
      <c r="C1357" s="1" t="s">
        <v>101</v>
      </c>
      <c r="D1357" s="1" t="s">
        <v>101</v>
      </c>
      <c r="E1357" s="81">
        <v>0</v>
      </c>
      <c r="F1357" s="81">
        <v>0</v>
      </c>
    </row>
    <row r="1358" spans="1:6" x14ac:dyDescent="0.2">
      <c r="A1358" s="1" t="s">
        <v>179</v>
      </c>
      <c r="B1358" s="1" t="s">
        <v>2046</v>
      </c>
      <c r="C1358" s="1" t="s">
        <v>101</v>
      </c>
      <c r="D1358" s="1" t="s">
        <v>101</v>
      </c>
      <c r="E1358" s="81">
        <v>0</v>
      </c>
      <c r="F1358" s="81">
        <v>0</v>
      </c>
    </row>
    <row r="1359" spans="1:6" x14ac:dyDescent="0.2">
      <c r="A1359" s="1" t="s">
        <v>179</v>
      </c>
      <c r="B1359" s="1" t="s">
        <v>2047</v>
      </c>
      <c r="C1359" s="1" t="s">
        <v>101</v>
      </c>
      <c r="D1359" s="1" t="s">
        <v>101</v>
      </c>
      <c r="E1359" s="81">
        <v>0</v>
      </c>
      <c r="F1359" s="81">
        <v>0</v>
      </c>
    </row>
    <row r="1360" spans="1:6" x14ac:dyDescent="0.2">
      <c r="A1360" s="1" t="s">
        <v>179</v>
      </c>
      <c r="B1360" s="1" t="s">
        <v>2048</v>
      </c>
      <c r="C1360" s="1" t="s">
        <v>101</v>
      </c>
      <c r="D1360" s="1" t="s">
        <v>101</v>
      </c>
      <c r="E1360" s="81">
        <v>0</v>
      </c>
      <c r="F1360" s="81">
        <v>0</v>
      </c>
    </row>
    <row r="1361" spans="1:6" x14ac:dyDescent="0.2">
      <c r="A1361" s="1" t="s">
        <v>179</v>
      </c>
      <c r="B1361" s="1" t="s">
        <v>2049</v>
      </c>
      <c r="C1361" s="1" t="s">
        <v>101</v>
      </c>
      <c r="D1361" s="1" t="s">
        <v>101</v>
      </c>
      <c r="E1361" s="81">
        <v>0</v>
      </c>
      <c r="F1361" s="81">
        <v>0</v>
      </c>
    </row>
    <row r="1362" spans="1:6" x14ac:dyDescent="0.2">
      <c r="A1362" s="1" t="s">
        <v>179</v>
      </c>
      <c r="B1362" s="1" t="s">
        <v>2050</v>
      </c>
      <c r="C1362" s="1" t="s">
        <v>101</v>
      </c>
      <c r="D1362" s="1" t="s">
        <v>101</v>
      </c>
      <c r="E1362" s="81">
        <v>0</v>
      </c>
      <c r="F1362" s="81">
        <v>0</v>
      </c>
    </row>
    <row r="1363" spans="1:6" x14ac:dyDescent="0.2">
      <c r="A1363" s="1" t="s">
        <v>179</v>
      </c>
      <c r="B1363" s="1" t="s">
        <v>2051</v>
      </c>
      <c r="C1363" s="1" t="s">
        <v>101</v>
      </c>
      <c r="D1363" s="1" t="s">
        <v>101</v>
      </c>
      <c r="E1363" s="81">
        <v>0</v>
      </c>
      <c r="F1363" s="81">
        <v>0</v>
      </c>
    </row>
    <row r="1364" spans="1:6" x14ac:dyDescent="0.2">
      <c r="A1364" s="1" t="s">
        <v>179</v>
      </c>
      <c r="B1364" s="1" t="s">
        <v>2052</v>
      </c>
      <c r="C1364" s="1" t="s">
        <v>4000</v>
      </c>
      <c r="D1364" s="1" t="s">
        <v>4000</v>
      </c>
      <c r="E1364" s="81">
        <v>2267.5700000000002</v>
      </c>
      <c r="F1364" s="81">
        <v>2267.5700000000002</v>
      </c>
    </row>
    <row r="1365" spans="1:6" x14ac:dyDescent="0.2">
      <c r="A1365" s="1" t="s">
        <v>179</v>
      </c>
      <c r="B1365" s="1" t="s">
        <v>2053</v>
      </c>
      <c r="C1365" s="1" t="s">
        <v>4001</v>
      </c>
      <c r="D1365" s="1" t="s">
        <v>4001</v>
      </c>
      <c r="E1365" s="81">
        <v>3760.46</v>
      </c>
      <c r="F1365" s="81">
        <v>3760.46</v>
      </c>
    </row>
    <row r="1366" spans="1:6" x14ac:dyDescent="0.2">
      <c r="A1366" s="1" t="s">
        <v>179</v>
      </c>
      <c r="B1366" s="1" t="s">
        <v>2054</v>
      </c>
      <c r="C1366" s="1" t="s">
        <v>4002</v>
      </c>
      <c r="D1366" s="1" t="s">
        <v>4002</v>
      </c>
      <c r="E1366" s="81">
        <v>3586.99</v>
      </c>
      <c r="F1366" s="81">
        <v>3586.99</v>
      </c>
    </row>
    <row r="1367" spans="1:6" x14ac:dyDescent="0.2">
      <c r="A1367" s="1" t="s">
        <v>179</v>
      </c>
      <c r="B1367" s="1" t="s">
        <v>2055</v>
      </c>
      <c r="C1367" s="1" t="s">
        <v>101</v>
      </c>
      <c r="D1367" s="1" t="s">
        <v>101</v>
      </c>
      <c r="E1367" s="81">
        <v>0</v>
      </c>
      <c r="F1367" s="81">
        <v>0</v>
      </c>
    </row>
    <row r="1368" spans="1:6" x14ac:dyDescent="0.2">
      <c r="A1368" s="1" t="s">
        <v>179</v>
      </c>
      <c r="B1368" s="1" t="s">
        <v>2056</v>
      </c>
      <c r="C1368" s="1" t="s">
        <v>101</v>
      </c>
      <c r="D1368" s="1" t="s">
        <v>101</v>
      </c>
      <c r="E1368" s="81">
        <v>0</v>
      </c>
      <c r="F1368" s="81">
        <v>0</v>
      </c>
    </row>
    <row r="1369" spans="1:6" x14ac:dyDescent="0.2">
      <c r="A1369" s="1" t="s">
        <v>179</v>
      </c>
      <c r="B1369" s="1" t="s">
        <v>2057</v>
      </c>
      <c r="C1369" s="1" t="s">
        <v>101</v>
      </c>
      <c r="D1369" s="1" t="s">
        <v>101</v>
      </c>
      <c r="E1369" s="81">
        <v>0</v>
      </c>
      <c r="F1369" s="81">
        <v>0</v>
      </c>
    </row>
    <row r="1370" spans="1:6" x14ac:dyDescent="0.2">
      <c r="A1370" s="1" t="s">
        <v>179</v>
      </c>
      <c r="B1370" s="1" t="s">
        <v>2058</v>
      </c>
      <c r="C1370" s="1" t="s">
        <v>101</v>
      </c>
      <c r="D1370" s="1" t="s">
        <v>101</v>
      </c>
      <c r="E1370" s="81">
        <v>0</v>
      </c>
      <c r="F1370" s="81">
        <v>0</v>
      </c>
    </row>
    <row r="1371" spans="1:6" x14ac:dyDescent="0.2">
      <c r="A1371" s="1" t="s">
        <v>179</v>
      </c>
      <c r="B1371" s="1" t="s">
        <v>2059</v>
      </c>
      <c r="C1371" s="1" t="s">
        <v>101</v>
      </c>
      <c r="D1371" s="1" t="s">
        <v>101</v>
      </c>
      <c r="E1371" s="81">
        <v>0</v>
      </c>
      <c r="F1371" s="81">
        <v>0</v>
      </c>
    </row>
    <row r="1372" spans="1:6" x14ac:dyDescent="0.2">
      <c r="A1372" s="1" t="s">
        <v>179</v>
      </c>
      <c r="B1372" s="1" t="s">
        <v>2060</v>
      </c>
      <c r="C1372" s="1" t="s">
        <v>101</v>
      </c>
      <c r="D1372" s="1" t="s">
        <v>101</v>
      </c>
      <c r="E1372" s="81">
        <v>0</v>
      </c>
      <c r="F1372" s="81">
        <v>0</v>
      </c>
    </row>
    <row r="1373" spans="1:6" x14ac:dyDescent="0.2">
      <c r="A1373" s="1" t="s">
        <v>179</v>
      </c>
      <c r="B1373" s="1" t="s">
        <v>2061</v>
      </c>
      <c r="C1373" s="1" t="s">
        <v>101</v>
      </c>
      <c r="D1373" s="1" t="s">
        <v>101</v>
      </c>
      <c r="E1373" s="81">
        <v>0</v>
      </c>
      <c r="F1373" s="81">
        <v>0</v>
      </c>
    </row>
    <row r="1374" spans="1:6" x14ac:dyDescent="0.2">
      <c r="A1374" s="1" t="s">
        <v>179</v>
      </c>
      <c r="B1374" s="1" t="s">
        <v>2062</v>
      </c>
      <c r="C1374" s="1" t="s">
        <v>101</v>
      </c>
      <c r="D1374" s="1" t="s">
        <v>101</v>
      </c>
      <c r="E1374" s="81">
        <v>0</v>
      </c>
      <c r="F1374" s="81">
        <v>0</v>
      </c>
    </row>
    <row r="1375" spans="1:6" x14ac:dyDescent="0.2">
      <c r="A1375" s="1" t="s">
        <v>179</v>
      </c>
      <c r="B1375" s="1" t="s">
        <v>2063</v>
      </c>
      <c r="C1375" s="1" t="s">
        <v>101</v>
      </c>
      <c r="D1375" s="1" t="s">
        <v>101</v>
      </c>
      <c r="E1375" s="81">
        <v>0</v>
      </c>
      <c r="F1375" s="81">
        <v>0</v>
      </c>
    </row>
    <row r="1376" spans="1:6" x14ac:dyDescent="0.2">
      <c r="A1376" s="1" t="s">
        <v>179</v>
      </c>
      <c r="B1376" s="1" t="s">
        <v>2064</v>
      </c>
      <c r="C1376" s="1" t="s">
        <v>101</v>
      </c>
      <c r="D1376" s="1" t="s">
        <v>101</v>
      </c>
      <c r="E1376" s="81">
        <v>0</v>
      </c>
      <c r="F1376" s="81">
        <v>0</v>
      </c>
    </row>
    <row r="1377" spans="1:6" x14ac:dyDescent="0.2">
      <c r="A1377" s="1" t="s">
        <v>179</v>
      </c>
      <c r="B1377" s="1" t="s">
        <v>2065</v>
      </c>
      <c r="C1377" s="1" t="s">
        <v>101</v>
      </c>
      <c r="D1377" s="1" t="s">
        <v>101</v>
      </c>
      <c r="E1377" s="81">
        <v>0</v>
      </c>
      <c r="F1377" s="81">
        <v>0</v>
      </c>
    </row>
    <row r="1378" spans="1:6" x14ac:dyDescent="0.2">
      <c r="A1378" s="1" t="s">
        <v>179</v>
      </c>
      <c r="B1378" s="1" t="s">
        <v>2066</v>
      </c>
      <c r="C1378" s="1" t="s">
        <v>101</v>
      </c>
      <c r="D1378" s="1" t="s">
        <v>101</v>
      </c>
      <c r="E1378" s="81">
        <v>0</v>
      </c>
      <c r="F1378" s="81">
        <v>0</v>
      </c>
    </row>
    <row r="1379" spans="1:6" x14ac:dyDescent="0.2">
      <c r="A1379" s="1" t="s">
        <v>179</v>
      </c>
      <c r="B1379" s="1" t="s">
        <v>2067</v>
      </c>
      <c r="C1379" s="1" t="s">
        <v>101</v>
      </c>
      <c r="D1379" s="1" t="s">
        <v>101</v>
      </c>
      <c r="E1379" s="81">
        <v>0</v>
      </c>
      <c r="F1379" s="81">
        <v>0</v>
      </c>
    </row>
    <row r="1380" spans="1:6" x14ac:dyDescent="0.2">
      <c r="A1380" s="1" t="s">
        <v>179</v>
      </c>
      <c r="B1380" s="1" t="s">
        <v>2068</v>
      </c>
      <c r="C1380" s="1" t="s">
        <v>101</v>
      </c>
      <c r="D1380" s="1" t="s">
        <v>101</v>
      </c>
      <c r="E1380" s="81">
        <v>0</v>
      </c>
      <c r="F1380" s="81">
        <v>0</v>
      </c>
    </row>
    <row r="1381" spans="1:6" x14ac:dyDescent="0.2">
      <c r="A1381" s="1" t="s">
        <v>179</v>
      </c>
      <c r="B1381" s="1" t="s">
        <v>2069</v>
      </c>
      <c r="C1381" s="1" t="s">
        <v>101</v>
      </c>
      <c r="D1381" s="1" t="s">
        <v>101</v>
      </c>
      <c r="E1381" s="81">
        <v>0</v>
      </c>
      <c r="F1381" s="81">
        <v>0</v>
      </c>
    </row>
    <row r="1382" spans="1:6" x14ac:dyDescent="0.2">
      <c r="A1382" s="1" t="s">
        <v>179</v>
      </c>
      <c r="B1382" s="1" t="s">
        <v>2070</v>
      </c>
      <c r="C1382" s="1" t="s">
        <v>101</v>
      </c>
      <c r="D1382" s="1" t="s">
        <v>101</v>
      </c>
      <c r="E1382" s="81">
        <v>0</v>
      </c>
      <c r="F1382" s="81">
        <v>0</v>
      </c>
    </row>
    <row r="1383" spans="1:6" x14ac:dyDescent="0.2">
      <c r="A1383" s="1" t="s">
        <v>179</v>
      </c>
      <c r="B1383" s="1" t="s">
        <v>2071</v>
      </c>
      <c r="C1383" s="1" t="s">
        <v>101</v>
      </c>
      <c r="D1383" s="1" t="s">
        <v>101</v>
      </c>
      <c r="E1383" s="81">
        <v>0</v>
      </c>
      <c r="F1383" s="81">
        <v>0</v>
      </c>
    </row>
    <row r="1384" spans="1:6" x14ac:dyDescent="0.2">
      <c r="A1384" s="1" t="s">
        <v>179</v>
      </c>
      <c r="B1384" s="1" t="s">
        <v>2072</v>
      </c>
      <c r="C1384" s="1" t="s">
        <v>101</v>
      </c>
      <c r="D1384" s="1" t="s">
        <v>101</v>
      </c>
      <c r="E1384" s="81">
        <v>0</v>
      </c>
      <c r="F1384" s="81">
        <v>0</v>
      </c>
    </row>
    <row r="1385" spans="1:6" x14ac:dyDescent="0.2">
      <c r="A1385" s="1" t="s">
        <v>179</v>
      </c>
      <c r="B1385" s="1" t="s">
        <v>2073</v>
      </c>
      <c r="C1385" s="1" t="s">
        <v>101</v>
      </c>
      <c r="D1385" s="1" t="s">
        <v>101</v>
      </c>
      <c r="E1385" s="81">
        <v>0</v>
      </c>
      <c r="F1385" s="81">
        <v>0</v>
      </c>
    </row>
    <row r="1386" spans="1:6" x14ac:dyDescent="0.2">
      <c r="A1386" s="1" t="s">
        <v>179</v>
      </c>
      <c r="B1386" s="1" t="s">
        <v>2074</v>
      </c>
      <c r="C1386" s="1" t="s">
        <v>101</v>
      </c>
      <c r="D1386" s="1" t="s">
        <v>101</v>
      </c>
      <c r="E1386" s="81">
        <v>0</v>
      </c>
      <c r="F1386" s="81">
        <v>0</v>
      </c>
    </row>
    <row r="1387" spans="1:6" x14ac:dyDescent="0.2">
      <c r="A1387" s="1" t="s">
        <v>179</v>
      </c>
      <c r="B1387" s="1" t="s">
        <v>2075</v>
      </c>
      <c r="C1387" s="1" t="s">
        <v>101</v>
      </c>
      <c r="D1387" s="1" t="s">
        <v>101</v>
      </c>
      <c r="E1387" s="81">
        <v>0</v>
      </c>
      <c r="F1387" s="81">
        <v>0</v>
      </c>
    </row>
    <row r="1388" spans="1:6" x14ac:dyDescent="0.2">
      <c r="A1388" s="1" t="s">
        <v>179</v>
      </c>
      <c r="B1388" s="1" t="s">
        <v>2076</v>
      </c>
      <c r="C1388" s="1" t="s">
        <v>3993</v>
      </c>
      <c r="D1388" s="1" t="s">
        <v>3993</v>
      </c>
      <c r="E1388" s="81">
        <v>657767.89</v>
      </c>
      <c r="F1388" s="81">
        <v>657767.89</v>
      </c>
    </row>
    <row r="1389" spans="1:6" x14ac:dyDescent="0.2">
      <c r="A1389" s="1" t="s">
        <v>179</v>
      </c>
      <c r="B1389" s="1" t="s">
        <v>2077</v>
      </c>
      <c r="C1389" s="1" t="s">
        <v>3994</v>
      </c>
      <c r="D1389" s="1" t="s">
        <v>3994</v>
      </c>
      <c r="E1389" s="81">
        <v>665879.17000000004</v>
      </c>
      <c r="F1389" s="81">
        <v>665879.17000000004</v>
      </c>
    </row>
    <row r="1390" spans="1:6" x14ac:dyDescent="0.2">
      <c r="A1390" s="1" t="s">
        <v>179</v>
      </c>
      <c r="B1390" s="1" t="s">
        <v>2078</v>
      </c>
      <c r="C1390" s="1" t="s">
        <v>3995</v>
      </c>
      <c r="D1390" s="1" t="s">
        <v>3995</v>
      </c>
      <c r="E1390" s="81">
        <v>656974.02</v>
      </c>
      <c r="F1390" s="81">
        <v>656974.02</v>
      </c>
    </row>
    <row r="1391" spans="1:6" x14ac:dyDescent="0.2">
      <c r="A1391" s="1" t="s">
        <v>179</v>
      </c>
      <c r="B1391" s="1" t="s">
        <v>2079</v>
      </c>
      <c r="C1391" s="1" t="s">
        <v>101</v>
      </c>
      <c r="D1391" s="1" t="s">
        <v>101</v>
      </c>
      <c r="E1391" s="81">
        <v>0</v>
      </c>
      <c r="F1391" s="81">
        <v>0</v>
      </c>
    </row>
    <row r="1392" spans="1:6" x14ac:dyDescent="0.2">
      <c r="A1392" s="1" t="s">
        <v>179</v>
      </c>
      <c r="B1392" s="1" t="s">
        <v>2080</v>
      </c>
      <c r="C1392" s="1" t="s">
        <v>101</v>
      </c>
      <c r="D1392" s="1" t="s">
        <v>101</v>
      </c>
      <c r="E1392" s="81">
        <v>0</v>
      </c>
      <c r="F1392" s="81">
        <v>0</v>
      </c>
    </row>
    <row r="1393" spans="1:6" x14ac:dyDescent="0.2">
      <c r="A1393" s="1" t="s">
        <v>179</v>
      </c>
      <c r="B1393" s="1" t="s">
        <v>2081</v>
      </c>
      <c r="C1393" s="1" t="s">
        <v>101</v>
      </c>
      <c r="D1393" s="1" t="s">
        <v>101</v>
      </c>
      <c r="E1393" s="81">
        <v>0</v>
      </c>
      <c r="F1393" s="81">
        <v>0</v>
      </c>
    </row>
    <row r="1394" spans="1:6" x14ac:dyDescent="0.2">
      <c r="A1394" s="1" t="s">
        <v>179</v>
      </c>
      <c r="B1394" s="1" t="s">
        <v>2082</v>
      </c>
      <c r="C1394" s="1" t="s">
        <v>101</v>
      </c>
      <c r="D1394" s="1" t="s">
        <v>101</v>
      </c>
      <c r="E1394" s="81">
        <v>0</v>
      </c>
      <c r="F1394" s="81">
        <v>0</v>
      </c>
    </row>
    <row r="1395" spans="1:6" x14ac:dyDescent="0.2">
      <c r="A1395" s="1" t="s">
        <v>179</v>
      </c>
      <c r="B1395" s="1" t="s">
        <v>2083</v>
      </c>
      <c r="C1395" s="1" t="s">
        <v>101</v>
      </c>
      <c r="D1395" s="1" t="s">
        <v>101</v>
      </c>
      <c r="E1395" s="81">
        <v>0</v>
      </c>
      <c r="F1395" s="81">
        <v>0</v>
      </c>
    </row>
    <row r="1396" spans="1:6" x14ac:dyDescent="0.2">
      <c r="A1396" s="1" t="s">
        <v>179</v>
      </c>
      <c r="B1396" s="1" t="s">
        <v>2084</v>
      </c>
      <c r="C1396" s="1" t="s">
        <v>101</v>
      </c>
      <c r="D1396" s="1" t="s">
        <v>101</v>
      </c>
      <c r="E1396" s="81">
        <v>0</v>
      </c>
      <c r="F1396" s="81">
        <v>0</v>
      </c>
    </row>
    <row r="1397" spans="1:6" x14ac:dyDescent="0.2">
      <c r="A1397" s="1" t="s">
        <v>179</v>
      </c>
      <c r="B1397" s="1" t="s">
        <v>2085</v>
      </c>
      <c r="C1397" s="1" t="s">
        <v>101</v>
      </c>
      <c r="D1397" s="1" t="s">
        <v>101</v>
      </c>
      <c r="E1397" s="81">
        <v>0</v>
      </c>
      <c r="F1397" s="81">
        <v>0</v>
      </c>
    </row>
    <row r="1398" spans="1:6" x14ac:dyDescent="0.2">
      <c r="A1398" s="1" t="s">
        <v>179</v>
      </c>
      <c r="B1398" s="1" t="s">
        <v>2086</v>
      </c>
      <c r="C1398" s="1" t="s">
        <v>101</v>
      </c>
      <c r="D1398" s="1" t="s">
        <v>101</v>
      </c>
      <c r="E1398" s="81">
        <v>0</v>
      </c>
      <c r="F1398" s="81">
        <v>0</v>
      </c>
    </row>
    <row r="1399" spans="1:6" x14ac:dyDescent="0.2">
      <c r="A1399" s="1" t="s">
        <v>179</v>
      </c>
      <c r="B1399" s="1" t="s">
        <v>2087</v>
      </c>
      <c r="C1399" s="1" t="s">
        <v>101</v>
      </c>
      <c r="D1399" s="1" t="s">
        <v>101</v>
      </c>
      <c r="E1399" s="81">
        <v>0</v>
      </c>
      <c r="F1399" s="81">
        <v>0</v>
      </c>
    </row>
    <row r="1400" spans="1:6" x14ac:dyDescent="0.2">
      <c r="A1400" s="1" t="s">
        <v>179</v>
      </c>
      <c r="B1400" s="1" t="s">
        <v>2088</v>
      </c>
      <c r="C1400" s="1" t="s">
        <v>3996</v>
      </c>
      <c r="D1400" s="1" t="s">
        <v>3996</v>
      </c>
      <c r="E1400" s="81">
        <v>1980621.08</v>
      </c>
      <c r="F1400" s="81">
        <v>1980621.08</v>
      </c>
    </row>
    <row r="1401" spans="1:6" x14ac:dyDescent="0.2">
      <c r="A1401" s="1" t="s">
        <v>179</v>
      </c>
      <c r="B1401" s="1" t="s">
        <v>2089</v>
      </c>
      <c r="C1401" s="1" t="s">
        <v>4003</v>
      </c>
      <c r="D1401" s="1" t="s">
        <v>4003</v>
      </c>
      <c r="E1401" s="81">
        <v>9263.19</v>
      </c>
      <c r="F1401" s="81">
        <v>9263.19</v>
      </c>
    </row>
    <row r="1402" spans="1:6" x14ac:dyDescent="0.2">
      <c r="A1402" s="1" t="s">
        <v>179</v>
      </c>
      <c r="B1402" s="1" t="s">
        <v>2090</v>
      </c>
      <c r="C1402" s="1" t="s">
        <v>4004</v>
      </c>
      <c r="D1402" s="1" t="s">
        <v>4004</v>
      </c>
      <c r="E1402" s="81">
        <v>9200.66</v>
      </c>
      <c r="F1402" s="81">
        <v>9200.66</v>
      </c>
    </row>
    <row r="1403" spans="1:6" x14ac:dyDescent="0.2">
      <c r="A1403" s="1" t="s">
        <v>179</v>
      </c>
      <c r="B1403" s="1" t="s">
        <v>2091</v>
      </c>
      <c r="C1403" s="1" t="s">
        <v>4005</v>
      </c>
      <c r="D1403" s="1" t="s">
        <v>4005</v>
      </c>
      <c r="E1403" s="81">
        <v>9270.58</v>
      </c>
      <c r="F1403" s="81">
        <v>9270.58</v>
      </c>
    </row>
    <row r="1404" spans="1:6" x14ac:dyDescent="0.2">
      <c r="A1404" s="1" t="s">
        <v>179</v>
      </c>
      <c r="B1404" s="1" t="s">
        <v>2092</v>
      </c>
      <c r="C1404" s="1" t="s">
        <v>101</v>
      </c>
      <c r="D1404" s="1" t="s">
        <v>101</v>
      </c>
      <c r="E1404" s="81">
        <v>0</v>
      </c>
      <c r="F1404" s="81">
        <v>0</v>
      </c>
    </row>
    <row r="1405" spans="1:6" x14ac:dyDescent="0.2">
      <c r="A1405" s="1" t="s">
        <v>179</v>
      </c>
      <c r="B1405" s="1" t="s">
        <v>2093</v>
      </c>
      <c r="C1405" s="1" t="s">
        <v>101</v>
      </c>
      <c r="D1405" s="1" t="s">
        <v>101</v>
      </c>
      <c r="E1405" s="81">
        <v>0</v>
      </c>
      <c r="F1405" s="81">
        <v>0</v>
      </c>
    </row>
    <row r="1406" spans="1:6" x14ac:dyDescent="0.2">
      <c r="A1406" s="1" t="s">
        <v>179</v>
      </c>
      <c r="B1406" s="1" t="s">
        <v>2094</v>
      </c>
      <c r="C1406" s="1" t="s">
        <v>101</v>
      </c>
      <c r="D1406" s="1" t="s">
        <v>101</v>
      </c>
      <c r="E1406" s="81">
        <v>0</v>
      </c>
      <c r="F1406" s="81">
        <v>0</v>
      </c>
    </row>
    <row r="1407" spans="1:6" x14ac:dyDescent="0.2">
      <c r="A1407" s="1" t="s">
        <v>179</v>
      </c>
      <c r="B1407" s="1" t="s">
        <v>2095</v>
      </c>
      <c r="C1407" s="1" t="s">
        <v>101</v>
      </c>
      <c r="D1407" s="1" t="s">
        <v>101</v>
      </c>
      <c r="E1407" s="81">
        <v>0</v>
      </c>
      <c r="F1407" s="81">
        <v>0</v>
      </c>
    </row>
    <row r="1408" spans="1:6" x14ac:dyDescent="0.2">
      <c r="A1408" s="1" t="s">
        <v>179</v>
      </c>
      <c r="B1408" s="1" t="s">
        <v>2096</v>
      </c>
      <c r="C1408" s="1" t="s">
        <v>101</v>
      </c>
      <c r="D1408" s="1" t="s">
        <v>101</v>
      </c>
      <c r="E1408" s="81">
        <v>0</v>
      </c>
      <c r="F1408" s="81">
        <v>0</v>
      </c>
    </row>
    <row r="1409" spans="1:6" x14ac:dyDescent="0.2">
      <c r="A1409" s="1" t="s">
        <v>179</v>
      </c>
      <c r="B1409" s="1" t="s">
        <v>2097</v>
      </c>
      <c r="C1409" s="1" t="s">
        <v>101</v>
      </c>
      <c r="D1409" s="1" t="s">
        <v>101</v>
      </c>
      <c r="E1409" s="81">
        <v>0</v>
      </c>
      <c r="F1409" s="81">
        <v>0</v>
      </c>
    </row>
    <row r="1410" spans="1:6" x14ac:dyDescent="0.2">
      <c r="A1410" s="1" t="s">
        <v>179</v>
      </c>
      <c r="B1410" s="1" t="s">
        <v>2098</v>
      </c>
      <c r="C1410" s="1" t="s">
        <v>101</v>
      </c>
      <c r="D1410" s="1" t="s">
        <v>101</v>
      </c>
      <c r="E1410" s="81">
        <v>0</v>
      </c>
      <c r="F1410" s="81">
        <v>0</v>
      </c>
    </row>
    <row r="1411" spans="1:6" x14ac:dyDescent="0.2">
      <c r="A1411" s="1" t="s">
        <v>179</v>
      </c>
      <c r="B1411" s="1" t="s">
        <v>2099</v>
      </c>
      <c r="C1411" s="1" t="s">
        <v>101</v>
      </c>
      <c r="D1411" s="1" t="s">
        <v>101</v>
      </c>
      <c r="E1411" s="81">
        <v>0</v>
      </c>
      <c r="F1411" s="81">
        <v>0</v>
      </c>
    </row>
    <row r="1412" spans="1:6" x14ac:dyDescent="0.2">
      <c r="A1412" s="1" t="s">
        <v>179</v>
      </c>
      <c r="B1412" s="1" t="s">
        <v>2100</v>
      </c>
      <c r="C1412" s="1" t="s">
        <v>101</v>
      </c>
      <c r="D1412" s="1" t="s">
        <v>101</v>
      </c>
      <c r="E1412" s="81">
        <v>0</v>
      </c>
      <c r="F1412" s="81">
        <v>0</v>
      </c>
    </row>
    <row r="1413" spans="1:6" x14ac:dyDescent="0.2">
      <c r="A1413" s="1" t="s">
        <v>179</v>
      </c>
      <c r="B1413" s="1" t="s">
        <v>2101</v>
      </c>
      <c r="C1413" s="1" t="s">
        <v>4006</v>
      </c>
      <c r="D1413" s="1" t="s">
        <v>4006</v>
      </c>
      <c r="E1413" s="81">
        <v>27734.44</v>
      </c>
      <c r="F1413" s="81">
        <v>27734.44</v>
      </c>
    </row>
    <row r="1414" spans="1:6" x14ac:dyDescent="0.2">
      <c r="A1414" s="1" t="s">
        <v>179</v>
      </c>
      <c r="B1414" s="1" t="s">
        <v>2102</v>
      </c>
      <c r="C1414" s="1" t="s">
        <v>4007</v>
      </c>
      <c r="D1414" s="1" t="s">
        <v>4007</v>
      </c>
      <c r="E1414" s="81">
        <v>9275.59</v>
      </c>
      <c r="F1414" s="81">
        <v>9275.59</v>
      </c>
    </row>
    <row r="1415" spans="1:6" x14ac:dyDescent="0.2">
      <c r="A1415" s="1" t="s">
        <v>179</v>
      </c>
      <c r="B1415" s="1" t="s">
        <v>2103</v>
      </c>
      <c r="C1415" s="1" t="s">
        <v>4008</v>
      </c>
      <c r="D1415" s="1" t="s">
        <v>4008</v>
      </c>
      <c r="E1415" s="81">
        <v>9206.5300000000007</v>
      </c>
      <c r="F1415" s="81">
        <v>9206.5300000000007</v>
      </c>
    </row>
    <row r="1416" spans="1:6" x14ac:dyDescent="0.2">
      <c r="A1416" s="1" t="s">
        <v>179</v>
      </c>
      <c r="B1416" s="1" t="s">
        <v>2104</v>
      </c>
      <c r="C1416" s="1" t="s">
        <v>4009</v>
      </c>
      <c r="D1416" s="1" t="s">
        <v>4009</v>
      </c>
      <c r="E1416" s="81">
        <v>9282.8700000000008</v>
      </c>
      <c r="F1416" s="81">
        <v>9282.8700000000008</v>
      </c>
    </row>
    <row r="1417" spans="1:6" x14ac:dyDescent="0.2">
      <c r="A1417" s="1" t="s">
        <v>179</v>
      </c>
      <c r="B1417" s="1" t="s">
        <v>2105</v>
      </c>
      <c r="C1417" s="1" t="s">
        <v>101</v>
      </c>
      <c r="D1417" s="1" t="s">
        <v>101</v>
      </c>
      <c r="E1417" s="81">
        <v>0</v>
      </c>
      <c r="F1417" s="81">
        <v>0</v>
      </c>
    </row>
    <row r="1418" spans="1:6" x14ac:dyDescent="0.2">
      <c r="A1418" s="1" t="s">
        <v>179</v>
      </c>
      <c r="B1418" s="1" t="s">
        <v>2106</v>
      </c>
      <c r="C1418" s="1" t="s">
        <v>101</v>
      </c>
      <c r="D1418" s="1" t="s">
        <v>101</v>
      </c>
      <c r="E1418" s="81">
        <v>0</v>
      </c>
      <c r="F1418" s="81">
        <v>0</v>
      </c>
    </row>
    <row r="1419" spans="1:6" x14ac:dyDescent="0.2">
      <c r="A1419" s="1" t="s">
        <v>179</v>
      </c>
      <c r="B1419" s="1" t="s">
        <v>2107</v>
      </c>
      <c r="C1419" s="1" t="s">
        <v>101</v>
      </c>
      <c r="D1419" s="1" t="s">
        <v>101</v>
      </c>
      <c r="E1419" s="81">
        <v>0</v>
      </c>
      <c r="F1419" s="81">
        <v>0</v>
      </c>
    </row>
    <row r="1420" spans="1:6" x14ac:dyDescent="0.2">
      <c r="A1420" s="1" t="s">
        <v>179</v>
      </c>
      <c r="B1420" s="1" t="s">
        <v>2108</v>
      </c>
      <c r="C1420" s="1" t="s">
        <v>101</v>
      </c>
      <c r="D1420" s="1" t="s">
        <v>101</v>
      </c>
      <c r="E1420" s="81">
        <v>0</v>
      </c>
      <c r="F1420" s="81">
        <v>0</v>
      </c>
    </row>
    <row r="1421" spans="1:6" x14ac:dyDescent="0.2">
      <c r="A1421" s="1" t="s">
        <v>179</v>
      </c>
      <c r="B1421" s="1" t="s">
        <v>2109</v>
      </c>
      <c r="C1421" s="1" t="s">
        <v>101</v>
      </c>
      <c r="D1421" s="1" t="s">
        <v>101</v>
      </c>
      <c r="E1421" s="81">
        <v>0</v>
      </c>
      <c r="F1421" s="81">
        <v>0</v>
      </c>
    </row>
    <row r="1422" spans="1:6" x14ac:dyDescent="0.2">
      <c r="A1422" s="1" t="s">
        <v>179</v>
      </c>
      <c r="B1422" s="1" t="s">
        <v>2110</v>
      </c>
      <c r="C1422" s="1" t="s">
        <v>101</v>
      </c>
      <c r="D1422" s="1" t="s">
        <v>101</v>
      </c>
      <c r="E1422" s="81">
        <v>0</v>
      </c>
      <c r="F1422" s="81">
        <v>0</v>
      </c>
    </row>
    <row r="1423" spans="1:6" x14ac:dyDescent="0.2">
      <c r="A1423" s="1" t="s">
        <v>179</v>
      </c>
      <c r="B1423" s="1" t="s">
        <v>2111</v>
      </c>
      <c r="C1423" s="1" t="s">
        <v>101</v>
      </c>
      <c r="D1423" s="1" t="s">
        <v>101</v>
      </c>
      <c r="E1423" s="81">
        <v>0</v>
      </c>
      <c r="F1423" s="81">
        <v>0</v>
      </c>
    </row>
    <row r="1424" spans="1:6" x14ac:dyDescent="0.2">
      <c r="A1424" s="1" t="s">
        <v>179</v>
      </c>
      <c r="B1424" s="1" t="s">
        <v>2112</v>
      </c>
      <c r="C1424" s="1" t="s">
        <v>101</v>
      </c>
      <c r="D1424" s="1" t="s">
        <v>101</v>
      </c>
      <c r="E1424" s="81">
        <v>0</v>
      </c>
      <c r="F1424" s="81">
        <v>0</v>
      </c>
    </row>
    <row r="1425" spans="1:6" x14ac:dyDescent="0.2">
      <c r="A1425" s="1" t="s">
        <v>179</v>
      </c>
      <c r="B1425" s="1" t="s">
        <v>2113</v>
      </c>
      <c r="C1425" s="1" t="s">
        <v>101</v>
      </c>
      <c r="D1425" s="1" t="s">
        <v>101</v>
      </c>
      <c r="E1425" s="81">
        <v>0</v>
      </c>
      <c r="F1425" s="81">
        <v>0</v>
      </c>
    </row>
    <row r="1426" spans="1:6" x14ac:dyDescent="0.2">
      <c r="A1426" s="1" t="s">
        <v>179</v>
      </c>
      <c r="B1426" s="1" t="s">
        <v>2114</v>
      </c>
      <c r="C1426" s="1" t="s">
        <v>4010</v>
      </c>
      <c r="D1426" s="1" t="s">
        <v>4010</v>
      </c>
      <c r="E1426" s="81">
        <v>1.79</v>
      </c>
      <c r="F1426" s="81">
        <v>1.79</v>
      </c>
    </row>
    <row r="1427" spans="1:6" x14ac:dyDescent="0.2">
      <c r="A1427" s="1" t="s">
        <v>179</v>
      </c>
      <c r="B1427" s="1" t="s">
        <v>2115</v>
      </c>
      <c r="C1427" s="1" t="s">
        <v>4011</v>
      </c>
      <c r="D1427" s="1" t="s">
        <v>4011</v>
      </c>
      <c r="E1427" s="81">
        <v>9.9499999999999993</v>
      </c>
      <c r="F1427" s="81">
        <v>9.9499999999999993</v>
      </c>
    </row>
    <row r="1428" spans="1:6" x14ac:dyDescent="0.2">
      <c r="A1428" s="1" t="s">
        <v>179</v>
      </c>
      <c r="B1428" s="1" t="s">
        <v>2116</v>
      </c>
      <c r="C1428" s="1" t="s">
        <v>4012</v>
      </c>
      <c r="D1428" s="1" t="s">
        <v>4012</v>
      </c>
      <c r="E1428" s="81">
        <v>2.4300000000000002</v>
      </c>
      <c r="F1428" s="81">
        <v>2.4300000000000002</v>
      </c>
    </row>
    <row r="1429" spans="1:6" x14ac:dyDescent="0.2">
      <c r="A1429" s="1" t="s">
        <v>179</v>
      </c>
      <c r="B1429" s="1" t="s">
        <v>2117</v>
      </c>
      <c r="C1429" s="1" t="s">
        <v>101</v>
      </c>
      <c r="D1429" s="1" t="s">
        <v>101</v>
      </c>
      <c r="E1429" s="81">
        <v>0</v>
      </c>
      <c r="F1429" s="81">
        <v>0</v>
      </c>
    </row>
    <row r="1430" spans="1:6" x14ac:dyDescent="0.2">
      <c r="A1430" s="1" t="s">
        <v>179</v>
      </c>
      <c r="B1430" s="1" t="s">
        <v>2118</v>
      </c>
      <c r="C1430" s="1" t="s">
        <v>101</v>
      </c>
      <c r="D1430" s="1" t="s">
        <v>101</v>
      </c>
      <c r="E1430" s="81">
        <v>0</v>
      </c>
      <c r="F1430" s="81">
        <v>0</v>
      </c>
    </row>
    <row r="1431" spans="1:6" x14ac:dyDescent="0.2">
      <c r="A1431" s="1" t="s">
        <v>179</v>
      </c>
      <c r="B1431" s="1" t="s">
        <v>2119</v>
      </c>
      <c r="C1431" s="1" t="s">
        <v>101</v>
      </c>
      <c r="D1431" s="1" t="s">
        <v>101</v>
      </c>
      <c r="E1431" s="81">
        <v>0</v>
      </c>
      <c r="F1431" s="81">
        <v>0</v>
      </c>
    </row>
    <row r="1432" spans="1:6" x14ac:dyDescent="0.2">
      <c r="A1432" s="1" t="s">
        <v>179</v>
      </c>
      <c r="B1432" s="1" t="s">
        <v>2120</v>
      </c>
      <c r="C1432" s="1" t="s">
        <v>101</v>
      </c>
      <c r="D1432" s="1" t="s">
        <v>101</v>
      </c>
      <c r="E1432" s="81">
        <v>0</v>
      </c>
      <c r="F1432" s="81">
        <v>0</v>
      </c>
    </row>
    <row r="1433" spans="1:6" x14ac:dyDescent="0.2">
      <c r="A1433" s="1" t="s">
        <v>179</v>
      </c>
      <c r="B1433" s="1" t="s">
        <v>2121</v>
      </c>
      <c r="C1433" s="1" t="s">
        <v>101</v>
      </c>
      <c r="D1433" s="1" t="s">
        <v>101</v>
      </c>
      <c r="E1433" s="81">
        <v>0</v>
      </c>
      <c r="F1433" s="81">
        <v>0</v>
      </c>
    </row>
    <row r="1434" spans="1:6" x14ac:dyDescent="0.2">
      <c r="A1434" s="1" t="s">
        <v>179</v>
      </c>
      <c r="B1434" s="1" t="s">
        <v>2122</v>
      </c>
      <c r="C1434" s="1" t="s">
        <v>101</v>
      </c>
      <c r="D1434" s="1" t="s">
        <v>101</v>
      </c>
      <c r="E1434" s="81">
        <v>0</v>
      </c>
      <c r="F1434" s="81">
        <v>0</v>
      </c>
    </row>
    <row r="1435" spans="1:6" x14ac:dyDescent="0.2">
      <c r="A1435" s="1" t="s">
        <v>179</v>
      </c>
      <c r="B1435" s="1" t="s">
        <v>2123</v>
      </c>
      <c r="C1435" s="1" t="s">
        <v>101</v>
      </c>
      <c r="D1435" s="1" t="s">
        <v>101</v>
      </c>
      <c r="E1435" s="81">
        <v>0</v>
      </c>
      <c r="F1435" s="81">
        <v>0</v>
      </c>
    </row>
    <row r="1436" spans="1:6" x14ac:dyDescent="0.2">
      <c r="A1436" s="1" t="s">
        <v>179</v>
      </c>
      <c r="B1436" s="1" t="s">
        <v>2124</v>
      </c>
      <c r="C1436" s="1" t="s">
        <v>101</v>
      </c>
      <c r="D1436" s="1" t="s">
        <v>101</v>
      </c>
      <c r="E1436" s="81">
        <v>0</v>
      </c>
      <c r="F1436" s="81">
        <v>0</v>
      </c>
    </row>
    <row r="1437" spans="1:6" x14ac:dyDescent="0.2">
      <c r="A1437" s="1" t="s">
        <v>179</v>
      </c>
      <c r="B1437" s="1" t="s">
        <v>2125</v>
      </c>
      <c r="C1437" s="1" t="s">
        <v>101</v>
      </c>
      <c r="D1437" s="1" t="s">
        <v>101</v>
      </c>
      <c r="E1437" s="81">
        <v>0</v>
      </c>
      <c r="F1437" s="81">
        <v>0</v>
      </c>
    </row>
    <row r="1438" spans="1:6" x14ac:dyDescent="0.2">
      <c r="A1438" s="1" t="s">
        <v>179</v>
      </c>
      <c r="B1438" s="1" t="s">
        <v>2126</v>
      </c>
      <c r="C1438" s="1" t="s">
        <v>101</v>
      </c>
      <c r="D1438" s="1" t="s">
        <v>101</v>
      </c>
      <c r="E1438" s="81">
        <v>0</v>
      </c>
      <c r="F1438" s="81">
        <v>0</v>
      </c>
    </row>
    <row r="1439" spans="1:6" x14ac:dyDescent="0.2">
      <c r="A1439" s="1" t="s">
        <v>179</v>
      </c>
      <c r="B1439" s="1" t="s">
        <v>2127</v>
      </c>
      <c r="C1439" s="1" t="s">
        <v>101</v>
      </c>
      <c r="D1439" s="1" t="s">
        <v>101</v>
      </c>
      <c r="E1439" s="81">
        <v>0</v>
      </c>
      <c r="F1439" s="81">
        <v>0</v>
      </c>
    </row>
    <row r="1440" spans="1:6" x14ac:dyDescent="0.2">
      <c r="A1440" s="1" t="s">
        <v>179</v>
      </c>
      <c r="B1440" s="1" t="s">
        <v>2128</v>
      </c>
      <c r="C1440" s="1" t="s">
        <v>101</v>
      </c>
      <c r="D1440" s="1" t="s">
        <v>101</v>
      </c>
      <c r="E1440" s="81">
        <v>0</v>
      </c>
      <c r="F1440" s="81">
        <v>0</v>
      </c>
    </row>
    <row r="1441" spans="1:6" x14ac:dyDescent="0.2">
      <c r="A1441" s="1" t="s">
        <v>179</v>
      </c>
      <c r="B1441" s="1" t="s">
        <v>2129</v>
      </c>
      <c r="C1441" s="1" t="s">
        <v>101</v>
      </c>
      <c r="D1441" s="1" t="s">
        <v>101</v>
      </c>
      <c r="E1441" s="81">
        <v>0</v>
      </c>
      <c r="F1441" s="81">
        <v>0</v>
      </c>
    </row>
    <row r="1442" spans="1:6" x14ac:dyDescent="0.2">
      <c r="A1442" s="1" t="s">
        <v>179</v>
      </c>
      <c r="B1442" s="1" t="s">
        <v>2130</v>
      </c>
      <c r="C1442" s="1" t="s">
        <v>101</v>
      </c>
      <c r="D1442" s="1" t="s">
        <v>101</v>
      </c>
      <c r="E1442" s="81">
        <v>0</v>
      </c>
      <c r="F1442" s="81">
        <v>0</v>
      </c>
    </row>
    <row r="1443" spans="1:6" x14ac:dyDescent="0.2">
      <c r="A1443" s="1" t="s">
        <v>179</v>
      </c>
      <c r="B1443" s="1" t="s">
        <v>2131</v>
      </c>
      <c r="C1443" s="1" t="s">
        <v>101</v>
      </c>
      <c r="D1443" s="1" t="s">
        <v>101</v>
      </c>
      <c r="E1443" s="81">
        <v>0</v>
      </c>
      <c r="F1443" s="81">
        <v>0</v>
      </c>
    </row>
    <row r="1444" spans="1:6" x14ac:dyDescent="0.2">
      <c r="A1444" s="1" t="s">
        <v>179</v>
      </c>
      <c r="B1444" s="1" t="s">
        <v>2132</v>
      </c>
      <c r="C1444" s="1" t="s">
        <v>101</v>
      </c>
      <c r="D1444" s="1" t="s">
        <v>101</v>
      </c>
      <c r="E1444" s="81">
        <v>0</v>
      </c>
      <c r="F1444" s="81">
        <v>0</v>
      </c>
    </row>
    <row r="1445" spans="1:6" x14ac:dyDescent="0.2">
      <c r="A1445" s="1" t="s">
        <v>179</v>
      </c>
      <c r="B1445" s="1" t="s">
        <v>2133</v>
      </c>
      <c r="C1445" s="1" t="s">
        <v>101</v>
      </c>
      <c r="D1445" s="1" t="s">
        <v>101</v>
      </c>
      <c r="E1445" s="81">
        <v>0</v>
      </c>
      <c r="F1445" s="81">
        <v>0</v>
      </c>
    </row>
    <row r="1446" spans="1:6" x14ac:dyDescent="0.2">
      <c r="A1446" s="1" t="s">
        <v>179</v>
      </c>
      <c r="B1446" s="1" t="s">
        <v>2134</v>
      </c>
      <c r="C1446" s="1" t="s">
        <v>101</v>
      </c>
      <c r="D1446" s="1" t="s">
        <v>101</v>
      </c>
      <c r="E1446" s="81">
        <v>0</v>
      </c>
      <c r="F1446" s="81">
        <v>0</v>
      </c>
    </row>
    <row r="1447" spans="1:6" x14ac:dyDescent="0.2">
      <c r="A1447" s="1" t="s">
        <v>179</v>
      </c>
      <c r="B1447" s="1" t="s">
        <v>2135</v>
      </c>
      <c r="C1447" s="1" t="s">
        <v>101</v>
      </c>
      <c r="D1447" s="1" t="s">
        <v>101</v>
      </c>
      <c r="E1447" s="81">
        <v>0</v>
      </c>
      <c r="F1447" s="81">
        <v>0</v>
      </c>
    </row>
    <row r="1448" spans="1:6" x14ac:dyDescent="0.2">
      <c r="A1448" s="1" t="s">
        <v>179</v>
      </c>
      <c r="B1448" s="1" t="s">
        <v>2136</v>
      </c>
      <c r="C1448" s="1" t="s">
        <v>101</v>
      </c>
      <c r="D1448" s="1" t="s">
        <v>101</v>
      </c>
      <c r="E1448" s="81">
        <v>0</v>
      </c>
      <c r="F1448" s="81">
        <v>0</v>
      </c>
    </row>
    <row r="1449" spans="1:6" x14ac:dyDescent="0.2">
      <c r="A1449" s="1" t="s">
        <v>179</v>
      </c>
      <c r="B1449" s="1" t="s">
        <v>2137</v>
      </c>
      <c r="C1449" s="1" t="s">
        <v>101</v>
      </c>
      <c r="D1449" s="1" t="s">
        <v>101</v>
      </c>
      <c r="E1449" s="81">
        <v>0</v>
      </c>
      <c r="F1449" s="81">
        <v>0</v>
      </c>
    </row>
    <row r="1450" spans="1:6" x14ac:dyDescent="0.2">
      <c r="A1450" s="1" t="s">
        <v>179</v>
      </c>
      <c r="B1450" s="1" t="s">
        <v>2138</v>
      </c>
      <c r="C1450" s="1" t="s">
        <v>4003</v>
      </c>
      <c r="D1450" s="1" t="s">
        <v>4003</v>
      </c>
      <c r="E1450" s="81">
        <v>9263.19</v>
      </c>
      <c r="F1450" s="81">
        <v>9263.19</v>
      </c>
    </row>
    <row r="1451" spans="1:6" x14ac:dyDescent="0.2">
      <c r="A1451" s="1" t="s">
        <v>179</v>
      </c>
      <c r="B1451" s="1" t="s">
        <v>2139</v>
      </c>
      <c r="C1451" s="1" t="s">
        <v>4004</v>
      </c>
      <c r="D1451" s="1" t="s">
        <v>4004</v>
      </c>
      <c r="E1451" s="81">
        <v>9200.66</v>
      </c>
      <c r="F1451" s="81">
        <v>9200.66</v>
      </c>
    </row>
    <row r="1452" spans="1:6" x14ac:dyDescent="0.2">
      <c r="A1452" s="1" t="s">
        <v>179</v>
      </c>
      <c r="B1452" s="1" t="s">
        <v>2140</v>
      </c>
      <c r="C1452" s="1" t="s">
        <v>4005</v>
      </c>
      <c r="D1452" s="1" t="s">
        <v>4005</v>
      </c>
      <c r="E1452" s="81">
        <v>9270.58</v>
      </c>
      <c r="F1452" s="81">
        <v>9270.58</v>
      </c>
    </row>
    <row r="1453" spans="1:6" x14ac:dyDescent="0.2">
      <c r="A1453" s="1" t="s">
        <v>179</v>
      </c>
      <c r="B1453" s="1" t="s">
        <v>2141</v>
      </c>
      <c r="C1453" s="1" t="s">
        <v>101</v>
      </c>
      <c r="D1453" s="1" t="s">
        <v>101</v>
      </c>
      <c r="E1453" s="81">
        <v>0</v>
      </c>
      <c r="F1453" s="81">
        <v>0</v>
      </c>
    </row>
    <row r="1454" spans="1:6" x14ac:dyDescent="0.2">
      <c r="A1454" s="1" t="s">
        <v>179</v>
      </c>
      <c r="B1454" s="1" t="s">
        <v>2142</v>
      </c>
      <c r="C1454" s="1" t="s">
        <v>101</v>
      </c>
      <c r="D1454" s="1" t="s">
        <v>101</v>
      </c>
      <c r="E1454" s="81">
        <v>0</v>
      </c>
      <c r="F1454" s="81">
        <v>0</v>
      </c>
    </row>
    <row r="1455" spans="1:6" x14ac:dyDescent="0.2">
      <c r="A1455" s="1" t="s">
        <v>179</v>
      </c>
      <c r="B1455" s="1" t="s">
        <v>2143</v>
      </c>
      <c r="C1455" s="1" t="s">
        <v>101</v>
      </c>
      <c r="D1455" s="1" t="s">
        <v>101</v>
      </c>
      <c r="E1455" s="81">
        <v>0</v>
      </c>
      <c r="F1455" s="81">
        <v>0</v>
      </c>
    </row>
    <row r="1456" spans="1:6" x14ac:dyDescent="0.2">
      <c r="A1456" s="1" t="s">
        <v>179</v>
      </c>
      <c r="B1456" s="1" t="s">
        <v>2144</v>
      </c>
      <c r="C1456" s="1" t="s">
        <v>101</v>
      </c>
      <c r="D1456" s="1" t="s">
        <v>101</v>
      </c>
      <c r="E1456" s="81">
        <v>0</v>
      </c>
      <c r="F1456" s="81">
        <v>0</v>
      </c>
    </row>
    <row r="1457" spans="1:6" x14ac:dyDescent="0.2">
      <c r="A1457" s="1" t="s">
        <v>179</v>
      </c>
      <c r="B1457" s="1" t="s">
        <v>2145</v>
      </c>
      <c r="C1457" s="1" t="s">
        <v>101</v>
      </c>
      <c r="D1457" s="1" t="s">
        <v>101</v>
      </c>
      <c r="E1457" s="81">
        <v>0</v>
      </c>
      <c r="F1457" s="81">
        <v>0</v>
      </c>
    </row>
    <row r="1458" spans="1:6" x14ac:dyDescent="0.2">
      <c r="A1458" s="1" t="s">
        <v>179</v>
      </c>
      <c r="B1458" s="1" t="s">
        <v>2146</v>
      </c>
      <c r="C1458" s="1" t="s">
        <v>101</v>
      </c>
      <c r="D1458" s="1" t="s">
        <v>101</v>
      </c>
      <c r="E1458" s="81">
        <v>0</v>
      </c>
      <c r="F1458" s="81">
        <v>0</v>
      </c>
    </row>
    <row r="1459" spans="1:6" x14ac:dyDescent="0.2">
      <c r="A1459" s="1" t="s">
        <v>179</v>
      </c>
      <c r="B1459" s="1" t="s">
        <v>2147</v>
      </c>
      <c r="C1459" s="1" t="s">
        <v>101</v>
      </c>
      <c r="D1459" s="1" t="s">
        <v>101</v>
      </c>
      <c r="E1459" s="81">
        <v>0</v>
      </c>
      <c r="F1459" s="81">
        <v>0</v>
      </c>
    </row>
    <row r="1460" spans="1:6" x14ac:dyDescent="0.2">
      <c r="A1460" s="1" t="s">
        <v>179</v>
      </c>
      <c r="B1460" s="1" t="s">
        <v>2148</v>
      </c>
      <c r="C1460" s="1" t="s">
        <v>101</v>
      </c>
      <c r="D1460" s="1" t="s">
        <v>101</v>
      </c>
      <c r="E1460" s="81">
        <v>0</v>
      </c>
      <c r="F1460" s="81">
        <v>0</v>
      </c>
    </row>
    <row r="1461" spans="1:6" x14ac:dyDescent="0.2">
      <c r="A1461" s="1" t="s">
        <v>179</v>
      </c>
      <c r="B1461" s="1" t="s">
        <v>2149</v>
      </c>
      <c r="C1461" s="1" t="s">
        <v>101</v>
      </c>
      <c r="D1461" s="1" t="s">
        <v>101</v>
      </c>
      <c r="E1461" s="81">
        <v>0</v>
      </c>
      <c r="F1461" s="81">
        <v>0</v>
      </c>
    </row>
    <row r="1462" spans="1:6" x14ac:dyDescent="0.2">
      <c r="A1462" s="1" t="s">
        <v>179</v>
      </c>
      <c r="B1462" s="1" t="s">
        <v>2150</v>
      </c>
      <c r="C1462" s="1" t="s">
        <v>4006</v>
      </c>
      <c r="D1462" s="1" t="s">
        <v>4006</v>
      </c>
      <c r="E1462" s="81">
        <v>27734.44</v>
      </c>
      <c r="F1462" s="81">
        <v>27734.44</v>
      </c>
    </row>
    <row r="1463" spans="1:6" x14ac:dyDescent="0.2">
      <c r="A1463" s="1" t="s">
        <v>179</v>
      </c>
      <c r="B1463" s="1" t="s">
        <v>2151</v>
      </c>
      <c r="C1463" s="1" t="s">
        <v>4013</v>
      </c>
      <c r="D1463" s="1" t="s">
        <v>4013</v>
      </c>
      <c r="E1463" s="81">
        <v>10995.61</v>
      </c>
      <c r="F1463" s="81">
        <v>10995.61</v>
      </c>
    </row>
    <row r="1464" spans="1:6" x14ac:dyDescent="0.2">
      <c r="A1464" s="1" t="s">
        <v>179</v>
      </c>
      <c r="B1464" s="1" t="s">
        <v>2152</v>
      </c>
      <c r="C1464" s="1" t="s">
        <v>4014</v>
      </c>
      <c r="D1464" s="1" t="s">
        <v>4014</v>
      </c>
      <c r="E1464" s="81">
        <v>10991.7</v>
      </c>
      <c r="F1464" s="81">
        <v>10991.7</v>
      </c>
    </row>
    <row r="1465" spans="1:6" x14ac:dyDescent="0.2">
      <c r="A1465" s="1" t="s">
        <v>179</v>
      </c>
      <c r="B1465" s="1" t="s">
        <v>2153</v>
      </c>
      <c r="C1465" s="1" t="s">
        <v>4015</v>
      </c>
      <c r="D1465" s="1" t="s">
        <v>4015</v>
      </c>
      <c r="E1465" s="81">
        <v>4661.0200000000004</v>
      </c>
      <c r="F1465" s="81">
        <v>4661.0200000000004</v>
      </c>
    </row>
    <row r="1466" spans="1:6" x14ac:dyDescent="0.2">
      <c r="A1466" s="1" t="s">
        <v>179</v>
      </c>
      <c r="B1466" s="1" t="s">
        <v>2154</v>
      </c>
      <c r="C1466" s="1" t="s">
        <v>101</v>
      </c>
      <c r="D1466" s="1" t="s">
        <v>101</v>
      </c>
      <c r="E1466" s="81">
        <v>0</v>
      </c>
      <c r="F1466" s="81">
        <v>0</v>
      </c>
    </row>
    <row r="1467" spans="1:6" x14ac:dyDescent="0.2">
      <c r="A1467" s="1" t="s">
        <v>179</v>
      </c>
      <c r="B1467" s="1" t="s">
        <v>2155</v>
      </c>
      <c r="C1467" s="1" t="s">
        <v>101</v>
      </c>
      <c r="D1467" s="1" t="s">
        <v>101</v>
      </c>
      <c r="E1467" s="81">
        <v>0</v>
      </c>
      <c r="F1467" s="81">
        <v>0</v>
      </c>
    </row>
    <row r="1468" spans="1:6" x14ac:dyDescent="0.2">
      <c r="A1468" s="1" t="s">
        <v>179</v>
      </c>
      <c r="B1468" s="1" t="s">
        <v>2156</v>
      </c>
      <c r="C1468" s="1" t="s">
        <v>101</v>
      </c>
      <c r="D1468" s="1" t="s">
        <v>101</v>
      </c>
      <c r="E1468" s="81">
        <v>0</v>
      </c>
      <c r="F1468" s="81">
        <v>0</v>
      </c>
    </row>
    <row r="1469" spans="1:6" x14ac:dyDescent="0.2">
      <c r="A1469" s="1" t="s">
        <v>179</v>
      </c>
      <c r="B1469" s="1" t="s">
        <v>2157</v>
      </c>
      <c r="C1469" s="1" t="s">
        <v>101</v>
      </c>
      <c r="D1469" s="1" t="s">
        <v>101</v>
      </c>
      <c r="E1469" s="81">
        <v>0</v>
      </c>
      <c r="F1469" s="81">
        <v>0</v>
      </c>
    </row>
    <row r="1470" spans="1:6" x14ac:dyDescent="0.2">
      <c r="A1470" s="1" t="s">
        <v>179</v>
      </c>
      <c r="B1470" s="1" t="s">
        <v>2158</v>
      </c>
      <c r="C1470" s="1" t="s">
        <v>101</v>
      </c>
      <c r="D1470" s="1" t="s">
        <v>101</v>
      </c>
      <c r="E1470" s="81">
        <v>0</v>
      </c>
      <c r="F1470" s="81">
        <v>0</v>
      </c>
    </row>
    <row r="1471" spans="1:6" x14ac:dyDescent="0.2">
      <c r="A1471" s="1" t="s">
        <v>179</v>
      </c>
      <c r="B1471" s="1" t="s">
        <v>2159</v>
      </c>
      <c r="C1471" s="1" t="s">
        <v>101</v>
      </c>
      <c r="D1471" s="1" t="s">
        <v>101</v>
      </c>
      <c r="E1471" s="81">
        <v>0</v>
      </c>
      <c r="F1471" s="81">
        <v>0</v>
      </c>
    </row>
    <row r="1472" spans="1:6" x14ac:dyDescent="0.2">
      <c r="A1472" s="1" t="s">
        <v>179</v>
      </c>
      <c r="B1472" s="1" t="s">
        <v>2160</v>
      </c>
      <c r="C1472" s="1" t="s">
        <v>101</v>
      </c>
      <c r="D1472" s="1" t="s">
        <v>101</v>
      </c>
      <c r="E1472" s="81">
        <v>0</v>
      </c>
      <c r="F1472" s="81">
        <v>0</v>
      </c>
    </row>
    <row r="1473" spans="1:6" x14ac:dyDescent="0.2">
      <c r="A1473" s="1" t="s">
        <v>179</v>
      </c>
      <c r="B1473" s="1" t="s">
        <v>2161</v>
      </c>
      <c r="C1473" s="1" t="s">
        <v>101</v>
      </c>
      <c r="D1473" s="1" t="s">
        <v>101</v>
      </c>
      <c r="E1473" s="81">
        <v>0</v>
      </c>
      <c r="F1473" s="81">
        <v>0</v>
      </c>
    </row>
    <row r="1474" spans="1:6" x14ac:dyDescent="0.2">
      <c r="A1474" s="1" t="s">
        <v>179</v>
      </c>
      <c r="B1474" s="1" t="s">
        <v>2162</v>
      </c>
      <c r="C1474" s="1" t="s">
        <v>101</v>
      </c>
      <c r="D1474" s="1" t="s">
        <v>101</v>
      </c>
      <c r="E1474" s="81">
        <v>0</v>
      </c>
      <c r="F1474" s="81">
        <v>0</v>
      </c>
    </row>
    <row r="1475" spans="1:6" x14ac:dyDescent="0.2">
      <c r="A1475" s="1" t="s">
        <v>179</v>
      </c>
      <c r="B1475" s="1" t="s">
        <v>2163</v>
      </c>
      <c r="C1475" s="1" t="s">
        <v>4016</v>
      </c>
      <c r="D1475" s="1" t="s">
        <v>4016</v>
      </c>
      <c r="E1475" s="81">
        <v>26648.33</v>
      </c>
      <c r="F1475" s="81">
        <v>26648.33</v>
      </c>
    </row>
    <row r="1476" spans="1:6" x14ac:dyDescent="0.2">
      <c r="A1476" s="1" t="s">
        <v>179</v>
      </c>
      <c r="B1476" s="1" t="s">
        <v>2164</v>
      </c>
      <c r="C1476" s="1" t="s">
        <v>4017</v>
      </c>
      <c r="D1476" s="1" t="s">
        <v>4017</v>
      </c>
      <c r="E1476" s="81">
        <v>11010.66</v>
      </c>
      <c r="F1476" s="81">
        <v>11010.66</v>
      </c>
    </row>
    <row r="1477" spans="1:6" x14ac:dyDescent="0.2">
      <c r="A1477" s="1" t="s">
        <v>179</v>
      </c>
      <c r="B1477" s="1" t="s">
        <v>2165</v>
      </c>
      <c r="C1477" s="1" t="s">
        <v>4018</v>
      </c>
      <c r="D1477" s="1" t="s">
        <v>4018</v>
      </c>
      <c r="E1477" s="81">
        <v>11000.64</v>
      </c>
      <c r="F1477" s="81">
        <v>11000.64</v>
      </c>
    </row>
    <row r="1478" spans="1:6" x14ac:dyDescent="0.2">
      <c r="A1478" s="1" t="s">
        <v>179</v>
      </c>
      <c r="B1478" s="1" t="s">
        <v>2166</v>
      </c>
      <c r="C1478" s="1" t="s">
        <v>4019</v>
      </c>
      <c r="D1478" s="1" t="s">
        <v>4019</v>
      </c>
      <c r="E1478" s="81">
        <v>4665.99</v>
      </c>
      <c r="F1478" s="81">
        <v>4665.99</v>
      </c>
    </row>
    <row r="1479" spans="1:6" x14ac:dyDescent="0.2">
      <c r="A1479" s="1" t="s">
        <v>179</v>
      </c>
      <c r="B1479" s="1" t="s">
        <v>2167</v>
      </c>
      <c r="C1479" s="1" t="s">
        <v>101</v>
      </c>
      <c r="D1479" s="1" t="s">
        <v>101</v>
      </c>
      <c r="E1479" s="81">
        <v>0</v>
      </c>
      <c r="F1479" s="81">
        <v>0</v>
      </c>
    </row>
    <row r="1480" spans="1:6" x14ac:dyDescent="0.2">
      <c r="A1480" s="1" t="s">
        <v>179</v>
      </c>
      <c r="B1480" s="1" t="s">
        <v>2168</v>
      </c>
      <c r="C1480" s="1" t="s">
        <v>101</v>
      </c>
      <c r="D1480" s="1" t="s">
        <v>101</v>
      </c>
      <c r="E1480" s="81">
        <v>0</v>
      </c>
      <c r="F1480" s="81">
        <v>0</v>
      </c>
    </row>
    <row r="1481" spans="1:6" x14ac:dyDescent="0.2">
      <c r="A1481" s="1" t="s">
        <v>179</v>
      </c>
      <c r="B1481" s="1" t="s">
        <v>2169</v>
      </c>
      <c r="C1481" s="1" t="s">
        <v>101</v>
      </c>
      <c r="D1481" s="1" t="s">
        <v>101</v>
      </c>
      <c r="E1481" s="81">
        <v>0</v>
      </c>
      <c r="F1481" s="81">
        <v>0</v>
      </c>
    </row>
    <row r="1482" spans="1:6" x14ac:dyDescent="0.2">
      <c r="A1482" s="1" t="s">
        <v>179</v>
      </c>
      <c r="B1482" s="1" t="s">
        <v>2170</v>
      </c>
      <c r="C1482" s="1" t="s">
        <v>101</v>
      </c>
      <c r="D1482" s="1" t="s">
        <v>101</v>
      </c>
      <c r="E1482" s="81">
        <v>0</v>
      </c>
      <c r="F1482" s="81">
        <v>0</v>
      </c>
    </row>
    <row r="1483" spans="1:6" x14ac:dyDescent="0.2">
      <c r="A1483" s="1" t="s">
        <v>179</v>
      </c>
      <c r="B1483" s="1" t="s">
        <v>2171</v>
      </c>
      <c r="C1483" s="1" t="s">
        <v>101</v>
      </c>
      <c r="D1483" s="1" t="s">
        <v>101</v>
      </c>
      <c r="E1483" s="81">
        <v>0</v>
      </c>
      <c r="F1483" s="81">
        <v>0</v>
      </c>
    </row>
    <row r="1484" spans="1:6" x14ac:dyDescent="0.2">
      <c r="A1484" s="1" t="s">
        <v>179</v>
      </c>
      <c r="B1484" s="1" t="s">
        <v>2172</v>
      </c>
      <c r="C1484" s="1" t="s">
        <v>101</v>
      </c>
      <c r="D1484" s="1" t="s">
        <v>101</v>
      </c>
      <c r="E1484" s="81">
        <v>0</v>
      </c>
      <c r="F1484" s="81">
        <v>0</v>
      </c>
    </row>
    <row r="1485" spans="1:6" x14ac:dyDescent="0.2">
      <c r="A1485" s="1" t="s">
        <v>179</v>
      </c>
      <c r="B1485" s="1" t="s">
        <v>2173</v>
      </c>
      <c r="C1485" s="1" t="s">
        <v>101</v>
      </c>
      <c r="D1485" s="1" t="s">
        <v>101</v>
      </c>
      <c r="E1485" s="81">
        <v>0</v>
      </c>
      <c r="F1485" s="81">
        <v>0</v>
      </c>
    </row>
    <row r="1486" spans="1:6" x14ac:dyDescent="0.2">
      <c r="A1486" s="1" t="s">
        <v>179</v>
      </c>
      <c r="B1486" s="1" t="s">
        <v>2174</v>
      </c>
      <c r="C1486" s="1" t="s">
        <v>101</v>
      </c>
      <c r="D1486" s="1" t="s">
        <v>101</v>
      </c>
      <c r="E1486" s="81">
        <v>0</v>
      </c>
      <c r="F1486" s="81">
        <v>0</v>
      </c>
    </row>
    <row r="1487" spans="1:6" x14ac:dyDescent="0.2">
      <c r="A1487" s="1" t="s">
        <v>179</v>
      </c>
      <c r="B1487" s="1" t="s">
        <v>2175</v>
      </c>
      <c r="C1487" s="1" t="s">
        <v>101</v>
      </c>
      <c r="D1487" s="1" t="s">
        <v>101</v>
      </c>
      <c r="E1487" s="81">
        <v>0</v>
      </c>
      <c r="F1487" s="81">
        <v>0</v>
      </c>
    </row>
    <row r="1488" spans="1:6" x14ac:dyDescent="0.2">
      <c r="A1488" s="1" t="s">
        <v>179</v>
      </c>
      <c r="B1488" s="1" t="s">
        <v>2176</v>
      </c>
      <c r="C1488" s="1" t="s">
        <v>4010</v>
      </c>
      <c r="D1488" s="1" t="s">
        <v>4010</v>
      </c>
      <c r="E1488" s="81">
        <v>1.79</v>
      </c>
      <c r="F1488" s="81">
        <v>1.79</v>
      </c>
    </row>
    <row r="1489" spans="1:6" x14ac:dyDescent="0.2">
      <c r="A1489" s="1" t="s">
        <v>179</v>
      </c>
      <c r="B1489" s="1" t="s">
        <v>2177</v>
      </c>
      <c r="C1489" s="1" t="s">
        <v>4011</v>
      </c>
      <c r="D1489" s="1" t="s">
        <v>4011</v>
      </c>
      <c r="E1489" s="81">
        <v>9.9499999999999993</v>
      </c>
      <c r="F1489" s="81">
        <v>9.9499999999999993</v>
      </c>
    </row>
    <row r="1490" spans="1:6" x14ac:dyDescent="0.2">
      <c r="A1490" s="1" t="s">
        <v>179</v>
      </c>
      <c r="B1490" s="1" t="s">
        <v>2178</v>
      </c>
      <c r="C1490" s="1" t="s">
        <v>4012</v>
      </c>
      <c r="D1490" s="1" t="s">
        <v>4012</v>
      </c>
      <c r="E1490" s="81">
        <v>2.4300000000000002</v>
      </c>
      <c r="F1490" s="81">
        <v>2.4300000000000002</v>
      </c>
    </row>
    <row r="1491" spans="1:6" x14ac:dyDescent="0.2">
      <c r="A1491" s="1" t="s">
        <v>179</v>
      </c>
      <c r="B1491" s="1" t="s">
        <v>2179</v>
      </c>
      <c r="C1491" s="1" t="s">
        <v>101</v>
      </c>
      <c r="D1491" s="1" t="s">
        <v>101</v>
      </c>
      <c r="E1491" s="81">
        <v>0</v>
      </c>
      <c r="F1491" s="81">
        <v>0</v>
      </c>
    </row>
    <row r="1492" spans="1:6" x14ac:dyDescent="0.2">
      <c r="A1492" s="1" t="s">
        <v>179</v>
      </c>
      <c r="B1492" s="1" t="s">
        <v>2180</v>
      </c>
      <c r="C1492" s="1" t="s">
        <v>101</v>
      </c>
      <c r="D1492" s="1" t="s">
        <v>101</v>
      </c>
      <c r="E1492" s="81">
        <v>0</v>
      </c>
      <c r="F1492" s="81">
        <v>0</v>
      </c>
    </row>
    <row r="1493" spans="1:6" x14ac:dyDescent="0.2">
      <c r="A1493" s="1" t="s">
        <v>179</v>
      </c>
      <c r="B1493" s="1" t="s">
        <v>2181</v>
      </c>
      <c r="C1493" s="1" t="s">
        <v>101</v>
      </c>
      <c r="D1493" s="1" t="s">
        <v>101</v>
      </c>
      <c r="E1493" s="81">
        <v>0</v>
      </c>
      <c r="F1493" s="81">
        <v>0</v>
      </c>
    </row>
    <row r="1494" spans="1:6" x14ac:dyDescent="0.2">
      <c r="A1494" s="1" t="s">
        <v>179</v>
      </c>
      <c r="B1494" s="1" t="s">
        <v>2182</v>
      </c>
      <c r="C1494" s="1" t="s">
        <v>101</v>
      </c>
      <c r="D1494" s="1" t="s">
        <v>101</v>
      </c>
      <c r="E1494" s="81">
        <v>0</v>
      </c>
      <c r="F1494" s="81">
        <v>0</v>
      </c>
    </row>
    <row r="1495" spans="1:6" x14ac:dyDescent="0.2">
      <c r="A1495" s="1" t="s">
        <v>179</v>
      </c>
      <c r="B1495" s="1" t="s">
        <v>2183</v>
      </c>
      <c r="C1495" s="1" t="s">
        <v>101</v>
      </c>
      <c r="D1495" s="1" t="s">
        <v>101</v>
      </c>
      <c r="E1495" s="81">
        <v>0</v>
      </c>
      <c r="F1495" s="81">
        <v>0</v>
      </c>
    </row>
    <row r="1496" spans="1:6" x14ac:dyDescent="0.2">
      <c r="A1496" s="1" t="s">
        <v>179</v>
      </c>
      <c r="B1496" s="1" t="s">
        <v>2184</v>
      </c>
      <c r="C1496" s="1" t="s">
        <v>101</v>
      </c>
      <c r="D1496" s="1" t="s">
        <v>101</v>
      </c>
      <c r="E1496" s="81">
        <v>0</v>
      </c>
      <c r="F1496" s="81">
        <v>0</v>
      </c>
    </row>
    <row r="1497" spans="1:6" x14ac:dyDescent="0.2">
      <c r="A1497" s="1" t="s">
        <v>179</v>
      </c>
      <c r="B1497" s="1" t="s">
        <v>2185</v>
      </c>
      <c r="C1497" s="1" t="s">
        <v>101</v>
      </c>
      <c r="D1497" s="1" t="s">
        <v>101</v>
      </c>
      <c r="E1497" s="81">
        <v>0</v>
      </c>
      <c r="F1497" s="81">
        <v>0</v>
      </c>
    </row>
    <row r="1498" spans="1:6" x14ac:dyDescent="0.2">
      <c r="A1498" s="1" t="s">
        <v>179</v>
      </c>
      <c r="B1498" s="1" t="s">
        <v>2186</v>
      </c>
      <c r="C1498" s="1" t="s">
        <v>101</v>
      </c>
      <c r="D1498" s="1" t="s">
        <v>101</v>
      </c>
      <c r="E1498" s="81">
        <v>0</v>
      </c>
      <c r="F1498" s="81">
        <v>0</v>
      </c>
    </row>
    <row r="1499" spans="1:6" x14ac:dyDescent="0.2">
      <c r="A1499" s="1" t="s">
        <v>179</v>
      </c>
      <c r="B1499" s="1" t="s">
        <v>2187</v>
      </c>
      <c r="C1499" s="1" t="s">
        <v>101</v>
      </c>
      <c r="D1499" s="1" t="s">
        <v>101</v>
      </c>
      <c r="E1499" s="81">
        <v>0</v>
      </c>
      <c r="F1499" s="81">
        <v>0</v>
      </c>
    </row>
    <row r="1500" spans="1:6" x14ac:dyDescent="0.2">
      <c r="A1500" s="1" t="s">
        <v>179</v>
      </c>
      <c r="B1500" s="1" t="s">
        <v>2188</v>
      </c>
      <c r="C1500" s="1" t="s">
        <v>101</v>
      </c>
      <c r="D1500" s="1" t="s">
        <v>101</v>
      </c>
      <c r="E1500" s="81">
        <v>0</v>
      </c>
      <c r="F1500" s="81">
        <v>0</v>
      </c>
    </row>
    <row r="1501" spans="1:6" x14ac:dyDescent="0.2">
      <c r="A1501" s="1" t="s">
        <v>179</v>
      </c>
      <c r="B1501" s="1" t="s">
        <v>2189</v>
      </c>
      <c r="C1501" s="1" t="s">
        <v>101</v>
      </c>
      <c r="D1501" s="1" t="s">
        <v>101</v>
      </c>
      <c r="E1501" s="81">
        <v>0</v>
      </c>
      <c r="F1501" s="81">
        <v>0</v>
      </c>
    </row>
    <row r="1502" spans="1:6" x14ac:dyDescent="0.2">
      <c r="A1502" s="1" t="s">
        <v>179</v>
      </c>
      <c r="B1502" s="1" t="s">
        <v>2190</v>
      </c>
      <c r="C1502" s="1" t="s">
        <v>101</v>
      </c>
      <c r="D1502" s="1" t="s">
        <v>101</v>
      </c>
      <c r="E1502" s="81">
        <v>0</v>
      </c>
      <c r="F1502" s="81">
        <v>0</v>
      </c>
    </row>
    <row r="1503" spans="1:6" x14ac:dyDescent="0.2">
      <c r="A1503" s="1" t="s">
        <v>179</v>
      </c>
      <c r="B1503" s="1" t="s">
        <v>2191</v>
      </c>
      <c r="C1503" s="1" t="s">
        <v>101</v>
      </c>
      <c r="D1503" s="1" t="s">
        <v>101</v>
      </c>
      <c r="E1503" s="81">
        <v>0</v>
      </c>
      <c r="F1503" s="81">
        <v>0</v>
      </c>
    </row>
    <row r="1504" spans="1:6" x14ac:dyDescent="0.2">
      <c r="A1504" s="1" t="s">
        <v>179</v>
      </c>
      <c r="B1504" s="1" t="s">
        <v>2192</v>
      </c>
      <c r="C1504" s="1" t="s">
        <v>101</v>
      </c>
      <c r="D1504" s="1" t="s">
        <v>101</v>
      </c>
      <c r="E1504" s="81">
        <v>0</v>
      </c>
      <c r="F1504" s="81">
        <v>0</v>
      </c>
    </row>
    <row r="1505" spans="1:6" x14ac:dyDescent="0.2">
      <c r="A1505" s="1" t="s">
        <v>179</v>
      </c>
      <c r="B1505" s="1" t="s">
        <v>2193</v>
      </c>
      <c r="C1505" s="1" t="s">
        <v>101</v>
      </c>
      <c r="D1505" s="1" t="s">
        <v>101</v>
      </c>
      <c r="E1505" s="81">
        <v>0</v>
      </c>
      <c r="F1505" s="81">
        <v>0</v>
      </c>
    </row>
    <row r="1506" spans="1:6" x14ac:dyDescent="0.2">
      <c r="A1506" s="1" t="s">
        <v>179</v>
      </c>
      <c r="B1506" s="1" t="s">
        <v>2194</v>
      </c>
      <c r="C1506" s="1" t="s">
        <v>101</v>
      </c>
      <c r="D1506" s="1" t="s">
        <v>101</v>
      </c>
      <c r="E1506" s="81">
        <v>0</v>
      </c>
      <c r="F1506" s="81">
        <v>0</v>
      </c>
    </row>
    <row r="1507" spans="1:6" x14ac:dyDescent="0.2">
      <c r="A1507" s="1" t="s">
        <v>179</v>
      </c>
      <c r="B1507" s="1" t="s">
        <v>2195</v>
      </c>
      <c r="C1507" s="1" t="s">
        <v>101</v>
      </c>
      <c r="D1507" s="1" t="s">
        <v>101</v>
      </c>
      <c r="E1507" s="81">
        <v>0</v>
      </c>
      <c r="F1507" s="81">
        <v>0</v>
      </c>
    </row>
    <row r="1508" spans="1:6" x14ac:dyDescent="0.2">
      <c r="A1508" s="1" t="s">
        <v>179</v>
      </c>
      <c r="B1508" s="1" t="s">
        <v>2196</v>
      </c>
      <c r="C1508" s="1" t="s">
        <v>101</v>
      </c>
      <c r="D1508" s="1" t="s">
        <v>101</v>
      </c>
      <c r="E1508" s="81">
        <v>0</v>
      </c>
      <c r="F1508" s="81">
        <v>0</v>
      </c>
    </row>
    <row r="1509" spans="1:6" x14ac:dyDescent="0.2">
      <c r="A1509" s="1" t="s">
        <v>179</v>
      </c>
      <c r="B1509" s="1" t="s">
        <v>2197</v>
      </c>
      <c r="C1509" s="1" t="s">
        <v>101</v>
      </c>
      <c r="D1509" s="1" t="s">
        <v>101</v>
      </c>
      <c r="E1509" s="81">
        <v>0</v>
      </c>
      <c r="F1509" s="81">
        <v>0</v>
      </c>
    </row>
    <row r="1510" spans="1:6" x14ac:dyDescent="0.2">
      <c r="A1510" s="1" t="s">
        <v>179</v>
      </c>
      <c r="B1510" s="1" t="s">
        <v>2198</v>
      </c>
      <c r="C1510" s="1" t="s">
        <v>101</v>
      </c>
      <c r="D1510" s="1" t="s">
        <v>101</v>
      </c>
      <c r="E1510" s="81">
        <v>0</v>
      </c>
      <c r="F1510" s="81">
        <v>0</v>
      </c>
    </row>
    <row r="1511" spans="1:6" x14ac:dyDescent="0.2">
      <c r="A1511" s="1" t="s">
        <v>179</v>
      </c>
      <c r="B1511" s="1" t="s">
        <v>2199</v>
      </c>
      <c r="C1511" s="1" t="s">
        <v>101</v>
      </c>
      <c r="D1511" s="1" t="s">
        <v>101</v>
      </c>
      <c r="E1511" s="81">
        <v>0</v>
      </c>
      <c r="F1511" s="81">
        <v>0</v>
      </c>
    </row>
    <row r="1512" spans="1:6" x14ac:dyDescent="0.2">
      <c r="A1512" s="1" t="s">
        <v>179</v>
      </c>
      <c r="B1512" s="1" t="s">
        <v>2200</v>
      </c>
      <c r="C1512" s="1" t="s">
        <v>4013</v>
      </c>
      <c r="D1512" s="1" t="s">
        <v>4013</v>
      </c>
      <c r="E1512" s="81">
        <v>10995.61</v>
      </c>
      <c r="F1512" s="81">
        <v>10995.61</v>
      </c>
    </row>
    <row r="1513" spans="1:6" x14ac:dyDescent="0.2">
      <c r="A1513" s="1" t="s">
        <v>179</v>
      </c>
      <c r="B1513" s="1" t="s">
        <v>2201</v>
      </c>
      <c r="C1513" s="1" t="s">
        <v>4014</v>
      </c>
      <c r="D1513" s="1" t="s">
        <v>4014</v>
      </c>
      <c r="E1513" s="81">
        <v>10991.7</v>
      </c>
      <c r="F1513" s="81">
        <v>10991.7</v>
      </c>
    </row>
    <row r="1514" spans="1:6" x14ac:dyDescent="0.2">
      <c r="A1514" s="1" t="s">
        <v>179</v>
      </c>
      <c r="B1514" s="1" t="s">
        <v>2202</v>
      </c>
      <c r="C1514" s="1" t="s">
        <v>4015</v>
      </c>
      <c r="D1514" s="1" t="s">
        <v>4015</v>
      </c>
      <c r="E1514" s="81">
        <v>4661.0200000000004</v>
      </c>
      <c r="F1514" s="81">
        <v>4661.0200000000004</v>
      </c>
    </row>
    <row r="1515" spans="1:6" x14ac:dyDescent="0.2">
      <c r="A1515" s="1" t="s">
        <v>179</v>
      </c>
      <c r="B1515" s="1" t="s">
        <v>2203</v>
      </c>
      <c r="C1515" s="1" t="s">
        <v>101</v>
      </c>
      <c r="D1515" s="1" t="s">
        <v>101</v>
      </c>
      <c r="E1515" s="81">
        <v>0</v>
      </c>
      <c r="F1515" s="81">
        <v>0</v>
      </c>
    </row>
    <row r="1516" spans="1:6" x14ac:dyDescent="0.2">
      <c r="A1516" s="1" t="s">
        <v>179</v>
      </c>
      <c r="B1516" s="1" t="s">
        <v>2204</v>
      </c>
      <c r="C1516" s="1" t="s">
        <v>101</v>
      </c>
      <c r="D1516" s="1" t="s">
        <v>101</v>
      </c>
      <c r="E1516" s="81">
        <v>0</v>
      </c>
      <c r="F1516" s="81">
        <v>0</v>
      </c>
    </row>
    <row r="1517" spans="1:6" x14ac:dyDescent="0.2">
      <c r="A1517" s="1" t="s">
        <v>179</v>
      </c>
      <c r="B1517" s="1" t="s">
        <v>2205</v>
      </c>
      <c r="C1517" s="1" t="s">
        <v>101</v>
      </c>
      <c r="D1517" s="1" t="s">
        <v>101</v>
      </c>
      <c r="E1517" s="81">
        <v>0</v>
      </c>
      <c r="F1517" s="81">
        <v>0</v>
      </c>
    </row>
    <row r="1518" spans="1:6" x14ac:dyDescent="0.2">
      <c r="A1518" s="1" t="s">
        <v>179</v>
      </c>
      <c r="B1518" s="1" t="s">
        <v>2206</v>
      </c>
      <c r="C1518" s="1" t="s">
        <v>101</v>
      </c>
      <c r="D1518" s="1" t="s">
        <v>101</v>
      </c>
      <c r="E1518" s="81">
        <v>0</v>
      </c>
      <c r="F1518" s="81">
        <v>0</v>
      </c>
    </row>
    <row r="1519" spans="1:6" x14ac:dyDescent="0.2">
      <c r="A1519" s="1" t="s">
        <v>179</v>
      </c>
      <c r="B1519" s="1" t="s">
        <v>2207</v>
      </c>
      <c r="C1519" s="1" t="s">
        <v>101</v>
      </c>
      <c r="D1519" s="1" t="s">
        <v>101</v>
      </c>
      <c r="E1519" s="81">
        <v>0</v>
      </c>
      <c r="F1519" s="81">
        <v>0</v>
      </c>
    </row>
    <row r="1520" spans="1:6" x14ac:dyDescent="0.2">
      <c r="A1520" s="1" t="s">
        <v>179</v>
      </c>
      <c r="B1520" s="1" t="s">
        <v>2208</v>
      </c>
      <c r="C1520" s="1" t="s">
        <v>101</v>
      </c>
      <c r="D1520" s="1" t="s">
        <v>101</v>
      </c>
      <c r="E1520" s="81">
        <v>0</v>
      </c>
      <c r="F1520" s="81">
        <v>0</v>
      </c>
    </row>
    <row r="1521" spans="1:6" x14ac:dyDescent="0.2">
      <c r="A1521" s="1" t="s">
        <v>179</v>
      </c>
      <c r="B1521" s="1" t="s">
        <v>2209</v>
      </c>
      <c r="C1521" s="1" t="s">
        <v>101</v>
      </c>
      <c r="D1521" s="1" t="s">
        <v>101</v>
      </c>
      <c r="E1521" s="81">
        <v>0</v>
      </c>
      <c r="F1521" s="81">
        <v>0</v>
      </c>
    </row>
    <row r="1522" spans="1:6" x14ac:dyDescent="0.2">
      <c r="A1522" s="1" t="s">
        <v>179</v>
      </c>
      <c r="B1522" s="1" t="s">
        <v>2210</v>
      </c>
      <c r="C1522" s="1" t="s">
        <v>101</v>
      </c>
      <c r="D1522" s="1" t="s">
        <v>101</v>
      </c>
      <c r="E1522" s="81">
        <v>0</v>
      </c>
      <c r="F1522" s="81">
        <v>0</v>
      </c>
    </row>
    <row r="1523" spans="1:6" x14ac:dyDescent="0.2">
      <c r="A1523" s="1" t="s">
        <v>179</v>
      </c>
      <c r="B1523" s="1" t="s">
        <v>2211</v>
      </c>
      <c r="C1523" s="1" t="s">
        <v>101</v>
      </c>
      <c r="D1523" s="1" t="s">
        <v>101</v>
      </c>
      <c r="E1523" s="81">
        <v>0</v>
      </c>
      <c r="F1523" s="81">
        <v>0</v>
      </c>
    </row>
    <row r="1524" spans="1:6" x14ac:dyDescent="0.2">
      <c r="A1524" s="1" t="s">
        <v>179</v>
      </c>
      <c r="B1524" s="1" t="s">
        <v>2212</v>
      </c>
      <c r="C1524" s="1" t="s">
        <v>4016</v>
      </c>
      <c r="D1524" s="1" t="s">
        <v>4016</v>
      </c>
      <c r="E1524" s="81">
        <v>26648.33</v>
      </c>
      <c r="F1524" s="81">
        <v>26648.33</v>
      </c>
    </row>
    <row r="1525" spans="1:6" x14ac:dyDescent="0.2">
      <c r="A1525" s="1" t="s">
        <v>179</v>
      </c>
      <c r="B1525" s="1" t="s">
        <v>2213</v>
      </c>
      <c r="C1525" s="1" t="s">
        <v>101</v>
      </c>
      <c r="D1525" s="1" t="s">
        <v>101</v>
      </c>
      <c r="E1525" s="81">
        <v>0</v>
      </c>
      <c r="F1525" s="81">
        <v>0</v>
      </c>
    </row>
    <row r="1526" spans="1:6" x14ac:dyDescent="0.2">
      <c r="A1526" s="1" t="s">
        <v>179</v>
      </c>
      <c r="B1526" s="1" t="s">
        <v>2214</v>
      </c>
      <c r="C1526" s="1" t="s">
        <v>101</v>
      </c>
      <c r="D1526" s="1" t="s">
        <v>101</v>
      </c>
      <c r="E1526" s="81">
        <v>0</v>
      </c>
      <c r="F1526" s="81">
        <v>0</v>
      </c>
    </row>
    <row r="1527" spans="1:6" x14ac:dyDescent="0.2">
      <c r="A1527" s="1" t="s">
        <v>179</v>
      </c>
      <c r="B1527" s="1" t="s">
        <v>2215</v>
      </c>
      <c r="C1527" s="1" t="s">
        <v>101</v>
      </c>
      <c r="D1527" s="1" t="s">
        <v>101</v>
      </c>
      <c r="E1527" s="81">
        <v>0</v>
      </c>
      <c r="F1527" s="81">
        <v>0</v>
      </c>
    </row>
    <row r="1528" spans="1:6" x14ac:dyDescent="0.2">
      <c r="A1528" s="1" t="s">
        <v>179</v>
      </c>
      <c r="B1528" s="1" t="s">
        <v>2216</v>
      </c>
      <c r="C1528" s="1" t="s">
        <v>101</v>
      </c>
      <c r="D1528" s="1" t="s">
        <v>101</v>
      </c>
      <c r="E1528" s="81">
        <v>0</v>
      </c>
      <c r="F1528" s="81">
        <v>0</v>
      </c>
    </row>
    <row r="1529" spans="1:6" x14ac:dyDescent="0.2">
      <c r="A1529" s="1" t="s">
        <v>179</v>
      </c>
      <c r="B1529" s="1" t="s">
        <v>2217</v>
      </c>
      <c r="C1529" s="1" t="s">
        <v>101</v>
      </c>
      <c r="D1529" s="1" t="s">
        <v>101</v>
      </c>
      <c r="E1529" s="81">
        <v>0</v>
      </c>
      <c r="F1529" s="81">
        <v>0</v>
      </c>
    </row>
    <row r="1530" spans="1:6" x14ac:dyDescent="0.2">
      <c r="A1530" s="1" t="s">
        <v>179</v>
      </c>
      <c r="B1530" s="1" t="s">
        <v>2218</v>
      </c>
      <c r="C1530" s="1" t="s">
        <v>101</v>
      </c>
      <c r="D1530" s="1" t="s">
        <v>101</v>
      </c>
      <c r="E1530" s="81">
        <v>0</v>
      </c>
      <c r="F1530" s="81">
        <v>0</v>
      </c>
    </row>
    <row r="1531" spans="1:6" x14ac:dyDescent="0.2">
      <c r="A1531" s="1" t="s">
        <v>179</v>
      </c>
      <c r="B1531" s="1" t="s">
        <v>2219</v>
      </c>
      <c r="C1531" s="1" t="s">
        <v>101</v>
      </c>
      <c r="D1531" s="1" t="s">
        <v>101</v>
      </c>
      <c r="E1531" s="81">
        <v>0</v>
      </c>
      <c r="F1531" s="81">
        <v>0</v>
      </c>
    </row>
    <row r="1532" spans="1:6" x14ac:dyDescent="0.2">
      <c r="A1532" s="1" t="s">
        <v>179</v>
      </c>
      <c r="B1532" s="1" t="s">
        <v>2220</v>
      </c>
      <c r="C1532" s="1" t="s">
        <v>101</v>
      </c>
      <c r="D1532" s="1" t="s">
        <v>101</v>
      </c>
      <c r="E1532" s="81">
        <v>0</v>
      </c>
      <c r="F1532" s="81">
        <v>0</v>
      </c>
    </row>
    <row r="1533" spans="1:6" x14ac:dyDescent="0.2">
      <c r="A1533" s="1" t="s">
        <v>179</v>
      </c>
      <c r="B1533" s="1" t="s">
        <v>2221</v>
      </c>
      <c r="C1533" s="1" t="s">
        <v>101</v>
      </c>
      <c r="D1533" s="1" t="s">
        <v>101</v>
      </c>
      <c r="E1533" s="81">
        <v>0</v>
      </c>
      <c r="F1533" s="81">
        <v>0</v>
      </c>
    </row>
    <row r="1534" spans="1:6" x14ac:dyDescent="0.2">
      <c r="A1534" s="1" t="s">
        <v>179</v>
      </c>
      <c r="B1534" s="1" t="s">
        <v>2222</v>
      </c>
      <c r="C1534" s="1" t="s">
        <v>101</v>
      </c>
      <c r="D1534" s="1" t="s">
        <v>101</v>
      </c>
      <c r="E1534" s="81">
        <v>0</v>
      </c>
      <c r="F1534" s="81">
        <v>0</v>
      </c>
    </row>
    <row r="1535" spans="1:6" x14ac:dyDescent="0.2">
      <c r="A1535" s="1" t="s">
        <v>179</v>
      </c>
      <c r="B1535" s="1" t="s">
        <v>2223</v>
      </c>
      <c r="C1535" s="1" t="s">
        <v>101</v>
      </c>
      <c r="D1535" s="1" t="s">
        <v>101</v>
      </c>
      <c r="E1535" s="81">
        <v>0</v>
      </c>
      <c r="F1535" s="81">
        <v>0</v>
      </c>
    </row>
    <row r="1536" spans="1:6" x14ac:dyDescent="0.2">
      <c r="A1536" s="1" t="s">
        <v>179</v>
      </c>
      <c r="B1536" s="1" t="s">
        <v>2224</v>
      </c>
      <c r="C1536" s="1" t="s">
        <v>101</v>
      </c>
      <c r="D1536" s="1" t="s">
        <v>101</v>
      </c>
      <c r="E1536" s="81">
        <v>0</v>
      </c>
      <c r="F1536" s="81">
        <v>0</v>
      </c>
    </row>
    <row r="1537" spans="1:6" x14ac:dyDescent="0.2">
      <c r="A1537" s="1" t="s">
        <v>179</v>
      </c>
      <c r="B1537" s="1" t="s">
        <v>2225</v>
      </c>
      <c r="C1537" s="1" t="s">
        <v>101</v>
      </c>
      <c r="D1537" s="1" t="s">
        <v>101</v>
      </c>
      <c r="E1537" s="81">
        <v>0</v>
      </c>
      <c r="F1537" s="81">
        <v>0</v>
      </c>
    </row>
    <row r="1538" spans="1:6" x14ac:dyDescent="0.2">
      <c r="A1538" s="1" t="s">
        <v>179</v>
      </c>
      <c r="B1538" s="1" t="s">
        <v>2226</v>
      </c>
      <c r="C1538" s="1" t="s">
        <v>101</v>
      </c>
      <c r="D1538" s="1" t="s">
        <v>101</v>
      </c>
      <c r="E1538" s="81">
        <v>0</v>
      </c>
      <c r="F1538" s="81">
        <v>0</v>
      </c>
    </row>
    <row r="1539" spans="1:6" x14ac:dyDescent="0.2">
      <c r="A1539" s="1" t="s">
        <v>179</v>
      </c>
      <c r="B1539" s="1" t="s">
        <v>2227</v>
      </c>
      <c r="C1539" s="1" t="s">
        <v>101</v>
      </c>
      <c r="D1539" s="1" t="s">
        <v>101</v>
      </c>
      <c r="E1539" s="81">
        <v>0</v>
      </c>
      <c r="F1539" s="81">
        <v>0</v>
      </c>
    </row>
    <row r="1540" spans="1:6" x14ac:dyDescent="0.2">
      <c r="A1540" s="1" t="s">
        <v>179</v>
      </c>
      <c r="B1540" s="1" t="s">
        <v>2228</v>
      </c>
      <c r="C1540" s="1" t="s">
        <v>101</v>
      </c>
      <c r="D1540" s="1" t="s">
        <v>101</v>
      </c>
      <c r="E1540" s="81">
        <v>0</v>
      </c>
      <c r="F1540" s="81">
        <v>0</v>
      </c>
    </row>
    <row r="1541" spans="1:6" x14ac:dyDescent="0.2">
      <c r="A1541" s="1" t="s">
        <v>179</v>
      </c>
      <c r="B1541" s="1" t="s">
        <v>2229</v>
      </c>
      <c r="C1541" s="1" t="s">
        <v>101</v>
      </c>
      <c r="D1541" s="1" t="s">
        <v>101</v>
      </c>
      <c r="E1541" s="81">
        <v>0</v>
      </c>
      <c r="F1541" s="81">
        <v>0</v>
      </c>
    </row>
    <row r="1542" spans="1:6" x14ac:dyDescent="0.2">
      <c r="A1542" s="1" t="s">
        <v>179</v>
      </c>
      <c r="B1542" s="1" t="s">
        <v>2230</v>
      </c>
      <c r="C1542" s="1" t="s">
        <v>101</v>
      </c>
      <c r="D1542" s="1" t="s">
        <v>101</v>
      </c>
      <c r="E1542" s="81">
        <v>0</v>
      </c>
      <c r="F1542" s="81">
        <v>0</v>
      </c>
    </row>
    <row r="1543" spans="1:6" x14ac:dyDescent="0.2">
      <c r="A1543" s="1" t="s">
        <v>179</v>
      </c>
      <c r="B1543" s="1" t="s">
        <v>2231</v>
      </c>
      <c r="C1543" s="1" t="s">
        <v>101</v>
      </c>
      <c r="D1543" s="1" t="s">
        <v>101</v>
      </c>
      <c r="E1543" s="81">
        <v>0</v>
      </c>
      <c r="F1543" s="81">
        <v>0</v>
      </c>
    </row>
    <row r="1544" spans="1:6" x14ac:dyDescent="0.2">
      <c r="A1544" s="1" t="s">
        <v>179</v>
      </c>
      <c r="B1544" s="1" t="s">
        <v>2232</v>
      </c>
      <c r="C1544" s="1" t="s">
        <v>101</v>
      </c>
      <c r="D1544" s="1" t="s">
        <v>101</v>
      </c>
      <c r="E1544" s="81">
        <v>0</v>
      </c>
      <c r="F1544" s="81">
        <v>0</v>
      </c>
    </row>
    <row r="1545" spans="1:6" x14ac:dyDescent="0.2">
      <c r="A1545" s="1" t="s">
        <v>179</v>
      </c>
      <c r="B1545" s="1" t="s">
        <v>2233</v>
      </c>
      <c r="C1545" s="1" t="s">
        <v>101</v>
      </c>
      <c r="D1545" s="1" t="s">
        <v>101</v>
      </c>
      <c r="E1545" s="81">
        <v>0</v>
      </c>
      <c r="F1545" s="81">
        <v>0</v>
      </c>
    </row>
    <row r="1546" spans="1:6" x14ac:dyDescent="0.2">
      <c r="A1546" s="1" t="s">
        <v>179</v>
      </c>
      <c r="B1546" s="1" t="s">
        <v>2234</v>
      </c>
      <c r="C1546" s="1" t="s">
        <v>101</v>
      </c>
      <c r="D1546" s="1" t="s">
        <v>101</v>
      </c>
      <c r="E1546" s="81">
        <v>0</v>
      </c>
      <c r="F1546" s="81">
        <v>0</v>
      </c>
    </row>
    <row r="1547" spans="1:6" x14ac:dyDescent="0.2">
      <c r="A1547" s="1" t="s">
        <v>179</v>
      </c>
      <c r="B1547" s="1" t="s">
        <v>2235</v>
      </c>
      <c r="C1547" s="1" t="s">
        <v>101</v>
      </c>
      <c r="D1547" s="1" t="s">
        <v>101</v>
      </c>
      <c r="E1547" s="81">
        <v>0</v>
      </c>
      <c r="F1547" s="81">
        <v>0</v>
      </c>
    </row>
    <row r="1548" spans="1:6" x14ac:dyDescent="0.2">
      <c r="A1548" s="1" t="s">
        <v>179</v>
      </c>
      <c r="B1548" s="1" t="s">
        <v>2236</v>
      </c>
      <c r="C1548" s="1" t="s">
        <v>101</v>
      </c>
      <c r="D1548" s="1" t="s">
        <v>101</v>
      </c>
      <c r="E1548" s="81">
        <v>0</v>
      </c>
      <c r="F1548" s="81">
        <v>0</v>
      </c>
    </row>
    <row r="1549" spans="1:6" x14ac:dyDescent="0.2">
      <c r="A1549" s="1" t="s">
        <v>179</v>
      </c>
      <c r="B1549" s="1" t="s">
        <v>2237</v>
      </c>
      <c r="C1549" s="1" t="s">
        <v>101</v>
      </c>
      <c r="D1549" s="1" t="s">
        <v>101</v>
      </c>
      <c r="E1549" s="81">
        <v>0</v>
      </c>
      <c r="F1549" s="81">
        <v>0</v>
      </c>
    </row>
    <row r="1550" spans="1:6" x14ac:dyDescent="0.2">
      <c r="A1550" s="1" t="s">
        <v>179</v>
      </c>
      <c r="B1550" s="1" t="s">
        <v>2238</v>
      </c>
      <c r="C1550" s="1" t="s">
        <v>101</v>
      </c>
      <c r="D1550" s="1" t="s">
        <v>101</v>
      </c>
      <c r="E1550" s="81">
        <v>0</v>
      </c>
      <c r="F1550" s="81">
        <v>0</v>
      </c>
    </row>
    <row r="1551" spans="1:6" x14ac:dyDescent="0.2">
      <c r="A1551" s="1" t="s">
        <v>179</v>
      </c>
      <c r="B1551" s="1" t="s">
        <v>2239</v>
      </c>
      <c r="C1551" s="1" t="s">
        <v>101</v>
      </c>
      <c r="D1551" s="1" t="s">
        <v>101</v>
      </c>
      <c r="E1551" s="81">
        <v>0</v>
      </c>
      <c r="F1551" s="81">
        <v>0</v>
      </c>
    </row>
    <row r="1552" spans="1:6" x14ac:dyDescent="0.2">
      <c r="A1552" s="1" t="s">
        <v>179</v>
      </c>
      <c r="B1552" s="1" t="s">
        <v>2240</v>
      </c>
      <c r="C1552" s="1" t="s">
        <v>101</v>
      </c>
      <c r="D1552" s="1" t="s">
        <v>101</v>
      </c>
      <c r="E1552" s="81">
        <v>0</v>
      </c>
      <c r="F1552" s="81">
        <v>0</v>
      </c>
    </row>
    <row r="1553" spans="1:6" x14ac:dyDescent="0.2">
      <c r="A1553" s="1" t="s">
        <v>179</v>
      </c>
      <c r="B1553" s="1" t="s">
        <v>2241</v>
      </c>
      <c r="C1553" s="1" t="s">
        <v>101</v>
      </c>
      <c r="D1553" s="1" t="s">
        <v>101</v>
      </c>
      <c r="E1553" s="81">
        <v>0</v>
      </c>
      <c r="F1553" s="81">
        <v>0</v>
      </c>
    </row>
    <row r="1554" spans="1:6" x14ac:dyDescent="0.2">
      <c r="A1554" s="1" t="s">
        <v>179</v>
      </c>
      <c r="B1554" s="1" t="s">
        <v>2242</v>
      </c>
      <c r="C1554" s="1" t="s">
        <v>101</v>
      </c>
      <c r="D1554" s="1" t="s">
        <v>101</v>
      </c>
      <c r="E1554" s="81">
        <v>0</v>
      </c>
      <c r="F1554" s="81">
        <v>0</v>
      </c>
    </row>
    <row r="1555" spans="1:6" x14ac:dyDescent="0.2">
      <c r="A1555" s="1" t="s">
        <v>179</v>
      </c>
      <c r="B1555" s="1" t="s">
        <v>2243</v>
      </c>
      <c r="C1555" s="1" t="s">
        <v>101</v>
      </c>
      <c r="D1555" s="1" t="s">
        <v>101</v>
      </c>
      <c r="E1555" s="81">
        <v>0</v>
      </c>
      <c r="F1555" s="81">
        <v>0</v>
      </c>
    </row>
    <row r="1556" spans="1:6" x14ac:dyDescent="0.2">
      <c r="A1556" s="1" t="s">
        <v>179</v>
      </c>
      <c r="B1556" s="1" t="s">
        <v>2244</v>
      </c>
      <c r="C1556" s="1" t="s">
        <v>101</v>
      </c>
      <c r="D1556" s="1" t="s">
        <v>101</v>
      </c>
      <c r="E1556" s="81">
        <v>0</v>
      </c>
      <c r="F1556" s="81">
        <v>0</v>
      </c>
    </row>
    <row r="1557" spans="1:6" x14ac:dyDescent="0.2">
      <c r="A1557" s="1" t="s">
        <v>179</v>
      </c>
      <c r="B1557" s="1" t="s">
        <v>2245</v>
      </c>
      <c r="C1557" s="1" t="s">
        <v>101</v>
      </c>
      <c r="D1557" s="1" t="s">
        <v>101</v>
      </c>
      <c r="E1557" s="81">
        <v>0</v>
      </c>
      <c r="F1557" s="81">
        <v>0</v>
      </c>
    </row>
    <row r="1558" spans="1:6" x14ac:dyDescent="0.2">
      <c r="A1558" s="1" t="s">
        <v>179</v>
      </c>
      <c r="B1558" s="1" t="s">
        <v>2246</v>
      </c>
      <c r="C1558" s="1" t="s">
        <v>101</v>
      </c>
      <c r="D1558" s="1" t="s">
        <v>101</v>
      </c>
      <c r="E1558" s="81">
        <v>0</v>
      </c>
      <c r="F1558" s="81">
        <v>0</v>
      </c>
    </row>
    <row r="1559" spans="1:6" x14ac:dyDescent="0.2">
      <c r="A1559" s="1" t="s">
        <v>179</v>
      </c>
      <c r="B1559" s="1" t="s">
        <v>2247</v>
      </c>
      <c r="C1559" s="1" t="s">
        <v>101</v>
      </c>
      <c r="D1559" s="1" t="s">
        <v>101</v>
      </c>
      <c r="E1559" s="81">
        <v>0</v>
      </c>
      <c r="F1559" s="81">
        <v>0</v>
      </c>
    </row>
    <row r="1560" spans="1:6" x14ac:dyDescent="0.2">
      <c r="A1560" s="1" t="s">
        <v>179</v>
      </c>
      <c r="B1560" s="1" t="s">
        <v>2248</v>
      </c>
      <c r="C1560" s="1" t="s">
        <v>101</v>
      </c>
      <c r="D1560" s="1" t="s">
        <v>101</v>
      </c>
      <c r="E1560" s="81">
        <v>0</v>
      </c>
      <c r="F1560" s="81">
        <v>0</v>
      </c>
    </row>
    <row r="1561" spans="1:6" x14ac:dyDescent="0.2">
      <c r="A1561" s="1" t="s">
        <v>179</v>
      </c>
      <c r="B1561" s="1" t="s">
        <v>2249</v>
      </c>
      <c r="C1561" s="1" t="s">
        <v>101</v>
      </c>
      <c r="D1561" s="1" t="s">
        <v>101</v>
      </c>
      <c r="E1561" s="81">
        <v>0</v>
      </c>
      <c r="F1561" s="81">
        <v>0</v>
      </c>
    </row>
    <row r="1562" spans="1:6" x14ac:dyDescent="0.2">
      <c r="A1562" s="1" t="s">
        <v>179</v>
      </c>
      <c r="B1562" s="1" t="s">
        <v>2250</v>
      </c>
      <c r="C1562" s="1" t="s">
        <v>101</v>
      </c>
      <c r="D1562" s="1" t="s">
        <v>101</v>
      </c>
      <c r="E1562" s="81">
        <v>0</v>
      </c>
      <c r="F1562" s="81">
        <v>0</v>
      </c>
    </row>
    <row r="1563" spans="1:6" x14ac:dyDescent="0.2">
      <c r="A1563" s="1" t="s">
        <v>179</v>
      </c>
      <c r="B1563" s="1" t="s">
        <v>2251</v>
      </c>
      <c r="C1563" s="1" t="s">
        <v>101</v>
      </c>
      <c r="D1563" s="1" t="s">
        <v>101</v>
      </c>
      <c r="E1563" s="81">
        <v>0</v>
      </c>
      <c r="F1563" s="81">
        <v>0</v>
      </c>
    </row>
    <row r="1564" spans="1:6" x14ac:dyDescent="0.2">
      <c r="A1564" s="1" t="s">
        <v>179</v>
      </c>
      <c r="B1564" s="1" t="s">
        <v>2252</v>
      </c>
      <c r="C1564" s="1" t="s">
        <v>101</v>
      </c>
      <c r="D1564" s="1" t="s">
        <v>101</v>
      </c>
      <c r="E1564" s="81">
        <v>0</v>
      </c>
      <c r="F1564" s="81">
        <v>0</v>
      </c>
    </row>
    <row r="1565" spans="1:6" x14ac:dyDescent="0.2">
      <c r="A1565" s="1" t="s">
        <v>179</v>
      </c>
      <c r="B1565" s="1" t="s">
        <v>2253</v>
      </c>
      <c r="C1565" s="1" t="s">
        <v>101</v>
      </c>
      <c r="D1565" s="1" t="s">
        <v>101</v>
      </c>
      <c r="E1565" s="81">
        <v>0</v>
      </c>
      <c r="F1565" s="81">
        <v>0</v>
      </c>
    </row>
    <row r="1566" spans="1:6" x14ac:dyDescent="0.2">
      <c r="A1566" s="1" t="s">
        <v>179</v>
      </c>
      <c r="B1566" s="1" t="s">
        <v>2254</v>
      </c>
      <c r="C1566" s="1" t="s">
        <v>101</v>
      </c>
      <c r="D1566" s="1" t="s">
        <v>101</v>
      </c>
      <c r="E1566" s="81">
        <v>0</v>
      </c>
      <c r="F1566" s="81">
        <v>0</v>
      </c>
    </row>
    <row r="1567" spans="1:6" x14ac:dyDescent="0.2">
      <c r="A1567" s="1" t="s">
        <v>179</v>
      </c>
      <c r="B1567" s="1" t="s">
        <v>2255</v>
      </c>
      <c r="C1567" s="1" t="s">
        <v>101</v>
      </c>
      <c r="D1567" s="1" t="s">
        <v>101</v>
      </c>
      <c r="E1567" s="81">
        <v>0</v>
      </c>
      <c r="F1567" s="81">
        <v>0</v>
      </c>
    </row>
    <row r="1568" spans="1:6" x14ac:dyDescent="0.2">
      <c r="A1568" s="1" t="s">
        <v>179</v>
      </c>
      <c r="B1568" s="1" t="s">
        <v>2256</v>
      </c>
      <c r="C1568" s="1" t="s">
        <v>101</v>
      </c>
      <c r="D1568" s="1" t="s">
        <v>101</v>
      </c>
      <c r="E1568" s="81">
        <v>0</v>
      </c>
      <c r="F1568" s="81">
        <v>0</v>
      </c>
    </row>
    <row r="1569" spans="1:6" x14ac:dyDescent="0.2">
      <c r="A1569" s="1" t="s">
        <v>179</v>
      </c>
      <c r="B1569" s="1" t="s">
        <v>2257</v>
      </c>
      <c r="C1569" s="1" t="s">
        <v>101</v>
      </c>
      <c r="D1569" s="1" t="s">
        <v>101</v>
      </c>
      <c r="E1569" s="81">
        <v>0</v>
      </c>
      <c r="F1569" s="81">
        <v>0</v>
      </c>
    </row>
    <row r="1570" spans="1:6" x14ac:dyDescent="0.2">
      <c r="A1570" s="1" t="s">
        <v>179</v>
      </c>
      <c r="B1570" s="1" t="s">
        <v>2258</v>
      </c>
      <c r="C1570" s="1" t="s">
        <v>101</v>
      </c>
      <c r="D1570" s="1" t="s">
        <v>101</v>
      </c>
      <c r="E1570" s="81">
        <v>0</v>
      </c>
      <c r="F1570" s="81">
        <v>0</v>
      </c>
    </row>
    <row r="1571" spans="1:6" x14ac:dyDescent="0.2">
      <c r="A1571" s="1" t="s">
        <v>179</v>
      </c>
      <c r="B1571" s="1" t="s">
        <v>2259</v>
      </c>
      <c r="C1571" s="1" t="s">
        <v>101</v>
      </c>
      <c r="D1571" s="1" t="s">
        <v>101</v>
      </c>
      <c r="E1571" s="81">
        <v>0</v>
      </c>
      <c r="F1571" s="81">
        <v>0</v>
      </c>
    </row>
    <row r="1572" spans="1:6" x14ac:dyDescent="0.2">
      <c r="A1572" s="1" t="s">
        <v>179</v>
      </c>
      <c r="B1572" s="1" t="s">
        <v>2260</v>
      </c>
      <c r="C1572" s="1" t="s">
        <v>101</v>
      </c>
      <c r="D1572" s="1" t="s">
        <v>101</v>
      </c>
      <c r="E1572" s="81">
        <v>0</v>
      </c>
      <c r="F1572" s="81">
        <v>0</v>
      </c>
    </row>
    <row r="1573" spans="1:6" x14ac:dyDescent="0.2">
      <c r="A1573" s="1" t="s">
        <v>179</v>
      </c>
      <c r="B1573" s="1" t="s">
        <v>2261</v>
      </c>
      <c r="C1573" s="1" t="s">
        <v>101</v>
      </c>
      <c r="D1573" s="1" t="s">
        <v>101</v>
      </c>
      <c r="E1573" s="81">
        <v>0</v>
      </c>
      <c r="F1573" s="81">
        <v>0</v>
      </c>
    </row>
    <row r="1574" spans="1:6" x14ac:dyDescent="0.2">
      <c r="A1574" s="1" t="s">
        <v>179</v>
      </c>
      <c r="B1574" s="1" t="s">
        <v>2262</v>
      </c>
      <c r="C1574" s="1" t="s">
        <v>101</v>
      </c>
      <c r="D1574" s="1" t="s">
        <v>101</v>
      </c>
      <c r="E1574" s="81">
        <v>0</v>
      </c>
      <c r="F1574" s="81">
        <v>0</v>
      </c>
    </row>
    <row r="1575" spans="1:6" x14ac:dyDescent="0.2">
      <c r="A1575" s="1" t="s">
        <v>179</v>
      </c>
      <c r="B1575" s="1" t="s">
        <v>2263</v>
      </c>
      <c r="C1575" s="1" t="s">
        <v>101</v>
      </c>
      <c r="D1575" s="1" t="s">
        <v>101</v>
      </c>
      <c r="E1575" s="81">
        <v>0</v>
      </c>
      <c r="F1575" s="81">
        <v>0</v>
      </c>
    </row>
    <row r="1576" spans="1:6" x14ac:dyDescent="0.2">
      <c r="A1576" s="1" t="s">
        <v>179</v>
      </c>
      <c r="B1576" s="1" t="s">
        <v>2264</v>
      </c>
      <c r="C1576" s="1" t="s">
        <v>101</v>
      </c>
      <c r="D1576" s="1" t="s">
        <v>101</v>
      </c>
      <c r="E1576" s="81">
        <v>0</v>
      </c>
      <c r="F1576" s="81">
        <v>0</v>
      </c>
    </row>
    <row r="1577" spans="1:6" x14ac:dyDescent="0.2">
      <c r="A1577" s="1" t="s">
        <v>179</v>
      </c>
      <c r="B1577" s="1" t="s">
        <v>2265</v>
      </c>
      <c r="C1577" s="1" t="s">
        <v>101</v>
      </c>
      <c r="D1577" s="1" t="s">
        <v>101</v>
      </c>
      <c r="E1577" s="81">
        <v>0</v>
      </c>
      <c r="F1577" s="81">
        <v>0</v>
      </c>
    </row>
    <row r="1578" spans="1:6" x14ac:dyDescent="0.2">
      <c r="A1578" s="1" t="s">
        <v>179</v>
      </c>
      <c r="B1578" s="1" t="s">
        <v>2266</v>
      </c>
      <c r="C1578" s="1" t="s">
        <v>101</v>
      </c>
      <c r="D1578" s="1" t="s">
        <v>101</v>
      </c>
      <c r="E1578" s="81">
        <v>0</v>
      </c>
      <c r="F1578" s="81">
        <v>0</v>
      </c>
    </row>
    <row r="1579" spans="1:6" x14ac:dyDescent="0.2">
      <c r="A1579" s="1" t="s">
        <v>179</v>
      </c>
      <c r="B1579" s="1" t="s">
        <v>2267</v>
      </c>
      <c r="C1579" s="1" t="s">
        <v>101</v>
      </c>
      <c r="D1579" s="1" t="s">
        <v>101</v>
      </c>
      <c r="E1579" s="81">
        <v>0</v>
      </c>
      <c r="F1579" s="81">
        <v>0</v>
      </c>
    </row>
    <row r="1580" spans="1:6" x14ac:dyDescent="0.2">
      <c r="A1580" s="1" t="s">
        <v>179</v>
      </c>
      <c r="B1580" s="1" t="s">
        <v>2268</v>
      </c>
      <c r="C1580" s="1" t="s">
        <v>101</v>
      </c>
      <c r="D1580" s="1" t="s">
        <v>101</v>
      </c>
      <c r="E1580" s="81">
        <v>0</v>
      </c>
      <c r="F1580" s="81">
        <v>0</v>
      </c>
    </row>
    <row r="1581" spans="1:6" x14ac:dyDescent="0.2">
      <c r="A1581" s="1" t="s">
        <v>179</v>
      </c>
      <c r="B1581" s="1" t="s">
        <v>2269</v>
      </c>
      <c r="C1581" s="1" t="s">
        <v>101</v>
      </c>
      <c r="D1581" s="1" t="s">
        <v>101</v>
      </c>
      <c r="E1581" s="81">
        <v>0</v>
      </c>
      <c r="F1581" s="81">
        <v>0</v>
      </c>
    </row>
    <row r="1582" spans="1:6" x14ac:dyDescent="0.2">
      <c r="A1582" s="1" t="s">
        <v>179</v>
      </c>
      <c r="B1582" s="1" t="s">
        <v>2270</v>
      </c>
      <c r="C1582" s="1" t="s">
        <v>101</v>
      </c>
      <c r="D1582" s="1" t="s">
        <v>101</v>
      </c>
      <c r="E1582" s="81">
        <v>0</v>
      </c>
      <c r="F1582" s="81">
        <v>0</v>
      </c>
    </row>
    <row r="1583" spans="1:6" x14ac:dyDescent="0.2">
      <c r="A1583" s="1" t="s">
        <v>179</v>
      </c>
      <c r="B1583" s="1" t="s">
        <v>2271</v>
      </c>
      <c r="C1583" s="1" t="s">
        <v>101</v>
      </c>
      <c r="D1583" s="1" t="s">
        <v>101</v>
      </c>
      <c r="E1583" s="81">
        <v>0</v>
      </c>
      <c r="F1583" s="81">
        <v>0</v>
      </c>
    </row>
    <row r="1584" spans="1:6" x14ac:dyDescent="0.2">
      <c r="A1584" s="1" t="s">
        <v>179</v>
      </c>
      <c r="B1584" s="1" t="s">
        <v>2272</v>
      </c>
      <c r="C1584" s="1" t="s">
        <v>101</v>
      </c>
      <c r="D1584" s="1" t="s">
        <v>101</v>
      </c>
      <c r="E1584" s="81">
        <v>0</v>
      </c>
      <c r="F1584" s="81">
        <v>0</v>
      </c>
    </row>
    <row r="1585" spans="1:6" x14ac:dyDescent="0.2">
      <c r="A1585" s="1" t="s">
        <v>179</v>
      </c>
      <c r="B1585" s="1" t="s">
        <v>2273</v>
      </c>
      <c r="C1585" s="1" t="s">
        <v>101</v>
      </c>
      <c r="D1585" s="1" t="s">
        <v>101</v>
      </c>
      <c r="E1585" s="81">
        <v>0</v>
      </c>
      <c r="F1585" s="81">
        <v>0</v>
      </c>
    </row>
    <row r="1586" spans="1:6" x14ac:dyDescent="0.2">
      <c r="A1586" s="1" t="s">
        <v>179</v>
      </c>
      <c r="B1586" s="1" t="s">
        <v>2274</v>
      </c>
      <c r="C1586" s="1" t="s">
        <v>101</v>
      </c>
      <c r="D1586" s="1" t="s">
        <v>101</v>
      </c>
      <c r="E1586" s="81">
        <v>0</v>
      </c>
      <c r="F1586" s="81">
        <v>0</v>
      </c>
    </row>
    <row r="1587" spans="1:6" x14ac:dyDescent="0.2">
      <c r="A1587" s="1" t="s">
        <v>179</v>
      </c>
      <c r="B1587" s="1" t="s">
        <v>2275</v>
      </c>
      <c r="C1587" s="1" t="s">
        <v>4020</v>
      </c>
      <c r="D1587" s="1" t="s">
        <v>4020</v>
      </c>
      <c r="E1587" s="81">
        <v>1042.4000000000001</v>
      </c>
      <c r="F1587" s="81">
        <v>1042.4000000000001</v>
      </c>
    </row>
    <row r="1588" spans="1:6" x14ac:dyDescent="0.2">
      <c r="A1588" s="1" t="s">
        <v>179</v>
      </c>
      <c r="B1588" s="1" t="s">
        <v>2276</v>
      </c>
      <c r="C1588" s="1" t="s">
        <v>4021</v>
      </c>
      <c r="D1588" s="1" t="s">
        <v>4021</v>
      </c>
      <c r="E1588" s="81">
        <v>1365.65</v>
      </c>
      <c r="F1588" s="81">
        <v>1365.65</v>
      </c>
    </row>
    <row r="1589" spans="1:6" x14ac:dyDescent="0.2">
      <c r="A1589" s="1" t="s">
        <v>179</v>
      </c>
      <c r="B1589" s="1" t="s">
        <v>2277</v>
      </c>
      <c r="C1589" s="1" t="s">
        <v>4022</v>
      </c>
      <c r="D1589" s="1" t="s">
        <v>4022</v>
      </c>
      <c r="E1589" s="81">
        <v>1949.9</v>
      </c>
      <c r="F1589" s="81">
        <v>1949.9</v>
      </c>
    </row>
    <row r="1590" spans="1:6" x14ac:dyDescent="0.2">
      <c r="A1590" s="1" t="s">
        <v>179</v>
      </c>
      <c r="B1590" s="1" t="s">
        <v>2278</v>
      </c>
      <c r="C1590" s="1" t="s">
        <v>101</v>
      </c>
      <c r="D1590" s="1" t="s">
        <v>101</v>
      </c>
      <c r="E1590" s="81">
        <v>0</v>
      </c>
      <c r="F1590" s="81">
        <v>0</v>
      </c>
    </row>
    <row r="1591" spans="1:6" x14ac:dyDescent="0.2">
      <c r="A1591" s="1" t="s">
        <v>179</v>
      </c>
      <c r="B1591" s="1" t="s">
        <v>2279</v>
      </c>
      <c r="C1591" s="1" t="s">
        <v>101</v>
      </c>
      <c r="D1591" s="1" t="s">
        <v>101</v>
      </c>
      <c r="E1591" s="81">
        <v>0</v>
      </c>
      <c r="F1591" s="81">
        <v>0</v>
      </c>
    </row>
    <row r="1592" spans="1:6" x14ac:dyDescent="0.2">
      <c r="A1592" s="1" t="s">
        <v>179</v>
      </c>
      <c r="B1592" s="1" t="s">
        <v>2280</v>
      </c>
      <c r="C1592" s="1" t="s">
        <v>101</v>
      </c>
      <c r="D1592" s="1" t="s">
        <v>101</v>
      </c>
      <c r="E1592" s="81">
        <v>0</v>
      </c>
      <c r="F1592" s="81">
        <v>0</v>
      </c>
    </row>
    <row r="1593" spans="1:6" x14ac:dyDescent="0.2">
      <c r="A1593" s="1" t="s">
        <v>179</v>
      </c>
      <c r="B1593" s="1" t="s">
        <v>2281</v>
      </c>
      <c r="C1593" s="1" t="s">
        <v>101</v>
      </c>
      <c r="D1593" s="1" t="s">
        <v>101</v>
      </c>
      <c r="E1593" s="81">
        <v>0</v>
      </c>
      <c r="F1593" s="81">
        <v>0</v>
      </c>
    </row>
    <row r="1594" spans="1:6" x14ac:dyDescent="0.2">
      <c r="A1594" s="1" t="s">
        <v>179</v>
      </c>
      <c r="B1594" s="1" t="s">
        <v>2282</v>
      </c>
      <c r="C1594" s="1" t="s">
        <v>101</v>
      </c>
      <c r="D1594" s="1" t="s">
        <v>101</v>
      </c>
      <c r="E1594" s="81">
        <v>0</v>
      </c>
      <c r="F1594" s="81">
        <v>0</v>
      </c>
    </row>
    <row r="1595" spans="1:6" x14ac:dyDescent="0.2">
      <c r="A1595" s="1" t="s">
        <v>179</v>
      </c>
      <c r="B1595" s="1" t="s">
        <v>2283</v>
      </c>
      <c r="C1595" s="1" t="s">
        <v>101</v>
      </c>
      <c r="D1595" s="1" t="s">
        <v>101</v>
      </c>
      <c r="E1595" s="81">
        <v>0</v>
      </c>
      <c r="F1595" s="81">
        <v>0</v>
      </c>
    </row>
    <row r="1596" spans="1:6" x14ac:dyDescent="0.2">
      <c r="A1596" s="1" t="s">
        <v>179</v>
      </c>
      <c r="B1596" s="1" t="s">
        <v>2284</v>
      </c>
      <c r="C1596" s="1" t="s">
        <v>101</v>
      </c>
      <c r="D1596" s="1" t="s">
        <v>101</v>
      </c>
      <c r="E1596" s="81">
        <v>0</v>
      </c>
      <c r="F1596" s="81">
        <v>0</v>
      </c>
    </row>
    <row r="1597" spans="1:6" x14ac:dyDescent="0.2">
      <c r="A1597" s="1" t="s">
        <v>179</v>
      </c>
      <c r="B1597" s="1" t="s">
        <v>2285</v>
      </c>
      <c r="C1597" s="1" t="s">
        <v>101</v>
      </c>
      <c r="D1597" s="1" t="s">
        <v>101</v>
      </c>
      <c r="E1597" s="81">
        <v>0</v>
      </c>
      <c r="F1597" s="81">
        <v>0</v>
      </c>
    </row>
    <row r="1598" spans="1:6" x14ac:dyDescent="0.2">
      <c r="A1598" s="1" t="s">
        <v>179</v>
      </c>
      <c r="B1598" s="1" t="s">
        <v>2286</v>
      </c>
      <c r="C1598" s="1" t="s">
        <v>101</v>
      </c>
      <c r="D1598" s="1" t="s">
        <v>101</v>
      </c>
      <c r="E1598" s="81">
        <v>0</v>
      </c>
      <c r="F1598" s="81">
        <v>0</v>
      </c>
    </row>
    <row r="1599" spans="1:6" x14ac:dyDescent="0.2">
      <c r="A1599" s="1" t="s">
        <v>179</v>
      </c>
      <c r="B1599" s="1" t="s">
        <v>2287</v>
      </c>
      <c r="C1599" s="1" t="s">
        <v>4023</v>
      </c>
      <c r="D1599" s="1" t="s">
        <v>4023</v>
      </c>
      <c r="E1599" s="81">
        <v>4357.96</v>
      </c>
      <c r="F1599" s="81">
        <v>4357.96</v>
      </c>
    </row>
    <row r="1600" spans="1:6" x14ac:dyDescent="0.2">
      <c r="A1600" s="1" t="s">
        <v>179</v>
      </c>
      <c r="B1600" s="1" t="s">
        <v>2288</v>
      </c>
      <c r="C1600" s="1" t="s">
        <v>4024</v>
      </c>
      <c r="D1600" s="1" t="s">
        <v>4024</v>
      </c>
      <c r="E1600" s="81">
        <v>936</v>
      </c>
      <c r="F1600" s="81">
        <v>936</v>
      </c>
    </row>
    <row r="1601" spans="1:6" x14ac:dyDescent="0.2">
      <c r="A1601" s="1" t="s">
        <v>179</v>
      </c>
      <c r="B1601" s="1" t="s">
        <v>2289</v>
      </c>
      <c r="C1601" s="1" t="s">
        <v>4025</v>
      </c>
      <c r="D1601" s="1" t="s">
        <v>4025</v>
      </c>
      <c r="E1601" s="81">
        <v>1215</v>
      </c>
      <c r="F1601" s="81">
        <v>1215</v>
      </c>
    </row>
    <row r="1602" spans="1:6" x14ac:dyDescent="0.2">
      <c r="A1602" s="1" t="s">
        <v>179</v>
      </c>
      <c r="B1602" s="1" t="s">
        <v>2290</v>
      </c>
      <c r="C1602" s="1" t="s">
        <v>4026</v>
      </c>
      <c r="D1602" s="1" t="s">
        <v>4026</v>
      </c>
      <c r="E1602" s="81">
        <v>1611</v>
      </c>
      <c r="F1602" s="81">
        <v>1611</v>
      </c>
    </row>
    <row r="1603" spans="1:6" x14ac:dyDescent="0.2">
      <c r="A1603" s="1" t="s">
        <v>179</v>
      </c>
      <c r="B1603" s="1" t="s">
        <v>2291</v>
      </c>
      <c r="C1603" s="1" t="s">
        <v>101</v>
      </c>
      <c r="D1603" s="1" t="s">
        <v>101</v>
      </c>
      <c r="E1603" s="81">
        <v>0</v>
      </c>
      <c r="F1603" s="81">
        <v>0</v>
      </c>
    </row>
    <row r="1604" spans="1:6" x14ac:dyDescent="0.2">
      <c r="A1604" s="1" t="s">
        <v>179</v>
      </c>
      <c r="B1604" s="1" t="s">
        <v>2292</v>
      </c>
      <c r="C1604" s="1" t="s">
        <v>101</v>
      </c>
      <c r="D1604" s="1" t="s">
        <v>101</v>
      </c>
      <c r="E1604" s="81">
        <v>0</v>
      </c>
      <c r="F1604" s="81">
        <v>0</v>
      </c>
    </row>
    <row r="1605" spans="1:6" x14ac:dyDescent="0.2">
      <c r="A1605" s="1" t="s">
        <v>179</v>
      </c>
      <c r="B1605" s="1" t="s">
        <v>2293</v>
      </c>
      <c r="C1605" s="1" t="s">
        <v>101</v>
      </c>
      <c r="D1605" s="1" t="s">
        <v>101</v>
      </c>
      <c r="E1605" s="81">
        <v>0</v>
      </c>
      <c r="F1605" s="81">
        <v>0</v>
      </c>
    </row>
    <row r="1606" spans="1:6" x14ac:dyDescent="0.2">
      <c r="A1606" s="1" t="s">
        <v>179</v>
      </c>
      <c r="B1606" s="1" t="s">
        <v>2294</v>
      </c>
      <c r="C1606" s="1" t="s">
        <v>101</v>
      </c>
      <c r="D1606" s="1" t="s">
        <v>101</v>
      </c>
      <c r="E1606" s="81">
        <v>0</v>
      </c>
      <c r="F1606" s="81">
        <v>0</v>
      </c>
    </row>
    <row r="1607" spans="1:6" x14ac:dyDescent="0.2">
      <c r="A1607" s="1" t="s">
        <v>179</v>
      </c>
      <c r="B1607" s="1" t="s">
        <v>2295</v>
      </c>
      <c r="C1607" s="1" t="s">
        <v>101</v>
      </c>
      <c r="D1607" s="1" t="s">
        <v>101</v>
      </c>
      <c r="E1607" s="81">
        <v>0</v>
      </c>
      <c r="F1607" s="81">
        <v>0</v>
      </c>
    </row>
    <row r="1608" spans="1:6" x14ac:dyDescent="0.2">
      <c r="A1608" s="1" t="s">
        <v>179</v>
      </c>
      <c r="B1608" s="1" t="s">
        <v>2296</v>
      </c>
      <c r="C1608" s="1" t="s">
        <v>101</v>
      </c>
      <c r="D1608" s="1" t="s">
        <v>101</v>
      </c>
      <c r="E1608" s="81">
        <v>0</v>
      </c>
      <c r="F1608" s="81">
        <v>0</v>
      </c>
    </row>
    <row r="1609" spans="1:6" x14ac:dyDescent="0.2">
      <c r="A1609" s="1" t="s">
        <v>179</v>
      </c>
      <c r="B1609" s="1" t="s">
        <v>2297</v>
      </c>
      <c r="C1609" s="1" t="s">
        <v>101</v>
      </c>
      <c r="D1609" s="1" t="s">
        <v>101</v>
      </c>
      <c r="E1609" s="81">
        <v>0</v>
      </c>
      <c r="F1609" s="81">
        <v>0</v>
      </c>
    </row>
    <row r="1610" spans="1:6" x14ac:dyDescent="0.2">
      <c r="A1610" s="1" t="s">
        <v>179</v>
      </c>
      <c r="B1610" s="1" t="s">
        <v>2298</v>
      </c>
      <c r="C1610" s="1" t="s">
        <v>101</v>
      </c>
      <c r="D1610" s="1" t="s">
        <v>101</v>
      </c>
      <c r="E1610" s="81">
        <v>0</v>
      </c>
      <c r="F1610" s="81">
        <v>0</v>
      </c>
    </row>
    <row r="1611" spans="1:6" x14ac:dyDescent="0.2">
      <c r="A1611" s="1" t="s">
        <v>179</v>
      </c>
      <c r="B1611" s="1" t="s">
        <v>2299</v>
      </c>
      <c r="C1611" s="1" t="s">
        <v>101</v>
      </c>
      <c r="D1611" s="1" t="s">
        <v>101</v>
      </c>
      <c r="E1611" s="81">
        <v>0</v>
      </c>
      <c r="F1611" s="81">
        <v>0</v>
      </c>
    </row>
    <row r="1612" spans="1:6" x14ac:dyDescent="0.2">
      <c r="A1612" s="1" t="s">
        <v>179</v>
      </c>
      <c r="B1612" s="1" t="s">
        <v>2300</v>
      </c>
      <c r="C1612" s="1" t="s">
        <v>4027</v>
      </c>
      <c r="D1612" s="1" t="s">
        <v>4027</v>
      </c>
      <c r="E1612" s="81">
        <v>108</v>
      </c>
      <c r="F1612" s="81">
        <v>108</v>
      </c>
    </row>
    <row r="1613" spans="1:6" x14ac:dyDescent="0.2">
      <c r="A1613" s="1" t="s">
        <v>179</v>
      </c>
      <c r="B1613" s="1" t="s">
        <v>2301</v>
      </c>
      <c r="C1613" s="1" t="s">
        <v>4028</v>
      </c>
      <c r="D1613" s="1" t="s">
        <v>4028</v>
      </c>
      <c r="E1613" s="81">
        <v>153</v>
      </c>
      <c r="F1613" s="81">
        <v>153</v>
      </c>
    </row>
    <row r="1614" spans="1:6" x14ac:dyDescent="0.2">
      <c r="A1614" s="1" t="s">
        <v>179</v>
      </c>
      <c r="B1614" s="1" t="s">
        <v>2302</v>
      </c>
      <c r="C1614" s="1" t="s">
        <v>4029</v>
      </c>
      <c r="D1614" s="1" t="s">
        <v>4029</v>
      </c>
      <c r="E1614" s="81">
        <v>342</v>
      </c>
      <c r="F1614" s="81">
        <v>342</v>
      </c>
    </row>
    <row r="1615" spans="1:6" x14ac:dyDescent="0.2">
      <c r="A1615" s="1" t="s">
        <v>179</v>
      </c>
      <c r="B1615" s="1" t="s">
        <v>2303</v>
      </c>
      <c r="C1615" s="1" t="s">
        <v>101</v>
      </c>
      <c r="D1615" s="1" t="s">
        <v>101</v>
      </c>
      <c r="E1615" s="81">
        <v>0</v>
      </c>
      <c r="F1615" s="81">
        <v>0</v>
      </c>
    </row>
    <row r="1616" spans="1:6" x14ac:dyDescent="0.2">
      <c r="A1616" s="1" t="s">
        <v>179</v>
      </c>
      <c r="B1616" s="1" t="s">
        <v>2304</v>
      </c>
      <c r="C1616" s="1" t="s">
        <v>101</v>
      </c>
      <c r="D1616" s="1" t="s">
        <v>101</v>
      </c>
      <c r="E1616" s="81">
        <v>0</v>
      </c>
      <c r="F1616" s="81">
        <v>0</v>
      </c>
    </row>
    <row r="1617" spans="1:6" x14ac:dyDescent="0.2">
      <c r="A1617" s="1" t="s">
        <v>179</v>
      </c>
      <c r="B1617" s="1" t="s">
        <v>2305</v>
      </c>
      <c r="C1617" s="1" t="s">
        <v>101</v>
      </c>
      <c r="D1617" s="1" t="s">
        <v>101</v>
      </c>
      <c r="E1617" s="81">
        <v>0</v>
      </c>
      <c r="F1617" s="81">
        <v>0</v>
      </c>
    </row>
    <row r="1618" spans="1:6" x14ac:dyDescent="0.2">
      <c r="A1618" s="1" t="s">
        <v>179</v>
      </c>
      <c r="B1618" s="1" t="s">
        <v>2306</v>
      </c>
      <c r="C1618" s="1" t="s">
        <v>101</v>
      </c>
      <c r="D1618" s="1" t="s">
        <v>101</v>
      </c>
      <c r="E1618" s="81">
        <v>0</v>
      </c>
      <c r="F1618" s="81">
        <v>0</v>
      </c>
    </row>
    <row r="1619" spans="1:6" x14ac:dyDescent="0.2">
      <c r="A1619" s="1" t="s">
        <v>179</v>
      </c>
      <c r="B1619" s="1" t="s">
        <v>2307</v>
      </c>
      <c r="C1619" s="1" t="s">
        <v>101</v>
      </c>
      <c r="D1619" s="1" t="s">
        <v>101</v>
      </c>
      <c r="E1619" s="81">
        <v>0</v>
      </c>
      <c r="F1619" s="81">
        <v>0</v>
      </c>
    </row>
    <row r="1620" spans="1:6" x14ac:dyDescent="0.2">
      <c r="A1620" s="1" t="s">
        <v>179</v>
      </c>
      <c r="B1620" s="1" t="s">
        <v>2308</v>
      </c>
      <c r="C1620" s="1" t="s">
        <v>101</v>
      </c>
      <c r="D1620" s="1" t="s">
        <v>101</v>
      </c>
      <c r="E1620" s="81">
        <v>0</v>
      </c>
      <c r="F1620" s="81">
        <v>0</v>
      </c>
    </row>
    <row r="1621" spans="1:6" x14ac:dyDescent="0.2">
      <c r="A1621" s="1" t="s">
        <v>179</v>
      </c>
      <c r="B1621" s="1" t="s">
        <v>2309</v>
      </c>
      <c r="C1621" s="1" t="s">
        <v>101</v>
      </c>
      <c r="D1621" s="1" t="s">
        <v>101</v>
      </c>
      <c r="E1621" s="81">
        <v>0</v>
      </c>
      <c r="F1621" s="81">
        <v>0</v>
      </c>
    </row>
    <row r="1622" spans="1:6" x14ac:dyDescent="0.2">
      <c r="A1622" s="1" t="s">
        <v>179</v>
      </c>
      <c r="B1622" s="1" t="s">
        <v>2310</v>
      </c>
      <c r="C1622" s="1" t="s">
        <v>101</v>
      </c>
      <c r="D1622" s="1" t="s">
        <v>101</v>
      </c>
      <c r="E1622" s="81">
        <v>0</v>
      </c>
      <c r="F1622" s="81">
        <v>0</v>
      </c>
    </row>
    <row r="1623" spans="1:6" x14ac:dyDescent="0.2">
      <c r="A1623" s="1" t="s">
        <v>179</v>
      </c>
      <c r="B1623" s="1" t="s">
        <v>2311</v>
      </c>
      <c r="C1623" s="1" t="s">
        <v>101</v>
      </c>
      <c r="D1623" s="1" t="s">
        <v>101</v>
      </c>
      <c r="E1623" s="81">
        <v>0</v>
      </c>
      <c r="F1623" s="81">
        <v>0</v>
      </c>
    </row>
    <row r="1624" spans="1:6" x14ac:dyDescent="0.2">
      <c r="A1624" s="1" t="s">
        <v>179</v>
      </c>
      <c r="B1624" s="1" t="s">
        <v>2312</v>
      </c>
      <c r="C1624" s="1" t="s">
        <v>101</v>
      </c>
      <c r="D1624" s="1" t="s">
        <v>101</v>
      </c>
      <c r="E1624" s="81">
        <v>0</v>
      </c>
      <c r="F1624" s="81">
        <v>0</v>
      </c>
    </row>
    <row r="1625" spans="1:6" x14ac:dyDescent="0.2">
      <c r="A1625" s="1" t="s">
        <v>179</v>
      </c>
      <c r="B1625" s="1" t="s">
        <v>2313</v>
      </c>
      <c r="C1625" s="1" t="s">
        <v>101</v>
      </c>
      <c r="D1625" s="1" t="s">
        <v>101</v>
      </c>
      <c r="E1625" s="81">
        <v>0</v>
      </c>
      <c r="F1625" s="81">
        <v>0</v>
      </c>
    </row>
    <row r="1626" spans="1:6" x14ac:dyDescent="0.2">
      <c r="A1626" s="1" t="s">
        <v>179</v>
      </c>
      <c r="B1626" s="1" t="s">
        <v>2314</v>
      </c>
      <c r="C1626" s="1" t="s">
        <v>101</v>
      </c>
      <c r="D1626" s="1" t="s">
        <v>101</v>
      </c>
      <c r="E1626" s="81">
        <v>0</v>
      </c>
      <c r="F1626" s="81">
        <v>0</v>
      </c>
    </row>
    <row r="1627" spans="1:6" x14ac:dyDescent="0.2">
      <c r="A1627" s="1" t="s">
        <v>179</v>
      </c>
      <c r="B1627" s="1" t="s">
        <v>2315</v>
      </c>
      <c r="C1627" s="1" t="s">
        <v>101</v>
      </c>
      <c r="D1627" s="1" t="s">
        <v>101</v>
      </c>
      <c r="E1627" s="81">
        <v>0</v>
      </c>
      <c r="F1627" s="81">
        <v>0</v>
      </c>
    </row>
    <row r="1628" spans="1:6" x14ac:dyDescent="0.2">
      <c r="A1628" s="1" t="s">
        <v>179</v>
      </c>
      <c r="B1628" s="1" t="s">
        <v>2316</v>
      </c>
      <c r="C1628" s="1" t="s">
        <v>101</v>
      </c>
      <c r="D1628" s="1" t="s">
        <v>101</v>
      </c>
      <c r="E1628" s="81">
        <v>0</v>
      </c>
      <c r="F1628" s="81">
        <v>0</v>
      </c>
    </row>
    <row r="1629" spans="1:6" x14ac:dyDescent="0.2">
      <c r="A1629" s="1" t="s">
        <v>179</v>
      </c>
      <c r="B1629" s="1" t="s">
        <v>2317</v>
      </c>
      <c r="C1629" s="1" t="s">
        <v>101</v>
      </c>
      <c r="D1629" s="1" t="s">
        <v>101</v>
      </c>
      <c r="E1629" s="81">
        <v>0</v>
      </c>
      <c r="F1629" s="81">
        <v>0</v>
      </c>
    </row>
    <row r="1630" spans="1:6" x14ac:dyDescent="0.2">
      <c r="A1630" s="1" t="s">
        <v>179</v>
      </c>
      <c r="B1630" s="1" t="s">
        <v>2318</v>
      </c>
      <c r="C1630" s="1" t="s">
        <v>101</v>
      </c>
      <c r="D1630" s="1" t="s">
        <v>101</v>
      </c>
      <c r="E1630" s="81">
        <v>0</v>
      </c>
      <c r="F1630" s="81">
        <v>0</v>
      </c>
    </row>
    <row r="1631" spans="1:6" x14ac:dyDescent="0.2">
      <c r="A1631" s="1" t="s">
        <v>179</v>
      </c>
      <c r="B1631" s="1" t="s">
        <v>2319</v>
      </c>
      <c r="C1631" s="1" t="s">
        <v>101</v>
      </c>
      <c r="D1631" s="1" t="s">
        <v>101</v>
      </c>
      <c r="E1631" s="81">
        <v>0</v>
      </c>
      <c r="F1631" s="81">
        <v>0</v>
      </c>
    </row>
    <row r="1632" spans="1:6" x14ac:dyDescent="0.2">
      <c r="A1632" s="1" t="s">
        <v>179</v>
      </c>
      <c r="B1632" s="1" t="s">
        <v>2320</v>
      </c>
      <c r="C1632" s="1" t="s">
        <v>101</v>
      </c>
      <c r="D1632" s="1" t="s">
        <v>101</v>
      </c>
      <c r="E1632" s="81">
        <v>0</v>
      </c>
      <c r="F1632" s="81">
        <v>0</v>
      </c>
    </row>
    <row r="1633" spans="1:6" x14ac:dyDescent="0.2">
      <c r="A1633" s="1" t="s">
        <v>179</v>
      </c>
      <c r="B1633" s="1" t="s">
        <v>2321</v>
      </c>
      <c r="C1633" s="1" t="s">
        <v>101</v>
      </c>
      <c r="D1633" s="1" t="s">
        <v>101</v>
      </c>
      <c r="E1633" s="81">
        <v>0</v>
      </c>
      <c r="F1633" s="81">
        <v>0</v>
      </c>
    </row>
    <row r="1634" spans="1:6" x14ac:dyDescent="0.2">
      <c r="A1634" s="1" t="s">
        <v>179</v>
      </c>
      <c r="B1634" s="1" t="s">
        <v>2322</v>
      </c>
      <c r="C1634" s="1" t="s">
        <v>101</v>
      </c>
      <c r="D1634" s="1" t="s">
        <v>101</v>
      </c>
      <c r="E1634" s="81">
        <v>0</v>
      </c>
      <c r="F1634" s="81">
        <v>0</v>
      </c>
    </row>
    <row r="1635" spans="1:6" x14ac:dyDescent="0.2">
      <c r="A1635" s="1" t="s">
        <v>179</v>
      </c>
      <c r="B1635" s="1" t="s">
        <v>2323</v>
      </c>
      <c r="C1635" s="1" t="s">
        <v>101</v>
      </c>
      <c r="D1635" s="1" t="s">
        <v>101</v>
      </c>
      <c r="E1635" s="81">
        <v>0</v>
      </c>
      <c r="F1635" s="81">
        <v>0</v>
      </c>
    </row>
    <row r="1636" spans="1:6" x14ac:dyDescent="0.2">
      <c r="A1636" s="1" t="s">
        <v>179</v>
      </c>
      <c r="B1636" s="1" t="s">
        <v>2324</v>
      </c>
      <c r="C1636" s="1" t="s">
        <v>4020</v>
      </c>
      <c r="D1636" s="1" t="s">
        <v>4020</v>
      </c>
      <c r="E1636" s="81">
        <v>1042.4000000000001</v>
      </c>
      <c r="F1636" s="81">
        <v>1042.4000000000001</v>
      </c>
    </row>
    <row r="1637" spans="1:6" x14ac:dyDescent="0.2">
      <c r="A1637" s="1" t="s">
        <v>179</v>
      </c>
      <c r="B1637" s="1" t="s">
        <v>2325</v>
      </c>
      <c r="C1637" s="1" t="s">
        <v>4021</v>
      </c>
      <c r="D1637" s="1" t="s">
        <v>4021</v>
      </c>
      <c r="E1637" s="81">
        <v>1365.65</v>
      </c>
      <c r="F1637" s="81">
        <v>1365.65</v>
      </c>
    </row>
    <row r="1638" spans="1:6" x14ac:dyDescent="0.2">
      <c r="A1638" s="1" t="s">
        <v>179</v>
      </c>
      <c r="B1638" s="1" t="s">
        <v>2326</v>
      </c>
      <c r="C1638" s="1" t="s">
        <v>4022</v>
      </c>
      <c r="D1638" s="1" t="s">
        <v>4022</v>
      </c>
      <c r="E1638" s="81">
        <v>1949.9</v>
      </c>
      <c r="F1638" s="81">
        <v>1949.9</v>
      </c>
    </row>
    <row r="1639" spans="1:6" x14ac:dyDescent="0.2">
      <c r="A1639" s="1" t="s">
        <v>179</v>
      </c>
      <c r="B1639" s="1" t="s">
        <v>2327</v>
      </c>
      <c r="C1639" s="1" t="s">
        <v>101</v>
      </c>
      <c r="D1639" s="1" t="s">
        <v>101</v>
      </c>
      <c r="E1639" s="81">
        <v>0</v>
      </c>
      <c r="F1639" s="81">
        <v>0</v>
      </c>
    </row>
    <row r="1640" spans="1:6" x14ac:dyDescent="0.2">
      <c r="A1640" s="1" t="s">
        <v>179</v>
      </c>
      <c r="B1640" s="1" t="s">
        <v>2328</v>
      </c>
      <c r="C1640" s="1" t="s">
        <v>101</v>
      </c>
      <c r="D1640" s="1" t="s">
        <v>101</v>
      </c>
      <c r="E1640" s="81">
        <v>0</v>
      </c>
      <c r="F1640" s="81">
        <v>0</v>
      </c>
    </row>
    <row r="1641" spans="1:6" x14ac:dyDescent="0.2">
      <c r="A1641" s="1" t="s">
        <v>179</v>
      </c>
      <c r="B1641" s="1" t="s">
        <v>2329</v>
      </c>
      <c r="C1641" s="1" t="s">
        <v>101</v>
      </c>
      <c r="D1641" s="1" t="s">
        <v>101</v>
      </c>
      <c r="E1641" s="81">
        <v>0</v>
      </c>
      <c r="F1641" s="81">
        <v>0</v>
      </c>
    </row>
    <row r="1642" spans="1:6" x14ac:dyDescent="0.2">
      <c r="A1642" s="1" t="s">
        <v>179</v>
      </c>
      <c r="B1642" s="1" t="s">
        <v>2330</v>
      </c>
      <c r="C1642" s="1" t="s">
        <v>101</v>
      </c>
      <c r="D1642" s="1" t="s">
        <v>101</v>
      </c>
      <c r="E1642" s="81">
        <v>0</v>
      </c>
      <c r="F1642" s="81">
        <v>0</v>
      </c>
    </row>
    <row r="1643" spans="1:6" x14ac:dyDescent="0.2">
      <c r="A1643" s="1" t="s">
        <v>179</v>
      </c>
      <c r="B1643" s="1" t="s">
        <v>2331</v>
      </c>
      <c r="C1643" s="1" t="s">
        <v>101</v>
      </c>
      <c r="D1643" s="1" t="s">
        <v>101</v>
      </c>
      <c r="E1643" s="81">
        <v>0</v>
      </c>
      <c r="F1643" s="81">
        <v>0</v>
      </c>
    </row>
    <row r="1644" spans="1:6" x14ac:dyDescent="0.2">
      <c r="A1644" s="1" t="s">
        <v>179</v>
      </c>
      <c r="B1644" s="1" t="s">
        <v>2332</v>
      </c>
      <c r="C1644" s="1" t="s">
        <v>101</v>
      </c>
      <c r="D1644" s="1" t="s">
        <v>101</v>
      </c>
      <c r="E1644" s="81">
        <v>0</v>
      </c>
      <c r="F1644" s="81">
        <v>0</v>
      </c>
    </row>
    <row r="1645" spans="1:6" x14ac:dyDescent="0.2">
      <c r="A1645" s="1" t="s">
        <v>179</v>
      </c>
      <c r="B1645" s="1" t="s">
        <v>2333</v>
      </c>
      <c r="C1645" s="1" t="s">
        <v>101</v>
      </c>
      <c r="D1645" s="1" t="s">
        <v>101</v>
      </c>
      <c r="E1645" s="81">
        <v>0</v>
      </c>
      <c r="F1645" s="81">
        <v>0</v>
      </c>
    </row>
    <row r="1646" spans="1:6" x14ac:dyDescent="0.2">
      <c r="A1646" s="1" t="s">
        <v>179</v>
      </c>
      <c r="B1646" s="1" t="s">
        <v>2334</v>
      </c>
      <c r="C1646" s="1" t="s">
        <v>101</v>
      </c>
      <c r="D1646" s="1" t="s">
        <v>101</v>
      </c>
      <c r="E1646" s="81">
        <v>0</v>
      </c>
      <c r="F1646" s="81">
        <v>0</v>
      </c>
    </row>
    <row r="1647" spans="1:6" x14ac:dyDescent="0.2">
      <c r="A1647" s="1" t="s">
        <v>179</v>
      </c>
      <c r="B1647" s="1" t="s">
        <v>2335</v>
      </c>
      <c r="C1647" s="1" t="s">
        <v>101</v>
      </c>
      <c r="D1647" s="1" t="s">
        <v>101</v>
      </c>
      <c r="E1647" s="81">
        <v>0</v>
      </c>
      <c r="F1647" s="81">
        <v>0</v>
      </c>
    </row>
    <row r="1648" spans="1:6" x14ac:dyDescent="0.2">
      <c r="A1648" s="1" t="s">
        <v>179</v>
      </c>
      <c r="B1648" s="1" t="s">
        <v>2336</v>
      </c>
      <c r="C1648" s="1" t="s">
        <v>4023</v>
      </c>
      <c r="D1648" s="1" t="s">
        <v>4023</v>
      </c>
      <c r="E1648" s="81">
        <v>4357.96</v>
      </c>
      <c r="F1648" s="81">
        <v>4357.96</v>
      </c>
    </row>
    <row r="1649" spans="1:6" x14ac:dyDescent="0.2">
      <c r="A1649" s="1" t="s">
        <v>179</v>
      </c>
      <c r="B1649" s="1" t="s">
        <v>2337</v>
      </c>
      <c r="C1649" s="1" t="s">
        <v>4030</v>
      </c>
      <c r="D1649" s="1" t="s">
        <v>4030</v>
      </c>
      <c r="E1649" s="81">
        <v>174157.73</v>
      </c>
      <c r="F1649" s="81">
        <v>174157.73</v>
      </c>
    </row>
    <row r="1650" spans="1:6" x14ac:dyDescent="0.2">
      <c r="A1650" s="1" t="s">
        <v>179</v>
      </c>
      <c r="B1650" s="1" t="s">
        <v>2338</v>
      </c>
      <c r="C1650" s="1" t="s">
        <v>4031</v>
      </c>
      <c r="D1650" s="1" t="s">
        <v>4031</v>
      </c>
      <c r="E1650" s="81">
        <v>173314.19</v>
      </c>
      <c r="F1650" s="81">
        <v>173314.19</v>
      </c>
    </row>
    <row r="1651" spans="1:6" x14ac:dyDescent="0.2">
      <c r="A1651" s="1" t="s">
        <v>179</v>
      </c>
      <c r="B1651" s="1" t="s">
        <v>2339</v>
      </c>
      <c r="C1651" s="1" t="s">
        <v>4032</v>
      </c>
      <c r="D1651" s="1" t="s">
        <v>4032</v>
      </c>
      <c r="E1651" s="81">
        <v>181939.97</v>
      </c>
      <c r="F1651" s="81">
        <v>181939.97</v>
      </c>
    </row>
    <row r="1652" spans="1:6" x14ac:dyDescent="0.2">
      <c r="A1652" s="1" t="s">
        <v>179</v>
      </c>
      <c r="B1652" s="1" t="s">
        <v>2340</v>
      </c>
      <c r="C1652" s="1" t="s">
        <v>101</v>
      </c>
      <c r="D1652" s="1" t="s">
        <v>101</v>
      </c>
      <c r="E1652" s="81">
        <v>0</v>
      </c>
      <c r="F1652" s="81">
        <v>0</v>
      </c>
    </row>
    <row r="1653" spans="1:6" x14ac:dyDescent="0.2">
      <c r="A1653" s="1" t="s">
        <v>179</v>
      </c>
      <c r="B1653" s="1" t="s">
        <v>2341</v>
      </c>
      <c r="C1653" s="1" t="s">
        <v>101</v>
      </c>
      <c r="D1653" s="1" t="s">
        <v>101</v>
      </c>
      <c r="E1653" s="81">
        <v>0</v>
      </c>
      <c r="F1653" s="81">
        <v>0</v>
      </c>
    </row>
    <row r="1654" spans="1:6" x14ac:dyDescent="0.2">
      <c r="A1654" s="1" t="s">
        <v>179</v>
      </c>
      <c r="B1654" s="1" t="s">
        <v>2342</v>
      </c>
      <c r="C1654" s="1" t="s">
        <v>101</v>
      </c>
      <c r="D1654" s="1" t="s">
        <v>101</v>
      </c>
      <c r="E1654" s="81">
        <v>0</v>
      </c>
      <c r="F1654" s="81">
        <v>0</v>
      </c>
    </row>
    <row r="1655" spans="1:6" x14ac:dyDescent="0.2">
      <c r="A1655" s="1" t="s">
        <v>179</v>
      </c>
      <c r="B1655" s="1" t="s">
        <v>2343</v>
      </c>
      <c r="C1655" s="1" t="s">
        <v>101</v>
      </c>
      <c r="D1655" s="1" t="s">
        <v>101</v>
      </c>
      <c r="E1655" s="81">
        <v>0</v>
      </c>
      <c r="F1655" s="81">
        <v>0</v>
      </c>
    </row>
    <row r="1656" spans="1:6" x14ac:dyDescent="0.2">
      <c r="A1656" s="1" t="s">
        <v>179</v>
      </c>
      <c r="B1656" s="1" t="s">
        <v>2344</v>
      </c>
      <c r="C1656" s="1" t="s">
        <v>101</v>
      </c>
      <c r="D1656" s="1" t="s">
        <v>101</v>
      </c>
      <c r="E1656" s="81">
        <v>0</v>
      </c>
      <c r="F1656" s="81">
        <v>0</v>
      </c>
    </row>
    <row r="1657" spans="1:6" x14ac:dyDescent="0.2">
      <c r="A1657" s="1" t="s">
        <v>179</v>
      </c>
      <c r="B1657" s="1" t="s">
        <v>2345</v>
      </c>
      <c r="C1657" s="1" t="s">
        <v>101</v>
      </c>
      <c r="D1657" s="1" t="s">
        <v>101</v>
      </c>
      <c r="E1657" s="81">
        <v>0</v>
      </c>
      <c r="F1657" s="81">
        <v>0</v>
      </c>
    </row>
    <row r="1658" spans="1:6" x14ac:dyDescent="0.2">
      <c r="A1658" s="1" t="s">
        <v>179</v>
      </c>
      <c r="B1658" s="1" t="s">
        <v>2346</v>
      </c>
      <c r="C1658" s="1" t="s">
        <v>101</v>
      </c>
      <c r="D1658" s="1" t="s">
        <v>101</v>
      </c>
      <c r="E1658" s="81">
        <v>0</v>
      </c>
      <c r="F1658" s="81">
        <v>0</v>
      </c>
    </row>
    <row r="1659" spans="1:6" x14ac:dyDescent="0.2">
      <c r="A1659" s="1" t="s">
        <v>179</v>
      </c>
      <c r="B1659" s="1" t="s">
        <v>2347</v>
      </c>
      <c r="C1659" s="1" t="s">
        <v>101</v>
      </c>
      <c r="D1659" s="1" t="s">
        <v>101</v>
      </c>
      <c r="E1659" s="81">
        <v>0</v>
      </c>
      <c r="F1659" s="81">
        <v>0</v>
      </c>
    </row>
    <row r="1660" spans="1:6" x14ac:dyDescent="0.2">
      <c r="A1660" s="1" t="s">
        <v>179</v>
      </c>
      <c r="B1660" s="1" t="s">
        <v>2348</v>
      </c>
      <c r="C1660" s="1" t="s">
        <v>101</v>
      </c>
      <c r="D1660" s="1" t="s">
        <v>101</v>
      </c>
      <c r="E1660" s="81">
        <v>0</v>
      </c>
      <c r="F1660" s="81">
        <v>0</v>
      </c>
    </row>
    <row r="1661" spans="1:6" x14ac:dyDescent="0.2">
      <c r="A1661" s="1" t="s">
        <v>179</v>
      </c>
      <c r="B1661" s="1" t="s">
        <v>2349</v>
      </c>
      <c r="C1661" s="1" t="s">
        <v>4033</v>
      </c>
      <c r="D1661" s="1" t="s">
        <v>4033</v>
      </c>
      <c r="E1661" s="81">
        <v>529411.88</v>
      </c>
      <c r="F1661" s="81">
        <v>529411.88</v>
      </c>
    </row>
    <row r="1662" spans="1:6" x14ac:dyDescent="0.2">
      <c r="A1662" s="1" t="s">
        <v>179</v>
      </c>
      <c r="B1662" s="1" t="s">
        <v>2350</v>
      </c>
      <c r="C1662" s="1" t="s">
        <v>4034</v>
      </c>
      <c r="D1662" s="1" t="s">
        <v>4034</v>
      </c>
      <c r="E1662" s="81">
        <v>46410.23</v>
      </c>
      <c r="F1662" s="81">
        <v>46410.23</v>
      </c>
    </row>
    <row r="1663" spans="1:6" x14ac:dyDescent="0.2">
      <c r="A1663" s="1" t="s">
        <v>179</v>
      </c>
      <c r="B1663" s="1" t="s">
        <v>2351</v>
      </c>
      <c r="C1663" s="1" t="s">
        <v>4035</v>
      </c>
      <c r="D1663" s="1" t="s">
        <v>4035</v>
      </c>
      <c r="E1663" s="81">
        <v>42864.37</v>
      </c>
      <c r="F1663" s="81">
        <v>42864.37</v>
      </c>
    </row>
    <row r="1664" spans="1:6" x14ac:dyDescent="0.2">
      <c r="A1664" s="1" t="s">
        <v>179</v>
      </c>
      <c r="B1664" s="1" t="s">
        <v>2352</v>
      </c>
      <c r="C1664" s="1" t="s">
        <v>4036</v>
      </c>
      <c r="D1664" s="1" t="s">
        <v>4036</v>
      </c>
      <c r="E1664" s="81">
        <v>46591.73</v>
      </c>
      <c r="F1664" s="81">
        <v>46591.73</v>
      </c>
    </row>
    <row r="1665" spans="1:6" x14ac:dyDescent="0.2">
      <c r="A1665" s="1" t="s">
        <v>179</v>
      </c>
      <c r="B1665" s="1" t="s">
        <v>2353</v>
      </c>
      <c r="C1665" s="1" t="s">
        <v>101</v>
      </c>
      <c r="D1665" s="1" t="s">
        <v>101</v>
      </c>
      <c r="E1665" s="81">
        <v>0</v>
      </c>
      <c r="F1665" s="81">
        <v>0</v>
      </c>
    </row>
    <row r="1666" spans="1:6" x14ac:dyDescent="0.2">
      <c r="A1666" s="1" t="s">
        <v>179</v>
      </c>
      <c r="B1666" s="1" t="s">
        <v>2354</v>
      </c>
      <c r="C1666" s="1" t="s">
        <v>101</v>
      </c>
      <c r="D1666" s="1" t="s">
        <v>101</v>
      </c>
      <c r="E1666" s="81">
        <v>0</v>
      </c>
      <c r="F1666" s="81">
        <v>0</v>
      </c>
    </row>
    <row r="1667" spans="1:6" x14ac:dyDescent="0.2">
      <c r="A1667" s="1" t="s">
        <v>179</v>
      </c>
      <c r="B1667" s="1" t="s">
        <v>2355</v>
      </c>
      <c r="C1667" s="1" t="s">
        <v>101</v>
      </c>
      <c r="D1667" s="1" t="s">
        <v>101</v>
      </c>
      <c r="E1667" s="81">
        <v>0</v>
      </c>
      <c r="F1667" s="81">
        <v>0</v>
      </c>
    </row>
    <row r="1668" spans="1:6" x14ac:dyDescent="0.2">
      <c r="A1668" s="1" t="s">
        <v>179</v>
      </c>
      <c r="B1668" s="1" t="s">
        <v>2356</v>
      </c>
      <c r="C1668" s="1" t="s">
        <v>101</v>
      </c>
      <c r="D1668" s="1" t="s">
        <v>101</v>
      </c>
      <c r="E1668" s="81">
        <v>0</v>
      </c>
      <c r="F1668" s="81">
        <v>0</v>
      </c>
    </row>
    <row r="1669" spans="1:6" x14ac:dyDescent="0.2">
      <c r="A1669" s="1" t="s">
        <v>179</v>
      </c>
      <c r="B1669" s="1" t="s">
        <v>2357</v>
      </c>
      <c r="C1669" s="1" t="s">
        <v>101</v>
      </c>
      <c r="D1669" s="1" t="s">
        <v>101</v>
      </c>
      <c r="E1669" s="81">
        <v>0</v>
      </c>
      <c r="F1669" s="81">
        <v>0</v>
      </c>
    </row>
    <row r="1670" spans="1:6" x14ac:dyDescent="0.2">
      <c r="A1670" s="1" t="s">
        <v>179</v>
      </c>
      <c r="B1670" s="1" t="s">
        <v>2358</v>
      </c>
      <c r="C1670" s="1" t="s">
        <v>101</v>
      </c>
      <c r="D1670" s="1" t="s">
        <v>101</v>
      </c>
      <c r="E1670" s="81">
        <v>0</v>
      </c>
      <c r="F1670" s="81">
        <v>0</v>
      </c>
    </row>
    <row r="1671" spans="1:6" x14ac:dyDescent="0.2">
      <c r="A1671" s="1" t="s">
        <v>179</v>
      </c>
      <c r="B1671" s="1" t="s">
        <v>2359</v>
      </c>
      <c r="C1671" s="1" t="s">
        <v>101</v>
      </c>
      <c r="D1671" s="1" t="s">
        <v>101</v>
      </c>
      <c r="E1671" s="81">
        <v>0</v>
      </c>
      <c r="F1671" s="81">
        <v>0</v>
      </c>
    </row>
    <row r="1672" spans="1:6" x14ac:dyDescent="0.2">
      <c r="A1672" s="1" t="s">
        <v>179</v>
      </c>
      <c r="B1672" s="1" t="s">
        <v>2360</v>
      </c>
      <c r="C1672" s="1" t="s">
        <v>101</v>
      </c>
      <c r="D1672" s="1" t="s">
        <v>101</v>
      </c>
      <c r="E1672" s="81">
        <v>0</v>
      </c>
      <c r="F1672" s="81">
        <v>0</v>
      </c>
    </row>
    <row r="1673" spans="1:6" x14ac:dyDescent="0.2">
      <c r="A1673" s="1" t="s">
        <v>179</v>
      </c>
      <c r="B1673" s="1" t="s">
        <v>2361</v>
      </c>
      <c r="C1673" s="1" t="s">
        <v>101</v>
      </c>
      <c r="D1673" s="1" t="s">
        <v>101</v>
      </c>
      <c r="E1673" s="81">
        <v>0</v>
      </c>
      <c r="F1673" s="81">
        <v>0</v>
      </c>
    </row>
    <row r="1674" spans="1:6" x14ac:dyDescent="0.2">
      <c r="A1674" s="1" t="s">
        <v>179</v>
      </c>
      <c r="B1674" s="1" t="s">
        <v>2362</v>
      </c>
      <c r="C1674" s="1" t="s">
        <v>4037</v>
      </c>
      <c r="D1674" s="1" t="s">
        <v>4037</v>
      </c>
      <c r="E1674" s="81">
        <v>128014.19</v>
      </c>
      <c r="F1674" s="81">
        <v>128014.19</v>
      </c>
    </row>
    <row r="1675" spans="1:6" x14ac:dyDescent="0.2">
      <c r="A1675" s="1" t="s">
        <v>179</v>
      </c>
      <c r="B1675" s="1" t="s">
        <v>2363</v>
      </c>
      <c r="C1675" s="1" t="s">
        <v>4038</v>
      </c>
      <c r="D1675" s="1" t="s">
        <v>4038</v>
      </c>
      <c r="E1675" s="81">
        <v>130747.74</v>
      </c>
      <c r="F1675" s="81">
        <v>130747.74</v>
      </c>
    </row>
    <row r="1676" spans="1:6" x14ac:dyDescent="0.2">
      <c r="A1676" s="1" t="s">
        <v>179</v>
      </c>
      <c r="B1676" s="1" t="s">
        <v>2364</v>
      </c>
      <c r="C1676" s="1" t="s">
        <v>4039</v>
      </c>
      <c r="D1676" s="1" t="s">
        <v>4039</v>
      </c>
      <c r="E1676" s="81">
        <v>135637.07</v>
      </c>
      <c r="F1676" s="81">
        <v>135637.07</v>
      </c>
    </row>
    <row r="1677" spans="1:6" x14ac:dyDescent="0.2">
      <c r="A1677" s="1" t="s">
        <v>179</v>
      </c>
      <c r="B1677" s="1" t="s">
        <v>2365</v>
      </c>
      <c r="C1677" s="1" t="s">
        <v>101</v>
      </c>
      <c r="D1677" s="1" t="s">
        <v>101</v>
      </c>
      <c r="E1677" s="81">
        <v>0</v>
      </c>
      <c r="F1677" s="81">
        <v>0</v>
      </c>
    </row>
    <row r="1678" spans="1:6" x14ac:dyDescent="0.2">
      <c r="A1678" s="1" t="s">
        <v>179</v>
      </c>
      <c r="B1678" s="1" t="s">
        <v>2366</v>
      </c>
      <c r="C1678" s="1" t="s">
        <v>101</v>
      </c>
      <c r="D1678" s="1" t="s">
        <v>101</v>
      </c>
      <c r="E1678" s="81">
        <v>0</v>
      </c>
      <c r="F1678" s="81">
        <v>0</v>
      </c>
    </row>
    <row r="1679" spans="1:6" x14ac:dyDescent="0.2">
      <c r="A1679" s="1" t="s">
        <v>179</v>
      </c>
      <c r="B1679" s="1" t="s">
        <v>2367</v>
      </c>
      <c r="C1679" s="1" t="s">
        <v>101</v>
      </c>
      <c r="D1679" s="1" t="s">
        <v>101</v>
      </c>
      <c r="E1679" s="81">
        <v>0</v>
      </c>
      <c r="F1679" s="81">
        <v>0</v>
      </c>
    </row>
    <row r="1680" spans="1:6" x14ac:dyDescent="0.2">
      <c r="A1680" s="1" t="s">
        <v>179</v>
      </c>
      <c r="B1680" s="1" t="s">
        <v>2368</v>
      </c>
      <c r="C1680" s="1" t="s">
        <v>101</v>
      </c>
      <c r="D1680" s="1" t="s">
        <v>101</v>
      </c>
      <c r="E1680" s="81">
        <v>0</v>
      </c>
      <c r="F1680" s="81">
        <v>0</v>
      </c>
    </row>
    <row r="1681" spans="1:6" x14ac:dyDescent="0.2">
      <c r="A1681" s="1" t="s">
        <v>179</v>
      </c>
      <c r="B1681" s="1" t="s">
        <v>2369</v>
      </c>
      <c r="C1681" s="1" t="s">
        <v>101</v>
      </c>
      <c r="D1681" s="1" t="s">
        <v>101</v>
      </c>
      <c r="E1681" s="81">
        <v>0</v>
      </c>
      <c r="F1681" s="81">
        <v>0</v>
      </c>
    </row>
    <row r="1682" spans="1:6" x14ac:dyDescent="0.2">
      <c r="A1682" s="1" t="s">
        <v>179</v>
      </c>
      <c r="B1682" s="1" t="s">
        <v>2370</v>
      </c>
      <c r="C1682" s="1" t="s">
        <v>101</v>
      </c>
      <c r="D1682" s="1" t="s">
        <v>101</v>
      </c>
      <c r="E1682" s="81">
        <v>0</v>
      </c>
      <c r="F1682" s="81">
        <v>0</v>
      </c>
    </row>
    <row r="1683" spans="1:6" x14ac:dyDescent="0.2">
      <c r="A1683" s="1" t="s">
        <v>179</v>
      </c>
      <c r="B1683" s="1" t="s">
        <v>2371</v>
      </c>
      <c r="C1683" s="1" t="s">
        <v>101</v>
      </c>
      <c r="D1683" s="1" t="s">
        <v>101</v>
      </c>
      <c r="E1683" s="81">
        <v>0</v>
      </c>
      <c r="F1683" s="81">
        <v>0</v>
      </c>
    </row>
    <row r="1684" spans="1:6" x14ac:dyDescent="0.2">
      <c r="A1684" s="1" t="s">
        <v>179</v>
      </c>
      <c r="B1684" s="1" t="s">
        <v>2372</v>
      </c>
      <c r="C1684" s="1" t="s">
        <v>101</v>
      </c>
      <c r="D1684" s="1" t="s">
        <v>101</v>
      </c>
      <c r="E1684" s="81">
        <v>0</v>
      </c>
      <c r="F1684" s="81">
        <v>0</v>
      </c>
    </row>
    <row r="1685" spans="1:6" x14ac:dyDescent="0.2">
      <c r="A1685" s="1" t="s">
        <v>179</v>
      </c>
      <c r="B1685" s="1" t="s">
        <v>2373</v>
      </c>
      <c r="C1685" s="1" t="s">
        <v>101</v>
      </c>
      <c r="D1685" s="1" t="s">
        <v>101</v>
      </c>
      <c r="E1685" s="81">
        <v>0</v>
      </c>
      <c r="F1685" s="81">
        <v>0</v>
      </c>
    </row>
    <row r="1686" spans="1:6" x14ac:dyDescent="0.2">
      <c r="A1686" s="1" t="s">
        <v>179</v>
      </c>
      <c r="B1686" s="1" t="s">
        <v>2374</v>
      </c>
      <c r="C1686" s="1" t="s">
        <v>101</v>
      </c>
      <c r="D1686" s="1" t="s">
        <v>101</v>
      </c>
      <c r="E1686" s="81">
        <v>0</v>
      </c>
      <c r="F1686" s="81">
        <v>0</v>
      </c>
    </row>
    <row r="1687" spans="1:6" x14ac:dyDescent="0.2">
      <c r="A1687" s="1" t="s">
        <v>179</v>
      </c>
      <c r="B1687" s="1" t="s">
        <v>2375</v>
      </c>
      <c r="C1687" s="1" t="s">
        <v>101</v>
      </c>
      <c r="D1687" s="1" t="s">
        <v>101</v>
      </c>
      <c r="E1687" s="81">
        <v>0</v>
      </c>
      <c r="F1687" s="81">
        <v>0</v>
      </c>
    </row>
    <row r="1688" spans="1:6" x14ac:dyDescent="0.2">
      <c r="A1688" s="1" t="s">
        <v>179</v>
      </c>
      <c r="B1688" s="1" t="s">
        <v>2376</v>
      </c>
      <c r="C1688" s="1" t="s">
        <v>101</v>
      </c>
      <c r="D1688" s="1" t="s">
        <v>101</v>
      </c>
      <c r="E1688" s="81">
        <v>0</v>
      </c>
      <c r="F1688" s="81">
        <v>0</v>
      </c>
    </row>
    <row r="1689" spans="1:6" x14ac:dyDescent="0.2">
      <c r="A1689" s="1" t="s">
        <v>179</v>
      </c>
      <c r="B1689" s="1" t="s">
        <v>2377</v>
      </c>
      <c r="C1689" s="1" t="s">
        <v>101</v>
      </c>
      <c r="D1689" s="1" t="s">
        <v>101</v>
      </c>
      <c r="E1689" s="81">
        <v>0</v>
      </c>
      <c r="F1689" s="81">
        <v>0</v>
      </c>
    </row>
    <row r="1690" spans="1:6" x14ac:dyDescent="0.2">
      <c r="A1690" s="1" t="s">
        <v>179</v>
      </c>
      <c r="B1690" s="1" t="s">
        <v>2378</v>
      </c>
      <c r="C1690" s="1" t="s">
        <v>101</v>
      </c>
      <c r="D1690" s="1" t="s">
        <v>101</v>
      </c>
      <c r="E1690" s="81">
        <v>0</v>
      </c>
      <c r="F1690" s="81">
        <v>0</v>
      </c>
    </row>
    <row r="1691" spans="1:6" x14ac:dyDescent="0.2">
      <c r="A1691" s="1" t="s">
        <v>179</v>
      </c>
      <c r="B1691" s="1" t="s">
        <v>2379</v>
      </c>
      <c r="C1691" s="1" t="s">
        <v>101</v>
      </c>
      <c r="D1691" s="1" t="s">
        <v>101</v>
      </c>
      <c r="E1691" s="81">
        <v>0</v>
      </c>
      <c r="F1691" s="81">
        <v>0</v>
      </c>
    </row>
    <row r="1692" spans="1:6" x14ac:dyDescent="0.2">
      <c r="A1692" s="1" t="s">
        <v>179</v>
      </c>
      <c r="B1692" s="1" t="s">
        <v>2380</v>
      </c>
      <c r="C1692" s="1" t="s">
        <v>101</v>
      </c>
      <c r="D1692" s="1" t="s">
        <v>101</v>
      </c>
      <c r="E1692" s="81">
        <v>0</v>
      </c>
      <c r="F1692" s="81">
        <v>0</v>
      </c>
    </row>
    <row r="1693" spans="1:6" x14ac:dyDescent="0.2">
      <c r="A1693" s="1" t="s">
        <v>179</v>
      </c>
      <c r="B1693" s="1" t="s">
        <v>2381</v>
      </c>
      <c r="C1693" s="1" t="s">
        <v>101</v>
      </c>
      <c r="D1693" s="1" t="s">
        <v>101</v>
      </c>
      <c r="E1693" s="81">
        <v>0</v>
      </c>
      <c r="F1693" s="81">
        <v>0</v>
      </c>
    </row>
    <row r="1694" spans="1:6" x14ac:dyDescent="0.2">
      <c r="A1694" s="1" t="s">
        <v>179</v>
      </c>
      <c r="B1694" s="1" t="s">
        <v>2382</v>
      </c>
      <c r="C1694" s="1" t="s">
        <v>101</v>
      </c>
      <c r="D1694" s="1" t="s">
        <v>101</v>
      </c>
      <c r="E1694" s="81">
        <v>0</v>
      </c>
      <c r="F1694" s="81">
        <v>0</v>
      </c>
    </row>
    <row r="1695" spans="1:6" x14ac:dyDescent="0.2">
      <c r="A1695" s="1" t="s">
        <v>179</v>
      </c>
      <c r="B1695" s="1" t="s">
        <v>2383</v>
      </c>
      <c r="C1695" s="1" t="s">
        <v>101</v>
      </c>
      <c r="D1695" s="1" t="s">
        <v>101</v>
      </c>
      <c r="E1695" s="81">
        <v>0</v>
      </c>
      <c r="F1695" s="81">
        <v>0</v>
      </c>
    </row>
    <row r="1696" spans="1:6" x14ac:dyDescent="0.2">
      <c r="A1696" s="1" t="s">
        <v>179</v>
      </c>
      <c r="B1696" s="1" t="s">
        <v>2384</v>
      </c>
      <c r="C1696" s="1" t="s">
        <v>101</v>
      </c>
      <c r="D1696" s="1" t="s">
        <v>101</v>
      </c>
      <c r="E1696" s="81">
        <v>0</v>
      </c>
      <c r="F1696" s="81">
        <v>0</v>
      </c>
    </row>
    <row r="1697" spans="1:6" x14ac:dyDescent="0.2">
      <c r="A1697" s="1" t="s">
        <v>179</v>
      </c>
      <c r="B1697" s="1" t="s">
        <v>2385</v>
      </c>
      <c r="C1697" s="1" t="s">
        <v>101</v>
      </c>
      <c r="D1697" s="1" t="s">
        <v>101</v>
      </c>
      <c r="E1697" s="81">
        <v>0</v>
      </c>
      <c r="F1697" s="81">
        <v>0</v>
      </c>
    </row>
    <row r="1698" spans="1:6" x14ac:dyDescent="0.2">
      <c r="A1698" s="1" t="s">
        <v>179</v>
      </c>
      <c r="B1698" s="1" t="s">
        <v>2386</v>
      </c>
      <c r="C1698" s="1" t="s">
        <v>4030</v>
      </c>
      <c r="D1698" s="1" t="s">
        <v>4030</v>
      </c>
      <c r="E1698" s="81">
        <v>174157.73</v>
      </c>
      <c r="F1698" s="81">
        <v>174157.73</v>
      </c>
    </row>
    <row r="1699" spans="1:6" x14ac:dyDescent="0.2">
      <c r="A1699" s="1" t="s">
        <v>179</v>
      </c>
      <c r="B1699" s="1" t="s">
        <v>2387</v>
      </c>
      <c r="C1699" s="1" t="s">
        <v>4031</v>
      </c>
      <c r="D1699" s="1" t="s">
        <v>4031</v>
      </c>
      <c r="E1699" s="81">
        <v>173314.19</v>
      </c>
      <c r="F1699" s="81">
        <v>173314.19</v>
      </c>
    </row>
    <row r="1700" spans="1:6" x14ac:dyDescent="0.2">
      <c r="A1700" s="1" t="s">
        <v>179</v>
      </c>
      <c r="B1700" s="1" t="s">
        <v>2388</v>
      </c>
      <c r="C1700" s="1" t="s">
        <v>4032</v>
      </c>
      <c r="D1700" s="1" t="s">
        <v>4032</v>
      </c>
      <c r="E1700" s="81">
        <v>181939.97</v>
      </c>
      <c r="F1700" s="81">
        <v>181939.97</v>
      </c>
    </row>
    <row r="1701" spans="1:6" x14ac:dyDescent="0.2">
      <c r="A1701" s="1" t="s">
        <v>179</v>
      </c>
      <c r="B1701" s="1" t="s">
        <v>2389</v>
      </c>
      <c r="C1701" s="1" t="s">
        <v>101</v>
      </c>
      <c r="D1701" s="1" t="s">
        <v>101</v>
      </c>
      <c r="E1701" s="81">
        <v>0</v>
      </c>
      <c r="F1701" s="81">
        <v>0</v>
      </c>
    </row>
    <row r="1702" spans="1:6" x14ac:dyDescent="0.2">
      <c r="A1702" s="1" t="s">
        <v>179</v>
      </c>
      <c r="B1702" s="1" t="s">
        <v>2390</v>
      </c>
      <c r="C1702" s="1" t="s">
        <v>101</v>
      </c>
      <c r="D1702" s="1" t="s">
        <v>101</v>
      </c>
      <c r="E1702" s="81">
        <v>0</v>
      </c>
      <c r="F1702" s="81">
        <v>0</v>
      </c>
    </row>
    <row r="1703" spans="1:6" x14ac:dyDescent="0.2">
      <c r="A1703" s="1" t="s">
        <v>179</v>
      </c>
      <c r="B1703" s="1" t="s">
        <v>2391</v>
      </c>
      <c r="C1703" s="1" t="s">
        <v>101</v>
      </c>
      <c r="D1703" s="1" t="s">
        <v>101</v>
      </c>
      <c r="E1703" s="81">
        <v>0</v>
      </c>
      <c r="F1703" s="81">
        <v>0</v>
      </c>
    </row>
    <row r="1704" spans="1:6" x14ac:dyDescent="0.2">
      <c r="A1704" s="1" t="s">
        <v>179</v>
      </c>
      <c r="B1704" s="1" t="s">
        <v>2392</v>
      </c>
      <c r="C1704" s="1" t="s">
        <v>101</v>
      </c>
      <c r="D1704" s="1" t="s">
        <v>101</v>
      </c>
      <c r="E1704" s="81">
        <v>0</v>
      </c>
      <c r="F1704" s="81">
        <v>0</v>
      </c>
    </row>
    <row r="1705" spans="1:6" x14ac:dyDescent="0.2">
      <c r="A1705" s="1" t="s">
        <v>179</v>
      </c>
      <c r="B1705" s="1" t="s">
        <v>2393</v>
      </c>
      <c r="C1705" s="1" t="s">
        <v>101</v>
      </c>
      <c r="D1705" s="1" t="s">
        <v>101</v>
      </c>
      <c r="E1705" s="81">
        <v>0</v>
      </c>
      <c r="F1705" s="81">
        <v>0</v>
      </c>
    </row>
    <row r="1706" spans="1:6" x14ac:dyDescent="0.2">
      <c r="A1706" s="1" t="s">
        <v>179</v>
      </c>
      <c r="B1706" s="1" t="s">
        <v>2394</v>
      </c>
      <c r="C1706" s="1" t="s">
        <v>101</v>
      </c>
      <c r="D1706" s="1" t="s">
        <v>101</v>
      </c>
      <c r="E1706" s="81">
        <v>0</v>
      </c>
      <c r="F1706" s="81">
        <v>0</v>
      </c>
    </row>
    <row r="1707" spans="1:6" x14ac:dyDescent="0.2">
      <c r="A1707" s="1" t="s">
        <v>179</v>
      </c>
      <c r="B1707" s="1" t="s">
        <v>2395</v>
      </c>
      <c r="C1707" s="1" t="s">
        <v>101</v>
      </c>
      <c r="D1707" s="1" t="s">
        <v>101</v>
      </c>
      <c r="E1707" s="81">
        <v>0</v>
      </c>
      <c r="F1707" s="81">
        <v>0</v>
      </c>
    </row>
    <row r="1708" spans="1:6" x14ac:dyDescent="0.2">
      <c r="A1708" s="1" t="s">
        <v>179</v>
      </c>
      <c r="B1708" s="1" t="s">
        <v>2396</v>
      </c>
      <c r="C1708" s="1" t="s">
        <v>101</v>
      </c>
      <c r="D1708" s="1" t="s">
        <v>101</v>
      </c>
      <c r="E1708" s="81">
        <v>0</v>
      </c>
      <c r="F1708" s="81">
        <v>0</v>
      </c>
    </row>
    <row r="1709" spans="1:6" x14ac:dyDescent="0.2">
      <c r="A1709" s="1" t="s">
        <v>179</v>
      </c>
      <c r="B1709" s="1" t="s">
        <v>2397</v>
      </c>
      <c r="C1709" s="1" t="s">
        <v>101</v>
      </c>
      <c r="D1709" s="1" t="s">
        <v>101</v>
      </c>
      <c r="E1709" s="81">
        <v>0</v>
      </c>
      <c r="F1709" s="81">
        <v>0</v>
      </c>
    </row>
    <row r="1710" spans="1:6" x14ac:dyDescent="0.2">
      <c r="A1710" s="1" t="s">
        <v>179</v>
      </c>
      <c r="B1710" s="1" t="s">
        <v>2398</v>
      </c>
      <c r="C1710" s="1" t="s">
        <v>4033</v>
      </c>
      <c r="D1710" s="1" t="s">
        <v>4033</v>
      </c>
      <c r="E1710" s="81">
        <v>529411.88</v>
      </c>
      <c r="F1710" s="81">
        <v>529411.88</v>
      </c>
    </row>
    <row r="1711" spans="1:6" x14ac:dyDescent="0.2">
      <c r="A1711" s="1" t="s">
        <v>179</v>
      </c>
      <c r="B1711" s="1" t="s">
        <v>2399</v>
      </c>
      <c r="C1711" s="1" t="s">
        <v>101</v>
      </c>
      <c r="D1711" s="1" t="s">
        <v>101</v>
      </c>
      <c r="E1711" s="81">
        <v>0</v>
      </c>
      <c r="F1711" s="81">
        <v>0</v>
      </c>
    </row>
    <row r="1712" spans="1:6" x14ac:dyDescent="0.2">
      <c r="A1712" s="1" t="s">
        <v>179</v>
      </c>
      <c r="B1712" s="1" t="s">
        <v>2400</v>
      </c>
      <c r="C1712" s="1" t="s">
        <v>101</v>
      </c>
      <c r="D1712" s="1" t="s">
        <v>101</v>
      </c>
      <c r="E1712" s="81">
        <v>0</v>
      </c>
      <c r="F1712" s="81">
        <v>0</v>
      </c>
    </row>
    <row r="1713" spans="1:6" x14ac:dyDescent="0.2">
      <c r="A1713" s="1" t="s">
        <v>179</v>
      </c>
      <c r="B1713" s="1" t="s">
        <v>2401</v>
      </c>
      <c r="C1713" s="1" t="s">
        <v>101</v>
      </c>
      <c r="D1713" s="1" t="s">
        <v>101</v>
      </c>
      <c r="E1713" s="81">
        <v>0</v>
      </c>
      <c r="F1713" s="81">
        <v>0</v>
      </c>
    </row>
    <row r="1714" spans="1:6" x14ac:dyDescent="0.2">
      <c r="A1714" s="1" t="s">
        <v>179</v>
      </c>
      <c r="B1714" s="1" t="s">
        <v>2402</v>
      </c>
      <c r="C1714" s="1" t="s">
        <v>101</v>
      </c>
      <c r="D1714" s="1" t="s">
        <v>101</v>
      </c>
      <c r="E1714" s="81">
        <v>0</v>
      </c>
      <c r="F1714" s="81">
        <v>0</v>
      </c>
    </row>
    <row r="1715" spans="1:6" x14ac:dyDescent="0.2">
      <c r="A1715" s="1" t="s">
        <v>179</v>
      </c>
      <c r="B1715" s="1" t="s">
        <v>2403</v>
      </c>
      <c r="C1715" s="1" t="s">
        <v>101</v>
      </c>
      <c r="D1715" s="1" t="s">
        <v>101</v>
      </c>
      <c r="E1715" s="81">
        <v>0</v>
      </c>
      <c r="F1715" s="81">
        <v>0</v>
      </c>
    </row>
    <row r="1716" spans="1:6" x14ac:dyDescent="0.2">
      <c r="A1716" s="1" t="s">
        <v>179</v>
      </c>
      <c r="B1716" s="1" t="s">
        <v>2404</v>
      </c>
      <c r="C1716" s="1" t="s">
        <v>101</v>
      </c>
      <c r="D1716" s="1" t="s">
        <v>101</v>
      </c>
      <c r="E1716" s="81">
        <v>0</v>
      </c>
      <c r="F1716" s="81">
        <v>0</v>
      </c>
    </row>
    <row r="1717" spans="1:6" x14ac:dyDescent="0.2">
      <c r="A1717" s="1" t="s">
        <v>179</v>
      </c>
      <c r="B1717" s="1" t="s">
        <v>2405</v>
      </c>
      <c r="C1717" s="1" t="s">
        <v>101</v>
      </c>
      <c r="D1717" s="1" t="s">
        <v>101</v>
      </c>
      <c r="E1717" s="81">
        <v>0</v>
      </c>
      <c r="F1717" s="81">
        <v>0</v>
      </c>
    </row>
    <row r="1718" spans="1:6" x14ac:dyDescent="0.2">
      <c r="A1718" s="1" t="s">
        <v>179</v>
      </c>
      <c r="B1718" s="1" t="s">
        <v>2406</v>
      </c>
      <c r="C1718" s="1" t="s">
        <v>101</v>
      </c>
      <c r="D1718" s="1" t="s">
        <v>101</v>
      </c>
      <c r="E1718" s="81">
        <v>0</v>
      </c>
      <c r="F1718" s="81">
        <v>0</v>
      </c>
    </row>
    <row r="1719" spans="1:6" x14ac:dyDescent="0.2">
      <c r="A1719" s="1" t="s">
        <v>179</v>
      </c>
      <c r="B1719" s="1" t="s">
        <v>2407</v>
      </c>
      <c r="C1719" s="1" t="s">
        <v>101</v>
      </c>
      <c r="D1719" s="1" t="s">
        <v>101</v>
      </c>
      <c r="E1719" s="81">
        <v>0</v>
      </c>
      <c r="F1719" s="81">
        <v>0</v>
      </c>
    </row>
    <row r="1720" spans="1:6" x14ac:dyDescent="0.2">
      <c r="A1720" s="1" t="s">
        <v>179</v>
      </c>
      <c r="B1720" s="1" t="s">
        <v>2408</v>
      </c>
      <c r="C1720" s="1" t="s">
        <v>101</v>
      </c>
      <c r="D1720" s="1" t="s">
        <v>101</v>
      </c>
      <c r="E1720" s="81">
        <v>0</v>
      </c>
      <c r="F1720" s="81">
        <v>0</v>
      </c>
    </row>
    <row r="1721" spans="1:6" x14ac:dyDescent="0.2">
      <c r="A1721" s="1" t="s">
        <v>179</v>
      </c>
      <c r="B1721" s="1" t="s">
        <v>2409</v>
      </c>
      <c r="C1721" s="1" t="s">
        <v>101</v>
      </c>
      <c r="D1721" s="1" t="s">
        <v>101</v>
      </c>
      <c r="E1721" s="81">
        <v>0</v>
      </c>
      <c r="F1721" s="81">
        <v>0</v>
      </c>
    </row>
    <row r="1722" spans="1:6" x14ac:dyDescent="0.2">
      <c r="A1722" s="1" t="s">
        <v>179</v>
      </c>
      <c r="B1722" s="1" t="s">
        <v>2410</v>
      </c>
      <c r="C1722" s="1" t="s">
        <v>101</v>
      </c>
      <c r="D1722" s="1" t="s">
        <v>101</v>
      </c>
      <c r="E1722" s="81">
        <v>0</v>
      </c>
      <c r="F1722" s="81">
        <v>0</v>
      </c>
    </row>
    <row r="1723" spans="1:6" x14ac:dyDescent="0.2">
      <c r="A1723" s="1" t="s">
        <v>179</v>
      </c>
      <c r="B1723" s="1" t="s">
        <v>2411</v>
      </c>
      <c r="C1723" s="1" t="s">
        <v>101</v>
      </c>
      <c r="D1723" s="1" t="s">
        <v>101</v>
      </c>
      <c r="E1723" s="81">
        <v>0</v>
      </c>
      <c r="F1723" s="81">
        <v>0</v>
      </c>
    </row>
    <row r="1724" spans="1:6" x14ac:dyDescent="0.2">
      <c r="A1724" s="1" t="s">
        <v>179</v>
      </c>
      <c r="B1724" s="1" t="s">
        <v>2412</v>
      </c>
      <c r="C1724" s="1" t="s">
        <v>101</v>
      </c>
      <c r="D1724" s="1" t="s">
        <v>101</v>
      </c>
      <c r="E1724" s="81">
        <v>0</v>
      </c>
      <c r="F1724" s="81">
        <v>0</v>
      </c>
    </row>
    <row r="1725" spans="1:6" x14ac:dyDescent="0.2">
      <c r="A1725" s="1" t="s">
        <v>179</v>
      </c>
      <c r="B1725" s="1" t="s">
        <v>2413</v>
      </c>
      <c r="C1725" s="1" t="s">
        <v>101</v>
      </c>
      <c r="D1725" s="1" t="s">
        <v>101</v>
      </c>
      <c r="E1725" s="81">
        <v>0</v>
      </c>
      <c r="F1725" s="81">
        <v>0</v>
      </c>
    </row>
    <row r="1726" spans="1:6" x14ac:dyDescent="0.2">
      <c r="A1726" s="1" t="s">
        <v>179</v>
      </c>
      <c r="B1726" s="1" t="s">
        <v>2414</v>
      </c>
      <c r="C1726" s="1" t="s">
        <v>101</v>
      </c>
      <c r="D1726" s="1" t="s">
        <v>101</v>
      </c>
      <c r="E1726" s="81">
        <v>0</v>
      </c>
      <c r="F1726" s="81">
        <v>0</v>
      </c>
    </row>
    <row r="1727" spans="1:6" x14ac:dyDescent="0.2">
      <c r="A1727" s="1" t="s">
        <v>179</v>
      </c>
      <c r="B1727" s="1" t="s">
        <v>2415</v>
      </c>
      <c r="C1727" s="1" t="s">
        <v>101</v>
      </c>
      <c r="D1727" s="1" t="s">
        <v>101</v>
      </c>
      <c r="E1727" s="81">
        <v>0</v>
      </c>
      <c r="F1727" s="81">
        <v>0</v>
      </c>
    </row>
    <row r="1728" spans="1:6" x14ac:dyDescent="0.2">
      <c r="A1728" s="1" t="s">
        <v>179</v>
      </c>
      <c r="B1728" s="1" t="s">
        <v>2416</v>
      </c>
      <c r="C1728" s="1" t="s">
        <v>101</v>
      </c>
      <c r="D1728" s="1" t="s">
        <v>101</v>
      </c>
      <c r="E1728" s="81">
        <v>0</v>
      </c>
      <c r="F1728" s="81">
        <v>0</v>
      </c>
    </row>
    <row r="1729" spans="1:6" x14ac:dyDescent="0.2">
      <c r="A1729" s="1" t="s">
        <v>179</v>
      </c>
      <c r="B1729" s="1" t="s">
        <v>2417</v>
      </c>
      <c r="C1729" s="1" t="s">
        <v>101</v>
      </c>
      <c r="D1729" s="1" t="s">
        <v>101</v>
      </c>
      <c r="E1729" s="81">
        <v>0</v>
      </c>
      <c r="F1729" s="81">
        <v>0</v>
      </c>
    </row>
    <row r="1730" spans="1:6" x14ac:dyDescent="0.2">
      <c r="A1730" s="1" t="s">
        <v>179</v>
      </c>
      <c r="B1730" s="1" t="s">
        <v>2418</v>
      </c>
      <c r="C1730" s="1" t="s">
        <v>101</v>
      </c>
      <c r="D1730" s="1" t="s">
        <v>101</v>
      </c>
      <c r="E1730" s="81">
        <v>0</v>
      </c>
      <c r="F1730" s="81">
        <v>0</v>
      </c>
    </row>
    <row r="1731" spans="1:6" x14ac:dyDescent="0.2">
      <c r="A1731" s="1" t="s">
        <v>179</v>
      </c>
      <c r="B1731" s="1" t="s">
        <v>2419</v>
      </c>
      <c r="C1731" s="1" t="s">
        <v>101</v>
      </c>
      <c r="D1731" s="1" t="s">
        <v>101</v>
      </c>
      <c r="E1731" s="81">
        <v>0</v>
      </c>
      <c r="F1731" s="81">
        <v>0</v>
      </c>
    </row>
    <row r="1732" spans="1:6" x14ac:dyDescent="0.2">
      <c r="A1732" s="1" t="s">
        <v>179</v>
      </c>
      <c r="B1732" s="1" t="s">
        <v>2420</v>
      </c>
      <c r="C1732" s="1" t="s">
        <v>101</v>
      </c>
      <c r="D1732" s="1" t="s">
        <v>101</v>
      </c>
      <c r="E1732" s="81">
        <v>0</v>
      </c>
      <c r="F1732" s="81">
        <v>0</v>
      </c>
    </row>
    <row r="1733" spans="1:6" x14ac:dyDescent="0.2">
      <c r="A1733" s="1" t="s">
        <v>179</v>
      </c>
      <c r="B1733" s="1" t="s">
        <v>2421</v>
      </c>
      <c r="C1733" s="1" t="s">
        <v>101</v>
      </c>
      <c r="D1733" s="1" t="s">
        <v>101</v>
      </c>
      <c r="E1733" s="81">
        <v>0</v>
      </c>
      <c r="F1733" s="81">
        <v>0</v>
      </c>
    </row>
    <row r="1734" spans="1:6" x14ac:dyDescent="0.2">
      <c r="A1734" s="1" t="s">
        <v>179</v>
      </c>
      <c r="B1734" s="1" t="s">
        <v>2422</v>
      </c>
      <c r="C1734" s="1" t="s">
        <v>101</v>
      </c>
      <c r="D1734" s="1" t="s">
        <v>101</v>
      </c>
      <c r="E1734" s="81">
        <v>0</v>
      </c>
      <c r="F1734" s="81">
        <v>0</v>
      </c>
    </row>
    <row r="1735" spans="1:6" x14ac:dyDescent="0.2">
      <c r="A1735" s="1" t="s">
        <v>179</v>
      </c>
      <c r="B1735" s="1" t="s">
        <v>2423</v>
      </c>
      <c r="C1735" s="1" t="s">
        <v>101</v>
      </c>
      <c r="D1735" s="1" t="s">
        <v>101</v>
      </c>
      <c r="E1735" s="81">
        <v>0</v>
      </c>
      <c r="F1735" s="81">
        <v>0</v>
      </c>
    </row>
    <row r="1736" spans="1:6" x14ac:dyDescent="0.2">
      <c r="A1736" s="1" t="s">
        <v>179</v>
      </c>
      <c r="B1736" s="1" t="s">
        <v>2424</v>
      </c>
      <c r="C1736" s="1" t="s">
        <v>101</v>
      </c>
      <c r="D1736" s="1" t="s">
        <v>101</v>
      </c>
      <c r="E1736" s="81">
        <v>0</v>
      </c>
      <c r="F1736" s="81">
        <v>0</v>
      </c>
    </row>
    <row r="1737" spans="1:6" x14ac:dyDescent="0.2">
      <c r="A1737" s="1" t="s">
        <v>179</v>
      </c>
      <c r="B1737" s="1" t="s">
        <v>2425</v>
      </c>
      <c r="C1737" s="1" t="s">
        <v>101</v>
      </c>
      <c r="D1737" s="1" t="s">
        <v>101</v>
      </c>
      <c r="E1737" s="81">
        <v>0</v>
      </c>
      <c r="F1737" s="81">
        <v>0</v>
      </c>
    </row>
    <row r="1738" spans="1:6" x14ac:dyDescent="0.2">
      <c r="A1738" s="1" t="s">
        <v>179</v>
      </c>
      <c r="B1738" s="1" t="s">
        <v>2426</v>
      </c>
      <c r="C1738" s="1" t="s">
        <v>101</v>
      </c>
      <c r="D1738" s="1" t="s">
        <v>101</v>
      </c>
      <c r="E1738" s="81">
        <v>0</v>
      </c>
      <c r="F1738" s="81">
        <v>0</v>
      </c>
    </row>
    <row r="1739" spans="1:6" x14ac:dyDescent="0.2">
      <c r="A1739" s="1" t="s">
        <v>179</v>
      </c>
      <c r="B1739" s="1" t="s">
        <v>2427</v>
      </c>
      <c r="C1739" s="1" t="s">
        <v>101</v>
      </c>
      <c r="D1739" s="1" t="s">
        <v>101</v>
      </c>
      <c r="E1739" s="81">
        <v>0</v>
      </c>
      <c r="F1739" s="81">
        <v>0</v>
      </c>
    </row>
    <row r="1740" spans="1:6" x14ac:dyDescent="0.2">
      <c r="A1740" s="1" t="s">
        <v>179</v>
      </c>
      <c r="B1740" s="1" t="s">
        <v>2428</v>
      </c>
      <c r="C1740" s="1" t="s">
        <v>101</v>
      </c>
      <c r="D1740" s="1" t="s">
        <v>101</v>
      </c>
      <c r="E1740" s="81">
        <v>0</v>
      </c>
      <c r="F1740" s="81">
        <v>0</v>
      </c>
    </row>
    <row r="1741" spans="1:6" x14ac:dyDescent="0.2">
      <c r="A1741" s="1" t="s">
        <v>179</v>
      </c>
      <c r="B1741" s="1" t="s">
        <v>2429</v>
      </c>
      <c r="C1741" s="1" t="s">
        <v>101</v>
      </c>
      <c r="D1741" s="1" t="s">
        <v>101</v>
      </c>
      <c r="E1741" s="81">
        <v>0</v>
      </c>
      <c r="F1741" s="81">
        <v>0</v>
      </c>
    </row>
    <row r="1742" spans="1:6" x14ac:dyDescent="0.2">
      <c r="A1742" s="1" t="s">
        <v>179</v>
      </c>
      <c r="B1742" s="1" t="s">
        <v>2430</v>
      </c>
      <c r="C1742" s="1" t="s">
        <v>101</v>
      </c>
      <c r="D1742" s="1" t="s">
        <v>101</v>
      </c>
      <c r="E1742" s="81">
        <v>0</v>
      </c>
      <c r="F1742" s="81">
        <v>0</v>
      </c>
    </row>
    <row r="1743" spans="1:6" x14ac:dyDescent="0.2">
      <c r="A1743" s="1" t="s">
        <v>179</v>
      </c>
      <c r="B1743" s="1" t="s">
        <v>2431</v>
      </c>
      <c r="C1743" s="1" t="s">
        <v>101</v>
      </c>
      <c r="D1743" s="1" t="s">
        <v>101</v>
      </c>
      <c r="E1743" s="81">
        <v>0</v>
      </c>
      <c r="F1743" s="81">
        <v>0</v>
      </c>
    </row>
    <row r="1744" spans="1:6" x14ac:dyDescent="0.2">
      <c r="A1744" s="1" t="s">
        <v>179</v>
      </c>
      <c r="B1744" s="1" t="s">
        <v>2432</v>
      </c>
      <c r="C1744" s="1" t="s">
        <v>101</v>
      </c>
      <c r="D1744" s="1" t="s">
        <v>101</v>
      </c>
      <c r="E1744" s="81">
        <v>0</v>
      </c>
      <c r="F1744" s="81">
        <v>0</v>
      </c>
    </row>
    <row r="1745" spans="1:6" x14ac:dyDescent="0.2">
      <c r="A1745" s="1" t="s">
        <v>179</v>
      </c>
      <c r="B1745" s="1" t="s">
        <v>2433</v>
      </c>
      <c r="C1745" s="1" t="s">
        <v>101</v>
      </c>
      <c r="D1745" s="1" t="s">
        <v>101</v>
      </c>
      <c r="E1745" s="81">
        <v>0</v>
      </c>
      <c r="F1745" s="81">
        <v>0</v>
      </c>
    </row>
    <row r="1746" spans="1:6" x14ac:dyDescent="0.2">
      <c r="A1746" s="1" t="s">
        <v>179</v>
      </c>
      <c r="B1746" s="1" t="s">
        <v>2434</v>
      </c>
      <c r="C1746" s="1" t="s">
        <v>101</v>
      </c>
      <c r="D1746" s="1" t="s">
        <v>101</v>
      </c>
      <c r="E1746" s="81">
        <v>0</v>
      </c>
      <c r="F1746" s="81">
        <v>0</v>
      </c>
    </row>
    <row r="1747" spans="1:6" x14ac:dyDescent="0.2">
      <c r="A1747" s="1" t="s">
        <v>179</v>
      </c>
      <c r="B1747" s="1" t="s">
        <v>2435</v>
      </c>
      <c r="C1747" s="1" t="s">
        <v>101</v>
      </c>
      <c r="D1747" s="1" t="s">
        <v>101</v>
      </c>
      <c r="E1747" s="81">
        <v>0</v>
      </c>
      <c r="F1747" s="81">
        <v>0</v>
      </c>
    </row>
    <row r="1748" spans="1:6" x14ac:dyDescent="0.2">
      <c r="A1748" s="1" t="s">
        <v>179</v>
      </c>
      <c r="B1748" s="1" t="s">
        <v>2436</v>
      </c>
      <c r="C1748" s="1" t="s">
        <v>101</v>
      </c>
      <c r="D1748" s="1" t="s">
        <v>101</v>
      </c>
      <c r="E1748" s="81">
        <v>0</v>
      </c>
      <c r="F1748" s="81">
        <v>0</v>
      </c>
    </row>
    <row r="1749" spans="1:6" x14ac:dyDescent="0.2">
      <c r="A1749" s="1" t="s">
        <v>179</v>
      </c>
      <c r="B1749" s="1" t="s">
        <v>2437</v>
      </c>
      <c r="C1749" s="1" t="s">
        <v>101</v>
      </c>
      <c r="D1749" s="1" t="s">
        <v>101</v>
      </c>
      <c r="E1749" s="81">
        <v>0</v>
      </c>
      <c r="F1749" s="81">
        <v>0</v>
      </c>
    </row>
    <row r="1750" spans="1:6" x14ac:dyDescent="0.2">
      <c r="A1750" s="1" t="s">
        <v>179</v>
      </c>
      <c r="B1750" s="1" t="s">
        <v>2438</v>
      </c>
      <c r="C1750" s="1" t="s">
        <v>101</v>
      </c>
      <c r="D1750" s="1" t="s">
        <v>101</v>
      </c>
      <c r="E1750" s="81">
        <v>0</v>
      </c>
      <c r="F1750" s="81">
        <v>0</v>
      </c>
    </row>
    <row r="1751" spans="1:6" x14ac:dyDescent="0.2">
      <c r="A1751" s="1" t="s">
        <v>179</v>
      </c>
      <c r="B1751" s="1" t="s">
        <v>2439</v>
      </c>
      <c r="C1751" s="1" t="s">
        <v>101</v>
      </c>
      <c r="D1751" s="1" t="s">
        <v>101</v>
      </c>
      <c r="E1751" s="81">
        <v>0</v>
      </c>
      <c r="F1751" s="81">
        <v>0</v>
      </c>
    </row>
    <row r="1752" spans="1:6" x14ac:dyDescent="0.2">
      <c r="A1752" s="1" t="s">
        <v>179</v>
      </c>
      <c r="B1752" s="1" t="s">
        <v>2440</v>
      </c>
      <c r="C1752" s="1" t="s">
        <v>101</v>
      </c>
      <c r="D1752" s="1" t="s">
        <v>101</v>
      </c>
      <c r="E1752" s="81">
        <v>0</v>
      </c>
      <c r="F1752" s="81">
        <v>0</v>
      </c>
    </row>
    <row r="1753" spans="1:6" x14ac:dyDescent="0.2">
      <c r="A1753" s="1" t="s">
        <v>179</v>
      </c>
      <c r="B1753" s="1" t="s">
        <v>2441</v>
      </c>
      <c r="C1753" s="1" t="s">
        <v>101</v>
      </c>
      <c r="D1753" s="1" t="s">
        <v>101</v>
      </c>
      <c r="E1753" s="81">
        <v>0</v>
      </c>
      <c r="F1753" s="81">
        <v>0</v>
      </c>
    </row>
    <row r="1754" spans="1:6" x14ac:dyDescent="0.2">
      <c r="A1754" s="1" t="s">
        <v>179</v>
      </c>
      <c r="B1754" s="1" t="s">
        <v>2442</v>
      </c>
      <c r="C1754" s="1" t="s">
        <v>101</v>
      </c>
      <c r="D1754" s="1" t="s">
        <v>101</v>
      </c>
      <c r="E1754" s="81">
        <v>0</v>
      </c>
      <c r="F1754" s="81">
        <v>0</v>
      </c>
    </row>
    <row r="1755" spans="1:6" x14ac:dyDescent="0.2">
      <c r="A1755" s="1" t="s">
        <v>179</v>
      </c>
      <c r="B1755" s="1" t="s">
        <v>2443</v>
      </c>
      <c r="C1755" s="1" t="s">
        <v>101</v>
      </c>
      <c r="D1755" s="1" t="s">
        <v>101</v>
      </c>
      <c r="E1755" s="81">
        <v>0</v>
      </c>
      <c r="F1755" s="81">
        <v>0</v>
      </c>
    </row>
    <row r="1756" spans="1:6" x14ac:dyDescent="0.2">
      <c r="A1756" s="1" t="s">
        <v>179</v>
      </c>
      <c r="B1756" s="1" t="s">
        <v>2444</v>
      </c>
      <c r="C1756" s="1" t="s">
        <v>101</v>
      </c>
      <c r="D1756" s="1" t="s">
        <v>101</v>
      </c>
      <c r="E1756" s="81">
        <v>0</v>
      </c>
      <c r="F1756" s="81">
        <v>0</v>
      </c>
    </row>
    <row r="1757" spans="1:6" x14ac:dyDescent="0.2">
      <c r="A1757" s="1" t="s">
        <v>179</v>
      </c>
      <c r="B1757" s="1" t="s">
        <v>2445</v>
      </c>
      <c r="C1757" s="1" t="s">
        <v>101</v>
      </c>
      <c r="D1757" s="1" t="s">
        <v>101</v>
      </c>
      <c r="E1757" s="81">
        <v>0</v>
      </c>
      <c r="F1757" s="81">
        <v>0</v>
      </c>
    </row>
    <row r="1758" spans="1:6" x14ac:dyDescent="0.2">
      <c r="A1758" s="1" t="s">
        <v>179</v>
      </c>
      <c r="B1758" s="1" t="s">
        <v>2446</v>
      </c>
      <c r="C1758" s="1" t="s">
        <v>101</v>
      </c>
      <c r="D1758" s="1" t="s">
        <v>101</v>
      </c>
      <c r="E1758" s="81">
        <v>0</v>
      </c>
      <c r="F1758" s="81">
        <v>0</v>
      </c>
    </row>
    <row r="1759" spans="1:6" x14ac:dyDescent="0.2">
      <c r="A1759" s="1" t="s">
        <v>179</v>
      </c>
      <c r="B1759" s="1" t="s">
        <v>2447</v>
      </c>
      <c r="C1759" s="1" t="s">
        <v>101</v>
      </c>
      <c r="D1759" s="1" t="s">
        <v>101</v>
      </c>
      <c r="E1759" s="81">
        <v>0</v>
      </c>
      <c r="F1759" s="81">
        <v>0</v>
      </c>
    </row>
    <row r="1760" spans="1:6" x14ac:dyDescent="0.2">
      <c r="A1760" s="1" t="s">
        <v>179</v>
      </c>
      <c r="B1760" s="1" t="s">
        <v>2448</v>
      </c>
      <c r="C1760" s="1" t="s">
        <v>101</v>
      </c>
      <c r="D1760" s="1" t="s">
        <v>101</v>
      </c>
      <c r="E1760" s="81">
        <v>0</v>
      </c>
      <c r="F1760" s="81">
        <v>0</v>
      </c>
    </row>
    <row r="1761" spans="1:6" x14ac:dyDescent="0.2">
      <c r="A1761" s="1" t="s">
        <v>179</v>
      </c>
      <c r="B1761" s="1" t="s">
        <v>2449</v>
      </c>
      <c r="C1761" s="1" t="s">
        <v>101</v>
      </c>
      <c r="D1761" s="1" t="s">
        <v>101</v>
      </c>
      <c r="E1761" s="81">
        <v>0</v>
      </c>
      <c r="F1761" s="81">
        <v>0</v>
      </c>
    </row>
    <row r="1762" spans="1:6" x14ac:dyDescent="0.2">
      <c r="A1762" s="1" t="s">
        <v>179</v>
      </c>
      <c r="B1762" s="1" t="s">
        <v>2450</v>
      </c>
      <c r="C1762" s="1" t="s">
        <v>101</v>
      </c>
      <c r="D1762" s="1" t="s">
        <v>101</v>
      </c>
      <c r="E1762" s="81">
        <v>0</v>
      </c>
      <c r="F1762" s="81">
        <v>0</v>
      </c>
    </row>
    <row r="1763" spans="1:6" x14ac:dyDescent="0.2">
      <c r="A1763" s="1" t="s">
        <v>179</v>
      </c>
      <c r="B1763" s="1" t="s">
        <v>2451</v>
      </c>
      <c r="C1763" s="1" t="s">
        <v>101</v>
      </c>
      <c r="D1763" s="1" t="s">
        <v>101</v>
      </c>
      <c r="E1763" s="81">
        <v>0</v>
      </c>
      <c r="F1763" s="81">
        <v>0</v>
      </c>
    </row>
    <row r="1764" spans="1:6" x14ac:dyDescent="0.2">
      <c r="A1764" s="1" t="s">
        <v>179</v>
      </c>
      <c r="B1764" s="1" t="s">
        <v>2452</v>
      </c>
      <c r="C1764" s="1" t="s">
        <v>101</v>
      </c>
      <c r="D1764" s="1" t="s">
        <v>101</v>
      </c>
      <c r="E1764" s="81">
        <v>0</v>
      </c>
      <c r="F1764" s="81">
        <v>0</v>
      </c>
    </row>
    <row r="1765" spans="1:6" x14ac:dyDescent="0.2">
      <c r="A1765" s="1" t="s">
        <v>179</v>
      </c>
      <c r="B1765" s="1" t="s">
        <v>2453</v>
      </c>
      <c r="C1765" s="1" t="s">
        <v>101</v>
      </c>
      <c r="D1765" s="1" t="s">
        <v>101</v>
      </c>
      <c r="E1765" s="81">
        <v>0</v>
      </c>
      <c r="F1765" s="81">
        <v>0</v>
      </c>
    </row>
    <row r="1766" spans="1:6" x14ac:dyDescent="0.2">
      <c r="A1766" s="1" t="s">
        <v>179</v>
      </c>
      <c r="B1766" s="1" t="s">
        <v>2454</v>
      </c>
      <c r="C1766" s="1" t="s">
        <v>101</v>
      </c>
      <c r="D1766" s="1" t="s">
        <v>101</v>
      </c>
      <c r="E1766" s="81">
        <v>0</v>
      </c>
      <c r="F1766" s="81">
        <v>0</v>
      </c>
    </row>
    <row r="1767" spans="1:6" x14ac:dyDescent="0.2">
      <c r="A1767" s="1" t="s">
        <v>179</v>
      </c>
      <c r="B1767" s="1" t="s">
        <v>2455</v>
      </c>
      <c r="C1767" s="1" t="s">
        <v>101</v>
      </c>
      <c r="D1767" s="1" t="s">
        <v>101</v>
      </c>
      <c r="E1767" s="81">
        <v>0</v>
      </c>
      <c r="F1767" s="81">
        <v>0</v>
      </c>
    </row>
    <row r="1768" spans="1:6" x14ac:dyDescent="0.2">
      <c r="A1768" s="1" t="s">
        <v>179</v>
      </c>
      <c r="B1768" s="1" t="s">
        <v>2456</v>
      </c>
      <c r="C1768" s="1" t="s">
        <v>101</v>
      </c>
      <c r="D1768" s="1" t="s">
        <v>101</v>
      </c>
      <c r="E1768" s="81">
        <v>0</v>
      </c>
      <c r="F1768" s="81">
        <v>0</v>
      </c>
    </row>
    <row r="1769" spans="1:6" x14ac:dyDescent="0.2">
      <c r="A1769" s="1" t="s">
        <v>179</v>
      </c>
      <c r="B1769" s="1" t="s">
        <v>2457</v>
      </c>
      <c r="C1769" s="1" t="s">
        <v>101</v>
      </c>
      <c r="D1769" s="1" t="s">
        <v>101</v>
      </c>
      <c r="E1769" s="81">
        <v>0</v>
      </c>
      <c r="F1769" s="81">
        <v>0</v>
      </c>
    </row>
    <row r="1770" spans="1:6" x14ac:dyDescent="0.2">
      <c r="A1770" s="1" t="s">
        <v>179</v>
      </c>
      <c r="B1770" s="1" t="s">
        <v>2458</v>
      </c>
      <c r="C1770" s="1" t="s">
        <v>101</v>
      </c>
      <c r="D1770" s="1" t="s">
        <v>101</v>
      </c>
      <c r="E1770" s="81">
        <v>0</v>
      </c>
      <c r="F1770" s="81">
        <v>0</v>
      </c>
    </row>
    <row r="1771" spans="1:6" x14ac:dyDescent="0.2">
      <c r="A1771" s="1" t="s">
        <v>179</v>
      </c>
      <c r="B1771" s="1" t="s">
        <v>2459</v>
      </c>
      <c r="C1771" s="1" t="s">
        <v>101</v>
      </c>
      <c r="D1771" s="1" t="s">
        <v>101</v>
      </c>
      <c r="E1771" s="81">
        <v>0</v>
      </c>
      <c r="F1771" s="81">
        <v>0</v>
      </c>
    </row>
    <row r="1772" spans="1:6" x14ac:dyDescent="0.2">
      <c r="A1772" s="1" t="s">
        <v>179</v>
      </c>
      <c r="B1772" s="1" t="s">
        <v>2460</v>
      </c>
      <c r="C1772" s="1" t="s">
        <v>101</v>
      </c>
      <c r="D1772" s="1" t="s">
        <v>101</v>
      </c>
      <c r="E1772" s="81">
        <v>0</v>
      </c>
      <c r="F1772" s="81">
        <v>0</v>
      </c>
    </row>
    <row r="1773" spans="1:6" x14ac:dyDescent="0.2">
      <c r="A1773" s="1" t="s">
        <v>179</v>
      </c>
      <c r="B1773" s="1" t="s">
        <v>2461</v>
      </c>
      <c r="C1773" s="1" t="s">
        <v>4040</v>
      </c>
      <c r="D1773" s="1" t="s">
        <v>4040</v>
      </c>
      <c r="E1773" s="81">
        <v>3067.51</v>
      </c>
      <c r="F1773" s="81">
        <v>3067.51</v>
      </c>
    </row>
    <row r="1774" spans="1:6" x14ac:dyDescent="0.2">
      <c r="A1774" s="1" t="s">
        <v>179</v>
      </c>
      <c r="B1774" s="1" t="s">
        <v>2462</v>
      </c>
      <c r="C1774" s="1" t="s">
        <v>4041</v>
      </c>
      <c r="D1774" s="1" t="s">
        <v>4041</v>
      </c>
      <c r="E1774" s="81">
        <v>2911.61</v>
      </c>
      <c r="F1774" s="81">
        <v>2911.61</v>
      </c>
    </row>
    <row r="1775" spans="1:6" x14ac:dyDescent="0.2">
      <c r="A1775" s="1" t="s">
        <v>179</v>
      </c>
      <c r="B1775" s="1" t="s">
        <v>2463</v>
      </c>
      <c r="C1775" s="1" t="s">
        <v>4042</v>
      </c>
      <c r="D1775" s="1" t="s">
        <v>4042</v>
      </c>
      <c r="E1775" s="81">
        <v>2986.07</v>
      </c>
      <c r="F1775" s="81">
        <v>2986.07</v>
      </c>
    </row>
    <row r="1776" spans="1:6" x14ac:dyDescent="0.2">
      <c r="A1776" s="1" t="s">
        <v>179</v>
      </c>
      <c r="B1776" s="1" t="s">
        <v>2464</v>
      </c>
      <c r="C1776" s="1" t="s">
        <v>101</v>
      </c>
      <c r="D1776" s="1" t="s">
        <v>101</v>
      </c>
      <c r="E1776" s="81">
        <v>0</v>
      </c>
      <c r="F1776" s="81">
        <v>0</v>
      </c>
    </row>
    <row r="1777" spans="1:6" x14ac:dyDescent="0.2">
      <c r="A1777" s="1" t="s">
        <v>179</v>
      </c>
      <c r="B1777" s="1" t="s">
        <v>2465</v>
      </c>
      <c r="C1777" s="1" t="s">
        <v>101</v>
      </c>
      <c r="D1777" s="1" t="s">
        <v>101</v>
      </c>
      <c r="E1777" s="81">
        <v>0</v>
      </c>
      <c r="F1777" s="81">
        <v>0</v>
      </c>
    </row>
    <row r="1778" spans="1:6" x14ac:dyDescent="0.2">
      <c r="A1778" s="1" t="s">
        <v>179</v>
      </c>
      <c r="B1778" s="1" t="s">
        <v>2466</v>
      </c>
      <c r="C1778" s="1" t="s">
        <v>101</v>
      </c>
      <c r="D1778" s="1" t="s">
        <v>101</v>
      </c>
      <c r="E1778" s="81">
        <v>0</v>
      </c>
      <c r="F1778" s="81">
        <v>0</v>
      </c>
    </row>
    <row r="1779" spans="1:6" x14ac:dyDescent="0.2">
      <c r="A1779" s="1" t="s">
        <v>179</v>
      </c>
      <c r="B1779" s="1" t="s">
        <v>2467</v>
      </c>
      <c r="C1779" s="1" t="s">
        <v>101</v>
      </c>
      <c r="D1779" s="1" t="s">
        <v>101</v>
      </c>
      <c r="E1779" s="81">
        <v>0</v>
      </c>
      <c r="F1779" s="81">
        <v>0</v>
      </c>
    </row>
    <row r="1780" spans="1:6" x14ac:dyDescent="0.2">
      <c r="A1780" s="1" t="s">
        <v>179</v>
      </c>
      <c r="B1780" s="1" t="s">
        <v>2468</v>
      </c>
      <c r="C1780" s="1" t="s">
        <v>101</v>
      </c>
      <c r="D1780" s="1" t="s">
        <v>101</v>
      </c>
      <c r="E1780" s="81">
        <v>0</v>
      </c>
      <c r="F1780" s="81">
        <v>0</v>
      </c>
    </row>
    <row r="1781" spans="1:6" x14ac:dyDescent="0.2">
      <c r="A1781" s="1" t="s">
        <v>179</v>
      </c>
      <c r="B1781" s="1" t="s">
        <v>2469</v>
      </c>
      <c r="C1781" s="1" t="s">
        <v>101</v>
      </c>
      <c r="D1781" s="1" t="s">
        <v>101</v>
      </c>
      <c r="E1781" s="81">
        <v>0</v>
      </c>
      <c r="F1781" s="81">
        <v>0</v>
      </c>
    </row>
    <row r="1782" spans="1:6" x14ac:dyDescent="0.2">
      <c r="A1782" s="1" t="s">
        <v>179</v>
      </c>
      <c r="B1782" s="1" t="s">
        <v>2470</v>
      </c>
      <c r="C1782" s="1" t="s">
        <v>101</v>
      </c>
      <c r="D1782" s="1" t="s">
        <v>101</v>
      </c>
      <c r="E1782" s="81">
        <v>0</v>
      </c>
      <c r="F1782" s="81">
        <v>0</v>
      </c>
    </row>
    <row r="1783" spans="1:6" x14ac:dyDescent="0.2">
      <c r="A1783" s="1" t="s">
        <v>179</v>
      </c>
      <c r="B1783" s="1" t="s">
        <v>2471</v>
      </c>
      <c r="C1783" s="1" t="s">
        <v>101</v>
      </c>
      <c r="D1783" s="1" t="s">
        <v>101</v>
      </c>
      <c r="E1783" s="81">
        <v>0</v>
      </c>
      <c r="F1783" s="81">
        <v>0</v>
      </c>
    </row>
    <row r="1784" spans="1:6" x14ac:dyDescent="0.2">
      <c r="A1784" s="1" t="s">
        <v>179</v>
      </c>
      <c r="B1784" s="1" t="s">
        <v>2472</v>
      </c>
      <c r="C1784" s="1" t="s">
        <v>101</v>
      </c>
      <c r="D1784" s="1" t="s">
        <v>101</v>
      </c>
      <c r="E1784" s="81">
        <v>0</v>
      </c>
      <c r="F1784" s="81">
        <v>0</v>
      </c>
    </row>
    <row r="1785" spans="1:6" x14ac:dyDescent="0.2">
      <c r="A1785" s="1" t="s">
        <v>179</v>
      </c>
      <c r="B1785" s="1" t="s">
        <v>2473</v>
      </c>
      <c r="C1785" s="1" t="s">
        <v>4043</v>
      </c>
      <c r="D1785" s="1" t="s">
        <v>4043</v>
      </c>
      <c r="E1785" s="81">
        <v>8965.19</v>
      </c>
      <c r="F1785" s="81">
        <v>8965.19</v>
      </c>
    </row>
    <row r="1786" spans="1:6" x14ac:dyDescent="0.2">
      <c r="A1786" s="1" t="s">
        <v>179</v>
      </c>
      <c r="B1786" s="1" t="s">
        <v>2474</v>
      </c>
      <c r="C1786" s="1" t="s">
        <v>4044</v>
      </c>
      <c r="D1786" s="1" t="s">
        <v>4044</v>
      </c>
      <c r="E1786" s="81">
        <v>2436.2199999999998</v>
      </c>
      <c r="F1786" s="81">
        <v>2436.2199999999998</v>
      </c>
    </row>
    <row r="1787" spans="1:6" x14ac:dyDescent="0.2">
      <c r="A1787" s="1" t="s">
        <v>179</v>
      </c>
      <c r="B1787" s="1" t="s">
        <v>2475</v>
      </c>
      <c r="C1787" s="1" t="s">
        <v>4045</v>
      </c>
      <c r="D1787" s="1" t="s">
        <v>4045</v>
      </c>
      <c r="E1787" s="81">
        <v>2214.0500000000002</v>
      </c>
      <c r="F1787" s="81">
        <v>2214.0500000000002</v>
      </c>
    </row>
    <row r="1788" spans="1:6" x14ac:dyDescent="0.2">
      <c r="A1788" s="1" t="s">
        <v>179</v>
      </c>
      <c r="B1788" s="1" t="s">
        <v>2476</v>
      </c>
      <c r="C1788" s="1" t="s">
        <v>4046</v>
      </c>
      <c r="D1788" s="1" t="s">
        <v>4046</v>
      </c>
      <c r="E1788" s="81">
        <v>2351.5100000000002</v>
      </c>
      <c r="F1788" s="81">
        <v>2351.5100000000002</v>
      </c>
    </row>
    <row r="1789" spans="1:6" x14ac:dyDescent="0.2">
      <c r="A1789" s="1" t="s">
        <v>179</v>
      </c>
      <c r="B1789" s="1" t="s">
        <v>2477</v>
      </c>
      <c r="C1789" s="1" t="s">
        <v>101</v>
      </c>
      <c r="D1789" s="1" t="s">
        <v>101</v>
      </c>
      <c r="E1789" s="81">
        <v>0</v>
      </c>
      <c r="F1789" s="81">
        <v>0</v>
      </c>
    </row>
    <row r="1790" spans="1:6" x14ac:dyDescent="0.2">
      <c r="A1790" s="1" t="s">
        <v>179</v>
      </c>
      <c r="B1790" s="1" t="s">
        <v>2478</v>
      </c>
      <c r="C1790" s="1" t="s">
        <v>101</v>
      </c>
      <c r="D1790" s="1" t="s">
        <v>101</v>
      </c>
      <c r="E1790" s="81">
        <v>0</v>
      </c>
      <c r="F1790" s="81">
        <v>0</v>
      </c>
    </row>
    <row r="1791" spans="1:6" x14ac:dyDescent="0.2">
      <c r="A1791" s="1" t="s">
        <v>179</v>
      </c>
      <c r="B1791" s="1" t="s">
        <v>2479</v>
      </c>
      <c r="C1791" s="1" t="s">
        <v>101</v>
      </c>
      <c r="D1791" s="1" t="s">
        <v>101</v>
      </c>
      <c r="E1791" s="81">
        <v>0</v>
      </c>
      <c r="F1791" s="81">
        <v>0</v>
      </c>
    </row>
    <row r="1792" spans="1:6" x14ac:dyDescent="0.2">
      <c r="A1792" s="1" t="s">
        <v>179</v>
      </c>
      <c r="B1792" s="1" t="s">
        <v>2480</v>
      </c>
      <c r="C1792" s="1" t="s">
        <v>101</v>
      </c>
      <c r="D1792" s="1" t="s">
        <v>101</v>
      </c>
      <c r="E1792" s="81">
        <v>0</v>
      </c>
      <c r="F1792" s="81">
        <v>0</v>
      </c>
    </row>
    <row r="1793" spans="1:6" x14ac:dyDescent="0.2">
      <c r="A1793" s="1" t="s">
        <v>179</v>
      </c>
      <c r="B1793" s="1" t="s">
        <v>2481</v>
      </c>
      <c r="C1793" s="1" t="s">
        <v>101</v>
      </c>
      <c r="D1793" s="1" t="s">
        <v>101</v>
      </c>
      <c r="E1793" s="81">
        <v>0</v>
      </c>
      <c r="F1793" s="81">
        <v>0</v>
      </c>
    </row>
    <row r="1794" spans="1:6" x14ac:dyDescent="0.2">
      <c r="A1794" s="1" t="s">
        <v>179</v>
      </c>
      <c r="B1794" s="1" t="s">
        <v>2482</v>
      </c>
      <c r="C1794" s="1" t="s">
        <v>101</v>
      </c>
      <c r="D1794" s="1" t="s">
        <v>101</v>
      </c>
      <c r="E1794" s="81">
        <v>0</v>
      </c>
      <c r="F1794" s="81">
        <v>0</v>
      </c>
    </row>
    <row r="1795" spans="1:6" x14ac:dyDescent="0.2">
      <c r="A1795" s="1" t="s">
        <v>179</v>
      </c>
      <c r="B1795" s="1" t="s">
        <v>2483</v>
      </c>
      <c r="C1795" s="1" t="s">
        <v>101</v>
      </c>
      <c r="D1795" s="1" t="s">
        <v>101</v>
      </c>
      <c r="E1795" s="81">
        <v>0</v>
      </c>
      <c r="F1795" s="81">
        <v>0</v>
      </c>
    </row>
    <row r="1796" spans="1:6" x14ac:dyDescent="0.2">
      <c r="A1796" s="1" t="s">
        <v>179</v>
      </c>
      <c r="B1796" s="1" t="s">
        <v>2484</v>
      </c>
      <c r="C1796" s="1" t="s">
        <v>101</v>
      </c>
      <c r="D1796" s="1" t="s">
        <v>101</v>
      </c>
      <c r="E1796" s="81">
        <v>0</v>
      </c>
      <c r="F1796" s="81">
        <v>0</v>
      </c>
    </row>
    <row r="1797" spans="1:6" x14ac:dyDescent="0.2">
      <c r="A1797" s="1" t="s">
        <v>179</v>
      </c>
      <c r="B1797" s="1" t="s">
        <v>2485</v>
      </c>
      <c r="C1797" s="1" t="s">
        <v>101</v>
      </c>
      <c r="D1797" s="1" t="s">
        <v>101</v>
      </c>
      <c r="E1797" s="81">
        <v>0</v>
      </c>
      <c r="F1797" s="81">
        <v>0</v>
      </c>
    </row>
    <row r="1798" spans="1:6" x14ac:dyDescent="0.2">
      <c r="A1798" s="1" t="s">
        <v>179</v>
      </c>
      <c r="B1798" s="1" t="s">
        <v>2486</v>
      </c>
      <c r="C1798" s="1" t="s">
        <v>4047</v>
      </c>
      <c r="D1798" s="1" t="s">
        <v>4047</v>
      </c>
      <c r="E1798" s="81">
        <v>635.99</v>
      </c>
      <c r="F1798" s="81">
        <v>635.99</v>
      </c>
    </row>
    <row r="1799" spans="1:6" x14ac:dyDescent="0.2">
      <c r="A1799" s="1" t="s">
        <v>179</v>
      </c>
      <c r="B1799" s="1" t="s">
        <v>2487</v>
      </c>
      <c r="C1799" s="1" t="s">
        <v>4048</v>
      </c>
      <c r="D1799" s="1" t="s">
        <v>4048</v>
      </c>
      <c r="E1799" s="81">
        <v>702.56</v>
      </c>
      <c r="F1799" s="81">
        <v>702.56</v>
      </c>
    </row>
    <row r="1800" spans="1:6" x14ac:dyDescent="0.2">
      <c r="A1800" s="1" t="s">
        <v>179</v>
      </c>
      <c r="B1800" s="1" t="s">
        <v>2488</v>
      </c>
      <c r="C1800" s="1" t="s">
        <v>4049</v>
      </c>
      <c r="D1800" s="1" t="s">
        <v>4049</v>
      </c>
      <c r="E1800" s="81">
        <v>639.29999999999995</v>
      </c>
      <c r="F1800" s="81">
        <v>639.29999999999995</v>
      </c>
    </row>
    <row r="1801" spans="1:6" x14ac:dyDescent="0.2">
      <c r="A1801" s="1" t="s">
        <v>179</v>
      </c>
      <c r="B1801" s="1" t="s">
        <v>2489</v>
      </c>
      <c r="C1801" s="1" t="s">
        <v>101</v>
      </c>
      <c r="D1801" s="1" t="s">
        <v>101</v>
      </c>
      <c r="E1801" s="81">
        <v>0</v>
      </c>
      <c r="F1801" s="81">
        <v>0</v>
      </c>
    </row>
    <row r="1802" spans="1:6" x14ac:dyDescent="0.2">
      <c r="A1802" s="1" t="s">
        <v>179</v>
      </c>
      <c r="B1802" s="1" t="s">
        <v>2490</v>
      </c>
      <c r="C1802" s="1" t="s">
        <v>101</v>
      </c>
      <c r="D1802" s="1" t="s">
        <v>101</v>
      </c>
      <c r="E1802" s="81">
        <v>0</v>
      </c>
      <c r="F1802" s="81">
        <v>0</v>
      </c>
    </row>
    <row r="1803" spans="1:6" x14ac:dyDescent="0.2">
      <c r="A1803" s="1" t="s">
        <v>179</v>
      </c>
      <c r="B1803" s="1" t="s">
        <v>2491</v>
      </c>
      <c r="C1803" s="1" t="s">
        <v>101</v>
      </c>
      <c r="D1803" s="1" t="s">
        <v>101</v>
      </c>
      <c r="E1803" s="81">
        <v>0</v>
      </c>
      <c r="F1803" s="81">
        <v>0</v>
      </c>
    </row>
    <row r="1804" spans="1:6" x14ac:dyDescent="0.2">
      <c r="A1804" s="1" t="s">
        <v>179</v>
      </c>
      <c r="B1804" s="1" t="s">
        <v>2492</v>
      </c>
      <c r="C1804" s="1" t="s">
        <v>101</v>
      </c>
      <c r="D1804" s="1" t="s">
        <v>101</v>
      </c>
      <c r="E1804" s="81">
        <v>0</v>
      </c>
      <c r="F1804" s="81">
        <v>0</v>
      </c>
    </row>
    <row r="1805" spans="1:6" x14ac:dyDescent="0.2">
      <c r="A1805" s="1" t="s">
        <v>179</v>
      </c>
      <c r="B1805" s="1" t="s">
        <v>2493</v>
      </c>
      <c r="C1805" s="1" t="s">
        <v>101</v>
      </c>
      <c r="D1805" s="1" t="s">
        <v>101</v>
      </c>
      <c r="E1805" s="81">
        <v>0</v>
      </c>
      <c r="F1805" s="81">
        <v>0</v>
      </c>
    </row>
    <row r="1806" spans="1:6" x14ac:dyDescent="0.2">
      <c r="A1806" s="1" t="s">
        <v>179</v>
      </c>
      <c r="B1806" s="1" t="s">
        <v>2494</v>
      </c>
      <c r="C1806" s="1" t="s">
        <v>101</v>
      </c>
      <c r="D1806" s="1" t="s">
        <v>101</v>
      </c>
      <c r="E1806" s="81">
        <v>0</v>
      </c>
      <c r="F1806" s="81">
        <v>0</v>
      </c>
    </row>
    <row r="1807" spans="1:6" x14ac:dyDescent="0.2">
      <c r="A1807" s="1" t="s">
        <v>179</v>
      </c>
      <c r="B1807" s="1" t="s">
        <v>2495</v>
      </c>
      <c r="C1807" s="1" t="s">
        <v>101</v>
      </c>
      <c r="D1807" s="1" t="s">
        <v>101</v>
      </c>
      <c r="E1807" s="81">
        <v>0</v>
      </c>
      <c r="F1807" s="81">
        <v>0</v>
      </c>
    </row>
    <row r="1808" spans="1:6" x14ac:dyDescent="0.2">
      <c r="A1808" s="1" t="s">
        <v>179</v>
      </c>
      <c r="B1808" s="1" t="s">
        <v>2496</v>
      </c>
      <c r="C1808" s="1" t="s">
        <v>101</v>
      </c>
      <c r="D1808" s="1" t="s">
        <v>101</v>
      </c>
      <c r="E1808" s="81">
        <v>0</v>
      </c>
      <c r="F1808" s="81">
        <v>0</v>
      </c>
    </row>
    <row r="1809" spans="1:6" x14ac:dyDescent="0.2">
      <c r="A1809" s="1" t="s">
        <v>179</v>
      </c>
      <c r="B1809" s="1" t="s">
        <v>2497</v>
      </c>
      <c r="C1809" s="1" t="s">
        <v>101</v>
      </c>
      <c r="D1809" s="1" t="s">
        <v>101</v>
      </c>
      <c r="E1809" s="81">
        <v>0</v>
      </c>
      <c r="F1809" s="81">
        <v>0</v>
      </c>
    </row>
    <row r="1810" spans="1:6" x14ac:dyDescent="0.2">
      <c r="A1810" s="1" t="s">
        <v>179</v>
      </c>
      <c r="B1810" s="1" t="s">
        <v>2498</v>
      </c>
      <c r="C1810" s="1" t="s">
        <v>101</v>
      </c>
      <c r="D1810" s="1" t="s">
        <v>101</v>
      </c>
      <c r="E1810" s="81">
        <v>0</v>
      </c>
      <c r="F1810" s="81">
        <v>0</v>
      </c>
    </row>
    <row r="1811" spans="1:6" x14ac:dyDescent="0.2">
      <c r="A1811" s="1" t="s">
        <v>179</v>
      </c>
      <c r="B1811" s="1" t="s">
        <v>2499</v>
      </c>
      <c r="C1811" s="1" t="s">
        <v>101</v>
      </c>
      <c r="D1811" s="1" t="s">
        <v>101</v>
      </c>
      <c r="E1811" s="81">
        <v>0</v>
      </c>
      <c r="F1811" s="81">
        <v>0</v>
      </c>
    </row>
    <row r="1812" spans="1:6" x14ac:dyDescent="0.2">
      <c r="A1812" s="1" t="s">
        <v>179</v>
      </c>
      <c r="B1812" s="1" t="s">
        <v>2500</v>
      </c>
      <c r="C1812" s="1" t="s">
        <v>101</v>
      </c>
      <c r="D1812" s="1" t="s">
        <v>101</v>
      </c>
      <c r="E1812" s="81">
        <v>0</v>
      </c>
      <c r="F1812" s="81">
        <v>0</v>
      </c>
    </row>
    <row r="1813" spans="1:6" x14ac:dyDescent="0.2">
      <c r="A1813" s="1" t="s">
        <v>179</v>
      </c>
      <c r="B1813" s="1" t="s">
        <v>2501</v>
      </c>
      <c r="C1813" s="1" t="s">
        <v>101</v>
      </c>
      <c r="D1813" s="1" t="s">
        <v>101</v>
      </c>
      <c r="E1813" s="81">
        <v>0</v>
      </c>
      <c r="F1813" s="81">
        <v>0</v>
      </c>
    </row>
    <row r="1814" spans="1:6" x14ac:dyDescent="0.2">
      <c r="A1814" s="1" t="s">
        <v>179</v>
      </c>
      <c r="B1814" s="1" t="s">
        <v>2502</v>
      </c>
      <c r="C1814" s="1" t="s">
        <v>101</v>
      </c>
      <c r="D1814" s="1" t="s">
        <v>101</v>
      </c>
      <c r="E1814" s="81">
        <v>0</v>
      </c>
      <c r="F1814" s="81">
        <v>0</v>
      </c>
    </row>
    <row r="1815" spans="1:6" x14ac:dyDescent="0.2">
      <c r="A1815" s="1" t="s">
        <v>179</v>
      </c>
      <c r="B1815" s="1" t="s">
        <v>2503</v>
      </c>
      <c r="C1815" s="1" t="s">
        <v>101</v>
      </c>
      <c r="D1815" s="1" t="s">
        <v>101</v>
      </c>
      <c r="E1815" s="81">
        <v>0</v>
      </c>
      <c r="F1815" s="81">
        <v>0</v>
      </c>
    </row>
    <row r="1816" spans="1:6" x14ac:dyDescent="0.2">
      <c r="A1816" s="1" t="s">
        <v>179</v>
      </c>
      <c r="B1816" s="1" t="s">
        <v>2504</v>
      </c>
      <c r="C1816" s="1" t="s">
        <v>101</v>
      </c>
      <c r="D1816" s="1" t="s">
        <v>101</v>
      </c>
      <c r="E1816" s="81">
        <v>0</v>
      </c>
      <c r="F1816" s="81">
        <v>0</v>
      </c>
    </row>
    <row r="1817" spans="1:6" x14ac:dyDescent="0.2">
      <c r="A1817" s="1" t="s">
        <v>179</v>
      </c>
      <c r="B1817" s="1" t="s">
        <v>2505</v>
      </c>
      <c r="C1817" s="1" t="s">
        <v>101</v>
      </c>
      <c r="D1817" s="1" t="s">
        <v>101</v>
      </c>
      <c r="E1817" s="81">
        <v>0</v>
      </c>
      <c r="F1817" s="81">
        <v>0</v>
      </c>
    </row>
    <row r="1818" spans="1:6" x14ac:dyDescent="0.2">
      <c r="A1818" s="1" t="s">
        <v>179</v>
      </c>
      <c r="B1818" s="1" t="s">
        <v>2506</v>
      </c>
      <c r="C1818" s="1" t="s">
        <v>101</v>
      </c>
      <c r="D1818" s="1" t="s">
        <v>101</v>
      </c>
      <c r="E1818" s="81">
        <v>0</v>
      </c>
      <c r="F1818" s="81">
        <v>0</v>
      </c>
    </row>
    <row r="1819" spans="1:6" x14ac:dyDescent="0.2">
      <c r="A1819" s="1" t="s">
        <v>179</v>
      </c>
      <c r="B1819" s="1" t="s">
        <v>2507</v>
      </c>
      <c r="C1819" s="1" t="s">
        <v>101</v>
      </c>
      <c r="D1819" s="1" t="s">
        <v>101</v>
      </c>
      <c r="E1819" s="81">
        <v>0</v>
      </c>
      <c r="F1819" s="81">
        <v>0</v>
      </c>
    </row>
    <row r="1820" spans="1:6" x14ac:dyDescent="0.2">
      <c r="A1820" s="1" t="s">
        <v>179</v>
      </c>
      <c r="B1820" s="1" t="s">
        <v>2508</v>
      </c>
      <c r="C1820" s="1" t="s">
        <v>101</v>
      </c>
      <c r="D1820" s="1" t="s">
        <v>101</v>
      </c>
      <c r="E1820" s="81">
        <v>0</v>
      </c>
      <c r="F1820" s="81">
        <v>0</v>
      </c>
    </row>
    <row r="1821" spans="1:6" x14ac:dyDescent="0.2">
      <c r="A1821" s="1" t="s">
        <v>179</v>
      </c>
      <c r="B1821" s="1" t="s">
        <v>2509</v>
      </c>
      <c r="C1821" s="1" t="s">
        <v>101</v>
      </c>
      <c r="D1821" s="1" t="s">
        <v>101</v>
      </c>
      <c r="E1821" s="81">
        <v>0</v>
      </c>
      <c r="F1821" s="81">
        <v>0</v>
      </c>
    </row>
    <row r="1822" spans="1:6" x14ac:dyDescent="0.2">
      <c r="A1822" s="1" t="s">
        <v>179</v>
      </c>
      <c r="B1822" s="1" t="s">
        <v>2510</v>
      </c>
      <c r="C1822" s="1" t="s">
        <v>4040</v>
      </c>
      <c r="D1822" s="1" t="s">
        <v>4040</v>
      </c>
      <c r="E1822" s="81">
        <v>3067.51</v>
      </c>
      <c r="F1822" s="81">
        <v>3067.51</v>
      </c>
    </row>
    <row r="1823" spans="1:6" x14ac:dyDescent="0.2">
      <c r="A1823" s="1" t="s">
        <v>179</v>
      </c>
      <c r="B1823" s="1" t="s">
        <v>2511</v>
      </c>
      <c r="C1823" s="1" t="s">
        <v>4041</v>
      </c>
      <c r="D1823" s="1" t="s">
        <v>4041</v>
      </c>
      <c r="E1823" s="81">
        <v>2911.61</v>
      </c>
      <c r="F1823" s="81">
        <v>2911.61</v>
      </c>
    </row>
    <row r="1824" spans="1:6" x14ac:dyDescent="0.2">
      <c r="A1824" s="1" t="s">
        <v>179</v>
      </c>
      <c r="B1824" s="1" t="s">
        <v>2512</v>
      </c>
      <c r="C1824" s="1" t="s">
        <v>4042</v>
      </c>
      <c r="D1824" s="1" t="s">
        <v>4042</v>
      </c>
      <c r="E1824" s="81">
        <v>2986.07</v>
      </c>
      <c r="F1824" s="81">
        <v>2986.07</v>
      </c>
    </row>
    <row r="1825" spans="1:6" x14ac:dyDescent="0.2">
      <c r="A1825" s="1" t="s">
        <v>179</v>
      </c>
      <c r="B1825" s="1" t="s">
        <v>2513</v>
      </c>
      <c r="C1825" s="1" t="s">
        <v>101</v>
      </c>
      <c r="D1825" s="1" t="s">
        <v>101</v>
      </c>
      <c r="E1825" s="81">
        <v>0</v>
      </c>
      <c r="F1825" s="81">
        <v>0</v>
      </c>
    </row>
    <row r="1826" spans="1:6" x14ac:dyDescent="0.2">
      <c r="A1826" s="1" t="s">
        <v>179</v>
      </c>
      <c r="B1826" s="1" t="s">
        <v>2514</v>
      </c>
      <c r="C1826" s="1" t="s">
        <v>101</v>
      </c>
      <c r="D1826" s="1" t="s">
        <v>101</v>
      </c>
      <c r="E1826" s="81">
        <v>0</v>
      </c>
      <c r="F1826" s="81">
        <v>0</v>
      </c>
    </row>
    <row r="1827" spans="1:6" x14ac:dyDescent="0.2">
      <c r="A1827" s="1" t="s">
        <v>179</v>
      </c>
      <c r="B1827" s="1" t="s">
        <v>2515</v>
      </c>
      <c r="C1827" s="1" t="s">
        <v>101</v>
      </c>
      <c r="D1827" s="1" t="s">
        <v>101</v>
      </c>
      <c r="E1827" s="81">
        <v>0</v>
      </c>
      <c r="F1827" s="81">
        <v>0</v>
      </c>
    </row>
    <row r="1828" spans="1:6" x14ac:dyDescent="0.2">
      <c r="A1828" s="1" t="s">
        <v>179</v>
      </c>
      <c r="B1828" s="1" t="s">
        <v>2516</v>
      </c>
      <c r="C1828" s="1" t="s">
        <v>101</v>
      </c>
      <c r="D1828" s="1" t="s">
        <v>101</v>
      </c>
      <c r="E1828" s="81">
        <v>0</v>
      </c>
      <c r="F1828" s="81">
        <v>0</v>
      </c>
    </row>
    <row r="1829" spans="1:6" x14ac:dyDescent="0.2">
      <c r="A1829" s="1" t="s">
        <v>179</v>
      </c>
      <c r="B1829" s="1" t="s">
        <v>2517</v>
      </c>
      <c r="C1829" s="1" t="s">
        <v>101</v>
      </c>
      <c r="D1829" s="1" t="s">
        <v>101</v>
      </c>
      <c r="E1829" s="81">
        <v>0</v>
      </c>
      <c r="F1829" s="81">
        <v>0</v>
      </c>
    </row>
    <row r="1830" spans="1:6" x14ac:dyDescent="0.2">
      <c r="A1830" s="1" t="s">
        <v>179</v>
      </c>
      <c r="B1830" s="1" t="s">
        <v>2518</v>
      </c>
      <c r="C1830" s="1" t="s">
        <v>101</v>
      </c>
      <c r="D1830" s="1" t="s">
        <v>101</v>
      </c>
      <c r="E1830" s="81">
        <v>0</v>
      </c>
      <c r="F1830" s="81">
        <v>0</v>
      </c>
    </row>
    <row r="1831" spans="1:6" x14ac:dyDescent="0.2">
      <c r="A1831" s="1" t="s">
        <v>179</v>
      </c>
      <c r="B1831" s="1" t="s">
        <v>2519</v>
      </c>
      <c r="C1831" s="1" t="s">
        <v>101</v>
      </c>
      <c r="D1831" s="1" t="s">
        <v>101</v>
      </c>
      <c r="E1831" s="81">
        <v>0</v>
      </c>
      <c r="F1831" s="81">
        <v>0</v>
      </c>
    </row>
    <row r="1832" spans="1:6" x14ac:dyDescent="0.2">
      <c r="A1832" s="1" t="s">
        <v>179</v>
      </c>
      <c r="B1832" s="1" t="s">
        <v>2520</v>
      </c>
      <c r="C1832" s="1" t="s">
        <v>101</v>
      </c>
      <c r="D1832" s="1" t="s">
        <v>101</v>
      </c>
      <c r="E1832" s="81">
        <v>0</v>
      </c>
      <c r="F1832" s="81">
        <v>0</v>
      </c>
    </row>
    <row r="1833" spans="1:6" x14ac:dyDescent="0.2">
      <c r="A1833" s="1" t="s">
        <v>179</v>
      </c>
      <c r="B1833" s="1" t="s">
        <v>2521</v>
      </c>
      <c r="C1833" s="1" t="s">
        <v>101</v>
      </c>
      <c r="D1833" s="1" t="s">
        <v>101</v>
      </c>
      <c r="E1833" s="81">
        <v>0</v>
      </c>
      <c r="F1833" s="81">
        <v>0</v>
      </c>
    </row>
    <row r="1834" spans="1:6" x14ac:dyDescent="0.2">
      <c r="A1834" s="1" t="s">
        <v>179</v>
      </c>
      <c r="B1834" s="1" t="s">
        <v>2522</v>
      </c>
      <c r="C1834" s="1" t="s">
        <v>4043</v>
      </c>
      <c r="D1834" s="1" t="s">
        <v>4043</v>
      </c>
      <c r="E1834" s="81">
        <v>8965.19</v>
      </c>
      <c r="F1834" s="81">
        <v>8965.19</v>
      </c>
    </row>
    <row r="1835" spans="1:6" x14ac:dyDescent="0.2">
      <c r="A1835" s="1" t="s">
        <v>179</v>
      </c>
      <c r="B1835" s="1" t="s">
        <v>2523</v>
      </c>
      <c r="C1835" s="1" t="s">
        <v>4050</v>
      </c>
      <c r="D1835" s="1" t="s">
        <v>4050</v>
      </c>
      <c r="E1835" s="81">
        <v>54249.08</v>
      </c>
      <c r="F1835" s="81">
        <v>54249.08</v>
      </c>
    </row>
    <row r="1836" spans="1:6" x14ac:dyDescent="0.2">
      <c r="A1836" s="1" t="s">
        <v>179</v>
      </c>
      <c r="B1836" s="1" t="s">
        <v>2524</v>
      </c>
      <c r="C1836" s="1" t="s">
        <v>4051</v>
      </c>
      <c r="D1836" s="1" t="s">
        <v>4051</v>
      </c>
      <c r="E1836" s="81">
        <v>56601.42</v>
      </c>
      <c r="F1836" s="81">
        <v>56601.42</v>
      </c>
    </row>
    <row r="1837" spans="1:6" x14ac:dyDescent="0.2">
      <c r="A1837" s="1" t="s">
        <v>179</v>
      </c>
      <c r="B1837" s="1" t="s">
        <v>2525</v>
      </c>
      <c r="C1837" s="1" t="s">
        <v>4052</v>
      </c>
      <c r="D1837" s="1" t="s">
        <v>4052</v>
      </c>
      <c r="E1837" s="81">
        <v>56695.77</v>
      </c>
      <c r="F1837" s="81">
        <v>56695.77</v>
      </c>
    </row>
    <row r="1838" spans="1:6" x14ac:dyDescent="0.2">
      <c r="A1838" s="1" t="s">
        <v>179</v>
      </c>
      <c r="B1838" s="1" t="s">
        <v>2526</v>
      </c>
      <c r="C1838" s="1" t="s">
        <v>101</v>
      </c>
      <c r="D1838" s="1" t="s">
        <v>101</v>
      </c>
      <c r="E1838" s="81">
        <v>0</v>
      </c>
      <c r="F1838" s="81">
        <v>0</v>
      </c>
    </row>
    <row r="1839" spans="1:6" x14ac:dyDescent="0.2">
      <c r="A1839" s="1" t="s">
        <v>179</v>
      </c>
      <c r="B1839" s="1" t="s">
        <v>2527</v>
      </c>
      <c r="C1839" s="1" t="s">
        <v>101</v>
      </c>
      <c r="D1839" s="1" t="s">
        <v>101</v>
      </c>
      <c r="E1839" s="81">
        <v>0</v>
      </c>
      <c r="F1839" s="81">
        <v>0</v>
      </c>
    </row>
    <row r="1840" spans="1:6" x14ac:dyDescent="0.2">
      <c r="A1840" s="1" t="s">
        <v>179</v>
      </c>
      <c r="B1840" s="1" t="s">
        <v>2528</v>
      </c>
      <c r="C1840" s="1" t="s">
        <v>101</v>
      </c>
      <c r="D1840" s="1" t="s">
        <v>101</v>
      </c>
      <c r="E1840" s="81">
        <v>0</v>
      </c>
      <c r="F1840" s="81">
        <v>0</v>
      </c>
    </row>
    <row r="1841" spans="1:6" x14ac:dyDescent="0.2">
      <c r="A1841" s="1" t="s">
        <v>179</v>
      </c>
      <c r="B1841" s="1" t="s">
        <v>2529</v>
      </c>
      <c r="C1841" s="1" t="s">
        <v>101</v>
      </c>
      <c r="D1841" s="1" t="s">
        <v>101</v>
      </c>
      <c r="E1841" s="81">
        <v>0</v>
      </c>
      <c r="F1841" s="81">
        <v>0</v>
      </c>
    </row>
    <row r="1842" spans="1:6" x14ac:dyDescent="0.2">
      <c r="A1842" s="1" t="s">
        <v>179</v>
      </c>
      <c r="B1842" s="1" t="s">
        <v>2530</v>
      </c>
      <c r="C1842" s="1" t="s">
        <v>101</v>
      </c>
      <c r="D1842" s="1" t="s">
        <v>101</v>
      </c>
      <c r="E1842" s="81">
        <v>0</v>
      </c>
      <c r="F1842" s="81">
        <v>0</v>
      </c>
    </row>
    <row r="1843" spans="1:6" x14ac:dyDescent="0.2">
      <c r="A1843" s="1" t="s">
        <v>179</v>
      </c>
      <c r="B1843" s="1" t="s">
        <v>2531</v>
      </c>
      <c r="C1843" s="1" t="s">
        <v>101</v>
      </c>
      <c r="D1843" s="1" t="s">
        <v>101</v>
      </c>
      <c r="E1843" s="81">
        <v>0</v>
      </c>
      <c r="F1843" s="81">
        <v>0</v>
      </c>
    </row>
    <row r="1844" spans="1:6" x14ac:dyDescent="0.2">
      <c r="A1844" s="1" t="s">
        <v>179</v>
      </c>
      <c r="B1844" s="1" t="s">
        <v>2532</v>
      </c>
      <c r="C1844" s="1" t="s">
        <v>101</v>
      </c>
      <c r="D1844" s="1" t="s">
        <v>101</v>
      </c>
      <c r="E1844" s="81">
        <v>0</v>
      </c>
      <c r="F1844" s="81">
        <v>0</v>
      </c>
    </row>
    <row r="1845" spans="1:6" x14ac:dyDescent="0.2">
      <c r="A1845" s="1" t="s">
        <v>179</v>
      </c>
      <c r="B1845" s="1" t="s">
        <v>2533</v>
      </c>
      <c r="C1845" s="1" t="s">
        <v>101</v>
      </c>
      <c r="D1845" s="1" t="s">
        <v>101</v>
      </c>
      <c r="E1845" s="81">
        <v>0</v>
      </c>
      <c r="F1845" s="81">
        <v>0</v>
      </c>
    </row>
    <row r="1846" spans="1:6" x14ac:dyDescent="0.2">
      <c r="A1846" s="1" t="s">
        <v>179</v>
      </c>
      <c r="B1846" s="1" t="s">
        <v>2534</v>
      </c>
      <c r="C1846" s="1" t="s">
        <v>101</v>
      </c>
      <c r="D1846" s="1" t="s">
        <v>101</v>
      </c>
      <c r="E1846" s="81">
        <v>0</v>
      </c>
      <c r="F1846" s="81">
        <v>0</v>
      </c>
    </row>
    <row r="1847" spans="1:6" x14ac:dyDescent="0.2">
      <c r="A1847" s="1" t="s">
        <v>179</v>
      </c>
      <c r="B1847" s="1" t="s">
        <v>2535</v>
      </c>
      <c r="C1847" s="1" t="s">
        <v>4053</v>
      </c>
      <c r="D1847" s="1" t="s">
        <v>4053</v>
      </c>
      <c r="E1847" s="81">
        <v>167546.28</v>
      </c>
      <c r="F1847" s="81">
        <v>167546.28</v>
      </c>
    </row>
    <row r="1848" spans="1:6" x14ac:dyDescent="0.2">
      <c r="A1848" s="1" t="s">
        <v>179</v>
      </c>
      <c r="B1848" s="1" t="s">
        <v>2536</v>
      </c>
      <c r="C1848" s="1" t="s">
        <v>4054</v>
      </c>
      <c r="D1848" s="1" t="s">
        <v>4054</v>
      </c>
      <c r="E1848" s="81">
        <v>45524.12</v>
      </c>
      <c r="F1848" s="81">
        <v>45524.12</v>
      </c>
    </row>
    <row r="1849" spans="1:6" x14ac:dyDescent="0.2">
      <c r="A1849" s="1" t="s">
        <v>179</v>
      </c>
      <c r="B1849" s="1" t="s">
        <v>2537</v>
      </c>
      <c r="C1849" s="1" t="s">
        <v>4055</v>
      </c>
      <c r="D1849" s="1" t="s">
        <v>4055</v>
      </c>
      <c r="E1849" s="81">
        <v>49133.9</v>
      </c>
      <c r="F1849" s="81">
        <v>49133.9</v>
      </c>
    </row>
    <row r="1850" spans="1:6" x14ac:dyDescent="0.2">
      <c r="A1850" s="1" t="s">
        <v>179</v>
      </c>
      <c r="B1850" s="1" t="s">
        <v>2538</v>
      </c>
      <c r="C1850" s="1" t="s">
        <v>4056</v>
      </c>
      <c r="D1850" s="1" t="s">
        <v>4056</v>
      </c>
      <c r="E1850" s="81">
        <v>49407.53</v>
      </c>
      <c r="F1850" s="81">
        <v>49407.53</v>
      </c>
    </row>
    <row r="1851" spans="1:6" x14ac:dyDescent="0.2">
      <c r="A1851" s="1" t="s">
        <v>179</v>
      </c>
      <c r="B1851" s="1" t="s">
        <v>2539</v>
      </c>
      <c r="C1851" s="1" t="s">
        <v>101</v>
      </c>
      <c r="D1851" s="1" t="s">
        <v>101</v>
      </c>
      <c r="E1851" s="81">
        <v>0</v>
      </c>
      <c r="F1851" s="81">
        <v>0</v>
      </c>
    </row>
    <row r="1852" spans="1:6" x14ac:dyDescent="0.2">
      <c r="A1852" s="1" t="s">
        <v>179</v>
      </c>
      <c r="B1852" s="1" t="s">
        <v>2540</v>
      </c>
      <c r="C1852" s="1" t="s">
        <v>101</v>
      </c>
      <c r="D1852" s="1" t="s">
        <v>101</v>
      </c>
      <c r="E1852" s="81">
        <v>0</v>
      </c>
      <c r="F1852" s="81">
        <v>0</v>
      </c>
    </row>
    <row r="1853" spans="1:6" x14ac:dyDescent="0.2">
      <c r="A1853" s="1" t="s">
        <v>179</v>
      </c>
      <c r="B1853" s="1" t="s">
        <v>2541</v>
      </c>
      <c r="C1853" s="1" t="s">
        <v>101</v>
      </c>
      <c r="D1853" s="1" t="s">
        <v>101</v>
      </c>
      <c r="E1853" s="81">
        <v>0</v>
      </c>
      <c r="F1853" s="81">
        <v>0</v>
      </c>
    </row>
    <row r="1854" spans="1:6" x14ac:dyDescent="0.2">
      <c r="A1854" s="1" t="s">
        <v>179</v>
      </c>
      <c r="B1854" s="1" t="s">
        <v>2542</v>
      </c>
      <c r="C1854" s="1" t="s">
        <v>101</v>
      </c>
      <c r="D1854" s="1" t="s">
        <v>101</v>
      </c>
      <c r="E1854" s="81">
        <v>0</v>
      </c>
      <c r="F1854" s="81">
        <v>0</v>
      </c>
    </row>
    <row r="1855" spans="1:6" x14ac:dyDescent="0.2">
      <c r="A1855" s="1" t="s">
        <v>179</v>
      </c>
      <c r="B1855" s="1" t="s">
        <v>2543</v>
      </c>
      <c r="C1855" s="1" t="s">
        <v>101</v>
      </c>
      <c r="D1855" s="1" t="s">
        <v>101</v>
      </c>
      <c r="E1855" s="81">
        <v>0</v>
      </c>
      <c r="F1855" s="81">
        <v>0</v>
      </c>
    </row>
    <row r="1856" spans="1:6" x14ac:dyDescent="0.2">
      <c r="A1856" s="1" t="s">
        <v>179</v>
      </c>
      <c r="B1856" s="1" t="s">
        <v>2544</v>
      </c>
      <c r="C1856" s="1" t="s">
        <v>101</v>
      </c>
      <c r="D1856" s="1" t="s">
        <v>101</v>
      </c>
      <c r="E1856" s="81">
        <v>0</v>
      </c>
      <c r="F1856" s="81">
        <v>0</v>
      </c>
    </row>
    <row r="1857" spans="1:6" x14ac:dyDescent="0.2">
      <c r="A1857" s="1" t="s">
        <v>179</v>
      </c>
      <c r="B1857" s="1" t="s">
        <v>2545</v>
      </c>
      <c r="C1857" s="1" t="s">
        <v>101</v>
      </c>
      <c r="D1857" s="1" t="s">
        <v>101</v>
      </c>
      <c r="E1857" s="81">
        <v>0</v>
      </c>
      <c r="F1857" s="81">
        <v>0</v>
      </c>
    </row>
    <row r="1858" spans="1:6" x14ac:dyDescent="0.2">
      <c r="A1858" s="1" t="s">
        <v>179</v>
      </c>
      <c r="B1858" s="1" t="s">
        <v>2546</v>
      </c>
      <c r="C1858" s="1" t="s">
        <v>101</v>
      </c>
      <c r="D1858" s="1" t="s">
        <v>101</v>
      </c>
      <c r="E1858" s="81">
        <v>0</v>
      </c>
      <c r="F1858" s="81">
        <v>0</v>
      </c>
    </row>
    <row r="1859" spans="1:6" x14ac:dyDescent="0.2">
      <c r="A1859" s="1" t="s">
        <v>179</v>
      </c>
      <c r="B1859" s="1" t="s">
        <v>2547</v>
      </c>
      <c r="C1859" s="1" t="s">
        <v>101</v>
      </c>
      <c r="D1859" s="1" t="s">
        <v>101</v>
      </c>
      <c r="E1859" s="81">
        <v>0</v>
      </c>
      <c r="F1859" s="81">
        <v>0</v>
      </c>
    </row>
    <row r="1860" spans="1:6" x14ac:dyDescent="0.2">
      <c r="A1860" s="1" t="s">
        <v>179</v>
      </c>
      <c r="B1860" s="1" t="s">
        <v>2548</v>
      </c>
      <c r="C1860" s="1" t="s">
        <v>4057</v>
      </c>
      <c r="D1860" s="1" t="s">
        <v>4057</v>
      </c>
      <c r="E1860" s="81">
        <v>8808.0300000000007</v>
      </c>
      <c r="F1860" s="81">
        <v>8808.0300000000007</v>
      </c>
    </row>
    <row r="1861" spans="1:6" x14ac:dyDescent="0.2">
      <c r="A1861" s="1" t="s">
        <v>179</v>
      </c>
      <c r="B1861" s="1" t="s">
        <v>2549</v>
      </c>
      <c r="C1861" s="1" t="s">
        <v>4058</v>
      </c>
      <c r="D1861" s="1" t="s">
        <v>4058</v>
      </c>
      <c r="E1861" s="81">
        <v>7564.82</v>
      </c>
      <c r="F1861" s="81">
        <v>7564.82</v>
      </c>
    </row>
    <row r="1862" spans="1:6" x14ac:dyDescent="0.2">
      <c r="A1862" s="1" t="s">
        <v>179</v>
      </c>
      <c r="B1862" s="1" t="s">
        <v>2550</v>
      </c>
      <c r="C1862" s="1" t="s">
        <v>4059</v>
      </c>
      <c r="D1862" s="1" t="s">
        <v>4059</v>
      </c>
      <c r="E1862" s="81">
        <v>7378.25</v>
      </c>
      <c r="F1862" s="81">
        <v>7378.25</v>
      </c>
    </row>
    <row r="1863" spans="1:6" x14ac:dyDescent="0.2">
      <c r="A1863" s="1" t="s">
        <v>179</v>
      </c>
      <c r="B1863" s="1" t="s">
        <v>2551</v>
      </c>
      <c r="C1863" s="1" t="s">
        <v>101</v>
      </c>
      <c r="D1863" s="1" t="s">
        <v>101</v>
      </c>
      <c r="E1863" s="81">
        <v>0</v>
      </c>
      <c r="F1863" s="81">
        <v>0</v>
      </c>
    </row>
    <row r="1864" spans="1:6" x14ac:dyDescent="0.2">
      <c r="A1864" s="1" t="s">
        <v>179</v>
      </c>
      <c r="B1864" s="1" t="s">
        <v>2552</v>
      </c>
      <c r="C1864" s="1" t="s">
        <v>101</v>
      </c>
      <c r="D1864" s="1" t="s">
        <v>101</v>
      </c>
      <c r="E1864" s="81">
        <v>0</v>
      </c>
      <c r="F1864" s="81">
        <v>0</v>
      </c>
    </row>
    <row r="1865" spans="1:6" x14ac:dyDescent="0.2">
      <c r="A1865" s="1" t="s">
        <v>179</v>
      </c>
      <c r="B1865" s="1" t="s">
        <v>2553</v>
      </c>
      <c r="C1865" s="1" t="s">
        <v>101</v>
      </c>
      <c r="D1865" s="1" t="s">
        <v>101</v>
      </c>
      <c r="E1865" s="81">
        <v>0</v>
      </c>
      <c r="F1865" s="81">
        <v>0</v>
      </c>
    </row>
    <row r="1866" spans="1:6" x14ac:dyDescent="0.2">
      <c r="A1866" s="1" t="s">
        <v>179</v>
      </c>
      <c r="B1866" s="1" t="s">
        <v>2554</v>
      </c>
      <c r="C1866" s="1" t="s">
        <v>101</v>
      </c>
      <c r="D1866" s="1" t="s">
        <v>101</v>
      </c>
      <c r="E1866" s="81">
        <v>0</v>
      </c>
      <c r="F1866" s="81">
        <v>0</v>
      </c>
    </row>
    <row r="1867" spans="1:6" x14ac:dyDescent="0.2">
      <c r="A1867" s="1" t="s">
        <v>179</v>
      </c>
      <c r="B1867" s="1" t="s">
        <v>2555</v>
      </c>
      <c r="C1867" s="1" t="s">
        <v>101</v>
      </c>
      <c r="D1867" s="1" t="s">
        <v>101</v>
      </c>
      <c r="E1867" s="81">
        <v>0</v>
      </c>
      <c r="F1867" s="81">
        <v>0</v>
      </c>
    </row>
    <row r="1868" spans="1:6" x14ac:dyDescent="0.2">
      <c r="A1868" s="1" t="s">
        <v>179</v>
      </c>
      <c r="B1868" s="1" t="s">
        <v>2556</v>
      </c>
      <c r="C1868" s="1" t="s">
        <v>101</v>
      </c>
      <c r="D1868" s="1" t="s">
        <v>101</v>
      </c>
      <c r="E1868" s="81">
        <v>0</v>
      </c>
      <c r="F1868" s="81">
        <v>0</v>
      </c>
    </row>
    <row r="1869" spans="1:6" x14ac:dyDescent="0.2">
      <c r="A1869" s="1" t="s">
        <v>179</v>
      </c>
      <c r="B1869" s="1" t="s">
        <v>2557</v>
      </c>
      <c r="C1869" s="1" t="s">
        <v>101</v>
      </c>
      <c r="D1869" s="1" t="s">
        <v>101</v>
      </c>
      <c r="E1869" s="81">
        <v>0</v>
      </c>
      <c r="F1869" s="81">
        <v>0</v>
      </c>
    </row>
    <row r="1870" spans="1:6" x14ac:dyDescent="0.2">
      <c r="A1870" s="1" t="s">
        <v>179</v>
      </c>
      <c r="B1870" s="1" t="s">
        <v>2558</v>
      </c>
      <c r="C1870" s="1" t="s">
        <v>101</v>
      </c>
      <c r="D1870" s="1" t="s">
        <v>101</v>
      </c>
      <c r="E1870" s="81">
        <v>0</v>
      </c>
      <c r="F1870" s="81">
        <v>0</v>
      </c>
    </row>
    <row r="1871" spans="1:6" x14ac:dyDescent="0.2">
      <c r="A1871" s="1" t="s">
        <v>179</v>
      </c>
      <c r="B1871" s="1" t="s">
        <v>2559</v>
      </c>
      <c r="C1871" s="1" t="s">
        <v>101</v>
      </c>
      <c r="D1871" s="1" t="s">
        <v>101</v>
      </c>
      <c r="E1871" s="81">
        <v>0</v>
      </c>
      <c r="F1871" s="81">
        <v>0</v>
      </c>
    </row>
    <row r="1872" spans="1:6" x14ac:dyDescent="0.2">
      <c r="A1872" s="1" t="s">
        <v>179</v>
      </c>
      <c r="B1872" s="1" t="s">
        <v>2560</v>
      </c>
      <c r="C1872" s="1" t="s">
        <v>101</v>
      </c>
      <c r="D1872" s="1" t="s">
        <v>101</v>
      </c>
      <c r="E1872" s="81">
        <v>0</v>
      </c>
      <c r="F1872" s="81">
        <v>0</v>
      </c>
    </row>
    <row r="1873" spans="1:6" x14ac:dyDescent="0.2">
      <c r="A1873" s="1" t="s">
        <v>179</v>
      </c>
      <c r="B1873" s="1" t="s">
        <v>2561</v>
      </c>
      <c r="C1873" s="1" t="s">
        <v>101</v>
      </c>
      <c r="D1873" s="1" t="s">
        <v>101</v>
      </c>
      <c r="E1873" s="81">
        <v>0</v>
      </c>
      <c r="F1873" s="81">
        <v>0</v>
      </c>
    </row>
    <row r="1874" spans="1:6" x14ac:dyDescent="0.2">
      <c r="A1874" s="1" t="s">
        <v>179</v>
      </c>
      <c r="B1874" s="1" t="s">
        <v>2562</v>
      </c>
      <c r="C1874" s="1" t="s">
        <v>101</v>
      </c>
      <c r="D1874" s="1" t="s">
        <v>101</v>
      </c>
      <c r="E1874" s="81">
        <v>0</v>
      </c>
      <c r="F1874" s="81">
        <v>0</v>
      </c>
    </row>
    <row r="1875" spans="1:6" x14ac:dyDescent="0.2">
      <c r="A1875" s="1" t="s">
        <v>179</v>
      </c>
      <c r="B1875" s="1" t="s">
        <v>2563</v>
      </c>
      <c r="C1875" s="1" t="s">
        <v>101</v>
      </c>
      <c r="D1875" s="1" t="s">
        <v>101</v>
      </c>
      <c r="E1875" s="81">
        <v>0</v>
      </c>
      <c r="F1875" s="81">
        <v>0</v>
      </c>
    </row>
    <row r="1876" spans="1:6" x14ac:dyDescent="0.2">
      <c r="A1876" s="1" t="s">
        <v>179</v>
      </c>
      <c r="B1876" s="1" t="s">
        <v>2564</v>
      </c>
      <c r="C1876" s="1" t="s">
        <v>101</v>
      </c>
      <c r="D1876" s="1" t="s">
        <v>101</v>
      </c>
      <c r="E1876" s="81">
        <v>0</v>
      </c>
      <c r="F1876" s="81">
        <v>0</v>
      </c>
    </row>
    <row r="1877" spans="1:6" x14ac:dyDescent="0.2">
      <c r="A1877" s="1" t="s">
        <v>179</v>
      </c>
      <c r="B1877" s="1" t="s">
        <v>2565</v>
      </c>
      <c r="C1877" s="1" t="s">
        <v>101</v>
      </c>
      <c r="D1877" s="1" t="s">
        <v>101</v>
      </c>
      <c r="E1877" s="81">
        <v>0</v>
      </c>
      <c r="F1877" s="81">
        <v>0</v>
      </c>
    </row>
    <row r="1878" spans="1:6" x14ac:dyDescent="0.2">
      <c r="A1878" s="1" t="s">
        <v>179</v>
      </c>
      <c r="B1878" s="1" t="s">
        <v>2566</v>
      </c>
      <c r="C1878" s="1" t="s">
        <v>101</v>
      </c>
      <c r="D1878" s="1" t="s">
        <v>101</v>
      </c>
      <c r="E1878" s="81">
        <v>0</v>
      </c>
      <c r="F1878" s="81">
        <v>0</v>
      </c>
    </row>
    <row r="1879" spans="1:6" x14ac:dyDescent="0.2">
      <c r="A1879" s="1" t="s">
        <v>179</v>
      </c>
      <c r="B1879" s="1" t="s">
        <v>2567</v>
      </c>
      <c r="C1879" s="1" t="s">
        <v>101</v>
      </c>
      <c r="D1879" s="1" t="s">
        <v>101</v>
      </c>
      <c r="E1879" s="81">
        <v>0</v>
      </c>
      <c r="F1879" s="81">
        <v>0</v>
      </c>
    </row>
    <row r="1880" spans="1:6" x14ac:dyDescent="0.2">
      <c r="A1880" s="1" t="s">
        <v>179</v>
      </c>
      <c r="B1880" s="1" t="s">
        <v>2568</v>
      </c>
      <c r="C1880" s="1" t="s">
        <v>101</v>
      </c>
      <c r="D1880" s="1" t="s">
        <v>101</v>
      </c>
      <c r="E1880" s="81">
        <v>0</v>
      </c>
      <c r="F1880" s="81">
        <v>0</v>
      </c>
    </row>
    <row r="1881" spans="1:6" x14ac:dyDescent="0.2">
      <c r="A1881" s="1" t="s">
        <v>179</v>
      </c>
      <c r="B1881" s="1" t="s">
        <v>2569</v>
      </c>
      <c r="C1881" s="1" t="s">
        <v>101</v>
      </c>
      <c r="D1881" s="1" t="s">
        <v>101</v>
      </c>
      <c r="E1881" s="81">
        <v>0</v>
      </c>
      <c r="F1881" s="81">
        <v>0</v>
      </c>
    </row>
    <row r="1882" spans="1:6" x14ac:dyDescent="0.2">
      <c r="A1882" s="1" t="s">
        <v>179</v>
      </c>
      <c r="B1882" s="1" t="s">
        <v>2570</v>
      </c>
      <c r="C1882" s="1" t="s">
        <v>101</v>
      </c>
      <c r="D1882" s="1" t="s">
        <v>101</v>
      </c>
      <c r="E1882" s="81">
        <v>0</v>
      </c>
      <c r="F1882" s="81">
        <v>0</v>
      </c>
    </row>
    <row r="1883" spans="1:6" x14ac:dyDescent="0.2">
      <c r="A1883" s="1" t="s">
        <v>179</v>
      </c>
      <c r="B1883" s="1" t="s">
        <v>2571</v>
      </c>
      <c r="C1883" s="1" t="s">
        <v>101</v>
      </c>
      <c r="D1883" s="1" t="s">
        <v>101</v>
      </c>
      <c r="E1883" s="81">
        <v>0</v>
      </c>
      <c r="F1883" s="81">
        <v>0</v>
      </c>
    </row>
    <row r="1884" spans="1:6" x14ac:dyDescent="0.2">
      <c r="A1884" s="1" t="s">
        <v>179</v>
      </c>
      <c r="B1884" s="1" t="s">
        <v>2572</v>
      </c>
      <c r="C1884" s="1" t="s">
        <v>4050</v>
      </c>
      <c r="D1884" s="1" t="s">
        <v>4050</v>
      </c>
      <c r="E1884" s="81">
        <v>54249.08</v>
      </c>
      <c r="F1884" s="81">
        <v>54249.08</v>
      </c>
    </row>
    <row r="1885" spans="1:6" x14ac:dyDescent="0.2">
      <c r="A1885" s="1" t="s">
        <v>179</v>
      </c>
      <c r="B1885" s="1" t="s">
        <v>2573</v>
      </c>
      <c r="C1885" s="1" t="s">
        <v>4051</v>
      </c>
      <c r="D1885" s="1" t="s">
        <v>4051</v>
      </c>
      <c r="E1885" s="81">
        <v>56601.42</v>
      </c>
      <c r="F1885" s="81">
        <v>56601.42</v>
      </c>
    </row>
    <row r="1886" spans="1:6" x14ac:dyDescent="0.2">
      <c r="A1886" s="1" t="s">
        <v>179</v>
      </c>
      <c r="B1886" s="1" t="s">
        <v>2574</v>
      </c>
      <c r="C1886" s="1" t="s">
        <v>4052</v>
      </c>
      <c r="D1886" s="1" t="s">
        <v>4052</v>
      </c>
      <c r="E1886" s="81">
        <v>56695.77</v>
      </c>
      <c r="F1886" s="81">
        <v>56695.77</v>
      </c>
    </row>
    <row r="1887" spans="1:6" x14ac:dyDescent="0.2">
      <c r="A1887" s="1" t="s">
        <v>179</v>
      </c>
      <c r="B1887" s="1" t="s">
        <v>2575</v>
      </c>
      <c r="C1887" s="1" t="s">
        <v>101</v>
      </c>
      <c r="D1887" s="1" t="s">
        <v>101</v>
      </c>
      <c r="E1887" s="81">
        <v>0</v>
      </c>
      <c r="F1887" s="81">
        <v>0</v>
      </c>
    </row>
    <row r="1888" spans="1:6" x14ac:dyDescent="0.2">
      <c r="A1888" s="1" t="s">
        <v>179</v>
      </c>
      <c r="B1888" s="1" t="s">
        <v>2576</v>
      </c>
      <c r="C1888" s="1" t="s">
        <v>101</v>
      </c>
      <c r="D1888" s="1" t="s">
        <v>101</v>
      </c>
      <c r="E1888" s="81">
        <v>0</v>
      </c>
      <c r="F1888" s="81">
        <v>0</v>
      </c>
    </row>
    <row r="1889" spans="1:6" x14ac:dyDescent="0.2">
      <c r="A1889" s="1" t="s">
        <v>179</v>
      </c>
      <c r="B1889" s="1" t="s">
        <v>2577</v>
      </c>
      <c r="C1889" s="1" t="s">
        <v>101</v>
      </c>
      <c r="D1889" s="1" t="s">
        <v>101</v>
      </c>
      <c r="E1889" s="81">
        <v>0</v>
      </c>
      <c r="F1889" s="81">
        <v>0</v>
      </c>
    </row>
    <row r="1890" spans="1:6" x14ac:dyDescent="0.2">
      <c r="A1890" s="1" t="s">
        <v>179</v>
      </c>
      <c r="B1890" s="1" t="s">
        <v>2578</v>
      </c>
      <c r="C1890" s="1" t="s">
        <v>101</v>
      </c>
      <c r="D1890" s="1" t="s">
        <v>101</v>
      </c>
      <c r="E1890" s="81">
        <v>0</v>
      </c>
      <c r="F1890" s="81">
        <v>0</v>
      </c>
    </row>
    <row r="1891" spans="1:6" x14ac:dyDescent="0.2">
      <c r="A1891" s="1" t="s">
        <v>179</v>
      </c>
      <c r="B1891" s="1" t="s">
        <v>2579</v>
      </c>
      <c r="C1891" s="1" t="s">
        <v>101</v>
      </c>
      <c r="D1891" s="1" t="s">
        <v>101</v>
      </c>
      <c r="E1891" s="81">
        <v>0</v>
      </c>
      <c r="F1891" s="81">
        <v>0</v>
      </c>
    </row>
    <row r="1892" spans="1:6" x14ac:dyDescent="0.2">
      <c r="A1892" s="1" t="s">
        <v>179</v>
      </c>
      <c r="B1892" s="1" t="s">
        <v>2580</v>
      </c>
      <c r="C1892" s="1" t="s">
        <v>101</v>
      </c>
      <c r="D1892" s="1" t="s">
        <v>101</v>
      </c>
      <c r="E1892" s="81">
        <v>0</v>
      </c>
      <c r="F1892" s="81">
        <v>0</v>
      </c>
    </row>
    <row r="1893" spans="1:6" x14ac:dyDescent="0.2">
      <c r="A1893" s="1" t="s">
        <v>179</v>
      </c>
      <c r="B1893" s="1" t="s">
        <v>2581</v>
      </c>
      <c r="C1893" s="1" t="s">
        <v>101</v>
      </c>
      <c r="D1893" s="1" t="s">
        <v>101</v>
      </c>
      <c r="E1893" s="81">
        <v>0</v>
      </c>
      <c r="F1893" s="81">
        <v>0</v>
      </c>
    </row>
    <row r="1894" spans="1:6" x14ac:dyDescent="0.2">
      <c r="A1894" s="1" t="s">
        <v>179</v>
      </c>
      <c r="B1894" s="1" t="s">
        <v>2582</v>
      </c>
      <c r="C1894" s="1" t="s">
        <v>101</v>
      </c>
      <c r="D1894" s="1" t="s">
        <v>101</v>
      </c>
      <c r="E1894" s="81">
        <v>0</v>
      </c>
      <c r="F1894" s="81">
        <v>0</v>
      </c>
    </row>
    <row r="1895" spans="1:6" x14ac:dyDescent="0.2">
      <c r="A1895" s="1" t="s">
        <v>179</v>
      </c>
      <c r="B1895" s="1" t="s">
        <v>2583</v>
      </c>
      <c r="C1895" s="1" t="s">
        <v>101</v>
      </c>
      <c r="D1895" s="1" t="s">
        <v>101</v>
      </c>
      <c r="E1895" s="81">
        <v>0</v>
      </c>
      <c r="F1895" s="81">
        <v>0</v>
      </c>
    </row>
    <row r="1896" spans="1:6" x14ac:dyDescent="0.2">
      <c r="A1896" s="1" t="s">
        <v>179</v>
      </c>
      <c r="B1896" s="1" t="s">
        <v>2584</v>
      </c>
      <c r="C1896" s="1" t="s">
        <v>4053</v>
      </c>
      <c r="D1896" s="1" t="s">
        <v>4053</v>
      </c>
      <c r="E1896" s="81">
        <v>167546.28</v>
      </c>
      <c r="F1896" s="81">
        <v>167546.28</v>
      </c>
    </row>
    <row r="1897" spans="1:6" x14ac:dyDescent="0.2">
      <c r="A1897" s="1" t="s">
        <v>179</v>
      </c>
      <c r="B1897" s="1" t="s">
        <v>2585</v>
      </c>
      <c r="C1897" s="1" t="s">
        <v>4060</v>
      </c>
      <c r="D1897" s="1" t="s">
        <v>4060</v>
      </c>
      <c r="E1897" s="81">
        <v>1868.27</v>
      </c>
      <c r="F1897" s="81">
        <v>1868.27</v>
      </c>
    </row>
    <row r="1898" spans="1:6" x14ac:dyDescent="0.2">
      <c r="A1898" s="1" t="s">
        <v>179</v>
      </c>
      <c r="B1898" s="1" t="s">
        <v>2586</v>
      </c>
      <c r="C1898" s="1" t="s">
        <v>4061</v>
      </c>
      <c r="D1898" s="1" t="s">
        <v>4061</v>
      </c>
      <c r="E1898" s="81">
        <v>4512.03</v>
      </c>
      <c r="F1898" s="81">
        <v>4512.03</v>
      </c>
    </row>
    <row r="1899" spans="1:6" x14ac:dyDescent="0.2">
      <c r="A1899" s="1" t="s">
        <v>179</v>
      </c>
      <c r="B1899" s="1" t="s">
        <v>2587</v>
      </c>
      <c r="C1899" s="1" t="s">
        <v>4062</v>
      </c>
      <c r="D1899" s="1" t="s">
        <v>4062</v>
      </c>
      <c r="E1899" s="81">
        <v>4475.53</v>
      </c>
      <c r="F1899" s="81">
        <v>4475.53</v>
      </c>
    </row>
    <row r="1900" spans="1:6" x14ac:dyDescent="0.2">
      <c r="A1900" s="1" t="s">
        <v>179</v>
      </c>
      <c r="B1900" s="1" t="s">
        <v>2588</v>
      </c>
      <c r="C1900" s="1" t="s">
        <v>101</v>
      </c>
      <c r="D1900" s="1" t="s">
        <v>101</v>
      </c>
      <c r="E1900" s="81">
        <v>0</v>
      </c>
      <c r="F1900" s="81">
        <v>0</v>
      </c>
    </row>
    <row r="1901" spans="1:6" x14ac:dyDescent="0.2">
      <c r="A1901" s="1" t="s">
        <v>179</v>
      </c>
      <c r="B1901" s="1" t="s">
        <v>2589</v>
      </c>
      <c r="C1901" s="1" t="s">
        <v>101</v>
      </c>
      <c r="D1901" s="1" t="s">
        <v>101</v>
      </c>
      <c r="E1901" s="81">
        <v>0</v>
      </c>
      <c r="F1901" s="81">
        <v>0</v>
      </c>
    </row>
    <row r="1902" spans="1:6" x14ac:dyDescent="0.2">
      <c r="A1902" s="1" t="s">
        <v>179</v>
      </c>
      <c r="B1902" s="1" t="s">
        <v>2590</v>
      </c>
      <c r="C1902" s="1" t="s">
        <v>101</v>
      </c>
      <c r="D1902" s="1" t="s">
        <v>101</v>
      </c>
      <c r="E1902" s="81">
        <v>0</v>
      </c>
      <c r="F1902" s="81">
        <v>0</v>
      </c>
    </row>
    <row r="1903" spans="1:6" x14ac:dyDescent="0.2">
      <c r="A1903" s="1" t="s">
        <v>179</v>
      </c>
      <c r="B1903" s="1" t="s">
        <v>2591</v>
      </c>
      <c r="C1903" s="1" t="s">
        <v>101</v>
      </c>
      <c r="D1903" s="1" t="s">
        <v>101</v>
      </c>
      <c r="E1903" s="81">
        <v>0</v>
      </c>
      <c r="F1903" s="81">
        <v>0</v>
      </c>
    </row>
    <row r="1904" spans="1:6" x14ac:dyDescent="0.2">
      <c r="A1904" s="1" t="s">
        <v>179</v>
      </c>
      <c r="B1904" s="1" t="s">
        <v>2592</v>
      </c>
      <c r="C1904" s="1" t="s">
        <v>101</v>
      </c>
      <c r="D1904" s="1" t="s">
        <v>101</v>
      </c>
      <c r="E1904" s="81">
        <v>0</v>
      </c>
      <c r="F1904" s="81">
        <v>0</v>
      </c>
    </row>
    <row r="1905" spans="1:6" x14ac:dyDescent="0.2">
      <c r="A1905" s="1" t="s">
        <v>179</v>
      </c>
      <c r="B1905" s="1" t="s">
        <v>2593</v>
      </c>
      <c r="C1905" s="1" t="s">
        <v>101</v>
      </c>
      <c r="D1905" s="1" t="s">
        <v>101</v>
      </c>
      <c r="E1905" s="81">
        <v>0</v>
      </c>
      <c r="F1905" s="81">
        <v>0</v>
      </c>
    </row>
    <row r="1906" spans="1:6" x14ac:dyDescent="0.2">
      <c r="A1906" s="1" t="s">
        <v>179</v>
      </c>
      <c r="B1906" s="1" t="s">
        <v>2594</v>
      </c>
      <c r="C1906" s="1" t="s">
        <v>101</v>
      </c>
      <c r="D1906" s="1" t="s">
        <v>101</v>
      </c>
      <c r="E1906" s="81">
        <v>0</v>
      </c>
      <c r="F1906" s="81">
        <v>0</v>
      </c>
    </row>
    <row r="1907" spans="1:6" x14ac:dyDescent="0.2">
      <c r="A1907" s="1" t="s">
        <v>179</v>
      </c>
      <c r="B1907" s="1" t="s">
        <v>2595</v>
      </c>
      <c r="C1907" s="1" t="s">
        <v>101</v>
      </c>
      <c r="D1907" s="1" t="s">
        <v>101</v>
      </c>
      <c r="E1907" s="81">
        <v>0</v>
      </c>
      <c r="F1907" s="81">
        <v>0</v>
      </c>
    </row>
    <row r="1908" spans="1:6" x14ac:dyDescent="0.2">
      <c r="A1908" s="1" t="s">
        <v>179</v>
      </c>
      <c r="B1908" s="1" t="s">
        <v>2596</v>
      </c>
      <c r="C1908" s="1" t="s">
        <v>101</v>
      </c>
      <c r="D1908" s="1" t="s">
        <v>101</v>
      </c>
      <c r="E1908" s="81">
        <v>0</v>
      </c>
      <c r="F1908" s="81">
        <v>0</v>
      </c>
    </row>
    <row r="1909" spans="1:6" x14ac:dyDescent="0.2">
      <c r="A1909" s="1" t="s">
        <v>179</v>
      </c>
      <c r="B1909" s="1" t="s">
        <v>2597</v>
      </c>
      <c r="C1909" s="1" t="s">
        <v>4063</v>
      </c>
      <c r="D1909" s="1" t="s">
        <v>4063</v>
      </c>
      <c r="E1909" s="81">
        <v>10855.83</v>
      </c>
      <c r="F1909" s="81">
        <v>10855.83</v>
      </c>
    </row>
    <row r="1910" spans="1:6" x14ac:dyDescent="0.2">
      <c r="A1910" s="1" t="s">
        <v>179</v>
      </c>
      <c r="B1910" s="1" t="s">
        <v>2598</v>
      </c>
      <c r="C1910" s="1" t="s">
        <v>4064</v>
      </c>
      <c r="D1910" s="1" t="s">
        <v>4064</v>
      </c>
      <c r="E1910" s="81">
        <v>1779.46</v>
      </c>
      <c r="F1910" s="81">
        <v>1779.46</v>
      </c>
    </row>
    <row r="1911" spans="1:6" x14ac:dyDescent="0.2">
      <c r="A1911" s="1" t="s">
        <v>179</v>
      </c>
      <c r="B1911" s="1" t="s">
        <v>2599</v>
      </c>
      <c r="C1911" s="1" t="s">
        <v>4065</v>
      </c>
      <c r="D1911" s="1" t="s">
        <v>4065</v>
      </c>
      <c r="E1911" s="81">
        <v>4022.04</v>
      </c>
      <c r="F1911" s="81">
        <v>4022.04</v>
      </c>
    </row>
    <row r="1912" spans="1:6" x14ac:dyDescent="0.2">
      <c r="A1912" s="1" t="s">
        <v>179</v>
      </c>
      <c r="B1912" s="1" t="s">
        <v>2600</v>
      </c>
      <c r="C1912" s="1" t="s">
        <v>4066</v>
      </c>
      <c r="D1912" s="1" t="s">
        <v>4066</v>
      </c>
      <c r="E1912" s="81">
        <v>4204.97</v>
      </c>
      <c r="F1912" s="81">
        <v>4204.97</v>
      </c>
    </row>
    <row r="1913" spans="1:6" x14ac:dyDescent="0.2">
      <c r="A1913" s="1" t="s">
        <v>179</v>
      </c>
      <c r="B1913" s="1" t="s">
        <v>2601</v>
      </c>
      <c r="C1913" s="1" t="s">
        <v>101</v>
      </c>
      <c r="D1913" s="1" t="s">
        <v>101</v>
      </c>
      <c r="E1913" s="81">
        <v>0</v>
      </c>
      <c r="F1913" s="81">
        <v>0</v>
      </c>
    </row>
    <row r="1914" spans="1:6" x14ac:dyDescent="0.2">
      <c r="A1914" s="1" t="s">
        <v>179</v>
      </c>
      <c r="B1914" s="1" t="s">
        <v>2602</v>
      </c>
      <c r="C1914" s="1" t="s">
        <v>101</v>
      </c>
      <c r="D1914" s="1" t="s">
        <v>101</v>
      </c>
      <c r="E1914" s="81">
        <v>0</v>
      </c>
      <c r="F1914" s="81">
        <v>0</v>
      </c>
    </row>
    <row r="1915" spans="1:6" x14ac:dyDescent="0.2">
      <c r="A1915" s="1" t="s">
        <v>179</v>
      </c>
      <c r="B1915" s="1" t="s">
        <v>2603</v>
      </c>
      <c r="C1915" s="1" t="s">
        <v>101</v>
      </c>
      <c r="D1915" s="1" t="s">
        <v>101</v>
      </c>
      <c r="E1915" s="81">
        <v>0</v>
      </c>
      <c r="F1915" s="81">
        <v>0</v>
      </c>
    </row>
    <row r="1916" spans="1:6" x14ac:dyDescent="0.2">
      <c r="A1916" s="1" t="s">
        <v>179</v>
      </c>
      <c r="B1916" s="1" t="s">
        <v>2604</v>
      </c>
      <c r="C1916" s="1" t="s">
        <v>101</v>
      </c>
      <c r="D1916" s="1" t="s">
        <v>101</v>
      </c>
      <c r="E1916" s="81">
        <v>0</v>
      </c>
      <c r="F1916" s="81">
        <v>0</v>
      </c>
    </row>
    <row r="1917" spans="1:6" x14ac:dyDescent="0.2">
      <c r="A1917" s="1" t="s">
        <v>179</v>
      </c>
      <c r="B1917" s="1" t="s">
        <v>2605</v>
      </c>
      <c r="C1917" s="1" t="s">
        <v>101</v>
      </c>
      <c r="D1917" s="1" t="s">
        <v>101</v>
      </c>
      <c r="E1917" s="81">
        <v>0</v>
      </c>
      <c r="F1917" s="81">
        <v>0</v>
      </c>
    </row>
    <row r="1918" spans="1:6" x14ac:dyDescent="0.2">
      <c r="A1918" s="1" t="s">
        <v>179</v>
      </c>
      <c r="B1918" s="1" t="s">
        <v>2606</v>
      </c>
      <c r="C1918" s="1" t="s">
        <v>101</v>
      </c>
      <c r="D1918" s="1" t="s">
        <v>101</v>
      </c>
      <c r="E1918" s="81">
        <v>0</v>
      </c>
      <c r="F1918" s="81">
        <v>0</v>
      </c>
    </row>
    <row r="1919" spans="1:6" x14ac:dyDescent="0.2">
      <c r="A1919" s="1" t="s">
        <v>179</v>
      </c>
      <c r="B1919" s="1" t="s">
        <v>2607</v>
      </c>
      <c r="C1919" s="1" t="s">
        <v>101</v>
      </c>
      <c r="D1919" s="1" t="s">
        <v>101</v>
      </c>
      <c r="E1919" s="81">
        <v>0</v>
      </c>
      <c r="F1919" s="81">
        <v>0</v>
      </c>
    </row>
    <row r="1920" spans="1:6" x14ac:dyDescent="0.2">
      <c r="A1920" s="1" t="s">
        <v>179</v>
      </c>
      <c r="B1920" s="1" t="s">
        <v>2608</v>
      </c>
      <c r="C1920" s="1" t="s">
        <v>101</v>
      </c>
      <c r="D1920" s="1" t="s">
        <v>101</v>
      </c>
      <c r="E1920" s="81">
        <v>0</v>
      </c>
      <c r="F1920" s="81">
        <v>0</v>
      </c>
    </row>
    <row r="1921" spans="1:6" x14ac:dyDescent="0.2">
      <c r="A1921" s="1" t="s">
        <v>179</v>
      </c>
      <c r="B1921" s="1" t="s">
        <v>2609</v>
      </c>
      <c r="C1921" s="1" t="s">
        <v>101</v>
      </c>
      <c r="D1921" s="1" t="s">
        <v>101</v>
      </c>
      <c r="E1921" s="81">
        <v>0</v>
      </c>
      <c r="F1921" s="81">
        <v>0</v>
      </c>
    </row>
    <row r="1922" spans="1:6" x14ac:dyDescent="0.2">
      <c r="A1922" s="1" t="s">
        <v>179</v>
      </c>
      <c r="B1922" s="1" t="s">
        <v>2610</v>
      </c>
      <c r="C1922" s="1" t="s">
        <v>4067</v>
      </c>
      <c r="D1922" s="1" t="s">
        <v>4067</v>
      </c>
      <c r="E1922" s="81">
        <v>91.67</v>
      </c>
      <c r="F1922" s="81">
        <v>91.67</v>
      </c>
    </row>
    <row r="1923" spans="1:6" x14ac:dyDescent="0.2">
      <c r="A1923" s="1" t="s">
        <v>179</v>
      </c>
      <c r="B1923" s="1" t="s">
        <v>2611</v>
      </c>
      <c r="C1923" s="1" t="s">
        <v>4068</v>
      </c>
      <c r="D1923" s="1" t="s">
        <v>4068</v>
      </c>
      <c r="E1923" s="81">
        <v>497.75</v>
      </c>
      <c r="F1923" s="81">
        <v>497.75</v>
      </c>
    </row>
    <row r="1924" spans="1:6" x14ac:dyDescent="0.2">
      <c r="A1924" s="1" t="s">
        <v>179</v>
      </c>
      <c r="B1924" s="1" t="s">
        <v>2612</v>
      </c>
      <c r="C1924" s="1" t="s">
        <v>4069</v>
      </c>
      <c r="D1924" s="1" t="s">
        <v>4069</v>
      </c>
      <c r="E1924" s="81">
        <v>277.66000000000003</v>
      </c>
      <c r="F1924" s="81">
        <v>277.66000000000003</v>
      </c>
    </row>
    <row r="1925" spans="1:6" x14ac:dyDescent="0.2">
      <c r="A1925" s="1" t="s">
        <v>179</v>
      </c>
      <c r="B1925" s="1" t="s">
        <v>2613</v>
      </c>
      <c r="C1925" s="1" t="s">
        <v>101</v>
      </c>
      <c r="D1925" s="1" t="s">
        <v>101</v>
      </c>
      <c r="E1925" s="81">
        <v>0</v>
      </c>
      <c r="F1925" s="81">
        <v>0</v>
      </c>
    </row>
    <row r="1926" spans="1:6" x14ac:dyDescent="0.2">
      <c r="A1926" s="1" t="s">
        <v>179</v>
      </c>
      <c r="B1926" s="1" t="s">
        <v>2614</v>
      </c>
      <c r="C1926" s="1" t="s">
        <v>101</v>
      </c>
      <c r="D1926" s="1" t="s">
        <v>101</v>
      </c>
      <c r="E1926" s="81">
        <v>0</v>
      </c>
      <c r="F1926" s="81">
        <v>0</v>
      </c>
    </row>
    <row r="1927" spans="1:6" x14ac:dyDescent="0.2">
      <c r="A1927" s="1" t="s">
        <v>179</v>
      </c>
      <c r="B1927" s="1" t="s">
        <v>2615</v>
      </c>
      <c r="C1927" s="1" t="s">
        <v>101</v>
      </c>
      <c r="D1927" s="1" t="s">
        <v>101</v>
      </c>
      <c r="E1927" s="81">
        <v>0</v>
      </c>
      <c r="F1927" s="81">
        <v>0</v>
      </c>
    </row>
    <row r="1928" spans="1:6" x14ac:dyDescent="0.2">
      <c r="A1928" s="1" t="s">
        <v>179</v>
      </c>
      <c r="B1928" s="1" t="s">
        <v>2616</v>
      </c>
      <c r="C1928" s="1" t="s">
        <v>101</v>
      </c>
      <c r="D1928" s="1" t="s">
        <v>101</v>
      </c>
      <c r="E1928" s="81">
        <v>0</v>
      </c>
      <c r="F1928" s="81">
        <v>0</v>
      </c>
    </row>
    <row r="1929" spans="1:6" x14ac:dyDescent="0.2">
      <c r="A1929" s="1" t="s">
        <v>179</v>
      </c>
      <c r="B1929" s="1" t="s">
        <v>2617</v>
      </c>
      <c r="C1929" s="1" t="s">
        <v>101</v>
      </c>
      <c r="D1929" s="1" t="s">
        <v>101</v>
      </c>
      <c r="E1929" s="81">
        <v>0</v>
      </c>
      <c r="F1929" s="81">
        <v>0</v>
      </c>
    </row>
    <row r="1930" spans="1:6" x14ac:dyDescent="0.2">
      <c r="A1930" s="1" t="s">
        <v>179</v>
      </c>
      <c r="B1930" s="1" t="s">
        <v>2618</v>
      </c>
      <c r="C1930" s="1" t="s">
        <v>101</v>
      </c>
      <c r="D1930" s="1" t="s">
        <v>101</v>
      </c>
      <c r="E1930" s="81">
        <v>0</v>
      </c>
      <c r="F1930" s="81">
        <v>0</v>
      </c>
    </row>
    <row r="1931" spans="1:6" x14ac:dyDescent="0.2">
      <c r="A1931" s="1" t="s">
        <v>179</v>
      </c>
      <c r="B1931" s="1" t="s">
        <v>2619</v>
      </c>
      <c r="C1931" s="1" t="s">
        <v>101</v>
      </c>
      <c r="D1931" s="1" t="s">
        <v>101</v>
      </c>
      <c r="E1931" s="81">
        <v>0</v>
      </c>
      <c r="F1931" s="81">
        <v>0</v>
      </c>
    </row>
    <row r="1932" spans="1:6" x14ac:dyDescent="0.2">
      <c r="A1932" s="1" t="s">
        <v>179</v>
      </c>
      <c r="B1932" s="1" t="s">
        <v>2620</v>
      </c>
      <c r="C1932" s="1" t="s">
        <v>101</v>
      </c>
      <c r="D1932" s="1" t="s">
        <v>101</v>
      </c>
      <c r="E1932" s="81">
        <v>0</v>
      </c>
      <c r="F1932" s="81">
        <v>0</v>
      </c>
    </row>
    <row r="1933" spans="1:6" x14ac:dyDescent="0.2">
      <c r="A1933" s="1" t="s">
        <v>179</v>
      </c>
      <c r="B1933" s="1" t="s">
        <v>2621</v>
      </c>
      <c r="C1933" s="1" t="s">
        <v>101</v>
      </c>
      <c r="D1933" s="1" t="s">
        <v>101</v>
      </c>
      <c r="E1933" s="81">
        <v>0</v>
      </c>
      <c r="F1933" s="81">
        <v>0</v>
      </c>
    </row>
    <row r="1934" spans="1:6" x14ac:dyDescent="0.2">
      <c r="A1934" s="1" t="s">
        <v>179</v>
      </c>
      <c r="B1934" s="1" t="s">
        <v>2622</v>
      </c>
      <c r="C1934" s="1" t="s">
        <v>101</v>
      </c>
      <c r="D1934" s="1" t="s">
        <v>101</v>
      </c>
      <c r="E1934" s="81">
        <v>0</v>
      </c>
      <c r="F1934" s="81">
        <v>0</v>
      </c>
    </row>
    <row r="1935" spans="1:6" x14ac:dyDescent="0.2">
      <c r="A1935" s="1" t="s">
        <v>179</v>
      </c>
      <c r="B1935" s="1" t="s">
        <v>2623</v>
      </c>
      <c r="C1935" s="1" t="s">
        <v>101</v>
      </c>
      <c r="D1935" s="1" t="s">
        <v>101</v>
      </c>
      <c r="E1935" s="81">
        <v>0</v>
      </c>
      <c r="F1935" s="81">
        <v>0</v>
      </c>
    </row>
    <row r="1936" spans="1:6" x14ac:dyDescent="0.2">
      <c r="A1936" s="1" t="s">
        <v>179</v>
      </c>
      <c r="B1936" s="1" t="s">
        <v>2624</v>
      </c>
      <c r="C1936" s="1" t="s">
        <v>101</v>
      </c>
      <c r="D1936" s="1" t="s">
        <v>101</v>
      </c>
      <c r="E1936" s="81">
        <v>0</v>
      </c>
      <c r="F1936" s="81">
        <v>0</v>
      </c>
    </row>
    <row r="1937" spans="1:6" x14ac:dyDescent="0.2">
      <c r="A1937" s="1" t="s">
        <v>179</v>
      </c>
      <c r="B1937" s="1" t="s">
        <v>2625</v>
      </c>
      <c r="C1937" s="1" t="s">
        <v>101</v>
      </c>
      <c r="D1937" s="1" t="s">
        <v>101</v>
      </c>
      <c r="E1937" s="81">
        <v>0</v>
      </c>
      <c r="F1937" s="81">
        <v>0</v>
      </c>
    </row>
    <row r="1938" spans="1:6" x14ac:dyDescent="0.2">
      <c r="A1938" s="1" t="s">
        <v>179</v>
      </c>
      <c r="B1938" s="1" t="s">
        <v>2626</v>
      </c>
      <c r="C1938" s="1" t="s">
        <v>101</v>
      </c>
      <c r="D1938" s="1" t="s">
        <v>101</v>
      </c>
      <c r="E1938" s="81">
        <v>0</v>
      </c>
      <c r="F1938" s="81">
        <v>0</v>
      </c>
    </row>
    <row r="1939" spans="1:6" x14ac:dyDescent="0.2">
      <c r="A1939" s="1" t="s">
        <v>179</v>
      </c>
      <c r="B1939" s="1" t="s">
        <v>2627</v>
      </c>
      <c r="C1939" s="1" t="s">
        <v>101</v>
      </c>
      <c r="D1939" s="1" t="s">
        <v>101</v>
      </c>
      <c r="E1939" s="81">
        <v>0</v>
      </c>
      <c r="F1939" s="81">
        <v>0</v>
      </c>
    </row>
    <row r="1940" spans="1:6" x14ac:dyDescent="0.2">
      <c r="A1940" s="1" t="s">
        <v>179</v>
      </c>
      <c r="B1940" s="1" t="s">
        <v>2628</v>
      </c>
      <c r="C1940" s="1" t="s">
        <v>101</v>
      </c>
      <c r="D1940" s="1" t="s">
        <v>101</v>
      </c>
      <c r="E1940" s="81">
        <v>0</v>
      </c>
      <c r="F1940" s="81">
        <v>0</v>
      </c>
    </row>
    <row r="1941" spans="1:6" x14ac:dyDescent="0.2">
      <c r="A1941" s="1" t="s">
        <v>179</v>
      </c>
      <c r="B1941" s="1" t="s">
        <v>2629</v>
      </c>
      <c r="C1941" s="1" t="s">
        <v>101</v>
      </c>
      <c r="D1941" s="1" t="s">
        <v>101</v>
      </c>
      <c r="E1941" s="81">
        <v>0</v>
      </c>
      <c r="F1941" s="81">
        <v>0</v>
      </c>
    </row>
    <row r="1942" spans="1:6" x14ac:dyDescent="0.2">
      <c r="A1942" s="1" t="s">
        <v>179</v>
      </c>
      <c r="B1942" s="1" t="s">
        <v>2630</v>
      </c>
      <c r="C1942" s="1" t="s">
        <v>101</v>
      </c>
      <c r="D1942" s="1" t="s">
        <v>101</v>
      </c>
      <c r="E1942" s="81">
        <v>0</v>
      </c>
      <c r="F1942" s="81">
        <v>0</v>
      </c>
    </row>
    <row r="1943" spans="1:6" x14ac:dyDescent="0.2">
      <c r="A1943" s="1" t="s">
        <v>179</v>
      </c>
      <c r="B1943" s="1" t="s">
        <v>2631</v>
      </c>
      <c r="C1943" s="1" t="s">
        <v>101</v>
      </c>
      <c r="D1943" s="1" t="s">
        <v>101</v>
      </c>
      <c r="E1943" s="81">
        <v>0</v>
      </c>
      <c r="F1943" s="81">
        <v>0</v>
      </c>
    </row>
    <row r="1944" spans="1:6" x14ac:dyDescent="0.2">
      <c r="A1944" s="1" t="s">
        <v>179</v>
      </c>
      <c r="B1944" s="1" t="s">
        <v>2632</v>
      </c>
      <c r="C1944" s="1" t="s">
        <v>101</v>
      </c>
      <c r="D1944" s="1" t="s">
        <v>101</v>
      </c>
      <c r="E1944" s="81">
        <v>0</v>
      </c>
      <c r="F1944" s="81">
        <v>0</v>
      </c>
    </row>
    <row r="1945" spans="1:6" x14ac:dyDescent="0.2">
      <c r="A1945" s="1" t="s">
        <v>179</v>
      </c>
      <c r="B1945" s="1" t="s">
        <v>2633</v>
      </c>
      <c r="C1945" s="1" t="s">
        <v>101</v>
      </c>
      <c r="D1945" s="1" t="s">
        <v>101</v>
      </c>
      <c r="E1945" s="81">
        <v>0</v>
      </c>
      <c r="F1945" s="81">
        <v>0</v>
      </c>
    </row>
    <row r="1946" spans="1:6" x14ac:dyDescent="0.2">
      <c r="A1946" s="1" t="s">
        <v>179</v>
      </c>
      <c r="B1946" s="1" t="s">
        <v>2634</v>
      </c>
      <c r="C1946" s="1" t="s">
        <v>4060</v>
      </c>
      <c r="D1946" s="1" t="s">
        <v>4060</v>
      </c>
      <c r="E1946" s="81">
        <v>1868.27</v>
      </c>
      <c r="F1946" s="81">
        <v>1868.27</v>
      </c>
    </row>
    <row r="1947" spans="1:6" x14ac:dyDescent="0.2">
      <c r="A1947" s="1" t="s">
        <v>179</v>
      </c>
      <c r="B1947" s="1" t="s">
        <v>2635</v>
      </c>
      <c r="C1947" s="1" t="s">
        <v>4061</v>
      </c>
      <c r="D1947" s="1" t="s">
        <v>4061</v>
      </c>
      <c r="E1947" s="81">
        <v>4512.03</v>
      </c>
      <c r="F1947" s="81">
        <v>4512.03</v>
      </c>
    </row>
    <row r="1948" spans="1:6" x14ac:dyDescent="0.2">
      <c r="A1948" s="1" t="s">
        <v>179</v>
      </c>
      <c r="B1948" s="1" t="s">
        <v>2636</v>
      </c>
      <c r="C1948" s="1" t="s">
        <v>4062</v>
      </c>
      <c r="D1948" s="1" t="s">
        <v>4062</v>
      </c>
      <c r="E1948" s="81">
        <v>4475.53</v>
      </c>
      <c r="F1948" s="81">
        <v>4475.53</v>
      </c>
    </row>
    <row r="1949" spans="1:6" x14ac:dyDescent="0.2">
      <c r="A1949" s="1" t="s">
        <v>179</v>
      </c>
      <c r="B1949" s="1" t="s">
        <v>2637</v>
      </c>
      <c r="C1949" s="1" t="s">
        <v>101</v>
      </c>
      <c r="D1949" s="1" t="s">
        <v>101</v>
      </c>
      <c r="E1949" s="81">
        <v>0</v>
      </c>
      <c r="F1949" s="81">
        <v>0</v>
      </c>
    </row>
    <row r="1950" spans="1:6" x14ac:dyDescent="0.2">
      <c r="A1950" s="1" t="s">
        <v>179</v>
      </c>
      <c r="B1950" s="1" t="s">
        <v>2638</v>
      </c>
      <c r="C1950" s="1" t="s">
        <v>101</v>
      </c>
      <c r="D1950" s="1" t="s">
        <v>101</v>
      </c>
      <c r="E1950" s="81">
        <v>0</v>
      </c>
      <c r="F1950" s="81">
        <v>0</v>
      </c>
    </row>
    <row r="1951" spans="1:6" x14ac:dyDescent="0.2">
      <c r="A1951" s="1" t="s">
        <v>179</v>
      </c>
      <c r="B1951" s="1" t="s">
        <v>2639</v>
      </c>
      <c r="C1951" s="1" t="s">
        <v>101</v>
      </c>
      <c r="D1951" s="1" t="s">
        <v>101</v>
      </c>
      <c r="E1951" s="81">
        <v>0</v>
      </c>
      <c r="F1951" s="81">
        <v>0</v>
      </c>
    </row>
    <row r="1952" spans="1:6" x14ac:dyDescent="0.2">
      <c r="A1952" s="1" t="s">
        <v>179</v>
      </c>
      <c r="B1952" s="1" t="s">
        <v>2640</v>
      </c>
      <c r="C1952" s="1" t="s">
        <v>101</v>
      </c>
      <c r="D1952" s="1" t="s">
        <v>101</v>
      </c>
      <c r="E1952" s="81">
        <v>0</v>
      </c>
      <c r="F1952" s="81">
        <v>0</v>
      </c>
    </row>
    <row r="1953" spans="1:6" x14ac:dyDescent="0.2">
      <c r="A1953" s="1" t="s">
        <v>179</v>
      </c>
      <c r="B1953" s="1" t="s">
        <v>2641</v>
      </c>
      <c r="C1953" s="1" t="s">
        <v>101</v>
      </c>
      <c r="D1953" s="1" t="s">
        <v>101</v>
      </c>
      <c r="E1953" s="81">
        <v>0</v>
      </c>
      <c r="F1953" s="81">
        <v>0</v>
      </c>
    </row>
    <row r="1954" spans="1:6" x14ac:dyDescent="0.2">
      <c r="A1954" s="1" t="s">
        <v>179</v>
      </c>
      <c r="B1954" s="1" t="s">
        <v>2642</v>
      </c>
      <c r="C1954" s="1" t="s">
        <v>101</v>
      </c>
      <c r="D1954" s="1" t="s">
        <v>101</v>
      </c>
      <c r="E1954" s="81">
        <v>0</v>
      </c>
      <c r="F1954" s="81">
        <v>0</v>
      </c>
    </row>
    <row r="1955" spans="1:6" x14ac:dyDescent="0.2">
      <c r="A1955" s="1" t="s">
        <v>179</v>
      </c>
      <c r="B1955" s="1" t="s">
        <v>2643</v>
      </c>
      <c r="C1955" s="1" t="s">
        <v>101</v>
      </c>
      <c r="D1955" s="1" t="s">
        <v>101</v>
      </c>
      <c r="E1955" s="81">
        <v>0</v>
      </c>
      <c r="F1955" s="81">
        <v>0</v>
      </c>
    </row>
    <row r="1956" spans="1:6" x14ac:dyDescent="0.2">
      <c r="A1956" s="1" t="s">
        <v>179</v>
      </c>
      <c r="B1956" s="1" t="s">
        <v>2644</v>
      </c>
      <c r="C1956" s="1" t="s">
        <v>101</v>
      </c>
      <c r="D1956" s="1" t="s">
        <v>101</v>
      </c>
      <c r="E1956" s="81">
        <v>0</v>
      </c>
      <c r="F1956" s="81">
        <v>0</v>
      </c>
    </row>
    <row r="1957" spans="1:6" x14ac:dyDescent="0.2">
      <c r="A1957" s="1" t="s">
        <v>179</v>
      </c>
      <c r="B1957" s="1" t="s">
        <v>2645</v>
      </c>
      <c r="C1957" s="1" t="s">
        <v>101</v>
      </c>
      <c r="D1957" s="1" t="s">
        <v>101</v>
      </c>
      <c r="E1957" s="81">
        <v>0</v>
      </c>
      <c r="F1957" s="81">
        <v>0</v>
      </c>
    </row>
    <row r="1958" spans="1:6" x14ac:dyDescent="0.2">
      <c r="A1958" s="1" t="s">
        <v>179</v>
      </c>
      <c r="B1958" s="1" t="s">
        <v>2646</v>
      </c>
      <c r="C1958" s="1" t="s">
        <v>4063</v>
      </c>
      <c r="D1958" s="1" t="s">
        <v>4063</v>
      </c>
      <c r="E1958" s="81">
        <v>10855.83</v>
      </c>
      <c r="F1958" s="81">
        <v>10855.83</v>
      </c>
    </row>
    <row r="1959" spans="1:6" x14ac:dyDescent="0.2">
      <c r="A1959" s="1" t="s">
        <v>179</v>
      </c>
      <c r="B1959" s="1" t="s">
        <v>2647</v>
      </c>
      <c r="C1959" s="1" t="s">
        <v>4070</v>
      </c>
      <c r="D1959" s="1" t="s">
        <v>4070</v>
      </c>
      <c r="E1959" s="81">
        <v>187.51</v>
      </c>
      <c r="F1959" s="81">
        <v>187.51</v>
      </c>
    </row>
    <row r="1960" spans="1:6" x14ac:dyDescent="0.2">
      <c r="A1960" s="1" t="s">
        <v>179</v>
      </c>
      <c r="B1960" s="1" t="s">
        <v>2648</v>
      </c>
      <c r="C1960" s="1" t="s">
        <v>4071</v>
      </c>
      <c r="D1960" s="1" t="s">
        <v>4071</v>
      </c>
      <c r="E1960" s="81">
        <v>273.92</v>
      </c>
      <c r="F1960" s="81">
        <v>273.92</v>
      </c>
    </row>
    <row r="1961" spans="1:6" x14ac:dyDescent="0.2">
      <c r="A1961" s="1" t="s">
        <v>179</v>
      </c>
      <c r="B1961" s="1" t="s">
        <v>2649</v>
      </c>
      <c r="C1961" s="1" t="s">
        <v>4072</v>
      </c>
      <c r="D1961" s="1" t="s">
        <v>4072</v>
      </c>
      <c r="E1961" s="81">
        <v>437.44</v>
      </c>
      <c r="F1961" s="81">
        <v>437.44</v>
      </c>
    </row>
    <row r="1962" spans="1:6" x14ac:dyDescent="0.2">
      <c r="A1962" s="1" t="s">
        <v>179</v>
      </c>
      <c r="B1962" s="1" t="s">
        <v>2650</v>
      </c>
      <c r="C1962" s="1" t="s">
        <v>101</v>
      </c>
      <c r="D1962" s="1" t="s">
        <v>101</v>
      </c>
      <c r="E1962" s="81">
        <v>0</v>
      </c>
      <c r="F1962" s="81">
        <v>0</v>
      </c>
    </row>
    <row r="1963" spans="1:6" x14ac:dyDescent="0.2">
      <c r="A1963" s="1" t="s">
        <v>179</v>
      </c>
      <c r="B1963" s="1" t="s">
        <v>2651</v>
      </c>
      <c r="C1963" s="1" t="s">
        <v>101</v>
      </c>
      <c r="D1963" s="1" t="s">
        <v>101</v>
      </c>
      <c r="E1963" s="81">
        <v>0</v>
      </c>
      <c r="F1963" s="81">
        <v>0</v>
      </c>
    </row>
    <row r="1964" spans="1:6" x14ac:dyDescent="0.2">
      <c r="A1964" s="1" t="s">
        <v>179</v>
      </c>
      <c r="B1964" s="1" t="s">
        <v>2652</v>
      </c>
      <c r="C1964" s="1" t="s">
        <v>101</v>
      </c>
      <c r="D1964" s="1" t="s">
        <v>101</v>
      </c>
      <c r="E1964" s="81">
        <v>0</v>
      </c>
      <c r="F1964" s="81">
        <v>0</v>
      </c>
    </row>
    <row r="1965" spans="1:6" x14ac:dyDescent="0.2">
      <c r="A1965" s="1" t="s">
        <v>179</v>
      </c>
      <c r="B1965" s="1" t="s">
        <v>2653</v>
      </c>
      <c r="C1965" s="1" t="s">
        <v>101</v>
      </c>
      <c r="D1965" s="1" t="s">
        <v>101</v>
      </c>
      <c r="E1965" s="81">
        <v>0</v>
      </c>
      <c r="F1965" s="81">
        <v>0</v>
      </c>
    </row>
    <row r="1966" spans="1:6" x14ac:dyDescent="0.2">
      <c r="A1966" s="1" t="s">
        <v>179</v>
      </c>
      <c r="B1966" s="1" t="s">
        <v>2654</v>
      </c>
      <c r="C1966" s="1" t="s">
        <v>101</v>
      </c>
      <c r="D1966" s="1" t="s">
        <v>101</v>
      </c>
      <c r="E1966" s="81">
        <v>0</v>
      </c>
      <c r="F1966" s="81">
        <v>0</v>
      </c>
    </row>
    <row r="1967" spans="1:6" x14ac:dyDescent="0.2">
      <c r="A1967" s="1" t="s">
        <v>179</v>
      </c>
      <c r="B1967" s="1" t="s">
        <v>2655</v>
      </c>
      <c r="C1967" s="1" t="s">
        <v>101</v>
      </c>
      <c r="D1967" s="1" t="s">
        <v>101</v>
      </c>
      <c r="E1967" s="81">
        <v>0</v>
      </c>
      <c r="F1967" s="81">
        <v>0</v>
      </c>
    </row>
    <row r="1968" spans="1:6" x14ac:dyDescent="0.2">
      <c r="A1968" s="1" t="s">
        <v>179</v>
      </c>
      <c r="B1968" s="1" t="s">
        <v>2656</v>
      </c>
      <c r="C1968" s="1" t="s">
        <v>101</v>
      </c>
      <c r="D1968" s="1" t="s">
        <v>101</v>
      </c>
      <c r="E1968" s="81">
        <v>0</v>
      </c>
      <c r="F1968" s="81">
        <v>0</v>
      </c>
    </row>
    <row r="1969" spans="1:6" x14ac:dyDescent="0.2">
      <c r="A1969" s="1" t="s">
        <v>179</v>
      </c>
      <c r="B1969" s="1" t="s">
        <v>2657</v>
      </c>
      <c r="C1969" s="1" t="s">
        <v>101</v>
      </c>
      <c r="D1969" s="1" t="s">
        <v>101</v>
      </c>
      <c r="E1969" s="81">
        <v>0</v>
      </c>
      <c r="F1969" s="81">
        <v>0</v>
      </c>
    </row>
    <row r="1970" spans="1:6" x14ac:dyDescent="0.2">
      <c r="A1970" s="1" t="s">
        <v>179</v>
      </c>
      <c r="B1970" s="1" t="s">
        <v>2658</v>
      </c>
      <c r="C1970" s="1" t="s">
        <v>101</v>
      </c>
      <c r="D1970" s="1" t="s">
        <v>101</v>
      </c>
      <c r="E1970" s="81">
        <v>0</v>
      </c>
      <c r="F1970" s="81">
        <v>0</v>
      </c>
    </row>
    <row r="1971" spans="1:6" x14ac:dyDescent="0.2">
      <c r="A1971" s="1" t="s">
        <v>179</v>
      </c>
      <c r="B1971" s="1" t="s">
        <v>2659</v>
      </c>
      <c r="C1971" s="1" t="s">
        <v>4073</v>
      </c>
      <c r="D1971" s="1" t="s">
        <v>4073</v>
      </c>
      <c r="E1971" s="81">
        <v>898.87</v>
      </c>
      <c r="F1971" s="81">
        <v>898.87</v>
      </c>
    </row>
    <row r="1972" spans="1:6" x14ac:dyDescent="0.2">
      <c r="A1972" s="1" t="s">
        <v>179</v>
      </c>
      <c r="B1972" s="1" t="s">
        <v>2660</v>
      </c>
      <c r="C1972" s="1" t="s">
        <v>101</v>
      </c>
      <c r="D1972" s="1" t="s">
        <v>101</v>
      </c>
      <c r="E1972" s="81">
        <v>0</v>
      </c>
      <c r="F1972" s="81">
        <v>0</v>
      </c>
    </row>
    <row r="1973" spans="1:6" x14ac:dyDescent="0.2">
      <c r="A1973" s="1" t="s">
        <v>179</v>
      </c>
      <c r="B1973" s="1" t="s">
        <v>2661</v>
      </c>
      <c r="C1973" s="1" t="s">
        <v>4074</v>
      </c>
      <c r="D1973" s="1" t="s">
        <v>4074</v>
      </c>
      <c r="E1973" s="81">
        <v>96.41</v>
      </c>
      <c r="F1973" s="81">
        <v>96.41</v>
      </c>
    </row>
    <row r="1974" spans="1:6" x14ac:dyDescent="0.2">
      <c r="A1974" s="1" t="s">
        <v>179</v>
      </c>
      <c r="B1974" s="1" t="s">
        <v>2662</v>
      </c>
      <c r="C1974" s="1" t="s">
        <v>4075</v>
      </c>
      <c r="D1974" s="1" t="s">
        <v>4075</v>
      </c>
      <c r="E1974" s="81">
        <v>250.59</v>
      </c>
      <c r="F1974" s="81">
        <v>250.59</v>
      </c>
    </row>
    <row r="1975" spans="1:6" x14ac:dyDescent="0.2">
      <c r="A1975" s="1" t="s">
        <v>179</v>
      </c>
      <c r="B1975" s="1" t="s">
        <v>2663</v>
      </c>
      <c r="C1975" s="1" t="s">
        <v>101</v>
      </c>
      <c r="D1975" s="1" t="s">
        <v>101</v>
      </c>
      <c r="E1975" s="81">
        <v>0</v>
      </c>
      <c r="F1975" s="81">
        <v>0</v>
      </c>
    </row>
    <row r="1976" spans="1:6" x14ac:dyDescent="0.2">
      <c r="A1976" s="1" t="s">
        <v>179</v>
      </c>
      <c r="B1976" s="1" t="s">
        <v>2664</v>
      </c>
      <c r="C1976" s="1" t="s">
        <v>101</v>
      </c>
      <c r="D1976" s="1" t="s">
        <v>101</v>
      </c>
      <c r="E1976" s="81">
        <v>0</v>
      </c>
      <c r="F1976" s="81">
        <v>0</v>
      </c>
    </row>
    <row r="1977" spans="1:6" x14ac:dyDescent="0.2">
      <c r="A1977" s="1" t="s">
        <v>179</v>
      </c>
      <c r="B1977" s="1" t="s">
        <v>2665</v>
      </c>
      <c r="C1977" s="1" t="s">
        <v>101</v>
      </c>
      <c r="D1977" s="1" t="s">
        <v>101</v>
      </c>
      <c r="E1977" s="81">
        <v>0</v>
      </c>
      <c r="F1977" s="81">
        <v>0</v>
      </c>
    </row>
    <row r="1978" spans="1:6" x14ac:dyDescent="0.2">
      <c r="A1978" s="1" t="s">
        <v>179</v>
      </c>
      <c r="B1978" s="1" t="s">
        <v>2666</v>
      </c>
      <c r="C1978" s="1" t="s">
        <v>101</v>
      </c>
      <c r="D1978" s="1" t="s">
        <v>101</v>
      </c>
      <c r="E1978" s="81">
        <v>0</v>
      </c>
      <c r="F1978" s="81">
        <v>0</v>
      </c>
    </row>
    <row r="1979" spans="1:6" x14ac:dyDescent="0.2">
      <c r="A1979" s="1" t="s">
        <v>179</v>
      </c>
      <c r="B1979" s="1" t="s">
        <v>2667</v>
      </c>
      <c r="C1979" s="1" t="s">
        <v>101</v>
      </c>
      <c r="D1979" s="1" t="s">
        <v>101</v>
      </c>
      <c r="E1979" s="81">
        <v>0</v>
      </c>
      <c r="F1979" s="81">
        <v>0</v>
      </c>
    </row>
    <row r="1980" spans="1:6" x14ac:dyDescent="0.2">
      <c r="A1980" s="1" t="s">
        <v>179</v>
      </c>
      <c r="B1980" s="1" t="s">
        <v>2668</v>
      </c>
      <c r="C1980" s="1" t="s">
        <v>101</v>
      </c>
      <c r="D1980" s="1" t="s">
        <v>101</v>
      </c>
      <c r="E1980" s="81">
        <v>0</v>
      </c>
      <c r="F1980" s="81">
        <v>0</v>
      </c>
    </row>
    <row r="1981" spans="1:6" x14ac:dyDescent="0.2">
      <c r="A1981" s="1" t="s">
        <v>179</v>
      </c>
      <c r="B1981" s="1" t="s">
        <v>2669</v>
      </c>
      <c r="C1981" s="1" t="s">
        <v>101</v>
      </c>
      <c r="D1981" s="1" t="s">
        <v>101</v>
      </c>
      <c r="E1981" s="81">
        <v>0</v>
      </c>
      <c r="F1981" s="81">
        <v>0</v>
      </c>
    </row>
    <row r="1982" spans="1:6" x14ac:dyDescent="0.2">
      <c r="A1982" s="1" t="s">
        <v>179</v>
      </c>
      <c r="B1982" s="1" t="s">
        <v>2670</v>
      </c>
      <c r="C1982" s="1" t="s">
        <v>101</v>
      </c>
      <c r="D1982" s="1" t="s">
        <v>101</v>
      </c>
      <c r="E1982" s="81">
        <v>0</v>
      </c>
      <c r="F1982" s="81">
        <v>0</v>
      </c>
    </row>
    <row r="1983" spans="1:6" x14ac:dyDescent="0.2">
      <c r="A1983" s="1" t="s">
        <v>179</v>
      </c>
      <c r="B1983" s="1" t="s">
        <v>2671</v>
      </c>
      <c r="C1983" s="1" t="s">
        <v>101</v>
      </c>
      <c r="D1983" s="1" t="s">
        <v>101</v>
      </c>
      <c r="E1983" s="81">
        <v>0</v>
      </c>
      <c r="F1983" s="81">
        <v>0</v>
      </c>
    </row>
    <row r="1984" spans="1:6" x14ac:dyDescent="0.2">
      <c r="A1984" s="1" t="s">
        <v>179</v>
      </c>
      <c r="B1984" s="1" t="s">
        <v>2672</v>
      </c>
      <c r="C1984" s="1" t="s">
        <v>4076</v>
      </c>
      <c r="D1984" s="1" t="s">
        <v>4076</v>
      </c>
      <c r="E1984" s="81">
        <v>187.8</v>
      </c>
      <c r="F1984" s="81">
        <v>187.8</v>
      </c>
    </row>
    <row r="1985" spans="1:6" x14ac:dyDescent="0.2">
      <c r="A1985" s="1" t="s">
        <v>179</v>
      </c>
      <c r="B1985" s="1" t="s">
        <v>2673</v>
      </c>
      <c r="C1985" s="1" t="s">
        <v>4077</v>
      </c>
      <c r="D1985" s="1" t="s">
        <v>4077</v>
      </c>
      <c r="E1985" s="81">
        <v>177.98</v>
      </c>
      <c r="F1985" s="81">
        <v>177.98</v>
      </c>
    </row>
    <row r="1986" spans="1:6" x14ac:dyDescent="0.2">
      <c r="A1986" s="1" t="s">
        <v>179</v>
      </c>
      <c r="B1986" s="1" t="s">
        <v>2674</v>
      </c>
      <c r="C1986" s="1" t="s">
        <v>4078</v>
      </c>
      <c r="D1986" s="1" t="s">
        <v>4078</v>
      </c>
      <c r="E1986" s="81">
        <v>187.54</v>
      </c>
      <c r="F1986" s="81">
        <v>187.54</v>
      </c>
    </row>
    <row r="1987" spans="1:6" x14ac:dyDescent="0.2">
      <c r="A1987" s="1" t="s">
        <v>179</v>
      </c>
      <c r="B1987" s="1" t="s">
        <v>2675</v>
      </c>
      <c r="C1987" s="1" t="s">
        <v>101</v>
      </c>
      <c r="D1987" s="1" t="s">
        <v>101</v>
      </c>
      <c r="E1987" s="81">
        <v>0</v>
      </c>
      <c r="F1987" s="81">
        <v>0</v>
      </c>
    </row>
    <row r="1988" spans="1:6" x14ac:dyDescent="0.2">
      <c r="A1988" s="1" t="s">
        <v>179</v>
      </c>
      <c r="B1988" s="1" t="s">
        <v>2676</v>
      </c>
      <c r="C1988" s="1" t="s">
        <v>101</v>
      </c>
      <c r="D1988" s="1" t="s">
        <v>101</v>
      </c>
      <c r="E1988" s="81">
        <v>0</v>
      </c>
      <c r="F1988" s="81">
        <v>0</v>
      </c>
    </row>
    <row r="1989" spans="1:6" x14ac:dyDescent="0.2">
      <c r="A1989" s="1" t="s">
        <v>179</v>
      </c>
      <c r="B1989" s="1" t="s">
        <v>2677</v>
      </c>
      <c r="C1989" s="1" t="s">
        <v>101</v>
      </c>
      <c r="D1989" s="1" t="s">
        <v>101</v>
      </c>
      <c r="E1989" s="81">
        <v>0</v>
      </c>
      <c r="F1989" s="81">
        <v>0</v>
      </c>
    </row>
    <row r="1990" spans="1:6" x14ac:dyDescent="0.2">
      <c r="A1990" s="1" t="s">
        <v>179</v>
      </c>
      <c r="B1990" s="1" t="s">
        <v>2678</v>
      </c>
      <c r="C1990" s="1" t="s">
        <v>101</v>
      </c>
      <c r="D1990" s="1" t="s">
        <v>101</v>
      </c>
      <c r="E1990" s="81">
        <v>0</v>
      </c>
      <c r="F1990" s="81">
        <v>0</v>
      </c>
    </row>
    <row r="1991" spans="1:6" x14ac:dyDescent="0.2">
      <c r="A1991" s="1" t="s">
        <v>179</v>
      </c>
      <c r="B1991" s="1" t="s">
        <v>2679</v>
      </c>
      <c r="C1991" s="1" t="s">
        <v>101</v>
      </c>
      <c r="D1991" s="1" t="s">
        <v>101</v>
      </c>
      <c r="E1991" s="81">
        <v>0</v>
      </c>
      <c r="F1991" s="81">
        <v>0</v>
      </c>
    </row>
    <row r="1992" spans="1:6" x14ac:dyDescent="0.2">
      <c r="A1992" s="1" t="s">
        <v>179</v>
      </c>
      <c r="B1992" s="1" t="s">
        <v>2680</v>
      </c>
      <c r="C1992" s="1" t="s">
        <v>101</v>
      </c>
      <c r="D1992" s="1" t="s">
        <v>101</v>
      </c>
      <c r="E1992" s="81">
        <v>0</v>
      </c>
      <c r="F1992" s="81">
        <v>0</v>
      </c>
    </row>
    <row r="1993" spans="1:6" x14ac:dyDescent="0.2">
      <c r="A1993" s="1" t="s">
        <v>179</v>
      </c>
      <c r="B1993" s="1" t="s">
        <v>2681</v>
      </c>
      <c r="C1993" s="1" t="s">
        <v>101</v>
      </c>
      <c r="D1993" s="1" t="s">
        <v>101</v>
      </c>
      <c r="E1993" s="81">
        <v>0</v>
      </c>
      <c r="F1993" s="81">
        <v>0</v>
      </c>
    </row>
    <row r="1994" spans="1:6" x14ac:dyDescent="0.2">
      <c r="A1994" s="1" t="s">
        <v>179</v>
      </c>
      <c r="B1994" s="1" t="s">
        <v>2682</v>
      </c>
      <c r="C1994" s="1" t="s">
        <v>101</v>
      </c>
      <c r="D1994" s="1" t="s">
        <v>101</v>
      </c>
      <c r="E1994" s="81">
        <v>0</v>
      </c>
      <c r="F1994" s="81">
        <v>0</v>
      </c>
    </row>
    <row r="1995" spans="1:6" x14ac:dyDescent="0.2">
      <c r="A1995" s="1" t="s">
        <v>179</v>
      </c>
      <c r="B1995" s="1" t="s">
        <v>2683</v>
      </c>
      <c r="C1995" s="1" t="s">
        <v>101</v>
      </c>
      <c r="D1995" s="1" t="s">
        <v>101</v>
      </c>
      <c r="E1995" s="81">
        <v>0</v>
      </c>
      <c r="F1995" s="81">
        <v>0</v>
      </c>
    </row>
    <row r="1996" spans="1:6" x14ac:dyDescent="0.2">
      <c r="A1996" s="1" t="s">
        <v>179</v>
      </c>
      <c r="B1996" s="1" t="s">
        <v>2684</v>
      </c>
      <c r="C1996" s="1" t="s">
        <v>101</v>
      </c>
      <c r="D1996" s="1" t="s">
        <v>101</v>
      </c>
      <c r="E1996" s="81">
        <v>0</v>
      </c>
      <c r="F1996" s="81">
        <v>0</v>
      </c>
    </row>
    <row r="1997" spans="1:6" x14ac:dyDescent="0.2">
      <c r="A1997" s="1" t="s">
        <v>179</v>
      </c>
      <c r="B1997" s="1" t="s">
        <v>2685</v>
      </c>
      <c r="C1997" s="1" t="s">
        <v>101</v>
      </c>
      <c r="D1997" s="1" t="s">
        <v>101</v>
      </c>
      <c r="E1997" s="81">
        <v>0</v>
      </c>
      <c r="F1997" s="81">
        <v>0</v>
      </c>
    </row>
    <row r="1998" spans="1:6" x14ac:dyDescent="0.2">
      <c r="A1998" s="1" t="s">
        <v>179</v>
      </c>
      <c r="B1998" s="1" t="s">
        <v>2686</v>
      </c>
      <c r="C1998" s="1" t="s">
        <v>101</v>
      </c>
      <c r="D1998" s="1" t="s">
        <v>101</v>
      </c>
      <c r="E1998" s="81">
        <v>0</v>
      </c>
      <c r="F1998" s="81">
        <v>0</v>
      </c>
    </row>
    <row r="1999" spans="1:6" x14ac:dyDescent="0.2">
      <c r="A1999" s="1" t="s">
        <v>179</v>
      </c>
      <c r="B1999" s="1" t="s">
        <v>2687</v>
      </c>
      <c r="C1999" s="1" t="s">
        <v>101</v>
      </c>
      <c r="D1999" s="1" t="s">
        <v>101</v>
      </c>
      <c r="E1999" s="81">
        <v>0</v>
      </c>
      <c r="F1999" s="81">
        <v>0</v>
      </c>
    </row>
    <row r="2000" spans="1:6" x14ac:dyDescent="0.2">
      <c r="A2000" s="1" t="s">
        <v>179</v>
      </c>
      <c r="B2000" s="1" t="s">
        <v>2688</v>
      </c>
      <c r="C2000" s="1" t="s">
        <v>101</v>
      </c>
      <c r="D2000" s="1" t="s">
        <v>101</v>
      </c>
      <c r="E2000" s="81">
        <v>0</v>
      </c>
      <c r="F2000" s="81">
        <v>0</v>
      </c>
    </row>
    <row r="2001" spans="1:6" x14ac:dyDescent="0.2">
      <c r="A2001" s="1" t="s">
        <v>179</v>
      </c>
      <c r="B2001" s="1" t="s">
        <v>2689</v>
      </c>
      <c r="C2001" s="1" t="s">
        <v>101</v>
      </c>
      <c r="D2001" s="1" t="s">
        <v>101</v>
      </c>
      <c r="E2001" s="81">
        <v>0</v>
      </c>
      <c r="F2001" s="81">
        <v>0</v>
      </c>
    </row>
    <row r="2002" spans="1:6" x14ac:dyDescent="0.2">
      <c r="A2002" s="1" t="s">
        <v>179</v>
      </c>
      <c r="B2002" s="1" t="s">
        <v>2690</v>
      </c>
      <c r="C2002" s="1" t="s">
        <v>101</v>
      </c>
      <c r="D2002" s="1" t="s">
        <v>101</v>
      </c>
      <c r="E2002" s="81">
        <v>0</v>
      </c>
      <c r="F2002" s="81">
        <v>0</v>
      </c>
    </row>
    <row r="2003" spans="1:6" x14ac:dyDescent="0.2">
      <c r="A2003" s="1" t="s">
        <v>179</v>
      </c>
      <c r="B2003" s="1" t="s">
        <v>2691</v>
      </c>
      <c r="C2003" s="1" t="s">
        <v>101</v>
      </c>
      <c r="D2003" s="1" t="s">
        <v>101</v>
      </c>
      <c r="E2003" s="81">
        <v>0</v>
      </c>
      <c r="F2003" s="81">
        <v>0</v>
      </c>
    </row>
    <row r="2004" spans="1:6" x14ac:dyDescent="0.2">
      <c r="A2004" s="1" t="s">
        <v>179</v>
      </c>
      <c r="B2004" s="1" t="s">
        <v>2692</v>
      </c>
      <c r="C2004" s="1" t="s">
        <v>101</v>
      </c>
      <c r="D2004" s="1" t="s">
        <v>101</v>
      </c>
      <c r="E2004" s="81">
        <v>0</v>
      </c>
      <c r="F2004" s="81">
        <v>0</v>
      </c>
    </row>
    <row r="2005" spans="1:6" x14ac:dyDescent="0.2">
      <c r="A2005" s="1" t="s">
        <v>179</v>
      </c>
      <c r="B2005" s="1" t="s">
        <v>2693</v>
      </c>
      <c r="C2005" s="1" t="s">
        <v>101</v>
      </c>
      <c r="D2005" s="1" t="s">
        <v>101</v>
      </c>
      <c r="E2005" s="81">
        <v>0</v>
      </c>
      <c r="F2005" s="81">
        <v>0</v>
      </c>
    </row>
    <row r="2006" spans="1:6" x14ac:dyDescent="0.2">
      <c r="A2006" s="1" t="s">
        <v>179</v>
      </c>
      <c r="B2006" s="1" t="s">
        <v>2694</v>
      </c>
      <c r="C2006" s="1" t="s">
        <v>101</v>
      </c>
      <c r="D2006" s="1" t="s">
        <v>101</v>
      </c>
      <c r="E2006" s="81">
        <v>0</v>
      </c>
      <c r="F2006" s="81">
        <v>0</v>
      </c>
    </row>
    <row r="2007" spans="1:6" x14ac:dyDescent="0.2">
      <c r="A2007" s="1" t="s">
        <v>179</v>
      </c>
      <c r="B2007" s="1" t="s">
        <v>2695</v>
      </c>
      <c r="C2007" s="1" t="s">
        <v>101</v>
      </c>
      <c r="D2007" s="1" t="s">
        <v>101</v>
      </c>
      <c r="E2007" s="81">
        <v>0</v>
      </c>
      <c r="F2007" s="81">
        <v>0</v>
      </c>
    </row>
    <row r="2008" spans="1:6" x14ac:dyDescent="0.2">
      <c r="A2008" s="1" t="s">
        <v>179</v>
      </c>
      <c r="B2008" s="1" t="s">
        <v>2696</v>
      </c>
      <c r="C2008" s="1" t="s">
        <v>4070</v>
      </c>
      <c r="D2008" s="1" t="s">
        <v>4070</v>
      </c>
      <c r="E2008" s="81">
        <v>187.51</v>
      </c>
      <c r="F2008" s="81">
        <v>187.51</v>
      </c>
    </row>
    <row r="2009" spans="1:6" x14ac:dyDescent="0.2">
      <c r="A2009" s="1" t="s">
        <v>179</v>
      </c>
      <c r="B2009" s="1" t="s">
        <v>2697</v>
      </c>
      <c r="C2009" s="1" t="s">
        <v>4071</v>
      </c>
      <c r="D2009" s="1" t="s">
        <v>4071</v>
      </c>
      <c r="E2009" s="81">
        <v>273.92</v>
      </c>
      <c r="F2009" s="81">
        <v>273.92</v>
      </c>
    </row>
    <row r="2010" spans="1:6" x14ac:dyDescent="0.2">
      <c r="A2010" s="1" t="s">
        <v>179</v>
      </c>
      <c r="B2010" s="1" t="s">
        <v>2698</v>
      </c>
      <c r="C2010" s="1" t="s">
        <v>4072</v>
      </c>
      <c r="D2010" s="1" t="s">
        <v>4072</v>
      </c>
      <c r="E2010" s="81">
        <v>437.44</v>
      </c>
      <c r="F2010" s="81">
        <v>437.44</v>
      </c>
    </row>
    <row r="2011" spans="1:6" x14ac:dyDescent="0.2">
      <c r="A2011" s="1" t="s">
        <v>179</v>
      </c>
      <c r="B2011" s="1" t="s">
        <v>2699</v>
      </c>
      <c r="C2011" s="1" t="s">
        <v>101</v>
      </c>
      <c r="D2011" s="1" t="s">
        <v>101</v>
      </c>
      <c r="E2011" s="81">
        <v>0</v>
      </c>
      <c r="F2011" s="81">
        <v>0</v>
      </c>
    </row>
    <row r="2012" spans="1:6" x14ac:dyDescent="0.2">
      <c r="A2012" s="1" t="s">
        <v>179</v>
      </c>
      <c r="B2012" s="1" t="s">
        <v>2700</v>
      </c>
      <c r="C2012" s="1" t="s">
        <v>101</v>
      </c>
      <c r="D2012" s="1" t="s">
        <v>101</v>
      </c>
      <c r="E2012" s="81">
        <v>0</v>
      </c>
      <c r="F2012" s="81">
        <v>0</v>
      </c>
    </row>
    <row r="2013" spans="1:6" x14ac:dyDescent="0.2">
      <c r="A2013" s="1" t="s">
        <v>179</v>
      </c>
      <c r="B2013" s="1" t="s">
        <v>2701</v>
      </c>
      <c r="C2013" s="1" t="s">
        <v>101</v>
      </c>
      <c r="D2013" s="1" t="s">
        <v>101</v>
      </c>
      <c r="E2013" s="81">
        <v>0</v>
      </c>
      <c r="F2013" s="81">
        <v>0</v>
      </c>
    </row>
    <row r="2014" spans="1:6" x14ac:dyDescent="0.2">
      <c r="A2014" s="1" t="s">
        <v>179</v>
      </c>
      <c r="B2014" s="1" t="s">
        <v>2702</v>
      </c>
      <c r="C2014" s="1" t="s">
        <v>101</v>
      </c>
      <c r="D2014" s="1" t="s">
        <v>101</v>
      </c>
      <c r="E2014" s="81">
        <v>0</v>
      </c>
      <c r="F2014" s="81">
        <v>0</v>
      </c>
    </row>
    <row r="2015" spans="1:6" x14ac:dyDescent="0.2">
      <c r="A2015" s="1" t="s">
        <v>179</v>
      </c>
      <c r="B2015" s="1" t="s">
        <v>2703</v>
      </c>
      <c r="C2015" s="1" t="s">
        <v>101</v>
      </c>
      <c r="D2015" s="1" t="s">
        <v>101</v>
      </c>
      <c r="E2015" s="81">
        <v>0</v>
      </c>
      <c r="F2015" s="81">
        <v>0</v>
      </c>
    </row>
    <row r="2016" spans="1:6" x14ac:dyDescent="0.2">
      <c r="A2016" s="1" t="s">
        <v>179</v>
      </c>
      <c r="B2016" s="1" t="s">
        <v>2704</v>
      </c>
      <c r="C2016" s="1" t="s">
        <v>101</v>
      </c>
      <c r="D2016" s="1" t="s">
        <v>101</v>
      </c>
      <c r="E2016" s="81">
        <v>0</v>
      </c>
      <c r="F2016" s="81">
        <v>0</v>
      </c>
    </row>
    <row r="2017" spans="1:6" x14ac:dyDescent="0.2">
      <c r="A2017" s="1" t="s">
        <v>179</v>
      </c>
      <c r="B2017" s="1" t="s">
        <v>2705</v>
      </c>
      <c r="C2017" s="1" t="s">
        <v>101</v>
      </c>
      <c r="D2017" s="1" t="s">
        <v>101</v>
      </c>
      <c r="E2017" s="81">
        <v>0</v>
      </c>
      <c r="F2017" s="81">
        <v>0</v>
      </c>
    </row>
    <row r="2018" spans="1:6" x14ac:dyDescent="0.2">
      <c r="A2018" s="1" t="s">
        <v>179</v>
      </c>
      <c r="B2018" s="1" t="s">
        <v>2706</v>
      </c>
      <c r="C2018" s="1" t="s">
        <v>101</v>
      </c>
      <c r="D2018" s="1" t="s">
        <v>101</v>
      </c>
      <c r="E2018" s="81">
        <v>0</v>
      </c>
      <c r="F2018" s="81">
        <v>0</v>
      </c>
    </row>
    <row r="2019" spans="1:6" x14ac:dyDescent="0.2">
      <c r="A2019" s="1" t="s">
        <v>179</v>
      </c>
      <c r="B2019" s="1" t="s">
        <v>2707</v>
      </c>
      <c r="C2019" s="1" t="s">
        <v>101</v>
      </c>
      <c r="D2019" s="1" t="s">
        <v>101</v>
      </c>
      <c r="E2019" s="81">
        <v>0</v>
      </c>
      <c r="F2019" s="81">
        <v>0</v>
      </c>
    </row>
    <row r="2020" spans="1:6" x14ac:dyDescent="0.2">
      <c r="A2020" s="1" t="s">
        <v>179</v>
      </c>
      <c r="B2020" s="1" t="s">
        <v>2708</v>
      </c>
      <c r="C2020" s="1" t="s">
        <v>4073</v>
      </c>
      <c r="D2020" s="1" t="s">
        <v>4073</v>
      </c>
      <c r="E2020" s="81">
        <v>898.87</v>
      </c>
      <c r="F2020" s="81">
        <v>898.87</v>
      </c>
    </row>
    <row r="2021" spans="1:6" x14ac:dyDescent="0.2">
      <c r="A2021" s="1" t="s">
        <v>179</v>
      </c>
      <c r="B2021" s="1" t="s">
        <v>2709</v>
      </c>
      <c r="C2021" s="1" t="s">
        <v>4079</v>
      </c>
      <c r="D2021" s="1" t="s">
        <v>4079</v>
      </c>
      <c r="E2021" s="81">
        <v>460.34</v>
      </c>
      <c r="F2021" s="81">
        <v>460.34</v>
      </c>
    </row>
    <row r="2022" spans="1:6" x14ac:dyDescent="0.2">
      <c r="A2022" s="1" t="s">
        <v>179</v>
      </c>
      <c r="B2022" s="1" t="s">
        <v>2710</v>
      </c>
      <c r="C2022" s="1" t="s">
        <v>4080</v>
      </c>
      <c r="D2022" s="1" t="s">
        <v>4080</v>
      </c>
      <c r="E2022" s="81">
        <v>293.35000000000002</v>
      </c>
      <c r="F2022" s="81">
        <v>293.35000000000002</v>
      </c>
    </row>
    <row r="2023" spans="1:6" x14ac:dyDescent="0.2">
      <c r="A2023" s="1" t="s">
        <v>179</v>
      </c>
      <c r="B2023" s="1" t="s">
        <v>2711</v>
      </c>
      <c r="C2023" s="1" t="s">
        <v>4081</v>
      </c>
      <c r="D2023" s="1" t="s">
        <v>4081</v>
      </c>
      <c r="E2023" s="81">
        <v>332.32</v>
      </c>
      <c r="F2023" s="81">
        <v>332.32</v>
      </c>
    </row>
    <row r="2024" spans="1:6" x14ac:dyDescent="0.2">
      <c r="A2024" s="1" t="s">
        <v>179</v>
      </c>
      <c r="B2024" s="1" t="s">
        <v>2712</v>
      </c>
      <c r="C2024" s="1" t="s">
        <v>101</v>
      </c>
      <c r="D2024" s="1" t="s">
        <v>101</v>
      </c>
      <c r="E2024" s="81">
        <v>0</v>
      </c>
      <c r="F2024" s="81">
        <v>0</v>
      </c>
    </row>
    <row r="2025" spans="1:6" x14ac:dyDescent="0.2">
      <c r="A2025" s="1" t="s">
        <v>179</v>
      </c>
      <c r="B2025" s="1" t="s">
        <v>2713</v>
      </c>
      <c r="C2025" s="1" t="s">
        <v>101</v>
      </c>
      <c r="D2025" s="1" t="s">
        <v>101</v>
      </c>
      <c r="E2025" s="81">
        <v>0</v>
      </c>
      <c r="F2025" s="81">
        <v>0</v>
      </c>
    </row>
    <row r="2026" spans="1:6" x14ac:dyDescent="0.2">
      <c r="A2026" s="1" t="s">
        <v>179</v>
      </c>
      <c r="B2026" s="1" t="s">
        <v>2714</v>
      </c>
      <c r="C2026" s="1" t="s">
        <v>101</v>
      </c>
      <c r="D2026" s="1" t="s">
        <v>101</v>
      </c>
      <c r="E2026" s="81">
        <v>0</v>
      </c>
      <c r="F2026" s="81">
        <v>0</v>
      </c>
    </row>
    <row r="2027" spans="1:6" x14ac:dyDescent="0.2">
      <c r="A2027" s="1" t="s">
        <v>179</v>
      </c>
      <c r="B2027" s="1" t="s">
        <v>2715</v>
      </c>
      <c r="C2027" s="1" t="s">
        <v>101</v>
      </c>
      <c r="D2027" s="1" t="s">
        <v>101</v>
      </c>
      <c r="E2027" s="81">
        <v>0</v>
      </c>
      <c r="F2027" s="81">
        <v>0</v>
      </c>
    </row>
    <row r="2028" spans="1:6" x14ac:dyDescent="0.2">
      <c r="A2028" s="1" t="s">
        <v>179</v>
      </c>
      <c r="B2028" s="1" t="s">
        <v>2716</v>
      </c>
      <c r="C2028" s="1" t="s">
        <v>101</v>
      </c>
      <c r="D2028" s="1" t="s">
        <v>101</v>
      </c>
      <c r="E2028" s="81">
        <v>0</v>
      </c>
      <c r="F2028" s="81">
        <v>0</v>
      </c>
    </row>
    <row r="2029" spans="1:6" x14ac:dyDescent="0.2">
      <c r="A2029" s="1" t="s">
        <v>179</v>
      </c>
      <c r="B2029" s="1" t="s">
        <v>2717</v>
      </c>
      <c r="C2029" s="1" t="s">
        <v>101</v>
      </c>
      <c r="D2029" s="1" t="s">
        <v>101</v>
      </c>
      <c r="E2029" s="81">
        <v>0</v>
      </c>
      <c r="F2029" s="81">
        <v>0</v>
      </c>
    </row>
    <row r="2030" spans="1:6" x14ac:dyDescent="0.2">
      <c r="A2030" s="1" t="s">
        <v>179</v>
      </c>
      <c r="B2030" s="1" t="s">
        <v>2718</v>
      </c>
      <c r="C2030" s="1" t="s">
        <v>101</v>
      </c>
      <c r="D2030" s="1" t="s">
        <v>101</v>
      </c>
      <c r="E2030" s="81">
        <v>0</v>
      </c>
      <c r="F2030" s="81">
        <v>0</v>
      </c>
    </row>
    <row r="2031" spans="1:6" x14ac:dyDescent="0.2">
      <c r="A2031" s="1" t="s">
        <v>179</v>
      </c>
      <c r="B2031" s="1" t="s">
        <v>2719</v>
      </c>
      <c r="C2031" s="1" t="s">
        <v>101</v>
      </c>
      <c r="D2031" s="1" t="s">
        <v>101</v>
      </c>
      <c r="E2031" s="81">
        <v>0</v>
      </c>
      <c r="F2031" s="81">
        <v>0</v>
      </c>
    </row>
    <row r="2032" spans="1:6" x14ac:dyDescent="0.2">
      <c r="A2032" s="1" t="s">
        <v>179</v>
      </c>
      <c r="B2032" s="1" t="s">
        <v>2720</v>
      </c>
      <c r="C2032" s="1" t="s">
        <v>101</v>
      </c>
      <c r="D2032" s="1" t="s">
        <v>101</v>
      </c>
      <c r="E2032" s="81">
        <v>0</v>
      </c>
      <c r="F2032" s="81">
        <v>0</v>
      </c>
    </row>
    <row r="2033" spans="1:6" x14ac:dyDescent="0.2">
      <c r="A2033" s="1" t="s">
        <v>179</v>
      </c>
      <c r="B2033" s="1" t="s">
        <v>2721</v>
      </c>
      <c r="C2033" s="1" t="s">
        <v>4082</v>
      </c>
      <c r="D2033" s="1" t="s">
        <v>4082</v>
      </c>
      <c r="E2033" s="81">
        <v>1086</v>
      </c>
      <c r="F2033" s="81">
        <v>1086</v>
      </c>
    </row>
    <row r="2034" spans="1:6" x14ac:dyDescent="0.2">
      <c r="A2034" s="1" t="s">
        <v>179</v>
      </c>
      <c r="B2034" s="1" t="s">
        <v>2722</v>
      </c>
      <c r="C2034" s="1" t="s">
        <v>4083</v>
      </c>
      <c r="D2034" s="1" t="s">
        <v>4083</v>
      </c>
      <c r="E2034" s="81">
        <v>80.849999999999994</v>
      </c>
      <c r="F2034" s="81">
        <v>80.849999999999994</v>
      </c>
    </row>
    <row r="2035" spans="1:6" x14ac:dyDescent="0.2">
      <c r="A2035" s="1" t="s">
        <v>179</v>
      </c>
      <c r="B2035" s="1" t="s">
        <v>2723</v>
      </c>
      <c r="C2035" s="1" t="s">
        <v>101</v>
      </c>
      <c r="D2035" s="1" t="s">
        <v>101</v>
      </c>
      <c r="E2035" s="81">
        <v>0</v>
      </c>
      <c r="F2035" s="81">
        <v>0</v>
      </c>
    </row>
    <row r="2036" spans="1:6" x14ac:dyDescent="0.2">
      <c r="A2036" s="1" t="s">
        <v>179</v>
      </c>
      <c r="B2036" s="1" t="s">
        <v>2724</v>
      </c>
      <c r="C2036" s="1" t="s">
        <v>101</v>
      </c>
      <c r="D2036" s="1" t="s">
        <v>101</v>
      </c>
      <c r="E2036" s="81">
        <v>0</v>
      </c>
      <c r="F2036" s="81">
        <v>0</v>
      </c>
    </row>
    <row r="2037" spans="1:6" x14ac:dyDescent="0.2">
      <c r="A2037" s="1" t="s">
        <v>179</v>
      </c>
      <c r="B2037" s="1" t="s">
        <v>2725</v>
      </c>
      <c r="C2037" s="1" t="s">
        <v>101</v>
      </c>
      <c r="D2037" s="1" t="s">
        <v>101</v>
      </c>
      <c r="E2037" s="81">
        <v>0</v>
      </c>
      <c r="F2037" s="81">
        <v>0</v>
      </c>
    </row>
    <row r="2038" spans="1:6" x14ac:dyDescent="0.2">
      <c r="A2038" s="1" t="s">
        <v>179</v>
      </c>
      <c r="B2038" s="1" t="s">
        <v>2726</v>
      </c>
      <c r="C2038" s="1" t="s">
        <v>101</v>
      </c>
      <c r="D2038" s="1" t="s">
        <v>101</v>
      </c>
      <c r="E2038" s="81">
        <v>0</v>
      </c>
      <c r="F2038" s="81">
        <v>0</v>
      </c>
    </row>
    <row r="2039" spans="1:6" x14ac:dyDescent="0.2">
      <c r="A2039" s="1" t="s">
        <v>179</v>
      </c>
      <c r="B2039" s="1" t="s">
        <v>2727</v>
      </c>
      <c r="C2039" s="1" t="s">
        <v>101</v>
      </c>
      <c r="D2039" s="1" t="s">
        <v>101</v>
      </c>
      <c r="E2039" s="81">
        <v>0</v>
      </c>
      <c r="F2039" s="81">
        <v>0</v>
      </c>
    </row>
    <row r="2040" spans="1:6" x14ac:dyDescent="0.2">
      <c r="A2040" s="1" t="s">
        <v>179</v>
      </c>
      <c r="B2040" s="1" t="s">
        <v>2728</v>
      </c>
      <c r="C2040" s="1" t="s">
        <v>101</v>
      </c>
      <c r="D2040" s="1" t="s">
        <v>101</v>
      </c>
      <c r="E2040" s="81">
        <v>0</v>
      </c>
      <c r="F2040" s="81">
        <v>0</v>
      </c>
    </row>
    <row r="2041" spans="1:6" x14ac:dyDescent="0.2">
      <c r="A2041" s="1" t="s">
        <v>179</v>
      </c>
      <c r="B2041" s="1" t="s">
        <v>2729</v>
      </c>
      <c r="C2041" s="1" t="s">
        <v>101</v>
      </c>
      <c r="D2041" s="1" t="s">
        <v>101</v>
      </c>
      <c r="E2041" s="81">
        <v>0</v>
      </c>
      <c r="F2041" s="81">
        <v>0</v>
      </c>
    </row>
    <row r="2042" spans="1:6" x14ac:dyDescent="0.2">
      <c r="A2042" s="1" t="s">
        <v>179</v>
      </c>
      <c r="B2042" s="1" t="s">
        <v>2730</v>
      </c>
      <c r="C2042" s="1" t="s">
        <v>101</v>
      </c>
      <c r="D2042" s="1" t="s">
        <v>101</v>
      </c>
      <c r="E2042" s="81">
        <v>0</v>
      </c>
      <c r="F2042" s="81">
        <v>0</v>
      </c>
    </row>
    <row r="2043" spans="1:6" x14ac:dyDescent="0.2">
      <c r="A2043" s="1" t="s">
        <v>179</v>
      </c>
      <c r="B2043" s="1" t="s">
        <v>2731</v>
      </c>
      <c r="C2043" s="1" t="s">
        <v>101</v>
      </c>
      <c r="D2043" s="1" t="s">
        <v>101</v>
      </c>
      <c r="E2043" s="81">
        <v>0</v>
      </c>
      <c r="F2043" s="81">
        <v>0</v>
      </c>
    </row>
    <row r="2044" spans="1:6" x14ac:dyDescent="0.2">
      <c r="A2044" s="1" t="s">
        <v>179</v>
      </c>
      <c r="B2044" s="1" t="s">
        <v>2732</v>
      </c>
      <c r="C2044" s="1" t="s">
        <v>101</v>
      </c>
      <c r="D2044" s="1" t="s">
        <v>101</v>
      </c>
      <c r="E2044" s="81">
        <v>0</v>
      </c>
      <c r="F2044" s="81">
        <v>0</v>
      </c>
    </row>
    <row r="2045" spans="1:6" x14ac:dyDescent="0.2">
      <c r="A2045" s="1" t="s">
        <v>179</v>
      </c>
      <c r="B2045" s="1" t="s">
        <v>2733</v>
      </c>
      <c r="C2045" s="1" t="s">
        <v>101</v>
      </c>
      <c r="D2045" s="1" t="s">
        <v>101</v>
      </c>
      <c r="E2045" s="81">
        <v>0</v>
      </c>
      <c r="F2045" s="81">
        <v>0</v>
      </c>
    </row>
    <row r="2046" spans="1:6" x14ac:dyDescent="0.2">
      <c r="A2046" s="1" t="s">
        <v>179</v>
      </c>
      <c r="B2046" s="1" t="s">
        <v>2734</v>
      </c>
      <c r="C2046" s="1" t="s">
        <v>4084</v>
      </c>
      <c r="D2046" s="1" t="s">
        <v>4084</v>
      </c>
      <c r="E2046" s="81">
        <v>380.19</v>
      </c>
      <c r="F2046" s="81">
        <v>380.19</v>
      </c>
    </row>
    <row r="2047" spans="1:6" x14ac:dyDescent="0.2">
      <c r="A2047" s="1" t="s">
        <v>179</v>
      </c>
      <c r="B2047" s="1" t="s">
        <v>2735</v>
      </c>
      <c r="C2047" s="1" t="s">
        <v>4085</v>
      </c>
      <c r="D2047" s="1" t="s">
        <v>4085</v>
      </c>
      <c r="E2047" s="81">
        <v>293.85000000000002</v>
      </c>
      <c r="F2047" s="81">
        <v>293.85000000000002</v>
      </c>
    </row>
    <row r="2048" spans="1:6" x14ac:dyDescent="0.2">
      <c r="A2048" s="1" t="s">
        <v>179</v>
      </c>
      <c r="B2048" s="1" t="s">
        <v>2736</v>
      </c>
      <c r="C2048" s="1" t="s">
        <v>4086</v>
      </c>
      <c r="D2048" s="1" t="s">
        <v>4086</v>
      </c>
      <c r="E2048" s="81">
        <v>332.85</v>
      </c>
      <c r="F2048" s="81">
        <v>332.85</v>
      </c>
    </row>
    <row r="2049" spans="1:6" x14ac:dyDescent="0.2">
      <c r="A2049" s="1" t="s">
        <v>179</v>
      </c>
      <c r="B2049" s="1" t="s">
        <v>2737</v>
      </c>
      <c r="C2049" s="1" t="s">
        <v>101</v>
      </c>
      <c r="D2049" s="1" t="s">
        <v>101</v>
      </c>
      <c r="E2049" s="81">
        <v>0</v>
      </c>
      <c r="F2049" s="81">
        <v>0</v>
      </c>
    </row>
    <row r="2050" spans="1:6" x14ac:dyDescent="0.2">
      <c r="A2050" s="1" t="s">
        <v>179</v>
      </c>
      <c r="B2050" s="1" t="s">
        <v>2738</v>
      </c>
      <c r="C2050" s="1" t="s">
        <v>101</v>
      </c>
      <c r="D2050" s="1" t="s">
        <v>101</v>
      </c>
      <c r="E2050" s="81">
        <v>0</v>
      </c>
      <c r="F2050" s="81">
        <v>0</v>
      </c>
    </row>
    <row r="2051" spans="1:6" x14ac:dyDescent="0.2">
      <c r="A2051" s="1" t="s">
        <v>179</v>
      </c>
      <c r="B2051" s="1" t="s">
        <v>2739</v>
      </c>
      <c r="C2051" s="1" t="s">
        <v>101</v>
      </c>
      <c r="D2051" s="1" t="s">
        <v>101</v>
      </c>
      <c r="E2051" s="81">
        <v>0</v>
      </c>
      <c r="F2051" s="81">
        <v>0</v>
      </c>
    </row>
    <row r="2052" spans="1:6" x14ac:dyDescent="0.2">
      <c r="A2052" s="1" t="s">
        <v>179</v>
      </c>
      <c r="B2052" s="1" t="s">
        <v>2740</v>
      </c>
      <c r="C2052" s="1" t="s">
        <v>101</v>
      </c>
      <c r="D2052" s="1" t="s">
        <v>101</v>
      </c>
      <c r="E2052" s="81">
        <v>0</v>
      </c>
      <c r="F2052" s="81">
        <v>0</v>
      </c>
    </row>
    <row r="2053" spans="1:6" x14ac:dyDescent="0.2">
      <c r="A2053" s="1" t="s">
        <v>179</v>
      </c>
      <c r="B2053" s="1" t="s">
        <v>2741</v>
      </c>
      <c r="C2053" s="1" t="s">
        <v>101</v>
      </c>
      <c r="D2053" s="1" t="s">
        <v>101</v>
      </c>
      <c r="E2053" s="81">
        <v>0</v>
      </c>
      <c r="F2053" s="81">
        <v>0</v>
      </c>
    </row>
    <row r="2054" spans="1:6" x14ac:dyDescent="0.2">
      <c r="A2054" s="1" t="s">
        <v>179</v>
      </c>
      <c r="B2054" s="1" t="s">
        <v>2742</v>
      </c>
      <c r="C2054" s="1" t="s">
        <v>101</v>
      </c>
      <c r="D2054" s="1" t="s">
        <v>101</v>
      </c>
      <c r="E2054" s="81">
        <v>0</v>
      </c>
      <c r="F2054" s="81">
        <v>0</v>
      </c>
    </row>
    <row r="2055" spans="1:6" x14ac:dyDescent="0.2">
      <c r="A2055" s="1" t="s">
        <v>179</v>
      </c>
      <c r="B2055" s="1" t="s">
        <v>2743</v>
      </c>
      <c r="C2055" s="1" t="s">
        <v>101</v>
      </c>
      <c r="D2055" s="1" t="s">
        <v>101</v>
      </c>
      <c r="E2055" s="81">
        <v>0</v>
      </c>
      <c r="F2055" s="81">
        <v>0</v>
      </c>
    </row>
    <row r="2056" spans="1:6" x14ac:dyDescent="0.2">
      <c r="A2056" s="1" t="s">
        <v>179</v>
      </c>
      <c r="B2056" s="1" t="s">
        <v>2744</v>
      </c>
      <c r="C2056" s="1" t="s">
        <v>101</v>
      </c>
      <c r="D2056" s="1" t="s">
        <v>101</v>
      </c>
      <c r="E2056" s="81">
        <v>0</v>
      </c>
      <c r="F2056" s="81">
        <v>0</v>
      </c>
    </row>
    <row r="2057" spans="1:6" x14ac:dyDescent="0.2">
      <c r="A2057" s="1" t="s">
        <v>179</v>
      </c>
      <c r="B2057" s="1" t="s">
        <v>2745</v>
      </c>
      <c r="C2057" s="1" t="s">
        <v>101</v>
      </c>
      <c r="D2057" s="1" t="s">
        <v>101</v>
      </c>
      <c r="E2057" s="81">
        <v>0</v>
      </c>
      <c r="F2057" s="81">
        <v>0</v>
      </c>
    </row>
    <row r="2058" spans="1:6" x14ac:dyDescent="0.2">
      <c r="A2058" s="1" t="s">
        <v>179</v>
      </c>
      <c r="B2058" s="1" t="s">
        <v>2746</v>
      </c>
      <c r="C2058" s="1" t="s">
        <v>101</v>
      </c>
      <c r="D2058" s="1" t="s">
        <v>101</v>
      </c>
      <c r="E2058" s="81">
        <v>0</v>
      </c>
      <c r="F2058" s="81">
        <v>0</v>
      </c>
    </row>
    <row r="2059" spans="1:6" x14ac:dyDescent="0.2">
      <c r="A2059" s="1" t="s">
        <v>179</v>
      </c>
      <c r="B2059" s="1" t="s">
        <v>2747</v>
      </c>
      <c r="C2059" s="1" t="s">
        <v>101</v>
      </c>
      <c r="D2059" s="1" t="s">
        <v>101</v>
      </c>
      <c r="E2059" s="81">
        <v>0</v>
      </c>
      <c r="F2059" s="81">
        <v>0</v>
      </c>
    </row>
    <row r="2060" spans="1:6" x14ac:dyDescent="0.2">
      <c r="A2060" s="1" t="s">
        <v>179</v>
      </c>
      <c r="B2060" s="1" t="s">
        <v>2748</v>
      </c>
      <c r="C2060" s="1" t="s">
        <v>101</v>
      </c>
      <c r="D2060" s="1" t="s">
        <v>101</v>
      </c>
      <c r="E2060" s="81">
        <v>0</v>
      </c>
      <c r="F2060" s="81">
        <v>0</v>
      </c>
    </row>
    <row r="2061" spans="1:6" x14ac:dyDescent="0.2">
      <c r="A2061" s="1" t="s">
        <v>179</v>
      </c>
      <c r="B2061" s="1" t="s">
        <v>2749</v>
      </c>
      <c r="C2061" s="1" t="s">
        <v>101</v>
      </c>
      <c r="D2061" s="1" t="s">
        <v>101</v>
      </c>
      <c r="E2061" s="81">
        <v>0</v>
      </c>
      <c r="F2061" s="81">
        <v>0</v>
      </c>
    </row>
    <row r="2062" spans="1:6" x14ac:dyDescent="0.2">
      <c r="A2062" s="1" t="s">
        <v>179</v>
      </c>
      <c r="B2062" s="1" t="s">
        <v>2750</v>
      </c>
      <c r="C2062" s="1" t="s">
        <v>101</v>
      </c>
      <c r="D2062" s="1" t="s">
        <v>101</v>
      </c>
      <c r="E2062" s="81">
        <v>0</v>
      </c>
      <c r="F2062" s="81">
        <v>0</v>
      </c>
    </row>
    <row r="2063" spans="1:6" x14ac:dyDescent="0.2">
      <c r="A2063" s="1" t="s">
        <v>179</v>
      </c>
      <c r="B2063" s="1" t="s">
        <v>2751</v>
      </c>
      <c r="C2063" s="1" t="s">
        <v>101</v>
      </c>
      <c r="D2063" s="1" t="s">
        <v>101</v>
      </c>
      <c r="E2063" s="81">
        <v>0</v>
      </c>
      <c r="F2063" s="81">
        <v>0</v>
      </c>
    </row>
    <row r="2064" spans="1:6" x14ac:dyDescent="0.2">
      <c r="A2064" s="1" t="s">
        <v>179</v>
      </c>
      <c r="B2064" s="1" t="s">
        <v>2752</v>
      </c>
      <c r="C2064" s="1" t="s">
        <v>101</v>
      </c>
      <c r="D2064" s="1" t="s">
        <v>101</v>
      </c>
      <c r="E2064" s="81">
        <v>0</v>
      </c>
      <c r="F2064" s="81">
        <v>0</v>
      </c>
    </row>
    <row r="2065" spans="1:6" x14ac:dyDescent="0.2">
      <c r="A2065" s="1" t="s">
        <v>179</v>
      </c>
      <c r="B2065" s="1" t="s">
        <v>2753</v>
      </c>
      <c r="C2065" s="1" t="s">
        <v>101</v>
      </c>
      <c r="D2065" s="1" t="s">
        <v>101</v>
      </c>
      <c r="E2065" s="81">
        <v>0</v>
      </c>
      <c r="F2065" s="81">
        <v>0</v>
      </c>
    </row>
    <row r="2066" spans="1:6" x14ac:dyDescent="0.2">
      <c r="A2066" s="1" t="s">
        <v>179</v>
      </c>
      <c r="B2066" s="1" t="s">
        <v>2754</v>
      </c>
      <c r="C2066" s="1" t="s">
        <v>101</v>
      </c>
      <c r="D2066" s="1" t="s">
        <v>101</v>
      </c>
      <c r="E2066" s="81">
        <v>0</v>
      </c>
      <c r="F2066" s="81">
        <v>0</v>
      </c>
    </row>
    <row r="2067" spans="1:6" x14ac:dyDescent="0.2">
      <c r="A2067" s="1" t="s">
        <v>179</v>
      </c>
      <c r="B2067" s="1" t="s">
        <v>2755</v>
      </c>
      <c r="C2067" s="1" t="s">
        <v>101</v>
      </c>
      <c r="D2067" s="1" t="s">
        <v>101</v>
      </c>
      <c r="E2067" s="81">
        <v>0</v>
      </c>
      <c r="F2067" s="81">
        <v>0</v>
      </c>
    </row>
    <row r="2068" spans="1:6" x14ac:dyDescent="0.2">
      <c r="A2068" s="1" t="s">
        <v>179</v>
      </c>
      <c r="B2068" s="1" t="s">
        <v>2756</v>
      </c>
      <c r="C2068" s="1" t="s">
        <v>101</v>
      </c>
      <c r="D2068" s="1" t="s">
        <v>101</v>
      </c>
      <c r="E2068" s="81">
        <v>0</v>
      </c>
      <c r="F2068" s="81">
        <v>0</v>
      </c>
    </row>
    <row r="2069" spans="1:6" x14ac:dyDescent="0.2">
      <c r="A2069" s="1" t="s">
        <v>179</v>
      </c>
      <c r="B2069" s="1" t="s">
        <v>2757</v>
      </c>
      <c r="C2069" s="1" t="s">
        <v>101</v>
      </c>
      <c r="D2069" s="1" t="s">
        <v>101</v>
      </c>
      <c r="E2069" s="81">
        <v>0</v>
      </c>
      <c r="F2069" s="81">
        <v>0</v>
      </c>
    </row>
    <row r="2070" spans="1:6" x14ac:dyDescent="0.2">
      <c r="A2070" s="1" t="s">
        <v>179</v>
      </c>
      <c r="B2070" s="1" t="s">
        <v>2758</v>
      </c>
      <c r="C2070" s="1" t="s">
        <v>4079</v>
      </c>
      <c r="D2070" s="1" t="s">
        <v>4079</v>
      </c>
      <c r="E2070" s="81">
        <v>460.34</v>
      </c>
      <c r="F2070" s="81">
        <v>460.34</v>
      </c>
    </row>
    <row r="2071" spans="1:6" x14ac:dyDescent="0.2">
      <c r="A2071" s="1" t="s">
        <v>179</v>
      </c>
      <c r="B2071" s="1" t="s">
        <v>2759</v>
      </c>
      <c r="C2071" s="1" t="s">
        <v>4080</v>
      </c>
      <c r="D2071" s="1" t="s">
        <v>4080</v>
      </c>
      <c r="E2071" s="81">
        <v>293.35000000000002</v>
      </c>
      <c r="F2071" s="81">
        <v>293.35000000000002</v>
      </c>
    </row>
    <row r="2072" spans="1:6" x14ac:dyDescent="0.2">
      <c r="A2072" s="1" t="s">
        <v>179</v>
      </c>
      <c r="B2072" s="1" t="s">
        <v>2760</v>
      </c>
      <c r="C2072" s="1" t="s">
        <v>4081</v>
      </c>
      <c r="D2072" s="1" t="s">
        <v>4081</v>
      </c>
      <c r="E2072" s="81">
        <v>332.32</v>
      </c>
      <c r="F2072" s="81">
        <v>332.32</v>
      </c>
    </row>
    <row r="2073" spans="1:6" x14ac:dyDescent="0.2">
      <c r="A2073" s="1" t="s">
        <v>179</v>
      </c>
      <c r="B2073" s="1" t="s">
        <v>2761</v>
      </c>
      <c r="C2073" s="1" t="s">
        <v>101</v>
      </c>
      <c r="D2073" s="1" t="s">
        <v>101</v>
      </c>
      <c r="E2073" s="81">
        <v>0</v>
      </c>
      <c r="F2073" s="81">
        <v>0</v>
      </c>
    </row>
    <row r="2074" spans="1:6" x14ac:dyDescent="0.2">
      <c r="A2074" s="1" t="s">
        <v>179</v>
      </c>
      <c r="B2074" s="1" t="s">
        <v>2762</v>
      </c>
      <c r="C2074" s="1" t="s">
        <v>101</v>
      </c>
      <c r="D2074" s="1" t="s">
        <v>101</v>
      </c>
      <c r="E2074" s="81">
        <v>0</v>
      </c>
      <c r="F2074" s="81">
        <v>0</v>
      </c>
    </row>
    <row r="2075" spans="1:6" x14ac:dyDescent="0.2">
      <c r="A2075" s="1" t="s">
        <v>179</v>
      </c>
      <c r="B2075" s="1" t="s">
        <v>2763</v>
      </c>
      <c r="C2075" s="1" t="s">
        <v>101</v>
      </c>
      <c r="D2075" s="1" t="s">
        <v>101</v>
      </c>
      <c r="E2075" s="81">
        <v>0</v>
      </c>
      <c r="F2075" s="81">
        <v>0</v>
      </c>
    </row>
    <row r="2076" spans="1:6" x14ac:dyDescent="0.2">
      <c r="A2076" s="1" t="s">
        <v>179</v>
      </c>
      <c r="B2076" s="1" t="s">
        <v>2764</v>
      </c>
      <c r="C2076" s="1" t="s">
        <v>101</v>
      </c>
      <c r="D2076" s="1" t="s">
        <v>101</v>
      </c>
      <c r="E2076" s="81">
        <v>0</v>
      </c>
      <c r="F2076" s="81">
        <v>0</v>
      </c>
    </row>
    <row r="2077" spans="1:6" x14ac:dyDescent="0.2">
      <c r="A2077" s="1" t="s">
        <v>179</v>
      </c>
      <c r="B2077" s="1" t="s">
        <v>2765</v>
      </c>
      <c r="C2077" s="1" t="s">
        <v>101</v>
      </c>
      <c r="D2077" s="1" t="s">
        <v>101</v>
      </c>
      <c r="E2077" s="81">
        <v>0</v>
      </c>
      <c r="F2077" s="81">
        <v>0</v>
      </c>
    </row>
    <row r="2078" spans="1:6" x14ac:dyDescent="0.2">
      <c r="A2078" s="1" t="s">
        <v>179</v>
      </c>
      <c r="B2078" s="1" t="s">
        <v>2766</v>
      </c>
      <c r="C2078" s="1" t="s">
        <v>101</v>
      </c>
      <c r="D2078" s="1" t="s">
        <v>101</v>
      </c>
      <c r="E2078" s="81">
        <v>0</v>
      </c>
      <c r="F2078" s="81">
        <v>0</v>
      </c>
    </row>
    <row r="2079" spans="1:6" x14ac:dyDescent="0.2">
      <c r="A2079" s="1" t="s">
        <v>179</v>
      </c>
      <c r="B2079" s="1" t="s">
        <v>2767</v>
      </c>
      <c r="C2079" s="1" t="s">
        <v>101</v>
      </c>
      <c r="D2079" s="1" t="s">
        <v>101</v>
      </c>
      <c r="E2079" s="81">
        <v>0</v>
      </c>
      <c r="F2079" s="81">
        <v>0</v>
      </c>
    </row>
    <row r="2080" spans="1:6" x14ac:dyDescent="0.2">
      <c r="A2080" s="1" t="s">
        <v>179</v>
      </c>
      <c r="B2080" s="1" t="s">
        <v>2768</v>
      </c>
      <c r="C2080" s="1" t="s">
        <v>101</v>
      </c>
      <c r="D2080" s="1" t="s">
        <v>101</v>
      </c>
      <c r="E2080" s="81">
        <v>0</v>
      </c>
      <c r="F2080" s="81">
        <v>0</v>
      </c>
    </row>
    <row r="2081" spans="1:6" x14ac:dyDescent="0.2">
      <c r="A2081" s="1" t="s">
        <v>179</v>
      </c>
      <c r="B2081" s="1" t="s">
        <v>2769</v>
      </c>
      <c r="C2081" s="1" t="s">
        <v>101</v>
      </c>
      <c r="D2081" s="1" t="s">
        <v>101</v>
      </c>
      <c r="E2081" s="81">
        <v>0</v>
      </c>
      <c r="F2081" s="81">
        <v>0</v>
      </c>
    </row>
    <row r="2082" spans="1:6" x14ac:dyDescent="0.2">
      <c r="A2082" s="1" t="s">
        <v>179</v>
      </c>
      <c r="B2082" s="1" t="s">
        <v>2770</v>
      </c>
      <c r="C2082" s="1" t="s">
        <v>4082</v>
      </c>
      <c r="D2082" s="1" t="s">
        <v>4082</v>
      </c>
      <c r="E2082" s="81">
        <v>1086</v>
      </c>
      <c r="F2082" s="81">
        <v>1086</v>
      </c>
    </row>
    <row r="2083" spans="1:6" x14ac:dyDescent="0.2">
      <c r="A2083" s="1" t="s">
        <v>179</v>
      </c>
      <c r="B2083" s="1" t="s">
        <v>2771</v>
      </c>
      <c r="C2083" s="1" t="s">
        <v>4087</v>
      </c>
      <c r="D2083" s="1" t="s">
        <v>4087</v>
      </c>
      <c r="E2083" s="81">
        <v>1389.72</v>
      </c>
      <c r="F2083" s="81">
        <v>1389.72</v>
      </c>
    </row>
    <row r="2084" spans="1:6" x14ac:dyDescent="0.2">
      <c r="A2084" s="1" t="s">
        <v>179</v>
      </c>
      <c r="B2084" s="1" t="s">
        <v>2772</v>
      </c>
      <c r="C2084" s="1" t="s">
        <v>4088</v>
      </c>
      <c r="D2084" s="1" t="s">
        <v>4088</v>
      </c>
      <c r="E2084" s="81">
        <v>1388.48</v>
      </c>
      <c r="F2084" s="81">
        <v>1388.48</v>
      </c>
    </row>
    <row r="2085" spans="1:6" x14ac:dyDescent="0.2">
      <c r="A2085" s="1" t="s">
        <v>179</v>
      </c>
      <c r="B2085" s="1" t="s">
        <v>2773</v>
      </c>
      <c r="C2085" s="1" t="s">
        <v>4089</v>
      </c>
      <c r="D2085" s="1" t="s">
        <v>4089</v>
      </c>
      <c r="E2085" s="81">
        <v>1326.54</v>
      </c>
      <c r="F2085" s="81">
        <v>1326.54</v>
      </c>
    </row>
    <row r="2086" spans="1:6" x14ac:dyDescent="0.2">
      <c r="A2086" s="1" t="s">
        <v>179</v>
      </c>
      <c r="B2086" s="1" t="s">
        <v>2774</v>
      </c>
      <c r="C2086" s="1" t="s">
        <v>101</v>
      </c>
      <c r="D2086" s="1" t="s">
        <v>101</v>
      </c>
      <c r="E2086" s="81">
        <v>0</v>
      </c>
      <c r="F2086" s="81">
        <v>0</v>
      </c>
    </row>
    <row r="2087" spans="1:6" x14ac:dyDescent="0.2">
      <c r="A2087" s="1" t="s">
        <v>179</v>
      </c>
      <c r="B2087" s="1" t="s">
        <v>2775</v>
      </c>
      <c r="C2087" s="1" t="s">
        <v>101</v>
      </c>
      <c r="D2087" s="1" t="s">
        <v>101</v>
      </c>
      <c r="E2087" s="81">
        <v>0</v>
      </c>
      <c r="F2087" s="81">
        <v>0</v>
      </c>
    </row>
    <row r="2088" spans="1:6" x14ac:dyDescent="0.2">
      <c r="A2088" s="1" t="s">
        <v>179</v>
      </c>
      <c r="B2088" s="1" t="s">
        <v>2776</v>
      </c>
      <c r="C2088" s="1" t="s">
        <v>101</v>
      </c>
      <c r="D2088" s="1" t="s">
        <v>101</v>
      </c>
      <c r="E2088" s="81">
        <v>0</v>
      </c>
      <c r="F2088" s="81">
        <v>0</v>
      </c>
    </row>
    <row r="2089" spans="1:6" x14ac:dyDescent="0.2">
      <c r="A2089" s="1" t="s">
        <v>179</v>
      </c>
      <c r="B2089" s="1" t="s">
        <v>2777</v>
      </c>
      <c r="C2089" s="1" t="s">
        <v>101</v>
      </c>
      <c r="D2089" s="1" t="s">
        <v>101</v>
      </c>
      <c r="E2089" s="81">
        <v>0</v>
      </c>
      <c r="F2089" s="81">
        <v>0</v>
      </c>
    </row>
    <row r="2090" spans="1:6" x14ac:dyDescent="0.2">
      <c r="A2090" s="1" t="s">
        <v>179</v>
      </c>
      <c r="B2090" s="1" t="s">
        <v>2778</v>
      </c>
      <c r="C2090" s="1" t="s">
        <v>101</v>
      </c>
      <c r="D2090" s="1" t="s">
        <v>101</v>
      </c>
      <c r="E2090" s="81">
        <v>0</v>
      </c>
      <c r="F2090" s="81">
        <v>0</v>
      </c>
    </row>
    <row r="2091" spans="1:6" x14ac:dyDescent="0.2">
      <c r="A2091" s="1" t="s">
        <v>179</v>
      </c>
      <c r="B2091" s="1" t="s">
        <v>2779</v>
      </c>
      <c r="C2091" s="1" t="s">
        <v>101</v>
      </c>
      <c r="D2091" s="1" t="s">
        <v>101</v>
      </c>
      <c r="E2091" s="81">
        <v>0</v>
      </c>
      <c r="F2091" s="81">
        <v>0</v>
      </c>
    </row>
    <row r="2092" spans="1:6" x14ac:dyDescent="0.2">
      <c r="A2092" s="1" t="s">
        <v>179</v>
      </c>
      <c r="B2092" s="1" t="s">
        <v>2780</v>
      </c>
      <c r="C2092" s="1" t="s">
        <v>101</v>
      </c>
      <c r="D2092" s="1" t="s">
        <v>101</v>
      </c>
      <c r="E2092" s="81">
        <v>0</v>
      </c>
      <c r="F2092" s="81">
        <v>0</v>
      </c>
    </row>
    <row r="2093" spans="1:6" x14ac:dyDescent="0.2">
      <c r="A2093" s="1" t="s">
        <v>179</v>
      </c>
      <c r="B2093" s="1" t="s">
        <v>2781</v>
      </c>
      <c r="C2093" s="1" t="s">
        <v>101</v>
      </c>
      <c r="D2093" s="1" t="s">
        <v>101</v>
      </c>
      <c r="E2093" s="81">
        <v>0</v>
      </c>
      <c r="F2093" s="81">
        <v>0</v>
      </c>
    </row>
    <row r="2094" spans="1:6" x14ac:dyDescent="0.2">
      <c r="A2094" s="1" t="s">
        <v>179</v>
      </c>
      <c r="B2094" s="1" t="s">
        <v>2782</v>
      </c>
      <c r="C2094" s="1" t="s">
        <v>101</v>
      </c>
      <c r="D2094" s="1" t="s">
        <v>101</v>
      </c>
      <c r="E2094" s="81">
        <v>0</v>
      </c>
      <c r="F2094" s="81">
        <v>0</v>
      </c>
    </row>
    <row r="2095" spans="1:6" x14ac:dyDescent="0.2">
      <c r="A2095" s="1" t="s">
        <v>179</v>
      </c>
      <c r="B2095" s="1" t="s">
        <v>2783</v>
      </c>
      <c r="C2095" s="1" t="s">
        <v>4090</v>
      </c>
      <c r="D2095" s="1" t="s">
        <v>4090</v>
      </c>
      <c r="E2095" s="81">
        <v>4104.75</v>
      </c>
      <c r="F2095" s="81">
        <v>4104.75</v>
      </c>
    </row>
    <row r="2096" spans="1:6" x14ac:dyDescent="0.2">
      <c r="A2096" s="1" t="s">
        <v>179</v>
      </c>
      <c r="B2096" s="1" t="s">
        <v>2784</v>
      </c>
      <c r="C2096" s="1" t="s">
        <v>4091</v>
      </c>
      <c r="D2096" s="1" t="s">
        <v>4091</v>
      </c>
      <c r="E2096" s="81">
        <v>1384.16</v>
      </c>
      <c r="F2096" s="81">
        <v>1384.16</v>
      </c>
    </row>
    <row r="2097" spans="1:6" x14ac:dyDescent="0.2">
      <c r="A2097" s="1" t="s">
        <v>179</v>
      </c>
      <c r="B2097" s="1" t="s">
        <v>2785</v>
      </c>
      <c r="C2097" s="1" t="s">
        <v>4092</v>
      </c>
      <c r="D2097" s="1" t="s">
        <v>4092</v>
      </c>
      <c r="E2097" s="81">
        <v>1383.85</v>
      </c>
      <c r="F2097" s="81">
        <v>1383.85</v>
      </c>
    </row>
    <row r="2098" spans="1:6" x14ac:dyDescent="0.2">
      <c r="A2098" s="1" t="s">
        <v>179</v>
      </c>
      <c r="B2098" s="1" t="s">
        <v>2786</v>
      </c>
      <c r="C2098" s="1" t="s">
        <v>4093</v>
      </c>
      <c r="D2098" s="1" t="s">
        <v>4093</v>
      </c>
      <c r="E2098" s="81">
        <v>1322</v>
      </c>
      <c r="F2098" s="81">
        <v>1322</v>
      </c>
    </row>
    <row r="2099" spans="1:6" x14ac:dyDescent="0.2">
      <c r="A2099" s="1" t="s">
        <v>179</v>
      </c>
      <c r="B2099" s="1" t="s">
        <v>2787</v>
      </c>
      <c r="C2099" s="1" t="s">
        <v>101</v>
      </c>
      <c r="D2099" s="1" t="s">
        <v>101</v>
      </c>
      <c r="E2099" s="81">
        <v>0</v>
      </c>
      <c r="F2099" s="81">
        <v>0</v>
      </c>
    </row>
    <row r="2100" spans="1:6" x14ac:dyDescent="0.2">
      <c r="A2100" s="1" t="s">
        <v>179</v>
      </c>
      <c r="B2100" s="1" t="s">
        <v>2788</v>
      </c>
      <c r="C2100" s="1" t="s">
        <v>101</v>
      </c>
      <c r="D2100" s="1" t="s">
        <v>101</v>
      </c>
      <c r="E2100" s="81">
        <v>0</v>
      </c>
      <c r="F2100" s="81">
        <v>0</v>
      </c>
    </row>
    <row r="2101" spans="1:6" x14ac:dyDescent="0.2">
      <c r="A2101" s="1" t="s">
        <v>179</v>
      </c>
      <c r="B2101" s="1" t="s">
        <v>2789</v>
      </c>
      <c r="C2101" s="1" t="s">
        <v>101</v>
      </c>
      <c r="D2101" s="1" t="s">
        <v>101</v>
      </c>
      <c r="E2101" s="81">
        <v>0</v>
      </c>
      <c r="F2101" s="81">
        <v>0</v>
      </c>
    </row>
    <row r="2102" spans="1:6" x14ac:dyDescent="0.2">
      <c r="A2102" s="1" t="s">
        <v>179</v>
      </c>
      <c r="B2102" s="1" t="s">
        <v>2790</v>
      </c>
      <c r="C2102" s="1" t="s">
        <v>101</v>
      </c>
      <c r="D2102" s="1" t="s">
        <v>101</v>
      </c>
      <c r="E2102" s="81">
        <v>0</v>
      </c>
      <c r="F2102" s="81">
        <v>0</v>
      </c>
    </row>
    <row r="2103" spans="1:6" x14ac:dyDescent="0.2">
      <c r="A2103" s="1" t="s">
        <v>179</v>
      </c>
      <c r="B2103" s="1" t="s">
        <v>2791</v>
      </c>
      <c r="C2103" s="1" t="s">
        <v>101</v>
      </c>
      <c r="D2103" s="1" t="s">
        <v>101</v>
      </c>
      <c r="E2103" s="81">
        <v>0</v>
      </c>
      <c r="F2103" s="81">
        <v>0</v>
      </c>
    </row>
    <row r="2104" spans="1:6" x14ac:dyDescent="0.2">
      <c r="A2104" s="1" t="s">
        <v>179</v>
      </c>
      <c r="B2104" s="1" t="s">
        <v>2792</v>
      </c>
      <c r="C2104" s="1" t="s">
        <v>101</v>
      </c>
      <c r="D2104" s="1" t="s">
        <v>101</v>
      </c>
      <c r="E2104" s="81">
        <v>0</v>
      </c>
      <c r="F2104" s="81">
        <v>0</v>
      </c>
    </row>
    <row r="2105" spans="1:6" x14ac:dyDescent="0.2">
      <c r="A2105" s="1" t="s">
        <v>179</v>
      </c>
      <c r="B2105" s="1" t="s">
        <v>2793</v>
      </c>
      <c r="C2105" s="1" t="s">
        <v>101</v>
      </c>
      <c r="D2105" s="1" t="s">
        <v>101</v>
      </c>
      <c r="E2105" s="81">
        <v>0</v>
      </c>
      <c r="F2105" s="81">
        <v>0</v>
      </c>
    </row>
    <row r="2106" spans="1:6" x14ac:dyDescent="0.2">
      <c r="A2106" s="1" t="s">
        <v>179</v>
      </c>
      <c r="B2106" s="1" t="s">
        <v>2794</v>
      </c>
      <c r="C2106" s="1" t="s">
        <v>101</v>
      </c>
      <c r="D2106" s="1" t="s">
        <v>101</v>
      </c>
      <c r="E2106" s="81">
        <v>0</v>
      </c>
      <c r="F2106" s="81">
        <v>0</v>
      </c>
    </row>
    <row r="2107" spans="1:6" x14ac:dyDescent="0.2">
      <c r="A2107" s="1" t="s">
        <v>179</v>
      </c>
      <c r="B2107" s="1" t="s">
        <v>2795</v>
      </c>
      <c r="C2107" s="1" t="s">
        <v>101</v>
      </c>
      <c r="D2107" s="1" t="s">
        <v>101</v>
      </c>
      <c r="E2107" s="81">
        <v>0</v>
      </c>
      <c r="F2107" s="81">
        <v>0</v>
      </c>
    </row>
    <row r="2108" spans="1:6" x14ac:dyDescent="0.2">
      <c r="A2108" s="1" t="s">
        <v>179</v>
      </c>
      <c r="B2108" s="1" t="s">
        <v>2796</v>
      </c>
      <c r="C2108" s="1" t="s">
        <v>4094</v>
      </c>
      <c r="D2108" s="1" t="s">
        <v>4094</v>
      </c>
      <c r="E2108" s="81">
        <v>7.69</v>
      </c>
      <c r="F2108" s="81">
        <v>7.69</v>
      </c>
    </row>
    <row r="2109" spans="1:6" x14ac:dyDescent="0.2">
      <c r="A2109" s="1" t="s">
        <v>179</v>
      </c>
      <c r="B2109" s="1" t="s">
        <v>2797</v>
      </c>
      <c r="C2109" s="1" t="s">
        <v>4095</v>
      </c>
      <c r="D2109" s="1" t="s">
        <v>4095</v>
      </c>
      <c r="E2109" s="81">
        <v>7.02</v>
      </c>
      <c r="F2109" s="81">
        <v>7.02</v>
      </c>
    </row>
    <row r="2110" spans="1:6" x14ac:dyDescent="0.2">
      <c r="A2110" s="1" t="s">
        <v>179</v>
      </c>
      <c r="B2110" s="1" t="s">
        <v>2798</v>
      </c>
      <c r="C2110" s="1" t="s">
        <v>4096</v>
      </c>
      <c r="D2110" s="1" t="s">
        <v>4096</v>
      </c>
      <c r="E2110" s="81">
        <v>6.65</v>
      </c>
      <c r="F2110" s="81">
        <v>6.65</v>
      </c>
    </row>
    <row r="2111" spans="1:6" x14ac:dyDescent="0.2">
      <c r="A2111" s="1" t="s">
        <v>179</v>
      </c>
      <c r="B2111" s="1" t="s">
        <v>2799</v>
      </c>
      <c r="C2111" s="1" t="s">
        <v>101</v>
      </c>
      <c r="D2111" s="1" t="s">
        <v>101</v>
      </c>
      <c r="E2111" s="81">
        <v>0</v>
      </c>
      <c r="F2111" s="81">
        <v>0</v>
      </c>
    </row>
    <row r="2112" spans="1:6" x14ac:dyDescent="0.2">
      <c r="A2112" s="1" t="s">
        <v>179</v>
      </c>
      <c r="B2112" s="1" t="s">
        <v>2800</v>
      </c>
      <c r="C2112" s="1" t="s">
        <v>101</v>
      </c>
      <c r="D2112" s="1" t="s">
        <v>101</v>
      </c>
      <c r="E2112" s="81">
        <v>0</v>
      </c>
      <c r="F2112" s="81">
        <v>0</v>
      </c>
    </row>
    <row r="2113" spans="1:6" x14ac:dyDescent="0.2">
      <c r="A2113" s="1" t="s">
        <v>179</v>
      </c>
      <c r="B2113" s="1" t="s">
        <v>2801</v>
      </c>
      <c r="C2113" s="1" t="s">
        <v>101</v>
      </c>
      <c r="D2113" s="1" t="s">
        <v>101</v>
      </c>
      <c r="E2113" s="81">
        <v>0</v>
      </c>
      <c r="F2113" s="81">
        <v>0</v>
      </c>
    </row>
    <row r="2114" spans="1:6" x14ac:dyDescent="0.2">
      <c r="A2114" s="1" t="s">
        <v>179</v>
      </c>
      <c r="B2114" s="1" t="s">
        <v>2802</v>
      </c>
      <c r="C2114" s="1" t="s">
        <v>101</v>
      </c>
      <c r="D2114" s="1" t="s">
        <v>101</v>
      </c>
      <c r="E2114" s="81">
        <v>0</v>
      </c>
      <c r="F2114" s="81">
        <v>0</v>
      </c>
    </row>
    <row r="2115" spans="1:6" x14ac:dyDescent="0.2">
      <c r="A2115" s="1" t="s">
        <v>179</v>
      </c>
      <c r="B2115" s="1" t="s">
        <v>2803</v>
      </c>
      <c r="C2115" s="1" t="s">
        <v>101</v>
      </c>
      <c r="D2115" s="1" t="s">
        <v>101</v>
      </c>
      <c r="E2115" s="81">
        <v>0</v>
      </c>
      <c r="F2115" s="81">
        <v>0</v>
      </c>
    </row>
    <row r="2116" spans="1:6" x14ac:dyDescent="0.2">
      <c r="A2116" s="1" t="s">
        <v>179</v>
      </c>
      <c r="B2116" s="1" t="s">
        <v>2804</v>
      </c>
      <c r="C2116" s="1" t="s">
        <v>101</v>
      </c>
      <c r="D2116" s="1" t="s">
        <v>101</v>
      </c>
      <c r="E2116" s="81">
        <v>0</v>
      </c>
      <c r="F2116" s="81">
        <v>0</v>
      </c>
    </row>
    <row r="2117" spans="1:6" x14ac:dyDescent="0.2">
      <c r="A2117" s="1" t="s">
        <v>179</v>
      </c>
      <c r="B2117" s="1" t="s">
        <v>2805</v>
      </c>
      <c r="C2117" s="1" t="s">
        <v>101</v>
      </c>
      <c r="D2117" s="1" t="s">
        <v>101</v>
      </c>
      <c r="E2117" s="81">
        <v>0</v>
      </c>
      <c r="F2117" s="81">
        <v>0</v>
      </c>
    </row>
    <row r="2118" spans="1:6" x14ac:dyDescent="0.2">
      <c r="A2118" s="1" t="s">
        <v>179</v>
      </c>
      <c r="B2118" s="1" t="s">
        <v>2806</v>
      </c>
      <c r="C2118" s="1" t="s">
        <v>101</v>
      </c>
      <c r="D2118" s="1" t="s">
        <v>101</v>
      </c>
      <c r="E2118" s="81">
        <v>0</v>
      </c>
      <c r="F2118" s="81">
        <v>0</v>
      </c>
    </row>
    <row r="2119" spans="1:6" x14ac:dyDescent="0.2">
      <c r="A2119" s="1" t="s">
        <v>179</v>
      </c>
      <c r="B2119" s="1" t="s">
        <v>2807</v>
      </c>
      <c r="C2119" s="1" t="s">
        <v>101</v>
      </c>
      <c r="D2119" s="1" t="s">
        <v>101</v>
      </c>
      <c r="E2119" s="81">
        <v>0</v>
      </c>
      <c r="F2119" s="81">
        <v>0</v>
      </c>
    </row>
    <row r="2120" spans="1:6" x14ac:dyDescent="0.2">
      <c r="A2120" s="1" t="s">
        <v>179</v>
      </c>
      <c r="B2120" s="1" t="s">
        <v>2808</v>
      </c>
      <c r="C2120" s="1" t="s">
        <v>101</v>
      </c>
      <c r="D2120" s="1" t="s">
        <v>101</v>
      </c>
      <c r="E2120" s="81">
        <v>0</v>
      </c>
      <c r="F2120" s="81">
        <v>0</v>
      </c>
    </row>
    <row r="2121" spans="1:6" x14ac:dyDescent="0.2">
      <c r="A2121" s="1" t="s">
        <v>179</v>
      </c>
      <c r="B2121" s="1" t="s">
        <v>2809</v>
      </c>
      <c r="C2121" s="1" t="s">
        <v>101</v>
      </c>
      <c r="D2121" s="1" t="s">
        <v>101</v>
      </c>
      <c r="E2121" s="81">
        <v>0</v>
      </c>
      <c r="F2121" s="81">
        <v>0</v>
      </c>
    </row>
    <row r="2122" spans="1:6" x14ac:dyDescent="0.2">
      <c r="A2122" s="1" t="s">
        <v>179</v>
      </c>
      <c r="B2122" s="1" t="s">
        <v>2810</v>
      </c>
      <c r="C2122" s="1" t="s">
        <v>101</v>
      </c>
      <c r="D2122" s="1" t="s">
        <v>101</v>
      </c>
      <c r="E2122" s="81">
        <v>0</v>
      </c>
      <c r="F2122" s="81">
        <v>0</v>
      </c>
    </row>
    <row r="2123" spans="1:6" x14ac:dyDescent="0.2">
      <c r="A2123" s="1" t="s">
        <v>179</v>
      </c>
      <c r="B2123" s="1" t="s">
        <v>2811</v>
      </c>
      <c r="C2123" s="1" t="s">
        <v>101</v>
      </c>
      <c r="D2123" s="1" t="s">
        <v>101</v>
      </c>
      <c r="E2123" s="81">
        <v>0</v>
      </c>
      <c r="F2123" s="81">
        <v>0</v>
      </c>
    </row>
    <row r="2124" spans="1:6" x14ac:dyDescent="0.2">
      <c r="A2124" s="1" t="s">
        <v>179</v>
      </c>
      <c r="B2124" s="1" t="s">
        <v>2812</v>
      </c>
      <c r="C2124" s="1" t="s">
        <v>101</v>
      </c>
      <c r="D2124" s="1" t="s">
        <v>101</v>
      </c>
      <c r="E2124" s="81">
        <v>0</v>
      </c>
      <c r="F2124" s="81">
        <v>0</v>
      </c>
    </row>
    <row r="2125" spans="1:6" x14ac:dyDescent="0.2">
      <c r="A2125" s="1" t="s">
        <v>179</v>
      </c>
      <c r="B2125" s="1" t="s">
        <v>2813</v>
      </c>
      <c r="C2125" s="1" t="s">
        <v>101</v>
      </c>
      <c r="D2125" s="1" t="s">
        <v>101</v>
      </c>
      <c r="E2125" s="81">
        <v>0</v>
      </c>
      <c r="F2125" s="81">
        <v>0</v>
      </c>
    </row>
    <row r="2126" spans="1:6" x14ac:dyDescent="0.2">
      <c r="A2126" s="1" t="s">
        <v>179</v>
      </c>
      <c r="B2126" s="1" t="s">
        <v>2814</v>
      </c>
      <c r="C2126" s="1" t="s">
        <v>101</v>
      </c>
      <c r="D2126" s="1" t="s">
        <v>101</v>
      </c>
      <c r="E2126" s="81">
        <v>0</v>
      </c>
      <c r="F2126" s="81">
        <v>0</v>
      </c>
    </row>
    <row r="2127" spans="1:6" x14ac:dyDescent="0.2">
      <c r="A2127" s="1" t="s">
        <v>179</v>
      </c>
      <c r="B2127" s="1" t="s">
        <v>2815</v>
      </c>
      <c r="C2127" s="1" t="s">
        <v>101</v>
      </c>
      <c r="D2127" s="1" t="s">
        <v>101</v>
      </c>
      <c r="E2127" s="81">
        <v>0</v>
      </c>
      <c r="F2127" s="81">
        <v>0</v>
      </c>
    </row>
    <row r="2128" spans="1:6" x14ac:dyDescent="0.2">
      <c r="A2128" s="1" t="s">
        <v>179</v>
      </c>
      <c r="B2128" s="1" t="s">
        <v>2816</v>
      </c>
      <c r="C2128" s="1" t="s">
        <v>101</v>
      </c>
      <c r="D2128" s="1" t="s">
        <v>101</v>
      </c>
      <c r="E2128" s="81">
        <v>0</v>
      </c>
      <c r="F2128" s="81">
        <v>0</v>
      </c>
    </row>
    <row r="2129" spans="1:6" x14ac:dyDescent="0.2">
      <c r="A2129" s="1" t="s">
        <v>179</v>
      </c>
      <c r="B2129" s="1" t="s">
        <v>2817</v>
      </c>
      <c r="C2129" s="1" t="s">
        <v>101</v>
      </c>
      <c r="D2129" s="1" t="s">
        <v>101</v>
      </c>
      <c r="E2129" s="81">
        <v>0</v>
      </c>
      <c r="F2129" s="81">
        <v>0</v>
      </c>
    </row>
    <row r="2130" spans="1:6" x14ac:dyDescent="0.2">
      <c r="A2130" s="1" t="s">
        <v>179</v>
      </c>
      <c r="B2130" s="1" t="s">
        <v>2818</v>
      </c>
      <c r="C2130" s="1" t="s">
        <v>101</v>
      </c>
      <c r="D2130" s="1" t="s">
        <v>101</v>
      </c>
      <c r="E2130" s="81">
        <v>0</v>
      </c>
      <c r="F2130" s="81">
        <v>0</v>
      </c>
    </row>
    <row r="2131" spans="1:6" x14ac:dyDescent="0.2">
      <c r="A2131" s="1" t="s">
        <v>179</v>
      </c>
      <c r="B2131" s="1" t="s">
        <v>2819</v>
      </c>
      <c r="C2131" s="1" t="s">
        <v>101</v>
      </c>
      <c r="D2131" s="1" t="s">
        <v>101</v>
      </c>
      <c r="E2131" s="81">
        <v>0</v>
      </c>
      <c r="F2131" s="81">
        <v>0</v>
      </c>
    </row>
    <row r="2132" spans="1:6" x14ac:dyDescent="0.2">
      <c r="A2132" s="1" t="s">
        <v>179</v>
      </c>
      <c r="B2132" s="1" t="s">
        <v>2820</v>
      </c>
      <c r="C2132" s="1" t="s">
        <v>4087</v>
      </c>
      <c r="D2132" s="1" t="s">
        <v>4087</v>
      </c>
      <c r="E2132" s="81">
        <v>1389.72</v>
      </c>
      <c r="F2132" s="81">
        <v>1389.72</v>
      </c>
    </row>
    <row r="2133" spans="1:6" x14ac:dyDescent="0.2">
      <c r="A2133" s="1" t="s">
        <v>179</v>
      </c>
      <c r="B2133" s="1" t="s">
        <v>2821</v>
      </c>
      <c r="C2133" s="1" t="s">
        <v>4088</v>
      </c>
      <c r="D2133" s="1" t="s">
        <v>4088</v>
      </c>
      <c r="E2133" s="81">
        <v>1388.48</v>
      </c>
      <c r="F2133" s="81">
        <v>1388.48</v>
      </c>
    </row>
    <row r="2134" spans="1:6" x14ac:dyDescent="0.2">
      <c r="A2134" s="1" t="s">
        <v>179</v>
      </c>
      <c r="B2134" s="1" t="s">
        <v>2822</v>
      </c>
      <c r="C2134" s="1" t="s">
        <v>4089</v>
      </c>
      <c r="D2134" s="1" t="s">
        <v>4089</v>
      </c>
      <c r="E2134" s="81">
        <v>1326.54</v>
      </c>
      <c r="F2134" s="81">
        <v>1326.54</v>
      </c>
    </row>
    <row r="2135" spans="1:6" x14ac:dyDescent="0.2">
      <c r="A2135" s="1" t="s">
        <v>179</v>
      </c>
      <c r="B2135" s="1" t="s">
        <v>2823</v>
      </c>
      <c r="C2135" s="1" t="s">
        <v>101</v>
      </c>
      <c r="D2135" s="1" t="s">
        <v>101</v>
      </c>
      <c r="E2135" s="81">
        <v>0</v>
      </c>
      <c r="F2135" s="81">
        <v>0</v>
      </c>
    </row>
    <row r="2136" spans="1:6" x14ac:dyDescent="0.2">
      <c r="A2136" s="1" t="s">
        <v>179</v>
      </c>
      <c r="B2136" s="1" t="s">
        <v>2824</v>
      </c>
      <c r="C2136" s="1" t="s">
        <v>101</v>
      </c>
      <c r="D2136" s="1" t="s">
        <v>101</v>
      </c>
      <c r="E2136" s="81">
        <v>0</v>
      </c>
      <c r="F2136" s="81">
        <v>0</v>
      </c>
    </row>
    <row r="2137" spans="1:6" x14ac:dyDescent="0.2">
      <c r="A2137" s="1" t="s">
        <v>179</v>
      </c>
      <c r="B2137" s="1" t="s">
        <v>2825</v>
      </c>
      <c r="C2137" s="1" t="s">
        <v>101</v>
      </c>
      <c r="D2137" s="1" t="s">
        <v>101</v>
      </c>
      <c r="E2137" s="81">
        <v>0</v>
      </c>
      <c r="F2137" s="81">
        <v>0</v>
      </c>
    </row>
    <row r="2138" spans="1:6" x14ac:dyDescent="0.2">
      <c r="A2138" s="1" t="s">
        <v>179</v>
      </c>
      <c r="B2138" s="1" t="s">
        <v>2826</v>
      </c>
      <c r="C2138" s="1" t="s">
        <v>101</v>
      </c>
      <c r="D2138" s="1" t="s">
        <v>101</v>
      </c>
      <c r="E2138" s="81">
        <v>0</v>
      </c>
      <c r="F2138" s="81">
        <v>0</v>
      </c>
    </row>
    <row r="2139" spans="1:6" x14ac:dyDescent="0.2">
      <c r="A2139" s="1" t="s">
        <v>179</v>
      </c>
      <c r="B2139" s="1" t="s">
        <v>2827</v>
      </c>
      <c r="C2139" s="1" t="s">
        <v>101</v>
      </c>
      <c r="D2139" s="1" t="s">
        <v>101</v>
      </c>
      <c r="E2139" s="81">
        <v>0</v>
      </c>
      <c r="F2139" s="81">
        <v>0</v>
      </c>
    </row>
    <row r="2140" spans="1:6" x14ac:dyDescent="0.2">
      <c r="A2140" s="1" t="s">
        <v>179</v>
      </c>
      <c r="B2140" s="1" t="s">
        <v>2828</v>
      </c>
      <c r="C2140" s="1" t="s">
        <v>101</v>
      </c>
      <c r="D2140" s="1" t="s">
        <v>101</v>
      </c>
      <c r="E2140" s="81">
        <v>0</v>
      </c>
      <c r="F2140" s="81">
        <v>0</v>
      </c>
    </row>
    <row r="2141" spans="1:6" x14ac:dyDescent="0.2">
      <c r="A2141" s="1" t="s">
        <v>179</v>
      </c>
      <c r="B2141" s="1" t="s">
        <v>2829</v>
      </c>
      <c r="C2141" s="1" t="s">
        <v>101</v>
      </c>
      <c r="D2141" s="1" t="s">
        <v>101</v>
      </c>
      <c r="E2141" s="81">
        <v>0</v>
      </c>
      <c r="F2141" s="81">
        <v>0</v>
      </c>
    </row>
    <row r="2142" spans="1:6" x14ac:dyDescent="0.2">
      <c r="A2142" s="1" t="s">
        <v>179</v>
      </c>
      <c r="B2142" s="1" t="s">
        <v>2830</v>
      </c>
      <c r="C2142" s="1" t="s">
        <v>101</v>
      </c>
      <c r="D2142" s="1" t="s">
        <v>101</v>
      </c>
      <c r="E2142" s="81">
        <v>0</v>
      </c>
      <c r="F2142" s="81">
        <v>0</v>
      </c>
    </row>
    <row r="2143" spans="1:6" x14ac:dyDescent="0.2">
      <c r="A2143" s="1" t="s">
        <v>179</v>
      </c>
      <c r="B2143" s="1" t="s">
        <v>2831</v>
      </c>
      <c r="C2143" s="1" t="s">
        <v>101</v>
      </c>
      <c r="D2143" s="1" t="s">
        <v>101</v>
      </c>
      <c r="E2143" s="81">
        <v>0</v>
      </c>
      <c r="F2143" s="81">
        <v>0</v>
      </c>
    </row>
    <row r="2144" spans="1:6" x14ac:dyDescent="0.2">
      <c r="A2144" s="1" t="s">
        <v>179</v>
      </c>
      <c r="B2144" s="1" t="s">
        <v>2832</v>
      </c>
      <c r="C2144" s="1" t="s">
        <v>4090</v>
      </c>
      <c r="D2144" s="1" t="s">
        <v>4090</v>
      </c>
      <c r="E2144" s="81">
        <v>4104.75</v>
      </c>
      <c r="F2144" s="81">
        <v>4104.75</v>
      </c>
    </row>
    <row r="2145" spans="1:6" x14ac:dyDescent="0.2">
      <c r="A2145" s="1" t="s">
        <v>179</v>
      </c>
      <c r="B2145" s="1" t="s">
        <v>2833</v>
      </c>
      <c r="C2145" s="1" t="s">
        <v>4097</v>
      </c>
      <c r="D2145" s="1" t="s">
        <v>4097</v>
      </c>
      <c r="E2145" s="81">
        <v>4137.1000000000004</v>
      </c>
      <c r="F2145" s="81">
        <v>4137.1000000000004</v>
      </c>
    </row>
    <row r="2146" spans="1:6" x14ac:dyDescent="0.2">
      <c r="A2146" s="1" t="s">
        <v>179</v>
      </c>
      <c r="B2146" s="1" t="s">
        <v>2834</v>
      </c>
      <c r="C2146" s="1" t="s">
        <v>4098</v>
      </c>
      <c r="D2146" s="1" t="s">
        <v>4098</v>
      </c>
      <c r="E2146" s="81">
        <v>3486.73</v>
      </c>
      <c r="F2146" s="81">
        <v>3486.73</v>
      </c>
    </row>
    <row r="2147" spans="1:6" x14ac:dyDescent="0.2">
      <c r="A2147" s="1" t="s">
        <v>179</v>
      </c>
      <c r="B2147" s="1" t="s">
        <v>2835</v>
      </c>
      <c r="C2147" s="1" t="s">
        <v>4099</v>
      </c>
      <c r="D2147" s="1" t="s">
        <v>4099</v>
      </c>
      <c r="E2147" s="81">
        <v>3273.22</v>
      </c>
      <c r="F2147" s="81">
        <v>3273.22</v>
      </c>
    </row>
    <row r="2148" spans="1:6" x14ac:dyDescent="0.2">
      <c r="A2148" s="1" t="s">
        <v>179</v>
      </c>
      <c r="B2148" s="1" t="s">
        <v>2836</v>
      </c>
      <c r="C2148" s="1" t="s">
        <v>101</v>
      </c>
      <c r="D2148" s="1" t="s">
        <v>101</v>
      </c>
      <c r="E2148" s="81">
        <v>0</v>
      </c>
      <c r="F2148" s="81">
        <v>0</v>
      </c>
    </row>
    <row r="2149" spans="1:6" x14ac:dyDescent="0.2">
      <c r="A2149" s="1" t="s">
        <v>179</v>
      </c>
      <c r="B2149" s="1" t="s">
        <v>2837</v>
      </c>
      <c r="C2149" s="1" t="s">
        <v>101</v>
      </c>
      <c r="D2149" s="1" t="s">
        <v>101</v>
      </c>
      <c r="E2149" s="81">
        <v>0</v>
      </c>
      <c r="F2149" s="81">
        <v>0</v>
      </c>
    </row>
    <row r="2150" spans="1:6" x14ac:dyDescent="0.2">
      <c r="A2150" s="1" t="s">
        <v>179</v>
      </c>
      <c r="B2150" s="1" t="s">
        <v>2838</v>
      </c>
      <c r="C2150" s="1" t="s">
        <v>101</v>
      </c>
      <c r="D2150" s="1" t="s">
        <v>101</v>
      </c>
      <c r="E2150" s="81">
        <v>0</v>
      </c>
      <c r="F2150" s="81">
        <v>0</v>
      </c>
    </row>
    <row r="2151" spans="1:6" x14ac:dyDescent="0.2">
      <c r="A2151" s="1" t="s">
        <v>179</v>
      </c>
      <c r="B2151" s="1" t="s">
        <v>2839</v>
      </c>
      <c r="C2151" s="1" t="s">
        <v>101</v>
      </c>
      <c r="D2151" s="1" t="s">
        <v>101</v>
      </c>
      <c r="E2151" s="81">
        <v>0</v>
      </c>
      <c r="F2151" s="81">
        <v>0</v>
      </c>
    </row>
    <row r="2152" spans="1:6" x14ac:dyDescent="0.2">
      <c r="A2152" s="1" t="s">
        <v>179</v>
      </c>
      <c r="B2152" s="1" t="s">
        <v>2840</v>
      </c>
      <c r="C2152" s="1" t="s">
        <v>101</v>
      </c>
      <c r="D2152" s="1" t="s">
        <v>101</v>
      </c>
      <c r="E2152" s="81">
        <v>0</v>
      </c>
      <c r="F2152" s="81">
        <v>0</v>
      </c>
    </row>
    <row r="2153" spans="1:6" x14ac:dyDescent="0.2">
      <c r="A2153" s="1" t="s">
        <v>179</v>
      </c>
      <c r="B2153" s="1" t="s">
        <v>2841</v>
      </c>
      <c r="C2153" s="1" t="s">
        <v>101</v>
      </c>
      <c r="D2153" s="1" t="s">
        <v>101</v>
      </c>
      <c r="E2153" s="81">
        <v>0</v>
      </c>
      <c r="F2153" s="81">
        <v>0</v>
      </c>
    </row>
    <row r="2154" spans="1:6" x14ac:dyDescent="0.2">
      <c r="A2154" s="1" t="s">
        <v>179</v>
      </c>
      <c r="B2154" s="1" t="s">
        <v>2842</v>
      </c>
      <c r="C2154" s="1" t="s">
        <v>101</v>
      </c>
      <c r="D2154" s="1" t="s">
        <v>101</v>
      </c>
      <c r="E2154" s="81">
        <v>0</v>
      </c>
      <c r="F2154" s="81">
        <v>0</v>
      </c>
    </row>
    <row r="2155" spans="1:6" x14ac:dyDescent="0.2">
      <c r="A2155" s="1" t="s">
        <v>179</v>
      </c>
      <c r="B2155" s="1" t="s">
        <v>2843</v>
      </c>
      <c r="C2155" s="1" t="s">
        <v>101</v>
      </c>
      <c r="D2155" s="1" t="s">
        <v>101</v>
      </c>
      <c r="E2155" s="81">
        <v>0</v>
      </c>
      <c r="F2155" s="81">
        <v>0</v>
      </c>
    </row>
    <row r="2156" spans="1:6" x14ac:dyDescent="0.2">
      <c r="A2156" s="1" t="s">
        <v>179</v>
      </c>
      <c r="B2156" s="1" t="s">
        <v>2844</v>
      </c>
      <c r="C2156" s="1" t="s">
        <v>101</v>
      </c>
      <c r="D2156" s="1" t="s">
        <v>101</v>
      </c>
      <c r="E2156" s="81">
        <v>0</v>
      </c>
      <c r="F2156" s="81">
        <v>0</v>
      </c>
    </row>
    <row r="2157" spans="1:6" x14ac:dyDescent="0.2">
      <c r="A2157" s="1" t="s">
        <v>179</v>
      </c>
      <c r="B2157" s="1" t="s">
        <v>2845</v>
      </c>
      <c r="C2157" s="1" t="s">
        <v>4100</v>
      </c>
      <c r="D2157" s="1" t="s">
        <v>4100</v>
      </c>
      <c r="E2157" s="81">
        <v>10897.05</v>
      </c>
      <c r="F2157" s="81">
        <v>10897.05</v>
      </c>
    </row>
    <row r="2158" spans="1:6" x14ac:dyDescent="0.2">
      <c r="A2158" s="1" t="s">
        <v>179</v>
      </c>
      <c r="B2158" s="1" t="s">
        <v>2846</v>
      </c>
      <c r="C2158" s="1" t="s">
        <v>4101</v>
      </c>
      <c r="D2158" s="1" t="s">
        <v>4101</v>
      </c>
      <c r="E2158" s="81">
        <v>316.7</v>
      </c>
      <c r="F2158" s="81">
        <v>316.7</v>
      </c>
    </row>
    <row r="2159" spans="1:6" x14ac:dyDescent="0.2">
      <c r="A2159" s="1" t="s">
        <v>179</v>
      </c>
      <c r="B2159" s="1" t="s">
        <v>2847</v>
      </c>
      <c r="C2159" s="1" t="s">
        <v>4102</v>
      </c>
      <c r="D2159" s="1" t="s">
        <v>4102</v>
      </c>
      <c r="E2159" s="81">
        <v>317.73</v>
      </c>
      <c r="F2159" s="81">
        <v>317.73</v>
      </c>
    </row>
    <row r="2160" spans="1:6" x14ac:dyDescent="0.2">
      <c r="A2160" s="1" t="s">
        <v>179</v>
      </c>
      <c r="B2160" s="1" t="s">
        <v>2848</v>
      </c>
      <c r="C2160" s="1" t="s">
        <v>4103</v>
      </c>
      <c r="D2160" s="1" t="s">
        <v>4103</v>
      </c>
      <c r="E2160" s="81">
        <v>309.77999999999997</v>
      </c>
      <c r="F2160" s="81">
        <v>309.77999999999997</v>
      </c>
    </row>
    <row r="2161" spans="1:6" x14ac:dyDescent="0.2">
      <c r="A2161" s="1" t="s">
        <v>179</v>
      </c>
      <c r="B2161" s="1" t="s">
        <v>2849</v>
      </c>
      <c r="C2161" s="1" t="s">
        <v>101</v>
      </c>
      <c r="D2161" s="1" t="s">
        <v>101</v>
      </c>
      <c r="E2161" s="81">
        <v>0</v>
      </c>
      <c r="F2161" s="81">
        <v>0</v>
      </c>
    </row>
    <row r="2162" spans="1:6" x14ac:dyDescent="0.2">
      <c r="A2162" s="1" t="s">
        <v>179</v>
      </c>
      <c r="B2162" s="1" t="s">
        <v>2850</v>
      </c>
      <c r="C2162" s="1" t="s">
        <v>101</v>
      </c>
      <c r="D2162" s="1" t="s">
        <v>101</v>
      </c>
      <c r="E2162" s="81">
        <v>0</v>
      </c>
      <c r="F2162" s="81">
        <v>0</v>
      </c>
    </row>
    <row r="2163" spans="1:6" x14ac:dyDescent="0.2">
      <c r="A2163" s="1" t="s">
        <v>179</v>
      </c>
      <c r="B2163" s="1" t="s">
        <v>2851</v>
      </c>
      <c r="C2163" s="1" t="s">
        <v>101</v>
      </c>
      <c r="D2163" s="1" t="s">
        <v>101</v>
      </c>
      <c r="E2163" s="81">
        <v>0</v>
      </c>
      <c r="F2163" s="81">
        <v>0</v>
      </c>
    </row>
    <row r="2164" spans="1:6" x14ac:dyDescent="0.2">
      <c r="A2164" s="1" t="s">
        <v>179</v>
      </c>
      <c r="B2164" s="1" t="s">
        <v>2852</v>
      </c>
      <c r="C2164" s="1" t="s">
        <v>101</v>
      </c>
      <c r="D2164" s="1" t="s">
        <v>101</v>
      </c>
      <c r="E2164" s="81">
        <v>0</v>
      </c>
      <c r="F2164" s="81">
        <v>0</v>
      </c>
    </row>
    <row r="2165" spans="1:6" x14ac:dyDescent="0.2">
      <c r="A2165" s="1" t="s">
        <v>179</v>
      </c>
      <c r="B2165" s="1" t="s">
        <v>2853</v>
      </c>
      <c r="C2165" s="1" t="s">
        <v>101</v>
      </c>
      <c r="D2165" s="1" t="s">
        <v>101</v>
      </c>
      <c r="E2165" s="81">
        <v>0</v>
      </c>
      <c r="F2165" s="81">
        <v>0</v>
      </c>
    </row>
    <row r="2166" spans="1:6" x14ac:dyDescent="0.2">
      <c r="A2166" s="1" t="s">
        <v>179</v>
      </c>
      <c r="B2166" s="1" t="s">
        <v>2854</v>
      </c>
      <c r="C2166" s="1" t="s">
        <v>101</v>
      </c>
      <c r="D2166" s="1" t="s">
        <v>101</v>
      </c>
      <c r="E2166" s="81">
        <v>0</v>
      </c>
      <c r="F2166" s="81">
        <v>0</v>
      </c>
    </row>
    <row r="2167" spans="1:6" x14ac:dyDescent="0.2">
      <c r="A2167" s="1" t="s">
        <v>179</v>
      </c>
      <c r="B2167" s="1" t="s">
        <v>2855</v>
      </c>
      <c r="C2167" s="1" t="s">
        <v>101</v>
      </c>
      <c r="D2167" s="1" t="s">
        <v>101</v>
      </c>
      <c r="E2167" s="81">
        <v>0</v>
      </c>
      <c r="F2167" s="81">
        <v>0</v>
      </c>
    </row>
    <row r="2168" spans="1:6" x14ac:dyDescent="0.2">
      <c r="A2168" s="1" t="s">
        <v>179</v>
      </c>
      <c r="B2168" s="1" t="s">
        <v>2856</v>
      </c>
      <c r="C2168" s="1" t="s">
        <v>101</v>
      </c>
      <c r="D2168" s="1" t="s">
        <v>101</v>
      </c>
      <c r="E2168" s="81">
        <v>0</v>
      </c>
      <c r="F2168" s="81">
        <v>0</v>
      </c>
    </row>
    <row r="2169" spans="1:6" x14ac:dyDescent="0.2">
      <c r="A2169" s="1" t="s">
        <v>179</v>
      </c>
      <c r="B2169" s="1" t="s">
        <v>2857</v>
      </c>
      <c r="C2169" s="1" t="s">
        <v>101</v>
      </c>
      <c r="D2169" s="1" t="s">
        <v>101</v>
      </c>
      <c r="E2169" s="81">
        <v>0</v>
      </c>
      <c r="F2169" s="81">
        <v>0</v>
      </c>
    </row>
    <row r="2170" spans="1:6" x14ac:dyDescent="0.2">
      <c r="A2170" s="1" t="s">
        <v>179</v>
      </c>
      <c r="B2170" s="1" t="s">
        <v>2858</v>
      </c>
      <c r="C2170" s="1" t="s">
        <v>4104</v>
      </c>
      <c r="D2170" s="1" t="s">
        <v>4104</v>
      </c>
      <c r="E2170" s="81">
        <v>3826.74</v>
      </c>
      <c r="F2170" s="81">
        <v>3826.74</v>
      </c>
    </row>
    <row r="2171" spans="1:6" x14ac:dyDescent="0.2">
      <c r="A2171" s="1" t="s">
        <v>179</v>
      </c>
      <c r="B2171" s="1" t="s">
        <v>2859</v>
      </c>
      <c r="C2171" s="1" t="s">
        <v>4105</v>
      </c>
      <c r="D2171" s="1" t="s">
        <v>4105</v>
      </c>
      <c r="E2171" s="81">
        <v>3174.99</v>
      </c>
      <c r="F2171" s="81">
        <v>3174.99</v>
      </c>
    </row>
    <row r="2172" spans="1:6" x14ac:dyDescent="0.2">
      <c r="A2172" s="1" t="s">
        <v>179</v>
      </c>
      <c r="B2172" s="1" t="s">
        <v>2860</v>
      </c>
      <c r="C2172" s="1" t="s">
        <v>4106</v>
      </c>
      <c r="D2172" s="1" t="s">
        <v>4106</v>
      </c>
      <c r="E2172" s="81">
        <v>2968.64</v>
      </c>
      <c r="F2172" s="81">
        <v>2968.64</v>
      </c>
    </row>
    <row r="2173" spans="1:6" x14ac:dyDescent="0.2">
      <c r="A2173" s="1" t="s">
        <v>179</v>
      </c>
      <c r="B2173" s="1" t="s">
        <v>2861</v>
      </c>
      <c r="C2173" s="1" t="s">
        <v>101</v>
      </c>
      <c r="D2173" s="1" t="s">
        <v>101</v>
      </c>
      <c r="E2173" s="81">
        <v>0</v>
      </c>
      <c r="F2173" s="81">
        <v>0</v>
      </c>
    </row>
    <row r="2174" spans="1:6" x14ac:dyDescent="0.2">
      <c r="A2174" s="1" t="s">
        <v>179</v>
      </c>
      <c r="B2174" s="1" t="s">
        <v>2862</v>
      </c>
      <c r="C2174" s="1" t="s">
        <v>101</v>
      </c>
      <c r="D2174" s="1" t="s">
        <v>101</v>
      </c>
      <c r="E2174" s="81">
        <v>0</v>
      </c>
      <c r="F2174" s="81">
        <v>0</v>
      </c>
    </row>
    <row r="2175" spans="1:6" x14ac:dyDescent="0.2">
      <c r="A2175" s="1" t="s">
        <v>179</v>
      </c>
      <c r="B2175" s="1" t="s">
        <v>2863</v>
      </c>
      <c r="C2175" s="1" t="s">
        <v>101</v>
      </c>
      <c r="D2175" s="1" t="s">
        <v>101</v>
      </c>
      <c r="E2175" s="81">
        <v>0</v>
      </c>
      <c r="F2175" s="81">
        <v>0</v>
      </c>
    </row>
    <row r="2176" spans="1:6" x14ac:dyDescent="0.2">
      <c r="A2176" s="1" t="s">
        <v>179</v>
      </c>
      <c r="B2176" s="1" t="s">
        <v>2864</v>
      </c>
      <c r="C2176" s="1" t="s">
        <v>101</v>
      </c>
      <c r="D2176" s="1" t="s">
        <v>101</v>
      </c>
      <c r="E2176" s="81">
        <v>0</v>
      </c>
      <c r="F2176" s="81">
        <v>0</v>
      </c>
    </row>
    <row r="2177" spans="1:6" x14ac:dyDescent="0.2">
      <c r="A2177" s="1" t="s">
        <v>179</v>
      </c>
      <c r="B2177" s="1" t="s">
        <v>2865</v>
      </c>
      <c r="C2177" s="1" t="s">
        <v>101</v>
      </c>
      <c r="D2177" s="1" t="s">
        <v>101</v>
      </c>
      <c r="E2177" s="81">
        <v>0</v>
      </c>
      <c r="F2177" s="81">
        <v>0</v>
      </c>
    </row>
    <row r="2178" spans="1:6" x14ac:dyDescent="0.2">
      <c r="A2178" s="1" t="s">
        <v>179</v>
      </c>
      <c r="B2178" s="1" t="s">
        <v>2866</v>
      </c>
      <c r="C2178" s="1" t="s">
        <v>101</v>
      </c>
      <c r="D2178" s="1" t="s">
        <v>101</v>
      </c>
      <c r="E2178" s="81">
        <v>0</v>
      </c>
      <c r="F2178" s="81">
        <v>0</v>
      </c>
    </row>
    <row r="2179" spans="1:6" x14ac:dyDescent="0.2">
      <c r="A2179" s="1" t="s">
        <v>179</v>
      </c>
      <c r="B2179" s="1" t="s">
        <v>2867</v>
      </c>
      <c r="C2179" s="1" t="s">
        <v>101</v>
      </c>
      <c r="D2179" s="1" t="s">
        <v>101</v>
      </c>
      <c r="E2179" s="81">
        <v>0</v>
      </c>
      <c r="F2179" s="81">
        <v>0</v>
      </c>
    </row>
    <row r="2180" spans="1:6" x14ac:dyDescent="0.2">
      <c r="A2180" s="1" t="s">
        <v>179</v>
      </c>
      <c r="B2180" s="1" t="s">
        <v>2868</v>
      </c>
      <c r="C2180" s="1" t="s">
        <v>101</v>
      </c>
      <c r="D2180" s="1" t="s">
        <v>101</v>
      </c>
      <c r="E2180" s="81">
        <v>0</v>
      </c>
      <c r="F2180" s="81">
        <v>0</v>
      </c>
    </row>
    <row r="2181" spans="1:6" x14ac:dyDescent="0.2">
      <c r="A2181" s="1" t="s">
        <v>179</v>
      </c>
      <c r="B2181" s="1" t="s">
        <v>2869</v>
      </c>
      <c r="C2181" s="1" t="s">
        <v>101</v>
      </c>
      <c r="D2181" s="1" t="s">
        <v>101</v>
      </c>
      <c r="E2181" s="81">
        <v>0</v>
      </c>
      <c r="F2181" s="81">
        <v>0</v>
      </c>
    </row>
    <row r="2182" spans="1:6" x14ac:dyDescent="0.2">
      <c r="A2182" s="1" t="s">
        <v>179</v>
      </c>
      <c r="B2182" s="1" t="s">
        <v>2870</v>
      </c>
      <c r="C2182" s="1" t="s">
        <v>101</v>
      </c>
      <c r="D2182" s="1" t="s">
        <v>101</v>
      </c>
      <c r="E2182" s="81">
        <v>0</v>
      </c>
      <c r="F2182" s="81">
        <v>0</v>
      </c>
    </row>
    <row r="2183" spans="1:6" x14ac:dyDescent="0.2">
      <c r="A2183" s="1" t="s">
        <v>179</v>
      </c>
      <c r="B2183" s="1" t="s">
        <v>2871</v>
      </c>
      <c r="C2183" s="1" t="s">
        <v>101</v>
      </c>
      <c r="D2183" s="1" t="s">
        <v>101</v>
      </c>
      <c r="E2183" s="81">
        <v>0</v>
      </c>
      <c r="F2183" s="81">
        <v>0</v>
      </c>
    </row>
    <row r="2184" spans="1:6" x14ac:dyDescent="0.2">
      <c r="A2184" s="1" t="s">
        <v>179</v>
      </c>
      <c r="B2184" s="1" t="s">
        <v>2872</v>
      </c>
      <c r="C2184" s="1" t="s">
        <v>101</v>
      </c>
      <c r="D2184" s="1" t="s">
        <v>101</v>
      </c>
      <c r="E2184" s="81">
        <v>0</v>
      </c>
      <c r="F2184" s="81">
        <v>0</v>
      </c>
    </row>
    <row r="2185" spans="1:6" x14ac:dyDescent="0.2">
      <c r="A2185" s="1" t="s">
        <v>179</v>
      </c>
      <c r="B2185" s="1" t="s">
        <v>2873</v>
      </c>
      <c r="C2185" s="1" t="s">
        <v>101</v>
      </c>
      <c r="D2185" s="1" t="s">
        <v>101</v>
      </c>
      <c r="E2185" s="81">
        <v>0</v>
      </c>
      <c r="F2185" s="81">
        <v>0</v>
      </c>
    </row>
    <row r="2186" spans="1:6" x14ac:dyDescent="0.2">
      <c r="A2186" s="1" t="s">
        <v>179</v>
      </c>
      <c r="B2186" s="1" t="s">
        <v>2874</v>
      </c>
      <c r="C2186" s="1" t="s">
        <v>101</v>
      </c>
      <c r="D2186" s="1" t="s">
        <v>101</v>
      </c>
      <c r="E2186" s="81">
        <v>0</v>
      </c>
      <c r="F2186" s="81">
        <v>0</v>
      </c>
    </row>
    <row r="2187" spans="1:6" x14ac:dyDescent="0.2">
      <c r="A2187" s="1" t="s">
        <v>179</v>
      </c>
      <c r="B2187" s="1" t="s">
        <v>2875</v>
      </c>
      <c r="C2187" s="1" t="s">
        <v>101</v>
      </c>
      <c r="D2187" s="1" t="s">
        <v>101</v>
      </c>
      <c r="E2187" s="81">
        <v>0</v>
      </c>
      <c r="F2187" s="81">
        <v>0</v>
      </c>
    </row>
    <row r="2188" spans="1:6" x14ac:dyDescent="0.2">
      <c r="A2188" s="1" t="s">
        <v>179</v>
      </c>
      <c r="B2188" s="1" t="s">
        <v>2876</v>
      </c>
      <c r="C2188" s="1" t="s">
        <v>101</v>
      </c>
      <c r="D2188" s="1" t="s">
        <v>101</v>
      </c>
      <c r="E2188" s="81">
        <v>0</v>
      </c>
      <c r="F2188" s="81">
        <v>0</v>
      </c>
    </row>
    <row r="2189" spans="1:6" x14ac:dyDescent="0.2">
      <c r="A2189" s="1" t="s">
        <v>179</v>
      </c>
      <c r="B2189" s="1" t="s">
        <v>2877</v>
      </c>
      <c r="C2189" s="1" t="s">
        <v>101</v>
      </c>
      <c r="D2189" s="1" t="s">
        <v>101</v>
      </c>
      <c r="E2189" s="81">
        <v>0</v>
      </c>
      <c r="F2189" s="81">
        <v>0</v>
      </c>
    </row>
    <row r="2190" spans="1:6" x14ac:dyDescent="0.2">
      <c r="A2190" s="1" t="s">
        <v>179</v>
      </c>
      <c r="B2190" s="1" t="s">
        <v>2878</v>
      </c>
      <c r="C2190" s="1" t="s">
        <v>101</v>
      </c>
      <c r="D2190" s="1" t="s">
        <v>101</v>
      </c>
      <c r="E2190" s="81">
        <v>0</v>
      </c>
      <c r="F2190" s="81">
        <v>0</v>
      </c>
    </row>
    <row r="2191" spans="1:6" x14ac:dyDescent="0.2">
      <c r="A2191" s="1" t="s">
        <v>179</v>
      </c>
      <c r="B2191" s="1" t="s">
        <v>2879</v>
      </c>
      <c r="C2191" s="1" t="s">
        <v>101</v>
      </c>
      <c r="D2191" s="1" t="s">
        <v>101</v>
      </c>
      <c r="E2191" s="81">
        <v>0</v>
      </c>
      <c r="F2191" s="81">
        <v>0</v>
      </c>
    </row>
    <row r="2192" spans="1:6" x14ac:dyDescent="0.2">
      <c r="A2192" s="1" t="s">
        <v>179</v>
      </c>
      <c r="B2192" s="1" t="s">
        <v>2880</v>
      </c>
      <c r="C2192" s="1" t="s">
        <v>101</v>
      </c>
      <c r="D2192" s="1" t="s">
        <v>101</v>
      </c>
      <c r="E2192" s="81">
        <v>0</v>
      </c>
      <c r="F2192" s="81">
        <v>0</v>
      </c>
    </row>
    <row r="2193" spans="1:6" x14ac:dyDescent="0.2">
      <c r="A2193" s="1" t="s">
        <v>179</v>
      </c>
      <c r="B2193" s="1" t="s">
        <v>2881</v>
      </c>
      <c r="C2193" s="1" t="s">
        <v>101</v>
      </c>
      <c r="D2193" s="1" t="s">
        <v>101</v>
      </c>
      <c r="E2193" s="81">
        <v>0</v>
      </c>
      <c r="F2193" s="81">
        <v>0</v>
      </c>
    </row>
    <row r="2194" spans="1:6" x14ac:dyDescent="0.2">
      <c r="A2194" s="1" t="s">
        <v>179</v>
      </c>
      <c r="B2194" s="1" t="s">
        <v>2882</v>
      </c>
      <c r="C2194" s="1" t="s">
        <v>4097</v>
      </c>
      <c r="D2194" s="1" t="s">
        <v>4097</v>
      </c>
      <c r="E2194" s="81">
        <v>4137.1000000000004</v>
      </c>
      <c r="F2194" s="81">
        <v>4137.1000000000004</v>
      </c>
    </row>
    <row r="2195" spans="1:6" x14ac:dyDescent="0.2">
      <c r="A2195" s="1" t="s">
        <v>179</v>
      </c>
      <c r="B2195" s="1" t="s">
        <v>2883</v>
      </c>
      <c r="C2195" s="1" t="s">
        <v>4098</v>
      </c>
      <c r="D2195" s="1" t="s">
        <v>4098</v>
      </c>
      <c r="E2195" s="81">
        <v>3486.73</v>
      </c>
      <c r="F2195" s="81">
        <v>3486.73</v>
      </c>
    </row>
    <row r="2196" spans="1:6" x14ac:dyDescent="0.2">
      <c r="A2196" s="1" t="s">
        <v>179</v>
      </c>
      <c r="B2196" s="1" t="s">
        <v>2884</v>
      </c>
      <c r="C2196" s="1" t="s">
        <v>4099</v>
      </c>
      <c r="D2196" s="1" t="s">
        <v>4099</v>
      </c>
      <c r="E2196" s="81">
        <v>3273.22</v>
      </c>
      <c r="F2196" s="81">
        <v>3273.22</v>
      </c>
    </row>
    <row r="2197" spans="1:6" x14ac:dyDescent="0.2">
      <c r="A2197" s="1" t="s">
        <v>179</v>
      </c>
      <c r="B2197" s="1" t="s">
        <v>2885</v>
      </c>
      <c r="C2197" s="1" t="s">
        <v>101</v>
      </c>
      <c r="D2197" s="1" t="s">
        <v>101</v>
      </c>
      <c r="E2197" s="81">
        <v>0</v>
      </c>
      <c r="F2197" s="81">
        <v>0</v>
      </c>
    </row>
    <row r="2198" spans="1:6" x14ac:dyDescent="0.2">
      <c r="A2198" s="1" t="s">
        <v>179</v>
      </c>
      <c r="B2198" s="1" t="s">
        <v>2886</v>
      </c>
      <c r="C2198" s="1" t="s">
        <v>101</v>
      </c>
      <c r="D2198" s="1" t="s">
        <v>101</v>
      </c>
      <c r="E2198" s="81">
        <v>0</v>
      </c>
      <c r="F2198" s="81">
        <v>0</v>
      </c>
    </row>
    <row r="2199" spans="1:6" x14ac:dyDescent="0.2">
      <c r="A2199" s="1" t="s">
        <v>179</v>
      </c>
      <c r="B2199" s="1" t="s">
        <v>2887</v>
      </c>
      <c r="C2199" s="1" t="s">
        <v>101</v>
      </c>
      <c r="D2199" s="1" t="s">
        <v>101</v>
      </c>
      <c r="E2199" s="81">
        <v>0</v>
      </c>
      <c r="F2199" s="81">
        <v>0</v>
      </c>
    </row>
    <row r="2200" spans="1:6" x14ac:dyDescent="0.2">
      <c r="A2200" s="1" t="s">
        <v>179</v>
      </c>
      <c r="B2200" s="1" t="s">
        <v>2888</v>
      </c>
      <c r="C2200" s="1" t="s">
        <v>101</v>
      </c>
      <c r="D2200" s="1" t="s">
        <v>101</v>
      </c>
      <c r="E2200" s="81">
        <v>0</v>
      </c>
      <c r="F2200" s="81">
        <v>0</v>
      </c>
    </row>
    <row r="2201" spans="1:6" x14ac:dyDescent="0.2">
      <c r="A2201" s="1" t="s">
        <v>179</v>
      </c>
      <c r="B2201" s="1" t="s">
        <v>2889</v>
      </c>
      <c r="C2201" s="1" t="s">
        <v>101</v>
      </c>
      <c r="D2201" s="1" t="s">
        <v>101</v>
      </c>
      <c r="E2201" s="81">
        <v>0</v>
      </c>
      <c r="F2201" s="81">
        <v>0</v>
      </c>
    </row>
    <row r="2202" spans="1:6" x14ac:dyDescent="0.2">
      <c r="A2202" s="1" t="s">
        <v>179</v>
      </c>
      <c r="B2202" s="1" t="s">
        <v>2890</v>
      </c>
      <c r="C2202" s="1" t="s">
        <v>101</v>
      </c>
      <c r="D2202" s="1" t="s">
        <v>101</v>
      </c>
      <c r="E2202" s="81">
        <v>0</v>
      </c>
      <c r="F2202" s="81">
        <v>0</v>
      </c>
    </row>
    <row r="2203" spans="1:6" x14ac:dyDescent="0.2">
      <c r="A2203" s="1" t="s">
        <v>179</v>
      </c>
      <c r="B2203" s="1" t="s">
        <v>2891</v>
      </c>
      <c r="C2203" s="1" t="s">
        <v>101</v>
      </c>
      <c r="D2203" s="1" t="s">
        <v>101</v>
      </c>
      <c r="E2203" s="81">
        <v>0</v>
      </c>
      <c r="F2203" s="81">
        <v>0</v>
      </c>
    </row>
    <row r="2204" spans="1:6" x14ac:dyDescent="0.2">
      <c r="A2204" s="1" t="s">
        <v>179</v>
      </c>
      <c r="B2204" s="1" t="s">
        <v>2892</v>
      </c>
      <c r="C2204" s="1" t="s">
        <v>101</v>
      </c>
      <c r="D2204" s="1" t="s">
        <v>101</v>
      </c>
      <c r="E2204" s="81">
        <v>0</v>
      </c>
      <c r="F2204" s="81">
        <v>0</v>
      </c>
    </row>
    <row r="2205" spans="1:6" x14ac:dyDescent="0.2">
      <c r="A2205" s="1" t="s">
        <v>179</v>
      </c>
      <c r="B2205" s="1" t="s">
        <v>2893</v>
      </c>
      <c r="C2205" s="1" t="s">
        <v>101</v>
      </c>
      <c r="D2205" s="1" t="s">
        <v>101</v>
      </c>
      <c r="E2205" s="81">
        <v>0</v>
      </c>
      <c r="F2205" s="81">
        <v>0</v>
      </c>
    </row>
    <row r="2206" spans="1:6" x14ac:dyDescent="0.2">
      <c r="A2206" s="1" t="s">
        <v>179</v>
      </c>
      <c r="B2206" s="1" t="s">
        <v>2894</v>
      </c>
      <c r="C2206" s="1" t="s">
        <v>4100</v>
      </c>
      <c r="D2206" s="1" t="s">
        <v>4100</v>
      </c>
      <c r="E2206" s="81">
        <v>10897.05</v>
      </c>
      <c r="F2206" s="81">
        <v>10897.05</v>
      </c>
    </row>
    <row r="2207" spans="1:6" x14ac:dyDescent="0.2">
      <c r="A2207" s="1" t="s">
        <v>179</v>
      </c>
      <c r="B2207" s="1" t="s">
        <v>2895</v>
      </c>
      <c r="C2207" s="1" t="s">
        <v>101</v>
      </c>
      <c r="D2207" s="1" t="s">
        <v>101</v>
      </c>
      <c r="E2207" s="81">
        <v>0</v>
      </c>
      <c r="F2207" s="81">
        <v>0</v>
      </c>
    </row>
    <row r="2208" spans="1:6" x14ac:dyDescent="0.2">
      <c r="A2208" s="1" t="s">
        <v>179</v>
      </c>
      <c r="B2208" s="1" t="s">
        <v>2896</v>
      </c>
      <c r="C2208" s="1" t="s">
        <v>101</v>
      </c>
      <c r="D2208" s="1" t="s">
        <v>101</v>
      </c>
      <c r="E2208" s="81">
        <v>0</v>
      </c>
      <c r="F2208" s="81">
        <v>0</v>
      </c>
    </row>
    <row r="2209" spans="1:6" x14ac:dyDescent="0.2">
      <c r="A2209" s="1" t="s">
        <v>179</v>
      </c>
      <c r="B2209" s="1" t="s">
        <v>2897</v>
      </c>
      <c r="C2209" s="1" t="s">
        <v>4107</v>
      </c>
      <c r="D2209" s="1" t="s">
        <v>4107</v>
      </c>
      <c r="E2209" s="81">
        <v>4520.12</v>
      </c>
      <c r="F2209" s="81">
        <v>4520.12</v>
      </c>
    </row>
    <row r="2210" spans="1:6" x14ac:dyDescent="0.2">
      <c r="A2210" s="1" t="s">
        <v>179</v>
      </c>
      <c r="B2210" s="1" t="s">
        <v>2898</v>
      </c>
      <c r="C2210" s="1" t="s">
        <v>4108</v>
      </c>
      <c r="D2210" s="1" t="s">
        <v>4108</v>
      </c>
      <c r="E2210" s="81">
        <v>5034.91</v>
      </c>
      <c r="F2210" s="81">
        <v>5034.91</v>
      </c>
    </row>
    <row r="2211" spans="1:6" x14ac:dyDescent="0.2">
      <c r="A2211" s="1" t="s">
        <v>179</v>
      </c>
      <c r="B2211" s="1" t="s">
        <v>2899</v>
      </c>
      <c r="C2211" s="1" t="s">
        <v>4109</v>
      </c>
      <c r="D2211" s="1" t="s">
        <v>4109</v>
      </c>
      <c r="E2211" s="81">
        <v>5037.33</v>
      </c>
      <c r="F2211" s="81">
        <v>5037.33</v>
      </c>
    </row>
    <row r="2212" spans="1:6" x14ac:dyDescent="0.2">
      <c r="A2212" s="1" t="s">
        <v>179</v>
      </c>
      <c r="B2212" s="1" t="s">
        <v>2900</v>
      </c>
      <c r="C2212" s="1" t="s">
        <v>101</v>
      </c>
      <c r="D2212" s="1" t="s">
        <v>101</v>
      </c>
      <c r="E2212" s="81">
        <v>0</v>
      </c>
      <c r="F2212" s="81">
        <v>0</v>
      </c>
    </row>
    <row r="2213" spans="1:6" x14ac:dyDescent="0.2">
      <c r="A2213" s="1" t="s">
        <v>179</v>
      </c>
      <c r="B2213" s="1" t="s">
        <v>2901</v>
      </c>
      <c r="C2213" s="1" t="s">
        <v>101</v>
      </c>
      <c r="D2213" s="1" t="s">
        <v>101</v>
      </c>
      <c r="E2213" s="81">
        <v>0</v>
      </c>
      <c r="F2213" s="81">
        <v>0</v>
      </c>
    </row>
    <row r="2214" spans="1:6" x14ac:dyDescent="0.2">
      <c r="A2214" s="1" t="s">
        <v>179</v>
      </c>
      <c r="B2214" s="1" t="s">
        <v>2902</v>
      </c>
      <c r="C2214" s="1" t="s">
        <v>101</v>
      </c>
      <c r="D2214" s="1" t="s">
        <v>101</v>
      </c>
      <c r="E2214" s="81">
        <v>0</v>
      </c>
      <c r="F2214" s="81">
        <v>0</v>
      </c>
    </row>
    <row r="2215" spans="1:6" x14ac:dyDescent="0.2">
      <c r="A2215" s="1" t="s">
        <v>179</v>
      </c>
      <c r="B2215" s="1" t="s">
        <v>2903</v>
      </c>
      <c r="C2215" s="1" t="s">
        <v>101</v>
      </c>
      <c r="D2215" s="1" t="s">
        <v>101</v>
      </c>
      <c r="E2215" s="81">
        <v>0</v>
      </c>
      <c r="F2215" s="81">
        <v>0</v>
      </c>
    </row>
    <row r="2216" spans="1:6" x14ac:dyDescent="0.2">
      <c r="A2216" s="1" t="s">
        <v>179</v>
      </c>
      <c r="B2216" s="1" t="s">
        <v>2904</v>
      </c>
      <c r="C2216" s="1" t="s">
        <v>101</v>
      </c>
      <c r="D2216" s="1" t="s">
        <v>101</v>
      </c>
      <c r="E2216" s="81">
        <v>0</v>
      </c>
      <c r="F2216" s="81">
        <v>0</v>
      </c>
    </row>
    <row r="2217" spans="1:6" x14ac:dyDescent="0.2">
      <c r="A2217" s="1" t="s">
        <v>179</v>
      </c>
      <c r="B2217" s="1" t="s">
        <v>2905</v>
      </c>
      <c r="C2217" s="1" t="s">
        <v>101</v>
      </c>
      <c r="D2217" s="1" t="s">
        <v>101</v>
      </c>
      <c r="E2217" s="81">
        <v>0</v>
      </c>
      <c r="F2217" s="81">
        <v>0</v>
      </c>
    </row>
    <row r="2218" spans="1:6" x14ac:dyDescent="0.2">
      <c r="A2218" s="1" t="s">
        <v>179</v>
      </c>
      <c r="B2218" s="1" t="s">
        <v>2906</v>
      </c>
      <c r="C2218" s="1" t="s">
        <v>101</v>
      </c>
      <c r="D2218" s="1" t="s">
        <v>101</v>
      </c>
      <c r="E2218" s="81">
        <v>0</v>
      </c>
      <c r="F2218" s="81">
        <v>0</v>
      </c>
    </row>
    <row r="2219" spans="1:6" x14ac:dyDescent="0.2">
      <c r="A2219" s="1" t="s">
        <v>179</v>
      </c>
      <c r="B2219" s="1" t="s">
        <v>2907</v>
      </c>
      <c r="C2219" s="1" t="s">
        <v>101</v>
      </c>
      <c r="D2219" s="1" t="s">
        <v>101</v>
      </c>
      <c r="E2219" s="81">
        <v>0</v>
      </c>
      <c r="F2219" s="81">
        <v>0</v>
      </c>
    </row>
    <row r="2220" spans="1:6" x14ac:dyDescent="0.2">
      <c r="A2220" s="1" t="s">
        <v>179</v>
      </c>
      <c r="B2220" s="1" t="s">
        <v>2908</v>
      </c>
      <c r="C2220" s="1" t="s">
        <v>101</v>
      </c>
      <c r="D2220" s="1" t="s">
        <v>101</v>
      </c>
      <c r="E2220" s="81">
        <v>0</v>
      </c>
      <c r="F2220" s="81">
        <v>0</v>
      </c>
    </row>
    <row r="2221" spans="1:6" x14ac:dyDescent="0.2">
      <c r="A2221" s="1" t="s">
        <v>179</v>
      </c>
      <c r="B2221" s="1" t="s">
        <v>2909</v>
      </c>
      <c r="C2221" s="1" t="s">
        <v>4110</v>
      </c>
      <c r="D2221" s="1" t="s">
        <v>4110</v>
      </c>
      <c r="E2221" s="81">
        <v>14592.36</v>
      </c>
      <c r="F2221" s="81">
        <v>14592.36</v>
      </c>
    </row>
    <row r="2222" spans="1:6" x14ac:dyDescent="0.2">
      <c r="A2222" s="1" t="s">
        <v>179</v>
      </c>
      <c r="B2222" s="1" t="s">
        <v>2910</v>
      </c>
      <c r="C2222" s="1" t="s">
        <v>4111</v>
      </c>
      <c r="D2222" s="1" t="s">
        <v>4111</v>
      </c>
      <c r="E2222" s="81">
        <v>4527.04</v>
      </c>
      <c r="F2222" s="81">
        <v>4527.04</v>
      </c>
    </row>
    <row r="2223" spans="1:6" x14ac:dyDescent="0.2">
      <c r="A2223" s="1" t="s">
        <v>179</v>
      </c>
      <c r="B2223" s="1" t="s">
        <v>2911</v>
      </c>
      <c r="C2223" s="1" t="s">
        <v>4112</v>
      </c>
      <c r="D2223" s="1" t="s">
        <v>4112</v>
      </c>
      <c r="E2223" s="81">
        <v>5036.76</v>
      </c>
      <c r="F2223" s="81">
        <v>5036.76</v>
      </c>
    </row>
    <row r="2224" spans="1:6" x14ac:dyDescent="0.2">
      <c r="A2224" s="1" t="s">
        <v>179</v>
      </c>
      <c r="B2224" s="1" t="s">
        <v>2912</v>
      </c>
      <c r="C2224" s="1" t="s">
        <v>4113</v>
      </c>
      <c r="D2224" s="1" t="s">
        <v>4113</v>
      </c>
      <c r="E2224" s="81">
        <v>5041.93</v>
      </c>
      <c r="F2224" s="81">
        <v>5041.93</v>
      </c>
    </row>
    <row r="2225" spans="1:6" x14ac:dyDescent="0.2">
      <c r="A2225" s="1" t="s">
        <v>179</v>
      </c>
      <c r="B2225" s="1" t="s">
        <v>2913</v>
      </c>
      <c r="C2225" s="1" t="s">
        <v>101</v>
      </c>
      <c r="D2225" s="1" t="s">
        <v>101</v>
      </c>
      <c r="E2225" s="81">
        <v>0</v>
      </c>
      <c r="F2225" s="81">
        <v>0</v>
      </c>
    </row>
    <row r="2226" spans="1:6" x14ac:dyDescent="0.2">
      <c r="A2226" s="1" t="s">
        <v>179</v>
      </c>
      <c r="B2226" s="1" t="s">
        <v>2914</v>
      </c>
      <c r="C2226" s="1" t="s">
        <v>101</v>
      </c>
      <c r="D2226" s="1" t="s">
        <v>101</v>
      </c>
      <c r="E2226" s="81">
        <v>0</v>
      </c>
      <c r="F2226" s="81">
        <v>0</v>
      </c>
    </row>
    <row r="2227" spans="1:6" x14ac:dyDescent="0.2">
      <c r="A2227" s="1" t="s">
        <v>179</v>
      </c>
      <c r="B2227" s="1" t="s">
        <v>2915</v>
      </c>
      <c r="C2227" s="1" t="s">
        <v>101</v>
      </c>
      <c r="D2227" s="1" t="s">
        <v>101</v>
      </c>
      <c r="E2227" s="81">
        <v>0</v>
      </c>
      <c r="F2227" s="81">
        <v>0</v>
      </c>
    </row>
    <row r="2228" spans="1:6" x14ac:dyDescent="0.2">
      <c r="A2228" s="1" t="s">
        <v>179</v>
      </c>
      <c r="B2228" s="1" t="s">
        <v>2916</v>
      </c>
      <c r="C2228" s="1" t="s">
        <v>101</v>
      </c>
      <c r="D2228" s="1" t="s">
        <v>101</v>
      </c>
      <c r="E2228" s="81">
        <v>0</v>
      </c>
      <c r="F2228" s="81">
        <v>0</v>
      </c>
    </row>
    <row r="2229" spans="1:6" x14ac:dyDescent="0.2">
      <c r="A2229" s="1" t="s">
        <v>179</v>
      </c>
      <c r="B2229" s="1" t="s">
        <v>2917</v>
      </c>
      <c r="C2229" s="1" t="s">
        <v>101</v>
      </c>
      <c r="D2229" s="1" t="s">
        <v>101</v>
      </c>
      <c r="E2229" s="81">
        <v>0</v>
      </c>
      <c r="F2229" s="81">
        <v>0</v>
      </c>
    </row>
    <row r="2230" spans="1:6" x14ac:dyDescent="0.2">
      <c r="A2230" s="1" t="s">
        <v>179</v>
      </c>
      <c r="B2230" s="1" t="s">
        <v>2918</v>
      </c>
      <c r="C2230" s="1" t="s">
        <v>101</v>
      </c>
      <c r="D2230" s="1" t="s">
        <v>101</v>
      </c>
      <c r="E2230" s="81">
        <v>0</v>
      </c>
      <c r="F2230" s="81">
        <v>0</v>
      </c>
    </row>
    <row r="2231" spans="1:6" x14ac:dyDescent="0.2">
      <c r="A2231" s="1" t="s">
        <v>179</v>
      </c>
      <c r="B2231" s="1" t="s">
        <v>2919</v>
      </c>
      <c r="C2231" s="1" t="s">
        <v>101</v>
      </c>
      <c r="D2231" s="1" t="s">
        <v>101</v>
      </c>
      <c r="E2231" s="81">
        <v>0</v>
      </c>
      <c r="F2231" s="81">
        <v>0</v>
      </c>
    </row>
    <row r="2232" spans="1:6" x14ac:dyDescent="0.2">
      <c r="A2232" s="1" t="s">
        <v>179</v>
      </c>
      <c r="B2232" s="1" t="s">
        <v>2920</v>
      </c>
      <c r="C2232" s="1" t="s">
        <v>101</v>
      </c>
      <c r="D2232" s="1" t="s">
        <v>101</v>
      </c>
      <c r="E2232" s="81">
        <v>0</v>
      </c>
      <c r="F2232" s="81">
        <v>0</v>
      </c>
    </row>
    <row r="2233" spans="1:6" x14ac:dyDescent="0.2">
      <c r="A2233" s="1" t="s">
        <v>179</v>
      </c>
      <c r="B2233" s="1" t="s">
        <v>2921</v>
      </c>
      <c r="C2233" s="1" t="s">
        <v>101</v>
      </c>
      <c r="D2233" s="1" t="s">
        <v>101</v>
      </c>
      <c r="E2233" s="81">
        <v>0</v>
      </c>
      <c r="F2233" s="81">
        <v>0</v>
      </c>
    </row>
    <row r="2234" spans="1:6" x14ac:dyDescent="0.2">
      <c r="A2234" s="1" t="s">
        <v>179</v>
      </c>
      <c r="B2234" s="1" t="s">
        <v>2922</v>
      </c>
      <c r="C2234" s="1" t="s">
        <v>101</v>
      </c>
      <c r="D2234" s="1" t="s">
        <v>101</v>
      </c>
      <c r="E2234" s="81">
        <v>0</v>
      </c>
      <c r="F2234" s="81">
        <v>0</v>
      </c>
    </row>
    <row r="2235" spans="1:6" x14ac:dyDescent="0.2">
      <c r="A2235" s="1" t="s">
        <v>179</v>
      </c>
      <c r="B2235" s="1" t="s">
        <v>2923</v>
      </c>
      <c r="C2235" s="1" t="s">
        <v>4114</v>
      </c>
      <c r="D2235" s="1" t="s">
        <v>4114</v>
      </c>
      <c r="E2235" s="81">
        <v>6.8</v>
      </c>
      <c r="F2235" s="81">
        <v>6.8</v>
      </c>
    </row>
    <row r="2236" spans="1:6" x14ac:dyDescent="0.2">
      <c r="A2236" s="1" t="s">
        <v>179</v>
      </c>
      <c r="B2236" s="1" t="s">
        <v>2924</v>
      </c>
      <c r="C2236" s="1" t="s">
        <v>4115</v>
      </c>
      <c r="D2236" s="1" t="s">
        <v>4115</v>
      </c>
      <c r="E2236" s="81">
        <v>3.4</v>
      </c>
      <c r="F2236" s="81">
        <v>3.4</v>
      </c>
    </row>
    <row r="2237" spans="1:6" x14ac:dyDescent="0.2">
      <c r="A2237" s="1" t="s">
        <v>179</v>
      </c>
      <c r="B2237" s="1" t="s">
        <v>2925</v>
      </c>
      <c r="C2237" s="1" t="s">
        <v>101</v>
      </c>
      <c r="D2237" s="1" t="s">
        <v>101</v>
      </c>
      <c r="E2237" s="81">
        <v>0</v>
      </c>
      <c r="F2237" s="81">
        <v>0</v>
      </c>
    </row>
    <row r="2238" spans="1:6" x14ac:dyDescent="0.2">
      <c r="A2238" s="1" t="s">
        <v>179</v>
      </c>
      <c r="B2238" s="1" t="s">
        <v>2926</v>
      </c>
      <c r="C2238" s="1" t="s">
        <v>101</v>
      </c>
      <c r="D2238" s="1" t="s">
        <v>101</v>
      </c>
      <c r="E2238" s="81">
        <v>0</v>
      </c>
      <c r="F2238" s="81">
        <v>0</v>
      </c>
    </row>
    <row r="2239" spans="1:6" x14ac:dyDescent="0.2">
      <c r="A2239" s="1" t="s">
        <v>179</v>
      </c>
      <c r="B2239" s="1" t="s">
        <v>2927</v>
      </c>
      <c r="C2239" s="1" t="s">
        <v>101</v>
      </c>
      <c r="D2239" s="1" t="s">
        <v>101</v>
      </c>
      <c r="E2239" s="81">
        <v>0</v>
      </c>
      <c r="F2239" s="81">
        <v>0</v>
      </c>
    </row>
    <row r="2240" spans="1:6" x14ac:dyDescent="0.2">
      <c r="A2240" s="1" t="s">
        <v>179</v>
      </c>
      <c r="B2240" s="1" t="s">
        <v>2928</v>
      </c>
      <c r="C2240" s="1" t="s">
        <v>101</v>
      </c>
      <c r="D2240" s="1" t="s">
        <v>101</v>
      </c>
      <c r="E2240" s="81">
        <v>0</v>
      </c>
      <c r="F2240" s="81">
        <v>0</v>
      </c>
    </row>
    <row r="2241" spans="1:6" x14ac:dyDescent="0.2">
      <c r="A2241" s="1" t="s">
        <v>179</v>
      </c>
      <c r="B2241" s="1" t="s">
        <v>2929</v>
      </c>
      <c r="C2241" s="1" t="s">
        <v>101</v>
      </c>
      <c r="D2241" s="1" t="s">
        <v>101</v>
      </c>
      <c r="E2241" s="81">
        <v>0</v>
      </c>
      <c r="F2241" s="81">
        <v>0</v>
      </c>
    </row>
    <row r="2242" spans="1:6" x14ac:dyDescent="0.2">
      <c r="A2242" s="1" t="s">
        <v>179</v>
      </c>
      <c r="B2242" s="1" t="s">
        <v>2930</v>
      </c>
      <c r="C2242" s="1" t="s">
        <v>101</v>
      </c>
      <c r="D2242" s="1" t="s">
        <v>101</v>
      </c>
      <c r="E2242" s="81">
        <v>0</v>
      </c>
      <c r="F2242" s="81">
        <v>0</v>
      </c>
    </row>
    <row r="2243" spans="1:6" x14ac:dyDescent="0.2">
      <c r="A2243" s="1" t="s">
        <v>179</v>
      </c>
      <c r="B2243" s="1" t="s">
        <v>2931</v>
      </c>
      <c r="C2243" s="1" t="s">
        <v>101</v>
      </c>
      <c r="D2243" s="1" t="s">
        <v>101</v>
      </c>
      <c r="E2243" s="81">
        <v>0</v>
      </c>
      <c r="F2243" s="81">
        <v>0</v>
      </c>
    </row>
    <row r="2244" spans="1:6" x14ac:dyDescent="0.2">
      <c r="A2244" s="1" t="s">
        <v>179</v>
      </c>
      <c r="B2244" s="1" t="s">
        <v>2932</v>
      </c>
      <c r="C2244" s="1" t="s">
        <v>101</v>
      </c>
      <c r="D2244" s="1" t="s">
        <v>101</v>
      </c>
      <c r="E2244" s="81">
        <v>0</v>
      </c>
      <c r="F2244" s="81">
        <v>0</v>
      </c>
    </row>
    <row r="2245" spans="1:6" x14ac:dyDescent="0.2">
      <c r="A2245" s="1" t="s">
        <v>179</v>
      </c>
      <c r="B2245" s="1" t="s">
        <v>2933</v>
      </c>
      <c r="C2245" s="1" t="s">
        <v>101</v>
      </c>
      <c r="D2245" s="1" t="s">
        <v>101</v>
      </c>
      <c r="E2245" s="81">
        <v>0</v>
      </c>
      <c r="F2245" s="81">
        <v>0</v>
      </c>
    </row>
    <row r="2246" spans="1:6" x14ac:dyDescent="0.2">
      <c r="A2246" s="1" t="s">
        <v>179</v>
      </c>
      <c r="B2246" s="1" t="s">
        <v>2934</v>
      </c>
      <c r="C2246" s="1" t="s">
        <v>101</v>
      </c>
      <c r="D2246" s="1" t="s">
        <v>101</v>
      </c>
      <c r="E2246" s="81">
        <v>0</v>
      </c>
      <c r="F2246" s="81">
        <v>0</v>
      </c>
    </row>
    <row r="2247" spans="1:6" x14ac:dyDescent="0.2">
      <c r="A2247" s="1" t="s">
        <v>179</v>
      </c>
      <c r="B2247" s="1" t="s">
        <v>2935</v>
      </c>
      <c r="C2247" s="1" t="s">
        <v>101</v>
      </c>
      <c r="D2247" s="1" t="s">
        <v>101</v>
      </c>
      <c r="E2247" s="81">
        <v>0</v>
      </c>
      <c r="F2247" s="81">
        <v>0</v>
      </c>
    </row>
    <row r="2248" spans="1:6" x14ac:dyDescent="0.2">
      <c r="A2248" s="1" t="s">
        <v>179</v>
      </c>
      <c r="B2248" s="1" t="s">
        <v>2936</v>
      </c>
      <c r="C2248" s="1" t="s">
        <v>101</v>
      </c>
      <c r="D2248" s="1" t="s">
        <v>101</v>
      </c>
      <c r="E2248" s="81">
        <v>0</v>
      </c>
      <c r="F2248" s="81">
        <v>0</v>
      </c>
    </row>
    <row r="2249" spans="1:6" x14ac:dyDescent="0.2">
      <c r="A2249" s="1" t="s">
        <v>179</v>
      </c>
      <c r="B2249" s="1" t="s">
        <v>2937</v>
      </c>
      <c r="C2249" s="1" t="s">
        <v>101</v>
      </c>
      <c r="D2249" s="1" t="s">
        <v>101</v>
      </c>
      <c r="E2249" s="81">
        <v>0</v>
      </c>
      <c r="F2249" s="81">
        <v>0</v>
      </c>
    </row>
    <row r="2250" spans="1:6" x14ac:dyDescent="0.2">
      <c r="A2250" s="1" t="s">
        <v>179</v>
      </c>
      <c r="B2250" s="1" t="s">
        <v>2938</v>
      </c>
      <c r="C2250" s="1" t="s">
        <v>101</v>
      </c>
      <c r="D2250" s="1" t="s">
        <v>101</v>
      </c>
      <c r="E2250" s="81">
        <v>0</v>
      </c>
      <c r="F2250" s="81">
        <v>0</v>
      </c>
    </row>
    <row r="2251" spans="1:6" x14ac:dyDescent="0.2">
      <c r="A2251" s="1" t="s">
        <v>179</v>
      </c>
      <c r="B2251" s="1" t="s">
        <v>2939</v>
      </c>
      <c r="C2251" s="1" t="s">
        <v>101</v>
      </c>
      <c r="D2251" s="1" t="s">
        <v>101</v>
      </c>
      <c r="E2251" s="81">
        <v>0</v>
      </c>
      <c r="F2251" s="81">
        <v>0</v>
      </c>
    </row>
    <row r="2252" spans="1:6" x14ac:dyDescent="0.2">
      <c r="A2252" s="1" t="s">
        <v>179</v>
      </c>
      <c r="B2252" s="1" t="s">
        <v>2940</v>
      </c>
      <c r="C2252" s="1" t="s">
        <v>101</v>
      </c>
      <c r="D2252" s="1" t="s">
        <v>101</v>
      </c>
      <c r="E2252" s="81">
        <v>0</v>
      </c>
      <c r="F2252" s="81">
        <v>0</v>
      </c>
    </row>
    <row r="2253" spans="1:6" x14ac:dyDescent="0.2">
      <c r="A2253" s="1" t="s">
        <v>179</v>
      </c>
      <c r="B2253" s="1" t="s">
        <v>2941</v>
      </c>
      <c r="C2253" s="1" t="s">
        <v>101</v>
      </c>
      <c r="D2253" s="1" t="s">
        <v>101</v>
      </c>
      <c r="E2253" s="81">
        <v>0</v>
      </c>
      <c r="F2253" s="81">
        <v>0</v>
      </c>
    </row>
    <row r="2254" spans="1:6" x14ac:dyDescent="0.2">
      <c r="A2254" s="1" t="s">
        <v>179</v>
      </c>
      <c r="B2254" s="1" t="s">
        <v>2942</v>
      </c>
      <c r="C2254" s="1" t="s">
        <v>101</v>
      </c>
      <c r="D2254" s="1" t="s">
        <v>101</v>
      </c>
      <c r="E2254" s="81">
        <v>0</v>
      </c>
      <c r="F2254" s="81">
        <v>0</v>
      </c>
    </row>
    <row r="2255" spans="1:6" x14ac:dyDescent="0.2">
      <c r="A2255" s="1" t="s">
        <v>179</v>
      </c>
      <c r="B2255" s="1" t="s">
        <v>2943</v>
      </c>
      <c r="C2255" s="1" t="s">
        <v>101</v>
      </c>
      <c r="D2255" s="1" t="s">
        <v>101</v>
      </c>
      <c r="E2255" s="81">
        <v>0</v>
      </c>
      <c r="F2255" s="81">
        <v>0</v>
      </c>
    </row>
    <row r="2256" spans="1:6" x14ac:dyDescent="0.2">
      <c r="A2256" s="1" t="s">
        <v>179</v>
      </c>
      <c r="B2256" s="1" t="s">
        <v>2944</v>
      </c>
      <c r="C2256" s="1" t="s">
        <v>101</v>
      </c>
      <c r="D2256" s="1" t="s">
        <v>101</v>
      </c>
      <c r="E2256" s="81">
        <v>0</v>
      </c>
      <c r="F2256" s="81">
        <v>0</v>
      </c>
    </row>
    <row r="2257" spans="1:6" x14ac:dyDescent="0.2">
      <c r="A2257" s="1" t="s">
        <v>179</v>
      </c>
      <c r="B2257" s="1" t="s">
        <v>2945</v>
      </c>
      <c r="C2257" s="1" t="s">
        <v>101</v>
      </c>
      <c r="D2257" s="1" t="s">
        <v>101</v>
      </c>
      <c r="E2257" s="81">
        <v>0</v>
      </c>
      <c r="F2257" s="81">
        <v>0</v>
      </c>
    </row>
    <row r="2258" spans="1:6" x14ac:dyDescent="0.2">
      <c r="A2258" s="1" t="s">
        <v>179</v>
      </c>
      <c r="B2258" s="1" t="s">
        <v>2946</v>
      </c>
      <c r="C2258" s="1" t="s">
        <v>4107</v>
      </c>
      <c r="D2258" s="1" t="s">
        <v>4107</v>
      </c>
      <c r="E2258" s="81">
        <v>4520.12</v>
      </c>
      <c r="F2258" s="81">
        <v>4520.12</v>
      </c>
    </row>
    <row r="2259" spans="1:6" x14ac:dyDescent="0.2">
      <c r="A2259" s="1" t="s">
        <v>179</v>
      </c>
      <c r="B2259" s="1" t="s">
        <v>2947</v>
      </c>
      <c r="C2259" s="1" t="s">
        <v>4108</v>
      </c>
      <c r="D2259" s="1" t="s">
        <v>4108</v>
      </c>
      <c r="E2259" s="81">
        <v>5034.91</v>
      </c>
      <c r="F2259" s="81">
        <v>5034.91</v>
      </c>
    </row>
    <row r="2260" spans="1:6" x14ac:dyDescent="0.2">
      <c r="A2260" s="1" t="s">
        <v>179</v>
      </c>
      <c r="B2260" s="1" t="s">
        <v>2948</v>
      </c>
      <c r="C2260" s="1" t="s">
        <v>4109</v>
      </c>
      <c r="D2260" s="1" t="s">
        <v>4109</v>
      </c>
      <c r="E2260" s="81">
        <v>5037.33</v>
      </c>
      <c r="F2260" s="81">
        <v>5037.33</v>
      </c>
    </row>
    <row r="2261" spans="1:6" x14ac:dyDescent="0.2">
      <c r="A2261" s="1" t="s">
        <v>179</v>
      </c>
      <c r="B2261" s="1" t="s">
        <v>2949</v>
      </c>
      <c r="C2261" s="1" t="s">
        <v>101</v>
      </c>
      <c r="D2261" s="1" t="s">
        <v>101</v>
      </c>
      <c r="E2261" s="81">
        <v>0</v>
      </c>
      <c r="F2261" s="81">
        <v>0</v>
      </c>
    </row>
    <row r="2262" spans="1:6" x14ac:dyDescent="0.2">
      <c r="A2262" s="1" t="s">
        <v>179</v>
      </c>
      <c r="B2262" s="1" t="s">
        <v>2950</v>
      </c>
      <c r="C2262" s="1" t="s">
        <v>101</v>
      </c>
      <c r="D2262" s="1" t="s">
        <v>101</v>
      </c>
      <c r="E2262" s="81">
        <v>0</v>
      </c>
      <c r="F2262" s="81">
        <v>0</v>
      </c>
    </row>
    <row r="2263" spans="1:6" x14ac:dyDescent="0.2">
      <c r="A2263" s="1" t="s">
        <v>179</v>
      </c>
      <c r="B2263" s="1" t="s">
        <v>2951</v>
      </c>
      <c r="C2263" s="1" t="s">
        <v>101</v>
      </c>
      <c r="D2263" s="1" t="s">
        <v>101</v>
      </c>
      <c r="E2263" s="81">
        <v>0</v>
      </c>
      <c r="F2263" s="81">
        <v>0</v>
      </c>
    </row>
    <row r="2264" spans="1:6" x14ac:dyDescent="0.2">
      <c r="A2264" s="1" t="s">
        <v>179</v>
      </c>
      <c r="B2264" s="1" t="s">
        <v>2952</v>
      </c>
      <c r="C2264" s="1" t="s">
        <v>101</v>
      </c>
      <c r="D2264" s="1" t="s">
        <v>101</v>
      </c>
      <c r="E2264" s="81">
        <v>0</v>
      </c>
      <c r="F2264" s="81">
        <v>0</v>
      </c>
    </row>
    <row r="2265" spans="1:6" x14ac:dyDescent="0.2">
      <c r="A2265" s="1" t="s">
        <v>179</v>
      </c>
      <c r="B2265" s="1" t="s">
        <v>2953</v>
      </c>
      <c r="C2265" s="1" t="s">
        <v>101</v>
      </c>
      <c r="D2265" s="1" t="s">
        <v>101</v>
      </c>
      <c r="E2265" s="81">
        <v>0</v>
      </c>
      <c r="F2265" s="81">
        <v>0</v>
      </c>
    </row>
    <row r="2266" spans="1:6" x14ac:dyDescent="0.2">
      <c r="A2266" s="1" t="s">
        <v>179</v>
      </c>
      <c r="B2266" s="1" t="s">
        <v>2954</v>
      </c>
      <c r="C2266" s="1" t="s">
        <v>101</v>
      </c>
      <c r="D2266" s="1" t="s">
        <v>101</v>
      </c>
      <c r="E2266" s="81">
        <v>0</v>
      </c>
      <c r="F2266" s="81">
        <v>0</v>
      </c>
    </row>
    <row r="2267" spans="1:6" x14ac:dyDescent="0.2">
      <c r="A2267" s="1" t="s">
        <v>179</v>
      </c>
      <c r="B2267" s="1" t="s">
        <v>2955</v>
      </c>
      <c r="C2267" s="1" t="s">
        <v>101</v>
      </c>
      <c r="D2267" s="1" t="s">
        <v>101</v>
      </c>
      <c r="E2267" s="81">
        <v>0</v>
      </c>
      <c r="F2267" s="81">
        <v>0</v>
      </c>
    </row>
    <row r="2268" spans="1:6" x14ac:dyDescent="0.2">
      <c r="A2268" s="1" t="s">
        <v>179</v>
      </c>
      <c r="B2268" s="1" t="s">
        <v>2956</v>
      </c>
      <c r="C2268" s="1" t="s">
        <v>101</v>
      </c>
      <c r="D2268" s="1" t="s">
        <v>101</v>
      </c>
      <c r="E2268" s="81">
        <v>0</v>
      </c>
      <c r="F2268" s="81">
        <v>0</v>
      </c>
    </row>
    <row r="2269" spans="1:6" x14ac:dyDescent="0.2">
      <c r="A2269" s="1" t="s">
        <v>179</v>
      </c>
      <c r="B2269" s="1" t="s">
        <v>2957</v>
      </c>
      <c r="C2269" s="1" t="s">
        <v>101</v>
      </c>
      <c r="D2269" s="1" t="s">
        <v>101</v>
      </c>
      <c r="E2269" s="81">
        <v>0</v>
      </c>
      <c r="F2269" s="81">
        <v>0</v>
      </c>
    </row>
    <row r="2270" spans="1:6" x14ac:dyDescent="0.2">
      <c r="A2270" s="1" t="s">
        <v>179</v>
      </c>
      <c r="B2270" s="1" t="s">
        <v>2958</v>
      </c>
      <c r="C2270" s="1" t="s">
        <v>4110</v>
      </c>
      <c r="D2270" s="1" t="s">
        <v>4110</v>
      </c>
      <c r="E2270" s="81">
        <v>14592.36</v>
      </c>
      <c r="F2270" s="81">
        <v>14592.36</v>
      </c>
    </row>
    <row r="2271" spans="1:6" x14ac:dyDescent="0.2">
      <c r="A2271" s="1" t="s">
        <v>179</v>
      </c>
      <c r="B2271" s="1" t="s">
        <v>2959</v>
      </c>
      <c r="C2271" s="1" t="s">
        <v>4116</v>
      </c>
      <c r="D2271" s="1" t="s">
        <v>4116</v>
      </c>
      <c r="E2271" s="81">
        <v>176.08</v>
      </c>
      <c r="F2271" s="81">
        <v>176.08</v>
      </c>
    </row>
    <row r="2272" spans="1:6" x14ac:dyDescent="0.2">
      <c r="A2272" s="1" t="s">
        <v>179</v>
      </c>
      <c r="B2272" s="1" t="s">
        <v>2960</v>
      </c>
      <c r="C2272" s="1" t="s">
        <v>4117</v>
      </c>
      <c r="D2272" s="1" t="s">
        <v>4117</v>
      </c>
      <c r="E2272" s="81">
        <v>194.4</v>
      </c>
      <c r="F2272" s="81">
        <v>194.4</v>
      </c>
    </row>
    <row r="2273" spans="1:6" x14ac:dyDescent="0.2">
      <c r="A2273" s="1" t="s">
        <v>179</v>
      </c>
      <c r="B2273" s="1" t="s">
        <v>2961</v>
      </c>
      <c r="C2273" s="1" t="s">
        <v>4118</v>
      </c>
      <c r="D2273" s="1" t="s">
        <v>4118</v>
      </c>
      <c r="E2273" s="81">
        <v>195.48</v>
      </c>
      <c r="F2273" s="81">
        <v>195.48</v>
      </c>
    </row>
    <row r="2274" spans="1:6" x14ac:dyDescent="0.2">
      <c r="A2274" s="1" t="s">
        <v>179</v>
      </c>
      <c r="B2274" s="1" t="s">
        <v>2962</v>
      </c>
      <c r="C2274" s="1" t="s">
        <v>101</v>
      </c>
      <c r="D2274" s="1" t="s">
        <v>101</v>
      </c>
      <c r="E2274" s="81">
        <v>0</v>
      </c>
      <c r="F2274" s="81">
        <v>0</v>
      </c>
    </row>
    <row r="2275" spans="1:6" x14ac:dyDescent="0.2">
      <c r="A2275" s="1" t="s">
        <v>179</v>
      </c>
      <c r="B2275" s="1" t="s">
        <v>2963</v>
      </c>
      <c r="C2275" s="1" t="s">
        <v>101</v>
      </c>
      <c r="D2275" s="1" t="s">
        <v>101</v>
      </c>
      <c r="E2275" s="81">
        <v>0</v>
      </c>
      <c r="F2275" s="81">
        <v>0</v>
      </c>
    </row>
    <row r="2276" spans="1:6" x14ac:dyDescent="0.2">
      <c r="A2276" s="1" t="s">
        <v>179</v>
      </c>
      <c r="B2276" s="1" t="s">
        <v>2964</v>
      </c>
      <c r="C2276" s="1" t="s">
        <v>101</v>
      </c>
      <c r="D2276" s="1" t="s">
        <v>101</v>
      </c>
      <c r="E2276" s="81">
        <v>0</v>
      </c>
      <c r="F2276" s="81">
        <v>0</v>
      </c>
    </row>
    <row r="2277" spans="1:6" x14ac:dyDescent="0.2">
      <c r="A2277" s="1" t="s">
        <v>179</v>
      </c>
      <c r="B2277" s="1" t="s">
        <v>2965</v>
      </c>
      <c r="C2277" s="1" t="s">
        <v>101</v>
      </c>
      <c r="D2277" s="1" t="s">
        <v>101</v>
      </c>
      <c r="E2277" s="81">
        <v>0</v>
      </c>
      <c r="F2277" s="81">
        <v>0</v>
      </c>
    </row>
    <row r="2278" spans="1:6" x14ac:dyDescent="0.2">
      <c r="A2278" s="1" t="s">
        <v>179</v>
      </c>
      <c r="B2278" s="1" t="s">
        <v>2966</v>
      </c>
      <c r="C2278" s="1" t="s">
        <v>101</v>
      </c>
      <c r="D2278" s="1" t="s">
        <v>101</v>
      </c>
      <c r="E2278" s="81">
        <v>0</v>
      </c>
      <c r="F2278" s="81">
        <v>0</v>
      </c>
    </row>
    <row r="2279" spans="1:6" x14ac:dyDescent="0.2">
      <c r="A2279" s="1" t="s">
        <v>179</v>
      </c>
      <c r="B2279" s="1" t="s">
        <v>2967</v>
      </c>
      <c r="C2279" s="1" t="s">
        <v>101</v>
      </c>
      <c r="D2279" s="1" t="s">
        <v>101</v>
      </c>
      <c r="E2279" s="81">
        <v>0</v>
      </c>
      <c r="F2279" s="81">
        <v>0</v>
      </c>
    </row>
    <row r="2280" spans="1:6" x14ac:dyDescent="0.2">
      <c r="A2280" s="1" t="s">
        <v>179</v>
      </c>
      <c r="B2280" s="1" t="s">
        <v>2968</v>
      </c>
      <c r="C2280" s="1" t="s">
        <v>101</v>
      </c>
      <c r="D2280" s="1" t="s">
        <v>101</v>
      </c>
      <c r="E2280" s="81">
        <v>0</v>
      </c>
      <c r="F2280" s="81">
        <v>0</v>
      </c>
    </row>
    <row r="2281" spans="1:6" x14ac:dyDescent="0.2">
      <c r="A2281" s="1" t="s">
        <v>179</v>
      </c>
      <c r="B2281" s="1" t="s">
        <v>2969</v>
      </c>
      <c r="C2281" s="1" t="s">
        <v>101</v>
      </c>
      <c r="D2281" s="1" t="s">
        <v>101</v>
      </c>
      <c r="E2281" s="81">
        <v>0</v>
      </c>
      <c r="F2281" s="81">
        <v>0</v>
      </c>
    </row>
    <row r="2282" spans="1:6" x14ac:dyDescent="0.2">
      <c r="A2282" s="1" t="s">
        <v>179</v>
      </c>
      <c r="B2282" s="1" t="s">
        <v>2970</v>
      </c>
      <c r="C2282" s="1" t="s">
        <v>101</v>
      </c>
      <c r="D2282" s="1" t="s">
        <v>101</v>
      </c>
      <c r="E2282" s="81">
        <v>0</v>
      </c>
      <c r="F2282" s="81">
        <v>0</v>
      </c>
    </row>
    <row r="2283" spans="1:6" x14ac:dyDescent="0.2">
      <c r="A2283" s="1" t="s">
        <v>179</v>
      </c>
      <c r="B2283" s="1" t="s">
        <v>2971</v>
      </c>
      <c r="C2283" s="1" t="s">
        <v>4119</v>
      </c>
      <c r="D2283" s="1" t="s">
        <v>4119</v>
      </c>
      <c r="E2283" s="81">
        <v>565.96</v>
      </c>
      <c r="F2283" s="81">
        <v>565.96</v>
      </c>
    </row>
    <row r="2284" spans="1:6" x14ac:dyDescent="0.2">
      <c r="A2284" s="1" t="s">
        <v>179</v>
      </c>
      <c r="B2284" s="1" t="s">
        <v>2972</v>
      </c>
      <c r="C2284" s="1" t="s">
        <v>101</v>
      </c>
      <c r="D2284" s="1" t="s">
        <v>101</v>
      </c>
      <c r="E2284" s="81">
        <v>0</v>
      </c>
      <c r="F2284" s="81">
        <v>0</v>
      </c>
    </row>
    <row r="2285" spans="1:6" x14ac:dyDescent="0.2">
      <c r="A2285" s="1" t="s">
        <v>179</v>
      </c>
      <c r="B2285" s="1" t="s">
        <v>2973</v>
      </c>
      <c r="C2285" s="1" t="s">
        <v>101</v>
      </c>
      <c r="D2285" s="1" t="s">
        <v>101</v>
      </c>
      <c r="E2285" s="81">
        <v>0</v>
      </c>
      <c r="F2285" s="81">
        <v>0</v>
      </c>
    </row>
    <row r="2286" spans="1:6" x14ac:dyDescent="0.2">
      <c r="A2286" s="1" t="s">
        <v>179</v>
      </c>
      <c r="B2286" s="1" t="s">
        <v>2974</v>
      </c>
      <c r="C2286" s="1" t="s">
        <v>101</v>
      </c>
      <c r="D2286" s="1" t="s">
        <v>101</v>
      </c>
      <c r="E2286" s="81">
        <v>0</v>
      </c>
      <c r="F2286" s="81">
        <v>0</v>
      </c>
    </row>
    <row r="2287" spans="1:6" x14ac:dyDescent="0.2">
      <c r="A2287" s="1" t="s">
        <v>179</v>
      </c>
      <c r="B2287" s="1" t="s">
        <v>2975</v>
      </c>
      <c r="C2287" s="1" t="s">
        <v>101</v>
      </c>
      <c r="D2287" s="1" t="s">
        <v>101</v>
      </c>
      <c r="E2287" s="81">
        <v>0</v>
      </c>
      <c r="F2287" s="81">
        <v>0</v>
      </c>
    </row>
    <row r="2288" spans="1:6" x14ac:dyDescent="0.2">
      <c r="A2288" s="1" t="s">
        <v>179</v>
      </c>
      <c r="B2288" s="1" t="s">
        <v>2976</v>
      </c>
      <c r="C2288" s="1" t="s">
        <v>101</v>
      </c>
      <c r="D2288" s="1" t="s">
        <v>101</v>
      </c>
      <c r="E2288" s="81">
        <v>0</v>
      </c>
      <c r="F2288" s="81">
        <v>0</v>
      </c>
    </row>
    <row r="2289" spans="1:6" x14ac:dyDescent="0.2">
      <c r="A2289" s="1" t="s">
        <v>179</v>
      </c>
      <c r="B2289" s="1" t="s">
        <v>2977</v>
      </c>
      <c r="C2289" s="1" t="s">
        <v>101</v>
      </c>
      <c r="D2289" s="1" t="s">
        <v>101</v>
      </c>
      <c r="E2289" s="81">
        <v>0</v>
      </c>
      <c r="F2289" s="81">
        <v>0</v>
      </c>
    </row>
    <row r="2290" spans="1:6" x14ac:dyDescent="0.2">
      <c r="A2290" s="1" t="s">
        <v>179</v>
      </c>
      <c r="B2290" s="1" t="s">
        <v>2978</v>
      </c>
      <c r="C2290" s="1" t="s">
        <v>101</v>
      </c>
      <c r="D2290" s="1" t="s">
        <v>101</v>
      </c>
      <c r="E2290" s="81">
        <v>0</v>
      </c>
      <c r="F2290" s="81">
        <v>0</v>
      </c>
    </row>
    <row r="2291" spans="1:6" x14ac:dyDescent="0.2">
      <c r="A2291" s="1" t="s">
        <v>179</v>
      </c>
      <c r="B2291" s="1" t="s">
        <v>2979</v>
      </c>
      <c r="C2291" s="1" t="s">
        <v>101</v>
      </c>
      <c r="D2291" s="1" t="s">
        <v>101</v>
      </c>
      <c r="E2291" s="81">
        <v>0</v>
      </c>
      <c r="F2291" s="81">
        <v>0</v>
      </c>
    </row>
    <row r="2292" spans="1:6" x14ac:dyDescent="0.2">
      <c r="A2292" s="1" t="s">
        <v>179</v>
      </c>
      <c r="B2292" s="1" t="s">
        <v>2980</v>
      </c>
      <c r="C2292" s="1" t="s">
        <v>101</v>
      </c>
      <c r="D2292" s="1" t="s">
        <v>101</v>
      </c>
      <c r="E2292" s="81">
        <v>0</v>
      </c>
      <c r="F2292" s="81">
        <v>0</v>
      </c>
    </row>
    <row r="2293" spans="1:6" x14ac:dyDescent="0.2">
      <c r="A2293" s="1" t="s">
        <v>179</v>
      </c>
      <c r="B2293" s="1" t="s">
        <v>2981</v>
      </c>
      <c r="C2293" s="1" t="s">
        <v>101</v>
      </c>
      <c r="D2293" s="1" t="s">
        <v>101</v>
      </c>
      <c r="E2293" s="81">
        <v>0</v>
      </c>
      <c r="F2293" s="81">
        <v>0</v>
      </c>
    </row>
    <row r="2294" spans="1:6" x14ac:dyDescent="0.2">
      <c r="A2294" s="1" t="s">
        <v>179</v>
      </c>
      <c r="B2294" s="1" t="s">
        <v>2982</v>
      </c>
      <c r="C2294" s="1" t="s">
        <v>101</v>
      </c>
      <c r="D2294" s="1" t="s">
        <v>101</v>
      </c>
      <c r="E2294" s="81">
        <v>0</v>
      </c>
      <c r="F2294" s="81">
        <v>0</v>
      </c>
    </row>
    <row r="2295" spans="1:6" x14ac:dyDescent="0.2">
      <c r="A2295" s="1" t="s">
        <v>179</v>
      </c>
      <c r="B2295" s="1" t="s">
        <v>2983</v>
      </c>
      <c r="C2295" s="1" t="s">
        <v>101</v>
      </c>
      <c r="D2295" s="1" t="s">
        <v>101</v>
      </c>
      <c r="E2295" s="81">
        <v>0</v>
      </c>
      <c r="F2295" s="81">
        <v>0</v>
      </c>
    </row>
    <row r="2296" spans="1:6" x14ac:dyDescent="0.2">
      <c r="A2296" s="1" t="s">
        <v>179</v>
      </c>
      <c r="B2296" s="1" t="s">
        <v>2984</v>
      </c>
      <c r="C2296" s="1" t="s">
        <v>4120</v>
      </c>
      <c r="D2296" s="1" t="s">
        <v>4120</v>
      </c>
      <c r="E2296" s="81">
        <v>176.35</v>
      </c>
      <c r="F2296" s="81">
        <v>176.35</v>
      </c>
    </row>
    <row r="2297" spans="1:6" x14ac:dyDescent="0.2">
      <c r="A2297" s="1" t="s">
        <v>179</v>
      </c>
      <c r="B2297" s="1" t="s">
        <v>2985</v>
      </c>
      <c r="C2297" s="1" t="s">
        <v>4121</v>
      </c>
      <c r="D2297" s="1" t="s">
        <v>4121</v>
      </c>
      <c r="E2297" s="81">
        <v>194.73</v>
      </c>
      <c r="F2297" s="81">
        <v>194.73</v>
      </c>
    </row>
    <row r="2298" spans="1:6" x14ac:dyDescent="0.2">
      <c r="A2298" s="1" t="s">
        <v>179</v>
      </c>
      <c r="B2298" s="1" t="s">
        <v>2986</v>
      </c>
      <c r="C2298" s="1" t="s">
        <v>4122</v>
      </c>
      <c r="D2298" s="1" t="s">
        <v>4122</v>
      </c>
      <c r="E2298" s="81">
        <v>195.79</v>
      </c>
      <c r="F2298" s="81">
        <v>195.79</v>
      </c>
    </row>
    <row r="2299" spans="1:6" x14ac:dyDescent="0.2">
      <c r="A2299" s="1" t="s">
        <v>179</v>
      </c>
      <c r="B2299" s="1" t="s">
        <v>2987</v>
      </c>
      <c r="C2299" s="1" t="s">
        <v>101</v>
      </c>
      <c r="D2299" s="1" t="s">
        <v>101</v>
      </c>
      <c r="E2299" s="81">
        <v>0</v>
      </c>
      <c r="F2299" s="81">
        <v>0</v>
      </c>
    </row>
    <row r="2300" spans="1:6" x14ac:dyDescent="0.2">
      <c r="A2300" s="1" t="s">
        <v>179</v>
      </c>
      <c r="B2300" s="1" t="s">
        <v>2988</v>
      </c>
      <c r="C2300" s="1" t="s">
        <v>101</v>
      </c>
      <c r="D2300" s="1" t="s">
        <v>101</v>
      </c>
      <c r="E2300" s="81">
        <v>0</v>
      </c>
      <c r="F2300" s="81">
        <v>0</v>
      </c>
    </row>
    <row r="2301" spans="1:6" x14ac:dyDescent="0.2">
      <c r="A2301" s="1" t="s">
        <v>179</v>
      </c>
      <c r="B2301" s="1" t="s">
        <v>2989</v>
      </c>
      <c r="C2301" s="1" t="s">
        <v>101</v>
      </c>
      <c r="D2301" s="1" t="s">
        <v>101</v>
      </c>
      <c r="E2301" s="81">
        <v>0</v>
      </c>
      <c r="F2301" s="81">
        <v>0</v>
      </c>
    </row>
    <row r="2302" spans="1:6" x14ac:dyDescent="0.2">
      <c r="A2302" s="1" t="s">
        <v>179</v>
      </c>
      <c r="B2302" s="1" t="s">
        <v>2990</v>
      </c>
      <c r="C2302" s="1" t="s">
        <v>101</v>
      </c>
      <c r="D2302" s="1" t="s">
        <v>101</v>
      </c>
      <c r="E2302" s="81">
        <v>0</v>
      </c>
      <c r="F2302" s="81">
        <v>0</v>
      </c>
    </row>
    <row r="2303" spans="1:6" x14ac:dyDescent="0.2">
      <c r="A2303" s="1" t="s">
        <v>179</v>
      </c>
      <c r="B2303" s="1" t="s">
        <v>2991</v>
      </c>
      <c r="C2303" s="1" t="s">
        <v>101</v>
      </c>
      <c r="D2303" s="1" t="s">
        <v>101</v>
      </c>
      <c r="E2303" s="81">
        <v>0</v>
      </c>
      <c r="F2303" s="81">
        <v>0</v>
      </c>
    </row>
    <row r="2304" spans="1:6" x14ac:dyDescent="0.2">
      <c r="A2304" s="1" t="s">
        <v>179</v>
      </c>
      <c r="B2304" s="1" t="s">
        <v>2992</v>
      </c>
      <c r="C2304" s="1" t="s">
        <v>101</v>
      </c>
      <c r="D2304" s="1" t="s">
        <v>101</v>
      </c>
      <c r="E2304" s="81">
        <v>0</v>
      </c>
      <c r="F2304" s="81">
        <v>0</v>
      </c>
    </row>
    <row r="2305" spans="1:6" x14ac:dyDescent="0.2">
      <c r="A2305" s="1" t="s">
        <v>179</v>
      </c>
      <c r="B2305" s="1" t="s">
        <v>2993</v>
      </c>
      <c r="C2305" s="1" t="s">
        <v>101</v>
      </c>
      <c r="D2305" s="1" t="s">
        <v>101</v>
      </c>
      <c r="E2305" s="81">
        <v>0</v>
      </c>
      <c r="F2305" s="81">
        <v>0</v>
      </c>
    </row>
    <row r="2306" spans="1:6" x14ac:dyDescent="0.2">
      <c r="A2306" s="1" t="s">
        <v>179</v>
      </c>
      <c r="B2306" s="1" t="s">
        <v>2994</v>
      </c>
      <c r="C2306" s="1" t="s">
        <v>101</v>
      </c>
      <c r="D2306" s="1" t="s">
        <v>101</v>
      </c>
      <c r="E2306" s="81">
        <v>0</v>
      </c>
      <c r="F2306" s="81">
        <v>0</v>
      </c>
    </row>
    <row r="2307" spans="1:6" x14ac:dyDescent="0.2">
      <c r="A2307" s="1" t="s">
        <v>179</v>
      </c>
      <c r="B2307" s="1" t="s">
        <v>2995</v>
      </c>
      <c r="C2307" s="1" t="s">
        <v>101</v>
      </c>
      <c r="D2307" s="1" t="s">
        <v>101</v>
      </c>
      <c r="E2307" s="81">
        <v>0</v>
      </c>
      <c r="F2307" s="81">
        <v>0</v>
      </c>
    </row>
    <row r="2308" spans="1:6" x14ac:dyDescent="0.2">
      <c r="A2308" s="1" t="s">
        <v>179</v>
      </c>
      <c r="B2308" s="1" t="s">
        <v>2996</v>
      </c>
      <c r="C2308" s="1" t="s">
        <v>101</v>
      </c>
      <c r="D2308" s="1" t="s">
        <v>101</v>
      </c>
      <c r="E2308" s="81">
        <v>0</v>
      </c>
      <c r="F2308" s="81">
        <v>0</v>
      </c>
    </row>
    <row r="2309" spans="1:6" x14ac:dyDescent="0.2">
      <c r="A2309" s="1" t="s">
        <v>179</v>
      </c>
      <c r="B2309" s="1" t="s">
        <v>2997</v>
      </c>
      <c r="C2309" s="1" t="s">
        <v>101</v>
      </c>
      <c r="D2309" s="1" t="s">
        <v>101</v>
      </c>
      <c r="E2309" s="81">
        <v>0</v>
      </c>
      <c r="F2309" s="81">
        <v>0</v>
      </c>
    </row>
    <row r="2310" spans="1:6" x14ac:dyDescent="0.2">
      <c r="A2310" s="1" t="s">
        <v>179</v>
      </c>
      <c r="B2310" s="1" t="s">
        <v>2998</v>
      </c>
      <c r="C2310" s="1" t="s">
        <v>101</v>
      </c>
      <c r="D2310" s="1" t="s">
        <v>101</v>
      </c>
      <c r="E2310" s="81">
        <v>0</v>
      </c>
      <c r="F2310" s="81">
        <v>0</v>
      </c>
    </row>
    <row r="2311" spans="1:6" x14ac:dyDescent="0.2">
      <c r="A2311" s="1" t="s">
        <v>179</v>
      </c>
      <c r="B2311" s="1" t="s">
        <v>2999</v>
      </c>
      <c r="C2311" s="1" t="s">
        <v>101</v>
      </c>
      <c r="D2311" s="1" t="s">
        <v>101</v>
      </c>
      <c r="E2311" s="81">
        <v>0</v>
      </c>
      <c r="F2311" s="81">
        <v>0</v>
      </c>
    </row>
    <row r="2312" spans="1:6" x14ac:dyDescent="0.2">
      <c r="A2312" s="1" t="s">
        <v>179</v>
      </c>
      <c r="B2312" s="1" t="s">
        <v>3000</v>
      </c>
      <c r="C2312" s="1" t="s">
        <v>101</v>
      </c>
      <c r="D2312" s="1" t="s">
        <v>101</v>
      </c>
      <c r="E2312" s="81">
        <v>0</v>
      </c>
      <c r="F2312" s="81">
        <v>0</v>
      </c>
    </row>
    <row r="2313" spans="1:6" x14ac:dyDescent="0.2">
      <c r="A2313" s="1" t="s">
        <v>179</v>
      </c>
      <c r="B2313" s="1" t="s">
        <v>3001</v>
      </c>
      <c r="C2313" s="1" t="s">
        <v>101</v>
      </c>
      <c r="D2313" s="1" t="s">
        <v>101</v>
      </c>
      <c r="E2313" s="81">
        <v>0</v>
      </c>
      <c r="F2313" s="81">
        <v>0</v>
      </c>
    </row>
    <row r="2314" spans="1:6" x14ac:dyDescent="0.2">
      <c r="A2314" s="1" t="s">
        <v>179</v>
      </c>
      <c r="B2314" s="1" t="s">
        <v>3002</v>
      </c>
      <c r="C2314" s="1" t="s">
        <v>101</v>
      </c>
      <c r="D2314" s="1" t="s">
        <v>101</v>
      </c>
      <c r="E2314" s="81">
        <v>0</v>
      </c>
      <c r="F2314" s="81">
        <v>0</v>
      </c>
    </row>
    <row r="2315" spans="1:6" x14ac:dyDescent="0.2">
      <c r="A2315" s="1" t="s">
        <v>179</v>
      </c>
      <c r="B2315" s="1" t="s">
        <v>3003</v>
      </c>
      <c r="C2315" s="1" t="s">
        <v>101</v>
      </c>
      <c r="D2315" s="1" t="s">
        <v>101</v>
      </c>
      <c r="E2315" s="81">
        <v>0</v>
      </c>
      <c r="F2315" s="81">
        <v>0</v>
      </c>
    </row>
    <row r="2316" spans="1:6" x14ac:dyDescent="0.2">
      <c r="A2316" s="1" t="s">
        <v>179</v>
      </c>
      <c r="B2316" s="1" t="s">
        <v>3004</v>
      </c>
      <c r="C2316" s="1" t="s">
        <v>101</v>
      </c>
      <c r="D2316" s="1" t="s">
        <v>101</v>
      </c>
      <c r="E2316" s="81">
        <v>0</v>
      </c>
      <c r="F2316" s="81">
        <v>0</v>
      </c>
    </row>
    <row r="2317" spans="1:6" x14ac:dyDescent="0.2">
      <c r="A2317" s="1" t="s">
        <v>179</v>
      </c>
      <c r="B2317" s="1" t="s">
        <v>3005</v>
      </c>
      <c r="C2317" s="1" t="s">
        <v>101</v>
      </c>
      <c r="D2317" s="1" t="s">
        <v>101</v>
      </c>
      <c r="E2317" s="81">
        <v>0</v>
      </c>
      <c r="F2317" s="81">
        <v>0</v>
      </c>
    </row>
    <row r="2318" spans="1:6" x14ac:dyDescent="0.2">
      <c r="A2318" s="1" t="s">
        <v>179</v>
      </c>
      <c r="B2318" s="1" t="s">
        <v>3006</v>
      </c>
      <c r="C2318" s="1" t="s">
        <v>101</v>
      </c>
      <c r="D2318" s="1" t="s">
        <v>101</v>
      </c>
      <c r="E2318" s="81">
        <v>0</v>
      </c>
      <c r="F2318" s="81">
        <v>0</v>
      </c>
    </row>
    <row r="2319" spans="1:6" x14ac:dyDescent="0.2">
      <c r="A2319" s="1" t="s">
        <v>179</v>
      </c>
      <c r="B2319" s="1" t="s">
        <v>3007</v>
      </c>
      <c r="C2319" s="1" t="s">
        <v>101</v>
      </c>
      <c r="D2319" s="1" t="s">
        <v>101</v>
      </c>
      <c r="E2319" s="81">
        <v>0</v>
      </c>
      <c r="F2319" s="81">
        <v>0</v>
      </c>
    </row>
    <row r="2320" spans="1:6" x14ac:dyDescent="0.2">
      <c r="A2320" s="1" t="s">
        <v>179</v>
      </c>
      <c r="B2320" s="1" t="s">
        <v>3008</v>
      </c>
      <c r="C2320" s="1" t="s">
        <v>4116</v>
      </c>
      <c r="D2320" s="1" t="s">
        <v>4116</v>
      </c>
      <c r="E2320" s="81">
        <v>176.08</v>
      </c>
      <c r="F2320" s="81">
        <v>176.08</v>
      </c>
    </row>
    <row r="2321" spans="1:6" x14ac:dyDescent="0.2">
      <c r="A2321" s="1" t="s">
        <v>179</v>
      </c>
      <c r="B2321" s="1" t="s">
        <v>3009</v>
      </c>
      <c r="C2321" s="1" t="s">
        <v>4117</v>
      </c>
      <c r="D2321" s="1" t="s">
        <v>4117</v>
      </c>
      <c r="E2321" s="81">
        <v>194.4</v>
      </c>
      <c r="F2321" s="81">
        <v>194.4</v>
      </c>
    </row>
    <row r="2322" spans="1:6" x14ac:dyDescent="0.2">
      <c r="A2322" s="1" t="s">
        <v>179</v>
      </c>
      <c r="B2322" s="1" t="s">
        <v>3010</v>
      </c>
      <c r="C2322" s="1" t="s">
        <v>4118</v>
      </c>
      <c r="D2322" s="1" t="s">
        <v>4118</v>
      </c>
      <c r="E2322" s="81">
        <v>195.48</v>
      </c>
      <c r="F2322" s="81">
        <v>195.48</v>
      </c>
    </row>
    <row r="2323" spans="1:6" x14ac:dyDescent="0.2">
      <c r="A2323" s="1" t="s">
        <v>179</v>
      </c>
      <c r="B2323" s="1" t="s">
        <v>3011</v>
      </c>
      <c r="C2323" s="1" t="s">
        <v>101</v>
      </c>
      <c r="D2323" s="1" t="s">
        <v>101</v>
      </c>
      <c r="E2323" s="81">
        <v>0</v>
      </c>
      <c r="F2323" s="81">
        <v>0</v>
      </c>
    </row>
    <row r="2324" spans="1:6" x14ac:dyDescent="0.2">
      <c r="A2324" s="1" t="s">
        <v>179</v>
      </c>
      <c r="B2324" s="1" t="s">
        <v>3012</v>
      </c>
      <c r="C2324" s="1" t="s">
        <v>101</v>
      </c>
      <c r="D2324" s="1" t="s">
        <v>101</v>
      </c>
      <c r="E2324" s="81">
        <v>0</v>
      </c>
      <c r="F2324" s="81">
        <v>0</v>
      </c>
    </row>
    <row r="2325" spans="1:6" x14ac:dyDescent="0.2">
      <c r="A2325" s="1" t="s">
        <v>179</v>
      </c>
      <c r="B2325" s="1" t="s">
        <v>3013</v>
      </c>
      <c r="C2325" s="1" t="s">
        <v>101</v>
      </c>
      <c r="D2325" s="1" t="s">
        <v>101</v>
      </c>
      <c r="E2325" s="81">
        <v>0</v>
      </c>
      <c r="F2325" s="81">
        <v>0</v>
      </c>
    </row>
    <row r="2326" spans="1:6" x14ac:dyDescent="0.2">
      <c r="A2326" s="1" t="s">
        <v>179</v>
      </c>
      <c r="B2326" s="1" t="s">
        <v>3014</v>
      </c>
      <c r="C2326" s="1" t="s">
        <v>101</v>
      </c>
      <c r="D2326" s="1" t="s">
        <v>101</v>
      </c>
      <c r="E2326" s="81">
        <v>0</v>
      </c>
      <c r="F2326" s="81">
        <v>0</v>
      </c>
    </row>
    <row r="2327" spans="1:6" x14ac:dyDescent="0.2">
      <c r="A2327" s="1" t="s">
        <v>179</v>
      </c>
      <c r="B2327" s="1" t="s">
        <v>3015</v>
      </c>
      <c r="C2327" s="1" t="s">
        <v>101</v>
      </c>
      <c r="D2327" s="1" t="s">
        <v>101</v>
      </c>
      <c r="E2327" s="81">
        <v>0</v>
      </c>
      <c r="F2327" s="81">
        <v>0</v>
      </c>
    </row>
    <row r="2328" spans="1:6" x14ac:dyDescent="0.2">
      <c r="A2328" s="1" t="s">
        <v>179</v>
      </c>
      <c r="B2328" s="1" t="s">
        <v>3016</v>
      </c>
      <c r="C2328" s="1" t="s">
        <v>101</v>
      </c>
      <c r="D2328" s="1" t="s">
        <v>101</v>
      </c>
      <c r="E2328" s="81">
        <v>0</v>
      </c>
      <c r="F2328" s="81">
        <v>0</v>
      </c>
    </row>
    <row r="2329" spans="1:6" x14ac:dyDescent="0.2">
      <c r="A2329" s="1" t="s">
        <v>179</v>
      </c>
      <c r="B2329" s="1" t="s">
        <v>3017</v>
      </c>
      <c r="C2329" s="1" t="s">
        <v>101</v>
      </c>
      <c r="D2329" s="1" t="s">
        <v>101</v>
      </c>
      <c r="E2329" s="81">
        <v>0</v>
      </c>
      <c r="F2329" s="81">
        <v>0</v>
      </c>
    </row>
    <row r="2330" spans="1:6" x14ac:dyDescent="0.2">
      <c r="A2330" s="1" t="s">
        <v>179</v>
      </c>
      <c r="B2330" s="1" t="s">
        <v>3018</v>
      </c>
      <c r="C2330" s="1" t="s">
        <v>101</v>
      </c>
      <c r="D2330" s="1" t="s">
        <v>101</v>
      </c>
      <c r="E2330" s="81">
        <v>0</v>
      </c>
      <c r="F2330" s="81">
        <v>0</v>
      </c>
    </row>
    <row r="2331" spans="1:6" x14ac:dyDescent="0.2">
      <c r="A2331" s="1" t="s">
        <v>179</v>
      </c>
      <c r="B2331" s="1" t="s">
        <v>3019</v>
      </c>
      <c r="C2331" s="1" t="s">
        <v>101</v>
      </c>
      <c r="D2331" s="1" t="s">
        <v>101</v>
      </c>
      <c r="E2331" s="81">
        <v>0</v>
      </c>
      <c r="F2331" s="81">
        <v>0</v>
      </c>
    </row>
    <row r="2332" spans="1:6" x14ac:dyDescent="0.2">
      <c r="A2332" s="1" t="s">
        <v>179</v>
      </c>
      <c r="B2332" s="1" t="s">
        <v>3020</v>
      </c>
      <c r="C2332" s="1" t="s">
        <v>4119</v>
      </c>
      <c r="D2332" s="1" t="s">
        <v>4119</v>
      </c>
      <c r="E2332" s="81">
        <v>565.96</v>
      </c>
      <c r="F2332" s="81">
        <v>565.96</v>
      </c>
    </row>
    <row r="2333" spans="1:6" x14ac:dyDescent="0.2">
      <c r="A2333" s="1" t="s">
        <v>179</v>
      </c>
      <c r="B2333" s="1" t="s">
        <v>3021</v>
      </c>
      <c r="C2333" s="1" t="s">
        <v>101</v>
      </c>
      <c r="D2333" s="1" t="s">
        <v>101</v>
      </c>
      <c r="E2333" s="81">
        <v>0</v>
      </c>
      <c r="F2333" s="81">
        <v>0</v>
      </c>
    </row>
    <row r="2334" spans="1:6" x14ac:dyDescent="0.2">
      <c r="A2334" s="1" t="s">
        <v>179</v>
      </c>
      <c r="B2334" s="1" t="s">
        <v>3022</v>
      </c>
      <c r="C2334" s="1" t="s">
        <v>101</v>
      </c>
      <c r="D2334" s="1" t="s">
        <v>101</v>
      </c>
      <c r="E2334" s="81">
        <v>0</v>
      </c>
      <c r="F2334" s="81">
        <v>0</v>
      </c>
    </row>
    <row r="2335" spans="1:6" x14ac:dyDescent="0.2">
      <c r="A2335" s="1" t="s">
        <v>179</v>
      </c>
      <c r="B2335" s="1" t="s">
        <v>3023</v>
      </c>
      <c r="C2335" s="1" t="s">
        <v>101</v>
      </c>
      <c r="D2335" s="1" t="s">
        <v>101</v>
      </c>
      <c r="E2335" s="81">
        <v>0</v>
      </c>
      <c r="F2335" s="81">
        <v>0</v>
      </c>
    </row>
    <row r="2336" spans="1:6" x14ac:dyDescent="0.2">
      <c r="A2336" s="1" t="s">
        <v>179</v>
      </c>
      <c r="B2336" s="1" t="s">
        <v>3024</v>
      </c>
      <c r="C2336" s="1" t="s">
        <v>101</v>
      </c>
      <c r="D2336" s="1" t="s">
        <v>101</v>
      </c>
      <c r="E2336" s="81">
        <v>0</v>
      </c>
      <c r="F2336" s="81">
        <v>0</v>
      </c>
    </row>
    <row r="2337" spans="1:6" x14ac:dyDescent="0.2">
      <c r="A2337" s="1" t="s">
        <v>179</v>
      </c>
      <c r="B2337" s="1" t="s">
        <v>3025</v>
      </c>
      <c r="C2337" s="1" t="s">
        <v>101</v>
      </c>
      <c r="D2337" s="1" t="s">
        <v>101</v>
      </c>
      <c r="E2337" s="81">
        <v>0</v>
      </c>
      <c r="F2337" s="81">
        <v>0</v>
      </c>
    </row>
    <row r="2338" spans="1:6" x14ac:dyDescent="0.2">
      <c r="A2338" s="1" t="s">
        <v>179</v>
      </c>
      <c r="B2338" s="1" t="s">
        <v>3026</v>
      </c>
      <c r="C2338" s="1" t="s">
        <v>101</v>
      </c>
      <c r="D2338" s="1" t="s">
        <v>101</v>
      </c>
      <c r="E2338" s="81">
        <v>0</v>
      </c>
      <c r="F2338" s="81">
        <v>0</v>
      </c>
    </row>
    <row r="2339" spans="1:6" x14ac:dyDescent="0.2">
      <c r="A2339" s="1" t="s">
        <v>179</v>
      </c>
      <c r="B2339" s="1" t="s">
        <v>3027</v>
      </c>
      <c r="C2339" s="1" t="s">
        <v>101</v>
      </c>
      <c r="D2339" s="1" t="s">
        <v>101</v>
      </c>
      <c r="E2339" s="81">
        <v>0</v>
      </c>
      <c r="F2339" s="81">
        <v>0</v>
      </c>
    </row>
    <row r="2340" spans="1:6" x14ac:dyDescent="0.2">
      <c r="A2340" s="1" t="s">
        <v>179</v>
      </c>
      <c r="B2340" s="1" t="s">
        <v>3028</v>
      </c>
      <c r="C2340" s="1" t="s">
        <v>101</v>
      </c>
      <c r="D2340" s="1" t="s">
        <v>101</v>
      </c>
      <c r="E2340" s="81">
        <v>0</v>
      </c>
      <c r="F2340" s="81">
        <v>0</v>
      </c>
    </row>
    <row r="2341" spans="1:6" x14ac:dyDescent="0.2">
      <c r="A2341" s="1" t="s">
        <v>179</v>
      </c>
      <c r="B2341" s="1" t="s">
        <v>3029</v>
      </c>
      <c r="C2341" s="1" t="s">
        <v>101</v>
      </c>
      <c r="D2341" s="1" t="s">
        <v>101</v>
      </c>
      <c r="E2341" s="81">
        <v>0</v>
      </c>
      <c r="F2341" s="81">
        <v>0</v>
      </c>
    </row>
    <row r="2342" spans="1:6" x14ac:dyDescent="0.2">
      <c r="A2342" s="1" t="s">
        <v>179</v>
      </c>
      <c r="B2342" s="1" t="s">
        <v>3030</v>
      </c>
      <c r="C2342" s="1" t="s">
        <v>101</v>
      </c>
      <c r="D2342" s="1" t="s">
        <v>101</v>
      </c>
      <c r="E2342" s="81">
        <v>0</v>
      </c>
      <c r="F2342" s="81">
        <v>0</v>
      </c>
    </row>
    <row r="2343" spans="1:6" x14ac:dyDescent="0.2">
      <c r="A2343" s="1" t="s">
        <v>179</v>
      </c>
      <c r="B2343" s="1" t="s">
        <v>3031</v>
      </c>
      <c r="C2343" s="1" t="s">
        <v>101</v>
      </c>
      <c r="D2343" s="1" t="s">
        <v>101</v>
      </c>
      <c r="E2343" s="81">
        <v>0</v>
      </c>
      <c r="F2343" s="81">
        <v>0</v>
      </c>
    </row>
    <row r="2344" spans="1:6" x14ac:dyDescent="0.2">
      <c r="A2344" s="1" t="s">
        <v>179</v>
      </c>
      <c r="B2344" s="1" t="s">
        <v>3032</v>
      </c>
      <c r="C2344" s="1" t="s">
        <v>101</v>
      </c>
      <c r="D2344" s="1" t="s">
        <v>101</v>
      </c>
      <c r="E2344" s="81">
        <v>0</v>
      </c>
      <c r="F2344" s="81">
        <v>0</v>
      </c>
    </row>
    <row r="2345" spans="1:6" x14ac:dyDescent="0.2">
      <c r="A2345" s="1" t="s">
        <v>179</v>
      </c>
      <c r="B2345" s="1" t="s">
        <v>3033</v>
      </c>
      <c r="C2345" s="1" t="s">
        <v>101</v>
      </c>
      <c r="D2345" s="1" t="s">
        <v>101</v>
      </c>
      <c r="E2345" s="81">
        <v>0</v>
      </c>
      <c r="F2345" s="81">
        <v>0</v>
      </c>
    </row>
    <row r="2346" spans="1:6" x14ac:dyDescent="0.2">
      <c r="A2346" s="1" t="s">
        <v>179</v>
      </c>
      <c r="B2346" s="1" t="s">
        <v>3034</v>
      </c>
      <c r="C2346" s="1" t="s">
        <v>101</v>
      </c>
      <c r="D2346" s="1" t="s">
        <v>101</v>
      </c>
      <c r="E2346" s="81">
        <v>0</v>
      </c>
      <c r="F2346" s="81">
        <v>0</v>
      </c>
    </row>
    <row r="2347" spans="1:6" x14ac:dyDescent="0.2">
      <c r="A2347" s="1" t="s">
        <v>179</v>
      </c>
      <c r="B2347" s="1" t="s">
        <v>3035</v>
      </c>
      <c r="C2347" s="1" t="s">
        <v>101</v>
      </c>
      <c r="D2347" s="1" t="s">
        <v>101</v>
      </c>
      <c r="E2347" s="81">
        <v>0</v>
      </c>
      <c r="F2347" s="81">
        <v>0</v>
      </c>
    </row>
    <row r="2348" spans="1:6" x14ac:dyDescent="0.2">
      <c r="A2348" s="1" t="s">
        <v>179</v>
      </c>
      <c r="B2348" s="1" t="s">
        <v>3036</v>
      </c>
      <c r="C2348" s="1" t="s">
        <v>101</v>
      </c>
      <c r="D2348" s="1" t="s">
        <v>101</v>
      </c>
      <c r="E2348" s="81">
        <v>0</v>
      </c>
      <c r="F2348" s="81">
        <v>0</v>
      </c>
    </row>
    <row r="2349" spans="1:6" x14ac:dyDescent="0.2">
      <c r="A2349" s="1" t="s">
        <v>179</v>
      </c>
      <c r="B2349" s="1" t="s">
        <v>3037</v>
      </c>
      <c r="C2349" s="1" t="s">
        <v>101</v>
      </c>
      <c r="D2349" s="1" t="s">
        <v>101</v>
      </c>
      <c r="E2349" s="81">
        <v>0</v>
      </c>
      <c r="F2349" s="81">
        <v>0</v>
      </c>
    </row>
    <row r="2350" spans="1:6" x14ac:dyDescent="0.2">
      <c r="A2350" s="1" t="s">
        <v>179</v>
      </c>
      <c r="B2350" s="1" t="s">
        <v>3038</v>
      </c>
      <c r="C2350" s="1" t="s">
        <v>101</v>
      </c>
      <c r="D2350" s="1" t="s">
        <v>101</v>
      </c>
      <c r="E2350" s="81">
        <v>0</v>
      </c>
      <c r="F2350" s="81">
        <v>0</v>
      </c>
    </row>
    <row r="2351" spans="1:6" x14ac:dyDescent="0.2">
      <c r="A2351" s="1" t="s">
        <v>179</v>
      </c>
      <c r="B2351" s="1" t="s">
        <v>3039</v>
      </c>
      <c r="C2351" s="1" t="s">
        <v>101</v>
      </c>
      <c r="D2351" s="1" t="s">
        <v>101</v>
      </c>
      <c r="E2351" s="81">
        <v>0</v>
      </c>
      <c r="F2351" s="81">
        <v>0</v>
      </c>
    </row>
    <row r="2352" spans="1:6" x14ac:dyDescent="0.2">
      <c r="A2352" s="1" t="s">
        <v>179</v>
      </c>
      <c r="B2352" s="1" t="s">
        <v>3040</v>
      </c>
      <c r="C2352" s="1" t="s">
        <v>101</v>
      </c>
      <c r="D2352" s="1" t="s">
        <v>101</v>
      </c>
      <c r="E2352" s="81">
        <v>0</v>
      </c>
      <c r="F2352" s="81">
        <v>0</v>
      </c>
    </row>
    <row r="2353" spans="1:6" x14ac:dyDescent="0.2">
      <c r="A2353" s="1" t="s">
        <v>179</v>
      </c>
      <c r="B2353" s="1" t="s">
        <v>3041</v>
      </c>
      <c r="C2353" s="1" t="s">
        <v>101</v>
      </c>
      <c r="D2353" s="1" t="s">
        <v>101</v>
      </c>
      <c r="E2353" s="81">
        <v>0</v>
      </c>
      <c r="F2353" s="81">
        <v>0</v>
      </c>
    </row>
    <row r="2354" spans="1:6" x14ac:dyDescent="0.2">
      <c r="A2354" s="1" t="s">
        <v>179</v>
      </c>
      <c r="B2354" s="1" t="s">
        <v>3042</v>
      </c>
      <c r="C2354" s="1" t="s">
        <v>101</v>
      </c>
      <c r="D2354" s="1" t="s">
        <v>101</v>
      </c>
      <c r="E2354" s="81">
        <v>0</v>
      </c>
      <c r="F2354" s="81">
        <v>0</v>
      </c>
    </row>
    <row r="2355" spans="1:6" x14ac:dyDescent="0.2">
      <c r="A2355" s="1" t="s">
        <v>179</v>
      </c>
      <c r="B2355" s="1" t="s">
        <v>3043</v>
      </c>
      <c r="C2355" s="1" t="s">
        <v>101</v>
      </c>
      <c r="D2355" s="1" t="s">
        <v>101</v>
      </c>
      <c r="E2355" s="81">
        <v>0</v>
      </c>
      <c r="F2355" s="81">
        <v>0</v>
      </c>
    </row>
    <row r="2356" spans="1:6" x14ac:dyDescent="0.2">
      <c r="A2356" s="1" t="s">
        <v>179</v>
      </c>
      <c r="B2356" s="1" t="s">
        <v>3044</v>
      </c>
      <c r="C2356" s="1" t="s">
        <v>101</v>
      </c>
      <c r="D2356" s="1" t="s">
        <v>101</v>
      </c>
      <c r="E2356" s="81">
        <v>0</v>
      </c>
      <c r="F2356" s="81">
        <v>0</v>
      </c>
    </row>
    <row r="2357" spans="1:6" x14ac:dyDescent="0.2">
      <c r="A2357" s="1" t="s">
        <v>179</v>
      </c>
      <c r="B2357" s="1" t="s">
        <v>3045</v>
      </c>
      <c r="C2357" s="1" t="s">
        <v>101</v>
      </c>
      <c r="D2357" s="1" t="s">
        <v>101</v>
      </c>
      <c r="E2357" s="81">
        <v>0</v>
      </c>
      <c r="F2357" s="81">
        <v>0</v>
      </c>
    </row>
    <row r="2358" spans="1:6" x14ac:dyDescent="0.2">
      <c r="A2358" s="1" t="s">
        <v>179</v>
      </c>
      <c r="B2358" s="1" t="s">
        <v>3046</v>
      </c>
      <c r="C2358" s="1" t="s">
        <v>101</v>
      </c>
      <c r="D2358" s="1" t="s">
        <v>101</v>
      </c>
      <c r="E2358" s="81">
        <v>0</v>
      </c>
      <c r="F2358" s="81">
        <v>0</v>
      </c>
    </row>
    <row r="2359" spans="1:6" x14ac:dyDescent="0.2">
      <c r="A2359" s="1" t="s">
        <v>179</v>
      </c>
      <c r="B2359" s="1" t="s">
        <v>3047</v>
      </c>
      <c r="C2359" s="1" t="s">
        <v>101</v>
      </c>
      <c r="D2359" s="1" t="s">
        <v>101</v>
      </c>
      <c r="E2359" s="81">
        <v>0</v>
      </c>
      <c r="F2359" s="81">
        <v>0</v>
      </c>
    </row>
    <row r="2360" spans="1:6" x14ac:dyDescent="0.2">
      <c r="A2360" s="1" t="s">
        <v>179</v>
      </c>
      <c r="B2360" s="1" t="s">
        <v>3048</v>
      </c>
      <c r="C2360" s="1" t="s">
        <v>101</v>
      </c>
      <c r="D2360" s="1" t="s">
        <v>101</v>
      </c>
      <c r="E2360" s="81">
        <v>0</v>
      </c>
      <c r="F2360" s="81">
        <v>0</v>
      </c>
    </row>
    <row r="2361" spans="1:6" x14ac:dyDescent="0.2">
      <c r="A2361" s="1" t="s">
        <v>179</v>
      </c>
      <c r="B2361" s="1" t="s">
        <v>3049</v>
      </c>
      <c r="C2361" s="1" t="s">
        <v>101</v>
      </c>
      <c r="D2361" s="1" t="s">
        <v>101</v>
      </c>
      <c r="E2361" s="81">
        <v>0</v>
      </c>
      <c r="F2361" s="81">
        <v>0</v>
      </c>
    </row>
    <row r="2362" spans="1:6" x14ac:dyDescent="0.2">
      <c r="A2362" s="1" t="s">
        <v>179</v>
      </c>
      <c r="B2362" s="1" t="s">
        <v>3050</v>
      </c>
      <c r="C2362" s="1" t="s">
        <v>101</v>
      </c>
      <c r="D2362" s="1" t="s">
        <v>101</v>
      </c>
      <c r="E2362" s="81">
        <v>0</v>
      </c>
      <c r="F2362" s="81">
        <v>0</v>
      </c>
    </row>
    <row r="2363" spans="1:6" x14ac:dyDescent="0.2">
      <c r="A2363" s="1" t="s">
        <v>179</v>
      </c>
      <c r="B2363" s="1" t="s">
        <v>3051</v>
      </c>
      <c r="C2363" s="1" t="s">
        <v>101</v>
      </c>
      <c r="D2363" s="1" t="s">
        <v>101</v>
      </c>
      <c r="E2363" s="81">
        <v>0</v>
      </c>
      <c r="F2363" s="81">
        <v>0</v>
      </c>
    </row>
    <row r="2364" spans="1:6" x14ac:dyDescent="0.2">
      <c r="A2364" s="1" t="s">
        <v>179</v>
      </c>
      <c r="B2364" s="1" t="s">
        <v>3052</v>
      </c>
      <c r="C2364" s="1" t="s">
        <v>101</v>
      </c>
      <c r="D2364" s="1" t="s">
        <v>101</v>
      </c>
      <c r="E2364" s="81">
        <v>0</v>
      </c>
      <c r="F2364" s="81">
        <v>0</v>
      </c>
    </row>
    <row r="2365" spans="1:6" x14ac:dyDescent="0.2">
      <c r="A2365" s="1" t="s">
        <v>179</v>
      </c>
      <c r="B2365" s="1" t="s">
        <v>3053</v>
      </c>
      <c r="C2365" s="1" t="s">
        <v>101</v>
      </c>
      <c r="D2365" s="1" t="s">
        <v>101</v>
      </c>
      <c r="E2365" s="81">
        <v>0</v>
      </c>
      <c r="F2365" s="81">
        <v>0</v>
      </c>
    </row>
    <row r="2366" spans="1:6" x14ac:dyDescent="0.2">
      <c r="A2366" s="1" t="s">
        <v>179</v>
      </c>
      <c r="B2366" s="1" t="s">
        <v>3054</v>
      </c>
      <c r="C2366" s="1" t="s">
        <v>101</v>
      </c>
      <c r="D2366" s="1" t="s">
        <v>101</v>
      </c>
      <c r="E2366" s="81">
        <v>0</v>
      </c>
      <c r="F2366" s="81">
        <v>0</v>
      </c>
    </row>
    <row r="2367" spans="1:6" x14ac:dyDescent="0.2">
      <c r="A2367" s="1" t="s">
        <v>179</v>
      </c>
      <c r="B2367" s="1" t="s">
        <v>3055</v>
      </c>
      <c r="C2367" s="1" t="s">
        <v>101</v>
      </c>
      <c r="D2367" s="1" t="s">
        <v>101</v>
      </c>
      <c r="E2367" s="81">
        <v>0</v>
      </c>
      <c r="F2367" s="81">
        <v>0</v>
      </c>
    </row>
    <row r="2368" spans="1:6" x14ac:dyDescent="0.2">
      <c r="A2368" s="1" t="s">
        <v>179</v>
      </c>
      <c r="B2368" s="1" t="s">
        <v>3056</v>
      </c>
      <c r="C2368" s="1" t="s">
        <v>101</v>
      </c>
      <c r="D2368" s="1" t="s">
        <v>101</v>
      </c>
      <c r="E2368" s="81">
        <v>0</v>
      </c>
      <c r="F2368" s="81">
        <v>0</v>
      </c>
    </row>
    <row r="2369" spans="1:6" x14ac:dyDescent="0.2">
      <c r="A2369" s="1" t="s">
        <v>179</v>
      </c>
      <c r="B2369" s="1" t="s">
        <v>3057</v>
      </c>
      <c r="C2369" s="1" t="s">
        <v>101</v>
      </c>
      <c r="D2369" s="1" t="s">
        <v>101</v>
      </c>
      <c r="E2369" s="81">
        <v>0</v>
      </c>
      <c r="F2369" s="81">
        <v>0</v>
      </c>
    </row>
    <row r="2370" spans="1:6" x14ac:dyDescent="0.2">
      <c r="A2370" s="1" t="s">
        <v>179</v>
      </c>
      <c r="B2370" s="1" t="s">
        <v>3058</v>
      </c>
      <c r="C2370" s="1" t="s">
        <v>101</v>
      </c>
      <c r="D2370" s="1" t="s">
        <v>101</v>
      </c>
      <c r="E2370" s="81">
        <v>0</v>
      </c>
      <c r="F2370" s="81">
        <v>0</v>
      </c>
    </row>
    <row r="2371" spans="1:6" x14ac:dyDescent="0.2">
      <c r="A2371" s="1" t="s">
        <v>179</v>
      </c>
      <c r="B2371" s="1" t="s">
        <v>3059</v>
      </c>
      <c r="C2371" s="1" t="s">
        <v>101</v>
      </c>
      <c r="D2371" s="1" t="s">
        <v>101</v>
      </c>
      <c r="E2371" s="81">
        <v>0</v>
      </c>
      <c r="F2371" s="81">
        <v>0</v>
      </c>
    </row>
    <row r="2372" spans="1:6" x14ac:dyDescent="0.2">
      <c r="A2372" s="1" t="s">
        <v>179</v>
      </c>
      <c r="B2372" s="1" t="s">
        <v>3060</v>
      </c>
      <c r="C2372" s="1" t="s">
        <v>101</v>
      </c>
      <c r="D2372" s="1" t="s">
        <v>101</v>
      </c>
      <c r="E2372" s="81">
        <v>0</v>
      </c>
      <c r="F2372" s="81">
        <v>0</v>
      </c>
    </row>
    <row r="2373" spans="1:6" x14ac:dyDescent="0.2">
      <c r="A2373" s="1" t="s">
        <v>179</v>
      </c>
      <c r="B2373" s="1" t="s">
        <v>3061</v>
      </c>
      <c r="C2373" s="1" t="s">
        <v>101</v>
      </c>
      <c r="D2373" s="1" t="s">
        <v>101</v>
      </c>
      <c r="E2373" s="81">
        <v>0</v>
      </c>
      <c r="F2373" s="81">
        <v>0</v>
      </c>
    </row>
    <row r="2374" spans="1:6" x14ac:dyDescent="0.2">
      <c r="A2374" s="1" t="s">
        <v>179</v>
      </c>
      <c r="B2374" s="1" t="s">
        <v>3062</v>
      </c>
      <c r="C2374" s="1" t="s">
        <v>101</v>
      </c>
      <c r="D2374" s="1" t="s">
        <v>101</v>
      </c>
      <c r="E2374" s="81">
        <v>0</v>
      </c>
      <c r="F2374" s="81">
        <v>0</v>
      </c>
    </row>
    <row r="2375" spans="1:6" x14ac:dyDescent="0.2">
      <c r="A2375" s="1" t="s">
        <v>179</v>
      </c>
      <c r="B2375" s="1" t="s">
        <v>3063</v>
      </c>
      <c r="C2375" s="1" t="s">
        <v>101</v>
      </c>
      <c r="D2375" s="1" t="s">
        <v>101</v>
      </c>
      <c r="E2375" s="81">
        <v>0</v>
      </c>
      <c r="F2375" s="81">
        <v>0</v>
      </c>
    </row>
    <row r="2376" spans="1:6" x14ac:dyDescent="0.2">
      <c r="A2376" s="1" t="s">
        <v>179</v>
      </c>
      <c r="B2376" s="1" t="s">
        <v>3064</v>
      </c>
      <c r="C2376" s="1" t="s">
        <v>101</v>
      </c>
      <c r="D2376" s="1" t="s">
        <v>101</v>
      </c>
      <c r="E2376" s="81">
        <v>0</v>
      </c>
      <c r="F2376" s="81">
        <v>0</v>
      </c>
    </row>
    <row r="2377" spans="1:6" x14ac:dyDescent="0.2">
      <c r="A2377" s="1" t="s">
        <v>179</v>
      </c>
      <c r="B2377" s="1" t="s">
        <v>3065</v>
      </c>
      <c r="C2377" s="1" t="s">
        <v>101</v>
      </c>
      <c r="D2377" s="1" t="s">
        <v>101</v>
      </c>
      <c r="E2377" s="81">
        <v>0</v>
      </c>
      <c r="F2377" s="81">
        <v>0</v>
      </c>
    </row>
    <row r="2378" spans="1:6" x14ac:dyDescent="0.2">
      <c r="A2378" s="1" t="s">
        <v>179</v>
      </c>
      <c r="B2378" s="1" t="s">
        <v>3066</v>
      </c>
      <c r="C2378" s="1" t="s">
        <v>101</v>
      </c>
      <c r="D2378" s="1" t="s">
        <v>101</v>
      </c>
      <c r="E2378" s="81">
        <v>0</v>
      </c>
      <c r="F2378" s="81">
        <v>0</v>
      </c>
    </row>
    <row r="2379" spans="1:6" x14ac:dyDescent="0.2">
      <c r="A2379" s="1" t="s">
        <v>179</v>
      </c>
      <c r="B2379" s="1" t="s">
        <v>3067</v>
      </c>
      <c r="C2379" s="1" t="s">
        <v>101</v>
      </c>
      <c r="D2379" s="1" t="s">
        <v>101</v>
      </c>
      <c r="E2379" s="81">
        <v>0</v>
      </c>
      <c r="F2379" s="81">
        <v>0</v>
      </c>
    </row>
    <row r="2380" spans="1:6" x14ac:dyDescent="0.2">
      <c r="A2380" s="1" t="s">
        <v>179</v>
      </c>
      <c r="B2380" s="1" t="s">
        <v>3068</v>
      </c>
      <c r="C2380" s="1" t="s">
        <v>101</v>
      </c>
      <c r="D2380" s="1" t="s">
        <v>101</v>
      </c>
      <c r="E2380" s="81">
        <v>0</v>
      </c>
      <c r="F2380" s="81">
        <v>0</v>
      </c>
    </row>
    <row r="2381" spans="1:6" x14ac:dyDescent="0.2">
      <c r="A2381" s="1" t="s">
        <v>179</v>
      </c>
      <c r="B2381" s="1" t="s">
        <v>3069</v>
      </c>
      <c r="C2381" s="1" t="s">
        <v>101</v>
      </c>
      <c r="D2381" s="1" t="s">
        <v>101</v>
      </c>
      <c r="E2381" s="81">
        <v>0</v>
      </c>
      <c r="F2381" s="81">
        <v>0</v>
      </c>
    </row>
    <row r="2382" spans="1:6" x14ac:dyDescent="0.2">
      <c r="A2382" s="1" t="s">
        <v>179</v>
      </c>
      <c r="B2382" s="1" t="s">
        <v>3070</v>
      </c>
      <c r="C2382" s="1" t="s">
        <v>101</v>
      </c>
      <c r="D2382" s="1" t="s">
        <v>101</v>
      </c>
      <c r="E2382" s="81">
        <v>0</v>
      </c>
      <c r="F2382" s="81">
        <v>0</v>
      </c>
    </row>
    <row r="2383" spans="1:6" x14ac:dyDescent="0.2">
      <c r="A2383" s="1" t="s">
        <v>179</v>
      </c>
      <c r="B2383" s="1" t="s">
        <v>3071</v>
      </c>
      <c r="C2383" s="1" t="s">
        <v>101</v>
      </c>
      <c r="D2383" s="1" t="s">
        <v>101</v>
      </c>
      <c r="E2383" s="81">
        <v>0</v>
      </c>
      <c r="F2383" s="81">
        <v>0</v>
      </c>
    </row>
    <row r="2384" spans="1:6" x14ac:dyDescent="0.2">
      <c r="A2384" s="1" t="s">
        <v>179</v>
      </c>
      <c r="B2384" s="1" t="s">
        <v>3072</v>
      </c>
      <c r="C2384" s="1" t="s">
        <v>101</v>
      </c>
      <c r="D2384" s="1" t="s">
        <v>101</v>
      </c>
      <c r="E2384" s="81">
        <v>0</v>
      </c>
      <c r="F2384" s="81">
        <v>0</v>
      </c>
    </row>
    <row r="2385" spans="1:6" x14ac:dyDescent="0.2">
      <c r="A2385" s="1" t="s">
        <v>179</v>
      </c>
      <c r="B2385" s="1" t="s">
        <v>3073</v>
      </c>
      <c r="C2385" s="1" t="s">
        <v>101</v>
      </c>
      <c r="D2385" s="1" t="s">
        <v>101</v>
      </c>
      <c r="E2385" s="81">
        <v>0</v>
      </c>
      <c r="F2385" s="81">
        <v>0</v>
      </c>
    </row>
    <row r="2386" spans="1:6" x14ac:dyDescent="0.2">
      <c r="A2386" s="1" t="s">
        <v>179</v>
      </c>
      <c r="B2386" s="1" t="s">
        <v>3074</v>
      </c>
      <c r="C2386" s="1" t="s">
        <v>101</v>
      </c>
      <c r="D2386" s="1" t="s">
        <v>101</v>
      </c>
      <c r="E2386" s="81">
        <v>0</v>
      </c>
      <c r="F2386" s="81">
        <v>0</v>
      </c>
    </row>
    <row r="2387" spans="1:6" x14ac:dyDescent="0.2">
      <c r="A2387" s="1" t="s">
        <v>179</v>
      </c>
      <c r="B2387" s="1" t="s">
        <v>3075</v>
      </c>
      <c r="C2387" s="1" t="s">
        <v>101</v>
      </c>
      <c r="D2387" s="1" t="s">
        <v>101</v>
      </c>
      <c r="E2387" s="81">
        <v>0</v>
      </c>
      <c r="F2387" s="81">
        <v>0</v>
      </c>
    </row>
    <row r="2388" spans="1:6" x14ac:dyDescent="0.2">
      <c r="A2388" s="1" t="s">
        <v>179</v>
      </c>
      <c r="B2388" s="1" t="s">
        <v>3076</v>
      </c>
      <c r="C2388" s="1" t="s">
        <v>101</v>
      </c>
      <c r="D2388" s="1" t="s">
        <v>101</v>
      </c>
      <c r="E2388" s="81">
        <v>0</v>
      </c>
      <c r="F2388" s="81">
        <v>0</v>
      </c>
    </row>
    <row r="2389" spans="1:6" x14ac:dyDescent="0.2">
      <c r="A2389" s="1" t="s">
        <v>179</v>
      </c>
      <c r="B2389" s="1" t="s">
        <v>3077</v>
      </c>
      <c r="C2389" s="1" t="s">
        <v>101</v>
      </c>
      <c r="D2389" s="1" t="s">
        <v>101</v>
      </c>
      <c r="E2389" s="81">
        <v>0</v>
      </c>
      <c r="F2389" s="81">
        <v>0</v>
      </c>
    </row>
    <row r="2390" spans="1:6" x14ac:dyDescent="0.2">
      <c r="A2390" s="1" t="s">
        <v>179</v>
      </c>
      <c r="B2390" s="1" t="s">
        <v>3078</v>
      </c>
      <c r="C2390" s="1" t="s">
        <v>101</v>
      </c>
      <c r="D2390" s="1" t="s">
        <v>101</v>
      </c>
      <c r="E2390" s="81">
        <v>0</v>
      </c>
      <c r="F2390" s="81">
        <v>0</v>
      </c>
    </row>
    <row r="2391" spans="1:6" x14ac:dyDescent="0.2">
      <c r="A2391" s="1" t="s">
        <v>179</v>
      </c>
      <c r="B2391" s="1" t="s">
        <v>3079</v>
      </c>
      <c r="C2391" s="1" t="s">
        <v>101</v>
      </c>
      <c r="D2391" s="1" t="s">
        <v>101</v>
      </c>
      <c r="E2391" s="81">
        <v>0</v>
      </c>
      <c r="F2391" s="81">
        <v>0</v>
      </c>
    </row>
    <row r="2392" spans="1:6" x14ac:dyDescent="0.2">
      <c r="A2392" s="1" t="s">
        <v>179</v>
      </c>
      <c r="B2392" s="1" t="s">
        <v>3080</v>
      </c>
      <c r="C2392" s="1" t="s">
        <v>101</v>
      </c>
      <c r="D2392" s="1" t="s">
        <v>101</v>
      </c>
      <c r="E2392" s="81">
        <v>0</v>
      </c>
      <c r="F2392" s="81">
        <v>0</v>
      </c>
    </row>
    <row r="2393" spans="1:6" x14ac:dyDescent="0.2">
      <c r="A2393" s="1" t="s">
        <v>179</v>
      </c>
      <c r="B2393" s="1" t="s">
        <v>3081</v>
      </c>
      <c r="C2393" s="1" t="s">
        <v>101</v>
      </c>
      <c r="D2393" s="1" t="s">
        <v>101</v>
      </c>
      <c r="E2393" s="81">
        <v>0</v>
      </c>
      <c r="F2393" s="81">
        <v>0</v>
      </c>
    </row>
    <row r="2394" spans="1:6" x14ac:dyDescent="0.2">
      <c r="A2394" s="1" t="s">
        <v>179</v>
      </c>
      <c r="B2394" s="1" t="s">
        <v>3082</v>
      </c>
      <c r="C2394" s="1" t="s">
        <v>101</v>
      </c>
      <c r="D2394" s="1" t="s">
        <v>101</v>
      </c>
      <c r="E2394" s="81">
        <v>0</v>
      </c>
      <c r="F2394" s="81">
        <v>0</v>
      </c>
    </row>
    <row r="2395" spans="1:6" x14ac:dyDescent="0.2">
      <c r="A2395" s="1" t="s">
        <v>179</v>
      </c>
      <c r="B2395" s="1" t="s">
        <v>3083</v>
      </c>
      <c r="C2395" s="1" t="s">
        <v>4123</v>
      </c>
      <c r="D2395" s="1" t="s">
        <v>4123</v>
      </c>
      <c r="E2395" s="81">
        <v>31833.22</v>
      </c>
      <c r="F2395" s="81">
        <v>31833.22</v>
      </c>
    </row>
    <row r="2396" spans="1:6" x14ac:dyDescent="0.2">
      <c r="A2396" s="1" t="s">
        <v>179</v>
      </c>
      <c r="B2396" s="1" t="s">
        <v>3084</v>
      </c>
      <c r="C2396" s="1" t="s">
        <v>4124</v>
      </c>
      <c r="D2396" s="1" t="s">
        <v>4124</v>
      </c>
      <c r="E2396" s="81">
        <v>31431.89</v>
      </c>
      <c r="F2396" s="81">
        <v>31431.89</v>
      </c>
    </row>
    <row r="2397" spans="1:6" x14ac:dyDescent="0.2">
      <c r="A2397" s="1" t="s">
        <v>179</v>
      </c>
      <c r="B2397" s="1" t="s">
        <v>3085</v>
      </c>
      <c r="C2397" s="1" t="s">
        <v>4125</v>
      </c>
      <c r="D2397" s="1" t="s">
        <v>4125</v>
      </c>
      <c r="E2397" s="81">
        <v>31137.53</v>
      </c>
      <c r="F2397" s="81">
        <v>31137.53</v>
      </c>
    </row>
    <row r="2398" spans="1:6" x14ac:dyDescent="0.2">
      <c r="A2398" s="1" t="s">
        <v>179</v>
      </c>
      <c r="B2398" s="1" t="s">
        <v>3086</v>
      </c>
      <c r="C2398" s="1" t="s">
        <v>101</v>
      </c>
      <c r="D2398" s="1" t="s">
        <v>101</v>
      </c>
      <c r="E2398" s="81">
        <v>0</v>
      </c>
      <c r="F2398" s="81">
        <v>0</v>
      </c>
    </row>
    <row r="2399" spans="1:6" x14ac:dyDescent="0.2">
      <c r="A2399" s="1" t="s">
        <v>179</v>
      </c>
      <c r="B2399" s="1" t="s">
        <v>3087</v>
      </c>
      <c r="C2399" s="1" t="s">
        <v>101</v>
      </c>
      <c r="D2399" s="1" t="s">
        <v>101</v>
      </c>
      <c r="E2399" s="81">
        <v>0</v>
      </c>
      <c r="F2399" s="81">
        <v>0</v>
      </c>
    </row>
    <row r="2400" spans="1:6" x14ac:dyDescent="0.2">
      <c r="A2400" s="1" t="s">
        <v>179</v>
      </c>
      <c r="B2400" s="1" t="s">
        <v>3088</v>
      </c>
      <c r="C2400" s="1" t="s">
        <v>101</v>
      </c>
      <c r="D2400" s="1" t="s">
        <v>101</v>
      </c>
      <c r="E2400" s="81">
        <v>0</v>
      </c>
      <c r="F2400" s="81">
        <v>0</v>
      </c>
    </row>
    <row r="2401" spans="1:6" x14ac:dyDescent="0.2">
      <c r="A2401" s="1" t="s">
        <v>179</v>
      </c>
      <c r="B2401" s="1" t="s">
        <v>3089</v>
      </c>
      <c r="C2401" s="1" t="s">
        <v>101</v>
      </c>
      <c r="D2401" s="1" t="s">
        <v>101</v>
      </c>
      <c r="E2401" s="81">
        <v>0</v>
      </c>
      <c r="F2401" s="81">
        <v>0</v>
      </c>
    </row>
    <row r="2402" spans="1:6" x14ac:dyDescent="0.2">
      <c r="A2402" s="1" t="s">
        <v>179</v>
      </c>
      <c r="B2402" s="1" t="s">
        <v>3090</v>
      </c>
      <c r="C2402" s="1" t="s">
        <v>101</v>
      </c>
      <c r="D2402" s="1" t="s">
        <v>101</v>
      </c>
      <c r="E2402" s="81">
        <v>0</v>
      </c>
      <c r="F2402" s="81">
        <v>0</v>
      </c>
    </row>
    <row r="2403" spans="1:6" x14ac:dyDescent="0.2">
      <c r="A2403" s="1" t="s">
        <v>179</v>
      </c>
      <c r="B2403" s="1" t="s">
        <v>3091</v>
      </c>
      <c r="C2403" s="1" t="s">
        <v>101</v>
      </c>
      <c r="D2403" s="1" t="s">
        <v>101</v>
      </c>
      <c r="E2403" s="81">
        <v>0</v>
      </c>
      <c r="F2403" s="81">
        <v>0</v>
      </c>
    </row>
    <row r="2404" spans="1:6" x14ac:dyDescent="0.2">
      <c r="A2404" s="1" t="s">
        <v>179</v>
      </c>
      <c r="B2404" s="1" t="s">
        <v>3092</v>
      </c>
      <c r="C2404" s="1" t="s">
        <v>101</v>
      </c>
      <c r="D2404" s="1" t="s">
        <v>101</v>
      </c>
      <c r="E2404" s="81">
        <v>0</v>
      </c>
      <c r="F2404" s="81">
        <v>0</v>
      </c>
    </row>
    <row r="2405" spans="1:6" x14ac:dyDescent="0.2">
      <c r="A2405" s="1" t="s">
        <v>179</v>
      </c>
      <c r="B2405" s="1" t="s">
        <v>3093</v>
      </c>
      <c r="C2405" s="1" t="s">
        <v>101</v>
      </c>
      <c r="D2405" s="1" t="s">
        <v>101</v>
      </c>
      <c r="E2405" s="81">
        <v>0</v>
      </c>
      <c r="F2405" s="81">
        <v>0</v>
      </c>
    </row>
    <row r="2406" spans="1:6" x14ac:dyDescent="0.2">
      <c r="A2406" s="1" t="s">
        <v>179</v>
      </c>
      <c r="B2406" s="1" t="s">
        <v>3094</v>
      </c>
      <c r="C2406" s="1" t="s">
        <v>101</v>
      </c>
      <c r="D2406" s="1" t="s">
        <v>101</v>
      </c>
      <c r="E2406" s="81">
        <v>0</v>
      </c>
      <c r="F2406" s="81">
        <v>0</v>
      </c>
    </row>
    <row r="2407" spans="1:6" x14ac:dyDescent="0.2">
      <c r="A2407" s="1" t="s">
        <v>179</v>
      </c>
      <c r="B2407" s="1" t="s">
        <v>3095</v>
      </c>
      <c r="C2407" s="1" t="s">
        <v>4126</v>
      </c>
      <c r="D2407" s="1" t="s">
        <v>4126</v>
      </c>
      <c r="E2407" s="81">
        <v>94402.64</v>
      </c>
      <c r="F2407" s="81">
        <v>94402.64</v>
      </c>
    </row>
    <row r="2408" spans="1:6" x14ac:dyDescent="0.2">
      <c r="A2408" s="1" t="s">
        <v>179</v>
      </c>
      <c r="B2408" s="1" t="s">
        <v>3096</v>
      </c>
      <c r="C2408" s="1" t="s">
        <v>4127</v>
      </c>
      <c r="D2408" s="1" t="s">
        <v>4127</v>
      </c>
      <c r="E2408" s="81">
        <v>31881.97</v>
      </c>
      <c r="F2408" s="81">
        <v>31881.97</v>
      </c>
    </row>
    <row r="2409" spans="1:6" x14ac:dyDescent="0.2">
      <c r="A2409" s="1" t="s">
        <v>179</v>
      </c>
      <c r="B2409" s="1" t="s">
        <v>3097</v>
      </c>
      <c r="C2409" s="1" t="s">
        <v>4128</v>
      </c>
      <c r="D2409" s="1" t="s">
        <v>4128</v>
      </c>
      <c r="E2409" s="81">
        <v>29610.13</v>
      </c>
      <c r="F2409" s="81">
        <v>29610.13</v>
      </c>
    </row>
    <row r="2410" spans="1:6" x14ac:dyDescent="0.2">
      <c r="A2410" s="1" t="s">
        <v>179</v>
      </c>
      <c r="B2410" s="1" t="s">
        <v>3098</v>
      </c>
      <c r="C2410" s="1" t="s">
        <v>4129</v>
      </c>
      <c r="D2410" s="1" t="s">
        <v>4129</v>
      </c>
      <c r="E2410" s="81">
        <v>29311.17</v>
      </c>
      <c r="F2410" s="81">
        <v>29311.17</v>
      </c>
    </row>
    <row r="2411" spans="1:6" x14ac:dyDescent="0.2">
      <c r="A2411" s="1" t="s">
        <v>179</v>
      </c>
      <c r="B2411" s="1" t="s">
        <v>3099</v>
      </c>
      <c r="C2411" s="1" t="s">
        <v>101</v>
      </c>
      <c r="D2411" s="1" t="s">
        <v>101</v>
      </c>
      <c r="E2411" s="81">
        <v>0</v>
      </c>
      <c r="F2411" s="81">
        <v>0</v>
      </c>
    </row>
    <row r="2412" spans="1:6" x14ac:dyDescent="0.2">
      <c r="A2412" s="1" t="s">
        <v>179</v>
      </c>
      <c r="B2412" s="1" t="s">
        <v>3100</v>
      </c>
      <c r="C2412" s="1" t="s">
        <v>101</v>
      </c>
      <c r="D2412" s="1" t="s">
        <v>101</v>
      </c>
      <c r="E2412" s="81">
        <v>0</v>
      </c>
      <c r="F2412" s="81">
        <v>0</v>
      </c>
    </row>
    <row r="2413" spans="1:6" x14ac:dyDescent="0.2">
      <c r="A2413" s="1" t="s">
        <v>179</v>
      </c>
      <c r="B2413" s="1" t="s">
        <v>3101</v>
      </c>
      <c r="C2413" s="1" t="s">
        <v>101</v>
      </c>
      <c r="D2413" s="1" t="s">
        <v>101</v>
      </c>
      <c r="E2413" s="81">
        <v>0</v>
      </c>
      <c r="F2413" s="81">
        <v>0</v>
      </c>
    </row>
    <row r="2414" spans="1:6" x14ac:dyDescent="0.2">
      <c r="A2414" s="1" t="s">
        <v>179</v>
      </c>
      <c r="B2414" s="1" t="s">
        <v>3102</v>
      </c>
      <c r="C2414" s="1" t="s">
        <v>101</v>
      </c>
      <c r="D2414" s="1" t="s">
        <v>101</v>
      </c>
      <c r="E2414" s="81">
        <v>0</v>
      </c>
      <c r="F2414" s="81">
        <v>0</v>
      </c>
    </row>
    <row r="2415" spans="1:6" x14ac:dyDescent="0.2">
      <c r="A2415" s="1" t="s">
        <v>179</v>
      </c>
      <c r="B2415" s="1" t="s">
        <v>3103</v>
      </c>
      <c r="C2415" s="1" t="s">
        <v>101</v>
      </c>
      <c r="D2415" s="1" t="s">
        <v>101</v>
      </c>
      <c r="E2415" s="81">
        <v>0</v>
      </c>
      <c r="F2415" s="81">
        <v>0</v>
      </c>
    </row>
    <row r="2416" spans="1:6" x14ac:dyDescent="0.2">
      <c r="A2416" s="1" t="s">
        <v>179</v>
      </c>
      <c r="B2416" s="1" t="s">
        <v>3104</v>
      </c>
      <c r="C2416" s="1" t="s">
        <v>101</v>
      </c>
      <c r="D2416" s="1" t="s">
        <v>101</v>
      </c>
      <c r="E2416" s="81">
        <v>0</v>
      </c>
      <c r="F2416" s="81">
        <v>0</v>
      </c>
    </row>
    <row r="2417" spans="1:6" x14ac:dyDescent="0.2">
      <c r="A2417" s="1" t="s">
        <v>179</v>
      </c>
      <c r="B2417" s="1" t="s">
        <v>3105</v>
      </c>
      <c r="C2417" s="1" t="s">
        <v>101</v>
      </c>
      <c r="D2417" s="1" t="s">
        <v>101</v>
      </c>
      <c r="E2417" s="81">
        <v>0</v>
      </c>
      <c r="F2417" s="81">
        <v>0</v>
      </c>
    </row>
    <row r="2418" spans="1:6" x14ac:dyDescent="0.2">
      <c r="A2418" s="1" t="s">
        <v>179</v>
      </c>
      <c r="B2418" s="1" t="s">
        <v>3106</v>
      </c>
      <c r="C2418" s="1" t="s">
        <v>101</v>
      </c>
      <c r="D2418" s="1" t="s">
        <v>101</v>
      </c>
      <c r="E2418" s="81">
        <v>0</v>
      </c>
      <c r="F2418" s="81">
        <v>0</v>
      </c>
    </row>
    <row r="2419" spans="1:6" x14ac:dyDescent="0.2">
      <c r="A2419" s="1" t="s">
        <v>179</v>
      </c>
      <c r="B2419" s="1" t="s">
        <v>3107</v>
      </c>
      <c r="C2419" s="1" t="s">
        <v>101</v>
      </c>
      <c r="D2419" s="1" t="s">
        <v>101</v>
      </c>
      <c r="E2419" s="81">
        <v>0</v>
      </c>
      <c r="F2419" s="81">
        <v>0</v>
      </c>
    </row>
    <row r="2420" spans="1:6" x14ac:dyDescent="0.2">
      <c r="A2420" s="1" t="s">
        <v>179</v>
      </c>
      <c r="B2420" s="1" t="s">
        <v>3108</v>
      </c>
      <c r="C2420" s="1" t="s">
        <v>101</v>
      </c>
      <c r="D2420" s="1" t="s">
        <v>101</v>
      </c>
      <c r="E2420" s="81">
        <v>0</v>
      </c>
      <c r="F2420" s="81">
        <v>0</v>
      </c>
    </row>
    <row r="2421" spans="1:6" x14ac:dyDescent="0.2">
      <c r="A2421" s="1" t="s">
        <v>179</v>
      </c>
      <c r="B2421" s="1" t="s">
        <v>3109</v>
      </c>
      <c r="C2421" s="1" t="s">
        <v>4130</v>
      </c>
      <c r="D2421" s="1" t="s">
        <v>4130</v>
      </c>
      <c r="E2421" s="81">
        <v>1875.79</v>
      </c>
      <c r="F2421" s="81">
        <v>1875.79</v>
      </c>
    </row>
    <row r="2422" spans="1:6" x14ac:dyDescent="0.2">
      <c r="A2422" s="1" t="s">
        <v>179</v>
      </c>
      <c r="B2422" s="1" t="s">
        <v>3110</v>
      </c>
      <c r="C2422" s="1" t="s">
        <v>4130</v>
      </c>
      <c r="D2422" s="1" t="s">
        <v>4130</v>
      </c>
      <c r="E2422" s="81">
        <v>1875.79</v>
      </c>
      <c r="F2422" s="81">
        <v>1875.79</v>
      </c>
    </row>
    <row r="2423" spans="1:6" x14ac:dyDescent="0.2">
      <c r="A2423" s="1" t="s">
        <v>179</v>
      </c>
      <c r="B2423" s="1" t="s">
        <v>3111</v>
      </c>
      <c r="C2423" s="1" t="s">
        <v>101</v>
      </c>
      <c r="D2423" s="1" t="s">
        <v>101</v>
      </c>
      <c r="E2423" s="81">
        <v>0</v>
      </c>
      <c r="F2423" s="81">
        <v>0</v>
      </c>
    </row>
    <row r="2424" spans="1:6" x14ac:dyDescent="0.2">
      <c r="A2424" s="1" t="s">
        <v>179</v>
      </c>
      <c r="B2424" s="1" t="s">
        <v>3112</v>
      </c>
      <c r="C2424" s="1" t="s">
        <v>101</v>
      </c>
      <c r="D2424" s="1" t="s">
        <v>101</v>
      </c>
      <c r="E2424" s="81">
        <v>0</v>
      </c>
      <c r="F2424" s="81">
        <v>0</v>
      </c>
    </row>
    <row r="2425" spans="1:6" x14ac:dyDescent="0.2">
      <c r="A2425" s="1" t="s">
        <v>179</v>
      </c>
      <c r="B2425" s="1" t="s">
        <v>3113</v>
      </c>
      <c r="C2425" s="1" t="s">
        <v>101</v>
      </c>
      <c r="D2425" s="1" t="s">
        <v>101</v>
      </c>
      <c r="E2425" s="81">
        <v>0</v>
      </c>
      <c r="F2425" s="81">
        <v>0</v>
      </c>
    </row>
    <row r="2426" spans="1:6" x14ac:dyDescent="0.2">
      <c r="A2426" s="1" t="s">
        <v>179</v>
      </c>
      <c r="B2426" s="1" t="s">
        <v>3114</v>
      </c>
      <c r="C2426" s="1" t="s">
        <v>101</v>
      </c>
      <c r="D2426" s="1" t="s">
        <v>101</v>
      </c>
      <c r="E2426" s="81">
        <v>0</v>
      </c>
      <c r="F2426" s="81">
        <v>0</v>
      </c>
    </row>
    <row r="2427" spans="1:6" x14ac:dyDescent="0.2">
      <c r="A2427" s="1" t="s">
        <v>179</v>
      </c>
      <c r="B2427" s="1" t="s">
        <v>3115</v>
      </c>
      <c r="C2427" s="1" t="s">
        <v>101</v>
      </c>
      <c r="D2427" s="1" t="s">
        <v>101</v>
      </c>
      <c r="E2427" s="81">
        <v>0</v>
      </c>
      <c r="F2427" s="81">
        <v>0</v>
      </c>
    </row>
    <row r="2428" spans="1:6" x14ac:dyDescent="0.2">
      <c r="A2428" s="1" t="s">
        <v>179</v>
      </c>
      <c r="B2428" s="1" t="s">
        <v>3116</v>
      </c>
      <c r="C2428" s="1" t="s">
        <v>101</v>
      </c>
      <c r="D2428" s="1" t="s">
        <v>101</v>
      </c>
      <c r="E2428" s="81">
        <v>0</v>
      </c>
      <c r="F2428" s="81">
        <v>0</v>
      </c>
    </row>
    <row r="2429" spans="1:6" x14ac:dyDescent="0.2">
      <c r="A2429" s="1" t="s">
        <v>179</v>
      </c>
      <c r="B2429" s="1" t="s">
        <v>3117</v>
      </c>
      <c r="C2429" s="1" t="s">
        <v>101</v>
      </c>
      <c r="D2429" s="1" t="s">
        <v>101</v>
      </c>
      <c r="E2429" s="81">
        <v>0</v>
      </c>
      <c r="F2429" s="81">
        <v>0</v>
      </c>
    </row>
    <row r="2430" spans="1:6" x14ac:dyDescent="0.2">
      <c r="A2430" s="1" t="s">
        <v>179</v>
      </c>
      <c r="B2430" s="1" t="s">
        <v>3118</v>
      </c>
      <c r="C2430" s="1" t="s">
        <v>101</v>
      </c>
      <c r="D2430" s="1" t="s">
        <v>101</v>
      </c>
      <c r="E2430" s="81">
        <v>0</v>
      </c>
      <c r="F2430" s="81">
        <v>0</v>
      </c>
    </row>
    <row r="2431" spans="1:6" x14ac:dyDescent="0.2">
      <c r="A2431" s="1" t="s">
        <v>179</v>
      </c>
      <c r="B2431" s="1" t="s">
        <v>3119</v>
      </c>
      <c r="C2431" s="1" t="s">
        <v>101</v>
      </c>
      <c r="D2431" s="1" t="s">
        <v>101</v>
      </c>
      <c r="E2431" s="81">
        <v>0</v>
      </c>
      <c r="F2431" s="81">
        <v>0</v>
      </c>
    </row>
    <row r="2432" spans="1:6" x14ac:dyDescent="0.2">
      <c r="A2432" s="1" t="s">
        <v>179</v>
      </c>
      <c r="B2432" s="1" t="s">
        <v>3120</v>
      </c>
      <c r="C2432" s="1" t="s">
        <v>101</v>
      </c>
      <c r="D2432" s="1" t="s">
        <v>101</v>
      </c>
      <c r="E2432" s="81">
        <v>0</v>
      </c>
      <c r="F2432" s="81">
        <v>0</v>
      </c>
    </row>
    <row r="2433" spans="1:6" x14ac:dyDescent="0.2">
      <c r="A2433" s="1" t="s">
        <v>179</v>
      </c>
      <c r="B2433" s="1" t="s">
        <v>3121</v>
      </c>
      <c r="C2433" s="1" t="s">
        <v>101</v>
      </c>
      <c r="D2433" s="1" t="s">
        <v>101</v>
      </c>
      <c r="E2433" s="81">
        <v>0</v>
      </c>
      <c r="F2433" s="81">
        <v>0</v>
      </c>
    </row>
    <row r="2434" spans="1:6" x14ac:dyDescent="0.2">
      <c r="A2434" s="1" t="s">
        <v>179</v>
      </c>
      <c r="B2434" s="1" t="s">
        <v>3122</v>
      </c>
      <c r="C2434" s="1" t="s">
        <v>101</v>
      </c>
      <c r="D2434" s="1" t="s">
        <v>101</v>
      </c>
      <c r="E2434" s="81">
        <v>0</v>
      </c>
      <c r="F2434" s="81">
        <v>0</v>
      </c>
    </row>
    <row r="2435" spans="1:6" x14ac:dyDescent="0.2">
      <c r="A2435" s="1" t="s">
        <v>179</v>
      </c>
      <c r="B2435" s="1" t="s">
        <v>3123</v>
      </c>
      <c r="C2435" s="1" t="s">
        <v>101</v>
      </c>
      <c r="D2435" s="1" t="s">
        <v>101</v>
      </c>
      <c r="E2435" s="81">
        <v>0</v>
      </c>
      <c r="F2435" s="81">
        <v>0</v>
      </c>
    </row>
    <row r="2436" spans="1:6" x14ac:dyDescent="0.2">
      <c r="A2436" s="1" t="s">
        <v>179</v>
      </c>
      <c r="B2436" s="1" t="s">
        <v>3124</v>
      </c>
      <c r="C2436" s="1" t="s">
        <v>101</v>
      </c>
      <c r="D2436" s="1" t="s">
        <v>101</v>
      </c>
      <c r="E2436" s="81">
        <v>0</v>
      </c>
      <c r="F2436" s="81">
        <v>0</v>
      </c>
    </row>
    <row r="2437" spans="1:6" x14ac:dyDescent="0.2">
      <c r="A2437" s="1" t="s">
        <v>179</v>
      </c>
      <c r="B2437" s="1" t="s">
        <v>3125</v>
      </c>
      <c r="C2437" s="1" t="s">
        <v>101</v>
      </c>
      <c r="D2437" s="1" t="s">
        <v>101</v>
      </c>
      <c r="E2437" s="81">
        <v>0</v>
      </c>
      <c r="F2437" s="81">
        <v>0</v>
      </c>
    </row>
    <row r="2438" spans="1:6" x14ac:dyDescent="0.2">
      <c r="A2438" s="1" t="s">
        <v>179</v>
      </c>
      <c r="B2438" s="1" t="s">
        <v>3126</v>
      </c>
      <c r="C2438" s="1" t="s">
        <v>101</v>
      </c>
      <c r="D2438" s="1" t="s">
        <v>101</v>
      </c>
      <c r="E2438" s="81">
        <v>0</v>
      </c>
      <c r="F2438" s="81">
        <v>0</v>
      </c>
    </row>
    <row r="2439" spans="1:6" x14ac:dyDescent="0.2">
      <c r="A2439" s="1" t="s">
        <v>179</v>
      </c>
      <c r="B2439" s="1" t="s">
        <v>3127</v>
      </c>
      <c r="C2439" s="1" t="s">
        <v>101</v>
      </c>
      <c r="D2439" s="1" t="s">
        <v>101</v>
      </c>
      <c r="E2439" s="81">
        <v>0</v>
      </c>
      <c r="F2439" s="81">
        <v>0</v>
      </c>
    </row>
    <row r="2440" spans="1:6" x14ac:dyDescent="0.2">
      <c r="A2440" s="1" t="s">
        <v>179</v>
      </c>
      <c r="B2440" s="1" t="s">
        <v>3128</v>
      </c>
      <c r="C2440" s="1" t="s">
        <v>101</v>
      </c>
      <c r="D2440" s="1" t="s">
        <v>101</v>
      </c>
      <c r="E2440" s="81">
        <v>0</v>
      </c>
      <c r="F2440" s="81">
        <v>0</v>
      </c>
    </row>
    <row r="2441" spans="1:6" x14ac:dyDescent="0.2">
      <c r="A2441" s="1" t="s">
        <v>179</v>
      </c>
      <c r="B2441" s="1" t="s">
        <v>3129</v>
      </c>
      <c r="C2441" s="1" t="s">
        <v>101</v>
      </c>
      <c r="D2441" s="1" t="s">
        <v>101</v>
      </c>
      <c r="E2441" s="81">
        <v>0</v>
      </c>
      <c r="F2441" s="81">
        <v>0</v>
      </c>
    </row>
    <row r="2442" spans="1:6" x14ac:dyDescent="0.2">
      <c r="A2442" s="1" t="s">
        <v>179</v>
      </c>
      <c r="B2442" s="1" t="s">
        <v>3130</v>
      </c>
      <c r="C2442" s="1" t="s">
        <v>101</v>
      </c>
      <c r="D2442" s="1" t="s">
        <v>101</v>
      </c>
      <c r="E2442" s="81">
        <v>0</v>
      </c>
      <c r="F2442" s="81">
        <v>0</v>
      </c>
    </row>
    <row r="2443" spans="1:6" x14ac:dyDescent="0.2">
      <c r="A2443" s="1" t="s">
        <v>179</v>
      </c>
      <c r="B2443" s="1" t="s">
        <v>3131</v>
      </c>
      <c r="C2443" s="1" t="s">
        <v>101</v>
      </c>
      <c r="D2443" s="1" t="s">
        <v>101</v>
      </c>
      <c r="E2443" s="81">
        <v>0</v>
      </c>
      <c r="F2443" s="81">
        <v>0</v>
      </c>
    </row>
    <row r="2444" spans="1:6" x14ac:dyDescent="0.2">
      <c r="A2444" s="1" t="s">
        <v>179</v>
      </c>
      <c r="B2444" s="1" t="s">
        <v>3132</v>
      </c>
      <c r="C2444" s="1" t="s">
        <v>4123</v>
      </c>
      <c r="D2444" s="1" t="s">
        <v>4123</v>
      </c>
      <c r="E2444" s="81">
        <v>31833.22</v>
      </c>
      <c r="F2444" s="81">
        <v>31833.22</v>
      </c>
    </row>
    <row r="2445" spans="1:6" x14ac:dyDescent="0.2">
      <c r="A2445" s="1" t="s">
        <v>179</v>
      </c>
      <c r="B2445" s="1" t="s">
        <v>3133</v>
      </c>
      <c r="C2445" s="1" t="s">
        <v>4124</v>
      </c>
      <c r="D2445" s="1" t="s">
        <v>4124</v>
      </c>
      <c r="E2445" s="81">
        <v>31431.89</v>
      </c>
      <c r="F2445" s="81">
        <v>31431.89</v>
      </c>
    </row>
    <row r="2446" spans="1:6" x14ac:dyDescent="0.2">
      <c r="A2446" s="1" t="s">
        <v>179</v>
      </c>
      <c r="B2446" s="1" t="s">
        <v>3134</v>
      </c>
      <c r="C2446" s="1" t="s">
        <v>4125</v>
      </c>
      <c r="D2446" s="1" t="s">
        <v>4125</v>
      </c>
      <c r="E2446" s="81">
        <v>31137.53</v>
      </c>
      <c r="F2446" s="81">
        <v>31137.53</v>
      </c>
    </row>
    <row r="2447" spans="1:6" x14ac:dyDescent="0.2">
      <c r="A2447" s="1" t="s">
        <v>179</v>
      </c>
      <c r="B2447" s="1" t="s">
        <v>3135</v>
      </c>
      <c r="C2447" s="1" t="s">
        <v>101</v>
      </c>
      <c r="D2447" s="1" t="s">
        <v>101</v>
      </c>
      <c r="E2447" s="81">
        <v>0</v>
      </c>
      <c r="F2447" s="81">
        <v>0</v>
      </c>
    </row>
    <row r="2448" spans="1:6" x14ac:dyDescent="0.2">
      <c r="A2448" s="1" t="s">
        <v>179</v>
      </c>
      <c r="B2448" s="1" t="s">
        <v>3136</v>
      </c>
      <c r="C2448" s="1" t="s">
        <v>101</v>
      </c>
      <c r="D2448" s="1" t="s">
        <v>101</v>
      </c>
      <c r="E2448" s="81">
        <v>0</v>
      </c>
      <c r="F2448" s="81">
        <v>0</v>
      </c>
    </row>
    <row r="2449" spans="1:6" x14ac:dyDescent="0.2">
      <c r="A2449" s="1" t="s">
        <v>179</v>
      </c>
      <c r="B2449" s="1" t="s">
        <v>3137</v>
      </c>
      <c r="C2449" s="1" t="s">
        <v>101</v>
      </c>
      <c r="D2449" s="1" t="s">
        <v>101</v>
      </c>
      <c r="E2449" s="81">
        <v>0</v>
      </c>
      <c r="F2449" s="81">
        <v>0</v>
      </c>
    </row>
    <row r="2450" spans="1:6" x14ac:dyDescent="0.2">
      <c r="A2450" s="1" t="s">
        <v>179</v>
      </c>
      <c r="B2450" s="1" t="s">
        <v>3138</v>
      </c>
      <c r="C2450" s="1" t="s">
        <v>101</v>
      </c>
      <c r="D2450" s="1" t="s">
        <v>101</v>
      </c>
      <c r="E2450" s="81">
        <v>0</v>
      </c>
      <c r="F2450" s="81">
        <v>0</v>
      </c>
    </row>
    <row r="2451" spans="1:6" x14ac:dyDescent="0.2">
      <c r="A2451" s="1" t="s">
        <v>179</v>
      </c>
      <c r="B2451" s="1" t="s">
        <v>3139</v>
      </c>
      <c r="C2451" s="1" t="s">
        <v>101</v>
      </c>
      <c r="D2451" s="1" t="s">
        <v>101</v>
      </c>
      <c r="E2451" s="81">
        <v>0</v>
      </c>
      <c r="F2451" s="81">
        <v>0</v>
      </c>
    </row>
    <row r="2452" spans="1:6" x14ac:dyDescent="0.2">
      <c r="A2452" s="1" t="s">
        <v>179</v>
      </c>
      <c r="B2452" s="1" t="s">
        <v>3140</v>
      </c>
      <c r="C2452" s="1" t="s">
        <v>101</v>
      </c>
      <c r="D2452" s="1" t="s">
        <v>101</v>
      </c>
      <c r="E2452" s="81">
        <v>0</v>
      </c>
      <c r="F2452" s="81">
        <v>0</v>
      </c>
    </row>
    <row r="2453" spans="1:6" x14ac:dyDescent="0.2">
      <c r="A2453" s="1" t="s">
        <v>179</v>
      </c>
      <c r="B2453" s="1" t="s">
        <v>3141</v>
      </c>
      <c r="C2453" s="1" t="s">
        <v>101</v>
      </c>
      <c r="D2453" s="1" t="s">
        <v>101</v>
      </c>
      <c r="E2453" s="81">
        <v>0</v>
      </c>
      <c r="F2453" s="81">
        <v>0</v>
      </c>
    </row>
    <row r="2454" spans="1:6" x14ac:dyDescent="0.2">
      <c r="A2454" s="1" t="s">
        <v>179</v>
      </c>
      <c r="B2454" s="1" t="s">
        <v>3142</v>
      </c>
      <c r="C2454" s="1" t="s">
        <v>101</v>
      </c>
      <c r="D2454" s="1" t="s">
        <v>101</v>
      </c>
      <c r="E2454" s="81">
        <v>0</v>
      </c>
      <c r="F2454" s="81">
        <v>0</v>
      </c>
    </row>
    <row r="2455" spans="1:6" x14ac:dyDescent="0.2">
      <c r="A2455" s="1" t="s">
        <v>179</v>
      </c>
      <c r="B2455" s="1" t="s">
        <v>3143</v>
      </c>
      <c r="C2455" s="1" t="s">
        <v>101</v>
      </c>
      <c r="D2455" s="1" t="s">
        <v>101</v>
      </c>
      <c r="E2455" s="81">
        <v>0</v>
      </c>
      <c r="F2455" s="81">
        <v>0</v>
      </c>
    </row>
    <row r="2456" spans="1:6" x14ac:dyDescent="0.2">
      <c r="A2456" s="1" t="s">
        <v>179</v>
      </c>
      <c r="B2456" s="1" t="s">
        <v>3144</v>
      </c>
      <c r="C2456" s="1" t="s">
        <v>4126</v>
      </c>
      <c r="D2456" s="1" t="s">
        <v>4126</v>
      </c>
      <c r="E2456" s="81">
        <v>94402.64</v>
      </c>
      <c r="F2456" s="81">
        <v>94402.64</v>
      </c>
    </row>
    <row r="2457" spans="1:6" x14ac:dyDescent="0.2">
      <c r="A2457" s="1" t="s">
        <v>179</v>
      </c>
      <c r="B2457" s="1" t="s">
        <v>3145</v>
      </c>
      <c r="C2457" s="1" t="s">
        <v>4131</v>
      </c>
      <c r="D2457" s="1" t="s">
        <v>4131</v>
      </c>
      <c r="E2457" s="81">
        <v>804.27</v>
      </c>
      <c r="F2457" s="81">
        <v>804.27</v>
      </c>
    </row>
    <row r="2458" spans="1:6" x14ac:dyDescent="0.2">
      <c r="A2458" s="1" t="s">
        <v>179</v>
      </c>
      <c r="B2458" s="1" t="s">
        <v>3146</v>
      </c>
      <c r="C2458" s="1" t="s">
        <v>4132</v>
      </c>
      <c r="D2458" s="1" t="s">
        <v>4132</v>
      </c>
      <c r="E2458" s="81">
        <v>499.14</v>
      </c>
      <c r="F2458" s="81">
        <v>499.14</v>
      </c>
    </row>
    <row r="2459" spans="1:6" x14ac:dyDescent="0.2">
      <c r="A2459" s="1" t="s">
        <v>179</v>
      </c>
      <c r="B2459" s="1" t="s">
        <v>3147</v>
      </c>
      <c r="C2459" s="1" t="s">
        <v>4133</v>
      </c>
      <c r="D2459" s="1" t="s">
        <v>4133</v>
      </c>
      <c r="E2459" s="81">
        <v>1838.08</v>
      </c>
      <c r="F2459" s="81">
        <v>1838.08</v>
      </c>
    </row>
    <row r="2460" spans="1:6" x14ac:dyDescent="0.2">
      <c r="A2460" s="1" t="s">
        <v>179</v>
      </c>
      <c r="B2460" s="1" t="s">
        <v>3148</v>
      </c>
      <c r="C2460" s="1" t="s">
        <v>101</v>
      </c>
      <c r="D2460" s="1" t="s">
        <v>101</v>
      </c>
      <c r="E2460" s="81">
        <v>0</v>
      </c>
      <c r="F2460" s="81">
        <v>0</v>
      </c>
    </row>
    <row r="2461" spans="1:6" x14ac:dyDescent="0.2">
      <c r="A2461" s="1" t="s">
        <v>179</v>
      </c>
      <c r="B2461" s="1" t="s">
        <v>3149</v>
      </c>
      <c r="C2461" s="1" t="s">
        <v>101</v>
      </c>
      <c r="D2461" s="1" t="s">
        <v>101</v>
      </c>
      <c r="E2461" s="81">
        <v>0</v>
      </c>
      <c r="F2461" s="81">
        <v>0</v>
      </c>
    </row>
    <row r="2462" spans="1:6" x14ac:dyDescent="0.2">
      <c r="A2462" s="1" t="s">
        <v>179</v>
      </c>
      <c r="B2462" s="1" t="s">
        <v>3150</v>
      </c>
      <c r="C2462" s="1" t="s">
        <v>101</v>
      </c>
      <c r="D2462" s="1" t="s">
        <v>101</v>
      </c>
      <c r="E2462" s="81">
        <v>0</v>
      </c>
      <c r="F2462" s="81">
        <v>0</v>
      </c>
    </row>
    <row r="2463" spans="1:6" x14ac:dyDescent="0.2">
      <c r="A2463" s="1" t="s">
        <v>179</v>
      </c>
      <c r="B2463" s="1" t="s">
        <v>3151</v>
      </c>
      <c r="C2463" s="1" t="s">
        <v>101</v>
      </c>
      <c r="D2463" s="1" t="s">
        <v>101</v>
      </c>
      <c r="E2463" s="81">
        <v>0</v>
      </c>
      <c r="F2463" s="81">
        <v>0</v>
      </c>
    </row>
    <row r="2464" spans="1:6" x14ac:dyDescent="0.2">
      <c r="A2464" s="1" t="s">
        <v>179</v>
      </c>
      <c r="B2464" s="1" t="s">
        <v>3152</v>
      </c>
      <c r="C2464" s="1" t="s">
        <v>101</v>
      </c>
      <c r="D2464" s="1" t="s">
        <v>101</v>
      </c>
      <c r="E2464" s="81">
        <v>0</v>
      </c>
      <c r="F2464" s="81">
        <v>0</v>
      </c>
    </row>
    <row r="2465" spans="1:6" x14ac:dyDescent="0.2">
      <c r="A2465" s="1" t="s">
        <v>179</v>
      </c>
      <c r="B2465" s="1" t="s">
        <v>3153</v>
      </c>
      <c r="C2465" s="1" t="s">
        <v>101</v>
      </c>
      <c r="D2465" s="1" t="s">
        <v>101</v>
      </c>
      <c r="E2465" s="81">
        <v>0</v>
      </c>
      <c r="F2465" s="81">
        <v>0</v>
      </c>
    </row>
    <row r="2466" spans="1:6" x14ac:dyDescent="0.2">
      <c r="A2466" s="1" t="s">
        <v>179</v>
      </c>
      <c r="B2466" s="1" t="s">
        <v>3154</v>
      </c>
      <c r="C2466" s="1" t="s">
        <v>101</v>
      </c>
      <c r="D2466" s="1" t="s">
        <v>101</v>
      </c>
      <c r="E2466" s="81">
        <v>0</v>
      </c>
      <c r="F2466" s="81">
        <v>0</v>
      </c>
    </row>
    <row r="2467" spans="1:6" x14ac:dyDescent="0.2">
      <c r="A2467" s="1" t="s">
        <v>179</v>
      </c>
      <c r="B2467" s="1" t="s">
        <v>3155</v>
      </c>
      <c r="C2467" s="1" t="s">
        <v>101</v>
      </c>
      <c r="D2467" s="1" t="s">
        <v>101</v>
      </c>
      <c r="E2467" s="81">
        <v>0</v>
      </c>
      <c r="F2467" s="81">
        <v>0</v>
      </c>
    </row>
    <row r="2468" spans="1:6" x14ac:dyDescent="0.2">
      <c r="A2468" s="1" t="s">
        <v>179</v>
      </c>
      <c r="B2468" s="1" t="s">
        <v>3156</v>
      </c>
      <c r="C2468" s="1" t="s">
        <v>101</v>
      </c>
      <c r="D2468" s="1" t="s">
        <v>101</v>
      </c>
      <c r="E2468" s="81">
        <v>0</v>
      </c>
      <c r="F2468" s="81">
        <v>0</v>
      </c>
    </row>
    <row r="2469" spans="1:6" x14ac:dyDescent="0.2">
      <c r="A2469" s="1" t="s">
        <v>179</v>
      </c>
      <c r="B2469" s="1" t="s">
        <v>3157</v>
      </c>
      <c r="C2469" s="1" t="s">
        <v>4134</v>
      </c>
      <c r="D2469" s="1" t="s">
        <v>4134</v>
      </c>
      <c r="E2469" s="81">
        <v>3141.49</v>
      </c>
      <c r="F2469" s="81">
        <v>3141.49</v>
      </c>
    </row>
    <row r="2470" spans="1:6" x14ac:dyDescent="0.2">
      <c r="A2470" s="1" t="s">
        <v>179</v>
      </c>
      <c r="B2470" s="1" t="s">
        <v>3158</v>
      </c>
      <c r="C2470" s="1" t="s">
        <v>4135</v>
      </c>
      <c r="D2470" s="1" t="s">
        <v>4135</v>
      </c>
      <c r="E2470" s="81">
        <v>483</v>
      </c>
      <c r="F2470" s="81">
        <v>483</v>
      </c>
    </row>
    <row r="2471" spans="1:6" x14ac:dyDescent="0.2">
      <c r="A2471" s="1" t="s">
        <v>179</v>
      </c>
      <c r="B2471" s="1" t="s">
        <v>3159</v>
      </c>
      <c r="C2471" s="1" t="s">
        <v>101</v>
      </c>
      <c r="D2471" s="1" t="s">
        <v>101</v>
      </c>
      <c r="E2471" s="81">
        <v>0</v>
      </c>
      <c r="F2471" s="81">
        <v>0</v>
      </c>
    </row>
    <row r="2472" spans="1:6" x14ac:dyDescent="0.2">
      <c r="A2472" s="1" t="s">
        <v>179</v>
      </c>
      <c r="B2472" s="1" t="s">
        <v>3160</v>
      </c>
      <c r="C2472" s="1" t="s">
        <v>4136</v>
      </c>
      <c r="D2472" s="1" t="s">
        <v>4136</v>
      </c>
      <c r="E2472" s="81">
        <v>1750</v>
      </c>
      <c r="F2472" s="81">
        <v>1750</v>
      </c>
    </row>
    <row r="2473" spans="1:6" x14ac:dyDescent="0.2">
      <c r="A2473" s="1" t="s">
        <v>179</v>
      </c>
      <c r="B2473" s="1" t="s">
        <v>3161</v>
      </c>
      <c r="C2473" s="1" t="s">
        <v>101</v>
      </c>
      <c r="D2473" s="1" t="s">
        <v>101</v>
      </c>
      <c r="E2473" s="81">
        <v>0</v>
      </c>
      <c r="F2473" s="81">
        <v>0</v>
      </c>
    </row>
    <row r="2474" spans="1:6" x14ac:dyDescent="0.2">
      <c r="A2474" s="1" t="s">
        <v>179</v>
      </c>
      <c r="B2474" s="1" t="s">
        <v>3162</v>
      </c>
      <c r="C2474" s="1" t="s">
        <v>101</v>
      </c>
      <c r="D2474" s="1" t="s">
        <v>101</v>
      </c>
      <c r="E2474" s="81">
        <v>0</v>
      </c>
      <c r="F2474" s="81">
        <v>0</v>
      </c>
    </row>
    <row r="2475" spans="1:6" x14ac:dyDescent="0.2">
      <c r="A2475" s="1" t="s">
        <v>179</v>
      </c>
      <c r="B2475" s="1" t="s">
        <v>3163</v>
      </c>
      <c r="C2475" s="1" t="s">
        <v>101</v>
      </c>
      <c r="D2475" s="1" t="s">
        <v>101</v>
      </c>
      <c r="E2475" s="81">
        <v>0</v>
      </c>
      <c r="F2475" s="81">
        <v>0</v>
      </c>
    </row>
    <row r="2476" spans="1:6" x14ac:dyDescent="0.2">
      <c r="A2476" s="1" t="s">
        <v>179</v>
      </c>
      <c r="B2476" s="1" t="s">
        <v>3164</v>
      </c>
      <c r="C2476" s="1" t="s">
        <v>101</v>
      </c>
      <c r="D2476" s="1" t="s">
        <v>101</v>
      </c>
      <c r="E2476" s="81">
        <v>0</v>
      </c>
      <c r="F2476" s="81">
        <v>0</v>
      </c>
    </row>
    <row r="2477" spans="1:6" x14ac:dyDescent="0.2">
      <c r="A2477" s="1" t="s">
        <v>179</v>
      </c>
      <c r="B2477" s="1" t="s">
        <v>3165</v>
      </c>
      <c r="C2477" s="1" t="s">
        <v>101</v>
      </c>
      <c r="D2477" s="1" t="s">
        <v>101</v>
      </c>
      <c r="E2477" s="81">
        <v>0</v>
      </c>
      <c r="F2477" s="81">
        <v>0</v>
      </c>
    </row>
    <row r="2478" spans="1:6" x14ac:dyDescent="0.2">
      <c r="A2478" s="1" t="s">
        <v>179</v>
      </c>
      <c r="B2478" s="1" t="s">
        <v>3166</v>
      </c>
      <c r="C2478" s="1" t="s">
        <v>101</v>
      </c>
      <c r="D2478" s="1" t="s">
        <v>101</v>
      </c>
      <c r="E2478" s="81">
        <v>0</v>
      </c>
      <c r="F2478" s="81">
        <v>0</v>
      </c>
    </row>
    <row r="2479" spans="1:6" x14ac:dyDescent="0.2">
      <c r="A2479" s="1" t="s">
        <v>179</v>
      </c>
      <c r="B2479" s="1" t="s">
        <v>3167</v>
      </c>
      <c r="C2479" s="1" t="s">
        <v>101</v>
      </c>
      <c r="D2479" s="1" t="s">
        <v>101</v>
      </c>
      <c r="E2479" s="81">
        <v>0</v>
      </c>
      <c r="F2479" s="81">
        <v>0</v>
      </c>
    </row>
    <row r="2480" spans="1:6" x14ac:dyDescent="0.2">
      <c r="A2480" s="1" t="s">
        <v>179</v>
      </c>
      <c r="B2480" s="1" t="s">
        <v>3168</v>
      </c>
      <c r="C2480" s="1" t="s">
        <v>101</v>
      </c>
      <c r="D2480" s="1" t="s">
        <v>101</v>
      </c>
      <c r="E2480" s="81">
        <v>0</v>
      </c>
      <c r="F2480" s="81">
        <v>0</v>
      </c>
    </row>
    <row r="2481" spans="1:6" x14ac:dyDescent="0.2">
      <c r="A2481" s="1" t="s">
        <v>179</v>
      </c>
      <c r="B2481" s="1" t="s">
        <v>3169</v>
      </c>
      <c r="C2481" s="1" t="s">
        <v>101</v>
      </c>
      <c r="D2481" s="1" t="s">
        <v>101</v>
      </c>
      <c r="E2481" s="81">
        <v>0</v>
      </c>
      <c r="F2481" s="81">
        <v>0</v>
      </c>
    </row>
    <row r="2482" spans="1:6" x14ac:dyDescent="0.2">
      <c r="A2482" s="1" t="s">
        <v>179</v>
      </c>
      <c r="B2482" s="1" t="s">
        <v>3170</v>
      </c>
      <c r="C2482" s="1" t="s">
        <v>4137</v>
      </c>
      <c r="D2482" s="1" t="s">
        <v>4137</v>
      </c>
      <c r="E2482" s="81">
        <v>322.5</v>
      </c>
      <c r="F2482" s="81">
        <v>322.5</v>
      </c>
    </row>
    <row r="2483" spans="1:6" x14ac:dyDescent="0.2">
      <c r="A2483" s="1" t="s">
        <v>179</v>
      </c>
      <c r="B2483" s="1" t="s">
        <v>3171</v>
      </c>
      <c r="C2483" s="1" t="s">
        <v>4138</v>
      </c>
      <c r="D2483" s="1" t="s">
        <v>4138</v>
      </c>
      <c r="E2483" s="81">
        <v>500</v>
      </c>
      <c r="F2483" s="81">
        <v>500</v>
      </c>
    </row>
    <row r="2484" spans="1:6" x14ac:dyDescent="0.2">
      <c r="A2484" s="1" t="s">
        <v>179</v>
      </c>
      <c r="B2484" s="1" t="s">
        <v>3172</v>
      </c>
      <c r="C2484" s="1" t="s">
        <v>4139</v>
      </c>
      <c r="D2484" s="1" t="s">
        <v>4139</v>
      </c>
      <c r="E2484" s="81">
        <v>91</v>
      </c>
      <c r="F2484" s="81">
        <v>91</v>
      </c>
    </row>
    <row r="2485" spans="1:6" x14ac:dyDescent="0.2">
      <c r="A2485" s="1" t="s">
        <v>179</v>
      </c>
      <c r="B2485" s="1" t="s">
        <v>3173</v>
      </c>
      <c r="C2485" s="1" t="s">
        <v>101</v>
      </c>
      <c r="D2485" s="1" t="s">
        <v>101</v>
      </c>
      <c r="E2485" s="81">
        <v>0</v>
      </c>
      <c r="F2485" s="81">
        <v>0</v>
      </c>
    </row>
    <row r="2486" spans="1:6" x14ac:dyDescent="0.2">
      <c r="A2486" s="1" t="s">
        <v>179</v>
      </c>
      <c r="B2486" s="1" t="s">
        <v>3174</v>
      </c>
      <c r="C2486" s="1" t="s">
        <v>101</v>
      </c>
      <c r="D2486" s="1" t="s">
        <v>101</v>
      </c>
      <c r="E2486" s="81">
        <v>0</v>
      </c>
      <c r="F2486" s="81">
        <v>0</v>
      </c>
    </row>
    <row r="2487" spans="1:6" x14ac:dyDescent="0.2">
      <c r="A2487" s="1" t="s">
        <v>179</v>
      </c>
      <c r="B2487" s="1" t="s">
        <v>3175</v>
      </c>
      <c r="C2487" s="1" t="s">
        <v>101</v>
      </c>
      <c r="D2487" s="1" t="s">
        <v>101</v>
      </c>
      <c r="E2487" s="81">
        <v>0</v>
      </c>
      <c r="F2487" s="81">
        <v>0</v>
      </c>
    </row>
    <row r="2488" spans="1:6" x14ac:dyDescent="0.2">
      <c r="A2488" s="1" t="s">
        <v>179</v>
      </c>
      <c r="B2488" s="1" t="s">
        <v>3176</v>
      </c>
      <c r="C2488" s="1" t="s">
        <v>101</v>
      </c>
      <c r="D2488" s="1" t="s">
        <v>101</v>
      </c>
      <c r="E2488" s="81">
        <v>0</v>
      </c>
      <c r="F2488" s="81">
        <v>0</v>
      </c>
    </row>
    <row r="2489" spans="1:6" x14ac:dyDescent="0.2">
      <c r="A2489" s="1" t="s">
        <v>179</v>
      </c>
      <c r="B2489" s="1" t="s">
        <v>3177</v>
      </c>
      <c r="C2489" s="1" t="s">
        <v>101</v>
      </c>
      <c r="D2489" s="1" t="s">
        <v>101</v>
      </c>
      <c r="E2489" s="81">
        <v>0</v>
      </c>
      <c r="F2489" s="81">
        <v>0</v>
      </c>
    </row>
    <row r="2490" spans="1:6" x14ac:dyDescent="0.2">
      <c r="A2490" s="1" t="s">
        <v>179</v>
      </c>
      <c r="B2490" s="1" t="s">
        <v>3178</v>
      </c>
      <c r="C2490" s="1" t="s">
        <v>101</v>
      </c>
      <c r="D2490" s="1" t="s">
        <v>101</v>
      </c>
      <c r="E2490" s="81">
        <v>0</v>
      </c>
      <c r="F2490" s="81">
        <v>0</v>
      </c>
    </row>
    <row r="2491" spans="1:6" x14ac:dyDescent="0.2">
      <c r="A2491" s="1" t="s">
        <v>179</v>
      </c>
      <c r="B2491" s="1" t="s">
        <v>3179</v>
      </c>
      <c r="C2491" s="1" t="s">
        <v>101</v>
      </c>
      <c r="D2491" s="1" t="s">
        <v>101</v>
      </c>
      <c r="E2491" s="81">
        <v>0</v>
      </c>
      <c r="F2491" s="81">
        <v>0</v>
      </c>
    </row>
    <row r="2492" spans="1:6" x14ac:dyDescent="0.2">
      <c r="A2492" s="1" t="s">
        <v>179</v>
      </c>
      <c r="B2492" s="1" t="s">
        <v>3180</v>
      </c>
      <c r="C2492" s="1" t="s">
        <v>101</v>
      </c>
      <c r="D2492" s="1" t="s">
        <v>101</v>
      </c>
      <c r="E2492" s="81">
        <v>0</v>
      </c>
      <c r="F2492" s="81">
        <v>0</v>
      </c>
    </row>
    <row r="2493" spans="1:6" x14ac:dyDescent="0.2">
      <c r="A2493" s="1" t="s">
        <v>179</v>
      </c>
      <c r="B2493" s="1" t="s">
        <v>3181</v>
      </c>
      <c r="C2493" s="1" t="s">
        <v>101</v>
      </c>
      <c r="D2493" s="1" t="s">
        <v>101</v>
      </c>
      <c r="E2493" s="81">
        <v>0</v>
      </c>
      <c r="F2493" s="81">
        <v>0</v>
      </c>
    </row>
    <row r="2494" spans="1:6" x14ac:dyDescent="0.2">
      <c r="A2494" s="1" t="s">
        <v>179</v>
      </c>
      <c r="B2494" s="1" t="s">
        <v>3182</v>
      </c>
      <c r="C2494" s="1" t="s">
        <v>101</v>
      </c>
      <c r="D2494" s="1" t="s">
        <v>101</v>
      </c>
      <c r="E2494" s="81">
        <v>0</v>
      </c>
      <c r="F2494" s="81">
        <v>0</v>
      </c>
    </row>
    <row r="2495" spans="1:6" x14ac:dyDescent="0.2">
      <c r="A2495" s="1" t="s">
        <v>179</v>
      </c>
      <c r="B2495" s="1" t="s">
        <v>3183</v>
      </c>
      <c r="C2495" s="1" t="s">
        <v>101</v>
      </c>
      <c r="D2495" s="1" t="s">
        <v>101</v>
      </c>
      <c r="E2495" s="81">
        <v>0</v>
      </c>
      <c r="F2495" s="81">
        <v>0</v>
      </c>
    </row>
    <row r="2496" spans="1:6" x14ac:dyDescent="0.2">
      <c r="A2496" s="1" t="s">
        <v>179</v>
      </c>
      <c r="B2496" s="1" t="s">
        <v>3184</v>
      </c>
      <c r="C2496" s="1" t="s">
        <v>101</v>
      </c>
      <c r="D2496" s="1" t="s">
        <v>101</v>
      </c>
      <c r="E2496" s="81">
        <v>0</v>
      </c>
      <c r="F2496" s="81">
        <v>0</v>
      </c>
    </row>
    <row r="2497" spans="1:6" x14ac:dyDescent="0.2">
      <c r="A2497" s="1" t="s">
        <v>179</v>
      </c>
      <c r="B2497" s="1" t="s">
        <v>3185</v>
      </c>
      <c r="C2497" s="1" t="s">
        <v>101</v>
      </c>
      <c r="D2497" s="1" t="s">
        <v>101</v>
      </c>
      <c r="E2497" s="81">
        <v>0</v>
      </c>
      <c r="F2497" s="81">
        <v>0</v>
      </c>
    </row>
    <row r="2498" spans="1:6" x14ac:dyDescent="0.2">
      <c r="A2498" s="1" t="s">
        <v>179</v>
      </c>
      <c r="B2498" s="1" t="s">
        <v>3186</v>
      </c>
      <c r="C2498" s="1" t="s">
        <v>101</v>
      </c>
      <c r="D2498" s="1" t="s">
        <v>101</v>
      </c>
      <c r="E2498" s="81">
        <v>0</v>
      </c>
      <c r="F2498" s="81">
        <v>0</v>
      </c>
    </row>
    <row r="2499" spans="1:6" x14ac:dyDescent="0.2">
      <c r="A2499" s="1" t="s">
        <v>179</v>
      </c>
      <c r="B2499" s="1" t="s">
        <v>3187</v>
      </c>
      <c r="C2499" s="1" t="s">
        <v>101</v>
      </c>
      <c r="D2499" s="1" t="s">
        <v>101</v>
      </c>
      <c r="E2499" s="81">
        <v>0</v>
      </c>
      <c r="F2499" s="81">
        <v>0</v>
      </c>
    </row>
    <row r="2500" spans="1:6" x14ac:dyDescent="0.2">
      <c r="A2500" s="1" t="s">
        <v>179</v>
      </c>
      <c r="B2500" s="1" t="s">
        <v>3188</v>
      </c>
      <c r="C2500" s="1" t="s">
        <v>101</v>
      </c>
      <c r="D2500" s="1" t="s">
        <v>101</v>
      </c>
      <c r="E2500" s="81">
        <v>0</v>
      </c>
      <c r="F2500" s="81">
        <v>0</v>
      </c>
    </row>
    <row r="2501" spans="1:6" x14ac:dyDescent="0.2">
      <c r="A2501" s="1" t="s">
        <v>179</v>
      </c>
      <c r="B2501" s="1" t="s">
        <v>3189</v>
      </c>
      <c r="C2501" s="1" t="s">
        <v>101</v>
      </c>
      <c r="D2501" s="1" t="s">
        <v>101</v>
      </c>
      <c r="E2501" s="81">
        <v>0</v>
      </c>
      <c r="F2501" s="81">
        <v>0</v>
      </c>
    </row>
    <row r="2502" spans="1:6" x14ac:dyDescent="0.2">
      <c r="A2502" s="1" t="s">
        <v>179</v>
      </c>
      <c r="B2502" s="1" t="s">
        <v>3190</v>
      </c>
      <c r="C2502" s="1" t="s">
        <v>101</v>
      </c>
      <c r="D2502" s="1" t="s">
        <v>101</v>
      </c>
      <c r="E2502" s="81">
        <v>0</v>
      </c>
      <c r="F2502" s="81">
        <v>0</v>
      </c>
    </row>
    <row r="2503" spans="1:6" x14ac:dyDescent="0.2">
      <c r="A2503" s="1" t="s">
        <v>179</v>
      </c>
      <c r="B2503" s="1" t="s">
        <v>3191</v>
      </c>
      <c r="C2503" s="1" t="s">
        <v>101</v>
      </c>
      <c r="D2503" s="1" t="s">
        <v>101</v>
      </c>
      <c r="E2503" s="81">
        <v>0</v>
      </c>
      <c r="F2503" s="81">
        <v>0</v>
      </c>
    </row>
    <row r="2504" spans="1:6" x14ac:dyDescent="0.2">
      <c r="A2504" s="1" t="s">
        <v>179</v>
      </c>
      <c r="B2504" s="1" t="s">
        <v>3192</v>
      </c>
      <c r="C2504" s="1" t="s">
        <v>101</v>
      </c>
      <c r="D2504" s="1" t="s">
        <v>101</v>
      </c>
      <c r="E2504" s="81">
        <v>0</v>
      </c>
      <c r="F2504" s="81">
        <v>0</v>
      </c>
    </row>
    <row r="2505" spans="1:6" x14ac:dyDescent="0.2">
      <c r="A2505" s="1" t="s">
        <v>179</v>
      </c>
      <c r="B2505" s="1" t="s">
        <v>3193</v>
      </c>
      <c r="C2505" s="1" t="s">
        <v>101</v>
      </c>
      <c r="D2505" s="1" t="s">
        <v>101</v>
      </c>
      <c r="E2505" s="81">
        <v>0</v>
      </c>
      <c r="F2505" s="81">
        <v>0</v>
      </c>
    </row>
    <row r="2506" spans="1:6" x14ac:dyDescent="0.2">
      <c r="A2506" s="1" t="s">
        <v>179</v>
      </c>
      <c r="B2506" s="1" t="s">
        <v>3194</v>
      </c>
      <c r="C2506" s="1" t="s">
        <v>4131</v>
      </c>
      <c r="D2506" s="1" t="s">
        <v>4131</v>
      </c>
      <c r="E2506" s="81">
        <v>804.27</v>
      </c>
      <c r="F2506" s="81">
        <v>804.27</v>
      </c>
    </row>
    <row r="2507" spans="1:6" x14ac:dyDescent="0.2">
      <c r="A2507" s="1" t="s">
        <v>179</v>
      </c>
      <c r="B2507" s="1" t="s">
        <v>3195</v>
      </c>
      <c r="C2507" s="1" t="s">
        <v>4132</v>
      </c>
      <c r="D2507" s="1" t="s">
        <v>4132</v>
      </c>
      <c r="E2507" s="81">
        <v>499.14</v>
      </c>
      <c r="F2507" s="81">
        <v>499.14</v>
      </c>
    </row>
    <row r="2508" spans="1:6" x14ac:dyDescent="0.2">
      <c r="A2508" s="1" t="s">
        <v>179</v>
      </c>
      <c r="B2508" s="1" t="s">
        <v>3196</v>
      </c>
      <c r="C2508" s="1" t="s">
        <v>4133</v>
      </c>
      <c r="D2508" s="1" t="s">
        <v>4133</v>
      </c>
      <c r="E2508" s="81">
        <v>1838.08</v>
      </c>
      <c r="F2508" s="81">
        <v>1838.08</v>
      </c>
    </row>
    <row r="2509" spans="1:6" x14ac:dyDescent="0.2">
      <c r="A2509" s="1" t="s">
        <v>179</v>
      </c>
      <c r="B2509" s="1" t="s">
        <v>3197</v>
      </c>
      <c r="C2509" s="1" t="s">
        <v>101</v>
      </c>
      <c r="D2509" s="1" t="s">
        <v>101</v>
      </c>
      <c r="E2509" s="81">
        <v>0</v>
      </c>
      <c r="F2509" s="81">
        <v>0</v>
      </c>
    </row>
    <row r="2510" spans="1:6" x14ac:dyDescent="0.2">
      <c r="A2510" s="1" t="s">
        <v>179</v>
      </c>
      <c r="B2510" s="1" t="s">
        <v>3198</v>
      </c>
      <c r="C2510" s="1" t="s">
        <v>101</v>
      </c>
      <c r="D2510" s="1" t="s">
        <v>101</v>
      </c>
      <c r="E2510" s="81">
        <v>0</v>
      </c>
      <c r="F2510" s="81">
        <v>0</v>
      </c>
    </row>
    <row r="2511" spans="1:6" x14ac:dyDescent="0.2">
      <c r="A2511" s="1" t="s">
        <v>179</v>
      </c>
      <c r="B2511" s="1" t="s">
        <v>3199</v>
      </c>
      <c r="C2511" s="1" t="s">
        <v>101</v>
      </c>
      <c r="D2511" s="1" t="s">
        <v>101</v>
      </c>
      <c r="E2511" s="81">
        <v>0</v>
      </c>
      <c r="F2511" s="81">
        <v>0</v>
      </c>
    </row>
    <row r="2512" spans="1:6" x14ac:dyDescent="0.2">
      <c r="A2512" s="1" t="s">
        <v>179</v>
      </c>
      <c r="B2512" s="1" t="s">
        <v>3200</v>
      </c>
      <c r="C2512" s="1" t="s">
        <v>101</v>
      </c>
      <c r="D2512" s="1" t="s">
        <v>101</v>
      </c>
      <c r="E2512" s="81">
        <v>0</v>
      </c>
      <c r="F2512" s="81">
        <v>0</v>
      </c>
    </row>
    <row r="2513" spans="1:6" x14ac:dyDescent="0.2">
      <c r="A2513" s="1" t="s">
        <v>179</v>
      </c>
      <c r="B2513" s="1" t="s">
        <v>3201</v>
      </c>
      <c r="C2513" s="1" t="s">
        <v>101</v>
      </c>
      <c r="D2513" s="1" t="s">
        <v>101</v>
      </c>
      <c r="E2513" s="81">
        <v>0</v>
      </c>
      <c r="F2513" s="81">
        <v>0</v>
      </c>
    </row>
    <row r="2514" spans="1:6" x14ac:dyDescent="0.2">
      <c r="A2514" s="1" t="s">
        <v>179</v>
      </c>
      <c r="B2514" s="1" t="s">
        <v>3202</v>
      </c>
      <c r="C2514" s="1" t="s">
        <v>101</v>
      </c>
      <c r="D2514" s="1" t="s">
        <v>101</v>
      </c>
      <c r="E2514" s="81">
        <v>0</v>
      </c>
      <c r="F2514" s="81">
        <v>0</v>
      </c>
    </row>
    <row r="2515" spans="1:6" x14ac:dyDescent="0.2">
      <c r="A2515" s="1" t="s">
        <v>179</v>
      </c>
      <c r="B2515" s="1" t="s">
        <v>3203</v>
      </c>
      <c r="C2515" s="1" t="s">
        <v>101</v>
      </c>
      <c r="D2515" s="1" t="s">
        <v>101</v>
      </c>
      <c r="E2515" s="81">
        <v>0</v>
      </c>
      <c r="F2515" s="81">
        <v>0</v>
      </c>
    </row>
    <row r="2516" spans="1:6" x14ac:dyDescent="0.2">
      <c r="A2516" s="1" t="s">
        <v>179</v>
      </c>
      <c r="B2516" s="1" t="s">
        <v>3204</v>
      </c>
      <c r="C2516" s="1" t="s">
        <v>101</v>
      </c>
      <c r="D2516" s="1" t="s">
        <v>101</v>
      </c>
      <c r="E2516" s="81">
        <v>0</v>
      </c>
      <c r="F2516" s="81">
        <v>0</v>
      </c>
    </row>
    <row r="2517" spans="1:6" x14ac:dyDescent="0.2">
      <c r="A2517" s="1" t="s">
        <v>179</v>
      </c>
      <c r="B2517" s="1" t="s">
        <v>3205</v>
      </c>
      <c r="C2517" s="1" t="s">
        <v>101</v>
      </c>
      <c r="D2517" s="1" t="s">
        <v>101</v>
      </c>
      <c r="E2517" s="81">
        <v>0</v>
      </c>
      <c r="F2517" s="81">
        <v>0</v>
      </c>
    </row>
    <row r="2518" spans="1:6" x14ac:dyDescent="0.2">
      <c r="A2518" s="1" t="s">
        <v>179</v>
      </c>
      <c r="B2518" s="1" t="s">
        <v>3206</v>
      </c>
      <c r="C2518" s="1" t="s">
        <v>4134</v>
      </c>
      <c r="D2518" s="1" t="s">
        <v>4134</v>
      </c>
      <c r="E2518" s="81">
        <v>3141.49</v>
      </c>
      <c r="F2518" s="81">
        <v>3141.49</v>
      </c>
    </row>
    <row r="2519" spans="1:6" x14ac:dyDescent="0.2">
      <c r="A2519" s="1" t="s">
        <v>179</v>
      </c>
      <c r="B2519" s="1" t="s">
        <v>3207</v>
      </c>
      <c r="C2519" s="1" t="s">
        <v>4140</v>
      </c>
      <c r="D2519" s="1" t="s">
        <v>4140</v>
      </c>
      <c r="E2519" s="81">
        <v>39.31</v>
      </c>
      <c r="F2519" s="81">
        <v>39.31</v>
      </c>
    </row>
    <row r="2520" spans="1:6" x14ac:dyDescent="0.2">
      <c r="A2520" s="1" t="s">
        <v>179</v>
      </c>
      <c r="B2520" s="1" t="s">
        <v>3208</v>
      </c>
      <c r="C2520" s="1" t="s">
        <v>4141</v>
      </c>
      <c r="D2520" s="1" t="s">
        <v>4141</v>
      </c>
      <c r="E2520" s="81">
        <v>38.79</v>
      </c>
      <c r="F2520" s="81">
        <v>38.79</v>
      </c>
    </row>
    <row r="2521" spans="1:6" x14ac:dyDescent="0.2">
      <c r="A2521" s="1" t="s">
        <v>179</v>
      </c>
      <c r="B2521" s="1" t="s">
        <v>3209</v>
      </c>
      <c r="C2521" s="1" t="s">
        <v>4142</v>
      </c>
      <c r="D2521" s="1" t="s">
        <v>4142</v>
      </c>
      <c r="E2521" s="81">
        <v>107.18</v>
      </c>
      <c r="F2521" s="81">
        <v>107.18</v>
      </c>
    </row>
    <row r="2522" spans="1:6" x14ac:dyDescent="0.2">
      <c r="A2522" s="1" t="s">
        <v>179</v>
      </c>
      <c r="B2522" s="1" t="s">
        <v>3210</v>
      </c>
      <c r="C2522" s="1" t="s">
        <v>101</v>
      </c>
      <c r="D2522" s="1" t="s">
        <v>101</v>
      </c>
      <c r="E2522" s="81">
        <v>0</v>
      </c>
      <c r="F2522" s="81">
        <v>0</v>
      </c>
    </row>
    <row r="2523" spans="1:6" x14ac:dyDescent="0.2">
      <c r="A2523" s="1" t="s">
        <v>179</v>
      </c>
      <c r="B2523" s="1" t="s">
        <v>3211</v>
      </c>
      <c r="C2523" s="1" t="s">
        <v>101</v>
      </c>
      <c r="D2523" s="1" t="s">
        <v>101</v>
      </c>
      <c r="E2523" s="81">
        <v>0</v>
      </c>
      <c r="F2523" s="81">
        <v>0</v>
      </c>
    </row>
    <row r="2524" spans="1:6" x14ac:dyDescent="0.2">
      <c r="A2524" s="1" t="s">
        <v>179</v>
      </c>
      <c r="B2524" s="1" t="s">
        <v>3212</v>
      </c>
      <c r="C2524" s="1" t="s">
        <v>101</v>
      </c>
      <c r="D2524" s="1" t="s">
        <v>101</v>
      </c>
      <c r="E2524" s="81">
        <v>0</v>
      </c>
      <c r="F2524" s="81">
        <v>0</v>
      </c>
    </row>
    <row r="2525" spans="1:6" x14ac:dyDescent="0.2">
      <c r="A2525" s="1" t="s">
        <v>179</v>
      </c>
      <c r="B2525" s="1" t="s">
        <v>3213</v>
      </c>
      <c r="C2525" s="1" t="s">
        <v>101</v>
      </c>
      <c r="D2525" s="1" t="s">
        <v>101</v>
      </c>
      <c r="E2525" s="81">
        <v>0</v>
      </c>
      <c r="F2525" s="81">
        <v>0</v>
      </c>
    </row>
    <row r="2526" spans="1:6" x14ac:dyDescent="0.2">
      <c r="A2526" s="1" t="s">
        <v>179</v>
      </c>
      <c r="B2526" s="1" t="s">
        <v>3214</v>
      </c>
      <c r="C2526" s="1" t="s">
        <v>101</v>
      </c>
      <c r="D2526" s="1" t="s">
        <v>101</v>
      </c>
      <c r="E2526" s="81">
        <v>0</v>
      </c>
      <c r="F2526" s="81">
        <v>0</v>
      </c>
    </row>
    <row r="2527" spans="1:6" x14ac:dyDescent="0.2">
      <c r="A2527" s="1" t="s">
        <v>179</v>
      </c>
      <c r="B2527" s="1" t="s">
        <v>3215</v>
      </c>
      <c r="C2527" s="1" t="s">
        <v>101</v>
      </c>
      <c r="D2527" s="1" t="s">
        <v>101</v>
      </c>
      <c r="E2527" s="81">
        <v>0</v>
      </c>
      <c r="F2527" s="81">
        <v>0</v>
      </c>
    </row>
    <row r="2528" spans="1:6" x14ac:dyDescent="0.2">
      <c r="A2528" s="1" t="s">
        <v>179</v>
      </c>
      <c r="B2528" s="1" t="s">
        <v>3216</v>
      </c>
      <c r="C2528" s="1" t="s">
        <v>101</v>
      </c>
      <c r="D2528" s="1" t="s">
        <v>101</v>
      </c>
      <c r="E2528" s="81">
        <v>0</v>
      </c>
      <c r="F2528" s="81">
        <v>0</v>
      </c>
    </row>
    <row r="2529" spans="1:6" x14ac:dyDescent="0.2">
      <c r="A2529" s="1" t="s">
        <v>179</v>
      </c>
      <c r="B2529" s="1" t="s">
        <v>3217</v>
      </c>
      <c r="C2529" s="1" t="s">
        <v>101</v>
      </c>
      <c r="D2529" s="1" t="s">
        <v>101</v>
      </c>
      <c r="E2529" s="81">
        <v>0</v>
      </c>
      <c r="F2529" s="81">
        <v>0</v>
      </c>
    </row>
    <row r="2530" spans="1:6" x14ac:dyDescent="0.2">
      <c r="A2530" s="1" t="s">
        <v>179</v>
      </c>
      <c r="B2530" s="1" t="s">
        <v>3218</v>
      </c>
      <c r="C2530" s="1" t="s">
        <v>101</v>
      </c>
      <c r="D2530" s="1" t="s">
        <v>101</v>
      </c>
      <c r="E2530" s="81">
        <v>0</v>
      </c>
      <c r="F2530" s="81">
        <v>0</v>
      </c>
    </row>
    <row r="2531" spans="1:6" x14ac:dyDescent="0.2">
      <c r="A2531" s="1" t="s">
        <v>179</v>
      </c>
      <c r="B2531" s="1" t="s">
        <v>3219</v>
      </c>
      <c r="C2531" s="1" t="s">
        <v>4143</v>
      </c>
      <c r="D2531" s="1" t="s">
        <v>4143</v>
      </c>
      <c r="E2531" s="81">
        <v>185.28</v>
      </c>
      <c r="F2531" s="81">
        <v>185.28</v>
      </c>
    </row>
    <row r="2532" spans="1:6" x14ac:dyDescent="0.2">
      <c r="A2532" s="1" t="s">
        <v>179</v>
      </c>
      <c r="B2532" s="1" t="s">
        <v>3220</v>
      </c>
      <c r="C2532" s="1" t="s">
        <v>4144</v>
      </c>
      <c r="D2532" s="1" t="s">
        <v>4144</v>
      </c>
      <c r="E2532" s="81">
        <v>38.99</v>
      </c>
      <c r="F2532" s="81">
        <v>38.99</v>
      </c>
    </row>
    <row r="2533" spans="1:6" x14ac:dyDescent="0.2">
      <c r="A2533" s="1" t="s">
        <v>179</v>
      </c>
      <c r="B2533" s="1" t="s">
        <v>3221</v>
      </c>
      <c r="C2533" s="1" t="s">
        <v>4145</v>
      </c>
      <c r="D2533" s="1" t="s">
        <v>4145</v>
      </c>
      <c r="E2533" s="81">
        <v>36.78</v>
      </c>
      <c r="F2533" s="81">
        <v>36.78</v>
      </c>
    </row>
    <row r="2534" spans="1:6" x14ac:dyDescent="0.2">
      <c r="A2534" s="1" t="s">
        <v>179</v>
      </c>
      <c r="B2534" s="1" t="s">
        <v>3222</v>
      </c>
      <c r="C2534" s="1" t="s">
        <v>4146</v>
      </c>
      <c r="D2534" s="1" t="s">
        <v>4146</v>
      </c>
      <c r="E2534" s="81">
        <v>106.81</v>
      </c>
      <c r="F2534" s="81">
        <v>106.81</v>
      </c>
    </row>
    <row r="2535" spans="1:6" x14ac:dyDescent="0.2">
      <c r="A2535" s="1" t="s">
        <v>179</v>
      </c>
      <c r="B2535" s="1" t="s">
        <v>3223</v>
      </c>
      <c r="C2535" s="1" t="s">
        <v>101</v>
      </c>
      <c r="D2535" s="1" t="s">
        <v>101</v>
      </c>
      <c r="E2535" s="81">
        <v>0</v>
      </c>
      <c r="F2535" s="81">
        <v>0</v>
      </c>
    </row>
    <row r="2536" spans="1:6" x14ac:dyDescent="0.2">
      <c r="A2536" s="1" t="s">
        <v>179</v>
      </c>
      <c r="B2536" s="1" t="s">
        <v>3224</v>
      </c>
      <c r="C2536" s="1" t="s">
        <v>101</v>
      </c>
      <c r="D2536" s="1" t="s">
        <v>101</v>
      </c>
      <c r="E2536" s="81">
        <v>0</v>
      </c>
      <c r="F2536" s="81">
        <v>0</v>
      </c>
    </row>
    <row r="2537" spans="1:6" x14ac:dyDescent="0.2">
      <c r="A2537" s="1" t="s">
        <v>179</v>
      </c>
      <c r="B2537" s="1" t="s">
        <v>3225</v>
      </c>
      <c r="C2537" s="1" t="s">
        <v>101</v>
      </c>
      <c r="D2537" s="1" t="s">
        <v>101</v>
      </c>
      <c r="E2537" s="81">
        <v>0</v>
      </c>
      <c r="F2537" s="81">
        <v>0</v>
      </c>
    </row>
    <row r="2538" spans="1:6" x14ac:dyDescent="0.2">
      <c r="A2538" s="1" t="s">
        <v>179</v>
      </c>
      <c r="B2538" s="1" t="s">
        <v>3226</v>
      </c>
      <c r="C2538" s="1" t="s">
        <v>101</v>
      </c>
      <c r="D2538" s="1" t="s">
        <v>101</v>
      </c>
      <c r="E2538" s="81">
        <v>0</v>
      </c>
      <c r="F2538" s="81">
        <v>0</v>
      </c>
    </row>
    <row r="2539" spans="1:6" x14ac:dyDescent="0.2">
      <c r="A2539" s="1" t="s">
        <v>179</v>
      </c>
      <c r="B2539" s="1" t="s">
        <v>3227</v>
      </c>
      <c r="C2539" s="1" t="s">
        <v>101</v>
      </c>
      <c r="D2539" s="1" t="s">
        <v>101</v>
      </c>
      <c r="E2539" s="81">
        <v>0</v>
      </c>
      <c r="F2539" s="81">
        <v>0</v>
      </c>
    </row>
    <row r="2540" spans="1:6" x14ac:dyDescent="0.2">
      <c r="A2540" s="1" t="s">
        <v>179</v>
      </c>
      <c r="B2540" s="1" t="s">
        <v>3228</v>
      </c>
      <c r="C2540" s="1" t="s">
        <v>101</v>
      </c>
      <c r="D2540" s="1" t="s">
        <v>101</v>
      </c>
      <c r="E2540" s="81">
        <v>0</v>
      </c>
      <c r="F2540" s="81">
        <v>0</v>
      </c>
    </row>
    <row r="2541" spans="1:6" x14ac:dyDescent="0.2">
      <c r="A2541" s="1" t="s">
        <v>179</v>
      </c>
      <c r="B2541" s="1" t="s">
        <v>3229</v>
      </c>
      <c r="C2541" s="1" t="s">
        <v>101</v>
      </c>
      <c r="D2541" s="1" t="s">
        <v>101</v>
      </c>
      <c r="E2541" s="81">
        <v>0</v>
      </c>
      <c r="F2541" s="81">
        <v>0</v>
      </c>
    </row>
    <row r="2542" spans="1:6" x14ac:dyDescent="0.2">
      <c r="A2542" s="1" t="s">
        <v>179</v>
      </c>
      <c r="B2542" s="1" t="s">
        <v>3230</v>
      </c>
      <c r="C2542" s="1" t="s">
        <v>101</v>
      </c>
      <c r="D2542" s="1" t="s">
        <v>101</v>
      </c>
      <c r="E2542" s="81">
        <v>0</v>
      </c>
      <c r="F2542" s="81">
        <v>0</v>
      </c>
    </row>
    <row r="2543" spans="1:6" x14ac:dyDescent="0.2">
      <c r="A2543" s="1" t="s">
        <v>179</v>
      </c>
      <c r="B2543" s="1" t="s">
        <v>3231</v>
      </c>
      <c r="C2543" s="1" t="s">
        <v>101</v>
      </c>
      <c r="D2543" s="1" t="s">
        <v>101</v>
      </c>
      <c r="E2543" s="81">
        <v>0</v>
      </c>
      <c r="F2543" s="81">
        <v>0</v>
      </c>
    </row>
    <row r="2544" spans="1:6" x14ac:dyDescent="0.2">
      <c r="A2544" s="1" t="s">
        <v>179</v>
      </c>
      <c r="B2544" s="1" t="s">
        <v>3232</v>
      </c>
      <c r="C2544" s="1" t="s">
        <v>4147</v>
      </c>
      <c r="D2544" s="1" t="s">
        <v>4147</v>
      </c>
      <c r="E2544" s="81">
        <v>0.38</v>
      </c>
      <c r="F2544" s="81">
        <v>0.38</v>
      </c>
    </row>
    <row r="2545" spans="1:6" x14ac:dyDescent="0.2">
      <c r="A2545" s="1" t="s">
        <v>179</v>
      </c>
      <c r="B2545" s="1" t="s">
        <v>3233</v>
      </c>
      <c r="C2545" s="1" t="s">
        <v>4148</v>
      </c>
      <c r="D2545" s="1" t="s">
        <v>4148</v>
      </c>
      <c r="E2545" s="81">
        <v>2.08</v>
      </c>
      <c r="F2545" s="81">
        <v>2.08</v>
      </c>
    </row>
    <row r="2546" spans="1:6" x14ac:dyDescent="0.2">
      <c r="A2546" s="1" t="s">
        <v>179</v>
      </c>
      <c r="B2546" s="1" t="s">
        <v>3234</v>
      </c>
      <c r="C2546" s="1" t="s">
        <v>4149</v>
      </c>
      <c r="D2546" s="1" t="s">
        <v>4149</v>
      </c>
      <c r="E2546" s="81">
        <v>0.54</v>
      </c>
      <c r="F2546" s="81">
        <v>0.54</v>
      </c>
    </row>
    <row r="2547" spans="1:6" x14ac:dyDescent="0.2">
      <c r="A2547" s="1" t="s">
        <v>179</v>
      </c>
      <c r="B2547" s="1" t="s">
        <v>3235</v>
      </c>
      <c r="C2547" s="1" t="s">
        <v>101</v>
      </c>
      <c r="D2547" s="1" t="s">
        <v>101</v>
      </c>
      <c r="E2547" s="81">
        <v>0</v>
      </c>
      <c r="F2547" s="81">
        <v>0</v>
      </c>
    </row>
    <row r="2548" spans="1:6" x14ac:dyDescent="0.2">
      <c r="A2548" s="1" t="s">
        <v>179</v>
      </c>
      <c r="B2548" s="1" t="s">
        <v>3236</v>
      </c>
      <c r="C2548" s="1" t="s">
        <v>101</v>
      </c>
      <c r="D2548" s="1" t="s">
        <v>101</v>
      </c>
      <c r="E2548" s="81">
        <v>0</v>
      </c>
      <c r="F2548" s="81">
        <v>0</v>
      </c>
    </row>
    <row r="2549" spans="1:6" x14ac:dyDescent="0.2">
      <c r="A2549" s="1" t="s">
        <v>179</v>
      </c>
      <c r="B2549" s="1" t="s">
        <v>3237</v>
      </c>
      <c r="C2549" s="1" t="s">
        <v>101</v>
      </c>
      <c r="D2549" s="1" t="s">
        <v>101</v>
      </c>
      <c r="E2549" s="81">
        <v>0</v>
      </c>
      <c r="F2549" s="81">
        <v>0</v>
      </c>
    </row>
    <row r="2550" spans="1:6" x14ac:dyDescent="0.2">
      <c r="A2550" s="1" t="s">
        <v>179</v>
      </c>
      <c r="B2550" s="1" t="s">
        <v>3238</v>
      </c>
      <c r="C2550" s="1" t="s">
        <v>101</v>
      </c>
      <c r="D2550" s="1" t="s">
        <v>101</v>
      </c>
      <c r="E2550" s="81">
        <v>0</v>
      </c>
      <c r="F2550" s="81">
        <v>0</v>
      </c>
    </row>
    <row r="2551" spans="1:6" x14ac:dyDescent="0.2">
      <c r="A2551" s="1" t="s">
        <v>179</v>
      </c>
      <c r="B2551" s="1" t="s">
        <v>3239</v>
      </c>
      <c r="C2551" s="1" t="s">
        <v>101</v>
      </c>
      <c r="D2551" s="1" t="s">
        <v>101</v>
      </c>
      <c r="E2551" s="81">
        <v>0</v>
      </c>
      <c r="F2551" s="81">
        <v>0</v>
      </c>
    </row>
    <row r="2552" spans="1:6" x14ac:dyDescent="0.2">
      <c r="A2552" s="1" t="s">
        <v>179</v>
      </c>
      <c r="B2552" s="1" t="s">
        <v>3240</v>
      </c>
      <c r="C2552" s="1" t="s">
        <v>101</v>
      </c>
      <c r="D2552" s="1" t="s">
        <v>101</v>
      </c>
      <c r="E2552" s="81">
        <v>0</v>
      </c>
      <c r="F2552" s="81">
        <v>0</v>
      </c>
    </row>
    <row r="2553" spans="1:6" x14ac:dyDescent="0.2">
      <c r="A2553" s="1" t="s">
        <v>179</v>
      </c>
      <c r="B2553" s="1" t="s">
        <v>3241</v>
      </c>
      <c r="C2553" s="1" t="s">
        <v>101</v>
      </c>
      <c r="D2553" s="1" t="s">
        <v>101</v>
      </c>
      <c r="E2553" s="81">
        <v>0</v>
      </c>
      <c r="F2553" s="81">
        <v>0</v>
      </c>
    </row>
    <row r="2554" spans="1:6" x14ac:dyDescent="0.2">
      <c r="A2554" s="1" t="s">
        <v>179</v>
      </c>
      <c r="B2554" s="1" t="s">
        <v>3242</v>
      </c>
      <c r="C2554" s="1" t="s">
        <v>101</v>
      </c>
      <c r="D2554" s="1" t="s">
        <v>101</v>
      </c>
      <c r="E2554" s="81">
        <v>0</v>
      </c>
      <c r="F2554" s="81">
        <v>0</v>
      </c>
    </row>
    <row r="2555" spans="1:6" x14ac:dyDescent="0.2">
      <c r="A2555" s="1" t="s">
        <v>179</v>
      </c>
      <c r="B2555" s="1" t="s">
        <v>3243</v>
      </c>
      <c r="C2555" s="1" t="s">
        <v>101</v>
      </c>
      <c r="D2555" s="1" t="s">
        <v>101</v>
      </c>
      <c r="E2555" s="81">
        <v>0</v>
      </c>
      <c r="F2555" s="81">
        <v>0</v>
      </c>
    </row>
    <row r="2556" spans="1:6" x14ac:dyDescent="0.2">
      <c r="A2556" s="1" t="s">
        <v>179</v>
      </c>
      <c r="B2556" s="1" t="s">
        <v>3244</v>
      </c>
      <c r="C2556" s="1" t="s">
        <v>101</v>
      </c>
      <c r="D2556" s="1" t="s">
        <v>101</v>
      </c>
      <c r="E2556" s="81">
        <v>0</v>
      </c>
      <c r="F2556" s="81">
        <v>0</v>
      </c>
    </row>
    <row r="2557" spans="1:6" x14ac:dyDescent="0.2">
      <c r="A2557" s="1" t="s">
        <v>179</v>
      </c>
      <c r="B2557" s="1" t="s">
        <v>3245</v>
      </c>
      <c r="C2557" s="1" t="s">
        <v>101</v>
      </c>
      <c r="D2557" s="1" t="s">
        <v>101</v>
      </c>
      <c r="E2557" s="81">
        <v>0</v>
      </c>
      <c r="F2557" s="81">
        <v>0</v>
      </c>
    </row>
    <row r="2558" spans="1:6" x14ac:dyDescent="0.2">
      <c r="A2558" s="1" t="s">
        <v>179</v>
      </c>
      <c r="B2558" s="1" t="s">
        <v>3246</v>
      </c>
      <c r="C2558" s="1" t="s">
        <v>101</v>
      </c>
      <c r="D2558" s="1" t="s">
        <v>101</v>
      </c>
      <c r="E2558" s="81">
        <v>0</v>
      </c>
      <c r="F2558" s="81">
        <v>0</v>
      </c>
    </row>
    <row r="2559" spans="1:6" x14ac:dyDescent="0.2">
      <c r="A2559" s="1" t="s">
        <v>179</v>
      </c>
      <c r="B2559" s="1" t="s">
        <v>3247</v>
      </c>
      <c r="C2559" s="1" t="s">
        <v>101</v>
      </c>
      <c r="D2559" s="1" t="s">
        <v>101</v>
      </c>
      <c r="E2559" s="81">
        <v>0</v>
      </c>
      <c r="F2559" s="81">
        <v>0</v>
      </c>
    </row>
    <row r="2560" spans="1:6" x14ac:dyDescent="0.2">
      <c r="A2560" s="1" t="s">
        <v>179</v>
      </c>
      <c r="B2560" s="1" t="s">
        <v>3248</v>
      </c>
      <c r="C2560" s="1" t="s">
        <v>101</v>
      </c>
      <c r="D2560" s="1" t="s">
        <v>101</v>
      </c>
      <c r="E2560" s="81">
        <v>0</v>
      </c>
      <c r="F2560" s="81">
        <v>0</v>
      </c>
    </row>
    <row r="2561" spans="1:6" x14ac:dyDescent="0.2">
      <c r="A2561" s="1" t="s">
        <v>179</v>
      </c>
      <c r="B2561" s="1" t="s">
        <v>3249</v>
      </c>
      <c r="C2561" s="1" t="s">
        <v>101</v>
      </c>
      <c r="D2561" s="1" t="s">
        <v>101</v>
      </c>
      <c r="E2561" s="81">
        <v>0</v>
      </c>
      <c r="F2561" s="81">
        <v>0</v>
      </c>
    </row>
    <row r="2562" spans="1:6" x14ac:dyDescent="0.2">
      <c r="A2562" s="1" t="s">
        <v>179</v>
      </c>
      <c r="B2562" s="1" t="s">
        <v>3250</v>
      </c>
      <c r="C2562" s="1" t="s">
        <v>101</v>
      </c>
      <c r="D2562" s="1" t="s">
        <v>101</v>
      </c>
      <c r="E2562" s="81">
        <v>0</v>
      </c>
      <c r="F2562" s="81">
        <v>0</v>
      </c>
    </row>
    <row r="2563" spans="1:6" x14ac:dyDescent="0.2">
      <c r="A2563" s="1" t="s">
        <v>179</v>
      </c>
      <c r="B2563" s="1" t="s">
        <v>3251</v>
      </c>
      <c r="C2563" s="1" t="s">
        <v>101</v>
      </c>
      <c r="D2563" s="1" t="s">
        <v>101</v>
      </c>
      <c r="E2563" s="81">
        <v>0</v>
      </c>
      <c r="F2563" s="81">
        <v>0</v>
      </c>
    </row>
    <row r="2564" spans="1:6" x14ac:dyDescent="0.2">
      <c r="A2564" s="1" t="s">
        <v>179</v>
      </c>
      <c r="B2564" s="1" t="s">
        <v>3252</v>
      </c>
      <c r="C2564" s="1" t="s">
        <v>101</v>
      </c>
      <c r="D2564" s="1" t="s">
        <v>101</v>
      </c>
      <c r="E2564" s="81">
        <v>0</v>
      </c>
      <c r="F2564" s="81">
        <v>0</v>
      </c>
    </row>
    <row r="2565" spans="1:6" x14ac:dyDescent="0.2">
      <c r="A2565" s="1" t="s">
        <v>179</v>
      </c>
      <c r="B2565" s="1" t="s">
        <v>3253</v>
      </c>
      <c r="C2565" s="1" t="s">
        <v>101</v>
      </c>
      <c r="D2565" s="1" t="s">
        <v>101</v>
      </c>
      <c r="E2565" s="81">
        <v>0</v>
      </c>
      <c r="F2565" s="81">
        <v>0</v>
      </c>
    </row>
    <row r="2566" spans="1:6" x14ac:dyDescent="0.2">
      <c r="A2566" s="1" t="s">
        <v>179</v>
      </c>
      <c r="B2566" s="1" t="s">
        <v>3254</v>
      </c>
      <c r="C2566" s="1" t="s">
        <v>101</v>
      </c>
      <c r="D2566" s="1" t="s">
        <v>101</v>
      </c>
      <c r="E2566" s="81">
        <v>0</v>
      </c>
      <c r="F2566" s="81">
        <v>0</v>
      </c>
    </row>
    <row r="2567" spans="1:6" x14ac:dyDescent="0.2">
      <c r="A2567" s="1" t="s">
        <v>179</v>
      </c>
      <c r="B2567" s="1" t="s">
        <v>3255</v>
      </c>
      <c r="C2567" s="1" t="s">
        <v>101</v>
      </c>
      <c r="D2567" s="1" t="s">
        <v>101</v>
      </c>
      <c r="E2567" s="81">
        <v>0</v>
      </c>
      <c r="F2567" s="81">
        <v>0</v>
      </c>
    </row>
    <row r="2568" spans="1:6" x14ac:dyDescent="0.2">
      <c r="A2568" s="1" t="s">
        <v>179</v>
      </c>
      <c r="B2568" s="1" t="s">
        <v>3256</v>
      </c>
      <c r="C2568" s="1" t="s">
        <v>4140</v>
      </c>
      <c r="D2568" s="1" t="s">
        <v>4140</v>
      </c>
      <c r="E2568" s="81">
        <v>39.31</v>
      </c>
      <c r="F2568" s="81">
        <v>39.31</v>
      </c>
    </row>
    <row r="2569" spans="1:6" x14ac:dyDescent="0.2">
      <c r="A2569" s="1" t="s">
        <v>179</v>
      </c>
      <c r="B2569" s="1" t="s">
        <v>3257</v>
      </c>
      <c r="C2569" s="1" t="s">
        <v>4141</v>
      </c>
      <c r="D2569" s="1" t="s">
        <v>4141</v>
      </c>
      <c r="E2569" s="81">
        <v>38.79</v>
      </c>
      <c r="F2569" s="81">
        <v>38.79</v>
      </c>
    </row>
    <row r="2570" spans="1:6" x14ac:dyDescent="0.2">
      <c r="A2570" s="1" t="s">
        <v>179</v>
      </c>
      <c r="B2570" s="1" t="s">
        <v>3258</v>
      </c>
      <c r="C2570" s="1" t="s">
        <v>4142</v>
      </c>
      <c r="D2570" s="1" t="s">
        <v>4142</v>
      </c>
      <c r="E2570" s="81">
        <v>107.18</v>
      </c>
      <c r="F2570" s="81">
        <v>107.18</v>
      </c>
    </row>
    <row r="2571" spans="1:6" x14ac:dyDescent="0.2">
      <c r="A2571" s="1" t="s">
        <v>179</v>
      </c>
      <c r="B2571" s="1" t="s">
        <v>3259</v>
      </c>
      <c r="C2571" s="1" t="s">
        <v>101</v>
      </c>
      <c r="D2571" s="1" t="s">
        <v>101</v>
      </c>
      <c r="E2571" s="81">
        <v>0</v>
      </c>
      <c r="F2571" s="81">
        <v>0</v>
      </c>
    </row>
    <row r="2572" spans="1:6" x14ac:dyDescent="0.2">
      <c r="A2572" s="1" t="s">
        <v>179</v>
      </c>
      <c r="B2572" s="1" t="s">
        <v>3260</v>
      </c>
      <c r="C2572" s="1" t="s">
        <v>101</v>
      </c>
      <c r="D2572" s="1" t="s">
        <v>101</v>
      </c>
      <c r="E2572" s="81">
        <v>0</v>
      </c>
      <c r="F2572" s="81">
        <v>0</v>
      </c>
    </row>
    <row r="2573" spans="1:6" x14ac:dyDescent="0.2">
      <c r="A2573" s="1" t="s">
        <v>179</v>
      </c>
      <c r="B2573" s="1" t="s">
        <v>3261</v>
      </c>
      <c r="C2573" s="1" t="s">
        <v>101</v>
      </c>
      <c r="D2573" s="1" t="s">
        <v>101</v>
      </c>
      <c r="E2573" s="81">
        <v>0</v>
      </c>
      <c r="F2573" s="81">
        <v>0</v>
      </c>
    </row>
    <row r="2574" spans="1:6" x14ac:dyDescent="0.2">
      <c r="A2574" s="1" t="s">
        <v>179</v>
      </c>
      <c r="B2574" s="1" t="s">
        <v>3262</v>
      </c>
      <c r="C2574" s="1" t="s">
        <v>101</v>
      </c>
      <c r="D2574" s="1" t="s">
        <v>101</v>
      </c>
      <c r="E2574" s="81">
        <v>0</v>
      </c>
      <c r="F2574" s="81">
        <v>0</v>
      </c>
    </row>
    <row r="2575" spans="1:6" x14ac:dyDescent="0.2">
      <c r="A2575" s="1" t="s">
        <v>179</v>
      </c>
      <c r="B2575" s="1" t="s">
        <v>3263</v>
      </c>
      <c r="C2575" s="1" t="s">
        <v>101</v>
      </c>
      <c r="D2575" s="1" t="s">
        <v>101</v>
      </c>
      <c r="E2575" s="81">
        <v>0</v>
      </c>
      <c r="F2575" s="81">
        <v>0</v>
      </c>
    </row>
    <row r="2576" spans="1:6" x14ac:dyDescent="0.2">
      <c r="A2576" s="1" t="s">
        <v>179</v>
      </c>
      <c r="B2576" s="1" t="s">
        <v>3264</v>
      </c>
      <c r="C2576" s="1" t="s">
        <v>101</v>
      </c>
      <c r="D2576" s="1" t="s">
        <v>101</v>
      </c>
      <c r="E2576" s="81">
        <v>0</v>
      </c>
      <c r="F2576" s="81">
        <v>0</v>
      </c>
    </row>
    <row r="2577" spans="1:6" x14ac:dyDescent="0.2">
      <c r="A2577" s="1" t="s">
        <v>179</v>
      </c>
      <c r="B2577" s="1" t="s">
        <v>3265</v>
      </c>
      <c r="C2577" s="1" t="s">
        <v>101</v>
      </c>
      <c r="D2577" s="1" t="s">
        <v>101</v>
      </c>
      <c r="E2577" s="81">
        <v>0</v>
      </c>
      <c r="F2577" s="81">
        <v>0</v>
      </c>
    </row>
    <row r="2578" spans="1:6" x14ac:dyDescent="0.2">
      <c r="A2578" s="1" t="s">
        <v>179</v>
      </c>
      <c r="B2578" s="1" t="s">
        <v>3266</v>
      </c>
      <c r="C2578" s="1" t="s">
        <v>101</v>
      </c>
      <c r="D2578" s="1" t="s">
        <v>101</v>
      </c>
      <c r="E2578" s="81">
        <v>0</v>
      </c>
      <c r="F2578" s="81">
        <v>0</v>
      </c>
    </row>
    <row r="2579" spans="1:6" x14ac:dyDescent="0.2">
      <c r="A2579" s="1" t="s">
        <v>179</v>
      </c>
      <c r="B2579" s="1" t="s">
        <v>3267</v>
      </c>
      <c r="C2579" s="1" t="s">
        <v>101</v>
      </c>
      <c r="D2579" s="1" t="s">
        <v>101</v>
      </c>
      <c r="E2579" s="81">
        <v>0</v>
      </c>
      <c r="F2579" s="81">
        <v>0</v>
      </c>
    </row>
    <row r="2580" spans="1:6" x14ac:dyDescent="0.2">
      <c r="A2580" s="1" t="s">
        <v>179</v>
      </c>
      <c r="B2580" s="1" t="s">
        <v>3268</v>
      </c>
      <c r="C2580" s="1" t="s">
        <v>4143</v>
      </c>
      <c r="D2580" s="1" t="s">
        <v>4143</v>
      </c>
      <c r="E2580" s="81">
        <v>185.28</v>
      </c>
      <c r="F2580" s="81">
        <v>185.28</v>
      </c>
    </row>
    <row r="2581" spans="1:6" x14ac:dyDescent="0.2">
      <c r="A2581" s="1" t="s">
        <v>179</v>
      </c>
      <c r="B2581" s="1" t="s">
        <v>3269</v>
      </c>
      <c r="C2581" s="1" t="s">
        <v>4150</v>
      </c>
      <c r="D2581" s="1" t="s">
        <v>4150</v>
      </c>
      <c r="E2581" s="81">
        <v>3951.96</v>
      </c>
      <c r="F2581" s="81">
        <v>3951.96</v>
      </c>
    </row>
    <row r="2582" spans="1:6" x14ac:dyDescent="0.2">
      <c r="A2582" s="1" t="s">
        <v>179</v>
      </c>
      <c r="B2582" s="1" t="s">
        <v>3270</v>
      </c>
      <c r="C2582" s="1" t="s">
        <v>4151</v>
      </c>
      <c r="D2582" s="1" t="s">
        <v>4151</v>
      </c>
      <c r="E2582" s="81">
        <v>5141.3900000000003</v>
      </c>
      <c r="F2582" s="81">
        <v>5141.3900000000003</v>
      </c>
    </row>
    <row r="2583" spans="1:6" x14ac:dyDescent="0.2">
      <c r="A2583" s="1" t="s">
        <v>179</v>
      </c>
      <c r="B2583" s="1" t="s">
        <v>3271</v>
      </c>
      <c r="C2583" s="1" t="s">
        <v>4152</v>
      </c>
      <c r="D2583" s="1" t="s">
        <v>4152</v>
      </c>
      <c r="E2583" s="81">
        <v>4024.23</v>
      </c>
      <c r="F2583" s="81">
        <v>4024.23</v>
      </c>
    </row>
    <row r="2584" spans="1:6" x14ac:dyDescent="0.2">
      <c r="A2584" s="1" t="s">
        <v>179</v>
      </c>
      <c r="B2584" s="1" t="s">
        <v>3272</v>
      </c>
      <c r="C2584" s="1" t="s">
        <v>101</v>
      </c>
      <c r="D2584" s="1" t="s">
        <v>101</v>
      </c>
      <c r="E2584" s="81">
        <v>0</v>
      </c>
      <c r="F2584" s="81">
        <v>0</v>
      </c>
    </row>
    <row r="2585" spans="1:6" x14ac:dyDescent="0.2">
      <c r="A2585" s="1" t="s">
        <v>179</v>
      </c>
      <c r="B2585" s="1" t="s">
        <v>3273</v>
      </c>
      <c r="C2585" s="1" t="s">
        <v>101</v>
      </c>
      <c r="D2585" s="1" t="s">
        <v>101</v>
      </c>
      <c r="E2585" s="81">
        <v>0</v>
      </c>
      <c r="F2585" s="81">
        <v>0</v>
      </c>
    </row>
    <row r="2586" spans="1:6" x14ac:dyDescent="0.2">
      <c r="A2586" s="1" t="s">
        <v>179</v>
      </c>
      <c r="B2586" s="1" t="s">
        <v>3274</v>
      </c>
      <c r="C2586" s="1" t="s">
        <v>101</v>
      </c>
      <c r="D2586" s="1" t="s">
        <v>101</v>
      </c>
      <c r="E2586" s="81">
        <v>0</v>
      </c>
      <c r="F2586" s="81">
        <v>0</v>
      </c>
    </row>
    <row r="2587" spans="1:6" x14ac:dyDescent="0.2">
      <c r="A2587" s="1" t="s">
        <v>179</v>
      </c>
      <c r="B2587" s="1" t="s">
        <v>3275</v>
      </c>
      <c r="C2587" s="1" t="s">
        <v>101</v>
      </c>
      <c r="D2587" s="1" t="s">
        <v>101</v>
      </c>
      <c r="E2587" s="81">
        <v>0</v>
      </c>
      <c r="F2587" s="81">
        <v>0</v>
      </c>
    </row>
    <row r="2588" spans="1:6" x14ac:dyDescent="0.2">
      <c r="A2588" s="1" t="s">
        <v>179</v>
      </c>
      <c r="B2588" s="1" t="s">
        <v>3276</v>
      </c>
      <c r="C2588" s="1" t="s">
        <v>101</v>
      </c>
      <c r="D2588" s="1" t="s">
        <v>101</v>
      </c>
      <c r="E2588" s="81">
        <v>0</v>
      </c>
      <c r="F2588" s="81">
        <v>0</v>
      </c>
    </row>
    <row r="2589" spans="1:6" x14ac:dyDescent="0.2">
      <c r="A2589" s="1" t="s">
        <v>179</v>
      </c>
      <c r="B2589" s="1" t="s">
        <v>3277</v>
      </c>
      <c r="C2589" s="1" t="s">
        <v>101</v>
      </c>
      <c r="D2589" s="1" t="s">
        <v>101</v>
      </c>
      <c r="E2589" s="81">
        <v>0</v>
      </c>
      <c r="F2589" s="81">
        <v>0</v>
      </c>
    </row>
    <row r="2590" spans="1:6" x14ac:dyDescent="0.2">
      <c r="A2590" s="1" t="s">
        <v>179</v>
      </c>
      <c r="B2590" s="1" t="s">
        <v>3278</v>
      </c>
      <c r="C2590" s="1" t="s">
        <v>101</v>
      </c>
      <c r="D2590" s="1" t="s">
        <v>101</v>
      </c>
      <c r="E2590" s="81">
        <v>0</v>
      </c>
      <c r="F2590" s="81">
        <v>0</v>
      </c>
    </row>
    <row r="2591" spans="1:6" x14ac:dyDescent="0.2">
      <c r="A2591" s="1" t="s">
        <v>179</v>
      </c>
      <c r="B2591" s="1" t="s">
        <v>3279</v>
      </c>
      <c r="C2591" s="1" t="s">
        <v>101</v>
      </c>
      <c r="D2591" s="1" t="s">
        <v>101</v>
      </c>
      <c r="E2591" s="81">
        <v>0</v>
      </c>
      <c r="F2591" s="81">
        <v>0</v>
      </c>
    </row>
    <row r="2592" spans="1:6" x14ac:dyDescent="0.2">
      <c r="A2592" s="1" t="s">
        <v>179</v>
      </c>
      <c r="B2592" s="1" t="s">
        <v>3280</v>
      </c>
      <c r="C2592" s="1" t="s">
        <v>101</v>
      </c>
      <c r="D2592" s="1" t="s">
        <v>101</v>
      </c>
      <c r="E2592" s="81">
        <v>0</v>
      </c>
      <c r="F2592" s="81">
        <v>0</v>
      </c>
    </row>
    <row r="2593" spans="1:6" x14ac:dyDescent="0.2">
      <c r="A2593" s="1" t="s">
        <v>179</v>
      </c>
      <c r="B2593" s="1" t="s">
        <v>3281</v>
      </c>
      <c r="C2593" s="1" t="s">
        <v>4153</v>
      </c>
      <c r="D2593" s="1" t="s">
        <v>4153</v>
      </c>
      <c r="E2593" s="81">
        <v>13117.58</v>
      </c>
      <c r="F2593" s="81">
        <v>13117.58</v>
      </c>
    </row>
    <row r="2594" spans="1:6" x14ac:dyDescent="0.2">
      <c r="A2594" s="1" t="s">
        <v>179</v>
      </c>
      <c r="B2594" s="1" t="s">
        <v>3282</v>
      </c>
      <c r="C2594" s="1" t="s">
        <v>4154</v>
      </c>
      <c r="D2594" s="1" t="s">
        <v>4154</v>
      </c>
      <c r="E2594" s="81">
        <v>3257.58</v>
      </c>
      <c r="F2594" s="81">
        <v>3257.58</v>
      </c>
    </row>
    <row r="2595" spans="1:6" x14ac:dyDescent="0.2">
      <c r="A2595" s="1" t="s">
        <v>179</v>
      </c>
      <c r="B2595" s="1" t="s">
        <v>3283</v>
      </c>
      <c r="C2595" s="1" t="s">
        <v>4155</v>
      </c>
      <c r="D2595" s="1" t="s">
        <v>4155</v>
      </c>
      <c r="E2595" s="81">
        <v>5141.6400000000003</v>
      </c>
      <c r="F2595" s="81">
        <v>5141.6400000000003</v>
      </c>
    </row>
    <row r="2596" spans="1:6" x14ac:dyDescent="0.2">
      <c r="A2596" s="1" t="s">
        <v>179</v>
      </c>
      <c r="B2596" s="1" t="s">
        <v>3284</v>
      </c>
      <c r="C2596" s="1" t="s">
        <v>4156</v>
      </c>
      <c r="D2596" s="1" t="s">
        <v>4156</v>
      </c>
      <c r="E2596" s="81">
        <v>4026.8</v>
      </c>
      <c r="F2596" s="81">
        <v>4026.8</v>
      </c>
    </row>
    <row r="2597" spans="1:6" x14ac:dyDescent="0.2">
      <c r="A2597" s="1" t="s">
        <v>179</v>
      </c>
      <c r="B2597" s="1" t="s">
        <v>3285</v>
      </c>
      <c r="C2597" s="1" t="s">
        <v>101</v>
      </c>
      <c r="D2597" s="1" t="s">
        <v>101</v>
      </c>
      <c r="E2597" s="81">
        <v>0</v>
      </c>
      <c r="F2597" s="81">
        <v>0</v>
      </c>
    </row>
    <row r="2598" spans="1:6" x14ac:dyDescent="0.2">
      <c r="A2598" s="1" t="s">
        <v>179</v>
      </c>
      <c r="B2598" s="1" t="s">
        <v>3286</v>
      </c>
      <c r="C2598" s="1" t="s">
        <v>101</v>
      </c>
      <c r="D2598" s="1" t="s">
        <v>101</v>
      </c>
      <c r="E2598" s="81">
        <v>0</v>
      </c>
      <c r="F2598" s="81">
        <v>0</v>
      </c>
    </row>
    <row r="2599" spans="1:6" x14ac:dyDescent="0.2">
      <c r="A2599" s="1" t="s">
        <v>179</v>
      </c>
      <c r="B2599" s="1" t="s">
        <v>3287</v>
      </c>
      <c r="C2599" s="1" t="s">
        <v>101</v>
      </c>
      <c r="D2599" s="1" t="s">
        <v>101</v>
      </c>
      <c r="E2599" s="81">
        <v>0</v>
      </c>
      <c r="F2599" s="81">
        <v>0</v>
      </c>
    </row>
    <row r="2600" spans="1:6" x14ac:dyDescent="0.2">
      <c r="A2600" s="1" t="s">
        <v>179</v>
      </c>
      <c r="B2600" s="1" t="s">
        <v>3288</v>
      </c>
      <c r="C2600" s="1" t="s">
        <v>101</v>
      </c>
      <c r="D2600" s="1" t="s">
        <v>101</v>
      </c>
      <c r="E2600" s="81">
        <v>0</v>
      </c>
      <c r="F2600" s="81">
        <v>0</v>
      </c>
    </row>
    <row r="2601" spans="1:6" x14ac:dyDescent="0.2">
      <c r="A2601" s="1" t="s">
        <v>179</v>
      </c>
      <c r="B2601" s="1" t="s">
        <v>3289</v>
      </c>
      <c r="C2601" s="1" t="s">
        <v>101</v>
      </c>
      <c r="D2601" s="1" t="s">
        <v>101</v>
      </c>
      <c r="E2601" s="81">
        <v>0</v>
      </c>
      <c r="F2601" s="81">
        <v>0</v>
      </c>
    </row>
    <row r="2602" spans="1:6" x14ac:dyDescent="0.2">
      <c r="A2602" s="1" t="s">
        <v>179</v>
      </c>
      <c r="B2602" s="1" t="s">
        <v>3290</v>
      </c>
      <c r="C2602" s="1" t="s">
        <v>101</v>
      </c>
      <c r="D2602" s="1" t="s">
        <v>101</v>
      </c>
      <c r="E2602" s="81">
        <v>0</v>
      </c>
      <c r="F2602" s="81">
        <v>0</v>
      </c>
    </row>
    <row r="2603" spans="1:6" x14ac:dyDescent="0.2">
      <c r="A2603" s="1" t="s">
        <v>179</v>
      </c>
      <c r="B2603" s="1" t="s">
        <v>3291</v>
      </c>
      <c r="C2603" s="1" t="s">
        <v>101</v>
      </c>
      <c r="D2603" s="1" t="s">
        <v>101</v>
      </c>
      <c r="E2603" s="81">
        <v>0</v>
      </c>
      <c r="F2603" s="81">
        <v>0</v>
      </c>
    </row>
    <row r="2604" spans="1:6" x14ac:dyDescent="0.2">
      <c r="A2604" s="1" t="s">
        <v>179</v>
      </c>
      <c r="B2604" s="1" t="s">
        <v>3292</v>
      </c>
      <c r="C2604" s="1" t="s">
        <v>101</v>
      </c>
      <c r="D2604" s="1" t="s">
        <v>101</v>
      </c>
      <c r="E2604" s="81">
        <v>0</v>
      </c>
      <c r="F2604" s="81">
        <v>0</v>
      </c>
    </row>
    <row r="2605" spans="1:6" x14ac:dyDescent="0.2">
      <c r="A2605" s="1" t="s">
        <v>179</v>
      </c>
      <c r="B2605" s="1" t="s">
        <v>3293</v>
      </c>
      <c r="C2605" s="1" t="s">
        <v>101</v>
      </c>
      <c r="D2605" s="1" t="s">
        <v>101</v>
      </c>
      <c r="E2605" s="81">
        <v>0</v>
      </c>
      <c r="F2605" s="81">
        <v>0</v>
      </c>
    </row>
    <row r="2606" spans="1:6" x14ac:dyDescent="0.2">
      <c r="A2606" s="1" t="s">
        <v>179</v>
      </c>
      <c r="B2606" s="1" t="s">
        <v>3294</v>
      </c>
      <c r="C2606" s="1" t="s">
        <v>4157</v>
      </c>
      <c r="D2606" s="1" t="s">
        <v>4157</v>
      </c>
      <c r="E2606" s="81">
        <v>700.43</v>
      </c>
      <c r="F2606" s="81">
        <v>700.43</v>
      </c>
    </row>
    <row r="2607" spans="1:6" x14ac:dyDescent="0.2">
      <c r="A2607" s="1" t="s">
        <v>179</v>
      </c>
      <c r="B2607" s="1" t="s">
        <v>3295</v>
      </c>
      <c r="C2607" s="1" t="s">
        <v>4158</v>
      </c>
      <c r="D2607" s="1" t="s">
        <v>4158</v>
      </c>
      <c r="E2607" s="81">
        <v>8.59</v>
      </c>
      <c r="F2607" s="81">
        <v>8.59</v>
      </c>
    </row>
    <row r="2608" spans="1:6" x14ac:dyDescent="0.2">
      <c r="A2608" s="1" t="s">
        <v>179</v>
      </c>
      <c r="B2608" s="1" t="s">
        <v>3296</v>
      </c>
      <c r="C2608" s="1" t="s">
        <v>4159</v>
      </c>
      <c r="D2608" s="1" t="s">
        <v>4159</v>
      </c>
      <c r="E2608" s="81">
        <v>3.82</v>
      </c>
      <c r="F2608" s="81">
        <v>3.82</v>
      </c>
    </row>
    <row r="2609" spans="1:6" x14ac:dyDescent="0.2">
      <c r="A2609" s="1" t="s">
        <v>179</v>
      </c>
      <c r="B2609" s="1" t="s">
        <v>3297</v>
      </c>
      <c r="C2609" s="1" t="s">
        <v>101</v>
      </c>
      <c r="D2609" s="1" t="s">
        <v>101</v>
      </c>
      <c r="E2609" s="81">
        <v>0</v>
      </c>
      <c r="F2609" s="81">
        <v>0</v>
      </c>
    </row>
    <row r="2610" spans="1:6" x14ac:dyDescent="0.2">
      <c r="A2610" s="1" t="s">
        <v>179</v>
      </c>
      <c r="B2610" s="1" t="s">
        <v>3298</v>
      </c>
      <c r="C2610" s="1" t="s">
        <v>101</v>
      </c>
      <c r="D2610" s="1" t="s">
        <v>101</v>
      </c>
      <c r="E2610" s="81">
        <v>0</v>
      </c>
      <c r="F2610" s="81">
        <v>0</v>
      </c>
    </row>
    <row r="2611" spans="1:6" x14ac:dyDescent="0.2">
      <c r="A2611" s="1" t="s">
        <v>179</v>
      </c>
      <c r="B2611" s="1" t="s">
        <v>3299</v>
      </c>
      <c r="C2611" s="1" t="s">
        <v>101</v>
      </c>
      <c r="D2611" s="1" t="s">
        <v>101</v>
      </c>
      <c r="E2611" s="81">
        <v>0</v>
      </c>
      <c r="F2611" s="81">
        <v>0</v>
      </c>
    </row>
    <row r="2612" spans="1:6" x14ac:dyDescent="0.2">
      <c r="A2612" s="1" t="s">
        <v>179</v>
      </c>
      <c r="B2612" s="1" t="s">
        <v>3300</v>
      </c>
      <c r="C2612" s="1" t="s">
        <v>101</v>
      </c>
      <c r="D2612" s="1" t="s">
        <v>101</v>
      </c>
      <c r="E2612" s="81">
        <v>0</v>
      </c>
      <c r="F2612" s="81">
        <v>0</v>
      </c>
    </row>
    <row r="2613" spans="1:6" x14ac:dyDescent="0.2">
      <c r="A2613" s="1" t="s">
        <v>179</v>
      </c>
      <c r="B2613" s="1" t="s">
        <v>3301</v>
      </c>
      <c r="C2613" s="1" t="s">
        <v>101</v>
      </c>
      <c r="D2613" s="1" t="s">
        <v>101</v>
      </c>
      <c r="E2613" s="81">
        <v>0</v>
      </c>
      <c r="F2613" s="81">
        <v>0</v>
      </c>
    </row>
    <row r="2614" spans="1:6" x14ac:dyDescent="0.2">
      <c r="A2614" s="1" t="s">
        <v>179</v>
      </c>
      <c r="B2614" s="1" t="s">
        <v>3302</v>
      </c>
      <c r="C2614" s="1" t="s">
        <v>101</v>
      </c>
      <c r="D2614" s="1" t="s">
        <v>101</v>
      </c>
      <c r="E2614" s="81">
        <v>0</v>
      </c>
      <c r="F2614" s="81">
        <v>0</v>
      </c>
    </row>
    <row r="2615" spans="1:6" x14ac:dyDescent="0.2">
      <c r="A2615" s="1" t="s">
        <v>179</v>
      </c>
      <c r="B2615" s="1" t="s">
        <v>3303</v>
      </c>
      <c r="C2615" s="1" t="s">
        <v>101</v>
      </c>
      <c r="D2615" s="1" t="s">
        <v>101</v>
      </c>
      <c r="E2615" s="81">
        <v>0</v>
      </c>
      <c r="F2615" s="81">
        <v>0</v>
      </c>
    </row>
    <row r="2616" spans="1:6" x14ac:dyDescent="0.2">
      <c r="A2616" s="1" t="s">
        <v>179</v>
      </c>
      <c r="B2616" s="1" t="s">
        <v>3304</v>
      </c>
      <c r="C2616" s="1" t="s">
        <v>101</v>
      </c>
      <c r="D2616" s="1" t="s">
        <v>101</v>
      </c>
      <c r="E2616" s="81">
        <v>0</v>
      </c>
      <c r="F2616" s="81">
        <v>0</v>
      </c>
    </row>
    <row r="2617" spans="1:6" x14ac:dyDescent="0.2">
      <c r="A2617" s="1" t="s">
        <v>179</v>
      </c>
      <c r="B2617" s="1" t="s">
        <v>3305</v>
      </c>
      <c r="C2617" s="1" t="s">
        <v>101</v>
      </c>
      <c r="D2617" s="1" t="s">
        <v>101</v>
      </c>
      <c r="E2617" s="81">
        <v>0</v>
      </c>
      <c r="F2617" s="81">
        <v>0</v>
      </c>
    </row>
    <row r="2618" spans="1:6" x14ac:dyDescent="0.2">
      <c r="A2618" s="1" t="s">
        <v>179</v>
      </c>
      <c r="B2618" s="1" t="s">
        <v>3306</v>
      </c>
      <c r="C2618" s="1" t="s">
        <v>101</v>
      </c>
      <c r="D2618" s="1" t="s">
        <v>101</v>
      </c>
      <c r="E2618" s="81">
        <v>0</v>
      </c>
      <c r="F2618" s="81">
        <v>0</v>
      </c>
    </row>
    <row r="2619" spans="1:6" x14ac:dyDescent="0.2">
      <c r="A2619" s="1" t="s">
        <v>179</v>
      </c>
      <c r="B2619" s="1" t="s">
        <v>3307</v>
      </c>
      <c r="C2619" s="1" t="s">
        <v>101</v>
      </c>
      <c r="D2619" s="1" t="s">
        <v>101</v>
      </c>
      <c r="E2619" s="81">
        <v>0</v>
      </c>
      <c r="F2619" s="81">
        <v>0</v>
      </c>
    </row>
    <row r="2620" spans="1:6" x14ac:dyDescent="0.2">
      <c r="A2620" s="1" t="s">
        <v>179</v>
      </c>
      <c r="B2620" s="1" t="s">
        <v>3308</v>
      </c>
      <c r="C2620" s="1" t="s">
        <v>101</v>
      </c>
      <c r="D2620" s="1" t="s">
        <v>101</v>
      </c>
      <c r="E2620" s="81">
        <v>0</v>
      </c>
      <c r="F2620" s="81">
        <v>0</v>
      </c>
    </row>
    <row r="2621" spans="1:6" x14ac:dyDescent="0.2">
      <c r="A2621" s="1" t="s">
        <v>179</v>
      </c>
      <c r="B2621" s="1" t="s">
        <v>3309</v>
      </c>
      <c r="C2621" s="1" t="s">
        <v>101</v>
      </c>
      <c r="D2621" s="1" t="s">
        <v>101</v>
      </c>
      <c r="E2621" s="81">
        <v>0</v>
      </c>
      <c r="F2621" s="81">
        <v>0</v>
      </c>
    </row>
    <row r="2622" spans="1:6" x14ac:dyDescent="0.2">
      <c r="A2622" s="1" t="s">
        <v>179</v>
      </c>
      <c r="B2622" s="1" t="s">
        <v>3310</v>
      </c>
      <c r="C2622" s="1" t="s">
        <v>101</v>
      </c>
      <c r="D2622" s="1" t="s">
        <v>101</v>
      </c>
      <c r="E2622" s="81">
        <v>0</v>
      </c>
      <c r="F2622" s="81">
        <v>0</v>
      </c>
    </row>
    <row r="2623" spans="1:6" x14ac:dyDescent="0.2">
      <c r="A2623" s="1" t="s">
        <v>179</v>
      </c>
      <c r="B2623" s="1" t="s">
        <v>3311</v>
      </c>
      <c r="C2623" s="1" t="s">
        <v>101</v>
      </c>
      <c r="D2623" s="1" t="s">
        <v>101</v>
      </c>
      <c r="E2623" s="81">
        <v>0</v>
      </c>
      <c r="F2623" s="81">
        <v>0</v>
      </c>
    </row>
    <row r="2624" spans="1:6" x14ac:dyDescent="0.2">
      <c r="A2624" s="1" t="s">
        <v>179</v>
      </c>
      <c r="B2624" s="1" t="s">
        <v>3312</v>
      </c>
      <c r="C2624" s="1" t="s">
        <v>101</v>
      </c>
      <c r="D2624" s="1" t="s">
        <v>101</v>
      </c>
      <c r="E2624" s="81">
        <v>0</v>
      </c>
      <c r="F2624" s="81">
        <v>0</v>
      </c>
    </row>
    <row r="2625" spans="1:6" x14ac:dyDescent="0.2">
      <c r="A2625" s="1" t="s">
        <v>179</v>
      </c>
      <c r="B2625" s="1" t="s">
        <v>3313</v>
      </c>
      <c r="C2625" s="1" t="s">
        <v>101</v>
      </c>
      <c r="D2625" s="1" t="s">
        <v>101</v>
      </c>
      <c r="E2625" s="81">
        <v>0</v>
      </c>
      <c r="F2625" s="81">
        <v>0</v>
      </c>
    </row>
    <row r="2626" spans="1:6" x14ac:dyDescent="0.2">
      <c r="A2626" s="1" t="s">
        <v>179</v>
      </c>
      <c r="B2626" s="1" t="s">
        <v>3314</v>
      </c>
      <c r="C2626" s="1" t="s">
        <v>101</v>
      </c>
      <c r="D2626" s="1" t="s">
        <v>101</v>
      </c>
      <c r="E2626" s="81">
        <v>0</v>
      </c>
      <c r="F2626" s="81">
        <v>0</v>
      </c>
    </row>
    <row r="2627" spans="1:6" x14ac:dyDescent="0.2">
      <c r="A2627" s="1" t="s">
        <v>179</v>
      </c>
      <c r="B2627" s="1" t="s">
        <v>3315</v>
      </c>
      <c r="C2627" s="1" t="s">
        <v>101</v>
      </c>
      <c r="D2627" s="1" t="s">
        <v>101</v>
      </c>
      <c r="E2627" s="81">
        <v>0</v>
      </c>
      <c r="F2627" s="81">
        <v>0</v>
      </c>
    </row>
    <row r="2628" spans="1:6" x14ac:dyDescent="0.2">
      <c r="A2628" s="1" t="s">
        <v>179</v>
      </c>
      <c r="B2628" s="1" t="s">
        <v>3316</v>
      </c>
      <c r="C2628" s="1" t="s">
        <v>101</v>
      </c>
      <c r="D2628" s="1" t="s">
        <v>101</v>
      </c>
      <c r="E2628" s="81">
        <v>0</v>
      </c>
      <c r="F2628" s="81">
        <v>0</v>
      </c>
    </row>
    <row r="2629" spans="1:6" x14ac:dyDescent="0.2">
      <c r="A2629" s="1" t="s">
        <v>179</v>
      </c>
      <c r="B2629" s="1" t="s">
        <v>3317</v>
      </c>
      <c r="C2629" s="1" t="s">
        <v>101</v>
      </c>
      <c r="D2629" s="1" t="s">
        <v>101</v>
      </c>
      <c r="E2629" s="81">
        <v>0</v>
      </c>
      <c r="F2629" s="81">
        <v>0</v>
      </c>
    </row>
    <row r="2630" spans="1:6" x14ac:dyDescent="0.2">
      <c r="A2630" s="1" t="s">
        <v>179</v>
      </c>
      <c r="B2630" s="1" t="s">
        <v>3318</v>
      </c>
      <c r="C2630" s="1" t="s">
        <v>4150</v>
      </c>
      <c r="D2630" s="1" t="s">
        <v>4150</v>
      </c>
      <c r="E2630" s="81">
        <v>3951.96</v>
      </c>
      <c r="F2630" s="81">
        <v>3951.96</v>
      </c>
    </row>
    <row r="2631" spans="1:6" x14ac:dyDescent="0.2">
      <c r="A2631" s="1" t="s">
        <v>179</v>
      </c>
      <c r="B2631" s="1" t="s">
        <v>3319</v>
      </c>
      <c r="C2631" s="1" t="s">
        <v>4151</v>
      </c>
      <c r="D2631" s="1" t="s">
        <v>4151</v>
      </c>
      <c r="E2631" s="81">
        <v>5141.3900000000003</v>
      </c>
      <c r="F2631" s="81">
        <v>5141.3900000000003</v>
      </c>
    </row>
    <row r="2632" spans="1:6" x14ac:dyDescent="0.2">
      <c r="A2632" s="1" t="s">
        <v>179</v>
      </c>
      <c r="B2632" s="1" t="s">
        <v>3320</v>
      </c>
      <c r="C2632" s="1" t="s">
        <v>4152</v>
      </c>
      <c r="D2632" s="1" t="s">
        <v>4152</v>
      </c>
      <c r="E2632" s="81">
        <v>4024.23</v>
      </c>
      <c r="F2632" s="81">
        <v>4024.23</v>
      </c>
    </row>
    <row r="2633" spans="1:6" x14ac:dyDescent="0.2">
      <c r="A2633" s="1" t="s">
        <v>179</v>
      </c>
      <c r="B2633" s="1" t="s">
        <v>3321</v>
      </c>
      <c r="C2633" s="1" t="s">
        <v>101</v>
      </c>
      <c r="D2633" s="1" t="s">
        <v>101</v>
      </c>
      <c r="E2633" s="81">
        <v>0</v>
      </c>
      <c r="F2633" s="81">
        <v>0</v>
      </c>
    </row>
    <row r="2634" spans="1:6" x14ac:dyDescent="0.2">
      <c r="A2634" s="1" t="s">
        <v>179</v>
      </c>
      <c r="B2634" s="1" t="s">
        <v>3322</v>
      </c>
      <c r="C2634" s="1" t="s">
        <v>101</v>
      </c>
      <c r="D2634" s="1" t="s">
        <v>101</v>
      </c>
      <c r="E2634" s="81">
        <v>0</v>
      </c>
      <c r="F2634" s="81">
        <v>0</v>
      </c>
    </row>
    <row r="2635" spans="1:6" x14ac:dyDescent="0.2">
      <c r="A2635" s="1" t="s">
        <v>179</v>
      </c>
      <c r="B2635" s="1" t="s">
        <v>3323</v>
      </c>
      <c r="C2635" s="1" t="s">
        <v>101</v>
      </c>
      <c r="D2635" s="1" t="s">
        <v>101</v>
      </c>
      <c r="E2635" s="81">
        <v>0</v>
      </c>
      <c r="F2635" s="81">
        <v>0</v>
      </c>
    </row>
    <row r="2636" spans="1:6" x14ac:dyDescent="0.2">
      <c r="A2636" s="1" t="s">
        <v>179</v>
      </c>
      <c r="B2636" s="1" t="s">
        <v>3324</v>
      </c>
      <c r="C2636" s="1" t="s">
        <v>101</v>
      </c>
      <c r="D2636" s="1" t="s">
        <v>101</v>
      </c>
      <c r="E2636" s="81">
        <v>0</v>
      </c>
      <c r="F2636" s="81">
        <v>0</v>
      </c>
    </row>
    <row r="2637" spans="1:6" x14ac:dyDescent="0.2">
      <c r="A2637" s="1" t="s">
        <v>179</v>
      </c>
      <c r="B2637" s="1" t="s">
        <v>3325</v>
      </c>
      <c r="C2637" s="1" t="s">
        <v>101</v>
      </c>
      <c r="D2637" s="1" t="s">
        <v>101</v>
      </c>
      <c r="E2637" s="81">
        <v>0</v>
      </c>
      <c r="F2637" s="81">
        <v>0</v>
      </c>
    </row>
    <row r="2638" spans="1:6" x14ac:dyDescent="0.2">
      <c r="A2638" s="1" t="s">
        <v>179</v>
      </c>
      <c r="B2638" s="1" t="s">
        <v>3326</v>
      </c>
      <c r="C2638" s="1" t="s">
        <v>101</v>
      </c>
      <c r="D2638" s="1" t="s">
        <v>101</v>
      </c>
      <c r="E2638" s="81">
        <v>0</v>
      </c>
      <c r="F2638" s="81">
        <v>0</v>
      </c>
    </row>
    <row r="2639" spans="1:6" x14ac:dyDescent="0.2">
      <c r="A2639" s="1" t="s">
        <v>179</v>
      </c>
      <c r="B2639" s="1" t="s">
        <v>3327</v>
      </c>
      <c r="C2639" s="1" t="s">
        <v>101</v>
      </c>
      <c r="D2639" s="1" t="s">
        <v>101</v>
      </c>
      <c r="E2639" s="81">
        <v>0</v>
      </c>
      <c r="F2639" s="81">
        <v>0</v>
      </c>
    </row>
    <row r="2640" spans="1:6" x14ac:dyDescent="0.2">
      <c r="A2640" s="1" t="s">
        <v>179</v>
      </c>
      <c r="B2640" s="1" t="s">
        <v>3328</v>
      </c>
      <c r="C2640" s="1" t="s">
        <v>101</v>
      </c>
      <c r="D2640" s="1" t="s">
        <v>101</v>
      </c>
      <c r="E2640" s="81">
        <v>0</v>
      </c>
      <c r="F2640" s="81">
        <v>0</v>
      </c>
    </row>
    <row r="2641" spans="1:6" x14ac:dyDescent="0.2">
      <c r="A2641" s="1" t="s">
        <v>179</v>
      </c>
      <c r="B2641" s="1" t="s">
        <v>3329</v>
      </c>
      <c r="C2641" s="1" t="s">
        <v>101</v>
      </c>
      <c r="D2641" s="1" t="s">
        <v>101</v>
      </c>
      <c r="E2641" s="81">
        <v>0</v>
      </c>
      <c r="F2641" s="81">
        <v>0</v>
      </c>
    </row>
    <row r="2642" spans="1:6" x14ac:dyDescent="0.2">
      <c r="A2642" s="1" t="s">
        <v>179</v>
      </c>
      <c r="B2642" s="1" t="s">
        <v>3330</v>
      </c>
      <c r="C2642" s="1" t="s">
        <v>4153</v>
      </c>
      <c r="D2642" s="1" t="s">
        <v>4153</v>
      </c>
      <c r="E2642" s="81">
        <v>13117.58</v>
      </c>
      <c r="F2642" s="81">
        <v>13117.58</v>
      </c>
    </row>
    <row r="2643" spans="1:6" x14ac:dyDescent="0.2">
      <c r="A2643" s="1" t="s">
        <v>179</v>
      </c>
      <c r="B2643" s="1" t="s">
        <v>3331</v>
      </c>
      <c r="C2643" s="1" t="s">
        <v>4160</v>
      </c>
      <c r="D2643" s="1" t="s">
        <v>4160</v>
      </c>
      <c r="E2643" s="81">
        <v>636.73</v>
      </c>
      <c r="F2643" s="81">
        <v>636.73</v>
      </c>
    </row>
    <row r="2644" spans="1:6" x14ac:dyDescent="0.2">
      <c r="A2644" s="1" t="s">
        <v>179</v>
      </c>
      <c r="B2644" s="1" t="s">
        <v>3332</v>
      </c>
      <c r="C2644" s="1" t="s">
        <v>4161</v>
      </c>
      <c r="D2644" s="1" t="s">
        <v>4161</v>
      </c>
      <c r="E2644" s="81">
        <v>702.8</v>
      </c>
      <c r="F2644" s="81">
        <v>702.8</v>
      </c>
    </row>
    <row r="2645" spans="1:6" x14ac:dyDescent="0.2">
      <c r="A2645" s="1" t="s">
        <v>179</v>
      </c>
      <c r="B2645" s="1" t="s">
        <v>3333</v>
      </c>
      <c r="C2645" s="1" t="s">
        <v>4162</v>
      </c>
      <c r="D2645" s="1" t="s">
        <v>4162</v>
      </c>
      <c r="E2645" s="81">
        <v>688.69</v>
      </c>
      <c r="F2645" s="81">
        <v>688.69</v>
      </c>
    </row>
    <row r="2646" spans="1:6" x14ac:dyDescent="0.2">
      <c r="A2646" s="1" t="s">
        <v>179</v>
      </c>
      <c r="B2646" s="1" t="s">
        <v>3334</v>
      </c>
      <c r="C2646" s="1" t="s">
        <v>101</v>
      </c>
      <c r="D2646" s="1" t="s">
        <v>101</v>
      </c>
      <c r="E2646" s="81">
        <v>0</v>
      </c>
      <c r="F2646" s="81">
        <v>0</v>
      </c>
    </row>
    <row r="2647" spans="1:6" x14ac:dyDescent="0.2">
      <c r="A2647" s="1" t="s">
        <v>179</v>
      </c>
      <c r="B2647" s="1" t="s">
        <v>3335</v>
      </c>
      <c r="C2647" s="1" t="s">
        <v>101</v>
      </c>
      <c r="D2647" s="1" t="s">
        <v>101</v>
      </c>
      <c r="E2647" s="81">
        <v>0</v>
      </c>
      <c r="F2647" s="81">
        <v>0</v>
      </c>
    </row>
    <row r="2648" spans="1:6" x14ac:dyDescent="0.2">
      <c r="A2648" s="1" t="s">
        <v>179</v>
      </c>
      <c r="B2648" s="1" t="s">
        <v>3336</v>
      </c>
      <c r="C2648" s="1" t="s">
        <v>101</v>
      </c>
      <c r="D2648" s="1" t="s">
        <v>101</v>
      </c>
      <c r="E2648" s="81">
        <v>0</v>
      </c>
      <c r="F2648" s="81">
        <v>0</v>
      </c>
    </row>
    <row r="2649" spans="1:6" x14ac:dyDescent="0.2">
      <c r="A2649" s="1" t="s">
        <v>179</v>
      </c>
      <c r="B2649" s="1" t="s">
        <v>3337</v>
      </c>
      <c r="C2649" s="1" t="s">
        <v>101</v>
      </c>
      <c r="D2649" s="1" t="s">
        <v>101</v>
      </c>
      <c r="E2649" s="81">
        <v>0</v>
      </c>
      <c r="F2649" s="81">
        <v>0</v>
      </c>
    </row>
    <row r="2650" spans="1:6" x14ac:dyDescent="0.2">
      <c r="A2650" s="1" t="s">
        <v>179</v>
      </c>
      <c r="B2650" s="1" t="s">
        <v>3338</v>
      </c>
      <c r="C2650" s="1" t="s">
        <v>101</v>
      </c>
      <c r="D2650" s="1" t="s">
        <v>101</v>
      </c>
      <c r="E2650" s="81">
        <v>0</v>
      </c>
      <c r="F2650" s="81">
        <v>0</v>
      </c>
    </row>
    <row r="2651" spans="1:6" x14ac:dyDescent="0.2">
      <c r="A2651" s="1" t="s">
        <v>179</v>
      </c>
      <c r="B2651" s="1" t="s">
        <v>3339</v>
      </c>
      <c r="C2651" s="1" t="s">
        <v>101</v>
      </c>
      <c r="D2651" s="1" t="s">
        <v>101</v>
      </c>
      <c r="E2651" s="81">
        <v>0</v>
      </c>
      <c r="F2651" s="81">
        <v>0</v>
      </c>
    </row>
    <row r="2652" spans="1:6" x14ac:dyDescent="0.2">
      <c r="A2652" s="1" t="s">
        <v>179</v>
      </c>
      <c r="B2652" s="1" t="s">
        <v>3340</v>
      </c>
      <c r="C2652" s="1" t="s">
        <v>101</v>
      </c>
      <c r="D2652" s="1" t="s">
        <v>101</v>
      </c>
      <c r="E2652" s="81">
        <v>0</v>
      </c>
      <c r="F2652" s="81">
        <v>0</v>
      </c>
    </row>
    <row r="2653" spans="1:6" x14ac:dyDescent="0.2">
      <c r="A2653" s="1" t="s">
        <v>179</v>
      </c>
      <c r="B2653" s="1" t="s">
        <v>3341</v>
      </c>
      <c r="C2653" s="1" t="s">
        <v>101</v>
      </c>
      <c r="D2653" s="1" t="s">
        <v>101</v>
      </c>
      <c r="E2653" s="81">
        <v>0</v>
      </c>
      <c r="F2653" s="81">
        <v>0</v>
      </c>
    </row>
    <row r="2654" spans="1:6" x14ac:dyDescent="0.2">
      <c r="A2654" s="1" t="s">
        <v>179</v>
      </c>
      <c r="B2654" s="1" t="s">
        <v>3342</v>
      </c>
      <c r="C2654" s="1" t="s">
        <v>101</v>
      </c>
      <c r="D2654" s="1" t="s">
        <v>101</v>
      </c>
      <c r="E2654" s="81">
        <v>0</v>
      </c>
      <c r="F2654" s="81">
        <v>0</v>
      </c>
    </row>
    <row r="2655" spans="1:6" x14ac:dyDescent="0.2">
      <c r="A2655" s="1" t="s">
        <v>179</v>
      </c>
      <c r="B2655" s="1" t="s">
        <v>3343</v>
      </c>
      <c r="C2655" s="1" t="s">
        <v>4163</v>
      </c>
      <c r="D2655" s="1" t="s">
        <v>4163</v>
      </c>
      <c r="E2655" s="81">
        <v>2028.22</v>
      </c>
      <c r="F2655" s="81">
        <v>2028.22</v>
      </c>
    </row>
    <row r="2656" spans="1:6" x14ac:dyDescent="0.2">
      <c r="A2656" s="1" t="s">
        <v>179</v>
      </c>
      <c r="B2656" s="1" t="s">
        <v>3344</v>
      </c>
      <c r="C2656" s="1" t="s">
        <v>4164</v>
      </c>
      <c r="D2656" s="1" t="s">
        <v>4164</v>
      </c>
      <c r="E2656" s="81">
        <v>589.15</v>
      </c>
      <c r="F2656" s="81">
        <v>589.15</v>
      </c>
    </row>
    <row r="2657" spans="1:6" x14ac:dyDescent="0.2">
      <c r="A2657" s="1" t="s">
        <v>179</v>
      </c>
      <c r="B2657" s="1" t="s">
        <v>3345</v>
      </c>
      <c r="C2657" s="1" t="s">
        <v>4165</v>
      </c>
      <c r="D2657" s="1" t="s">
        <v>4165</v>
      </c>
      <c r="E2657" s="81">
        <v>656.17</v>
      </c>
      <c r="F2657" s="81">
        <v>656.17</v>
      </c>
    </row>
    <row r="2658" spans="1:6" x14ac:dyDescent="0.2">
      <c r="A2658" s="1" t="s">
        <v>179</v>
      </c>
      <c r="B2658" s="1" t="s">
        <v>3346</v>
      </c>
      <c r="C2658" s="1" t="s">
        <v>4166</v>
      </c>
      <c r="D2658" s="1" t="s">
        <v>4166</v>
      </c>
      <c r="E2658" s="81">
        <v>629.54999999999995</v>
      </c>
      <c r="F2658" s="81">
        <v>629.54999999999995</v>
      </c>
    </row>
    <row r="2659" spans="1:6" x14ac:dyDescent="0.2">
      <c r="A2659" s="1" t="s">
        <v>179</v>
      </c>
      <c r="B2659" s="1" t="s">
        <v>3347</v>
      </c>
      <c r="C2659" s="1" t="s">
        <v>101</v>
      </c>
      <c r="D2659" s="1" t="s">
        <v>101</v>
      </c>
      <c r="E2659" s="81">
        <v>0</v>
      </c>
      <c r="F2659" s="81">
        <v>0</v>
      </c>
    </row>
    <row r="2660" spans="1:6" x14ac:dyDescent="0.2">
      <c r="A2660" s="1" t="s">
        <v>179</v>
      </c>
      <c r="B2660" s="1" t="s">
        <v>3348</v>
      </c>
      <c r="C2660" s="1" t="s">
        <v>101</v>
      </c>
      <c r="D2660" s="1" t="s">
        <v>101</v>
      </c>
      <c r="E2660" s="81">
        <v>0</v>
      </c>
      <c r="F2660" s="81">
        <v>0</v>
      </c>
    </row>
    <row r="2661" spans="1:6" x14ac:dyDescent="0.2">
      <c r="A2661" s="1" t="s">
        <v>179</v>
      </c>
      <c r="B2661" s="1" t="s">
        <v>3349</v>
      </c>
      <c r="C2661" s="1" t="s">
        <v>101</v>
      </c>
      <c r="D2661" s="1" t="s">
        <v>101</v>
      </c>
      <c r="E2661" s="81">
        <v>0</v>
      </c>
      <c r="F2661" s="81">
        <v>0</v>
      </c>
    </row>
    <row r="2662" spans="1:6" x14ac:dyDescent="0.2">
      <c r="A2662" s="1" t="s">
        <v>179</v>
      </c>
      <c r="B2662" s="1" t="s">
        <v>3350</v>
      </c>
      <c r="C2662" s="1" t="s">
        <v>101</v>
      </c>
      <c r="D2662" s="1" t="s">
        <v>101</v>
      </c>
      <c r="E2662" s="81">
        <v>0</v>
      </c>
      <c r="F2662" s="81">
        <v>0</v>
      </c>
    </row>
    <row r="2663" spans="1:6" x14ac:dyDescent="0.2">
      <c r="A2663" s="1" t="s">
        <v>179</v>
      </c>
      <c r="B2663" s="1" t="s">
        <v>3351</v>
      </c>
      <c r="C2663" s="1" t="s">
        <v>101</v>
      </c>
      <c r="D2663" s="1" t="s">
        <v>101</v>
      </c>
      <c r="E2663" s="81">
        <v>0</v>
      </c>
      <c r="F2663" s="81">
        <v>0</v>
      </c>
    </row>
    <row r="2664" spans="1:6" x14ac:dyDescent="0.2">
      <c r="A2664" s="1" t="s">
        <v>179</v>
      </c>
      <c r="B2664" s="1" t="s">
        <v>3352</v>
      </c>
      <c r="C2664" s="1" t="s">
        <v>101</v>
      </c>
      <c r="D2664" s="1" t="s">
        <v>101</v>
      </c>
      <c r="E2664" s="81">
        <v>0</v>
      </c>
      <c r="F2664" s="81">
        <v>0</v>
      </c>
    </row>
    <row r="2665" spans="1:6" x14ac:dyDescent="0.2">
      <c r="A2665" s="1" t="s">
        <v>179</v>
      </c>
      <c r="B2665" s="1" t="s">
        <v>3353</v>
      </c>
      <c r="C2665" s="1" t="s">
        <v>101</v>
      </c>
      <c r="D2665" s="1" t="s">
        <v>101</v>
      </c>
      <c r="E2665" s="81">
        <v>0</v>
      </c>
      <c r="F2665" s="81">
        <v>0</v>
      </c>
    </row>
    <row r="2666" spans="1:6" x14ac:dyDescent="0.2">
      <c r="A2666" s="1" t="s">
        <v>179</v>
      </c>
      <c r="B2666" s="1" t="s">
        <v>3354</v>
      </c>
      <c r="C2666" s="1" t="s">
        <v>101</v>
      </c>
      <c r="D2666" s="1" t="s">
        <v>101</v>
      </c>
      <c r="E2666" s="81">
        <v>0</v>
      </c>
      <c r="F2666" s="81">
        <v>0</v>
      </c>
    </row>
    <row r="2667" spans="1:6" x14ac:dyDescent="0.2">
      <c r="A2667" s="1" t="s">
        <v>179</v>
      </c>
      <c r="B2667" s="1" t="s">
        <v>3355</v>
      </c>
      <c r="C2667" s="1" t="s">
        <v>101</v>
      </c>
      <c r="D2667" s="1" t="s">
        <v>101</v>
      </c>
      <c r="E2667" s="81">
        <v>0</v>
      </c>
      <c r="F2667" s="81">
        <v>0</v>
      </c>
    </row>
    <row r="2668" spans="1:6" x14ac:dyDescent="0.2">
      <c r="A2668" s="1" t="s">
        <v>179</v>
      </c>
      <c r="B2668" s="1" t="s">
        <v>3356</v>
      </c>
      <c r="C2668" s="1" t="s">
        <v>4167</v>
      </c>
      <c r="D2668" s="1" t="s">
        <v>4167</v>
      </c>
      <c r="E2668" s="81">
        <v>48.56</v>
      </c>
      <c r="F2668" s="81">
        <v>48.56</v>
      </c>
    </row>
    <row r="2669" spans="1:6" x14ac:dyDescent="0.2">
      <c r="A2669" s="1" t="s">
        <v>179</v>
      </c>
      <c r="B2669" s="1" t="s">
        <v>3357</v>
      </c>
      <c r="C2669" s="1" t="s">
        <v>4168</v>
      </c>
      <c r="D2669" s="1" t="s">
        <v>4168</v>
      </c>
      <c r="E2669" s="81">
        <v>47.84</v>
      </c>
      <c r="F2669" s="81">
        <v>47.84</v>
      </c>
    </row>
    <row r="2670" spans="1:6" x14ac:dyDescent="0.2">
      <c r="A2670" s="1" t="s">
        <v>179</v>
      </c>
      <c r="B2670" s="1" t="s">
        <v>3358</v>
      </c>
      <c r="C2670" s="1" t="s">
        <v>4169</v>
      </c>
      <c r="D2670" s="1" t="s">
        <v>4169</v>
      </c>
      <c r="E2670" s="81">
        <v>60.23</v>
      </c>
      <c r="F2670" s="81">
        <v>60.23</v>
      </c>
    </row>
    <row r="2671" spans="1:6" x14ac:dyDescent="0.2">
      <c r="A2671" s="1" t="s">
        <v>179</v>
      </c>
      <c r="B2671" s="1" t="s">
        <v>3359</v>
      </c>
      <c r="C2671" s="1" t="s">
        <v>101</v>
      </c>
      <c r="D2671" s="1" t="s">
        <v>101</v>
      </c>
      <c r="E2671" s="81">
        <v>0</v>
      </c>
      <c r="F2671" s="81">
        <v>0</v>
      </c>
    </row>
    <row r="2672" spans="1:6" x14ac:dyDescent="0.2">
      <c r="A2672" s="1" t="s">
        <v>179</v>
      </c>
      <c r="B2672" s="1" t="s">
        <v>3360</v>
      </c>
      <c r="C2672" s="1" t="s">
        <v>101</v>
      </c>
      <c r="D2672" s="1" t="s">
        <v>101</v>
      </c>
      <c r="E2672" s="81">
        <v>0</v>
      </c>
      <c r="F2672" s="81">
        <v>0</v>
      </c>
    </row>
    <row r="2673" spans="1:6" x14ac:dyDescent="0.2">
      <c r="A2673" s="1" t="s">
        <v>179</v>
      </c>
      <c r="B2673" s="1" t="s">
        <v>3361</v>
      </c>
      <c r="C2673" s="1" t="s">
        <v>101</v>
      </c>
      <c r="D2673" s="1" t="s">
        <v>101</v>
      </c>
      <c r="E2673" s="81">
        <v>0</v>
      </c>
      <c r="F2673" s="81">
        <v>0</v>
      </c>
    </row>
    <row r="2674" spans="1:6" x14ac:dyDescent="0.2">
      <c r="A2674" s="1" t="s">
        <v>179</v>
      </c>
      <c r="B2674" s="1" t="s">
        <v>3362</v>
      </c>
      <c r="C2674" s="1" t="s">
        <v>101</v>
      </c>
      <c r="D2674" s="1" t="s">
        <v>101</v>
      </c>
      <c r="E2674" s="81">
        <v>0</v>
      </c>
      <c r="F2674" s="81">
        <v>0</v>
      </c>
    </row>
    <row r="2675" spans="1:6" x14ac:dyDescent="0.2">
      <c r="A2675" s="1" t="s">
        <v>179</v>
      </c>
      <c r="B2675" s="1" t="s">
        <v>3363</v>
      </c>
      <c r="C2675" s="1" t="s">
        <v>101</v>
      </c>
      <c r="D2675" s="1" t="s">
        <v>101</v>
      </c>
      <c r="E2675" s="81">
        <v>0</v>
      </c>
      <c r="F2675" s="81">
        <v>0</v>
      </c>
    </row>
    <row r="2676" spans="1:6" x14ac:dyDescent="0.2">
      <c r="A2676" s="1" t="s">
        <v>179</v>
      </c>
      <c r="B2676" s="1" t="s">
        <v>3364</v>
      </c>
      <c r="C2676" s="1" t="s">
        <v>101</v>
      </c>
      <c r="D2676" s="1" t="s">
        <v>101</v>
      </c>
      <c r="E2676" s="81">
        <v>0</v>
      </c>
      <c r="F2676" s="81">
        <v>0</v>
      </c>
    </row>
    <row r="2677" spans="1:6" x14ac:dyDescent="0.2">
      <c r="A2677" s="1" t="s">
        <v>179</v>
      </c>
      <c r="B2677" s="1" t="s">
        <v>3365</v>
      </c>
      <c r="C2677" s="1" t="s">
        <v>101</v>
      </c>
      <c r="D2677" s="1" t="s">
        <v>101</v>
      </c>
      <c r="E2677" s="81">
        <v>0</v>
      </c>
      <c r="F2677" s="81">
        <v>0</v>
      </c>
    </row>
    <row r="2678" spans="1:6" x14ac:dyDescent="0.2">
      <c r="A2678" s="1" t="s">
        <v>179</v>
      </c>
      <c r="B2678" s="1" t="s">
        <v>3366</v>
      </c>
      <c r="C2678" s="1" t="s">
        <v>101</v>
      </c>
      <c r="D2678" s="1" t="s">
        <v>101</v>
      </c>
      <c r="E2678" s="81">
        <v>0</v>
      </c>
      <c r="F2678" s="81">
        <v>0</v>
      </c>
    </row>
    <row r="2679" spans="1:6" x14ac:dyDescent="0.2">
      <c r="A2679" s="1" t="s">
        <v>179</v>
      </c>
      <c r="B2679" s="1" t="s">
        <v>3367</v>
      </c>
      <c r="C2679" s="1" t="s">
        <v>101</v>
      </c>
      <c r="D2679" s="1" t="s">
        <v>101</v>
      </c>
      <c r="E2679" s="81">
        <v>0</v>
      </c>
      <c r="F2679" s="81">
        <v>0</v>
      </c>
    </row>
    <row r="2680" spans="1:6" x14ac:dyDescent="0.2">
      <c r="A2680" s="1" t="s">
        <v>179</v>
      </c>
      <c r="B2680" s="1" t="s">
        <v>3368</v>
      </c>
      <c r="C2680" s="1" t="s">
        <v>101</v>
      </c>
      <c r="D2680" s="1" t="s">
        <v>101</v>
      </c>
      <c r="E2680" s="81">
        <v>0</v>
      </c>
      <c r="F2680" s="81">
        <v>0</v>
      </c>
    </row>
    <row r="2681" spans="1:6" x14ac:dyDescent="0.2">
      <c r="A2681" s="1" t="s">
        <v>179</v>
      </c>
      <c r="B2681" s="1" t="s">
        <v>3369</v>
      </c>
      <c r="C2681" s="1" t="s">
        <v>101</v>
      </c>
      <c r="D2681" s="1" t="s">
        <v>101</v>
      </c>
      <c r="E2681" s="81">
        <v>0</v>
      </c>
      <c r="F2681" s="81">
        <v>0</v>
      </c>
    </row>
    <row r="2682" spans="1:6" x14ac:dyDescent="0.2">
      <c r="A2682" s="1" t="s">
        <v>179</v>
      </c>
      <c r="B2682" s="1" t="s">
        <v>3370</v>
      </c>
      <c r="C2682" s="1" t="s">
        <v>101</v>
      </c>
      <c r="D2682" s="1" t="s">
        <v>101</v>
      </c>
      <c r="E2682" s="81">
        <v>0</v>
      </c>
      <c r="F2682" s="81">
        <v>0</v>
      </c>
    </row>
    <row r="2683" spans="1:6" x14ac:dyDescent="0.2">
      <c r="A2683" s="1" t="s">
        <v>179</v>
      </c>
      <c r="B2683" s="1" t="s">
        <v>3371</v>
      </c>
      <c r="C2683" s="1" t="s">
        <v>101</v>
      </c>
      <c r="D2683" s="1" t="s">
        <v>101</v>
      </c>
      <c r="E2683" s="81">
        <v>0</v>
      </c>
      <c r="F2683" s="81">
        <v>0</v>
      </c>
    </row>
    <row r="2684" spans="1:6" x14ac:dyDescent="0.2">
      <c r="A2684" s="1" t="s">
        <v>179</v>
      </c>
      <c r="B2684" s="1" t="s">
        <v>3372</v>
      </c>
      <c r="C2684" s="1" t="s">
        <v>101</v>
      </c>
      <c r="D2684" s="1" t="s">
        <v>101</v>
      </c>
      <c r="E2684" s="81">
        <v>0</v>
      </c>
      <c r="F2684" s="81">
        <v>0</v>
      </c>
    </row>
    <row r="2685" spans="1:6" x14ac:dyDescent="0.2">
      <c r="A2685" s="1" t="s">
        <v>179</v>
      </c>
      <c r="B2685" s="1" t="s">
        <v>3373</v>
      </c>
      <c r="C2685" s="1" t="s">
        <v>101</v>
      </c>
      <c r="D2685" s="1" t="s">
        <v>101</v>
      </c>
      <c r="E2685" s="81">
        <v>0</v>
      </c>
      <c r="F2685" s="81">
        <v>0</v>
      </c>
    </row>
    <row r="2686" spans="1:6" x14ac:dyDescent="0.2">
      <c r="A2686" s="1" t="s">
        <v>179</v>
      </c>
      <c r="B2686" s="1" t="s">
        <v>3374</v>
      </c>
      <c r="C2686" s="1" t="s">
        <v>101</v>
      </c>
      <c r="D2686" s="1" t="s">
        <v>101</v>
      </c>
      <c r="E2686" s="81">
        <v>0</v>
      </c>
      <c r="F2686" s="81">
        <v>0</v>
      </c>
    </row>
    <row r="2687" spans="1:6" x14ac:dyDescent="0.2">
      <c r="A2687" s="1" t="s">
        <v>179</v>
      </c>
      <c r="B2687" s="1" t="s">
        <v>3375</v>
      </c>
      <c r="C2687" s="1" t="s">
        <v>101</v>
      </c>
      <c r="D2687" s="1" t="s">
        <v>101</v>
      </c>
      <c r="E2687" s="81">
        <v>0</v>
      </c>
      <c r="F2687" s="81">
        <v>0</v>
      </c>
    </row>
    <row r="2688" spans="1:6" x14ac:dyDescent="0.2">
      <c r="A2688" s="1" t="s">
        <v>179</v>
      </c>
      <c r="B2688" s="1" t="s">
        <v>3376</v>
      </c>
      <c r="C2688" s="1" t="s">
        <v>101</v>
      </c>
      <c r="D2688" s="1" t="s">
        <v>101</v>
      </c>
      <c r="E2688" s="81">
        <v>0</v>
      </c>
      <c r="F2688" s="81">
        <v>0</v>
      </c>
    </row>
    <row r="2689" spans="1:6" x14ac:dyDescent="0.2">
      <c r="A2689" s="1" t="s">
        <v>179</v>
      </c>
      <c r="B2689" s="1" t="s">
        <v>3377</v>
      </c>
      <c r="C2689" s="1" t="s">
        <v>101</v>
      </c>
      <c r="D2689" s="1" t="s">
        <v>101</v>
      </c>
      <c r="E2689" s="81">
        <v>0</v>
      </c>
      <c r="F2689" s="81">
        <v>0</v>
      </c>
    </row>
    <row r="2690" spans="1:6" x14ac:dyDescent="0.2">
      <c r="A2690" s="1" t="s">
        <v>179</v>
      </c>
      <c r="B2690" s="1" t="s">
        <v>3378</v>
      </c>
      <c r="C2690" s="1" t="s">
        <v>101</v>
      </c>
      <c r="D2690" s="1" t="s">
        <v>101</v>
      </c>
      <c r="E2690" s="81">
        <v>0</v>
      </c>
      <c r="F2690" s="81">
        <v>0</v>
      </c>
    </row>
    <row r="2691" spans="1:6" x14ac:dyDescent="0.2">
      <c r="A2691" s="1" t="s">
        <v>179</v>
      </c>
      <c r="B2691" s="1" t="s">
        <v>3379</v>
      </c>
      <c r="C2691" s="1" t="s">
        <v>101</v>
      </c>
      <c r="D2691" s="1" t="s">
        <v>101</v>
      </c>
      <c r="E2691" s="81">
        <v>0</v>
      </c>
      <c r="F2691" s="81">
        <v>0</v>
      </c>
    </row>
    <row r="2692" spans="1:6" x14ac:dyDescent="0.2">
      <c r="A2692" s="1" t="s">
        <v>179</v>
      </c>
      <c r="B2692" s="1" t="s">
        <v>3380</v>
      </c>
      <c r="C2692" s="1" t="s">
        <v>4160</v>
      </c>
      <c r="D2692" s="1" t="s">
        <v>4160</v>
      </c>
      <c r="E2692" s="81">
        <v>636.73</v>
      </c>
      <c r="F2692" s="81">
        <v>636.73</v>
      </c>
    </row>
    <row r="2693" spans="1:6" x14ac:dyDescent="0.2">
      <c r="A2693" s="1" t="s">
        <v>179</v>
      </c>
      <c r="B2693" s="1" t="s">
        <v>3381</v>
      </c>
      <c r="C2693" s="1" t="s">
        <v>4161</v>
      </c>
      <c r="D2693" s="1" t="s">
        <v>4161</v>
      </c>
      <c r="E2693" s="81">
        <v>702.8</v>
      </c>
      <c r="F2693" s="81">
        <v>702.8</v>
      </c>
    </row>
    <row r="2694" spans="1:6" x14ac:dyDescent="0.2">
      <c r="A2694" s="1" t="s">
        <v>179</v>
      </c>
      <c r="B2694" s="1" t="s">
        <v>3382</v>
      </c>
      <c r="C2694" s="1" t="s">
        <v>4162</v>
      </c>
      <c r="D2694" s="1" t="s">
        <v>4162</v>
      </c>
      <c r="E2694" s="81">
        <v>688.69</v>
      </c>
      <c r="F2694" s="81">
        <v>688.69</v>
      </c>
    </row>
    <row r="2695" spans="1:6" x14ac:dyDescent="0.2">
      <c r="A2695" s="1" t="s">
        <v>179</v>
      </c>
      <c r="B2695" s="1" t="s">
        <v>3383</v>
      </c>
      <c r="C2695" s="1" t="s">
        <v>101</v>
      </c>
      <c r="D2695" s="1" t="s">
        <v>101</v>
      </c>
      <c r="E2695" s="81">
        <v>0</v>
      </c>
      <c r="F2695" s="81">
        <v>0</v>
      </c>
    </row>
    <row r="2696" spans="1:6" x14ac:dyDescent="0.2">
      <c r="A2696" s="1" t="s">
        <v>179</v>
      </c>
      <c r="B2696" s="1" t="s">
        <v>3384</v>
      </c>
      <c r="C2696" s="1" t="s">
        <v>101</v>
      </c>
      <c r="D2696" s="1" t="s">
        <v>101</v>
      </c>
      <c r="E2696" s="81">
        <v>0</v>
      </c>
      <c r="F2696" s="81">
        <v>0</v>
      </c>
    </row>
    <row r="2697" spans="1:6" x14ac:dyDescent="0.2">
      <c r="A2697" s="1" t="s">
        <v>179</v>
      </c>
      <c r="B2697" s="1" t="s">
        <v>3385</v>
      </c>
      <c r="C2697" s="1" t="s">
        <v>101</v>
      </c>
      <c r="D2697" s="1" t="s">
        <v>101</v>
      </c>
      <c r="E2697" s="81">
        <v>0</v>
      </c>
      <c r="F2697" s="81">
        <v>0</v>
      </c>
    </row>
    <row r="2698" spans="1:6" x14ac:dyDescent="0.2">
      <c r="A2698" s="1" t="s">
        <v>179</v>
      </c>
      <c r="B2698" s="1" t="s">
        <v>3386</v>
      </c>
      <c r="C2698" s="1" t="s">
        <v>101</v>
      </c>
      <c r="D2698" s="1" t="s">
        <v>101</v>
      </c>
      <c r="E2698" s="81">
        <v>0</v>
      </c>
      <c r="F2698" s="81">
        <v>0</v>
      </c>
    </row>
    <row r="2699" spans="1:6" x14ac:dyDescent="0.2">
      <c r="A2699" s="1" t="s">
        <v>179</v>
      </c>
      <c r="B2699" s="1" t="s">
        <v>3387</v>
      </c>
      <c r="C2699" s="1" t="s">
        <v>101</v>
      </c>
      <c r="D2699" s="1" t="s">
        <v>101</v>
      </c>
      <c r="E2699" s="81">
        <v>0</v>
      </c>
      <c r="F2699" s="81">
        <v>0</v>
      </c>
    </row>
    <row r="2700" spans="1:6" x14ac:dyDescent="0.2">
      <c r="A2700" s="1" t="s">
        <v>179</v>
      </c>
      <c r="B2700" s="1" t="s">
        <v>3388</v>
      </c>
      <c r="C2700" s="1" t="s">
        <v>101</v>
      </c>
      <c r="D2700" s="1" t="s">
        <v>101</v>
      </c>
      <c r="E2700" s="81">
        <v>0</v>
      </c>
      <c r="F2700" s="81">
        <v>0</v>
      </c>
    </row>
    <row r="2701" spans="1:6" x14ac:dyDescent="0.2">
      <c r="A2701" s="1" t="s">
        <v>179</v>
      </c>
      <c r="B2701" s="1" t="s">
        <v>3389</v>
      </c>
      <c r="C2701" s="1" t="s">
        <v>101</v>
      </c>
      <c r="D2701" s="1" t="s">
        <v>101</v>
      </c>
      <c r="E2701" s="81">
        <v>0</v>
      </c>
      <c r="F2701" s="81">
        <v>0</v>
      </c>
    </row>
    <row r="2702" spans="1:6" x14ac:dyDescent="0.2">
      <c r="A2702" s="1" t="s">
        <v>179</v>
      </c>
      <c r="B2702" s="1" t="s">
        <v>3390</v>
      </c>
      <c r="C2702" s="1" t="s">
        <v>101</v>
      </c>
      <c r="D2702" s="1" t="s">
        <v>101</v>
      </c>
      <c r="E2702" s="81">
        <v>0</v>
      </c>
      <c r="F2702" s="81">
        <v>0</v>
      </c>
    </row>
    <row r="2703" spans="1:6" x14ac:dyDescent="0.2">
      <c r="A2703" s="1" t="s">
        <v>179</v>
      </c>
      <c r="B2703" s="1" t="s">
        <v>3391</v>
      </c>
      <c r="C2703" s="1" t="s">
        <v>101</v>
      </c>
      <c r="D2703" s="1" t="s">
        <v>101</v>
      </c>
      <c r="E2703" s="81">
        <v>0</v>
      </c>
      <c r="F2703" s="81">
        <v>0</v>
      </c>
    </row>
    <row r="2704" spans="1:6" x14ac:dyDescent="0.2">
      <c r="A2704" s="1" t="s">
        <v>179</v>
      </c>
      <c r="B2704" s="1" t="s">
        <v>3392</v>
      </c>
      <c r="C2704" s="1" t="s">
        <v>4163</v>
      </c>
      <c r="D2704" s="1" t="s">
        <v>4163</v>
      </c>
      <c r="E2704" s="81">
        <v>2028.22</v>
      </c>
      <c r="F2704" s="81">
        <v>2028.22</v>
      </c>
    </row>
    <row r="2705" spans="1:6" x14ac:dyDescent="0.2">
      <c r="A2705" s="1" t="s">
        <v>179</v>
      </c>
      <c r="B2705" s="1" t="s">
        <v>3393</v>
      </c>
      <c r="C2705" s="1" t="s">
        <v>4170</v>
      </c>
      <c r="D2705" s="1" t="s">
        <v>4170</v>
      </c>
      <c r="E2705" s="81">
        <v>206.8</v>
      </c>
      <c r="F2705" s="81">
        <v>206.8</v>
      </c>
    </row>
    <row r="2706" spans="1:6" x14ac:dyDescent="0.2">
      <c r="A2706" s="1" t="s">
        <v>179</v>
      </c>
      <c r="B2706" s="1" t="s">
        <v>3394</v>
      </c>
      <c r="C2706" s="1" t="s">
        <v>4171</v>
      </c>
      <c r="D2706" s="1" t="s">
        <v>4171</v>
      </c>
      <c r="E2706" s="81">
        <v>470.45</v>
      </c>
      <c r="F2706" s="81">
        <v>470.45</v>
      </c>
    </row>
    <row r="2707" spans="1:6" x14ac:dyDescent="0.2">
      <c r="A2707" s="1" t="s">
        <v>179</v>
      </c>
      <c r="B2707" s="1" t="s">
        <v>3395</v>
      </c>
      <c r="C2707" s="1" t="s">
        <v>4172</v>
      </c>
      <c r="D2707" s="1" t="s">
        <v>4172</v>
      </c>
      <c r="E2707" s="81">
        <v>341.37</v>
      </c>
      <c r="F2707" s="81">
        <v>341.37</v>
      </c>
    </row>
    <row r="2708" spans="1:6" x14ac:dyDescent="0.2">
      <c r="A2708" s="1" t="s">
        <v>179</v>
      </c>
      <c r="B2708" s="1" t="s">
        <v>3396</v>
      </c>
      <c r="C2708" s="1" t="s">
        <v>101</v>
      </c>
      <c r="D2708" s="1" t="s">
        <v>101</v>
      </c>
      <c r="E2708" s="81">
        <v>0</v>
      </c>
      <c r="F2708" s="81">
        <v>0</v>
      </c>
    </row>
    <row r="2709" spans="1:6" x14ac:dyDescent="0.2">
      <c r="A2709" s="1" t="s">
        <v>179</v>
      </c>
      <c r="B2709" s="1" t="s">
        <v>3397</v>
      </c>
      <c r="C2709" s="1" t="s">
        <v>101</v>
      </c>
      <c r="D2709" s="1" t="s">
        <v>101</v>
      </c>
      <c r="E2709" s="81">
        <v>0</v>
      </c>
      <c r="F2709" s="81">
        <v>0</v>
      </c>
    </row>
    <row r="2710" spans="1:6" x14ac:dyDescent="0.2">
      <c r="A2710" s="1" t="s">
        <v>179</v>
      </c>
      <c r="B2710" s="1" t="s">
        <v>3398</v>
      </c>
      <c r="C2710" s="1" t="s">
        <v>101</v>
      </c>
      <c r="D2710" s="1" t="s">
        <v>101</v>
      </c>
      <c r="E2710" s="81">
        <v>0</v>
      </c>
      <c r="F2710" s="81">
        <v>0</v>
      </c>
    </row>
    <row r="2711" spans="1:6" x14ac:dyDescent="0.2">
      <c r="A2711" s="1" t="s">
        <v>179</v>
      </c>
      <c r="B2711" s="1" t="s">
        <v>3399</v>
      </c>
      <c r="C2711" s="1" t="s">
        <v>101</v>
      </c>
      <c r="D2711" s="1" t="s">
        <v>101</v>
      </c>
      <c r="E2711" s="81">
        <v>0</v>
      </c>
      <c r="F2711" s="81">
        <v>0</v>
      </c>
    </row>
    <row r="2712" spans="1:6" x14ac:dyDescent="0.2">
      <c r="A2712" s="1" t="s">
        <v>179</v>
      </c>
      <c r="B2712" s="1" t="s">
        <v>3400</v>
      </c>
      <c r="C2712" s="1" t="s">
        <v>101</v>
      </c>
      <c r="D2712" s="1" t="s">
        <v>101</v>
      </c>
      <c r="E2712" s="81">
        <v>0</v>
      </c>
      <c r="F2712" s="81">
        <v>0</v>
      </c>
    </row>
    <row r="2713" spans="1:6" x14ac:dyDescent="0.2">
      <c r="A2713" s="1" t="s">
        <v>179</v>
      </c>
      <c r="B2713" s="1" t="s">
        <v>3401</v>
      </c>
      <c r="C2713" s="1" t="s">
        <v>101</v>
      </c>
      <c r="D2713" s="1" t="s">
        <v>101</v>
      </c>
      <c r="E2713" s="81">
        <v>0</v>
      </c>
      <c r="F2713" s="81">
        <v>0</v>
      </c>
    </row>
    <row r="2714" spans="1:6" x14ac:dyDescent="0.2">
      <c r="A2714" s="1" t="s">
        <v>179</v>
      </c>
      <c r="B2714" s="1" t="s">
        <v>3402</v>
      </c>
      <c r="C2714" s="1" t="s">
        <v>101</v>
      </c>
      <c r="D2714" s="1" t="s">
        <v>101</v>
      </c>
      <c r="E2714" s="81">
        <v>0</v>
      </c>
      <c r="F2714" s="81">
        <v>0</v>
      </c>
    </row>
    <row r="2715" spans="1:6" x14ac:dyDescent="0.2">
      <c r="A2715" s="1" t="s">
        <v>179</v>
      </c>
      <c r="B2715" s="1" t="s">
        <v>3403</v>
      </c>
      <c r="C2715" s="1" t="s">
        <v>101</v>
      </c>
      <c r="D2715" s="1" t="s">
        <v>101</v>
      </c>
      <c r="E2715" s="81">
        <v>0</v>
      </c>
      <c r="F2715" s="81">
        <v>0</v>
      </c>
    </row>
    <row r="2716" spans="1:6" x14ac:dyDescent="0.2">
      <c r="A2716" s="1" t="s">
        <v>179</v>
      </c>
      <c r="B2716" s="1" t="s">
        <v>3404</v>
      </c>
      <c r="C2716" s="1" t="s">
        <v>101</v>
      </c>
      <c r="D2716" s="1" t="s">
        <v>101</v>
      </c>
      <c r="E2716" s="81">
        <v>0</v>
      </c>
      <c r="F2716" s="81">
        <v>0</v>
      </c>
    </row>
    <row r="2717" spans="1:6" x14ac:dyDescent="0.2">
      <c r="A2717" s="1" t="s">
        <v>179</v>
      </c>
      <c r="B2717" s="1" t="s">
        <v>3405</v>
      </c>
      <c r="C2717" s="1" t="s">
        <v>4173</v>
      </c>
      <c r="D2717" s="1" t="s">
        <v>4173</v>
      </c>
      <c r="E2717" s="81">
        <v>1018.62</v>
      </c>
      <c r="F2717" s="81">
        <v>1018.62</v>
      </c>
    </row>
    <row r="2718" spans="1:6" x14ac:dyDescent="0.2">
      <c r="A2718" s="1" t="s">
        <v>179</v>
      </c>
      <c r="B2718" s="1" t="s">
        <v>3406</v>
      </c>
      <c r="C2718" s="1" t="s">
        <v>4174</v>
      </c>
      <c r="D2718" s="1" t="s">
        <v>4174</v>
      </c>
      <c r="E2718" s="81">
        <v>188.7</v>
      </c>
      <c r="F2718" s="81">
        <v>188.7</v>
      </c>
    </row>
    <row r="2719" spans="1:6" x14ac:dyDescent="0.2">
      <c r="A2719" s="1" t="s">
        <v>179</v>
      </c>
      <c r="B2719" s="1" t="s">
        <v>3407</v>
      </c>
      <c r="C2719" s="1" t="s">
        <v>4175</v>
      </c>
      <c r="D2719" s="1" t="s">
        <v>4175</v>
      </c>
      <c r="E2719" s="81">
        <v>452.84</v>
      </c>
      <c r="F2719" s="81">
        <v>452.84</v>
      </c>
    </row>
    <row r="2720" spans="1:6" x14ac:dyDescent="0.2">
      <c r="A2720" s="1" t="s">
        <v>179</v>
      </c>
      <c r="B2720" s="1" t="s">
        <v>3408</v>
      </c>
      <c r="C2720" s="1" t="s">
        <v>4176</v>
      </c>
      <c r="D2720" s="1" t="s">
        <v>4176</v>
      </c>
      <c r="E2720" s="81">
        <v>323.29000000000002</v>
      </c>
      <c r="F2720" s="81">
        <v>323.29000000000002</v>
      </c>
    </row>
    <row r="2721" spans="1:6" x14ac:dyDescent="0.2">
      <c r="A2721" s="1" t="s">
        <v>179</v>
      </c>
      <c r="B2721" s="1" t="s">
        <v>3409</v>
      </c>
      <c r="C2721" s="1" t="s">
        <v>101</v>
      </c>
      <c r="D2721" s="1" t="s">
        <v>101</v>
      </c>
      <c r="E2721" s="81">
        <v>0</v>
      </c>
      <c r="F2721" s="81">
        <v>0</v>
      </c>
    </row>
    <row r="2722" spans="1:6" x14ac:dyDescent="0.2">
      <c r="A2722" s="1" t="s">
        <v>179</v>
      </c>
      <c r="B2722" s="1" t="s">
        <v>3410</v>
      </c>
      <c r="C2722" s="1" t="s">
        <v>101</v>
      </c>
      <c r="D2722" s="1" t="s">
        <v>101</v>
      </c>
      <c r="E2722" s="81">
        <v>0</v>
      </c>
      <c r="F2722" s="81">
        <v>0</v>
      </c>
    </row>
    <row r="2723" spans="1:6" x14ac:dyDescent="0.2">
      <c r="A2723" s="1" t="s">
        <v>179</v>
      </c>
      <c r="B2723" s="1" t="s">
        <v>3411</v>
      </c>
      <c r="C2723" s="1" t="s">
        <v>101</v>
      </c>
      <c r="D2723" s="1" t="s">
        <v>101</v>
      </c>
      <c r="E2723" s="81">
        <v>0</v>
      </c>
      <c r="F2723" s="81">
        <v>0</v>
      </c>
    </row>
    <row r="2724" spans="1:6" x14ac:dyDescent="0.2">
      <c r="A2724" s="1" t="s">
        <v>179</v>
      </c>
      <c r="B2724" s="1" t="s">
        <v>3412</v>
      </c>
      <c r="C2724" s="1" t="s">
        <v>101</v>
      </c>
      <c r="D2724" s="1" t="s">
        <v>101</v>
      </c>
      <c r="E2724" s="81">
        <v>0</v>
      </c>
      <c r="F2724" s="81">
        <v>0</v>
      </c>
    </row>
    <row r="2725" spans="1:6" x14ac:dyDescent="0.2">
      <c r="A2725" s="1" t="s">
        <v>179</v>
      </c>
      <c r="B2725" s="1" t="s">
        <v>3413</v>
      </c>
      <c r="C2725" s="1" t="s">
        <v>101</v>
      </c>
      <c r="D2725" s="1" t="s">
        <v>101</v>
      </c>
      <c r="E2725" s="81">
        <v>0</v>
      </c>
      <c r="F2725" s="81">
        <v>0</v>
      </c>
    </row>
    <row r="2726" spans="1:6" x14ac:dyDescent="0.2">
      <c r="A2726" s="1" t="s">
        <v>179</v>
      </c>
      <c r="B2726" s="1" t="s">
        <v>3414</v>
      </c>
      <c r="C2726" s="1" t="s">
        <v>101</v>
      </c>
      <c r="D2726" s="1" t="s">
        <v>101</v>
      </c>
      <c r="E2726" s="81">
        <v>0</v>
      </c>
      <c r="F2726" s="81">
        <v>0</v>
      </c>
    </row>
    <row r="2727" spans="1:6" x14ac:dyDescent="0.2">
      <c r="A2727" s="1" t="s">
        <v>179</v>
      </c>
      <c r="B2727" s="1" t="s">
        <v>3415</v>
      </c>
      <c r="C2727" s="1" t="s">
        <v>101</v>
      </c>
      <c r="D2727" s="1" t="s">
        <v>101</v>
      </c>
      <c r="E2727" s="81">
        <v>0</v>
      </c>
      <c r="F2727" s="81">
        <v>0</v>
      </c>
    </row>
    <row r="2728" spans="1:6" x14ac:dyDescent="0.2">
      <c r="A2728" s="1" t="s">
        <v>179</v>
      </c>
      <c r="B2728" s="1" t="s">
        <v>3416</v>
      </c>
      <c r="C2728" s="1" t="s">
        <v>101</v>
      </c>
      <c r="D2728" s="1" t="s">
        <v>101</v>
      </c>
      <c r="E2728" s="81">
        <v>0</v>
      </c>
      <c r="F2728" s="81">
        <v>0</v>
      </c>
    </row>
    <row r="2729" spans="1:6" x14ac:dyDescent="0.2">
      <c r="A2729" s="1" t="s">
        <v>179</v>
      </c>
      <c r="B2729" s="1" t="s">
        <v>3417</v>
      </c>
      <c r="C2729" s="1" t="s">
        <v>101</v>
      </c>
      <c r="D2729" s="1" t="s">
        <v>101</v>
      </c>
      <c r="E2729" s="81">
        <v>0</v>
      </c>
      <c r="F2729" s="81">
        <v>0</v>
      </c>
    </row>
    <row r="2730" spans="1:6" x14ac:dyDescent="0.2">
      <c r="A2730" s="1" t="s">
        <v>179</v>
      </c>
      <c r="B2730" s="1" t="s">
        <v>3418</v>
      </c>
      <c r="C2730" s="1" t="s">
        <v>4177</v>
      </c>
      <c r="D2730" s="1" t="s">
        <v>4177</v>
      </c>
      <c r="E2730" s="81">
        <v>18.420000000000002</v>
      </c>
      <c r="F2730" s="81">
        <v>18.420000000000002</v>
      </c>
    </row>
    <row r="2731" spans="1:6" x14ac:dyDescent="0.2">
      <c r="A2731" s="1" t="s">
        <v>179</v>
      </c>
      <c r="B2731" s="1" t="s">
        <v>3419</v>
      </c>
      <c r="C2731" s="1" t="s">
        <v>4177</v>
      </c>
      <c r="D2731" s="1" t="s">
        <v>4177</v>
      </c>
      <c r="E2731" s="81">
        <v>18.420000000000002</v>
      </c>
      <c r="F2731" s="81">
        <v>18.420000000000002</v>
      </c>
    </row>
    <row r="2732" spans="1:6" x14ac:dyDescent="0.2">
      <c r="A2732" s="1" t="s">
        <v>179</v>
      </c>
      <c r="B2732" s="1" t="s">
        <v>3420</v>
      </c>
      <c r="C2732" s="1" t="s">
        <v>4178</v>
      </c>
      <c r="D2732" s="1" t="s">
        <v>4178</v>
      </c>
      <c r="E2732" s="81">
        <v>18.62</v>
      </c>
      <c r="F2732" s="81">
        <v>18.62</v>
      </c>
    </row>
    <row r="2733" spans="1:6" x14ac:dyDescent="0.2">
      <c r="A2733" s="1" t="s">
        <v>179</v>
      </c>
      <c r="B2733" s="1" t="s">
        <v>3421</v>
      </c>
      <c r="C2733" s="1" t="s">
        <v>101</v>
      </c>
      <c r="D2733" s="1" t="s">
        <v>101</v>
      </c>
      <c r="E2733" s="81">
        <v>0</v>
      </c>
      <c r="F2733" s="81">
        <v>0</v>
      </c>
    </row>
    <row r="2734" spans="1:6" x14ac:dyDescent="0.2">
      <c r="A2734" s="1" t="s">
        <v>179</v>
      </c>
      <c r="B2734" s="1" t="s">
        <v>3422</v>
      </c>
      <c r="C2734" s="1" t="s">
        <v>101</v>
      </c>
      <c r="D2734" s="1" t="s">
        <v>101</v>
      </c>
      <c r="E2734" s="81">
        <v>0</v>
      </c>
      <c r="F2734" s="81">
        <v>0</v>
      </c>
    </row>
    <row r="2735" spans="1:6" x14ac:dyDescent="0.2">
      <c r="A2735" s="1" t="s">
        <v>179</v>
      </c>
      <c r="B2735" s="1" t="s">
        <v>3423</v>
      </c>
      <c r="C2735" s="1" t="s">
        <v>101</v>
      </c>
      <c r="D2735" s="1" t="s">
        <v>101</v>
      </c>
      <c r="E2735" s="81">
        <v>0</v>
      </c>
      <c r="F2735" s="81">
        <v>0</v>
      </c>
    </row>
    <row r="2736" spans="1:6" x14ac:dyDescent="0.2">
      <c r="A2736" s="1" t="s">
        <v>179</v>
      </c>
      <c r="B2736" s="1" t="s">
        <v>3424</v>
      </c>
      <c r="C2736" s="1" t="s">
        <v>101</v>
      </c>
      <c r="D2736" s="1" t="s">
        <v>101</v>
      </c>
      <c r="E2736" s="81">
        <v>0</v>
      </c>
      <c r="F2736" s="81">
        <v>0</v>
      </c>
    </row>
    <row r="2737" spans="1:6" x14ac:dyDescent="0.2">
      <c r="A2737" s="1" t="s">
        <v>179</v>
      </c>
      <c r="B2737" s="1" t="s">
        <v>3425</v>
      </c>
      <c r="C2737" s="1" t="s">
        <v>101</v>
      </c>
      <c r="D2737" s="1" t="s">
        <v>101</v>
      </c>
      <c r="E2737" s="81">
        <v>0</v>
      </c>
      <c r="F2737" s="81">
        <v>0</v>
      </c>
    </row>
    <row r="2738" spans="1:6" x14ac:dyDescent="0.2">
      <c r="A2738" s="1" t="s">
        <v>179</v>
      </c>
      <c r="B2738" s="1" t="s">
        <v>3426</v>
      </c>
      <c r="C2738" s="1" t="s">
        <v>101</v>
      </c>
      <c r="D2738" s="1" t="s">
        <v>101</v>
      </c>
      <c r="E2738" s="81">
        <v>0</v>
      </c>
      <c r="F2738" s="81">
        <v>0</v>
      </c>
    </row>
    <row r="2739" spans="1:6" x14ac:dyDescent="0.2">
      <c r="A2739" s="1" t="s">
        <v>179</v>
      </c>
      <c r="B2739" s="1" t="s">
        <v>3427</v>
      </c>
      <c r="C2739" s="1" t="s">
        <v>101</v>
      </c>
      <c r="D2739" s="1" t="s">
        <v>101</v>
      </c>
      <c r="E2739" s="81">
        <v>0</v>
      </c>
      <c r="F2739" s="81">
        <v>0</v>
      </c>
    </row>
    <row r="2740" spans="1:6" x14ac:dyDescent="0.2">
      <c r="A2740" s="1" t="s">
        <v>179</v>
      </c>
      <c r="B2740" s="1" t="s">
        <v>3428</v>
      </c>
      <c r="C2740" s="1" t="s">
        <v>101</v>
      </c>
      <c r="D2740" s="1" t="s">
        <v>101</v>
      </c>
      <c r="E2740" s="81">
        <v>0</v>
      </c>
      <c r="F2740" s="81">
        <v>0</v>
      </c>
    </row>
    <row r="2741" spans="1:6" x14ac:dyDescent="0.2">
      <c r="A2741" s="1" t="s">
        <v>179</v>
      </c>
      <c r="B2741" s="1" t="s">
        <v>3429</v>
      </c>
      <c r="C2741" s="1" t="s">
        <v>101</v>
      </c>
      <c r="D2741" s="1" t="s">
        <v>101</v>
      </c>
      <c r="E2741" s="81">
        <v>0</v>
      </c>
      <c r="F2741" s="81">
        <v>0</v>
      </c>
    </row>
    <row r="2742" spans="1:6" x14ac:dyDescent="0.2">
      <c r="A2742" s="1" t="s">
        <v>179</v>
      </c>
      <c r="B2742" s="1" t="s">
        <v>3430</v>
      </c>
      <c r="C2742" s="1" t="s">
        <v>101</v>
      </c>
      <c r="D2742" s="1" t="s">
        <v>101</v>
      </c>
      <c r="E2742" s="81">
        <v>0</v>
      </c>
      <c r="F2742" s="81">
        <v>0</v>
      </c>
    </row>
    <row r="2743" spans="1:6" x14ac:dyDescent="0.2">
      <c r="A2743" s="1" t="s">
        <v>179</v>
      </c>
      <c r="B2743" s="1" t="s">
        <v>3431</v>
      </c>
      <c r="C2743" s="1" t="s">
        <v>101</v>
      </c>
      <c r="D2743" s="1" t="s">
        <v>101</v>
      </c>
      <c r="E2743" s="81">
        <v>0</v>
      </c>
      <c r="F2743" s="81">
        <v>0</v>
      </c>
    </row>
    <row r="2744" spans="1:6" x14ac:dyDescent="0.2">
      <c r="A2744" s="1" t="s">
        <v>179</v>
      </c>
      <c r="B2744" s="1" t="s">
        <v>3432</v>
      </c>
      <c r="C2744" s="1" t="s">
        <v>101</v>
      </c>
      <c r="D2744" s="1" t="s">
        <v>101</v>
      </c>
      <c r="E2744" s="81">
        <v>0</v>
      </c>
      <c r="F2744" s="81">
        <v>0</v>
      </c>
    </row>
    <row r="2745" spans="1:6" x14ac:dyDescent="0.2">
      <c r="A2745" s="1" t="s">
        <v>179</v>
      </c>
      <c r="B2745" s="1" t="s">
        <v>3433</v>
      </c>
      <c r="C2745" s="1" t="s">
        <v>101</v>
      </c>
      <c r="D2745" s="1" t="s">
        <v>101</v>
      </c>
      <c r="E2745" s="81">
        <v>0</v>
      </c>
      <c r="F2745" s="81">
        <v>0</v>
      </c>
    </row>
    <row r="2746" spans="1:6" x14ac:dyDescent="0.2">
      <c r="A2746" s="1" t="s">
        <v>179</v>
      </c>
      <c r="B2746" s="1" t="s">
        <v>3434</v>
      </c>
      <c r="C2746" s="1" t="s">
        <v>101</v>
      </c>
      <c r="D2746" s="1" t="s">
        <v>101</v>
      </c>
      <c r="E2746" s="81">
        <v>0</v>
      </c>
      <c r="F2746" s="81">
        <v>0</v>
      </c>
    </row>
    <row r="2747" spans="1:6" x14ac:dyDescent="0.2">
      <c r="A2747" s="1" t="s">
        <v>179</v>
      </c>
      <c r="B2747" s="1" t="s">
        <v>3435</v>
      </c>
      <c r="C2747" s="1" t="s">
        <v>101</v>
      </c>
      <c r="D2747" s="1" t="s">
        <v>101</v>
      </c>
      <c r="E2747" s="81">
        <v>0</v>
      </c>
      <c r="F2747" s="81">
        <v>0</v>
      </c>
    </row>
    <row r="2748" spans="1:6" x14ac:dyDescent="0.2">
      <c r="A2748" s="1" t="s">
        <v>179</v>
      </c>
      <c r="B2748" s="1" t="s">
        <v>3436</v>
      </c>
      <c r="C2748" s="1" t="s">
        <v>101</v>
      </c>
      <c r="D2748" s="1" t="s">
        <v>101</v>
      </c>
      <c r="E2748" s="81">
        <v>0</v>
      </c>
      <c r="F2748" s="81">
        <v>0</v>
      </c>
    </row>
    <row r="2749" spans="1:6" x14ac:dyDescent="0.2">
      <c r="A2749" s="1" t="s">
        <v>179</v>
      </c>
      <c r="B2749" s="1" t="s">
        <v>3437</v>
      </c>
      <c r="C2749" s="1" t="s">
        <v>101</v>
      </c>
      <c r="D2749" s="1" t="s">
        <v>101</v>
      </c>
      <c r="E2749" s="81">
        <v>0</v>
      </c>
      <c r="F2749" s="81">
        <v>0</v>
      </c>
    </row>
    <row r="2750" spans="1:6" x14ac:dyDescent="0.2">
      <c r="A2750" s="1" t="s">
        <v>179</v>
      </c>
      <c r="B2750" s="1" t="s">
        <v>3438</v>
      </c>
      <c r="C2750" s="1" t="s">
        <v>101</v>
      </c>
      <c r="D2750" s="1" t="s">
        <v>101</v>
      </c>
      <c r="E2750" s="81">
        <v>0</v>
      </c>
      <c r="F2750" s="81">
        <v>0</v>
      </c>
    </row>
    <row r="2751" spans="1:6" x14ac:dyDescent="0.2">
      <c r="A2751" s="1" t="s">
        <v>179</v>
      </c>
      <c r="B2751" s="1" t="s">
        <v>3439</v>
      </c>
      <c r="C2751" s="1" t="s">
        <v>101</v>
      </c>
      <c r="D2751" s="1" t="s">
        <v>101</v>
      </c>
      <c r="E2751" s="81">
        <v>0</v>
      </c>
      <c r="F2751" s="81">
        <v>0</v>
      </c>
    </row>
    <row r="2752" spans="1:6" x14ac:dyDescent="0.2">
      <c r="A2752" s="1" t="s">
        <v>179</v>
      </c>
      <c r="B2752" s="1" t="s">
        <v>3440</v>
      </c>
      <c r="C2752" s="1" t="s">
        <v>101</v>
      </c>
      <c r="D2752" s="1" t="s">
        <v>101</v>
      </c>
      <c r="E2752" s="81">
        <v>0</v>
      </c>
      <c r="F2752" s="81">
        <v>0</v>
      </c>
    </row>
    <row r="2753" spans="1:6" x14ac:dyDescent="0.2">
      <c r="A2753" s="1" t="s">
        <v>179</v>
      </c>
      <c r="B2753" s="1" t="s">
        <v>3441</v>
      </c>
      <c r="C2753" s="1" t="s">
        <v>101</v>
      </c>
      <c r="D2753" s="1" t="s">
        <v>101</v>
      </c>
      <c r="E2753" s="81">
        <v>0</v>
      </c>
      <c r="F2753" s="81">
        <v>0</v>
      </c>
    </row>
    <row r="2754" spans="1:6" x14ac:dyDescent="0.2">
      <c r="A2754" s="1" t="s">
        <v>179</v>
      </c>
      <c r="B2754" s="1" t="s">
        <v>3442</v>
      </c>
      <c r="C2754" s="1" t="s">
        <v>4170</v>
      </c>
      <c r="D2754" s="1" t="s">
        <v>4170</v>
      </c>
      <c r="E2754" s="81">
        <v>206.8</v>
      </c>
      <c r="F2754" s="81">
        <v>206.8</v>
      </c>
    </row>
    <row r="2755" spans="1:6" x14ac:dyDescent="0.2">
      <c r="A2755" s="1" t="s">
        <v>179</v>
      </c>
      <c r="B2755" s="1" t="s">
        <v>3443</v>
      </c>
      <c r="C2755" s="1" t="s">
        <v>4171</v>
      </c>
      <c r="D2755" s="1" t="s">
        <v>4171</v>
      </c>
      <c r="E2755" s="81">
        <v>470.45</v>
      </c>
      <c r="F2755" s="81">
        <v>470.45</v>
      </c>
    </row>
    <row r="2756" spans="1:6" x14ac:dyDescent="0.2">
      <c r="A2756" s="1" t="s">
        <v>179</v>
      </c>
      <c r="B2756" s="1" t="s">
        <v>3444</v>
      </c>
      <c r="C2756" s="1" t="s">
        <v>4172</v>
      </c>
      <c r="D2756" s="1" t="s">
        <v>4172</v>
      </c>
      <c r="E2756" s="81">
        <v>341.37</v>
      </c>
      <c r="F2756" s="81">
        <v>341.37</v>
      </c>
    </row>
    <row r="2757" spans="1:6" x14ac:dyDescent="0.2">
      <c r="A2757" s="1" t="s">
        <v>179</v>
      </c>
      <c r="B2757" s="1" t="s">
        <v>3445</v>
      </c>
      <c r="C2757" s="1" t="s">
        <v>101</v>
      </c>
      <c r="D2757" s="1" t="s">
        <v>101</v>
      </c>
      <c r="E2757" s="81">
        <v>0</v>
      </c>
      <c r="F2757" s="81">
        <v>0</v>
      </c>
    </row>
    <row r="2758" spans="1:6" x14ac:dyDescent="0.2">
      <c r="A2758" s="1" t="s">
        <v>179</v>
      </c>
      <c r="B2758" s="1" t="s">
        <v>3446</v>
      </c>
      <c r="C2758" s="1" t="s">
        <v>101</v>
      </c>
      <c r="D2758" s="1" t="s">
        <v>101</v>
      </c>
      <c r="E2758" s="81">
        <v>0</v>
      </c>
      <c r="F2758" s="81">
        <v>0</v>
      </c>
    </row>
    <row r="2759" spans="1:6" x14ac:dyDescent="0.2">
      <c r="A2759" s="1" t="s">
        <v>179</v>
      </c>
      <c r="B2759" s="1" t="s">
        <v>3447</v>
      </c>
      <c r="C2759" s="1" t="s">
        <v>101</v>
      </c>
      <c r="D2759" s="1" t="s">
        <v>101</v>
      </c>
      <c r="E2759" s="81">
        <v>0</v>
      </c>
      <c r="F2759" s="81">
        <v>0</v>
      </c>
    </row>
    <row r="2760" spans="1:6" x14ac:dyDescent="0.2">
      <c r="A2760" s="1" t="s">
        <v>179</v>
      </c>
      <c r="B2760" s="1" t="s">
        <v>3448</v>
      </c>
      <c r="C2760" s="1" t="s">
        <v>101</v>
      </c>
      <c r="D2760" s="1" t="s">
        <v>101</v>
      </c>
      <c r="E2760" s="81">
        <v>0</v>
      </c>
      <c r="F2760" s="81">
        <v>0</v>
      </c>
    </row>
    <row r="2761" spans="1:6" x14ac:dyDescent="0.2">
      <c r="A2761" s="1" t="s">
        <v>179</v>
      </c>
      <c r="B2761" s="1" t="s">
        <v>3449</v>
      </c>
      <c r="C2761" s="1" t="s">
        <v>101</v>
      </c>
      <c r="D2761" s="1" t="s">
        <v>101</v>
      </c>
      <c r="E2761" s="81">
        <v>0</v>
      </c>
      <c r="F2761" s="81">
        <v>0</v>
      </c>
    </row>
    <row r="2762" spans="1:6" x14ac:dyDescent="0.2">
      <c r="A2762" s="1" t="s">
        <v>179</v>
      </c>
      <c r="B2762" s="1" t="s">
        <v>3450</v>
      </c>
      <c r="C2762" s="1" t="s">
        <v>101</v>
      </c>
      <c r="D2762" s="1" t="s">
        <v>101</v>
      </c>
      <c r="E2762" s="81">
        <v>0</v>
      </c>
      <c r="F2762" s="81">
        <v>0</v>
      </c>
    </row>
    <row r="2763" spans="1:6" x14ac:dyDescent="0.2">
      <c r="A2763" s="1" t="s">
        <v>179</v>
      </c>
      <c r="B2763" s="1" t="s">
        <v>3451</v>
      </c>
      <c r="C2763" s="1" t="s">
        <v>101</v>
      </c>
      <c r="D2763" s="1" t="s">
        <v>101</v>
      </c>
      <c r="E2763" s="81">
        <v>0</v>
      </c>
      <c r="F2763" s="81">
        <v>0</v>
      </c>
    </row>
    <row r="2764" spans="1:6" x14ac:dyDescent="0.2">
      <c r="A2764" s="1" t="s">
        <v>179</v>
      </c>
      <c r="B2764" s="1" t="s">
        <v>3452</v>
      </c>
      <c r="C2764" s="1" t="s">
        <v>101</v>
      </c>
      <c r="D2764" s="1" t="s">
        <v>101</v>
      </c>
      <c r="E2764" s="81">
        <v>0</v>
      </c>
      <c r="F2764" s="81">
        <v>0</v>
      </c>
    </row>
    <row r="2765" spans="1:6" x14ac:dyDescent="0.2">
      <c r="A2765" s="1" t="s">
        <v>179</v>
      </c>
      <c r="B2765" s="1" t="s">
        <v>3453</v>
      </c>
      <c r="C2765" s="1" t="s">
        <v>101</v>
      </c>
      <c r="D2765" s="1" t="s">
        <v>101</v>
      </c>
      <c r="E2765" s="81">
        <v>0</v>
      </c>
      <c r="F2765" s="81">
        <v>0</v>
      </c>
    </row>
    <row r="2766" spans="1:6" x14ac:dyDescent="0.2">
      <c r="A2766" s="1" t="s">
        <v>179</v>
      </c>
      <c r="B2766" s="1" t="s">
        <v>3454</v>
      </c>
      <c r="C2766" s="1" t="s">
        <v>4173</v>
      </c>
      <c r="D2766" s="1" t="s">
        <v>4173</v>
      </c>
      <c r="E2766" s="81">
        <v>1018.62</v>
      </c>
      <c r="F2766" s="81">
        <v>1018.62</v>
      </c>
    </row>
    <row r="2767" spans="1:6" x14ac:dyDescent="0.2">
      <c r="A2767" s="1" t="s">
        <v>179</v>
      </c>
      <c r="B2767" s="1" t="s">
        <v>3455</v>
      </c>
      <c r="C2767" s="1" t="s">
        <v>4179</v>
      </c>
      <c r="D2767" s="1" t="s">
        <v>4179</v>
      </c>
      <c r="E2767" s="81">
        <v>2092.39</v>
      </c>
      <c r="F2767" s="81">
        <v>2092.39</v>
      </c>
    </row>
    <row r="2768" spans="1:6" x14ac:dyDescent="0.2">
      <c r="A2768" s="1" t="s">
        <v>179</v>
      </c>
      <c r="B2768" s="1" t="s">
        <v>3456</v>
      </c>
      <c r="C2768" s="1" t="s">
        <v>4180</v>
      </c>
      <c r="D2768" s="1" t="s">
        <v>4180</v>
      </c>
      <c r="E2768" s="81">
        <v>2326.71</v>
      </c>
      <c r="F2768" s="81">
        <v>2326.71</v>
      </c>
    </row>
    <row r="2769" spans="1:6" x14ac:dyDescent="0.2">
      <c r="A2769" s="1" t="s">
        <v>179</v>
      </c>
      <c r="B2769" s="1" t="s">
        <v>3457</v>
      </c>
      <c r="C2769" s="1" t="s">
        <v>4181</v>
      </c>
      <c r="D2769" s="1" t="s">
        <v>4181</v>
      </c>
      <c r="E2769" s="81">
        <v>2465.89</v>
      </c>
      <c r="F2769" s="81">
        <v>2465.89</v>
      </c>
    </row>
    <row r="2770" spans="1:6" x14ac:dyDescent="0.2">
      <c r="A2770" s="1" t="s">
        <v>179</v>
      </c>
      <c r="B2770" s="1" t="s">
        <v>3458</v>
      </c>
      <c r="C2770" s="1" t="s">
        <v>101</v>
      </c>
      <c r="D2770" s="1" t="s">
        <v>101</v>
      </c>
      <c r="E2770" s="81">
        <v>0</v>
      </c>
      <c r="F2770" s="81">
        <v>0</v>
      </c>
    </row>
    <row r="2771" spans="1:6" x14ac:dyDescent="0.2">
      <c r="A2771" s="1" t="s">
        <v>179</v>
      </c>
      <c r="B2771" s="1" t="s">
        <v>3459</v>
      </c>
      <c r="C2771" s="1" t="s">
        <v>101</v>
      </c>
      <c r="D2771" s="1" t="s">
        <v>101</v>
      </c>
      <c r="E2771" s="81">
        <v>0</v>
      </c>
      <c r="F2771" s="81">
        <v>0</v>
      </c>
    </row>
    <row r="2772" spans="1:6" x14ac:dyDescent="0.2">
      <c r="A2772" s="1" t="s">
        <v>179</v>
      </c>
      <c r="B2772" s="1" t="s">
        <v>3460</v>
      </c>
      <c r="C2772" s="1" t="s">
        <v>101</v>
      </c>
      <c r="D2772" s="1" t="s">
        <v>101</v>
      </c>
      <c r="E2772" s="81">
        <v>0</v>
      </c>
      <c r="F2772" s="81">
        <v>0</v>
      </c>
    </row>
    <row r="2773" spans="1:6" x14ac:dyDescent="0.2">
      <c r="A2773" s="1" t="s">
        <v>179</v>
      </c>
      <c r="B2773" s="1" t="s">
        <v>3461</v>
      </c>
      <c r="C2773" s="1" t="s">
        <v>101</v>
      </c>
      <c r="D2773" s="1" t="s">
        <v>101</v>
      </c>
      <c r="E2773" s="81">
        <v>0</v>
      </c>
      <c r="F2773" s="81">
        <v>0</v>
      </c>
    </row>
    <row r="2774" spans="1:6" x14ac:dyDescent="0.2">
      <c r="A2774" s="1" t="s">
        <v>179</v>
      </c>
      <c r="B2774" s="1" t="s">
        <v>3462</v>
      </c>
      <c r="C2774" s="1" t="s">
        <v>101</v>
      </c>
      <c r="D2774" s="1" t="s">
        <v>101</v>
      </c>
      <c r="E2774" s="81">
        <v>0</v>
      </c>
      <c r="F2774" s="81">
        <v>0</v>
      </c>
    </row>
    <row r="2775" spans="1:6" x14ac:dyDescent="0.2">
      <c r="A2775" s="1" t="s">
        <v>179</v>
      </c>
      <c r="B2775" s="1" t="s">
        <v>3463</v>
      </c>
      <c r="C2775" s="1" t="s">
        <v>101</v>
      </c>
      <c r="D2775" s="1" t="s">
        <v>101</v>
      </c>
      <c r="E2775" s="81">
        <v>0</v>
      </c>
      <c r="F2775" s="81">
        <v>0</v>
      </c>
    </row>
    <row r="2776" spans="1:6" x14ac:dyDescent="0.2">
      <c r="A2776" s="1" t="s">
        <v>179</v>
      </c>
      <c r="B2776" s="1" t="s">
        <v>3464</v>
      </c>
      <c r="C2776" s="1" t="s">
        <v>101</v>
      </c>
      <c r="D2776" s="1" t="s">
        <v>101</v>
      </c>
      <c r="E2776" s="81">
        <v>0</v>
      </c>
      <c r="F2776" s="81">
        <v>0</v>
      </c>
    </row>
    <row r="2777" spans="1:6" x14ac:dyDescent="0.2">
      <c r="A2777" s="1" t="s">
        <v>179</v>
      </c>
      <c r="B2777" s="1" t="s">
        <v>3465</v>
      </c>
      <c r="C2777" s="1" t="s">
        <v>101</v>
      </c>
      <c r="D2777" s="1" t="s">
        <v>101</v>
      </c>
      <c r="E2777" s="81">
        <v>0</v>
      </c>
      <c r="F2777" s="81">
        <v>0</v>
      </c>
    </row>
    <row r="2778" spans="1:6" x14ac:dyDescent="0.2">
      <c r="A2778" s="1" t="s">
        <v>179</v>
      </c>
      <c r="B2778" s="1" t="s">
        <v>3466</v>
      </c>
      <c r="C2778" s="1" t="s">
        <v>101</v>
      </c>
      <c r="D2778" s="1" t="s">
        <v>101</v>
      </c>
      <c r="E2778" s="81">
        <v>0</v>
      </c>
      <c r="F2778" s="81">
        <v>0</v>
      </c>
    </row>
    <row r="2779" spans="1:6" x14ac:dyDescent="0.2">
      <c r="A2779" s="1" t="s">
        <v>179</v>
      </c>
      <c r="B2779" s="1" t="s">
        <v>3467</v>
      </c>
      <c r="C2779" s="1" t="s">
        <v>4182</v>
      </c>
      <c r="D2779" s="1" t="s">
        <v>4182</v>
      </c>
      <c r="E2779" s="81">
        <v>6884.98</v>
      </c>
      <c r="F2779" s="81">
        <v>6884.98</v>
      </c>
    </row>
    <row r="2780" spans="1:6" x14ac:dyDescent="0.2">
      <c r="A2780" s="1" t="s">
        <v>179</v>
      </c>
      <c r="B2780" s="1" t="s">
        <v>3468</v>
      </c>
      <c r="C2780" s="1" t="s">
        <v>4183</v>
      </c>
      <c r="D2780" s="1" t="s">
        <v>4183</v>
      </c>
      <c r="E2780" s="81">
        <v>1370.96</v>
      </c>
      <c r="F2780" s="81">
        <v>1370.96</v>
      </c>
    </row>
    <row r="2781" spans="1:6" x14ac:dyDescent="0.2">
      <c r="A2781" s="1" t="s">
        <v>179</v>
      </c>
      <c r="B2781" s="1" t="s">
        <v>3469</v>
      </c>
      <c r="C2781" s="1" t="s">
        <v>4184</v>
      </c>
      <c r="D2781" s="1" t="s">
        <v>4184</v>
      </c>
      <c r="E2781" s="81">
        <v>1284.9100000000001</v>
      </c>
      <c r="F2781" s="81">
        <v>1284.9100000000001</v>
      </c>
    </row>
    <row r="2782" spans="1:6" x14ac:dyDescent="0.2">
      <c r="A2782" s="1" t="s">
        <v>179</v>
      </c>
      <c r="B2782" s="1" t="s">
        <v>3470</v>
      </c>
      <c r="C2782" s="1" t="s">
        <v>4185</v>
      </c>
      <c r="D2782" s="1" t="s">
        <v>4185</v>
      </c>
      <c r="E2782" s="81">
        <v>1517.08</v>
      </c>
      <c r="F2782" s="81">
        <v>1517.08</v>
      </c>
    </row>
    <row r="2783" spans="1:6" x14ac:dyDescent="0.2">
      <c r="A2783" s="1" t="s">
        <v>179</v>
      </c>
      <c r="B2783" s="1" t="s">
        <v>3471</v>
      </c>
      <c r="C2783" s="1" t="s">
        <v>101</v>
      </c>
      <c r="D2783" s="1" t="s">
        <v>101</v>
      </c>
      <c r="E2783" s="81">
        <v>0</v>
      </c>
      <c r="F2783" s="81">
        <v>0</v>
      </c>
    </row>
    <row r="2784" spans="1:6" x14ac:dyDescent="0.2">
      <c r="A2784" s="1" t="s">
        <v>179</v>
      </c>
      <c r="B2784" s="1" t="s">
        <v>3472</v>
      </c>
      <c r="C2784" s="1" t="s">
        <v>101</v>
      </c>
      <c r="D2784" s="1" t="s">
        <v>101</v>
      </c>
      <c r="E2784" s="81">
        <v>0</v>
      </c>
      <c r="F2784" s="81">
        <v>0</v>
      </c>
    </row>
    <row r="2785" spans="1:6" x14ac:dyDescent="0.2">
      <c r="A2785" s="1" t="s">
        <v>179</v>
      </c>
      <c r="B2785" s="1" t="s">
        <v>3473</v>
      </c>
      <c r="C2785" s="1" t="s">
        <v>101</v>
      </c>
      <c r="D2785" s="1" t="s">
        <v>101</v>
      </c>
      <c r="E2785" s="81">
        <v>0</v>
      </c>
      <c r="F2785" s="81">
        <v>0</v>
      </c>
    </row>
    <row r="2786" spans="1:6" x14ac:dyDescent="0.2">
      <c r="A2786" s="1" t="s">
        <v>179</v>
      </c>
      <c r="B2786" s="1" t="s">
        <v>3474</v>
      </c>
      <c r="C2786" s="1" t="s">
        <v>101</v>
      </c>
      <c r="D2786" s="1" t="s">
        <v>101</v>
      </c>
      <c r="E2786" s="81">
        <v>0</v>
      </c>
      <c r="F2786" s="81">
        <v>0</v>
      </c>
    </row>
    <row r="2787" spans="1:6" x14ac:dyDescent="0.2">
      <c r="A2787" s="1" t="s">
        <v>179</v>
      </c>
      <c r="B2787" s="1" t="s">
        <v>3475</v>
      </c>
      <c r="C2787" s="1" t="s">
        <v>101</v>
      </c>
      <c r="D2787" s="1" t="s">
        <v>101</v>
      </c>
      <c r="E2787" s="81">
        <v>0</v>
      </c>
      <c r="F2787" s="81">
        <v>0</v>
      </c>
    </row>
    <row r="2788" spans="1:6" x14ac:dyDescent="0.2">
      <c r="A2788" s="1" t="s">
        <v>179</v>
      </c>
      <c r="B2788" s="1" t="s">
        <v>3476</v>
      </c>
      <c r="C2788" s="1" t="s">
        <v>101</v>
      </c>
      <c r="D2788" s="1" t="s">
        <v>101</v>
      </c>
      <c r="E2788" s="81">
        <v>0</v>
      </c>
      <c r="F2788" s="81">
        <v>0</v>
      </c>
    </row>
    <row r="2789" spans="1:6" x14ac:dyDescent="0.2">
      <c r="A2789" s="1" t="s">
        <v>179</v>
      </c>
      <c r="B2789" s="1" t="s">
        <v>3477</v>
      </c>
      <c r="C2789" s="1" t="s">
        <v>101</v>
      </c>
      <c r="D2789" s="1" t="s">
        <v>101</v>
      </c>
      <c r="E2789" s="81">
        <v>0</v>
      </c>
      <c r="F2789" s="81">
        <v>0</v>
      </c>
    </row>
    <row r="2790" spans="1:6" x14ac:dyDescent="0.2">
      <c r="A2790" s="1" t="s">
        <v>179</v>
      </c>
      <c r="B2790" s="1" t="s">
        <v>3478</v>
      </c>
      <c r="C2790" s="1" t="s">
        <v>101</v>
      </c>
      <c r="D2790" s="1" t="s">
        <v>101</v>
      </c>
      <c r="E2790" s="81">
        <v>0</v>
      </c>
      <c r="F2790" s="81">
        <v>0</v>
      </c>
    </row>
    <row r="2791" spans="1:6" x14ac:dyDescent="0.2">
      <c r="A2791" s="1" t="s">
        <v>179</v>
      </c>
      <c r="B2791" s="1" t="s">
        <v>3479</v>
      </c>
      <c r="C2791" s="1" t="s">
        <v>101</v>
      </c>
      <c r="D2791" s="1" t="s">
        <v>101</v>
      </c>
      <c r="E2791" s="81">
        <v>0</v>
      </c>
      <c r="F2791" s="81">
        <v>0</v>
      </c>
    </row>
    <row r="2792" spans="1:6" x14ac:dyDescent="0.2">
      <c r="A2792" s="1" t="s">
        <v>179</v>
      </c>
      <c r="B2792" s="1" t="s">
        <v>3480</v>
      </c>
      <c r="C2792" s="1" t="s">
        <v>4186</v>
      </c>
      <c r="D2792" s="1" t="s">
        <v>4186</v>
      </c>
      <c r="E2792" s="81">
        <v>724.63</v>
      </c>
      <c r="F2792" s="81">
        <v>724.63</v>
      </c>
    </row>
    <row r="2793" spans="1:6" x14ac:dyDescent="0.2">
      <c r="A2793" s="1" t="s">
        <v>179</v>
      </c>
      <c r="B2793" s="1" t="s">
        <v>3481</v>
      </c>
      <c r="C2793" s="1" t="s">
        <v>4187</v>
      </c>
      <c r="D2793" s="1" t="s">
        <v>4187</v>
      </c>
      <c r="E2793" s="81">
        <v>1045.8</v>
      </c>
      <c r="F2793" s="81">
        <v>1045.8</v>
      </c>
    </row>
    <row r="2794" spans="1:6" x14ac:dyDescent="0.2">
      <c r="A2794" s="1" t="s">
        <v>179</v>
      </c>
      <c r="B2794" s="1" t="s">
        <v>3482</v>
      </c>
      <c r="C2794" s="1" t="s">
        <v>4188</v>
      </c>
      <c r="D2794" s="1" t="s">
        <v>4188</v>
      </c>
      <c r="E2794" s="81">
        <v>952.72</v>
      </c>
      <c r="F2794" s="81">
        <v>952.72</v>
      </c>
    </row>
    <row r="2795" spans="1:6" x14ac:dyDescent="0.2">
      <c r="A2795" s="1" t="s">
        <v>179</v>
      </c>
      <c r="B2795" s="1" t="s">
        <v>3483</v>
      </c>
      <c r="C2795" s="1" t="s">
        <v>101</v>
      </c>
      <c r="D2795" s="1" t="s">
        <v>101</v>
      </c>
      <c r="E2795" s="81">
        <v>0</v>
      </c>
      <c r="F2795" s="81">
        <v>0</v>
      </c>
    </row>
    <row r="2796" spans="1:6" x14ac:dyDescent="0.2">
      <c r="A2796" s="1" t="s">
        <v>179</v>
      </c>
      <c r="B2796" s="1" t="s">
        <v>3484</v>
      </c>
      <c r="C2796" s="1" t="s">
        <v>101</v>
      </c>
      <c r="D2796" s="1" t="s">
        <v>101</v>
      </c>
      <c r="E2796" s="81">
        <v>0</v>
      </c>
      <c r="F2796" s="81">
        <v>0</v>
      </c>
    </row>
    <row r="2797" spans="1:6" x14ac:dyDescent="0.2">
      <c r="A2797" s="1" t="s">
        <v>179</v>
      </c>
      <c r="B2797" s="1" t="s">
        <v>3485</v>
      </c>
      <c r="C2797" s="1" t="s">
        <v>101</v>
      </c>
      <c r="D2797" s="1" t="s">
        <v>101</v>
      </c>
      <c r="E2797" s="81">
        <v>0</v>
      </c>
      <c r="F2797" s="81">
        <v>0</v>
      </c>
    </row>
    <row r="2798" spans="1:6" x14ac:dyDescent="0.2">
      <c r="A2798" s="1" t="s">
        <v>179</v>
      </c>
      <c r="B2798" s="1" t="s">
        <v>3486</v>
      </c>
      <c r="C2798" s="1" t="s">
        <v>101</v>
      </c>
      <c r="D2798" s="1" t="s">
        <v>101</v>
      </c>
      <c r="E2798" s="81">
        <v>0</v>
      </c>
      <c r="F2798" s="81">
        <v>0</v>
      </c>
    </row>
    <row r="2799" spans="1:6" x14ac:dyDescent="0.2">
      <c r="A2799" s="1" t="s">
        <v>179</v>
      </c>
      <c r="B2799" s="1" t="s">
        <v>3487</v>
      </c>
      <c r="C2799" s="1" t="s">
        <v>101</v>
      </c>
      <c r="D2799" s="1" t="s">
        <v>101</v>
      </c>
      <c r="E2799" s="81">
        <v>0</v>
      </c>
      <c r="F2799" s="81">
        <v>0</v>
      </c>
    </row>
    <row r="2800" spans="1:6" x14ac:dyDescent="0.2">
      <c r="A2800" s="1" t="s">
        <v>179</v>
      </c>
      <c r="B2800" s="1" t="s">
        <v>3488</v>
      </c>
      <c r="C2800" s="1" t="s">
        <v>101</v>
      </c>
      <c r="D2800" s="1" t="s">
        <v>101</v>
      </c>
      <c r="E2800" s="81">
        <v>0</v>
      </c>
      <c r="F2800" s="81">
        <v>0</v>
      </c>
    </row>
    <row r="2801" spans="1:6" x14ac:dyDescent="0.2">
      <c r="A2801" s="1" t="s">
        <v>179</v>
      </c>
      <c r="B2801" s="1" t="s">
        <v>3489</v>
      </c>
      <c r="C2801" s="1" t="s">
        <v>101</v>
      </c>
      <c r="D2801" s="1" t="s">
        <v>101</v>
      </c>
      <c r="E2801" s="81">
        <v>0</v>
      </c>
      <c r="F2801" s="81">
        <v>0</v>
      </c>
    </row>
    <row r="2802" spans="1:6" x14ac:dyDescent="0.2">
      <c r="A2802" s="1" t="s">
        <v>179</v>
      </c>
      <c r="B2802" s="1" t="s">
        <v>3490</v>
      </c>
      <c r="C2802" s="1" t="s">
        <v>101</v>
      </c>
      <c r="D2802" s="1" t="s">
        <v>101</v>
      </c>
      <c r="E2802" s="81">
        <v>0</v>
      </c>
      <c r="F2802" s="81">
        <v>0</v>
      </c>
    </row>
    <row r="2803" spans="1:6" x14ac:dyDescent="0.2">
      <c r="A2803" s="1" t="s">
        <v>179</v>
      </c>
      <c r="B2803" s="1" t="s">
        <v>3491</v>
      </c>
      <c r="C2803" s="1" t="s">
        <v>101</v>
      </c>
      <c r="D2803" s="1" t="s">
        <v>101</v>
      </c>
      <c r="E2803" s="81">
        <v>0</v>
      </c>
      <c r="F2803" s="81">
        <v>0</v>
      </c>
    </row>
    <row r="2804" spans="1:6" x14ac:dyDescent="0.2">
      <c r="A2804" s="1" t="s">
        <v>179</v>
      </c>
      <c r="B2804" s="1" t="s">
        <v>3492</v>
      </c>
      <c r="C2804" s="1" t="s">
        <v>101</v>
      </c>
      <c r="D2804" s="1" t="s">
        <v>101</v>
      </c>
      <c r="E2804" s="81">
        <v>0</v>
      </c>
      <c r="F2804" s="81">
        <v>0</v>
      </c>
    </row>
    <row r="2805" spans="1:6" x14ac:dyDescent="0.2">
      <c r="A2805" s="1" t="s">
        <v>179</v>
      </c>
      <c r="B2805" s="1" t="s">
        <v>3493</v>
      </c>
      <c r="C2805" s="1" t="s">
        <v>101</v>
      </c>
      <c r="D2805" s="1" t="s">
        <v>101</v>
      </c>
      <c r="E2805" s="81">
        <v>0</v>
      </c>
      <c r="F2805" s="81">
        <v>0</v>
      </c>
    </row>
    <row r="2806" spans="1:6" x14ac:dyDescent="0.2">
      <c r="A2806" s="1" t="s">
        <v>179</v>
      </c>
      <c r="B2806" s="1" t="s">
        <v>3494</v>
      </c>
      <c r="C2806" s="1" t="s">
        <v>101</v>
      </c>
      <c r="D2806" s="1" t="s">
        <v>101</v>
      </c>
      <c r="E2806" s="81">
        <v>0</v>
      </c>
      <c r="F2806" s="81">
        <v>0</v>
      </c>
    </row>
    <row r="2807" spans="1:6" x14ac:dyDescent="0.2">
      <c r="A2807" s="1" t="s">
        <v>179</v>
      </c>
      <c r="B2807" s="1" t="s">
        <v>3495</v>
      </c>
      <c r="C2807" s="1" t="s">
        <v>101</v>
      </c>
      <c r="D2807" s="1" t="s">
        <v>101</v>
      </c>
      <c r="E2807" s="81">
        <v>0</v>
      </c>
      <c r="F2807" s="81">
        <v>0</v>
      </c>
    </row>
    <row r="2808" spans="1:6" x14ac:dyDescent="0.2">
      <c r="A2808" s="1" t="s">
        <v>179</v>
      </c>
      <c r="B2808" s="1" t="s">
        <v>3496</v>
      </c>
      <c r="C2808" s="1" t="s">
        <v>101</v>
      </c>
      <c r="D2808" s="1" t="s">
        <v>101</v>
      </c>
      <c r="E2808" s="81">
        <v>0</v>
      </c>
      <c r="F2808" s="81">
        <v>0</v>
      </c>
    </row>
    <row r="2809" spans="1:6" x14ac:dyDescent="0.2">
      <c r="A2809" s="1" t="s">
        <v>179</v>
      </c>
      <c r="B2809" s="1" t="s">
        <v>3497</v>
      </c>
      <c r="C2809" s="1" t="s">
        <v>101</v>
      </c>
      <c r="D2809" s="1" t="s">
        <v>101</v>
      </c>
      <c r="E2809" s="81">
        <v>0</v>
      </c>
      <c r="F2809" s="81">
        <v>0</v>
      </c>
    </row>
    <row r="2810" spans="1:6" x14ac:dyDescent="0.2">
      <c r="A2810" s="1" t="s">
        <v>179</v>
      </c>
      <c r="B2810" s="1" t="s">
        <v>3498</v>
      </c>
      <c r="C2810" s="1" t="s">
        <v>101</v>
      </c>
      <c r="D2810" s="1" t="s">
        <v>101</v>
      </c>
      <c r="E2810" s="81">
        <v>0</v>
      </c>
      <c r="F2810" s="81">
        <v>0</v>
      </c>
    </row>
    <row r="2811" spans="1:6" x14ac:dyDescent="0.2">
      <c r="A2811" s="1" t="s">
        <v>179</v>
      </c>
      <c r="B2811" s="1" t="s">
        <v>3499</v>
      </c>
      <c r="C2811" s="1" t="s">
        <v>101</v>
      </c>
      <c r="D2811" s="1" t="s">
        <v>101</v>
      </c>
      <c r="E2811" s="81">
        <v>0</v>
      </c>
      <c r="F2811" s="81">
        <v>0</v>
      </c>
    </row>
    <row r="2812" spans="1:6" x14ac:dyDescent="0.2">
      <c r="A2812" s="1" t="s">
        <v>179</v>
      </c>
      <c r="B2812" s="1" t="s">
        <v>3500</v>
      </c>
      <c r="C2812" s="1" t="s">
        <v>101</v>
      </c>
      <c r="D2812" s="1" t="s">
        <v>101</v>
      </c>
      <c r="E2812" s="81">
        <v>0</v>
      </c>
      <c r="F2812" s="81">
        <v>0</v>
      </c>
    </row>
    <row r="2813" spans="1:6" x14ac:dyDescent="0.2">
      <c r="A2813" s="1" t="s">
        <v>179</v>
      </c>
      <c r="B2813" s="1" t="s">
        <v>3501</v>
      </c>
      <c r="C2813" s="1" t="s">
        <v>101</v>
      </c>
      <c r="D2813" s="1" t="s">
        <v>101</v>
      </c>
      <c r="E2813" s="81">
        <v>0</v>
      </c>
      <c r="F2813" s="81">
        <v>0</v>
      </c>
    </row>
    <row r="2814" spans="1:6" x14ac:dyDescent="0.2">
      <c r="A2814" s="1" t="s">
        <v>179</v>
      </c>
      <c r="B2814" s="1" t="s">
        <v>3502</v>
      </c>
      <c r="C2814" s="1" t="s">
        <v>101</v>
      </c>
      <c r="D2814" s="1" t="s">
        <v>101</v>
      </c>
      <c r="E2814" s="81">
        <v>0</v>
      </c>
      <c r="F2814" s="81">
        <v>0</v>
      </c>
    </row>
    <row r="2815" spans="1:6" x14ac:dyDescent="0.2">
      <c r="A2815" s="1" t="s">
        <v>179</v>
      </c>
      <c r="B2815" s="1" t="s">
        <v>3503</v>
      </c>
      <c r="C2815" s="1" t="s">
        <v>101</v>
      </c>
      <c r="D2815" s="1" t="s">
        <v>101</v>
      </c>
      <c r="E2815" s="81">
        <v>0</v>
      </c>
      <c r="F2815" s="81">
        <v>0</v>
      </c>
    </row>
    <row r="2816" spans="1:6" x14ac:dyDescent="0.2">
      <c r="A2816" s="1" t="s">
        <v>179</v>
      </c>
      <c r="B2816" s="1" t="s">
        <v>3504</v>
      </c>
      <c r="C2816" s="1" t="s">
        <v>4179</v>
      </c>
      <c r="D2816" s="1" t="s">
        <v>4179</v>
      </c>
      <c r="E2816" s="81">
        <v>2092.39</v>
      </c>
      <c r="F2816" s="81">
        <v>2092.39</v>
      </c>
    </row>
    <row r="2817" spans="1:6" x14ac:dyDescent="0.2">
      <c r="A2817" s="1" t="s">
        <v>179</v>
      </c>
      <c r="B2817" s="1" t="s">
        <v>3505</v>
      </c>
      <c r="C2817" s="1" t="s">
        <v>4180</v>
      </c>
      <c r="D2817" s="1" t="s">
        <v>4180</v>
      </c>
      <c r="E2817" s="81">
        <v>2326.71</v>
      </c>
      <c r="F2817" s="81">
        <v>2326.71</v>
      </c>
    </row>
    <row r="2818" spans="1:6" x14ac:dyDescent="0.2">
      <c r="A2818" s="1" t="s">
        <v>179</v>
      </c>
      <c r="B2818" s="1" t="s">
        <v>3506</v>
      </c>
      <c r="C2818" s="1" t="s">
        <v>4181</v>
      </c>
      <c r="D2818" s="1" t="s">
        <v>4181</v>
      </c>
      <c r="E2818" s="81">
        <v>2465.89</v>
      </c>
      <c r="F2818" s="81">
        <v>2465.89</v>
      </c>
    </row>
    <row r="2819" spans="1:6" x14ac:dyDescent="0.2">
      <c r="A2819" s="1" t="s">
        <v>179</v>
      </c>
      <c r="B2819" s="1" t="s">
        <v>3507</v>
      </c>
      <c r="C2819" s="1" t="s">
        <v>101</v>
      </c>
      <c r="D2819" s="1" t="s">
        <v>101</v>
      </c>
      <c r="E2819" s="81">
        <v>0</v>
      </c>
      <c r="F2819" s="81">
        <v>0</v>
      </c>
    </row>
    <row r="2820" spans="1:6" x14ac:dyDescent="0.2">
      <c r="A2820" s="1" t="s">
        <v>179</v>
      </c>
      <c r="B2820" s="1" t="s">
        <v>3508</v>
      </c>
      <c r="C2820" s="1" t="s">
        <v>101</v>
      </c>
      <c r="D2820" s="1" t="s">
        <v>101</v>
      </c>
      <c r="E2820" s="81">
        <v>0</v>
      </c>
      <c r="F2820" s="81">
        <v>0</v>
      </c>
    </row>
    <row r="2821" spans="1:6" x14ac:dyDescent="0.2">
      <c r="A2821" s="1" t="s">
        <v>179</v>
      </c>
      <c r="B2821" s="1" t="s">
        <v>3509</v>
      </c>
      <c r="C2821" s="1" t="s">
        <v>101</v>
      </c>
      <c r="D2821" s="1" t="s">
        <v>101</v>
      </c>
      <c r="E2821" s="81">
        <v>0</v>
      </c>
      <c r="F2821" s="81">
        <v>0</v>
      </c>
    </row>
    <row r="2822" spans="1:6" x14ac:dyDescent="0.2">
      <c r="A2822" s="1" t="s">
        <v>179</v>
      </c>
      <c r="B2822" s="1" t="s">
        <v>3510</v>
      </c>
      <c r="C2822" s="1" t="s">
        <v>101</v>
      </c>
      <c r="D2822" s="1" t="s">
        <v>101</v>
      </c>
      <c r="E2822" s="81">
        <v>0</v>
      </c>
      <c r="F2822" s="81">
        <v>0</v>
      </c>
    </row>
    <row r="2823" spans="1:6" x14ac:dyDescent="0.2">
      <c r="A2823" s="1" t="s">
        <v>179</v>
      </c>
      <c r="B2823" s="1" t="s">
        <v>3511</v>
      </c>
      <c r="C2823" s="1" t="s">
        <v>101</v>
      </c>
      <c r="D2823" s="1" t="s">
        <v>101</v>
      </c>
      <c r="E2823" s="81">
        <v>0</v>
      </c>
      <c r="F2823" s="81">
        <v>0</v>
      </c>
    </row>
    <row r="2824" spans="1:6" x14ac:dyDescent="0.2">
      <c r="A2824" s="1" t="s">
        <v>179</v>
      </c>
      <c r="B2824" s="1" t="s">
        <v>3512</v>
      </c>
      <c r="C2824" s="1" t="s">
        <v>101</v>
      </c>
      <c r="D2824" s="1" t="s">
        <v>101</v>
      </c>
      <c r="E2824" s="81">
        <v>0</v>
      </c>
      <c r="F2824" s="81">
        <v>0</v>
      </c>
    </row>
    <row r="2825" spans="1:6" x14ac:dyDescent="0.2">
      <c r="A2825" s="1" t="s">
        <v>179</v>
      </c>
      <c r="B2825" s="1" t="s">
        <v>3513</v>
      </c>
      <c r="C2825" s="1" t="s">
        <v>101</v>
      </c>
      <c r="D2825" s="1" t="s">
        <v>101</v>
      </c>
      <c r="E2825" s="81">
        <v>0</v>
      </c>
      <c r="F2825" s="81">
        <v>0</v>
      </c>
    </row>
    <row r="2826" spans="1:6" x14ac:dyDescent="0.2">
      <c r="A2826" s="1" t="s">
        <v>179</v>
      </c>
      <c r="B2826" s="1" t="s">
        <v>3514</v>
      </c>
      <c r="C2826" s="1" t="s">
        <v>101</v>
      </c>
      <c r="D2826" s="1" t="s">
        <v>101</v>
      </c>
      <c r="E2826" s="81">
        <v>0</v>
      </c>
      <c r="F2826" s="81">
        <v>0</v>
      </c>
    </row>
    <row r="2827" spans="1:6" x14ac:dyDescent="0.2">
      <c r="A2827" s="1" t="s">
        <v>179</v>
      </c>
      <c r="B2827" s="1" t="s">
        <v>3515</v>
      </c>
      <c r="C2827" s="1" t="s">
        <v>101</v>
      </c>
      <c r="D2827" s="1" t="s">
        <v>101</v>
      </c>
      <c r="E2827" s="81">
        <v>0</v>
      </c>
      <c r="F2827" s="81">
        <v>0</v>
      </c>
    </row>
    <row r="2828" spans="1:6" x14ac:dyDescent="0.2">
      <c r="A2828" s="1" t="s">
        <v>179</v>
      </c>
      <c r="B2828" s="1" t="s">
        <v>3516</v>
      </c>
      <c r="C2828" s="1" t="s">
        <v>4182</v>
      </c>
      <c r="D2828" s="1" t="s">
        <v>4182</v>
      </c>
      <c r="E2828" s="81">
        <v>6884.98</v>
      </c>
      <c r="F2828" s="81">
        <v>6884.98</v>
      </c>
    </row>
    <row r="2829" spans="1:6" x14ac:dyDescent="0.2">
      <c r="A2829" s="1" t="s">
        <v>179</v>
      </c>
      <c r="B2829" s="1" t="s">
        <v>3517</v>
      </c>
      <c r="C2829" s="1" t="s">
        <v>4189</v>
      </c>
      <c r="D2829" s="1" t="s">
        <v>4189</v>
      </c>
      <c r="E2829" s="81">
        <v>1473.6</v>
      </c>
      <c r="F2829" s="81">
        <v>1473.6</v>
      </c>
    </row>
    <row r="2830" spans="1:6" x14ac:dyDescent="0.2">
      <c r="A2830" s="1" t="s">
        <v>179</v>
      </c>
      <c r="B2830" s="1" t="s">
        <v>3518</v>
      </c>
      <c r="C2830" s="1" t="s">
        <v>4190</v>
      </c>
      <c r="D2830" s="1" t="s">
        <v>4190</v>
      </c>
      <c r="E2830" s="81">
        <v>3078.38</v>
      </c>
      <c r="F2830" s="81">
        <v>3078.38</v>
      </c>
    </row>
    <row r="2831" spans="1:6" x14ac:dyDescent="0.2">
      <c r="A2831" s="1" t="s">
        <v>179</v>
      </c>
      <c r="B2831" s="1" t="s">
        <v>3519</v>
      </c>
      <c r="C2831" s="1" t="s">
        <v>4191</v>
      </c>
      <c r="D2831" s="1" t="s">
        <v>4191</v>
      </c>
      <c r="E2831" s="81">
        <v>2281.1999999999998</v>
      </c>
      <c r="F2831" s="81">
        <v>2281.1999999999998</v>
      </c>
    </row>
    <row r="2832" spans="1:6" x14ac:dyDescent="0.2">
      <c r="A2832" s="1" t="s">
        <v>179</v>
      </c>
      <c r="B2832" s="1" t="s">
        <v>3520</v>
      </c>
      <c r="C2832" s="1" t="s">
        <v>101</v>
      </c>
      <c r="D2832" s="1" t="s">
        <v>101</v>
      </c>
      <c r="E2832" s="81">
        <v>0</v>
      </c>
      <c r="F2832" s="81">
        <v>0</v>
      </c>
    </row>
    <row r="2833" spans="1:6" x14ac:dyDescent="0.2">
      <c r="A2833" s="1" t="s">
        <v>179</v>
      </c>
      <c r="B2833" s="1" t="s">
        <v>3521</v>
      </c>
      <c r="C2833" s="1" t="s">
        <v>101</v>
      </c>
      <c r="D2833" s="1" t="s">
        <v>101</v>
      </c>
      <c r="E2833" s="81">
        <v>0</v>
      </c>
      <c r="F2833" s="81">
        <v>0</v>
      </c>
    </row>
    <row r="2834" spans="1:6" x14ac:dyDescent="0.2">
      <c r="A2834" s="1" t="s">
        <v>179</v>
      </c>
      <c r="B2834" s="1" t="s">
        <v>3522</v>
      </c>
      <c r="C2834" s="1" t="s">
        <v>101</v>
      </c>
      <c r="D2834" s="1" t="s">
        <v>101</v>
      </c>
      <c r="E2834" s="81">
        <v>0</v>
      </c>
      <c r="F2834" s="81">
        <v>0</v>
      </c>
    </row>
    <row r="2835" spans="1:6" x14ac:dyDescent="0.2">
      <c r="A2835" s="1" t="s">
        <v>179</v>
      </c>
      <c r="B2835" s="1" t="s">
        <v>3523</v>
      </c>
      <c r="C2835" s="1" t="s">
        <v>101</v>
      </c>
      <c r="D2835" s="1" t="s">
        <v>101</v>
      </c>
      <c r="E2835" s="81">
        <v>0</v>
      </c>
      <c r="F2835" s="81">
        <v>0</v>
      </c>
    </row>
    <row r="2836" spans="1:6" x14ac:dyDescent="0.2">
      <c r="A2836" s="1" t="s">
        <v>179</v>
      </c>
      <c r="B2836" s="1" t="s">
        <v>3524</v>
      </c>
      <c r="C2836" s="1" t="s">
        <v>101</v>
      </c>
      <c r="D2836" s="1" t="s">
        <v>101</v>
      </c>
      <c r="E2836" s="81">
        <v>0</v>
      </c>
      <c r="F2836" s="81">
        <v>0</v>
      </c>
    </row>
    <row r="2837" spans="1:6" x14ac:dyDescent="0.2">
      <c r="A2837" s="1" t="s">
        <v>179</v>
      </c>
      <c r="B2837" s="1" t="s">
        <v>3525</v>
      </c>
      <c r="C2837" s="1" t="s">
        <v>101</v>
      </c>
      <c r="D2837" s="1" t="s">
        <v>101</v>
      </c>
      <c r="E2837" s="81">
        <v>0</v>
      </c>
      <c r="F2837" s="81">
        <v>0</v>
      </c>
    </row>
    <row r="2838" spans="1:6" x14ac:dyDescent="0.2">
      <c r="A2838" s="1" t="s">
        <v>179</v>
      </c>
      <c r="B2838" s="1" t="s">
        <v>3526</v>
      </c>
      <c r="C2838" s="1" t="s">
        <v>101</v>
      </c>
      <c r="D2838" s="1" t="s">
        <v>101</v>
      </c>
      <c r="E2838" s="81">
        <v>0</v>
      </c>
      <c r="F2838" s="81">
        <v>0</v>
      </c>
    </row>
    <row r="2839" spans="1:6" x14ac:dyDescent="0.2">
      <c r="A2839" s="1" t="s">
        <v>179</v>
      </c>
      <c r="B2839" s="1" t="s">
        <v>3527</v>
      </c>
      <c r="C2839" s="1" t="s">
        <v>101</v>
      </c>
      <c r="D2839" s="1" t="s">
        <v>101</v>
      </c>
      <c r="E2839" s="81">
        <v>0</v>
      </c>
      <c r="F2839" s="81">
        <v>0</v>
      </c>
    </row>
    <row r="2840" spans="1:6" x14ac:dyDescent="0.2">
      <c r="A2840" s="1" t="s">
        <v>179</v>
      </c>
      <c r="B2840" s="1" t="s">
        <v>3528</v>
      </c>
      <c r="C2840" s="1" t="s">
        <v>101</v>
      </c>
      <c r="D2840" s="1" t="s">
        <v>101</v>
      </c>
      <c r="E2840" s="81">
        <v>0</v>
      </c>
      <c r="F2840" s="81">
        <v>0</v>
      </c>
    </row>
    <row r="2841" spans="1:6" x14ac:dyDescent="0.2">
      <c r="A2841" s="1" t="s">
        <v>179</v>
      </c>
      <c r="B2841" s="1" t="s">
        <v>3529</v>
      </c>
      <c r="C2841" s="1" t="s">
        <v>4192</v>
      </c>
      <c r="D2841" s="1" t="s">
        <v>4192</v>
      </c>
      <c r="E2841" s="81">
        <v>2516.0100000000002</v>
      </c>
      <c r="F2841" s="81">
        <v>2516.0100000000002</v>
      </c>
    </row>
    <row r="2842" spans="1:6" x14ac:dyDescent="0.2">
      <c r="A2842" s="1" t="s">
        <v>179</v>
      </c>
      <c r="B2842" s="1" t="s">
        <v>3530</v>
      </c>
      <c r="C2842" s="1" t="s">
        <v>4193</v>
      </c>
      <c r="D2842" s="1" t="s">
        <v>4193</v>
      </c>
      <c r="E2842" s="81">
        <v>4413.08</v>
      </c>
      <c r="F2842" s="81">
        <v>4413.08</v>
      </c>
    </row>
    <row r="2843" spans="1:6" x14ac:dyDescent="0.2">
      <c r="A2843" s="1" t="s">
        <v>179</v>
      </c>
      <c r="B2843" s="1" t="s">
        <v>3531</v>
      </c>
      <c r="C2843" s="1" t="s">
        <v>4194</v>
      </c>
      <c r="D2843" s="1" t="s">
        <v>4194</v>
      </c>
      <c r="E2843" s="81">
        <v>3890.81</v>
      </c>
      <c r="F2843" s="81">
        <v>3890.81</v>
      </c>
    </row>
    <row r="2844" spans="1:6" x14ac:dyDescent="0.2">
      <c r="A2844" s="1" t="s">
        <v>179</v>
      </c>
      <c r="B2844" s="1" t="s">
        <v>3532</v>
      </c>
      <c r="C2844" s="1" t="s">
        <v>101</v>
      </c>
      <c r="D2844" s="1" t="s">
        <v>101</v>
      </c>
      <c r="E2844" s="81">
        <v>0</v>
      </c>
      <c r="F2844" s="81">
        <v>0</v>
      </c>
    </row>
    <row r="2845" spans="1:6" x14ac:dyDescent="0.2">
      <c r="A2845" s="1" t="s">
        <v>179</v>
      </c>
      <c r="B2845" s="1" t="s">
        <v>3533</v>
      </c>
      <c r="C2845" s="1" t="s">
        <v>101</v>
      </c>
      <c r="D2845" s="1" t="s">
        <v>101</v>
      </c>
      <c r="E2845" s="81">
        <v>0</v>
      </c>
      <c r="F2845" s="81">
        <v>0</v>
      </c>
    </row>
    <row r="2846" spans="1:6" x14ac:dyDescent="0.2">
      <c r="A2846" s="1" t="s">
        <v>179</v>
      </c>
      <c r="B2846" s="1" t="s">
        <v>3534</v>
      </c>
      <c r="C2846" s="1" t="s">
        <v>101</v>
      </c>
      <c r="D2846" s="1" t="s">
        <v>101</v>
      </c>
      <c r="E2846" s="81">
        <v>0</v>
      </c>
      <c r="F2846" s="81">
        <v>0</v>
      </c>
    </row>
    <row r="2847" spans="1:6" x14ac:dyDescent="0.2">
      <c r="A2847" s="1" t="s">
        <v>179</v>
      </c>
      <c r="B2847" s="1" t="s">
        <v>3535</v>
      </c>
      <c r="C2847" s="1" t="s">
        <v>101</v>
      </c>
      <c r="D2847" s="1" t="s">
        <v>101</v>
      </c>
      <c r="E2847" s="81">
        <v>0</v>
      </c>
      <c r="F2847" s="81">
        <v>0</v>
      </c>
    </row>
    <row r="2848" spans="1:6" x14ac:dyDescent="0.2">
      <c r="A2848" s="1" t="s">
        <v>179</v>
      </c>
      <c r="B2848" s="1" t="s">
        <v>3536</v>
      </c>
      <c r="C2848" s="1" t="s">
        <v>101</v>
      </c>
      <c r="D2848" s="1" t="s">
        <v>101</v>
      </c>
      <c r="E2848" s="81">
        <v>0</v>
      </c>
      <c r="F2848" s="81">
        <v>0</v>
      </c>
    </row>
    <row r="2849" spans="1:6" x14ac:dyDescent="0.2">
      <c r="A2849" s="1" t="s">
        <v>179</v>
      </c>
      <c r="B2849" s="1" t="s">
        <v>3537</v>
      </c>
      <c r="C2849" s="1" t="s">
        <v>101</v>
      </c>
      <c r="D2849" s="1" t="s">
        <v>101</v>
      </c>
      <c r="E2849" s="81">
        <v>0</v>
      </c>
      <c r="F2849" s="81">
        <v>0</v>
      </c>
    </row>
    <row r="2850" spans="1:6" x14ac:dyDescent="0.2">
      <c r="A2850" s="1" t="s">
        <v>179</v>
      </c>
      <c r="B2850" s="1" t="s">
        <v>3538</v>
      </c>
      <c r="C2850" s="1" t="s">
        <v>101</v>
      </c>
      <c r="D2850" s="1" t="s">
        <v>101</v>
      </c>
      <c r="E2850" s="81">
        <v>0</v>
      </c>
      <c r="F2850" s="81">
        <v>0</v>
      </c>
    </row>
    <row r="2851" spans="1:6" x14ac:dyDescent="0.2">
      <c r="A2851" s="1" t="s">
        <v>179</v>
      </c>
      <c r="B2851" s="1" t="s">
        <v>3539</v>
      </c>
      <c r="C2851" s="1" t="s">
        <v>101</v>
      </c>
      <c r="D2851" s="1" t="s">
        <v>101</v>
      </c>
      <c r="E2851" s="81">
        <v>0</v>
      </c>
      <c r="F2851" s="81">
        <v>0</v>
      </c>
    </row>
    <row r="2852" spans="1:6" x14ac:dyDescent="0.2">
      <c r="A2852" s="1" t="s">
        <v>179</v>
      </c>
      <c r="B2852" s="1" t="s">
        <v>3540</v>
      </c>
      <c r="C2852" s="1" t="s">
        <v>101</v>
      </c>
      <c r="D2852" s="1" t="s">
        <v>101</v>
      </c>
      <c r="E2852" s="81">
        <v>0</v>
      </c>
      <c r="F2852" s="81">
        <v>0</v>
      </c>
    </row>
    <row r="2853" spans="1:6" x14ac:dyDescent="0.2">
      <c r="A2853" s="1" t="s">
        <v>179</v>
      </c>
      <c r="B2853" s="1" t="s">
        <v>3541</v>
      </c>
      <c r="C2853" s="1" t="s">
        <v>4195</v>
      </c>
      <c r="D2853" s="1" t="s">
        <v>4195</v>
      </c>
      <c r="E2853" s="81">
        <v>10819.9</v>
      </c>
      <c r="F2853" s="81">
        <v>10819.9</v>
      </c>
    </row>
    <row r="2854" spans="1:6" x14ac:dyDescent="0.2">
      <c r="A2854" s="1" t="s">
        <v>179</v>
      </c>
      <c r="B2854" s="1" t="s">
        <v>3542</v>
      </c>
      <c r="C2854" s="1" t="s">
        <v>4196</v>
      </c>
      <c r="D2854" s="1" t="s">
        <v>4196</v>
      </c>
      <c r="E2854" s="81">
        <v>2286.79</v>
      </c>
      <c r="F2854" s="81">
        <v>2286.79</v>
      </c>
    </row>
    <row r="2855" spans="1:6" x14ac:dyDescent="0.2">
      <c r="A2855" s="1" t="s">
        <v>179</v>
      </c>
      <c r="B2855" s="1" t="s">
        <v>3543</v>
      </c>
      <c r="C2855" s="1" t="s">
        <v>4197</v>
      </c>
      <c r="D2855" s="1" t="s">
        <v>4197</v>
      </c>
      <c r="E2855" s="81">
        <v>3746.34</v>
      </c>
      <c r="F2855" s="81">
        <v>3746.34</v>
      </c>
    </row>
    <row r="2856" spans="1:6" x14ac:dyDescent="0.2">
      <c r="A2856" s="1" t="s">
        <v>179</v>
      </c>
      <c r="B2856" s="1" t="s">
        <v>3544</v>
      </c>
      <c r="C2856" s="1" t="s">
        <v>4198</v>
      </c>
      <c r="D2856" s="1" t="s">
        <v>4198</v>
      </c>
      <c r="E2856" s="81">
        <v>3244.19</v>
      </c>
      <c r="F2856" s="81">
        <v>3244.19</v>
      </c>
    </row>
    <row r="2857" spans="1:6" x14ac:dyDescent="0.2">
      <c r="A2857" s="1" t="s">
        <v>179</v>
      </c>
      <c r="B2857" s="1" t="s">
        <v>3545</v>
      </c>
      <c r="C2857" s="1" t="s">
        <v>101</v>
      </c>
      <c r="D2857" s="1" t="s">
        <v>101</v>
      </c>
      <c r="E2857" s="81">
        <v>0</v>
      </c>
      <c r="F2857" s="81">
        <v>0</v>
      </c>
    </row>
    <row r="2858" spans="1:6" x14ac:dyDescent="0.2">
      <c r="A2858" s="1" t="s">
        <v>179</v>
      </c>
      <c r="B2858" s="1" t="s">
        <v>3546</v>
      </c>
      <c r="C2858" s="1" t="s">
        <v>101</v>
      </c>
      <c r="D2858" s="1" t="s">
        <v>101</v>
      </c>
      <c r="E2858" s="81">
        <v>0</v>
      </c>
      <c r="F2858" s="81">
        <v>0</v>
      </c>
    </row>
    <row r="2859" spans="1:6" x14ac:dyDescent="0.2">
      <c r="A2859" s="1" t="s">
        <v>179</v>
      </c>
      <c r="B2859" s="1" t="s">
        <v>3547</v>
      </c>
      <c r="C2859" s="1" t="s">
        <v>101</v>
      </c>
      <c r="D2859" s="1" t="s">
        <v>101</v>
      </c>
      <c r="E2859" s="81">
        <v>0</v>
      </c>
      <c r="F2859" s="81">
        <v>0</v>
      </c>
    </row>
    <row r="2860" spans="1:6" x14ac:dyDescent="0.2">
      <c r="A2860" s="1" t="s">
        <v>179</v>
      </c>
      <c r="B2860" s="1" t="s">
        <v>3548</v>
      </c>
      <c r="C2860" s="1" t="s">
        <v>101</v>
      </c>
      <c r="D2860" s="1" t="s">
        <v>101</v>
      </c>
      <c r="E2860" s="81">
        <v>0</v>
      </c>
      <c r="F2860" s="81">
        <v>0</v>
      </c>
    </row>
    <row r="2861" spans="1:6" x14ac:dyDescent="0.2">
      <c r="A2861" s="1" t="s">
        <v>179</v>
      </c>
      <c r="B2861" s="1" t="s">
        <v>3549</v>
      </c>
      <c r="C2861" s="1" t="s">
        <v>101</v>
      </c>
      <c r="D2861" s="1" t="s">
        <v>101</v>
      </c>
      <c r="E2861" s="81">
        <v>0</v>
      </c>
      <c r="F2861" s="81">
        <v>0</v>
      </c>
    </row>
    <row r="2862" spans="1:6" x14ac:dyDescent="0.2">
      <c r="A2862" s="1" t="s">
        <v>179</v>
      </c>
      <c r="B2862" s="1" t="s">
        <v>3550</v>
      </c>
      <c r="C2862" s="1" t="s">
        <v>101</v>
      </c>
      <c r="D2862" s="1" t="s">
        <v>101</v>
      </c>
      <c r="E2862" s="81">
        <v>0</v>
      </c>
      <c r="F2862" s="81">
        <v>0</v>
      </c>
    </row>
    <row r="2863" spans="1:6" x14ac:dyDescent="0.2">
      <c r="A2863" s="1" t="s">
        <v>179</v>
      </c>
      <c r="B2863" s="1" t="s">
        <v>3551</v>
      </c>
      <c r="C2863" s="1" t="s">
        <v>101</v>
      </c>
      <c r="D2863" s="1" t="s">
        <v>101</v>
      </c>
      <c r="E2863" s="81">
        <v>0</v>
      </c>
      <c r="F2863" s="81">
        <v>0</v>
      </c>
    </row>
    <row r="2864" spans="1:6" x14ac:dyDescent="0.2">
      <c r="A2864" s="1" t="s">
        <v>179</v>
      </c>
      <c r="B2864" s="1" t="s">
        <v>3552</v>
      </c>
      <c r="C2864" s="1" t="s">
        <v>101</v>
      </c>
      <c r="D2864" s="1" t="s">
        <v>101</v>
      </c>
      <c r="E2864" s="81">
        <v>0</v>
      </c>
      <c r="F2864" s="81">
        <v>0</v>
      </c>
    </row>
    <row r="2865" spans="1:6" x14ac:dyDescent="0.2">
      <c r="A2865" s="1" t="s">
        <v>179</v>
      </c>
      <c r="B2865" s="1" t="s">
        <v>3553</v>
      </c>
      <c r="C2865" s="1" t="s">
        <v>101</v>
      </c>
      <c r="D2865" s="1" t="s">
        <v>101</v>
      </c>
      <c r="E2865" s="81">
        <v>0</v>
      </c>
      <c r="F2865" s="81">
        <v>0</v>
      </c>
    </row>
    <row r="2866" spans="1:6" x14ac:dyDescent="0.2">
      <c r="A2866" s="1" t="s">
        <v>179</v>
      </c>
      <c r="B2866" s="1" t="s">
        <v>3554</v>
      </c>
      <c r="C2866" s="1" t="s">
        <v>4199</v>
      </c>
      <c r="D2866" s="1" t="s">
        <v>4199</v>
      </c>
      <c r="E2866" s="81">
        <v>233.07</v>
      </c>
      <c r="F2866" s="81">
        <v>233.07</v>
      </c>
    </row>
    <row r="2867" spans="1:6" x14ac:dyDescent="0.2">
      <c r="A2867" s="1" t="s">
        <v>179</v>
      </c>
      <c r="B2867" s="1" t="s">
        <v>3555</v>
      </c>
      <c r="C2867" s="1" t="s">
        <v>4200</v>
      </c>
      <c r="D2867" s="1" t="s">
        <v>4200</v>
      </c>
      <c r="E2867" s="81">
        <v>674.33</v>
      </c>
      <c r="F2867" s="81">
        <v>674.33</v>
      </c>
    </row>
    <row r="2868" spans="1:6" x14ac:dyDescent="0.2">
      <c r="A2868" s="1" t="s">
        <v>179</v>
      </c>
      <c r="B2868" s="1" t="s">
        <v>3556</v>
      </c>
      <c r="C2868" s="1" t="s">
        <v>4201</v>
      </c>
      <c r="D2868" s="1" t="s">
        <v>4201</v>
      </c>
      <c r="E2868" s="81">
        <v>652.79999999999995</v>
      </c>
      <c r="F2868" s="81">
        <v>652.79999999999995</v>
      </c>
    </row>
    <row r="2869" spans="1:6" x14ac:dyDescent="0.2">
      <c r="A2869" s="1" t="s">
        <v>179</v>
      </c>
      <c r="B2869" s="1" t="s">
        <v>3557</v>
      </c>
      <c r="C2869" s="1" t="s">
        <v>101</v>
      </c>
      <c r="D2869" s="1" t="s">
        <v>101</v>
      </c>
      <c r="E2869" s="81">
        <v>0</v>
      </c>
      <c r="F2869" s="81">
        <v>0</v>
      </c>
    </row>
    <row r="2870" spans="1:6" x14ac:dyDescent="0.2">
      <c r="A2870" s="1" t="s">
        <v>179</v>
      </c>
      <c r="B2870" s="1" t="s">
        <v>3558</v>
      </c>
      <c r="C2870" s="1" t="s">
        <v>101</v>
      </c>
      <c r="D2870" s="1" t="s">
        <v>101</v>
      </c>
      <c r="E2870" s="81">
        <v>0</v>
      </c>
      <c r="F2870" s="81">
        <v>0</v>
      </c>
    </row>
    <row r="2871" spans="1:6" x14ac:dyDescent="0.2">
      <c r="A2871" s="1" t="s">
        <v>179</v>
      </c>
      <c r="B2871" s="1" t="s">
        <v>3559</v>
      </c>
      <c r="C2871" s="1" t="s">
        <v>101</v>
      </c>
      <c r="D2871" s="1" t="s">
        <v>101</v>
      </c>
      <c r="E2871" s="81">
        <v>0</v>
      </c>
      <c r="F2871" s="81">
        <v>0</v>
      </c>
    </row>
    <row r="2872" spans="1:6" x14ac:dyDescent="0.2">
      <c r="A2872" s="1" t="s">
        <v>179</v>
      </c>
      <c r="B2872" s="1" t="s">
        <v>3560</v>
      </c>
      <c r="C2872" s="1" t="s">
        <v>101</v>
      </c>
      <c r="D2872" s="1" t="s">
        <v>101</v>
      </c>
      <c r="E2872" s="81">
        <v>0</v>
      </c>
      <c r="F2872" s="81">
        <v>0</v>
      </c>
    </row>
    <row r="2873" spans="1:6" x14ac:dyDescent="0.2">
      <c r="A2873" s="1" t="s">
        <v>179</v>
      </c>
      <c r="B2873" s="1" t="s">
        <v>3561</v>
      </c>
      <c r="C2873" s="1" t="s">
        <v>101</v>
      </c>
      <c r="D2873" s="1" t="s">
        <v>101</v>
      </c>
      <c r="E2873" s="81">
        <v>0</v>
      </c>
      <c r="F2873" s="81">
        <v>0</v>
      </c>
    </row>
    <row r="2874" spans="1:6" x14ac:dyDescent="0.2">
      <c r="A2874" s="1" t="s">
        <v>179</v>
      </c>
      <c r="B2874" s="1" t="s">
        <v>3562</v>
      </c>
      <c r="C2874" s="1" t="s">
        <v>101</v>
      </c>
      <c r="D2874" s="1" t="s">
        <v>101</v>
      </c>
      <c r="E2874" s="81">
        <v>0</v>
      </c>
      <c r="F2874" s="81">
        <v>0</v>
      </c>
    </row>
    <row r="2875" spans="1:6" x14ac:dyDescent="0.2">
      <c r="A2875" s="1" t="s">
        <v>179</v>
      </c>
      <c r="B2875" s="1" t="s">
        <v>3563</v>
      </c>
      <c r="C2875" s="1" t="s">
        <v>101</v>
      </c>
      <c r="D2875" s="1" t="s">
        <v>101</v>
      </c>
      <c r="E2875" s="81">
        <v>0</v>
      </c>
      <c r="F2875" s="81">
        <v>0</v>
      </c>
    </row>
    <row r="2876" spans="1:6" x14ac:dyDescent="0.2">
      <c r="A2876" s="1" t="s">
        <v>179</v>
      </c>
      <c r="B2876" s="1" t="s">
        <v>3564</v>
      </c>
      <c r="C2876" s="1" t="s">
        <v>101</v>
      </c>
      <c r="D2876" s="1" t="s">
        <v>101</v>
      </c>
      <c r="E2876" s="81">
        <v>0</v>
      </c>
      <c r="F2876" s="81">
        <v>0</v>
      </c>
    </row>
    <row r="2877" spans="1:6" x14ac:dyDescent="0.2">
      <c r="A2877" s="1" t="s">
        <v>179</v>
      </c>
      <c r="B2877" s="1" t="s">
        <v>3565</v>
      </c>
      <c r="C2877" s="1" t="s">
        <v>101</v>
      </c>
      <c r="D2877" s="1" t="s">
        <v>101</v>
      </c>
      <c r="E2877" s="81">
        <v>0</v>
      </c>
      <c r="F2877" s="81">
        <v>0</v>
      </c>
    </row>
    <row r="2878" spans="1:6" x14ac:dyDescent="0.2">
      <c r="A2878" s="1" t="s">
        <v>179</v>
      </c>
      <c r="B2878" s="1" t="s">
        <v>3566</v>
      </c>
      <c r="C2878" s="1" t="s">
        <v>101</v>
      </c>
      <c r="D2878" s="1" t="s">
        <v>101</v>
      </c>
      <c r="E2878" s="81">
        <v>0</v>
      </c>
      <c r="F2878" s="81">
        <v>0</v>
      </c>
    </row>
    <row r="2879" spans="1:6" x14ac:dyDescent="0.2">
      <c r="A2879" s="1" t="s">
        <v>179</v>
      </c>
      <c r="B2879" s="1" t="s">
        <v>3567</v>
      </c>
      <c r="C2879" s="1" t="s">
        <v>101</v>
      </c>
      <c r="D2879" s="1" t="s">
        <v>101</v>
      </c>
      <c r="E2879" s="81">
        <v>0</v>
      </c>
      <c r="F2879" s="81">
        <v>0</v>
      </c>
    </row>
    <row r="2880" spans="1:6" x14ac:dyDescent="0.2">
      <c r="A2880" s="1" t="s">
        <v>179</v>
      </c>
      <c r="B2880" s="1" t="s">
        <v>3568</v>
      </c>
      <c r="C2880" s="1" t="s">
        <v>101</v>
      </c>
      <c r="D2880" s="1" t="s">
        <v>101</v>
      </c>
      <c r="E2880" s="81">
        <v>0</v>
      </c>
      <c r="F2880" s="81">
        <v>0</v>
      </c>
    </row>
    <row r="2881" spans="1:6" x14ac:dyDescent="0.2">
      <c r="A2881" s="1" t="s">
        <v>179</v>
      </c>
      <c r="B2881" s="1" t="s">
        <v>3569</v>
      </c>
      <c r="C2881" s="1" t="s">
        <v>101</v>
      </c>
      <c r="D2881" s="1" t="s">
        <v>101</v>
      </c>
      <c r="E2881" s="81">
        <v>0</v>
      </c>
      <c r="F2881" s="81">
        <v>0</v>
      </c>
    </row>
    <row r="2882" spans="1:6" x14ac:dyDescent="0.2">
      <c r="A2882" s="1" t="s">
        <v>179</v>
      </c>
      <c r="B2882" s="1" t="s">
        <v>3570</v>
      </c>
      <c r="C2882" s="1" t="s">
        <v>101</v>
      </c>
      <c r="D2882" s="1" t="s">
        <v>101</v>
      </c>
      <c r="E2882" s="81">
        <v>0</v>
      </c>
      <c r="F2882" s="81">
        <v>0</v>
      </c>
    </row>
    <row r="2883" spans="1:6" x14ac:dyDescent="0.2">
      <c r="A2883" s="1" t="s">
        <v>179</v>
      </c>
      <c r="B2883" s="1" t="s">
        <v>3571</v>
      </c>
      <c r="C2883" s="1" t="s">
        <v>101</v>
      </c>
      <c r="D2883" s="1" t="s">
        <v>101</v>
      </c>
      <c r="E2883" s="81">
        <v>0</v>
      </c>
      <c r="F2883" s="81">
        <v>0</v>
      </c>
    </row>
    <row r="2884" spans="1:6" x14ac:dyDescent="0.2">
      <c r="A2884" s="1" t="s">
        <v>179</v>
      </c>
      <c r="B2884" s="1" t="s">
        <v>3572</v>
      </c>
      <c r="C2884" s="1" t="s">
        <v>101</v>
      </c>
      <c r="D2884" s="1" t="s">
        <v>101</v>
      </c>
      <c r="E2884" s="81">
        <v>0</v>
      </c>
      <c r="F2884" s="81">
        <v>0</v>
      </c>
    </row>
    <row r="2885" spans="1:6" x14ac:dyDescent="0.2">
      <c r="A2885" s="1" t="s">
        <v>179</v>
      </c>
      <c r="B2885" s="1" t="s">
        <v>3573</v>
      </c>
      <c r="C2885" s="1" t="s">
        <v>101</v>
      </c>
      <c r="D2885" s="1" t="s">
        <v>101</v>
      </c>
      <c r="E2885" s="81">
        <v>0</v>
      </c>
      <c r="F2885" s="81">
        <v>0</v>
      </c>
    </row>
    <row r="2886" spans="1:6" x14ac:dyDescent="0.2">
      <c r="A2886" s="1" t="s">
        <v>179</v>
      </c>
      <c r="B2886" s="1" t="s">
        <v>3574</v>
      </c>
      <c r="C2886" s="1" t="s">
        <v>101</v>
      </c>
      <c r="D2886" s="1" t="s">
        <v>101</v>
      </c>
      <c r="E2886" s="81">
        <v>0</v>
      </c>
      <c r="F2886" s="81">
        <v>0</v>
      </c>
    </row>
    <row r="2887" spans="1:6" x14ac:dyDescent="0.2">
      <c r="A2887" s="1" t="s">
        <v>179</v>
      </c>
      <c r="B2887" s="1" t="s">
        <v>3575</v>
      </c>
      <c r="C2887" s="1" t="s">
        <v>101</v>
      </c>
      <c r="D2887" s="1" t="s">
        <v>101</v>
      </c>
      <c r="E2887" s="81">
        <v>0</v>
      </c>
      <c r="F2887" s="81">
        <v>0</v>
      </c>
    </row>
    <row r="2888" spans="1:6" x14ac:dyDescent="0.2">
      <c r="A2888" s="1" t="s">
        <v>179</v>
      </c>
      <c r="B2888" s="1" t="s">
        <v>3576</v>
      </c>
      <c r="C2888" s="1" t="s">
        <v>101</v>
      </c>
      <c r="D2888" s="1" t="s">
        <v>101</v>
      </c>
      <c r="E2888" s="81">
        <v>0</v>
      </c>
      <c r="F2888" s="81">
        <v>0</v>
      </c>
    </row>
    <row r="2889" spans="1:6" x14ac:dyDescent="0.2">
      <c r="A2889" s="1" t="s">
        <v>179</v>
      </c>
      <c r="B2889" s="1" t="s">
        <v>3577</v>
      </c>
      <c r="C2889" s="1" t="s">
        <v>101</v>
      </c>
      <c r="D2889" s="1" t="s">
        <v>101</v>
      </c>
      <c r="E2889" s="81">
        <v>0</v>
      </c>
      <c r="F2889" s="81">
        <v>0</v>
      </c>
    </row>
    <row r="2890" spans="1:6" x14ac:dyDescent="0.2">
      <c r="A2890" s="1" t="s">
        <v>179</v>
      </c>
      <c r="B2890" s="1" t="s">
        <v>3578</v>
      </c>
      <c r="C2890" s="1" t="s">
        <v>4189</v>
      </c>
      <c r="D2890" s="1" t="s">
        <v>4189</v>
      </c>
      <c r="E2890" s="81">
        <v>1473.6</v>
      </c>
      <c r="F2890" s="81">
        <v>1473.6</v>
      </c>
    </row>
    <row r="2891" spans="1:6" x14ac:dyDescent="0.2">
      <c r="A2891" s="1" t="s">
        <v>179</v>
      </c>
      <c r="B2891" s="1" t="s">
        <v>3579</v>
      </c>
      <c r="C2891" s="1" t="s">
        <v>4190</v>
      </c>
      <c r="D2891" s="1" t="s">
        <v>4190</v>
      </c>
      <c r="E2891" s="81">
        <v>3078.38</v>
      </c>
      <c r="F2891" s="81">
        <v>3078.38</v>
      </c>
    </row>
    <row r="2892" spans="1:6" x14ac:dyDescent="0.2">
      <c r="A2892" s="1" t="s">
        <v>179</v>
      </c>
      <c r="B2892" s="1" t="s">
        <v>3580</v>
      </c>
      <c r="C2892" s="1" t="s">
        <v>4191</v>
      </c>
      <c r="D2892" s="1" t="s">
        <v>4191</v>
      </c>
      <c r="E2892" s="81">
        <v>2281.1999999999998</v>
      </c>
      <c r="F2892" s="81">
        <v>2281.1999999999998</v>
      </c>
    </row>
    <row r="2893" spans="1:6" x14ac:dyDescent="0.2">
      <c r="A2893" s="1" t="s">
        <v>179</v>
      </c>
      <c r="B2893" s="1" t="s">
        <v>3581</v>
      </c>
      <c r="C2893" s="1" t="s">
        <v>101</v>
      </c>
      <c r="D2893" s="1" t="s">
        <v>101</v>
      </c>
      <c r="E2893" s="81">
        <v>0</v>
      </c>
      <c r="F2893" s="81">
        <v>0</v>
      </c>
    </row>
    <row r="2894" spans="1:6" x14ac:dyDescent="0.2">
      <c r="A2894" s="1" t="s">
        <v>179</v>
      </c>
      <c r="B2894" s="1" t="s">
        <v>3582</v>
      </c>
      <c r="C2894" s="1" t="s">
        <v>101</v>
      </c>
      <c r="D2894" s="1" t="s">
        <v>101</v>
      </c>
      <c r="E2894" s="81">
        <v>0</v>
      </c>
      <c r="F2894" s="81">
        <v>0</v>
      </c>
    </row>
    <row r="2895" spans="1:6" x14ac:dyDescent="0.2">
      <c r="A2895" s="1" t="s">
        <v>179</v>
      </c>
      <c r="B2895" s="1" t="s">
        <v>3583</v>
      </c>
      <c r="C2895" s="1" t="s">
        <v>101</v>
      </c>
      <c r="D2895" s="1" t="s">
        <v>101</v>
      </c>
      <c r="E2895" s="81">
        <v>0</v>
      </c>
      <c r="F2895" s="81">
        <v>0</v>
      </c>
    </row>
    <row r="2896" spans="1:6" x14ac:dyDescent="0.2">
      <c r="A2896" s="1" t="s">
        <v>179</v>
      </c>
      <c r="B2896" s="1" t="s">
        <v>3584</v>
      </c>
      <c r="C2896" s="1" t="s">
        <v>101</v>
      </c>
      <c r="D2896" s="1" t="s">
        <v>101</v>
      </c>
      <c r="E2896" s="81">
        <v>0</v>
      </c>
      <c r="F2896" s="81">
        <v>0</v>
      </c>
    </row>
    <row r="2897" spans="1:6" x14ac:dyDescent="0.2">
      <c r="A2897" s="1" t="s">
        <v>179</v>
      </c>
      <c r="B2897" s="1" t="s">
        <v>3585</v>
      </c>
      <c r="C2897" s="1" t="s">
        <v>101</v>
      </c>
      <c r="D2897" s="1" t="s">
        <v>101</v>
      </c>
      <c r="E2897" s="81">
        <v>0</v>
      </c>
      <c r="F2897" s="81">
        <v>0</v>
      </c>
    </row>
    <row r="2898" spans="1:6" x14ac:dyDescent="0.2">
      <c r="A2898" s="1" t="s">
        <v>179</v>
      </c>
      <c r="B2898" s="1" t="s">
        <v>3586</v>
      </c>
      <c r="C2898" s="1" t="s">
        <v>101</v>
      </c>
      <c r="D2898" s="1" t="s">
        <v>101</v>
      </c>
      <c r="E2898" s="81">
        <v>0</v>
      </c>
      <c r="F2898" s="81">
        <v>0</v>
      </c>
    </row>
    <row r="2899" spans="1:6" x14ac:dyDescent="0.2">
      <c r="A2899" s="1" t="s">
        <v>179</v>
      </c>
      <c r="B2899" s="1" t="s">
        <v>3587</v>
      </c>
      <c r="C2899" s="1" t="s">
        <v>101</v>
      </c>
      <c r="D2899" s="1" t="s">
        <v>101</v>
      </c>
      <c r="E2899" s="81">
        <v>0</v>
      </c>
      <c r="F2899" s="81">
        <v>0</v>
      </c>
    </row>
    <row r="2900" spans="1:6" x14ac:dyDescent="0.2">
      <c r="A2900" s="1" t="s">
        <v>179</v>
      </c>
      <c r="B2900" s="1" t="s">
        <v>3588</v>
      </c>
      <c r="C2900" s="1" t="s">
        <v>101</v>
      </c>
      <c r="D2900" s="1" t="s">
        <v>101</v>
      </c>
      <c r="E2900" s="81">
        <v>0</v>
      </c>
      <c r="F2900" s="81">
        <v>0</v>
      </c>
    </row>
    <row r="2901" spans="1:6" x14ac:dyDescent="0.2">
      <c r="A2901" s="1" t="s">
        <v>179</v>
      </c>
      <c r="B2901" s="1" t="s">
        <v>3589</v>
      </c>
      <c r="C2901" s="1" t="s">
        <v>101</v>
      </c>
      <c r="D2901" s="1" t="s">
        <v>101</v>
      </c>
      <c r="E2901" s="81">
        <v>0</v>
      </c>
      <c r="F2901" s="81">
        <v>0</v>
      </c>
    </row>
    <row r="2902" spans="1:6" x14ac:dyDescent="0.2">
      <c r="A2902" s="1" t="s">
        <v>179</v>
      </c>
      <c r="B2902" s="1" t="s">
        <v>3590</v>
      </c>
      <c r="C2902" s="1" t="s">
        <v>4192</v>
      </c>
      <c r="D2902" s="1" t="s">
        <v>4192</v>
      </c>
      <c r="E2902" s="81">
        <v>2516.0100000000002</v>
      </c>
      <c r="F2902" s="81">
        <v>2516.0100000000002</v>
      </c>
    </row>
    <row r="2903" spans="1:6" x14ac:dyDescent="0.2">
      <c r="A2903" s="1" t="s">
        <v>179</v>
      </c>
      <c r="B2903" s="1" t="s">
        <v>3591</v>
      </c>
      <c r="C2903" s="1" t="s">
        <v>4193</v>
      </c>
      <c r="D2903" s="1" t="s">
        <v>4193</v>
      </c>
      <c r="E2903" s="81">
        <v>4413.08</v>
      </c>
      <c r="F2903" s="81">
        <v>4413.08</v>
      </c>
    </row>
    <row r="2904" spans="1:6" x14ac:dyDescent="0.2">
      <c r="A2904" s="1" t="s">
        <v>179</v>
      </c>
      <c r="B2904" s="1" t="s">
        <v>3592</v>
      </c>
      <c r="C2904" s="1" t="s">
        <v>4194</v>
      </c>
      <c r="D2904" s="1" t="s">
        <v>4194</v>
      </c>
      <c r="E2904" s="81">
        <v>3890.81</v>
      </c>
      <c r="F2904" s="81">
        <v>3890.81</v>
      </c>
    </row>
    <row r="2905" spans="1:6" x14ac:dyDescent="0.2">
      <c r="A2905" s="1" t="s">
        <v>179</v>
      </c>
      <c r="B2905" s="1" t="s">
        <v>3593</v>
      </c>
      <c r="C2905" s="1" t="s">
        <v>101</v>
      </c>
      <c r="D2905" s="1" t="s">
        <v>101</v>
      </c>
      <c r="E2905" s="81">
        <v>0</v>
      </c>
      <c r="F2905" s="81">
        <v>0</v>
      </c>
    </row>
    <row r="2906" spans="1:6" x14ac:dyDescent="0.2">
      <c r="A2906" s="1" t="s">
        <v>179</v>
      </c>
      <c r="B2906" s="1" t="s">
        <v>3594</v>
      </c>
      <c r="C2906" s="1" t="s">
        <v>101</v>
      </c>
      <c r="D2906" s="1" t="s">
        <v>101</v>
      </c>
      <c r="E2906" s="81">
        <v>0</v>
      </c>
      <c r="F2906" s="81">
        <v>0</v>
      </c>
    </row>
    <row r="2907" spans="1:6" x14ac:dyDescent="0.2">
      <c r="A2907" s="1" t="s">
        <v>179</v>
      </c>
      <c r="B2907" s="1" t="s">
        <v>3595</v>
      </c>
      <c r="C2907" s="1" t="s">
        <v>101</v>
      </c>
      <c r="D2907" s="1" t="s">
        <v>101</v>
      </c>
      <c r="E2907" s="81">
        <v>0</v>
      </c>
      <c r="F2907" s="81">
        <v>0</v>
      </c>
    </row>
    <row r="2908" spans="1:6" x14ac:dyDescent="0.2">
      <c r="A2908" s="1" t="s">
        <v>179</v>
      </c>
      <c r="B2908" s="1" t="s">
        <v>3596</v>
      </c>
      <c r="C2908" s="1" t="s">
        <v>101</v>
      </c>
      <c r="D2908" s="1" t="s">
        <v>101</v>
      </c>
      <c r="E2908" s="81">
        <v>0</v>
      </c>
      <c r="F2908" s="81">
        <v>0</v>
      </c>
    </row>
    <row r="2909" spans="1:6" x14ac:dyDescent="0.2">
      <c r="A2909" s="1" t="s">
        <v>179</v>
      </c>
      <c r="B2909" s="1" t="s">
        <v>3597</v>
      </c>
      <c r="C2909" s="1" t="s">
        <v>101</v>
      </c>
      <c r="D2909" s="1" t="s">
        <v>101</v>
      </c>
      <c r="E2909" s="81">
        <v>0</v>
      </c>
      <c r="F2909" s="81">
        <v>0</v>
      </c>
    </row>
    <row r="2910" spans="1:6" x14ac:dyDescent="0.2">
      <c r="A2910" s="1" t="s">
        <v>179</v>
      </c>
      <c r="B2910" s="1" t="s">
        <v>3598</v>
      </c>
      <c r="C2910" s="1" t="s">
        <v>101</v>
      </c>
      <c r="D2910" s="1" t="s">
        <v>101</v>
      </c>
      <c r="E2910" s="81">
        <v>0</v>
      </c>
      <c r="F2910" s="81">
        <v>0</v>
      </c>
    </row>
    <row r="2911" spans="1:6" x14ac:dyDescent="0.2">
      <c r="A2911" s="1" t="s">
        <v>179</v>
      </c>
      <c r="B2911" s="1" t="s">
        <v>3599</v>
      </c>
      <c r="C2911" s="1" t="s">
        <v>101</v>
      </c>
      <c r="D2911" s="1" t="s">
        <v>101</v>
      </c>
      <c r="E2911" s="81">
        <v>0</v>
      </c>
      <c r="F2911" s="81">
        <v>0</v>
      </c>
    </row>
    <row r="2912" spans="1:6" x14ac:dyDescent="0.2">
      <c r="A2912" s="1" t="s">
        <v>179</v>
      </c>
      <c r="B2912" s="1" t="s">
        <v>3600</v>
      </c>
      <c r="C2912" s="1" t="s">
        <v>101</v>
      </c>
      <c r="D2912" s="1" t="s">
        <v>101</v>
      </c>
      <c r="E2912" s="81">
        <v>0</v>
      </c>
      <c r="F2912" s="81">
        <v>0</v>
      </c>
    </row>
    <row r="2913" spans="1:6" x14ac:dyDescent="0.2">
      <c r="A2913" s="1" t="s">
        <v>179</v>
      </c>
      <c r="B2913" s="1" t="s">
        <v>3601</v>
      </c>
      <c r="C2913" s="1" t="s">
        <v>101</v>
      </c>
      <c r="D2913" s="1" t="s">
        <v>101</v>
      </c>
      <c r="E2913" s="81">
        <v>0</v>
      </c>
      <c r="F2913" s="81">
        <v>0</v>
      </c>
    </row>
    <row r="2914" spans="1:6" x14ac:dyDescent="0.2">
      <c r="A2914" s="1" t="s">
        <v>179</v>
      </c>
      <c r="B2914" s="1" t="s">
        <v>3602</v>
      </c>
      <c r="C2914" s="1" t="s">
        <v>4195</v>
      </c>
      <c r="D2914" s="1" t="s">
        <v>4195</v>
      </c>
      <c r="E2914" s="81">
        <v>10819.9</v>
      </c>
      <c r="F2914" s="81">
        <v>10819.9</v>
      </c>
    </row>
    <row r="2915" spans="1:6" x14ac:dyDescent="0.2">
      <c r="A2915" s="1" t="s">
        <v>179</v>
      </c>
      <c r="B2915" s="1" t="s">
        <v>3603</v>
      </c>
      <c r="C2915" s="1" t="s">
        <v>101</v>
      </c>
      <c r="D2915" s="1" t="s">
        <v>101</v>
      </c>
      <c r="E2915" s="81">
        <v>0</v>
      </c>
      <c r="F2915" s="81">
        <v>0</v>
      </c>
    </row>
    <row r="2916" spans="1:6" x14ac:dyDescent="0.2">
      <c r="A2916" s="1" t="s">
        <v>179</v>
      </c>
      <c r="B2916" s="1" t="s">
        <v>3604</v>
      </c>
      <c r="C2916" s="1" t="s">
        <v>101</v>
      </c>
      <c r="D2916" s="1" t="s">
        <v>101</v>
      </c>
      <c r="E2916" s="81">
        <v>0</v>
      </c>
      <c r="F2916" s="81">
        <v>0</v>
      </c>
    </row>
    <row r="2917" spans="1:6" x14ac:dyDescent="0.2">
      <c r="A2917" s="1" t="s">
        <v>179</v>
      </c>
      <c r="B2917" s="1" t="s">
        <v>3614</v>
      </c>
      <c r="C2917" s="1" t="s">
        <v>4202</v>
      </c>
      <c r="D2917" s="1" t="s">
        <v>4202</v>
      </c>
      <c r="E2917" s="81">
        <v>744900.73</v>
      </c>
      <c r="F2917" s="81">
        <v>744900.73</v>
      </c>
    </row>
    <row r="2918" spans="1:6" x14ac:dyDescent="0.2">
      <c r="A2918" s="1" t="s">
        <v>179</v>
      </c>
      <c r="B2918" s="1" t="s">
        <v>3615</v>
      </c>
      <c r="C2918" s="1" t="s">
        <v>4202</v>
      </c>
      <c r="D2918" s="1" t="s">
        <v>4202</v>
      </c>
      <c r="E2918" s="81">
        <v>744900.73</v>
      </c>
      <c r="F2918" s="81">
        <v>744900.73</v>
      </c>
    </row>
    <row r="2919" spans="1:6" x14ac:dyDescent="0.2">
      <c r="A2919" s="1" t="s">
        <v>179</v>
      </c>
      <c r="B2919" s="1" t="s">
        <v>3616</v>
      </c>
      <c r="C2919" s="1" t="s">
        <v>4203</v>
      </c>
      <c r="D2919" s="1" t="s">
        <v>4203</v>
      </c>
      <c r="E2919" s="81">
        <v>105953.12</v>
      </c>
      <c r="F2919" s="81">
        <v>105953.12</v>
      </c>
    </row>
    <row r="2920" spans="1:6" x14ac:dyDescent="0.2">
      <c r="A2920" s="1" t="s">
        <v>179</v>
      </c>
      <c r="B2920" s="1" t="s">
        <v>3617</v>
      </c>
      <c r="C2920" s="1" t="s">
        <v>4204</v>
      </c>
      <c r="D2920" s="1" t="s">
        <v>4204</v>
      </c>
      <c r="E2920" s="81">
        <v>105918.76</v>
      </c>
      <c r="F2920" s="81">
        <v>105918.76</v>
      </c>
    </row>
    <row r="2921" spans="1:6" x14ac:dyDescent="0.2">
      <c r="A2921" s="1" t="s">
        <v>179</v>
      </c>
      <c r="B2921" s="1" t="s">
        <v>3618</v>
      </c>
      <c r="C2921" s="1" t="s">
        <v>4205</v>
      </c>
      <c r="D2921" s="1" t="s">
        <v>4205</v>
      </c>
      <c r="E2921" s="81">
        <v>110761.72</v>
      </c>
      <c r="F2921" s="81">
        <v>110761.72</v>
      </c>
    </row>
    <row r="2922" spans="1:6" x14ac:dyDescent="0.2">
      <c r="A2922" s="1" t="s">
        <v>179</v>
      </c>
      <c r="B2922" s="1" t="s">
        <v>3619</v>
      </c>
      <c r="C2922" s="1" t="s">
        <v>101</v>
      </c>
      <c r="D2922" s="1" t="s">
        <v>101</v>
      </c>
      <c r="E2922" s="81">
        <v>0</v>
      </c>
      <c r="F2922" s="81">
        <v>0</v>
      </c>
    </row>
    <row r="2923" spans="1:6" x14ac:dyDescent="0.2">
      <c r="A2923" s="1" t="s">
        <v>179</v>
      </c>
      <c r="B2923" s="1" t="s">
        <v>3620</v>
      </c>
      <c r="C2923" s="1" t="s">
        <v>101</v>
      </c>
      <c r="D2923" s="1" t="s">
        <v>101</v>
      </c>
      <c r="E2923" s="81">
        <v>0</v>
      </c>
      <c r="F2923" s="81">
        <v>0</v>
      </c>
    </row>
    <row r="2924" spans="1:6" x14ac:dyDescent="0.2">
      <c r="A2924" s="1" t="s">
        <v>179</v>
      </c>
      <c r="B2924" s="1" t="s">
        <v>3621</v>
      </c>
      <c r="C2924" s="1" t="s">
        <v>101</v>
      </c>
      <c r="D2924" s="1" t="s">
        <v>101</v>
      </c>
      <c r="E2924" s="81">
        <v>0</v>
      </c>
      <c r="F2924" s="81">
        <v>0</v>
      </c>
    </row>
    <row r="2925" spans="1:6" x14ac:dyDescent="0.2">
      <c r="A2925" s="1" t="s">
        <v>179</v>
      </c>
      <c r="B2925" s="1" t="s">
        <v>3622</v>
      </c>
      <c r="C2925" s="1" t="s">
        <v>101</v>
      </c>
      <c r="D2925" s="1" t="s">
        <v>101</v>
      </c>
      <c r="E2925" s="81">
        <v>0</v>
      </c>
      <c r="F2925" s="81">
        <v>0</v>
      </c>
    </row>
    <row r="2926" spans="1:6" x14ac:dyDescent="0.2">
      <c r="A2926" s="1" t="s">
        <v>179</v>
      </c>
      <c r="B2926" s="1" t="s">
        <v>3623</v>
      </c>
      <c r="C2926" s="1" t="s">
        <v>101</v>
      </c>
      <c r="D2926" s="1" t="s">
        <v>101</v>
      </c>
      <c r="E2926" s="81">
        <v>0</v>
      </c>
      <c r="F2926" s="81">
        <v>0</v>
      </c>
    </row>
    <row r="2927" spans="1:6" x14ac:dyDescent="0.2">
      <c r="A2927" s="1" t="s">
        <v>179</v>
      </c>
      <c r="B2927" s="1" t="s">
        <v>3624</v>
      </c>
      <c r="C2927" s="1" t="s">
        <v>101</v>
      </c>
      <c r="D2927" s="1" t="s">
        <v>101</v>
      </c>
      <c r="E2927" s="81">
        <v>0</v>
      </c>
      <c r="F2927" s="81">
        <v>0</v>
      </c>
    </row>
    <row r="2928" spans="1:6" x14ac:dyDescent="0.2">
      <c r="A2928" s="1" t="s">
        <v>179</v>
      </c>
      <c r="B2928" s="1" t="s">
        <v>3625</v>
      </c>
      <c r="C2928" s="1" t="s">
        <v>101</v>
      </c>
      <c r="D2928" s="1" t="s">
        <v>101</v>
      </c>
      <c r="E2928" s="81">
        <v>0</v>
      </c>
      <c r="F2928" s="81">
        <v>0</v>
      </c>
    </row>
    <row r="2929" spans="1:6" x14ac:dyDescent="0.2">
      <c r="A2929" s="1" t="s">
        <v>179</v>
      </c>
      <c r="B2929" s="1" t="s">
        <v>3626</v>
      </c>
      <c r="C2929" s="1" t="s">
        <v>101</v>
      </c>
      <c r="D2929" s="1" t="s">
        <v>101</v>
      </c>
      <c r="E2929" s="81">
        <v>0</v>
      </c>
      <c r="F2929" s="81">
        <v>0</v>
      </c>
    </row>
    <row r="2930" spans="1:6" x14ac:dyDescent="0.2">
      <c r="A2930" s="1" t="s">
        <v>179</v>
      </c>
      <c r="B2930" s="1" t="s">
        <v>3627</v>
      </c>
      <c r="C2930" s="1" t="s">
        <v>101</v>
      </c>
      <c r="D2930" s="1" t="s">
        <v>101</v>
      </c>
      <c r="E2930" s="81">
        <v>0</v>
      </c>
      <c r="F2930" s="81">
        <v>0</v>
      </c>
    </row>
    <row r="2931" spans="1:6" x14ac:dyDescent="0.2">
      <c r="A2931" s="1" t="s">
        <v>179</v>
      </c>
      <c r="B2931" s="1" t="s">
        <v>3628</v>
      </c>
      <c r="C2931" s="1" t="s">
        <v>4206</v>
      </c>
      <c r="D2931" s="1" t="s">
        <v>4206</v>
      </c>
      <c r="E2931" s="81">
        <v>138292.63</v>
      </c>
      <c r="F2931" s="81">
        <v>138292.63</v>
      </c>
    </row>
    <row r="2932" spans="1:6" x14ac:dyDescent="0.2">
      <c r="A2932" s="1" t="s">
        <v>179</v>
      </c>
      <c r="B2932" s="1" t="s">
        <v>3629</v>
      </c>
      <c r="C2932" s="1" t="s">
        <v>4207</v>
      </c>
      <c r="D2932" s="1" t="s">
        <v>4207</v>
      </c>
      <c r="E2932" s="81">
        <v>140223.87</v>
      </c>
      <c r="F2932" s="81">
        <v>140223.87</v>
      </c>
    </row>
    <row r="2933" spans="1:6" x14ac:dyDescent="0.2">
      <c r="A2933" s="1" t="s">
        <v>179</v>
      </c>
      <c r="B2933" s="1" t="s">
        <v>3630</v>
      </c>
      <c r="C2933" s="1" t="s">
        <v>4208</v>
      </c>
      <c r="D2933" s="1" t="s">
        <v>4208</v>
      </c>
      <c r="E2933" s="81">
        <v>144951.76999999999</v>
      </c>
      <c r="F2933" s="81">
        <v>144951.76999999999</v>
      </c>
    </row>
    <row r="2934" spans="1:6" x14ac:dyDescent="0.2">
      <c r="A2934" s="1" t="s">
        <v>179</v>
      </c>
      <c r="B2934" s="1" t="s">
        <v>3631</v>
      </c>
      <c r="C2934" s="1" t="s">
        <v>101</v>
      </c>
      <c r="D2934" s="1" t="s">
        <v>101</v>
      </c>
      <c r="E2934" s="81">
        <v>0</v>
      </c>
      <c r="F2934" s="81">
        <v>0</v>
      </c>
    </row>
    <row r="2935" spans="1:6" x14ac:dyDescent="0.2">
      <c r="A2935" s="1" t="s">
        <v>179</v>
      </c>
      <c r="B2935" s="1" t="s">
        <v>3632</v>
      </c>
      <c r="C2935" s="1" t="s">
        <v>101</v>
      </c>
      <c r="D2935" s="1" t="s">
        <v>101</v>
      </c>
      <c r="E2935" s="81">
        <v>0</v>
      </c>
      <c r="F2935" s="81">
        <v>0</v>
      </c>
    </row>
    <row r="2936" spans="1:6" x14ac:dyDescent="0.2">
      <c r="A2936" s="1" t="s">
        <v>179</v>
      </c>
      <c r="B2936" s="1" t="s">
        <v>3633</v>
      </c>
      <c r="C2936" s="1" t="s">
        <v>101</v>
      </c>
      <c r="D2936" s="1" t="s">
        <v>101</v>
      </c>
      <c r="E2936" s="81">
        <v>0</v>
      </c>
      <c r="F2936" s="81">
        <v>0</v>
      </c>
    </row>
    <row r="2937" spans="1:6" x14ac:dyDescent="0.2">
      <c r="A2937" s="1" t="s">
        <v>179</v>
      </c>
      <c r="B2937" s="1" t="s">
        <v>3634</v>
      </c>
      <c r="C2937" s="1" t="s">
        <v>101</v>
      </c>
      <c r="D2937" s="1" t="s">
        <v>101</v>
      </c>
      <c r="E2937" s="81">
        <v>0</v>
      </c>
      <c r="F2937" s="81">
        <v>0</v>
      </c>
    </row>
    <row r="2938" spans="1:6" x14ac:dyDescent="0.2">
      <c r="A2938" s="1" t="s">
        <v>179</v>
      </c>
      <c r="B2938" s="1" t="s">
        <v>3635</v>
      </c>
      <c r="C2938" s="1" t="s">
        <v>101</v>
      </c>
      <c r="D2938" s="1" t="s">
        <v>101</v>
      </c>
      <c r="E2938" s="81">
        <v>0</v>
      </c>
      <c r="F2938" s="81">
        <v>0</v>
      </c>
    </row>
    <row r="2939" spans="1:6" x14ac:dyDescent="0.2">
      <c r="A2939" s="1" t="s">
        <v>179</v>
      </c>
      <c r="B2939" s="1" t="s">
        <v>3636</v>
      </c>
      <c r="C2939" s="1" t="s">
        <v>101</v>
      </c>
      <c r="D2939" s="1" t="s">
        <v>101</v>
      </c>
      <c r="E2939" s="81">
        <v>0</v>
      </c>
      <c r="F2939" s="81">
        <v>0</v>
      </c>
    </row>
    <row r="2940" spans="1:6" x14ac:dyDescent="0.2">
      <c r="A2940" s="1" t="s">
        <v>179</v>
      </c>
      <c r="B2940" s="1" t="s">
        <v>3637</v>
      </c>
      <c r="C2940" s="1" t="s">
        <v>101</v>
      </c>
      <c r="D2940" s="1" t="s">
        <v>101</v>
      </c>
      <c r="E2940" s="81">
        <v>0</v>
      </c>
      <c r="F2940" s="81">
        <v>0</v>
      </c>
    </row>
    <row r="2941" spans="1:6" x14ac:dyDescent="0.2">
      <c r="A2941" s="1" t="s">
        <v>179</v>
      </c>
      <c r="B2941" s="1" t="s">
        <v>3638</v>
      </c>
      <c r="C2941" s="1" t="s">
        <v>101</v>
      </c>
      <c r="D2941" s="1" t="s">
        <v>101</v>
      </c>
      <c r="E2941" s="81">
        <v>0</v>
      </c>
      <c r="F2941" s="81">
        <v>0</v>
      </c>
    </row>
    <row r="2942" spans="1:6" x14ac:dyDescent="0.2">
      <c r="A2942" s="1" t="s">
        <v>179</v>
      </c>
      <c r="B2942" s="1" t="s">
        <v>3639</v>
      </c>
      <c r="C2942" s="1" t="s">
        <v>101</v>
      </c>
      <c r="D2942" s="1" t="s">
        <v>101</v>
      </c>
      <c r="E2942" s="81">
        <v>0</v>
      </c>
      <c r="F2942" s="81">
        <v>0</v>
      </c>
    </row>
    <row r="2943" spans="1:6" x14ac:dyDescent="0.2">
      <c r="A2943" s="1" t="s">
        <v>179</v>
      </c>
      <c r="B2943" s="1" t="s">
        <v>3640</v>
      </c>
      <c r="C2943" s="1" t="s">
        <v>101</v>
      </c>
      <c r="D2943" s="1" t="s">
        <v>101</v>
      </c>
      <c r="E2943" s="81">
        <v>0</v>
      </c>
      <c r="F2943" s="81">
        <v>0</v>
      </c>
    </row>
    <row r="2944" spans="1:6" x14ac:dyDescent="0.2">
      <c r="A2944" s="1" t="s">
        <v>179</v>
      </c>
      <c r="B2944" s="1" t="s">
        <v>3641</v>
      </c>
      <c r="C2944" s="1" t="s">
        <v>101</v>
      </c>
      <c r="D2944" s="1" t="s">
        <v>101</v>
      </c>
      <c r="E2944" s="81">
        <v>0</v>
      </c>
      <c r="F2944" s="81">
        <v>0</v>
      </c>
    </row>
    <row r="2945" spans="1:6" x14ac:dyDescent="0.2">
      <c r="A2945" s="1" t="s">
        <v>179</v>
      </c>
      <c r="B2945" s="1" t="s">
        <v>3642</v>
      </c>
      <c r="C2945" s="1" t="s">
        <v>101</v>
      </c>
      <c r="D2945" s="1" t="s">
        <v>101</v>
      </c>
      <c r="E2945" s="81">
        <v>0</v>
      </c>
      <c r="F2945" s="81">
        <v>0</v>
      </c>
    </row>
    <row r="2946" spans="1:6" x14ac:dyDescent="0.2">
      <c r="A2946" s="1" t="s">
        <v>179</v>
      </c>
      <c r="B2946" s="1" t="s">
        <v>3643</v>
      </c>
      <c r="C2946" s="1" t="s">
        <v>101</v>
      </c>
      <c r="D2946" s="1" t="s">
        <v>101</v>
      </c>
      <c r="E2946" s="81">
        <v>0</v>
      </c>
      <c r="F2946" s="81">
        <v>0</v>
      </c>
    </row>
    <row r="2947" spans="1:6" x14ac:dyDescent="0.2">
      <c r="A2947" s="1" t="s">
        <v>179</v>
      </c>
      <c r="B2947" s="1" t="s">
        <v>3644</v>
      </c>
      <c r="C2947" s="1" t="s">
        <v>101</v>
      </c>
      <c r="D2947" s="1" t="s">
        <v>101</v>
      </c>
      <c r="E2947" s="81">
        <v>0</v>
      </c>
      <c r="F2947" s="81">
        <v>0</v>
      </c>
    </row>
    <row r="2948" spans="1:6" x14ac:dyDescent="0.2">
      <c r="A2948" s="1" t="s">
        <v>179</v>
      </c>
      <c r="B2948" s="1" t="s">
        <v>3645</v>
      </c>
      <c r="C2948" s="1" t="s">
        <v>101</v>
      </c>
      <c r="D2948" s="1" t="s">
        <v>101</v>
      </c>
      <c r="E2948" s="81">
        <v>0</v>
      </c>
      <c r="F2948" s="81">
        <v>0</v>
      </c>
    </row>
    <row r="2949" spans="1:6" x14ac:dyDescent="0.2">
      <c r="A2949" s="1" t="s">
        <v>179</v>
      </c>
      <c r="B2949" s="1" t="s">
        <v>3646</v>
      </c>
      <c r="C2949" s="1" t="s">
        <v>101</v>
      </c>
      <c r="D2949" s="1" t="s">
        <v>101</v>
      </c>
      <c r="E2949" s="81">
        <v>0</v>
      </c>
      <c r="F2949" s="81">
        <v>0</v>
      </c>
    </row>
    <row r="2950" spans="1:6" x14ac:dyDescent="0.2">
      <c r="A2950" s="1" t="s">
        <v>179</v>
      </c>
      <c r="B2950" s="1" t="s">
        <v>3647</v>
      </c>
      <c r="C2950" s="1" t="s">
        <v>101</v>
      </c>
      <c r="D2950" s="1" t="s">
        <v>101</v>
      </c>
      <c r="E2950" s="81">
        <v>0</v>
      </c>
      <c r="F2950" s="81">
        <v>0</v>
      </c>
    </row>
    <row r="2951" spans="1:6" x14ac:dyDescent="0.2">
      <c r="A2951" s="1" t="s">
        <v>179</v>
      </c>
      <c r="B2951" s="1" t="s">
        <v>3648</v>
      </c>
      <c r="C2951" s="1" t="s">
        <v>101</v>
      </c>
      <c r="D2951" s="1" t="s">
        <v>101</v>
      </c>
      <c r="E2951" s="81">
        <v>0</v>
      </c>
      <c r="F2951" s="81">
        <v>0</v>
      </c>
    </row>
    <row r="2952" spans="1:6" x14ac:dyDescent="0.2">
      <c r="A2952" s="1" t="s">
        <v>179</v>
      </c>
      <c r="B2952" s="1" t="s">
        <v>3649</v>
      </c>
      <c r="C2952" s="1" t="s">
        <v>101</v>
      </c>
      <c r="D2952" s="1" t="s">
        <v>101</v>
      </c>
      <c r="E2952" s="81">
        <v>0</v>
      </c>
      <c r="F2952" s="81">
        <v>0</v>
      </c>
    </row>
    <row r="2953" spans="1:6" x14ac:dyDescent="0.2">
      <c r="A2953" s="1" t="s">
        <v>179</v>
      </c>
      <c r="B2953" s="1" t="s">
        <v>3650</v>
      </c>
      <c r="C2953" s="1" t="s">
        <v>101</v>
      </c>
      <c r="D2953" s="1" t="s">
        <v>101</v>
      </c>
      <c r="E2953" s="81">
        <v>0</v>
      </c>
      <c r="F2953" s="81">
        <v>0</v>
      </c>
    </row>
    <row r="2954" spans="1:6" x14ac:dyDescent="0.2">
      <c r="A2954" s="1" t="s">
        <v>179</v>
      </c>
      <c r="B2954" s="1" t="s">
        <v>3651</v>
      </c>
      <c r="C2954" s="1" t="s">
        <v>101</v>
      </c>
      <c r="D2954" s="1" t="s">
        <v>101</v>
      </c>
      <c r="E2954" s="81">
        <v>0</v>
      </c>
      <c r="F2954" s="81">
        <v>0</v>
      </c>
    </row>
    <row r="2955" spans="1:6" x14ac:dyDescent="0.2">
      <c r="A2955" s="1" t="s">
        <v>179</v>
      </c>
      <c r="B2955" s="1" t="s">
        <v>3652</v>
      </c>
      <c r="C2955" s="1" t="s">
        <v>101</v>
      </c>
      <c r="D2955" s="1" t="s">
        <v>101</v>
      </c>
      <c r="E2955" s="81">
        <v>0</v>
      </c>
      <c r="F2955" s="81">
        <v>0</v>
      </c>
    </row>
    <row r="2956" spans="1:6" x14ac:dyDescent="0.2">
      <c r="A2956" s="1" t="s">
        <v>179</v>
      </c>
      <c r="B2956" s="1" t="s">
        <v>3653</v>
      </c>
      <c r="C2956" s="1" t="s">
        <v>101</v>
      </c>
      <c r="D2956" s="1" t="s">
        <v>101</v>
      </c>
      <c r="E2956" s="81">
        <v>0</v>
      </c>
      <c r="F2956" s="81">
        <v>0</v>
      </c>
    </row>
    <row r="2957" spans="1:6" x14ac:dyDescent="0.2">
      <c r="A2957" s="1" t="s">
        <v>179</v>
      </c>
      <c r="B2957" s="1" t="s">
        <v>3654</v>
      </c>
      <c r="C2957" s="1" t="s">
        <v>101</v>
      </c>
      <c r="D2957" s="1" t="s">
        <v>101</v>
      </c>
      <c r="E2957" s="81">
        <v>0</v>
      </c>
      <c r="F2957" s="81">
        <v>0</v>
      </c>
    </row>
    <row r="2958" spans="1:6" x14ac:dyDescent="0.2">
      <c r="A2958" s="1" t="s">
        <v>179</v>
      </c>
      <c r="B2958" s="1" t="s">
        <v>3655</v>
      </c>
      <c r="C2958" s="1" t="s">
        <v>101</v>
      </c>
      <c r="D2958" s="1" t="s">
        <v>101</v>
      </c>
      <c r="E2958" s="81">
        <v>0</v>
      </c>
      <c r="F2958" s="81">
        <v>0</v>
      </c>
    </row>
    <row r="2959" spans="1:6" x14ac:dyDescent="0.2">
      <c r="A2959" s="1" t="s">
        <v>179</v>
      </c>
      <c r="B2959" s="1" t="s">
        <v>3656</v>
      </c>
      <c r="C2959" s="1" t="s">
        <v>101</v>
      </c>
      <c r="D2959" s="1" t="s">
        <v>101</v>
      </c>
      <c r="E2959" s="81">
        <v>0</v>
      </c>
      <c r="F2959" s="81">
        <v>0</v>
      </c>
    </row>
    <row r="2960" spans="1:6" x14ac:dyDescent="0.2">
      <c r="A2960" s="1" t="s">
        <v>179</v>
      </c>
      <c r="B2960" s="1" t="s">
        <v>3657</v>
      </c>
      <c r="C2960" s="1" t="s">
        <v>101</v>
      </c>
      <c r="D2960" s="1" t="s">
        <v>101</v>
      </c>
      <c r="E2960" s="81">
        <v>0</v>
      </c>
      <c r="F2960" s="81">
        <v>0</v>
      </c>
    </row>
    <row r="2961" spans="1:6" x14ac:dyDescent="0.2">
      <c r="A2961" s="1" t="s">
        <v>179</v>
      </c>
      <c r="B2961" s="1" t="s">
        <v>3658</v>
      </c>
      <c r="C2961" s="1" t="s">
        <v>101</v>
      </c>
      <c r="D2961" s="1" t="s">
        <v>101</v>
      </c>
      <c r="E2961" s="81">
        <v>0</v>
      </c>
      <c r="F2961" s="81">
        <v>0</v>
      </c>
    </row>
    <row r="2962" spans="1:6" x14ac:dyDescent="0.2">
      <c r="A2962" s="1" t="s">
        <v>179</v>
      </c>
      <c r="B2962" s="1" t="s">
        <v>3659</v>
      </c>
      <c r="C2962" s="1" t="s">
        <v>101</v>
      </c>
      <c r="D2962" s="1" t="s">
        <v>101</v>
      </c>
      <c r="E2962" s="81">
        <v>0</v>
      </c>
      <c r="F2962" s="81">
        <v>0</v>
      </c>
    </row>
    <row r="2963" spans="1:6" x14ac:dyDescent="0.2">
      <c r="A2963" s="1" t="s">
        <v>179</v>
      </c>
      <c r="B2963" s="1" t="s">
        <v>3660</v>
      </c>
      <c r="C2963" s="1" t="s">
        <v>101</v>
      </c>
      <c r="D2963" s="1" t="s">
        <v>101</v>
      </c>
      <c r="E2963" s="81">
        <v>0</v>
      </c>
      <c r="F2963" s="81">
        <v>0</v>
      </c>
    </row>
    <row r="2964" spans="1:6" x14ac:dyDescent="0.2">
      <c r="A2964" s="1" t="s">
        <v>179</v>
      </c>
      <c r="B2964" s="1" t="s">
        <v>3661</v>
      </c>
      <c r="C2964" s="1" t="s">
        <v>101</v>
      </c>
      <c r="D2964" s="1" t="s">
        <v>101</v>
      </c>
      <c r="E2964" s="81">
        <v>0</v>
      </c>
      <c r="F2964" s="81">
        <v>0</v>
      </c>
    </row>
    <row r="2965" spans="1:6" x14ac:dyDescent="0.2">
      <c r="A2965" s="1" t="s">
        <v>179</v>
      </c>
      <c r="B2965" s="1" t="s">
        <v>3662</v>
      </c>
      <c r="C2965" s="1" t="s">
        <v>101</v>
      </c>
      <c r="D2965" s="1" t="s">
        <v>101</v>
      </c>
      <c r="E2965" s="81">
        <v>0</v>
      </c>
      <c r="F2965" s="81">
        <v>0</v>
      </c>
    </row>
    <row r="2966" spans="1:6" x14ac:dyDescent="0.2">
      <c r="A2966" s="1" t="s">
        <v>179</v>
      </c>
      <c r="B2966" s="1" t="s">
        <v>3663</v>
      </c>
      <c r="C2966" s="1" t="s">
        <v>101</v>
      </c>
      <c r="D2966" s="1" t="s">
        <v>101</v>
      </c>
      <c r="E2966" s="81">
        <v>0</v>
      </c>
      <c r="F2966" s="81">
        <v>0</v>
      </c>
    </row>
    <row r="2967" spans="1:6" x14ac:dyDescent="0.2">
      <c r="A2967" s="1" t="s">
        <v>179</v>
      </c>
      <c r="B2967" s="1" t="s">
        <v>3664</v>
      </c>
      <c r="C2967" s="1" t="s">
        <v>101</v>
      </c>
      <c r="D2967" s="1" t="s">
        <v>101</v>
      </c>
      <c r="E2967" s="81">
        <v>0</v>
      </c>
      <c r="F2967" s="81">
        <v>0</v>
      </c>
    </row>
    <row r="2968" spans="1:6" x14ac:dyDescent="0.2">
      <c r="A2968" s="1" t="s">
        <v>179</v>
      </c>
      <c r="B2968" s="1" t="s">
        <v>3665</v>
      </c>
      <c r="C2968" s="1" t="s">
        <v>101</v>
      </c>
      <c r="D2968" s="1" t="s">
        <v>101</v>
      </c>
      <c r="E2968" s="81">
        <v>0</v>
      </c>
      <c r="F2968" s="81">
        <v>0</v>
      </c>
    </row>
    <row r="2969" spans="1:6" x14ac:dyDescent="0.2">
      <c r="A2969" s="1" t="s">
        <v>179</v>
      </c>
      <c r="B2969" s="1" t="s">
        <v>3666</v>
      </c>
      <c r="C2969" s="1" t="s">
        <v>101</v>
      </c>
      <c r="D2969" s="1" t="s">
        <v>101</v>
      </c>
      <c r="E2969" s="81">
        <v>0</v>
      </c>
      <c r="F2969" s="81">
        <v>0</v>
      </c>
    </row>
    <row r="2970" spans="1:6" x14ac:dyDescent="0.2">
      <c r="A2970" s="1" t="s">
        <v>179</v>
      </c>
      <c r="B2970" s="1" t="s">
        <v>3667</v>
      </c>
      <c r="C2970" s="1" t="s">
        <v>101</v>
      </c>
      <c r="D2970" s="1" t="s">
        <v>101</v>
      </c>
      <c r="E2970" s="81">
        <v>0</v>
      </c>
      <c r="F2970" s="81">
        <v>0</v>
      </c>
    </row>
    <row r="2971" spans="1:6" x14ac:dyDescent="0.2">
      <c r="A2971" s="1" t="s">
        <v>179</v>
      </c>
      <c r="B2971" s="1" t="s">
        <v>3668</v>
      </c>
      <c r="C2971" s="1" t="s">
        <v>101</v>
      </c>
      <c r="D2971" s="1" t="s">
        <v>101</v>
      </c>
      <c r="E2971" s="81">
        <v>0</v>
      </c>
      <c r="F2971" s="81">
        <v>0</v>
      </c>
    </row>
    <row r="2972" spans="1:6" x14ac:dyDescent="0.2">
      <c r="A2972" s="1" t="s">
        <v>179</v>
      </c>
      <c r="B2972" s="1" t="s">
        <v>3669</v>
      </c>
      <c r="C2972" s="1" t="s">
        <v>101</v>
      </c>
      <c r="D2972" s="1" t="s">
        <v>101</v>
      </c>
      <c r="E2972" s="81">
        <v>0</v>
      </c>
      <c r="F2972" s="81">
        <v>0</v>
      </c>
    </row>
    <row r="2973" spans="1:6" x14ac:dyDescent="0.2">
      <c r="A2973" s="1" t="s">
        <v>179</v>
      </c>
      <c r="B2973" s="1" t="s">
        <v>3670</v>
      </c>
      <c r="C2973" s="1" t="s">
        <v>101</v>
      </c>
      <c r="D2973" s="1" t="s">
        <v>101</v>
      </c>
      <c r="E2973" s="81">
        <v>0</v>
      </c>
      <c r="F2973" s="81">
        <v>0</v>
      </c>
    </row>
    <row r="2974" spans="1:6" x14ac:dyDescent="0.2">
      <c r="A2974" s="1" t="s">
        <v>179</v>
      </c>
      <c r="B2974" s="1" t="s">
        <v>3671</v>
      </c>
      <c r="C2974" s="1" t="s">
        <v>101</v>
      </c>
      <c r="D2974" s="1" t="s">
        <v>101</v>
      </c>
      <c r="E2974" s="81">
        <v>0</v>
      </c>
      <c r="F2974" s="81">
        <v>0</v>
      </c>
    </row>
    <row r="2975" spans="1:6" x14ac:dyDescent="0.2">
      <c r="A2975" s="1" t="s">
        <v>179</v>
      </c>
      <c r="B2975" s="1" t="s">
        <v>3672</v>
      </c>
      <c r="C2975" s="1" t="s">
        <v>101</v>
      </c>
      <c r="D2975" s="1" t="s">
        <v>101</v>
      </c>
      <c r="E2975" s="81">
        <v>0</v>
      </c>
      <c r="F2975" s="81">
        <v>0</v>
      </c>
    </row>
    <row r="2976" spans="1:6" x14ac:dyDescent="0.2">
      <c r="A2976" s="1" t="s">
        <v>179</v>
      </c>
      <c r="B2976" s="1" t="s">
        <v>3673</v>
      </c>
      <c r="C2976" s="1" t="s">
        <v>101</v>
      </c>
      <c r="D2976" s="1" t="s">
        <v>101</v>
      </c>
      <c r="E2976" s="81">
        <v>0</v>
      </c>
      <c r="F2976" s="81">
        <v>0</v>
      </c>
    </row>
    <row r="2977" spans="1:6" x14ac:dyDescent="0.2">
      <c r="A2977" s="1" t="s">
        <v>179</v>
      </c>
      <c r="B2977" s="1" t="s">
        <v>3674</v>
      </c>
      <c r="C2977" s="1" t="s">
        <v>101</v>
      </c>
      <c r="D2977" s="1" t="s">
        <v>101</v>
      </c>
      <c r="E2977" s="81">
        <v>0</v>
      </c>
      <c r="F2977" s="81">
        <v>0</v>
      </c>
    </row>
    <row r="2978" spans="1:6" x14ac:dyDescent="0.2">
      <c r="A2978" s="1" t="s">
        <v>179</v>
      </c>
      <c r="B2978" s="1" t="s">
        <v>3675</v>
      </c>
      <c r="C2978" s="1" t="s">
        <v>101</v>
      </c>
      <c r="D2978" s="1" t="s">
        <v>101</v>
      </c>
      <c r="E2978" s="81">
        <v>0</v>
      </c>
      <c r="F2978" s="81">
        <v>0</v>
      </c>
    </row>
    <row r="2979" spans="1:6" x14ac:dyDescent="0.2">
      <c r="A2979" s="1" t="s">
        <v>179</v>
      </c>
      <c r="B2979" s="1" t="s">
        <v>3676</v>
      </c>
      <c r="C2979" s="1" t="s">
        <v>101</v>
      </c>
      <c r="D2979" s="1" t="s">
        <v>101</v>
      </c>
      <c r="E2979" s="81">
        <v>0</v>
      </c>
      <c r="F2979" s="81">
        <v>0</v>
      </c>
    </row>
    <row r="2980" spans="1:6" x14ac:dyDescent="0.2">
      <c r="A2980" s="1" t="s">
        <v>179</v>
      </c>
      <c r="B2980" s="1" t="s">
        <v>3677</v>
      </c>
      <c r="C2980" s="1" t="s">
        <v>101</v>
      </c>
      <c r="D2980" s="1" t="s">
        <v>101</v>
      </c>
      <c r="E2980" s="81">
        <v>0</v>
      </c>
      <c r="F2980" s="81">
        <v>0</v>
      </c>
    </row>
    <row r="2981" spans="1:6" x14ac:dyDescent="0.2">
      <c r="A2981" s="1" t="s">
        <v>179</v>
      </c>
      <c r="B2981" s="1" t="s">
        <v>3678</v>
      </c>
      <c r="C2981" s="1" t="s">
        <v>101</v>
      </c>
      <c r="D2981" s="1" t="s">
        <v>101</v>
      </c>
      <c r="E2981" s="81">
        <v>0</v>
      </c>
      <c r="F2981" s="81">
        <v>0</v>
      </c>
    </row>
    <row r="2982" spans="1:6" x14ac:dyDescent="0.2">
      <c r="A2982" s="1" t="s">
        <v>179</v>
      </c>
      <c r="B2982" s="1" t="s">
        <v>3679</v>
      </c>
      <c r="C2982" s="1" t="s">
        <v>4209</v>
      </c>
      <c r="D2982" s="1" t="s">
        <v>4209</v>
      </c>
      <c r="E2982" s="81">
        <v>216.49</v>
      </c>
      <c r="F2982" s="81">
        <v>216.49</v>
      </c>
    </row>
    <row r="2983" spans="1:6" x14ac:dyDescent="0.2">
      <c r="A2983" s="1" t="s">
        <v>179</v>
      </c>
      <c r="B2983" s="1" t="s">
        <v>3680</v>
      </c>
      <c r="C2983" s="1" t="s">
        <v>4209</v>
      </c>
      <c r="D2983" s="1" t="s">
        <v>4209</v>
      </c>
      <c r="E2983" s="81">
        <v>216.49</v>
      </c>
      <c r="F2983" s="81">
        <v>216.49</v>
      </c>
    </row>
    <row r="2984" spans="1:6" x14ac:dyDescent="0.2">
      <c r="A2984" s="1" t="s">
        <v>179</v>
      </c>
      <c r="B2984" s="1" t="s">
        <v>3681</v>
      </c>
      <c r="C2984" s="1" t="s">
        <v>101</v>
      </c>
      <c r="D2984" s="1" t="s">
        <v>101</v>
      </c>
      <c r="E2984" s="81">
        <v>0</v>
      </c>
      <c r="F2984" s="81">
        <v>0</v>
      </c>
    </row>
    <row r="2985" spans="1:6" x14ac:dyDescent="0.2">
      <c r="A2985" s="1" t="s">
        <v>179</v>
      </c>
      <c r="B2985" s="1" t="s">
        <v>3682</v>
      </c>
      <c r="C2985" s="1" t="s">
        <v>101</v>
      </c>
      <c r="D2985" s="1" t="s">
        <v>101</v>
      </c>
      <c r="E2985" s="81">
        <v>0</v>
      </c>
      <c r="F2985" s="81">
        <v>0</v>
      </c>
    </row>
    <row r="2986" spans="1:6" x14ac:dyDescent="0.2">
      <c r="A2986" s="1" t="s">
        <v>179</v>
      </c>
      <c r="B2986" s="1" t="s">
        <v>3683</v>
      </c>
      <c r="C2986" s="1" t="s">
        <v>101</v>
      </c>
      <c r="D2986" s="1" t="s">
        <v>101</v>
      </c>
      <c r="E2986" s="81">
        <v>0</v>
      </c>
      <c r="F2986" s="81">
        <v>0</v>
      </c>
    </row>
    <row r="2987" spans="1:6" x14ac:dyDescent="0.2">
      <c r="A2987" s="1" t="s">
        <v>179</v>
      </c>
      <c r="B2987" s="1" t="s">
        <v>3684</v>
      </c>
      <c r="C2987" s="1" t="s">
        <v>101</v>
      </c>
      <c r="D2987" s="1" t="s">
        <v>101</v>
      </c>
      <c r="E2987" s="81">
        <v>0</v>
      </c>
      <c r="F2987" s="81">
        <v>0</v>
      </c>
    </row>
    <row r="2988" spans="1:6" x14ac:dyDescent="0.2">
      <c r="A2988" s="1" t="s">
        <v>179</v>
      </c>
      <c r="B2988" s="1" t="s">
        <v>3685</v>
      </c>
      <c r="C2988" s="1" t="s">
        <v>4210</v>
      </c>
      <c r="D2988" s="1" t="s">
        <v>4210</v>
      </c>
      <c r="E2988" s="81">
        <v>52.46</v>
      </c>
      <c r="F2988" s="81">
        <v>52.46</v>
      </c>
    </row>
    <row r="2989" spans="1:6" x14ac:dyDescent="0.2">
      <c r="A2989" s="1" t="s">
        <v>179</v>
      </c>
      <c r="B2989" s="1" t="s">
        <v>3686</v>
      </c>
      <c r="C2989" s="1" t="s">
        <v>4210</v>
      </c>
      <c r="D2989" s="1" t="s">
        <v>4210</v>
      </c>
      <c r="E2989" s="81">
        <v>52.46</v>
      </c>
      <c r="F2989" s="81">
        <v>52.46</v>
      </c>
    </row>
    <row r="2990" spans="1:6" x14ac:dyDescent="0.2">
      <c r="A2990" s="1" t="s">
        <v>179</v>
      </c>
      <c r="B2990" s="1" t="s">
        <v>3687</v>
      </c>
      <c r="C2990" s="1" t="s">
        <v>4211</v>
      </c>
      <c r="D2990" s="1" t="s">
        <v>4211</v>
      </c>
      <c r="E2990" s="81">
        <v>25.84</v>
      </c>
      <c r="F2990" s="81">
        <v>25.84</v>
      </c>
    </row>
    <row r="2991" spans="1:6" x14ac:dyDescent="0.2">
      <c r="A2991" s="1" t="s">
        <v>179</v>
      </c>
      <c r="B2991" s="1" t="s">
        <v>3688</v>
      </c>
      <c r="C2991" s="1" t="s">
        <v>4212</v>
      </c>
      <c r="D2991" s="1" t="s">
        <v>4212</v>
      </c>
      <c r="E2991" s="81">
        <v>365.05</v>
      </c>
      <c r="F2991" s="81">
        <v>365.05</v>
      </c>
    </row>
    <row r="2992" spans="1:6" x14ac:dyDescent="0.2">
      <c r="A2992" s="1" t="s">
        <v>179</v>
      </c>
      <c r="B2992" s="1" t="s">
        <v>3689</v>
      </c>
      <c r="C2992" s="1" t="s">
        <v>4213</v>
      </c>
      <c r="D2992" s="1" t="s">
        <v>4213</v>
      </c>
      <c r="E2992" s="81">
        <v>339.21</v>
      </c>
      <c r="F2992" s="81">
        <v>339.21</v>
      </c>
    </row>
    <row r="2993" spans="1:6" x14ac:dyDescent="0.2">
      <c r="A2993" s="1" t="s">
        <v>179</v>
      </c>
      <c r="B2993" s="1" t="s">
        <v>3690</v>
      </c>
      <c r="C2993" s="1" t="s">
        <v>4214</v>
      </c>
      <c r="D2993" s="1" t="s">
        <v>4214</v>
      </c>
      <c r="E2993" s="81">
        <v>11329.54</v>
      </c>
      <c r="F2993" s="81">
        <v>11329.54</v>
      </c>
    </row>
    <row r="2994" spans="1:6" x14ac:dyDescent="0.2">
      <c r="A2994" s="1" t="s">
        <v>179</v>
      </c>
      <c r="B2994" s="1" t="s">
        <v>3691</v>
      </c>
      <c r="C2994" s="1" t="s">
        <v>4215</v>
      </c>
      <c r="D2994" s="1" t="s">
        <v>4215</v>
      </c>
      <c r="E2994" s="81">
        <v>90638.47</v>
      </c>
      <c r="F2994" s="81">
        <v>90638.47</v>
      </c>
    </row>
    <row r="2995" spans="1:6" x14ac:dyDescent="0.2">
      <c r="A2995" s="1" t="s">
        <v>179</v>
      </c>
      <c r="B2995" s="1" t="s">
        <v>3692</v>
      </c>
      <c r="C2995" s="1" t="s">
        <v>4216</v>
      </c>
      <c r="D2995" s="1" t="s">
        <v>4216</v>
      </c>
      <c r="E2995" s="81">
        <v>79308.929999999993</v>
      </c>
      <c r="F2995" s="81">
        <v>79308.929999999993</v>
      </c>
    </row>
    <row r="2996" spans="1:6" x14ac:dyDescent="0.2">
      <c r="A2996" s="1" t="s">
        <v>179</v>
      </c>
      <c r="B2996" s="1" t="s">
        <v>3693</v>
      </c>
      <c r="C2996" s="1" t="s">
        <v>4217</v>
      </c>
      <c r="D2996" s="1" t="s">
        <v>4217</v>
      </c>
      <c r="E2996" s="81">
        <v>681</v>
      </c>
      <c r="F2996" s="81">
        <v>681</v>
      </c>
    </row>
    <row r="2997" spans="1:6" x14ac:dyDescent="0.2">
      <c r="A2997" s="1" t="s">
        <v>179</v>
      </c>
      <c r="B2997" s="1" t="s">
        <v>3694</v>
      </c>
      <c r="C2997" s="1" t="s">
        <v>4218</v>
      </c>
      <c r="D2997" s="1" t="s">
        <v>4218</v>
      </c>
      <c r="E2997" s="81">
        <v>25967.62</v>
      </c>
      <c r="F2997" s="81">
        <v>25967.62</v>
      </c>
    </row>
    <row r="2998" spans="1:6" x14ac:dyDescent="0.2">
      <c r="A2998" s="1" t="s">
        <v>179</v>
      </c>
      <c r="B2998" s="1" t="s">
        <v>3695</v>
      </c>
      <c r="C2998" s="1" t="s">
        <v>4219</v>
      </c>
      <c r="D2998" s="1" t="s">
        <v>4219</v>
      </c>
      <c r="E2998" s="81">
        <v>25286.62</v>
      </c>
      <c r="F2998" s="81">
        <v>25286.62</v>
      </c>
    </row>
    <row r="2999" spans="1:6" x14ac:dyDescent="0.2">
      <c r="A2999" s="1" t="s">
        <v>179</v>
      </c>
      <c r="B2999" s="1" t="s">
        <v>3696</v>
      </c>
      <c r="C2999" s="1" t="s">
        <v>4220</v>
      </c>
      <c r="D2999" s="1" t="s">
        <v>4220</v>
      </c>
      <c r="E2999" s="81">
        <v>182.3</v>
      </c>
      <c r="F2999" s="81">
        <v>182.3</v>
      </c>
    </row>
    <row r="3000" spans="1:6" x14ac:dyDescent="0.2">
      <c r="A3000" s="1" t="s">
        <v>179</v>
      </c>
      <c r="B3000" s="1" t="s">
        <v>3697</v>
      </c>
      <c r="C3000" s="1" t="s">
        <v>4221</v>
      </c>
      <c r="D3000" s="1" t="s">
        <v>4221</v>
      </c>
      <c r="E3000" s="81">
        <v>6556.09</v>
      </c>
      <c r="F3000" s="81">
        <v>6556.09</v>
      </c>
    </row>
    <row r="3001" spans="1:6" x14ac:dyDescent="0.2">
      <c r="A3001" s="1" t="s">
        <v>179</v>
      </c>
      <c r="B3001" s="1" t="s">
        <v>3698</v>
      </c>
      <c r="C3001" s="1" t="s">
        <v>4222</v>
      </c>
      <c r="D3001" s="1" t="s">
        <v>4222</v>
      </c>
      <c r="E3001" s="81">
        <v>6373.79</v>
      </c>
      <c r="F3001" s="81">
        <v>6373.79</v>
      </c>
    </row>
    <row r="3002" spans="1:6" x14ac:dyDescent="0.2">
      <c r="A3002" s="1" t="s">
        <v>179</v>
      </c>
      <c r="B3002" s="1" t="s">
        <v>3699</v>
      </c>
      <c r="C3002" s="1" t="s">
        <v>4223</v>
      </c>
      <c r="D3002" s="1" t="s">
        <v>4223</v>
      </c>
      <c r="E3002" s="81">
        <v>4483.4399999999996</v>
      </c>
      <c r="F3002" s="81">
        <v>4483.4399999999996</v>
      </c>
    </row>
    <row r="3003" spans="1:6" x14ac:dyDescent="0.2">
      <c r="A3003" s="1" t="s">
        <v>179</v>
      </c>
      <c r="B3003" s="1" t="s">
        <v>3700</v>
      </c>
      <c r="C3003" s="1" t="s">
        <v>4224</v>
      </c>
      <c r="D3003" s="1" t="s">
        <v>4224</v>
      </c>
      <c r="E3003" s="81">
        <v>61858.23</v>
      </c>
      <c r="F3003" s="81">
        <v>61858.23</v>
      </c>
    </row>
    <row r="3004" spans="1:6" x14ac:dyDescent="0.2">
      <c r="A3004" s="1" t="s">
        <v>179</v>
      </c>
      <c r="B3004" s="1" t="s">
        <v>3701</v>
      </c>
      <c r="C3004" s="1" t="s">
        <v>4225</v>
      </c>
      <c r="D3004" s="1" t="s">
        <v>4225</v>
      </c>
      <c r="E3004" s="81">
        <v>57374.79</v>
      </c>
      <c r="F3004" s="81">
        <v>57374.79</v>
      </c>
    </row>
    <row r="3005" spans="1:6" x14ac:dyDescent="0.2">
      <c r="A3005" s="1" t="s">
        <v>179</v>
      </c>
      <c r="B3005" s="1" t="s">
        <v>3702</v>
      </c>
      <c r="C3005" s="1" t="s">
        <v>4226</v>
      </c>
      <c r="D3005" s="1" t="s">
        <v>4226</v>
      </c>
      <c r="E3005" s="81">
        <v>2338.9299999999998</v>
      </c>
      <c r="F3005" s="81">
        <v>2338.9299999999998</v>
      </c>
    </row>
    <row r="3006" spans="1:6" x14ac:dyDescent="0.2">
      <c r="A3006" s="1" t="s">
        <v>179</v>
      </c>
      <c r="B3006" s="1" t="s">
        <v>3703</v>
      </c>
      <c r="C3006" s="1" t="s">
        <v>4227</v>
      </c>
      <c r="D3006" s="1" t="s">
        <v>4227</v>
      </c>
      <c r="E3006" s="81">
        <v>16775.36</v>
      </c>
      <c r="F3006" s="81">
        <v>16775.36</v>
      </c>
    </row>
    <row r="3007" spans="1:6" x14ac:dyDescent="0.2">
      <c r="A3007" s="1" t="s">
        <v>179</v>
      </c>
      <c r="B3007" s="1" t="s">
        <v>3704</v>
      </c>
      <c r="C3007" s="1" t="s">
        <v>4228</v>
      </c>
      <c r="D3007" s="1" t="s">
        <v>4228</v>
      </c>
      <c r="E3007" s="81">
        <v>14436.43</v>
      </c>
      <c r="F3007" s="81">
        <v>14436.43</v>
      </c>
    </row>
    <row r="3008" spans="1:6" x14ac:dyDescent="0.2">
      <c r="A3008" s="1" t="s">
        <v>179</v>
      </c>
      <c r="B3008" s="1" t="s">
        <v>3705</v>
      </c>
      <c r="C3008" s="1" t="s">
        <v>101</v>
      </c>
      <c r="D3008" s="1" t="s">
        <v>101</v>
      </c>
      <c r="E3008" s="81">
        <v>0</v>
      </c>
      <c r="F3008" s="81">
        <v>0</v>
      </c>
    </row>
    <row r="3009" spans="1:6" x14ac:dyDescent="0.2">
      <c r="A3009" s="1" t="s">
        <v>179</v>
      </c>
      <c r="B3009" s="1" t="s">
        <v>3706</v>
      </c>
      <c r="C3009" s="1" t="s">
        <v>101</v>
      </c>
      <c r="D3009" s="1" t="s">
        <v>101</v>
      </c>
      <c r="E3009" s="81">
        <v>0</v>
      </c>
      <c r="F3009" s="81">
        <v>0</v>
      </c>
    </row>
    <row r="3010" spans="1:6" x14ac:dyDescent="0.2">
      <c r="A3010" s="1" t="s">
        <v>179</v>
      </c>
      <c r="B3010" s="1" t="s">
        <v>3707</v>
      </c>
      <c r="C3010" s="1" t="s">
        <v>101</v>
      </c>
      <c r="D3010" s="1" t="s">
        <v>101</v>
      </c>
      <c r="E3010" s="81">
        <v>0</v>
      </c>
      <c r="F3010" s="81">
        <v>0</v>
      </c>
    </row>
    <row r="3011" spans="1:6" x14ac:dyDescent="0.2">
      <c r="A3011" s="1" t="s">
        <v>179</v>
      </c>
      <c r="B3011" s="1" t="s">
        <v>3708</v>
      </c>
      <c r="C3011" s="1" t="s">
        <v>101</v>
      </c>
      <c r="D3011" s="1" t="s">
        <v>101</v>
      </c>
      <c r="E3011" s="81">
        <v>0</v>
      </c>
      <c r="F3011" s="81">
        <v>0</v>
      </c>
    </row>
    <row r="3012" spans="1:6" x14ac:dyDescent="0.2">
      <c r="A3012" s="1" t="s">
        <v>179</v>
      </c>
      <c r="B3012" s="1" t="s">
        <v>3709</v>
      </c>
      <c r="C3012" s="1" t="s">
        <v>101</v>
      </c>
      <c r="D3012" s="1" t="s">
        <v>101</v>
      </c>
      <c r="E3012" s="81">
        <v>0</v>
      </c>
      <c r="F3012" s="81">
        <v>0</v>
      </c>
    </row>
    <row r="3013" spans="1:6" x14ac:dyDescent="0.2">
      <c r="A3013" s="1" t="s">
        <v>179</v>
      </c>
      <c r="B3013" s="1" t="s">
        <v>3710</v>
      </c>
      <c r="C3013" s="1" t="s">
        <v>101</v>
      </c>
      <c r="D3013" s="1" t="s">
        <v>101</v>
      </c>
      <c r="E3013" s="81">
        <v>0</v>
      </c>
      <c r="F3013" s="81">
        <v>0</v>
      </c>
    </row>
    <row r="3014" spans="1:6" x14ac:dyDescent="0.2">
      <c r="A3014" s="1" t="s">
        <v>179</v>
      </c>
      <c r="B3014" s="1" t="s">
        <v>3711</v>
      </c>
      <c r="C3014" s="1" t="s">
        <v>4229</v>
      </c>
      <c r="D3014" s="1" t="s">
        <v>4229</v>
      </c>
      <c r="E3014" s="81">
        <v>39149.019999999997</v>
      </c>
      <c r="F3014" s="81">
        <v>39149.019999999997</v>
      </c>
    </row>
    <row r="3015" spans="1:6" x14ac:dyDescent="0.2">
      <c r="A3015" s="1" t="s">
        <v>179</v>
      </c>
      <c r="B3015" s="1" t="s">
        <v>3712</v>
      </c>
      <c r="C3015" s="1" t="s">
        <v>4230</v>
      </c>
      <c r="D3015" s="1" t="s">
        <v>4230</v>
      </c>
      <c r="E3015" s="81">
        <v>253196.91</v>
      </c>
      <c r="F3015" s="81">
        <v>253196.91</v>
      </c>
    </row>
    <row r="3016" spans="1:6" x14ac:dyDescent="0.2">
      <c r="A3016" s="1" t="s">
        <v>179</v>
      </c>
      <c r="B3016" s="1" t="s">
        <v>3713</v>
      </c>
      <c r="C3016" s="1" t="s">
        <v>4231</v>
      </c>
      <c r="D3016" s="1" t="s">
        <v>4231</v>
      </c>
      <c r="E3016" s="81">
        <v>214047.89</v>
      </c>
      <c r="F3016" s="81">
        <v>214047.89</v>
      </c>
    </row>
    <row r="3017" spans="1:6" x14ac:dyDescent="0.2">
      <c r="A3017" s="1" t="s">
        <v>179</v>
      </c>
      <c r="B3017" s="1" t="s">
        <v>3714</v>
      </c>
      <c r="C3017" s="1" t="s">
        <v>4232</v>
      </c>
      <c r="D3017" s="1" t="s">
        <v>4232</v>
      </c>
      <c r="E3017" s="81">
        <v>2591.1</v>
      </c>
      <c r="F3017" s="81">
        <v>2591.1</v>
      </c>
    </row>
    <row r="3018" spans="1:6" x14ac:dyDescent="0.2">
      <c r="A3018" s="1" t="s">
        <v>179</v>
      </c>
      <c r="B3018" s="1" t="s">
        <v>3715</v>
      </c>
      <c r="C3018" s="1" t="s">
        <v>4233</v>
      </c>
      <c r="D3018" s="1" t="s">
        <v>4233</v>
      </c>
      <c r="E3018" s="81">
        <v>38517.85</v>
      </c>
      <c r="F3018" s="81">
        <v>38517.85</v>
      </c>
    </row>
    <row r="3019" spans="1:6" x14ac:dyDescent="0.2">
      <c r="A3019" s="1" t="s">
        <v>179</v>
      </c>
      <c r="B3019" s="1" t="s">
        <v>3716</v>
      </c>
      <c r="C3019" s="1" t="s">
        <v>4234</v>
      </c>
      <c r="D3019" s="1" t="s">
        <v>4234</v>
      </c>
      <c r="E3019" s="81">
        <v>35926.75</v>
      </c>
      <c r="F3019" s="81">
        <v>35926.75</v>
      </c>
    </row>
    <row r="3020" spans="1:6" x14ac:dyDescent="0.2">
      <c r="A3020" s="1" t="s">
        <v>179</v>
      </c>
      <c r="B3020" s="1" t="s">
        <v>3717</v>
      </c>
      <c r="C3020" s="1" t="s">
        <v>101</v>
      </c>
      <c r="D3020" s="1" t="s">
        <v>101</v>
      </c>
      <c r="E3020" s="81">
        <v>0</v>
      </c>
      <c r="F3020" s="81">
        <v>0</v>
      </c>
    </row>
    <row r="3021" spans="1:6" x14ac:dyDescent="0.2">
      <c r="A3021" s="1" t="s">
        <v>179</v>
      </c>
      <c r="B3021" s="1" t="s">
        <v>3718</v>
      </c>
      <c r="C3021" s="1" t="s">
        <v>101</v>
      </c>
      <c r="D3021" s="1" t="s">
        <v>101</v>
      </c>
      <c r="E3021" s="81">
        <v>0</v>
      </c>
      <c r="F3021" s="81">
        <v>0</v>
      </c>
    </row>
    <row r="3022" spans="1:6" x14ac:dyDescent="0.2">
      <c r="A3022" s="1" t="s">
        <v>179</v>
      </c>
      <c r="B3022" s="1" t="s">
        <v>3719</v>
      </c>
      <c r="C3022" s="1" t="s">
        <v>101</v>
      </c>
      <c r="D3022" s="1" t="s">
        <v>101</v>
      </c>
      <c r="E3022" s="81">
        <v>0</v>
      </c>
      <c r="F3022" s="81">
        <v>0</v>
      </c>
    </row>
    <row r="3023" spans="1:6" x14ac:dyDescent="0.2">
      <c r="A3023" s="1" t="s">
        <v>179</v>
      </c>
      <c r="B3023" s="1" t="s">
        <v>3720</v>
      </c>
      <c r="C3023" s="1" t="s">
        <v>4235</v>
      </c>
      <c r="D3023" s="1" t="s">
        <v>4235</v>
      </c>
      <c r="E3023" s="81">
        <v>381.14</v>
      </c>
      <c r="F3023" s="81">
        <v>381.14</v>
      </c>
    </row>
    <row r="3024" spans="1:6" x14ac:dyDescent="0.2">
      <c r="A3024" s="1" t="s">
        <v>179</v>
      </c>
      <c r="B3024" s="1" t="s">
        <v>3721</v>
      </c>
      <c r="C3024" s="1" t="s">
        <v>4236</v>
      </c>
      <c r="D3024" s="1" t="s">
        <v>4236</v>
      </c>
      <c r="E3024" s="81">
        <v>11175.18</v>
      </c>
      <c r="F3024" s="81">
        <v>11175.18</v>
      </c>
    </row>
    <row r="3025" spans="1:6" x14ac:dyDescent="0.2">
      <c r="A3025" s="1" t="s">
        <v>179</v>
      </c>
      <c r="B3025" s="1" t="s">
        <v>3722</v>
      </c>
      <c r="C3025" s="1" t="s">
        <v>4237</v>
      </c>
      <c r="D3025" s="1" t="s">
        <v>4237</v>
      </c>
      <c r="E3025" s="81">
        <v>10794.04</v>
      </c>
      <c r="F3025" s="81">
        <v>10794.04</v>
      </c>
    </row>
    <row r="3026" spans="1:6" x14ac:dyDescent="0.2">
      <c r="A3026" s="1" t="s">
        <v>179</v>
      </c>
      <c r="B3026" s="1" t="s">
        <v>3723</v>
      </c>
      <c r="C3026" s="1" t="s">
        <v>4238</v>
      </c>
      <c r="D3026" s="1" t="s">
        <v>4238</v>
      </c>
      <c r="E3026" s="81">
        <v>5919.76</v>
      </c>
      <c r="F3026" s="81">
        <v>5919.76</v>
      </c>
    </row>
    <row r="3027" spans="1:6" x14ac:dyDescent="0.2">
      <c r="A3027" s="1" t="s">
        <v>179</v>
      </c>
      <c r="B3027" s="1" t="s">
        <v>3724</v>
      </c>
      <c r="C3027" s="1" t="s">
        <v>4239</v>
      </c>
      <c r="D3027" s="1" t="s">
        <v>4239</v>
      </c>
      <c r="E3027" s="81">
        <v>207707.08</v>
      </c>
      <c r="F3027" s="81">
        <v>207707.08</v>
      </c>
    </row>
    <row r="3028" spans="1:6" x14ac:dyDescent="0.2">
      <c r="A3028" s="1" t="s">
        <v>179</v>
      </c>
      <c r="B3028" s="1" t="s">
        <v>3725</v>
      </c>
      <c r="C3028" s="1" t="s">
        <v>4240</v>
      </c>
      <c r="D3028" s="1" t="s">
        <v>4240</v>
      </c>
      <c r="E3028" s="81">
        <v>201787.32</v>
      </c>
      <c r="F3028" s="81">
        <v>201787.32</v>
      </c>
    </row>
    <row r="3029" spans="1:6" x14ac:dyDescent="0.2">
      <c r="A3029" s="1" t="s">
        <v>179</v>
      </c>
      <c r="B3029" s="1" t="s">
        <v>3726</v>
      </c>
      <c r="C3029" s="1" t="s">
        <v>4241</v>
      </c>
      <c r="D3029" s="1" t="s">
        <v>4241</v>
      </c>
      <c r="E3029" s="81">
        <v>282.29000000000002</v>
      </c>
      <c r="F3029" s="81">
        <v>282.29000000000002</v>
      </c>
    </row>
    <row r="3030" spans="1:6" x14ac:dyDescent="0.2">
      <c r="A3030" s="1" t="s">
        <v>179</v>
      </c>
      <c r="B3030" s="1" t="s">
        <v>3727</v>
      </c>
      <c r="C3030" s="1" t="s">
        <v>4242</v>
      </c>
      <c r="D3030" s="1" t="s">
        <v>4242</v>
      </c>
      <c r="E3030" s="81">
        <v>13504.54</v>
      </c>
      <c r="F3030" s="81">
        <v>13504.54</v>
      </c>
    </row>
    <row r="3031" spans="1:6" x14ac:dyDescent="0.2">
      <c r="A3031" s="1" t="s">
        <v>179</v>
      </c>
      <c r="B3031" s="1" t="s">
        <v>3728</v>
      </c>
      <c r="C3031" s="1" t="s">
        <v>4243</v>
      </c>
      <c r="D3031" s="1" t="s">
        <v>4243</v>
      </c>
      <c r="E3031" s="81">
        <v>13222.25</v>
      </c>
      <c r="F3031" s="81">
        <v>13222.25</v>
      </c>
    </row>
    <row r="3032" spans="1:6" x14ac:dyDescent="0.2">
      <c r="A3032" s="1" t="s">
        <v>179</v>
      </c>
      <c r="B3032" s="1" t="s">
        <v>3729</v>
      </c>
      <c r="C3032" s="1" t="s">
        <v>4244</v>
      </c>
      <c r="D3032" s="1" t="s">
        <v>4244</v>
      </c>
      <c r="E3032" s="81">
        <v>14784.8</v>
      </c>
      <c r="F3032" s="81">
        <v>14784.8</v>
      </c>
    </row>
    <row r="3033" spans="1:6" x14ac:dyDescent="0.2">
      <c r="A3033" s="1" t="s">
        <v>179</v>
      </c>
      <c r="B3033" s="1" t="s">
        <v>3730</v>
      </c>
      <c r="C3033" s="1" t="s">
        <v>4245</v>
      </c>
      <c r="D3033" s="1" t="s">
        <v>4245</v>
      </c>
      <c r="E3033" s="81">
        <v>327942.84000000003</v>
      </c>
      <c r="F3033" s="81">
        <v>327942.84000000003</v>
      </c>
    </row>
    <row r="3034" spans="1:6" x14ac:dyDescent="0.2">
      <c r="A3034" s="1" t="s">
        <v>179</v>
      </c>
      <c r="B3034" s="1" t="s">
        <v>3731</v>
      </c>
      <c r="C3034" s="1" t="s">
        <v>4246</v>
      </c>
      <c r="D3034" s="1" t="s">
        <v>4246</v>
      </c>
      <c r="E3034" s="81">
        <v>313158.03999999998</v>
      </c>
      <c r="F3034" s="81">
        <v>313158.03999999998</v>
      </c>
    </row>
    <row r="3035" spans="1:6" x14ac:dyDescent="0.2">
      <c r="A3035" s="1" t="s">
        <v>179</v>
      </c>
      <c r="B3035" s="1" t="s">
        <v>3732</v>
      </c>
      <c r="C3035" s="1" t="s">
        <v>4247</v>
      </c>
      <c r="D3035" s="1" t="s">
        <v>4247</v>
      </c>
      <c r="E3035" s="81">
        <v>3096.14</v>
      </c>
      <c r="F3035" s="81">
        <v>3096.14</v>
      </c>
    </row>
    <row r="3036" spans="1:6" x14ac:dyDescent="0.2">
      <c r="A3036" s="1" t="s">
        <v>179</v>
      </c>
      <c r="B3036" s="1" t="s">
        <v>3733</v>
      </c>
      <c r="C3036" s="1" t="s">
        <v>4248</v>
      </c>
      <c r="D3036" s="1" t="s">
        <v>4248</v>
      </c>
      <c r="E3036" s="81">
        <v>238885.73</v>
      </c>
      <c r="F3036" s="81">
        <v>238885.73</v>
      </c>
    </row>
    <row r="3037" spans="1:6" x14ac:dyDescent="0.2">
      <c r="A3037" s="1" t="s">
        <v>179</v>
      </c>
      <c r="B3037" s="1" t="s">
        <v>3734</v>
      </c>
      <c r="C3037" s="1" t="s">
        <v>4249</v>
      </c>
      <c r="D3037" s="1" t="s">
        <v>4249</v>
      </c>
      <c r="E3037" s="81">
        <v>235789.59</v>
      </c>
      <c r="F3037" s="81">
        <v>235789.59</v>
      </c>
    </row>
    <row r="3038" spans="1:6" x14ac:dyDescent="0.2">
      <c r="A3038" s="1" t="s">
        <v>179</v>
      </c>
      <c r="B3038" s="1" t="s">
        <v>3735</v>
      </c>
      <c r="C3038" s="1" t="s">
        <v>4250</v>
      </c>
      <c r="D3038" s="1" t="s">
        <v>4250</v>
      </c>
      <c r="E3038" s="81">
        <v>35742.129999999997</v>
      </c>
      <c r="F3038" s="81">
        <v>35742.129999999997</v>
      </c>
    </row>
    <row r="3039" spans="1:6" x14ac:dyDescent="0.2">
      <c r="A3039" s="1" t="s">
        <v>179</v>
      </c>
      <c r="B3039" s="1" t="s">
        <v>3736</v>
      </c>
      <c r="C3039" s="1" t="s">
        <v>4251</v>
      </c>
      <c r="D3039" s="1" t="s">
        <v>4251</v>
      </c>
      <c r="E3039" s="81">
        <v>3796543</v>
      </c>
      <c r="F3039" s="81">
        <v>3796543</v>
      </c>
    </row>
    <row r="3040" spans="1:6" x14ac:dyDescent="0.2">
      <c r="A3040" s="1" t="s">
        <v>179</v>
      </c>
      <c r="B3040" s="1" t="s">
        <v>3737</v>
      </c>
      <c r="C3040" s="1" t="s">
        <v>4252</v>
      </c>
      <c r="D3040" s="1" t="s">
        <v>4252</v>
      </c>
      <c r="E3040" s="81">
        <v>3760800.87</v>
      </c>
      <c r="F3040" s="81">
        <v>3760800.87</v>
      </c>
    </row>
    <row r="3041" spans="1:6" x14ac:dyDescent="0.2">
      <c r="A3041" s="1" t="s">
        <v>179</v>
      </c>
      <c r="B3041" s="1" t="s">
        <v>3738</v>
      </c>
      <c r="C3041" s="1" t="s">
        <v>4253</v>
      </c>
      <c r="D3041" s="1" t="s">
        <v>4253</v>
      </c>
      <c r="E3041" s="81">
        <v>15753.65</v>
      </c>
      <c r="F3041" s="81">
        <v>15753.65</v>
      </c>
    </row>
    <row r="3042" spans="1:6" x14ac:dyDescent="0.2">
      <c r="A3042" s="1" t="s">
        <v>179</v>
      </c>
      <c r="B3042" s="1" t="s">
        <v>3739</v>
      </c>
      <c r="C3042" s="1" t="s">
        <v>4254</v>
      </c>
      <c r="D3042" s="1" t="s">
        <v>4254</v>
      </c>
      <c r="E3042" s="81">
        <v>766988.65</v>
      </c>
      <c r="F3042" s="81">
        <v>766988.65</v>
      </c>
    </row>
    <row r="3043" spans="1:6" x14ac:dyDescent="0.2">
      <c r="A3043" s="1" t="s">
        <v>179</v>
      </c>
      <c r="B3043" s="1" t="s">
        <v>3740</v>
      </c>
      <c r="C3043" s="1" t="s">
        <v>4255</v>
      </c>
      <c r="D3043" s="1" t="s">
        <v>4255</v>
      </c>
      <c r="E3043" s="81">
        <v>751235</v>
      </c>
      <c r="F3043" s="81">
        <v>751235</v>
      </c>
    </row>
    <row r="3044" spans="1:6" x14ac:dyDescent="0.2">
      <c r="A3044" s="1" t="s">
        <v>179</v>
      </c>
      <c r="B3044" s="1" t="s">
        <v>3741</v>
      </c>
      <c r="C3044" s="1" t="s">
        <v>4256</v>
      </c>
      <c r="D3044" s="1" t="s">
        <v>4256</v>
      </c>
      <c r="E3044" s="81">
        <v>2196.08</v>
      </c>
      <c r="F3044" s="81">
        <v>2196.08</v>
      </c>
    </row>
    <row r="3045" spans="1:6" x14ac:dyDescent="0.2">
      <c r="A3045" s="1" t="s">
        <v>179</v>
      </c>
      <c r="B3045" s="1" t="s">
        <v>3742</v>
      </c>
      <c r="C3045" s="1" t="s">
        <v>4257</v>
      </c>
      <c r="D3045" s="1" t="s">
        <v>4257</v>
      </c>
      <c r="E3045" s="81">
        <v>113105.35</v>
      </c>
      <c r="F3045" s="81">
        <v>113105.35</v>
      </c>
    </row>
    <row r="3046" spans="1:6" x14ac:dyDescent="0.2">
      <c r="A3046" s="1" t="s">
        <v>179</v>
      </c>
      <c r="B3046" s="1" t="s">
        <v>3743</v>
      </c>
      <c r="C3046" s="1" t="s">
        <v>4258</v>
      </c>
      <c r="D3046" s="1" t="s">
        <v>4258</v>
      </c>
      <c r="E3046" s="81">
        <v>110909.27</v>
      </c>
      <c r="F3046" s="81">
        <v>110909.27</v>
      </c>
    </row>
    <row r="3047" spans="1:6" x14ac:dyDescent="0.2">
      <c r="A3047" s="1" t="s">
        <v>179</v>
      </c>
      <c r="B3047" s="1" t="s">
        <v>3744</v>
      </c>
      <c r="C3047" s="1" t="s">
        <v>101</v>
      </c>
      <c r="D3047" s="1" t="s">
        <v>101</v>
      </c>
      <c r="E3047" s="81">
        <v>0</v>
      </c>
      <c r="F3047" s="81">
        <v>0</v>
      </c>
    </row>
    <row r="3048" spans="1:6" x14ac:dyDescent="0.2">
      <c r="A3048" s="1" t="s">
        <v>179</v>
      </c>
      <c r="B3048" s="1" t="s">
        <v>3745</v>
      </c>
      <c r="C3048" s="1" t="s">
        <v>101</v>
      </c>
      <c r="D3048" s="1" t="s">
        <v>101</v>
      </c>
      <c r="E3048" s="81">
        <v>0</v>
      </c>
      <c r="F3048" s="81">
        <v>0</v>
      </c>
    </row>
    <row r="3049" spans="1:6" x14ac:dyDescent="0.2">
      <c r="A3049" s="1" t="s">
        <v>179</v>
      </c>
      <c r="B3049" s="1" t="s">
        <v>3746</v>
      </c>
      <c r="C3049" s="1" t="s">
        <v>101</v>
      </c>
      <c r="D3049" s="1" t="s">
        <v>101</v>
      </c>
      <c r="E3049" s="81">
        <v>0</v>
      </c>
      <c r="F3049" s="81">
        <v>0</v>
      </c>
    </row>
    <row r="3050" spans="1:6" x14ac:dyDescent="0.2">
      <c r="A3050" s="1" t="s">
        <v>179</v>
      </c>
      <c r="B3050" s="1" t="s">
        <v>3747</v>
      </c>
      <c r="C3050" s="1" t="s">
        <v>4259</v>
      </c>
      <c r="D3050" s="1" t="s">
        <v>4259</v>
      </c>
      <c r="E3050" s="81">
        <v>28</v>
      </c>
      <c r="F3050" s="81">
        <v>28</v>
      </c>
    </row>
    <row r="3051" spans="1:6" x14ac:dyDescent="0.2">
      <c r="A3051" s="1" t="s">
        <v>179</v>
      </c>
      <c r="B3051" s="1" t="s">
        <v>3748</v>
      </c>
      <c r="C3051" s="1" t="s">
        <v>4260</v>
      </c>
      <c r="D3051" s="1" t="s">
        <v>4260</v>
      </c>
      <c r="E3051" s="81">
        <v>189.45</v>
      </c>
      <c r="F3051" s="81">
        <v>189.45</v>
      </c>
    </row>
    <row r="3052" spans="1:6" x14ac:dyDescent="0.2">
      <c r="A3052" s="1" t="s">
        <v>179</v>
      </c>
      <c r="B3052" s="1" t="s">
        <v>3749</v>
      </c>
      <c r="C3052" s="1" t="s">
        <v>4261</v>
      </c>
      <c r="D3052" s="1" t="s">
        <v>4261</v>
      </c>
      <c r="E3052" s="81">
        <v>161.44999999999999</v>
      </c>
      <c r="F3052" s="81">
        <v>161.44999999999999</v>
      </c>
    </row>
    <row r="3053" spans="1:6" x14ac:dyDescent="0.2">
      <c r="A3053" s="1" t="s">
        <v>179</v>
      </c>
      <c r="B3053" s="1" t="s">
        <v>3750</v>
      </c>
      <c r="C3053" s="1" t="s">
        <v>4262</v>
      </c>
      <c r="D3053" s="1" t="s">
        <v>4262</v>
      </c>
      <c r="E3053" s="81">
        <v>1371.31</v>
      </c>
      <c r="F3053" s="81">
        <v>1371.31</v>
      </c>
    </row>
    <row r="3054" spans="1:6" x14ac:dyDescent="0.2">
      <c r="A3054" s="1" t="s">
        <v>179</v>
      </c>
      <c r="B3054" s="1" t="s">
        <v>3751</v>
      </c>
      <c r="C3054" s="1" t="s">
        <v>4263</v>
      </c>
      <c r="D3054" s="1" t="s">
        <v>4263</v>
      </c>
      <c r="E3054" s="81">
        <v>22589.24</v>
      </c>
      <c r="F3054" s="81">
        <v>22589.24</v>
      </c>
    </row>
    <row r="3055" spans="1:6" x14ac:dyDescent="0.2">
      <c r="A3055" s="1" t="s">
        <v>179</v>
      </c>
      <c r="B3055" s="1" t="s">
        <v>3752</v>
      </c>
      <c r="C3055" s="1" t="s">
        <v>4264</v>
      </c>
      <c r="D3055" s="1" t="s">
        <v>4264</v>
      </c>
      <c r="E3055" s="81">
        <v>21217.93</v>
      </c>
      <c r="F3055" s="81">
        <v>21217.93</v>
      </c>
    </row>
    <row r="3056" spans="1:6" x14ac:dyDescent="0.2">
      <c r="A3056" s="1" t="s">
        <v>179</v>
      </c>
      <c r="B3056" s="1" t="s">
        <v>3753</v>
      </c>
      <c r="C3056" s="1" t="s">
        <v>4265</v>
      </c>
      <c r="D3056" s="1" t="s">
        <v>4265</v>
      </c>
      <c r="E3056" s="81">
        <v>10247.290000000001</v>
      </c>
      <c r="F3056" s="81">
        <v>10247.290000000001</v>
      </c>
    </row>
    <row r="3057" spans="1:6" x14ac:dyDescent="0.2">
      <c r="A3057" s="1" t="s">
        <v>179</v>
      </c>
      <c r="B3057" s="1" t="s">
        <v>3754</v>
      </c>
      <c r="C3057" s="1" t="s">
        <v>4266</v>
      </c>
      <c r="D3057" s="1" t="s">
        <v>4266</v>
      </c>
      <c r="E3057" s="81">
        <v>279022.96999999997</v>
      </c>
      <c r="F3057" s="81">
        <v>279022.96999999997</v>
      </c>
    </row>
    <row r="3058" spans="1:6" x14ac:dyDescent="0.2">
      <c r="A3058" s="1" t="s">
        <v>179</v>
      </c>
      <c r="B3058" s="1" t="s">
        <v>3755</v>
      </c>
      <c r="C3058" s="1" t="s">
        <v>4267</v>
      </c>
      <c r="D3058" s="1" t="s">
        <v>4267</v>
      </c>
      <c r="E3058" s="81">
        <v>268775.67999999999</v>
      </c>
      <c r="F3058" s="81">
        <v>268775.67999999999</v>
      </c>
    </row>
    <row r="3059" spans="1:6" x14ac:dyDescent="0.2">
      <c r="A3059" s="1" t="s">
        <v>179</v>
      </c>
      <c r="B3059" s="1" t="s">
        <v>3756</v>
      </c>
      <c r="C3059" s="1" t="s">
        <v>101</v>
      </c>
      <c r="D3059" s="1" t="s">
        <v>101</v>
      </c>
      <c r="E3059" s="81">
        <v>0</v>
      </c>
      <c r="F3059" s="81">
        <v>0</v>
      </c>
    </row>
    <row r="3060" spans="1:6" x14ac:dyDescent="0.2">
      <c r="A3060" s="1" t="s">
        <v>179</v>
      </c>
      <c r="B3060" s="1" t="s">
        <v>3757</v>
      </c>
      <c r="C3060" s="1" t="s">
        <v>101</v>
      </c>
      <c r="D3060" s="1" t="s">
        <v>101</v>
      </c>
      <c r="E3060" s="81">
        <v>0</v>
      </c>
      <c r="F3060" s="81">
        <v>0</v>
      </c>
    </row>
    <row r="3061" spans="1:6" x14ac:dyDescent="0.2">
      <c r="A3061" s="1" t="s">
        <v>179</v>
      </c>
      <c r="B3061" s="1" t="s">
        <v>3758</v>
      </c>
      <c r="C3061" s="1" t="s">
        <v>101</v>
      </c>
      <c r="D3061" s="1" t="s">
        <v>101</v>
      </c>
      <c r="E3061" s="81">
        <v>0</v>
      </c>
      <c r="F3061" s="81">
        <v>0</v>
      </c>
    </row>
    <row r="3062" spans="1:6" x14ac:dyDescent="0.2">
      <c r="A3062" s="1" t="s">
        <v>179</v>
      </c>
      <c r="B3062" s="1" t="s">
        <v>3759</v>
      </c>
      <c r="C3062" s="1" t="s">
        <v>4268</v>
      </c>
      <c r="D3062" s="1" t="s">
        <v>4268</v>
      </c>
      <c r="E3062" s="81">
        <v>44062.66</v>
      </c>
      <c r="F3062" s="81">
        <v>44062.66</v>
      </c>
    </row>
    <row r="3063" spans="1:6" x14ac:dyDescent="0.2">
      <c r="A3063" s="1" t="s">
        <v>179</v>
      </c>
      <c r="B3063" s="1" t="s">
        <v>3760</v>
      </c>
      <c r="C3063" s="1" t="s">
        <v>4269</v>
      </c>
      <c r="D3063" s="1" t="s">
        <v>4269</v>
      </c>
      <c r="E3063" s="81">
        <v>180426.95</v>
      </c>
      <c r="F3063" s="81">
        <v>180426.95</v>
      </c>
    </row>
    <row r="3064" spans="1:6" x14ac:dyDescent="0.2">
      <c r="A3064" s="1" t="s">
        <v>179</v>
      </c>
      <c r="B3064" s="1" t="s">
        <v>3761</v>
      </c>
      <c r="C3064" s="1" t="s">
        <v>4270</v>
      </c>
      <c r="D3064" s="1" t="s">
        <v>4270</v>
      </c>
      <c r="E3064" s="81">
        <v>136364.29</v>
      </c>
      <c r="F3064" s="81">
        <v>136364.29</v>
      </c>
    </row>
    <row r="3065" spans="1:6" x14ac:dyDescent="0.2">
      <c r="A3065" s="1" t="s">
        <v>179</v>
      </c>
      <c r="B3065" s="1" t="s">
        <v>3762</v>
      </c>
      <c r="C3065" s="1" t="s">
        <v>4271</v>
      </c>
      <c r="D3065" s="1" t="s">
        <v>4271</v>
      </c>
      <c r="E3065" s="81">
        <v>194646.42</v>
      </c>
      <c r="F3065" s="81">
        <v>194646.42</v>
      </c>
    </row>
    <row r="3066" spans="1:6" x14ac:dyDescent="0.2">
      <c r="A3066" s="1" t="s">
        <v>179</v>
      </c>
      <c r="B3066" s="1" t="s">
        <v>3763</v>
      </c>
      <c r="C3066" s="1" t="s">
        <v>4272</v>
      </c>
      <c r="D3066" s="1" t="s">
        <v>4272</v>
      </c>
      <c r="E3066" s="81">
        <v>6257579.0899999999</v>
      </c>
      <c r="F3066" s="81">
        <v>6257579.0899999999</v>
      </c>
    </row>
    <row r="3067" spans="1:6" x14ac:dyDescent="0.2">
      <c r="A3067" s="1" t="s">
        <v>179</v>
      </c>
      <c r="B3067" s="1" t="s">
        <v>3764</v>
      </c>
      <c r="C3067" s="1" t="s">
        <v>4273</v>
      </c>
      <c r="D3067" s="1" t="s">
        <v>4273</v>
      </c>
      <c r="E3067" s="81">
        <v>6452225.5099999998</v>
      </c>
      <c r="F3067" s="81">
        <v>6452225.5099999998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30"/>
  <sheetViews>
    <sheetView view="pageLayout" zoomScaleNormal="100" workbookViewId="0">
      <selection activeCell="H25" sqref="H25"/>
    </sheetView>
  </sheetViews>
  <sheetFormatPr defaultRowHeight="12.75" x14ac:dyDescent="0.2"/>
  <sheetData>
    <row r="2" spans="1:14" ht="12.75" customHeight="1" x14ac:dyDescent="0.2">
      <c r="A2" s="367" t="s">
        <v>553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9"/>
    </row>
    <row r="4" spans="1:14" ht="12.75" customHeight="1" x14ac:dyDescent="0.2">
      <c r="A4" s="367" t="s">
        <v>554</v>
      </c>
      <c r="B4" s="368"/>
      <c r="C4" s="368"/>
      <c r="D4" s="368"/>
      <c r="E4" s="368"/>
      <c r="F4" s="368"/>
      <c r="G4" s="368"/>
      <c r="H4" s="368"/>
      <c r="I4" s="368"/>
      <c r="J4" s="368"/>
      <c r="K4" s="368"/>
      <c r="L4" s="368"/>
      <c r="M4" s="368"/>
      <c r="N4" s="369"/>
    </row>
    <row r="6" spans="1:14" ht="44.25" customHeight="1" x14ac:dyDescent="0.2">
      <c r="A6" s="353" t="s">
        <v>555</v>
      </c>
      <c r="B6" s="354"/>
      <c r="C6" s="354"/>
      <c r="D6" s="354"/>
      <c r="E6" s="354"/>
      <c r="F6" s="354"/>
      <c r="G6" s="354"/>
      <c r="H6" s="354"/>
      <c r="I6" s="354"/>
      <c r="J6" s="354"/>
      <c r="K6" s="354"/>
      <c r="L6" s="354"/>
      <c r="M6" s="354"/>
      <c r="N6" s="355"/>
    </row>
    <row r="7" spans="1:14" ht="15" x14ac:dyDescent="0.2">
      <c r="A7" s="316"/>
    </row>
    <row r="8" spans="1:14" ht="12.75" customHeight="1" x14ac:dyDescent="0.2">
      <c r="A8" s="367" t="str">
        <f>CONCATENATE("Отчет о затратах на производство и реализацию продукции (работ, услуг)  за ",LOWER(A21))</f>
        <v xml:space="preserve">Отчет о затратах на производство и реализацию продукции (работ, услуг)  за </v>
      </c>
      <c r="B8" s="368"/>
      <c r="C8" s="368"/>
      <c r="D8" s="368"/>
      <c r="E8" s="368"/>
      <c r="F8" s="368"/>
      <c r="G8" s="368"/>
      <c r="H8" s="368"/>
      <c r="I8" s="368"/>
      <c r="J8" s="368"/>
      <c r="K8" s="368"/>
      <c r="L8" s="368"/>
      <c r="M8" s="368"/>
      <c r="N8" s="369"/>
    </row>
    <row r="10" spans="1:14" ht="31.5" customHeight="1" x14ac:dyDescent="0.2">
      <c r="A10" s="353" t="s">
        <v>556</v>
      </c>
      <c r="B10" s="354"/>
      <c r="C10" s="354"/>
      <c r="D10" s="354"/>
      <c r="E10" s="354"/>
      <c r="F10" s="354"/>
      <c r="G10" s="354"/>
      <c r="H10" s="355"/>
      <c r="I10" s="359" t="s">
        <v>49</v>
      </c>
      <c r="J10" s="370"/>
      <c r="K10" s="371"/>
      <c r="L10" s="372" t="str">
        <f>CONCATENATE("4-ф (затраты)  за ",CHAR(10),LOWER(A21))</f>
        <v xml:space="preserve">4-ф (затраты)  за 
</v>
      </c>
      <c r="M10" s="373"/>
      <c r="N10" s="374"/>
    </row>
    <row r="11" spans="1:14" ht="12.75" customHeight="1" x14ac:dyDescent="0.2">
      <c r="A11" s="353" t="s">
        <v>557</v>
      </c>
      <c r="B11" s="354"/>
      <c r="C11" s="354"/>
      <c r="D11" s="354"/>
      <c r="E11" s="354"/>
      <c r="F11" s="354"/>
      <c r="G11" s="354"/>
      <c r="H11" s="355"/>
      <c r="I11" s="359" t="s">
        <v>558</v>
      </c>
      <c r="J11" s="357"/>
      <c r="K11" s="358"/>
      <c r="L11" s="363" t="s">
        <v>559</v>
      </c>
      <c r="M11" s="358"/>
      <c r="N11" s="363" t="s">
        <v>560</v>
      </c>
    </row>
    <row r="12" spans="1:14" ht="27" customHeight="1" x14ac:dyDescent="0.2">
      <c r="A12" s="353"/>
      <c r="B12" s="354"/>
      <c r="C12" s="354"/>
      <c r="D12" s="354"/>
      <c r="E12" s="354"/>
      <c r="F12" s="354"/>
      <c r="G12" s="354"/>
      <c r="H12" s="355"/>
      <c r="I12" s="360"/>
      <c r="J12" s="361"/>
      <c r="K12" s="362"/>
      <c r="L12" s="365"/>
      <c r="M12" s="366"/>
      <c r="N12" s="364"/>
    </row>
    <row r="13" spans="1:14" ht="56.25" customHeight="1" x14ac:dyDescent="0.2">
      <c r="A13" s="353"/>
      <c r="B13" s="354"/>
      <c r="C13" s="354"/>
      <c r="D13" s="354"/>
      <c r="E13" s="354"/>
      <c r="F13" s="354"/>
      <c r="G13" s="354"/>
      <c r="H13" s="355"/>
      <c r="I13" s="360"/>
      <c r="J13" s="360"/>
      <c r="K13" s="362"/>
      <c r="L13" s="356" t="s">
        <v>561</v>
      </c>
      <c r="M13" s="357"/>
      <c r="N13" s="358"/>
    </row>
    <row r="14" spans="1:14" ht="30.75" customHeight="1" x14ac:dyDescent="0.2">
      <c r="A14" s="353" t="str">
        <f>CONCATENATE("Полное наименование юридического лица: ",UPPER(B21))</f>
        <v xml:space="preserve">Полное наименование юридического лица: </v>
      </c>
      <c r="B14" s="354"/>
      <c r="C14" s="354"/>
      <c r="D14" s="354"/>
      <c r="E14" s="354"/>
      <c r="F14" s="354"/>
      <c r="G14" s="354"/>
      <c r="H14" s="354"/>
      <c r="I14" s="354"/>
      <c r="J14" s="354"/>
      <c r="K14" s="354"/>
      <c r="L14" s="354"/>
      <c r="M14" s="354"/>
      <c r="N14" s="355"/>
    </row>
    <row r="15" spans="1:14" ht="15.75" customHeight="1" x14ac:dyDescent="0.2">
      <c r="A15" s="353" t="s">
        <v>562</v>
      </c>
      <c r="B15" s="354"/>
      <c r="C15" s="354"/>
      <c r="D15" s="354"/>
      <c r="E15" s="354"/>
      <c r="F15" s="354"/>
      <c r="G15" s="354"/>
      <c r="H15" s="354"/>
      <c r="I15" s="354"/>
      <c r="J15" s="354"/>
      <c r="K15" s="354"/>
      <c r="L15" s="354"/>
      <c r="M15" s="354"/>
      <c r="N15" s="355"/>
    </row>
    <row r="16" spans="1:14" ht="15.75" customHeight="1" x14ac:dyDescent="0.2">
      <c r="A16" s="353" t="str">
        <f>CONCATENATE("Местоположение: ",C21)</f>
        <v xml:space="preserve">Местоположение: </v>
      </c>
      <c r="B16" s="354"/>
      <c r="C16" s="354"/>
      <c r="D16" s="354"/>
      <c r="E16" s="354"/>
      <c r="F16" s="354"/>
      <c r="G16" s="354"/>
      <c r="H16" s="354"/>
      <c r="I16" s="354"/>
      <c r="J16" s="354"/>
      <c r="K16" s="354"/>
      <c r="L16" s="354"/>
      <c r="M16" s="354"/>
      <c r="N16" s="355"/>
    </row>
    <row r="17" spans="1:14" ht="16.5" customHeight="1" x14ac:dyDescent="0.2">
      <c r="A17" s="353" t="str">
        <f>CONCATENATE("Электронный адрес: ",D21)</f>
        <v xml:space="preserve">Электронный адрес: </v>
      </c>
      <c r="B17" s="354"/>
      <c r="C17" s="354"/>
      <c r="D17" s="354"/>
      <c r="E17" s="354"/>
      <c r="F17" s="354"/>
      <c r="G17" s="354"/>
      <c r="H17" s="375"/>
      <c r="I17" s="375"/>
      <c r="J17" s="375"/>
      <c r="K17" s="375"/>
      <c r="L17" s="375"/>
      <c r="M17" s="375"/>
      <c r="N17" s="376"/>
    </row>
    <row r="18" spans="1:14" ht="15" x14ac:dyDescent="0.2">
      <c r="A18" s="380" t="s">
        <v>563</v>
      </c>
      <c r="B18" s="381"/>
      <c r="C18" s="381"/>
      <c r="D18" s="366"/>
      <c r="E18" s="380" t="s">
        <v>564</v>
      </c>
      <c r="F18" s="381"/>
      <c r="G18" s="366"/>
      <c r="H18" s="377"/>
      <c r="I18" s="378"/>
      <c r="J18" s="378"/>
      <c r="K18" s="378"/>
      <c r="L18" s="378"/>
      <c r="M18" s="378"/>
      <c r="N18" s="379"/>
    </row>
    <row r="19" spans="1:14" ht="15" x14ac:dyDescent="0.2">
      <c r="A19" s="363" t="s">
        <v>565</v>
      </c>
      <c r="B19" s="370"/>
      <c r="C19" s="370"/>
      <c r="D19" s="371"/>
      <c r="E19" s="363" t="s">
        <v>551</v>
      </c>
      <c r="F19" s="370"/>
      <c r="G19" s="371"/>
      <c r="H19" s="377"/>
      <c r="I19" s="378"/>
      <c r="J19" s="378"/>
      <c r="K19" s="378"/>
      <c r="L19" s="378"/>
      <c r="M19" s="378"/>
      <c r="N19" s="379"/>
    </row>
    <row r="20" spans="1:14" ht="15" x14ac:dyDescent="0.2">
      <c r="A20" s="365" t="str">
        <f>E21</f>
        <v/>
      </c>
      <c r="B20" s="370"/>
      <c r="C20" s="370"/>
      <c r="D20" s="371"/>
      <c r="E20" s="365" t="str">
        <f>F21</f>
        <v/>
      </c>
      <c r="F20" s="370"/>
      <c r="G20" s="371"/>
      <c r="H20" s="377"/>
      <c r="I20" s="378"/>
      <c r="J20" s="378"/>
      <c r="K20" s="378"/>
      <c r="L20" s="378"/>
      <c r="M20" s="378"/>
      <c r="N20" s="379"/>
    </row>
    <row r="21" spans="1:14" x14ac:dyDescent="0.2">
      <c r="A21" s="318" t="str">
        <f>GetPatVar("s5zf","&amp;rep_period")</f>
        <v/>
      </c>
      <c r="B21" s="318" t="str">
        <f>GetPatVar("s5zf","&amp;ur_lic_name_full")</f>
        <v/>
      </c>
      <c r="C21" s="318" t="str">
        <f>GetPatVar("s5zf","&amp;ur_lic_dep_address_full_wDist")</f>
        <v/>
      </c>
      <c r="D21" s="318" t="str">
        <f>GetPatVar("s5zf","&amp;dep_buch_zam_mail")</f>
        <v/>
      </c>
      <c r="E21" s="318" t="str">
        <f>GetPatVar("s5zf","&amp;dep_okpo_code")</f>
        <v/>
      </c>
      <c r="F21" s="318" t="str">
        <f>GetPatVar("s5zf","&amp;dep_unp_code")</f>
        <v/>
      </c>
    </row>
    <row r="25" spans="1:14" x14ac:dyDescent="0.2">
      <c r="B25" s="319"/>
    </row>
    <row r="30" spans="1:14" x14ac:dyDescent="0.2">
      <c r="A30" s="318"/>
      <c r="B30" s="317"/>
      <c r="E30" s="315"/>
    </row>
  </sheetData>
  <mergeCells count="25">
    <mergeCell ref="A15:N15"/>
    <mergeCell ref="A16:N16"/>
    <mergeCell ref="A17:N17"/>
    <mergeCell ref="H18:N18"/>
    <mergeCell ref="E20:G20"/>
    <mergeCell ref="A18:D18"/>
    <mergeCell ref="E18:G18"/>
    <mergeCell ref="A19:D19"/>
    <mergeCell ref="E19:G19"/>
    <mergeCell ref="H19:N19"/>
    <mergeCell ref="H20:N20"/>
    <mergeCell ref="A20:D20"/>
    <mergeCell ref="A2:N2"/>
    <mergeCell ref="A4:N4"/>
    <mergeCell ref="A6:N6"/>
    <mergeCell ref="A8:N8"/>
    <mergeCell ref="I10:K10"/>
    <mergeCell ref="L10:N10"/>
    <mergeCell ref="A14:N14"/>
    <mergeCell ref="L13:N13"/>
    <mergeCell ref="A10:H10"/>
    <mergeCell ref="A11:H13"/>
    <mergeCell ref="I11:K13"/>
    <mergeCell ref="N11:N12"/>
    <mergeCell ref="L11:M12"/>
  </mergeCells>
  <pageMargins left="0.7" right="0.7" top="0.75" bottom="0.75" header="0.3" footer="0.3"/>
  <pageSetup paperSize="9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9"/>
  <sheetViews>
    <sheetView view="pageLayout" topLeftCell="A7" zoomScaleNormal="100" workbookViewId="0">
      <selection activeCell="H14" sqref="H14"/>
    </sheetView>
  </sheetViews>
  <sheetFormatPr defaultRowHeight="12.75" x14ac:dyDescent="0.2"/>
  <cols>
    <col min="1" max="1" width="77.7109375" style="320" customWidth="1"/>
    <col min="2" max="2" width="6.140625" style="320" customWidth="1"/>
    <col min="3" max="3" width="24.7109375" style="320" customWidth="1"/>
    <col min="4" max="4" width="25.28515625" style="320" customWidth="1"/>
    <col min="5" max="16384" width="9.140625" style="320"/>
  </cols>
  <sheetData>
    <row r="1" spans="1:14" ht="15" x14ac:dyDescent="0.25">
      <c r="A1" s="382" t="s">
        <v>566</v>
      </c>
      <c r="B1" s="383"/>
      <c r="C1" s="383"/>
      <c r="D1" s="383"/>
      <c r="E1"/>
      <c r="F1"/>
      <c r="G1"/>
      <c r="H1"/>
      <c r="I1"/>
      <c r="J1"/>
      <c r="K1"/>
      <c r="L1"/>
      <c r="M1"/>
      <c r="N1"/>
    </row>
    <row r="2" spans="1:14" ht="15" x14ac:dyDescent="0.25">
      <c r="A2" s="382" t="s">
        <v>567</v>
      </c>
      <c r="B2" s="383"/>
      <c r="C2" s="383"/>
      <c r="D2" s="383"/>
      <c r="E2"/>
      <c r="F2"/>
      <c r="G2"/>
      <c r="H2"/>
      <c r="I2"/>
      <c r="J2"/>
      <c r="K2"/>
      <c r="L2"/>
      <c r="M2"/>
      <c r="N2"/>
    </row>
    <row r="3" spans="1:14" ht="17.25" customHeight="1" x14ac:dyDescent="0.25">
      <c r="A3" s="322" t="s">
        <v>568</v>
      </c>
      <c r="B3" s="321"/>
      <c r="C3" s="384" t="s">
        <v>569</v>
      </c>
      <c r="D3" s="383"/>
      <c r="E3"/>
      <c r="F3"/>
      <c r="G3"/>
      <c r="H3"/>
      <c r="I3"/>
      <c r="J3"/>
      <c r="K3"/>
      <c r="L3"/>
      <c r="M3"/>
      <c r="N3"/>
    </row>
    <row r="4" spans="1:14" ht="32.25" customHeight="1" x14ac:dyDescent="0.2">
      <c r="A4" s="340" t="s">
        <v>40</v>
      </c>
      <c r="B4" s="341" t="s">
        <v>570</v>
      </c>
      <c r="C4" s="341" t="s">
        <v>38</v>
      </c>
      <c r="D4" s="341" t="s">
        <v>37</v>
      </c>
      <c r="E4"/>
      <c r="F4"/>
      <c r="G4"/>
      <c r="H4"/>
      <c r="I4"/>
      <c r="J4"/>
      <c r="K4"/>
      <c r="L4"/>
      <c r="M4"/>
      <c r="N4"/>
    </row>
    <row r="5" spans="1:14" ht="12.75" customHeight="1" x14ac:dyDescent="0.2">
      <c r="A5" s="325" t="s">
        <v>571</v>
      </c>
      <c r="B5" s="325" t="s">
        <v>35</v>
      </c>
      <c r="C5" s="325" t="s">
        <v>565</v>
      </c>
      <c r="D5" s="325" t="s">
        <v>551</v>
      </c>
      <c r="E5"/>
      <c r="F5"/>
      <c r="G5"/>
      <c r="H5"/>
      <c r="I5"/>
      <c r="J5"/>
      <c r="K5"/>
      <c r="L5"/>
      <c r="M5"/>
      <c r="N5"/>
    </row>
    <row r="6" spans="1:14" ht="30" x14ac:dyDescent="0.2">
      <c r="A6" s="340" t="s">
        <v>3776</v>
      </c>
      <c r="B6" s="341">
        <v>1</v>
      </c>
      <c r="C6" s="341">
        <f>IF(OR('I Раздел (Значения)'!C1=0,ISBLANK('I Раздел (Значения)'!C1)),"-",'I Раздел (Значения)'!C1)</f>
        <v>8669</v>
      </c>
      <c r="D6" s="341">
        <f>IF(OR('I Раздел (Значения)'!D1=0,ISBLANK('I Раздел (Значения)'!D1)),"-",'I Раздел (Значения)'!D1)</f>
        <v>8178</v>
      </c>
      <c r="E6"/>
      <c r="F6"/>
      <c r="G6"/>
      <c r="H6"/>
      <c r="I6"/>
      <c r="J6"/>
      <c r="K6"/>
      <c r="L6"/>
      <c r="M6"/>
      <c r="N6"/>
    </row>
    <row r="7" spans="1:14" ht="15" customHeight="1" x14ac:dyDescent="0.2">
      <c r="A7" s="340" t="s">
        <v>3777</v>
      </c>
      <c r="B7" s="341" t="s">
        <v>551</v>
      </c>
      <c r="C7" s="341">
        <f>IF(OR('I Раздел (Значения)'!C2=0,ISBLANK('I Раздел (Значения)'!C2)),"-",'I Раздел (Значения)'!C2)</f>
        <v>7536</v>
      </c>
      <c r="D7" s="341">
        <f>IF(OR('I Раздел (Значения)'!D2=0,ISBLANK('I Раздел (Значения)'!D2)),"-",'I Раздел (Значения)'!D2)</f>
        <v>7500</v>
      </c>
      <c r="E7"/>
      <c r="F7"/>
      <c r="G7"/>
      <c r="H7"/>
      <c r="I7"/>
      <c r="J7"/>
      <c r="K7"/>
      <c r="L7"/>
      <c r="M7"/>
      <c r="N7"/>
    </row>
    <row r="8" spans="1:14" ht="15" x14ac:dyDescent="0.2">
      <c r="A8" s="342" t="s">
        <v>574</v>
      </c>
      <c r="B8" s="341" t="s">
        <v>575</v>
      </c>
      <c r="C8" s="341">
        <f>IF(OR('I Раздел (Значения)'!C3=0,ISBLANK('I Раздел (Значения)'!C3)),"-",'I Раздел (Значения)'!C3)</f>
        <v>2583</v>
      </c>
      <c r="D8" s="341">
        <f>IF(OR('I Раздел (Значения)'!D3=0,ISBLANK('I Раздел (Значения)'!D3)),"-",'I Раздел (Значения)'!D3)</f>
        <v>2607</v>
      </c>
      <c r="E8"/>
      <c r="F8"/>
      <c r="G8"/>
      <c r="H8"/>
      <c r="I8"/>
      <c r="J8"/>
      <c r="K8"/>
      <c r="L8"/>
      <c r="M8"/>
      <c r="N8"/>
    </row>
    <row r="9" spans="1:14" ht="15" x14ac:dyDescent="0.2">
      <c r="A9" s="343" t="s">
        <v>576</v>
      </c>
      <c r="B9" s="341" t="s">
        <v>577</v>
      </c>
      <c r="C9" s="341">
        <f>IF(OR('I Раздел (Значения)'!C4=0,ISBLANK('I Раздел (Значения)'!C4)),"-",'I Раздел (Значения)'!C4)</f>
        <v>95</v>
      </c>
      <c r="D9" s="341">
        <f>IF(OR('I Раздел (Значения)'!D4=0,ISBLANK('I Раздел (Значения)'!D4)),"-",'I Раздел (Значения)'!D4)</f>
        <v>105</v>
      </c>
      <c r="E9"/>
      <c r="F9"/>
      <c r="G9"/>
      <c r="H9"/>
      <c r="I9"/>
      <c r="J9"/>
      <c r="K9"/>
      <c r="L9"/>
      <c r="M9"/>
      <c r="N9"/>
    </row>
    <row r="10" spans="1:14" ht="15" x14ac:dyDescent="0.2">
      <c r="A10" s="344" t="s">
        <v>578</v>
      </c>
      <c r="B10" s="341" t="s">
        <v>579</v>
      </c>
      <c r="C10" s="351"/>
      <c r="D10" s="351"/>
      <c r="E10"/>
      <c r="F10"/>
      <c r="G10"/>
      <c r="H10"/>
      <c r="I10"/>
      <c r="J10"/>
      <c r="K10"/>
      <c r="L10"/>
      <c r="M10"/>
      <c r="N10"/>
    </row>
    <row r="11" spans="1:14" ht="15" x14ac:dyDescent="0.2">
      <c r="A11" s="344" t="s">
        <v>580</v>
      </c>
      <c r="B11" s="341" t="s">
        <v>581</v>
      </c>
      <c r="C11" s="341">
        <f>IF(OR('I Раздел (Значения)'!C6=0,ISBLANK('I Раздел (Значения)'!C6)),"-",'I Раздел (Значения)'!C6)</f>
        <v>83</v>
      </c>
      <c r="D11" s="341">
        <f>IF(OR('I Раздел (Значения)'!D6=0,ISBLANK('I Раздел (Значения)'!D6)),"-",'I Раздел (Значения)'!D6)</f>
        <v>68</v>
      </c>
      <c r="E11"/>
      <c r="F11"/>
      <c r="G11"/>
      <c r="H11"/>
      <c r="I11"/>
      <c r="J11"/>
      <c r="K11"/>
      <c r="L11"/>
      <c r="M11"/>
      <c r="N11"/>
    </row>
    <row r="12" spans="1:14" ht="15" x14ac:dyDescent="0.2">
      <c r="A12" s="345" t="s">
        <v>582</v>
      </c>
      <c r="B12" s="341" t="s">
        <v>583</v>
      </c>
      <c r="C12" s="351"/>
      <c r="D12" s="351"/>
      <c r="E12"/>
      <c r="F12"/>
      <c r="G12"/>
      <c r="H12"/>
      <c r="I12"/>
      <c r="J12"/>
      <c r="K12"/>
      <c r="L12"/>
      <c r="M12"/>
      <c r="N12"/>
    </row>
    <row r="13" spans="1:14" ht="15" x14ac:dyDescent="0.2">
      <c r="A13" s="345" t="s">
        <v>585</v>
      </c>
      <c r="B13" s="341" t="s">
        <v>584</v>
      </c>
      <c r="C13" s="341">
        <f>IF(OR('I Раздел (Значения)'!C8=0,ISBLANK('I Раздел (Значения)'!C8)),"-",'I Раздел (Значения)'!C8)</f>
        <v>1620</v>
      </c>
      <c r="D13" s="341">
        <f>IF(OR('I Раздел (Значения)'!D8=0,ISBLANK('I Раздел (Значения)'!D8)),"-",'I Раздел (Значения)'!D8)</f>
        <v>1637</v>
      </c>
      <c r="E13"/>
      <c r="F13"/>
      <c r="G13"/>
      <c r="H13"/>
      <c r="I13"/>
      <c r="J13"/>
      <c r="K13"/>
      <c r="L13"/>
      <c r="M13"/>
      <c r="N13"/>
    </row>
    <row r="14" spans="1:14" ht="15" x14ac:dyDescent="0.2">
      <c r="A14" s="345" t="s">
        <v>586</v>
      </c>
      <c r="B14" s="341" t="s">
        <v>587</v>
      </c>
      <c r="C14" s="341">
        <f>IF(OR('I Раздел (Значения)'!C9=0,ISBLANK('I Раздел (Значения)'!C9)),"-",'I Раздел (Значения)'!C9)</f>
        <v>155</v>
      </c>
      <c r="D14" s="341">
        <f>IF(OR('I Раздел (Значения)'!D9=0,ISBLANK('I Раздел (Значения)'!D9)),"-",'I Раздел (Значения)'!D9)</f>
        <v>190</v>
      </c>
      <c r="E14"/>
      <c r="F14"/>
      <c r="G14"/>
      <c r="H14"/>
      <c r="I14"/>
      <c r="J14"/>
      <c r="K14"/>
      <c r="L14"/>
      <c r="M14"/>
      <c r="N14"/>
    </row>
    <row r="15" spans="1:14" ht="15" x14ac:dyDescent="0.2">
      <c r="A15" s="342" t="s">
        <v>588</v>
      </c>
      <c r="B15" s="341" t="s">
        <v>589</v>
      </c>
      <c r="C15" s="341">
        <f>IF(OR('I Раздел (Значения)'!C10=0,ISBLANK('I Раздел (Значения)'!C10)),"-",'I Раздел (Значения)'!C10)</f>
        <v>1666</v>
      </c>
      <c r="D15" s="341">
        <f>IF(OR('I Раздел (Значения)'!D10=0,ISBLANK('I Раздел (Значения)'!D10)),"-",'I Раздел (Значения)'!D10)</f>
        <v>1453</v>
      </c>
      <c r="E15"/>
      <c r="F15"/>
      <c r="G15"/>
      <c r="H15"/>
      <c r="I15"/>
      <c r="J15"/>
      <c r="K15"/>
      <c r="L15"/>
      <c r="M15"/>
      <c r="N15"/>
    </row>
    <row r="16" spans="1:14" ht="15" x14ac:dyDescent="0.2">
      <c r="A16" s="342" t="s">
        <v>590</v>
      </c>
      <c r="B16" s="341" t="s">
        <v>591</v>
      </c>
      <c r="C16" s="341">
        <f>IF(OR('I Раздел (Значения)'!C11=0,ISBLANK('I Раздел (Значения)'!C11)),"-",'I Раздел (Значения)'!C11)</f>
        <v>557</v>
      </c>
      <c r="D16" s="341">
        <f>IF(OR('I Раздел (Значения)'!D11=0,ISBLANK('I Раздел (Значения)'!D11)),"-",'I Раздел (Значения)'!D11)</f>
        <v>545</v>
      </c>
      <c r="E16"/>
      <c r="F16"/>
      <c r="G16"/>
      <c r="H16"/>
      <c r="I16"/>
      <c r="J16"/>
      <c r="K16"/>
      <c r="L16"/>
      <c r="M16"/>
      <c r="N16"/>
    </row>
    <row r="17" spans="1:14" ht="30" x14ac:dyDescent="0.2">
      <c r="A17" s="342" t="s">
        <v>3778</v>
      </c>
      <c r="B17" s="341" t="s">
        <v>593</v>
      </c>
      <c r="C17" s="341">
        <f>IF(OR('I Раздел (Значения)'!C12=0,ISBLANK('I Раздел (Значения)'!C12)),"-",'I Раздел (Значения)'!C12)</f>
        <v>1984</v>
      </c>
      <c r="D17" s="341">
        <f>IF(OR('I Раздел (Значения)'!D12=0,ISBLANK('I Раздел (Значения)'!D12)),"-",'I Раздел (Значения)'!D12)</f>
        <v>2132</v>
      </c>
      <c r="E17"/>
      <c r="F17"/>
      <c r="G17"/>
      <c r="H17"/>
      <c r="I17"/>
      <c r="J17"/>
      <c r="K17"/>
      <c r="L17"/>
      <c r="M17"/>
      <c r="N17"/>
    </row>
    <row r="18" spans="1:14" ht="15" x14ac:dyDescent="0.2">
      <c r="A18" s="343" t="s">
        <v>594</v>
      </c>
      <c r="B18" s="341" t="s">
        <v>595</v>
      </c>
      <c r="C18" s="341">
        <f>IF(OR('I Раздел (Значения)'!C13=0,ISBLANK('I Раздел (Значения)'!C13)),"-",'I Раздел (Значения)'!C13)</f>
        <v>1973</v>
      </c>
      <c r="D18" s="341">
        <f>IF(OR('I Раздел (Значения)'!D13=0,ISBLANK('I Раздел (Значения)'!D13)),"-",'I Раздел (Значения)'!D13)</f>
        <v>2120</v>
      </c>
      <c r="E18"/>
      <c r="F18"/>
      <c r="G18"/>
      <c r="H18"/>
      <c r="I18"/>
      <c r="J18"/>
      <c r="K18"/>
      <c r="L18"/>
      <c r="M18"/>
      <c r="N18"/>
    </row>
    <row r="19" spans="1:14" ht="15" x14ac:dyDescent="0.2">
      <c r="A19" s="343" t="s">
        <v>596</v>
      </c>
      <c r="B19" s="341" t="s">
        <v>597</v>
      </c>
      <c r="C19" s="341">
        <f>IF(OR('I Раздел (Значения)'!C14=0,ISBLANK('I Раздел (Значения)'!C14)),"-",'I Раздел (Значения)'!C14)</f>
        <v>11</v>
      </c>
      <c r="D19" s="341">
        <f>IF(OR('I Раздел (Значения)'!D14=0,ISBLANK('I Раздел (Значения)'!D14)),"-",'I Раздел (Значения)'!D14)</f>
        <v>11</v>
      </c>
      <c r="E19"/>
      <c r="F19"/>
      <c r="G19"/>
      <c r="H19"/>
      <c r="I19"/>
      <c r="J19"/>
      <c r="K19"/>
      <c r="L19"/>
      <c r="M19"/>
      <c r="N19"/>
    </row>
    <row r="20" spans="1:14" ht="15" x14ac:dyDescent="0.2">
      <c r="A20" s="342" t="s">
        <v>598</v>
      </c>
      <c r="B20" s="341" t="s">
        <v>599</v>
      </c>
      <c r="C20" s="341">
        <f>IF(OR('I Раздел (Значения)'!C15=0,ISBLANK('I Раздел (Значения)'!C15)),"-",'I Раздел (Значения)'!C15)</f>
        <v>746</v>
      </c>
      <c r="D20" s="341">
        <f>IF(OR('I Раздел (Значения)'!D15=0,ISBLANK('I Раздел (Значения)'!D15)),"-",'I Раздел (Значения)'!D15)</f>
        <v>764</v>
      </c>
      <c r="E20"/>
      <c r="F20"/>
      <c r="G20"/>
      <c r="H20"/>
      <c r="I20"/>
      <c r="J20"/>
      <c r="K20"/>
      <c r="L20"/>
      <c r="M20"/>
      <c r="N20"/>
    </row>
    <row r="21" spans="1:14" ht="15" x14ac:dyDescent="0.2">
      <c r="A21" s="340" t="s">
        <v>600</v>
      </c>
      <c r="B21" s="341" t="s">
        <v>601</v>
      </c>
      <c r="C21" s="341" t="str">
        <f>IF(OR('I Раздел (Значения)'!C16=0,ISBLANK('I Раздел (Значения)'!C16)),"-",'I Раздел (Значения)'!C16)</f>
        <v>-</v>
      </c>
      <c r="D21" s="341" t="str">
        <f>IF(OR('I Раздел (Значения)'!D16=0,ISBLANK('I Раздел (Значения)'!D16)),"-",'I Раздел (Значения)'!D16)</f>
        <v>-</v>
      </c>
      <c r="E21"/>
      <c r="F21"/>
      <c r="G21"/>
      <c r="H21"/>
    </row>
    <row r="22" spans="1:14" ht="15" x14ac:dyDescent="0.2">
      <c r="A22" s="342" t="s">
        <v>602</v>
      </c>
      <c r="B22" s="341" t="s">
        <v>603</v>
      </c>
      <c r="C22" s="341" t="str">
        <f>IF(OR('I Раздел (Значения)'!C17=0,ISBLANK('I Раздел (Значения)'!C17)),"-",'I Раздел (Значения)'!C17)</f>
        <v>-</v>
      </c>
      <c r="D22" s="341" t="str">
        <f>IF(OR('I Раздел (Значения)'!D17=0,ISBLANK('I Раздел (Значения)'!D17)),"-",'I Раздел (Значения)'!D17)</f>
        <v>-</v>
      </c>
      <c r="E22"/>
      <c r="F22"/>
      <c r="G22"/>
      <c r="H22"/>
    </row>
    <row r="23" spans="1:14" ht="15" x14ac:dyDescent="0.2">
      <c r="A23" s="342" t="s">
        <v>604</v>
      </c>
      <c r="B23" s="341" t="s">
        <v>605</v>
      </c>
      <c r="C23" s="341" t="str">
        <f>IF(OR('I Раздел (Значения)'!C18=0,ISBLANK('I Раздел (Значения)'!C18)),"-",'I Раздел (Значения)'!C18)</f>
        <v>-</v>
      </c>
      <c r="D23" s="341" t="str">
        <f>IF(OR('I Раздел (Значения)'!D18=0,ISBLANK('I Раздел (Значения)'!D18)),"-",'I Раздел (Значения)'!D18)</f>
        <v>-</v>
      </c>
      <c r="E23"/>
      <c r="F23"/>
      <c r="G23"/>
      <c r="H23"/>
    </row>
    <row r="24" spans="1:14" ht="15" x14ac:dyDescent="0.2">
      <c r="A24" s="342" t="s">
        <v>606</v>
      </c>
      <c r="B24" s="341" t="s">
        <v>607</v>
      </c>
      <c r="C24" s="341" t="str">
        <f>IF(OR('I Раздел (Значения)'!C19=0,ISBLANK('I Раздел (Значения)'!C19)),"-",'I Раздел (Значения)'!C19)</f>
        <v>-</v>
      </c>
      <c r="D24" s="341" t="str">
        <f>IF(OR('I Раздел (Значения)'!D19=0,ISBLANK('I Раздел (Значения)'!D19)),"-",'I Раздел (Значения)'!D19)</f>
        <v>-</v>
      </c>
      <c r="E24"/>
      <c r="F24"/>
      <c r="G24"/>
      <c r="H24"/>
    </row>
    <row r="25" spans="1:14" ht="15" x14ac:dyDescent="0.2">
      <c r="A25" s="342" t="s">
        <v>608</v>
      </c>
      <c r="B25" s="341" t="s">
        <v>184</v>
      </c>
      <c r="C25" s="341" t="str">
        <f>IF(OR('I Раздел (Значения)'!C20=0,ISBLANK('I Раздел (Значения)'!C20)),"-",'I Раздел (Значения)'!C20)</f>
        <v>-</v>
      </c>
      <c r="D25" s="341" t="str">
        <f>IF(OR('I Раздел (Значения)'!D20=0,ISBLANK('I Раздел (Значения)'!D20)),"-",'I Раздел (Значения)'!D20)</f>
        <v>-</v>
      </c>
      <c r="E25"/>
      <c r="F25"/>
      <c r="G25"/>
      <c r="H25"/>
    </row>
    <row r="26" spans="1:14" ht="15" x14ac:dyDescent="0.2">
      <c r="A26" s="342" t="s">
        <v>609</v>
      </c>
      <c r="B26" s="341" t="s">
        <v>185</v>
      </c>
      <c r="C26" s="341" t="str">
        <f>IF(OR('I Раздел (Значения)'!C21=0,ISBLANK('I Раздел (Значения)'!C21)),"-",'I Раздел (Значения)'!C21)</f>
        <v>-</v>
      </c>
      <c r="D26" s="341" t="str">
        <f>IF(OR('I Раздел (Значения)'!D21=0,ISBLANK('I Раздел (Значения)'!D21)),"-",'I Раздел (Значения)'!D21)</f>
        <v>-</v>
      </c>
      <c r="E26"/>
      <c r="F26"/>
      <c r="G26"/>
      <c r="H26"/>
    </row>
    <row r="27" spans="1:14" ht="15" x14ac:dyDescent="0.2">
      <c r="A27" s="340" t="s">
        <v>175</v>
      </c>
      <c r="B27" s="341" t="s">
        <v>177</v>
      </c>
      <c r="C27" s="341" t="str">
        <f>IF(OR('I Раздел (Значения)'!C22=0,ISBLANK('I Раздел (Значения)'!C22)),"-",'I Раздел (Значения)'!C22)</f>
        <v>-</v>
      </c>
      <c r="D27" s="341" t="str">
        <f>IF(OR('I Раздел (Значения)'!D22=0,ISBLANK('I Раздел (Значения)'!D22)),"-",'I Раздел (Значения)'!D22)</f>
        <v>-</v>
      </c>
      <c r="E27"/>
      <c r="F27"/>
      <c r="G27"/>
      <c r="H27"/>
    </row>
    <row r="28" spans="1:14" ht="15" x14ac:dyDescent="0.2">
      <c r="A28" s="340" t="s">
        <v>176</v>
      </c>
      <c r="B28" s="341" t="s">
        <v>178</v>
      </c>
      <c r="C28" s="341">
        <f>IF(OR('I Раздел (Значения)'!C23=0,ISBLANK('I Раздел (Значения)'!C23)),"-",'I Раздел (Значения)'!C23)</f>
        <v>196</v>
      </c>
      <c r="D28" s="341">
        <f>IF(OR('I Раздел (Значения)'!D23=0,ISBLANK('I Раздел (Значения)'!D23)),"-",'I Раздел (Значения)'!D23)</f>
        <v>146</v>
      </c>
      <c r="E28"/>
      <c r="F28"/>
      <c r="G28"/>
      <c r="H28"/>
    </row>
    <row r="29" spans="1:14" x14ac:dyDescent="0.2">
      <c r="E29"/>
      <c r="F29"/>
      <c r="G29"/>
      <c r="H29"/>
    </row>
  </sheetData>
  <mergeCells count="3">
    <mergeCell ref="A1:D1"/>
    <mergeCell ref="A2:D2"/>
    <mergeCell ref="C3:D3"/>
  </mergeCells>
  <pageMargins left="0.7" right="0.7" top="0.75" bottom="0.75" header="0.3" footer="0.3"/>
  <pageSetup paperSize="9" orientation="landscape" horizontalDpi="1200" verticalDpi="1200" r:id="rId1"/>
  <ignoredErrors>
    <ignoredError sqref="B7:B28 C5:D5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3"/>
  <sheetViews>
    <sheetView workbookViewId="0">
      <selection activeCell="G18" sqref="G18"/>
    </sheetView>
  </sheetViews>
  <sheetFormatPr defaultRowHeight="12.75" x14ac:dyDescent="0.2"/>
  <cols>
    <col min="1" max="1" width="75.140625" customWidth="1"/>
    <col min="2" max="2" width="5.140625" customWidth="1"/>
    <col min="3" max="3" width="14.5703125" customWidth="1"/>
    <col min="4" max="4" width="17.7109375" customWidth="1"/>
  </cols>
  <sheetData>
    <row r="1" spans="1:8" ht="25.5" x14ac:dyDescent="0.2">
      <c r="A1" s="323" t="s">
        <v>572</v>
      </c>
      <c r="B1" s="324" t="s">
        <v>565</v>
      </c>
      <c r="C1" s="335">
        <f>ROUND(ROUND(GetPatVarnum("s5zf","&amp;a0011"),0)/1000,0)</f>
        <v>8669</v>
      </c>
      <c r="D1" s="335">
        <f>ROUND(ROUND(GetPatVarnum("s5zf","&amp;a0012"),0)/1000,0)</f>
        <v>8178</v>
      </c>
      <c r="H1" s="334"/>
    </row>
    <row r="2" spans="1:8" ht="25.5" x14ac:dyDescent="0.2">
      <c r="A2" s="323" t="s">
        <v>573</v>
      </c>
      <c r="B2" s="324" t="s">
        <v>551</v>
      </c>
      <c r="C2" s="335">
        <f>ROUND(ROUND(GetPatVarnum("s5zf","&amp;a0021"),0)/1000,0)</f>
        <v>7536</v>
      </c>
      <c r="D2" s="335">
        <f>ROUND(ROUND(GetPatVarnum("s5zf","&amp;a0022"),0)/1000,0)</f>
        <v>7500</v>
      </c>
      <c r="H2" s="334"/>
    </row>
    <row r="3" spans="1:8" x14ac:dyDescent="0.2">
      <c r="A3" s="323" t="s">
        <v>574</v>
      </c>
      <c r="B3" s="324" t="s">
        <v>575</v>
      </c>
      <c r="C3" s="335">
        <f>ROUND(ROUND(GetPatVarnum("s5zf","&amp;a0031"),0)/1000,0)</f>
        <v>2583</v>
      </c>
      <c r="D3" s="335">
        <f>ROUND(ROUND(GetPatVarnum("s5zf","&amp;a0032"),0)/1000,0)</f>
        <v>2607</v>
      </c>
      <c r="H3" s="334"/>
    </row>
    <row r="4" spans="1:8" x14ac:dyDescent="0.2">
      <c r="A4" s="323" t="s">
        <v>576</v>
      </c>
      <c r="B4" s="324" t="s">
        <v>577</v>
      </c>
      <c r="C4" s="335">
        <f>ROUND(ROUND(GetPatVarnum("s5zf","&amp;a0041"),0)/1000,0)</f>
        <v>95</v>
      </c>
      <c r="D4" s="335">
        <f>ROUND(ROUND(GetPatVarnum("s5zf","&amp;a0042"),0)/1000,0)</f>
        <v>105</v>
      </c>
      <c r="H4" s="334"/>
    </row>
    <row r="5" spans="1:8" x14ac:dyDescent="0.2">
      <c r="A5" s="323" t="s">
        <v>578</v>
      </c>
      <c r="B5" s="324" t="s">
        <v>579</v>
      </c>
      <c r="C5" s="335">
        <f>ROUND(ROUND(GetPatVarnum("s5zf","&amp;a0051"),0)/1000,0)</f>
        <v>76</v>
      </c>
      <c r="D5" s="335">
        <f>ROUND(ROUND(GetPatVarnum("s5zf","&amp;a0052"),0)/1000,0)</f>
        <v>65</v>
      </c>
      <c r="H5" s="334"/>
    </row>
    <row r="6" spans="1:8" x14ac:dyDescent="0.2">
      <c r="A6" s="323" t="s">
        <v>580</v>
      </c>
      <c r="B6" s="324" t="s">
        <v>581</v>
      </c>
      <c r="C6" s="335">
        <f>ROUND(ROUND(GetPatVarnum("s5zf","&amp;a0061"),0)/1000,0)</f>
        <v>83</v>
      </c>
      <c r="D6" s="335">
        <f>ROUND(ROUND(GetPatVarnum("s5zf","&amp;a0062"),0)/1000,0)</f>
        <v>68</v>
      </c>
      <c r="H6" s="334"/>
    </row>
    <row r="7" spans="1:8" x14ac:dyDescent="0.2">
      <c r="A7" s="323" t="s">
        <v>582</v>
      </c>
      <c r="B7" s="324" t="s">
        <v>583</v>
      </c>
      <c r="C7" s="335">
        <f>ROUND(ROUND(GetPatVarnum("s5zf","&amp;a0071"),0)/1000,0)</f>
        <v>0</v>
      </c>
      <c r="D7" s="335">
        <f>ROUND(ROUND(GetPatVarnum("s5zf","&amp;a0072"),0)/1000,0)</f>
        <v>0</v>
      </c>
      <c r="H7" s="334"/>
    </row>
    <row r="8" spans="1:8" x14ac:dyDescent="0.2">
      <c r="A8" s="323" t="s">
        <v>585</v>
      </c>
      <c r="B8" s="324" t="s">
        <v>584</v>
      </c>
      <c r="C8" s="335">
        <f>ROUND(ROUND(GetPatVarnum("s5zf","&amp;a0081"),0)/1000,0)</f>
        <v>1620</v>
      </c>
      <c r="D8" s="335">
        <f>ROUND(ROUND(GetPatVarnum("s5zf","&amp;a0082"),0)/1000,0)</f>
        <v>1637</v>
      </c>
      <c r="H8" s="334"/>
    </row>
    <row r="9" spans="1:8" x14ac:dyDescent="0.2">
      <c r="A9" s="323" t="s">
        <v>586</v>
      </c>
      <c r="B9" s="324" t="s">
        <v>587</v>
      </c>
      <c r="C9" s="335">
        <f>ROUND(ROUND(GetPatVarnum("s5zf","&amp;a0091"),0)/1000,0)</f>
        <v>155</v>
      </c>
      <c r="D9" s="335">
        <f>ROUND(ROUND(GetPatVarnum("s5zf","&amp;a0092"),0)/1000,0)</f>
        <v>190</v>
      </c>
      <c r="H9" s="334"/>
    </row>
    <row r="10" spans="1:8" x14ac:dyDescent="0.2">
      <c r="A10" s="323" t="s">
        <v>588</v>
      </c>
      <c r="B10" s="324" t="s">
        <v>589</v>
      </c>
      <c r="C10" s="335">
        <f>ROUND(ROUND(GetPatVarnum("s5zf","&amp;a0101"),0)/1000,0)</f>
        <v>1666</v>
      </c>
      <c r="D10" s="335">
        <f>ROUND(ROUND(GetPatVarnum("s5zf","&amp;a0102"),0)/1000,0)</f>
        <v>1453</v>
      </c>
      <c r="H10" s="334"/>
    </row>
    <row r="11" spans="1:8" x14ac:dyDescent="0.2">
      <c r="A11" s="323" t="s">
        <v>590</v>
      </c>
      <c r="B11" s="324" t="s">
        <v>591</v>
      </c>
      <c r="C11" s="335">
        <f>ROUND(ROUND(GetPatVarnum("s5zf","&amp;a0111"),0)/1000,0)</f>
        <v>557</v>
      </c>
      <c r="D11" s="335">
        <f>ROUND(ROUND(GetPatVarnum("s5zf","&amp;a0112"),0)/1000,0)</f>
        <v>545</v>
      </c>
      <c r="H11" s="334"/>
    </row>
    <row r="12" spans="1:8" ht="25.5" x14ac:dyDescent="0.2">
      <c r="A12" s="323" t="s">
        <v>592</v>
      </c>
      <c r="B12" s="324" t="s">
        <v>593</v>
      </c>
      <c r="C12" s="335">
        <f>ROUND(ROUND(GetPatVarnum("s5zf","&amp;a0121"),0)/1000,0)</f>
        <v>1984</v>
      </c>
      <c r="D12" s="335">
        <f>ROUND(ROUND(GetPatVarnum("s5zf","&amp;a0122"),0)/1000,0)</f>
        <v>2132</v>
      </c>
      <c r="H12" s="334"/>
    </row>
    <row r="13" spans="1:8" x14ac:dyDescent="0.2">
      <c r="A13" s="323" t="s">
        <v>594</v>
      </c>
      <c r="B13" s="324" t="s">
        <v>595</v>
      </c>
      <c r="C13" s="335">
        <f>ROUND(ROUND(GetPatVarnum("s5zf","&amp;a0131"),0)/1000,0)</f>
        <v>1973</v>
      </c>
      <c r="D13" s="335">
        <f>ROUND(ROUND(GetPatVarnum("s5zf","&amp;a0132"),0)/1000,0)</f>
        <v>2120</v>
      </c>
      <c r="H13" s="334"/>
    </row>
    <row r="14" spans="1:8" x14ac:dyDescent="0.2">
      <c r="A14" s="323" t="s">
        <v>596</v>
      </c>
      <c r="B14" s="324" t="s">
        <v>597</v>
      </c>
      <c r="C14" s="335">
        <f>ROUND(ROUND(GetPatVarnum("s5zf","&amp;a0141"),0)/1000,0)</f>
        <v>11</v>
      </c>
      <c r="D14" s="335">
        <f>ROUND(ROUND(GetPatVarnum("s5zf","&amp;a0142"),0)/1000,0)</f>
        <v>11</v>
      </c>
      <c r="H14" s="334"/>
    </row>
    <row r="15" spans="1:8" x14ac:dyDescent="0.2">
      <c r="A15" s="323" t="s">
        <v>598</v>
      </c>
      <c r="B15" s="324" t="s">
        <v>599</v>
      </c>
      <c r="C15" s="335">
        <f>ROUND(ROUND(GetPatVarnum("s5zf","&amp;a0151"),0)/1000,0)</f>
        <v>746</v>
      </c>
      <c r="D15" s="335">
        <f>ROUND(ROUND(GetPatVarnum("s5zf","&amp;a0152"),0)/1000,0)</f>
        <v>764</v>
      </c>
      <c r="H15" s="334"/>
    </row>
    <row r="16" spans="1:8" x14ac:dyDescent="0.2">
      <c r="A16" s="323" t="s">
        <v>600</v>
      </c>
      <c r="B16" s="324" t="s">
        <v>601</v>
      </c>
      <c r="C16" s="335">
        <f>ROUND(ROUND(GetPatVarnum("s5zf","&amp;a0161"),0)/1000,0)</f>
        <v>0</v>
      </c>
      <c r="D16" s="335">
        <f>ROUND(ROUND(GetPatVarnum("s5zf","&amp;a0162"),0)/1000,0)</f>
        <v>0</v>
      </c>
      <c r="H16" s="334"/>
    </row>
    <row r="17" spans="1:8" x14ac:dyDescent="0.2">
      <c r="A17" s="323" t="s">
        <v>602</v>
      </c>
      <c r="B17" s="324" t="s">
        <v>603</v>
      </c>
      <c r="C17" s="335">
        <f>ROUND(ROUND(GetPatVarnum("s5zf","&amp;a0171"),0)/1000,0)</f>
        <v>0</v>
      </c>
      <c r="D17" s="335">
        <f>ROUND(ROUND(GetPatVarnum("s5zf","&amp;a0172"),0)/1000,0)</f>
        <v>0</v>
      </c>
      <c r="H17" s="334"/>
    </row>
    <row r="18" spans="1:8" x14ac:dyDescent="0.2">
      <c r="A18" s="323" t="s">
        <v>604</v>
      </c>
      <c r="B18" s="324" t="s">
        <v>605</v>
      </c>
      <c r="C18" s="335">
        <f>ROUND(ROUND(GetPatVarnum("s5zf","&amp;a0181"),0)/1000,0)</f>
        <v>0</v>
      </c>
      <c r="D18" s="335">
        <f>ROUND(ROUND(GetPatVarnum("s5zf","&amp;a0182"),0)/1000,0)</f>
        <v>0</v>
      </c>
      <c r="H18" s="334"/>
    </row>
    <row r="19" spans="1:8" x14ac:dyDescent="0.2">
      <c r="A19" s="323" t="s">
        <v>606</v>
      </c>
      <c r="B19" s="324" t="s">
        <v>607</v>
      </c>
      <c r="C19" s="335">
        <f>ROUND(ROUND(GetPatVarnum("s5zf","&amp;a0191"),0)/1000,0)</f>
        <v>0</v>
      </c>
      <c r="D19" s="335">
        <f>ROUND(ROUND(GetPatVarnum("s5zf","&amp;a0192"),0)/1000,0)</f>
        <v>0</v>
      </c>
      <c r="H19" s="334"/>
    </row>
    <row r="20" spans="1:8" x14ac:dyDescent="0.2">
      <c r="A20" s="323" t="s">
        <v>608</v>
      </c>
      <c r="B20" s="324" t="s">
        <v>184</v>
      </c>
      <c r="C20" s="335">
        <f>ROUND(ROUND(GetPatVarnum("s5zf","&amp;a2011"),0)/1000,0)</f>
        <v>0</v>
      </c>
      <c r="D20" s="335">
        <f>ROUND(ROUND(GetPatVarnum("s5zf","&amp;a2012"),0)/1000,0)</f>
        <v>0</v>
      </c>
      <c r="H20" s="334"/>
    </row>
    <row r="21" spans="1:8" x14ac:dyDescent="0.2">
      <c r="A21" s="323" t="s">
        <v>609</v>
      </c>
      <c r="B21" s="324" t="s">
        <v>185</v>
      </c>
      <c r="C21" s="335">
        <f>ROUND(ROUND(GetPatVarnum("s5zf","&amp;a2021"),0)/1000,0)</f>
        <v>0</v>
      </c>
      <c r="D21" s="335">
        <f>ROUND(ROUND(GetPatVarnum("s5zf","&amp;a2022"),0)/1000,0)</f>
        <v>0</v>
      </c>
      <c r="H21" s="334"/>
    </row>
    <row r="22" spans="1:8" x14ac:dyDescent="0.2">
      <c r="A22" s="323" t="s">
        <v>175</v>
      </c>
      <c r="B22" s="324" t="s">
        <v>177</v>
      </c>
      <c r="C22" s="335">
        <f>ROUND(ROUND(GetPatVarnum("s5zf","&amp;a2031"),0)/1000,0)</f>
        <v>0</v>
      </c>
      <c r="D22" s="335">
        <f>ROUND(ROUND(GetPatVarnum("s5zf","&amp;a2032"),0)/1000,0)</f>
        <v>0</v>
      </c>
      <c r="H22" s="334"/>
    </row>
    <row r="23" spans="1:8" x14ac:dyDescent="0.2">
      <c r="A23" s="323" t="s">
        <v>176</v>
      </c>
      <c r="B23" s="324" t="s">
        <v>178</v>
      </c>
      <c r="C23" s="335">
        <f>ROUND(ROUND(GetPatVarnum("s5zf","&amp;a2151"),0)/1000,0)</f>
        <v>196</v>
      </c>
      <c r="D23" s="335">
        <f>ROUND(ROUND(GetPatVarnum("s5zf","&amp;a2152"),0)/1000,0)</f>
        <v>146</v>
      </c>
      <c r="H23" s="334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98"/>
  <sheetViews>
    <sheetView tabSelected="1" view="pageLayout" zoomScaleNormal="100" workbookViewId="0">
      <selection activeCell="D15" sqref="D15"/>
    </sheetView>
  </sheetViews>
  <sheetFormatPr defaultRowHeight="12.75" x14ac:dyDescent="0.2"/>
  <cols>
    <col min="1" max="1" width="94.85546875" style="326" customWidth="1"/>
    <col min="2" max="2" width="6.140625" style="326" customWidth="1"/>
    <col min="3" max="3" width="10" style="326" customWidth="1"/>
    <col min="4" max="4" width="18.7109375" style="326" customWidth="1"/>
    <col min="5" max="16384" width="9.140625" style="326"/>
  </cols>
  <sheetData>
    <row r="1" spans="1:8" x14ac:dyDescent="0.2">
      <c r="A1" s="385" t="s">
        <v>719</v>
      </c>
      <c r="B1" s="361"/>
      <c r="C1" s="361"/>
      <c r="D1" s="361"/>
      <c r="E1"/>
      <c r="F1" s="330"/>
    </row>
    <row r="2" spans="1:8" ht="31.5" customHeight="1" x14ac:dyDescent="0.2">
      <c r="A2" s="385" t="s">
        <v>720</v>
      </c>
      <c r="B2" s="386"/>
      <c r="C2" s="386"/>
      <c r="D2" s="386"/>
      <c r="E2"/>
    </row>
    <row r="3" spans="1:8" ht="14.25" x14ac:dyDescent="0.2">
      <c r="A3" s="327" t="s">
        <v>721</v>
      </c>
      <c r="C3" s="387" t="s">
        <v>569</v>
      </c>
      <c r="D3" s="361"/>
      <c r="E3"/>
    </row>
    <row r="4" spans="1:8" ht="30" x14ac:dyDescent="0.2">
      <c r="A4" s="328" t="s">
        <v>40</v>
      </c>
      <c r="B4" s="329" t="s">
        <v>570</v>
      </c>
      <c r="C4" s="329" t="s">
        <v>239</v>
      </c>
      <c r="D4" s="329" t="s">
        <v>812</v>
      </c>
      <c r="E4"/>
    </row>
    <row r="5" spans="1:8" ht="15" x14ac:dyDescent="0.2">
      <c r="A5" s="328" t="s">
        <v>571</v>
      </c>
      <c r="B5" s="329" t="s">
        <v>35</v>
      </c>
      <c r="C5" s="331">
        <v>1</v>
      </c>
      <c r="D5" s="331">
        <v>2</v>
      </c>
      <c r="E5"/>
      <c r="F5"/>
      <c r="G5"/>
      <c r="H5"/>
    </row>
    <row r="6" spans="1:8" ht="30" x14ac:dyDescent="0.2">
      <c r="A6" s="328" t="s">
        <v>572</v>
      </c>
      <c r="B6" s="350" t="s">
        <v>722</v>
      </c>
      <c r="C6" s="352">
        <f>IF(OR('II Раздел (Значения)'!C1=0,ISBLANK('II Раздел (Значения)'!C1)),"-",'II Раздел (Значения)'!C1)</f>
        <v>8655</v>
      </c>
      <c r="D6" s="352">
        <f>IF(OR('II Раздел (Значения)'!D1=0,ISBLANK('II Раздел (Значения)'!D1)),"-",'II Раздел (Значения)'!D1)</f>
        <v>8655</v>
      </c>
      <c r="E6"/>
      <c r="F6"/>
      <c r="G6"/>
      <c r="H6"/>
    </row>
    <row r="7" spans="1:8" ht="30" x14ac:dyDescent="0.2">
      <c r="A7" s="328" t="s">
        <v>723</v>
      </c>
      <c r="B7" s="350" t="s">
        <v>724</v>
      </c>
      <c r="C7" s="352">
        <f>IF(OR('II Раздел (Значения)'!C2=0,ISBLANK('II Раздел (Значения)'!C2)),"-",'II Раздел (Значения)'!C2)</f>
        <v>7524</v>
      </c>
      <c r="D7" s="352">
        <f>IF(OR('II Раздел (Значения)'!D2=0,ISBLANK('II Раздел (Значения)'!D2)),"-",'II Раздел (Значения)'!D2)</f>
        <v>7524</v>
      </c>
      <c r="E7"/>
      <c r="F7"/>
      <c r="G7"/>
      <c r="H7"/>
    </row>
    <row r="8" spans="1:8" ht="15" x14ac:dyDescent="0.2">
      <c r="A8" s="346" t="s">
        <v>725</v>
      </c>
      <c r="B8" s="350" t="s">
        <v>726</v>
      </c>
      <c r="C8" s="352">
        <f>IF(OR('II Раздел (Значения)'!C3=0,ISBLANK('II Раздел (Значения)'!C3)),"-",'II Раздел (Значения)'!C3)</f>
        <v>2579</v>
      </c>
      <c r="D8" s="352">
        <f>IF(OR('II Раздел (Значения)'!D3=0,ISBLANK('II Раздел (Значения)'!D3)),"-",'II Раздел (Значения)'!D3)</f>
        <v>2579</v>
      </c>
      <c r="E8"/>
      <c r="F8"/>
      <c r="G8"/>
      <c r="H8"/>
    </row>
    <row r="9" spans="1:8" ht="15" x14ac:dyDescent="0.2">
      <c r="A9" s="347" t="s">
        <v>727</v>
      </c>
      <c r="B9" s="350" t="s">
        <v>728</v>
      </c>
      <c r="C9" s="352">
        <f>IF(OR('II Раздел (Значения)'!C4=0,ISBLANK('II Раздел (Значения)'!C4)),"-",'II Раздел (Значения)'!C4)</f>
        <v>94</v>
      </c>
      <c r="D9" s="352">
        <f>IF(OR('II Раздел (Значения)'!D4=0,ISBLANK('II Раздел (Значения)'!D4)),"-",'II Раздел (Значения)'!D4)</f>
        <v>94</v>
      </c>
      <c r="E9"/>
      <c r="F9"/>
      <c r="G9"/>
      <c r="H9"/>
    </row>
    <row r="10" spans="1:8" ht="15" x14ac:dyDescent="0.2">
      <c r="A10" s="347" t="s">
        <v>729</v>
      </c>
      <c r="B10" s="350" t="s">
        <v>730</v>
      </c>
      <c r="C10" s="352" t="str">
        <f>IF(OR('II Раздел (Значения)'!C5=0,ISBLANK('II Раздел (Значения)'!C5)),"-",'II Раздел (Значения)'!C5)</f>
        <v>-</v>
      </c>
      <c r="D10" s="352" t="str">
        <f>IF(OR('II Раздел (Значения)'!D5=0,ISBLANK('II Раздел (Значения)'!D5)),"-",'II Раздел (Значения)'!D5)</f>
        <v>-</v>
      </c>
      <c r="E10"/>
      <c r="F10"/>
      <c r="G10"/>
      <c r="H10"/>
    </row>
    <row r="11" spans="1:8" ht="15" x14ac:dyDescent="0.2">
      <c r="A11" s="347" t="s">
        <v>731</v>
      </c>
      <c r="B11" s="350" t="s">
        <v>732</v>
      </c>
      <c r="C11" s="352">
        <f>IF(OR('II Раздел (Значения)'!C6=0,ISBLANK('II Раздел (Значения)'!C6)),"-",'II Раздел (Значения)'!C6)</f>
        <v>82</v>
      </c>
      <c r="D11" s="352">
        <f>IF(OR('II Раздел (Значения)'!D6=0,ISBLANK('II Раздел (Значения)'!D6)),"-",'II Раздел (Значения)'!D6)</f>
        <v>82</v>
      </c>
      <c r="E11"/>
      <c r="F11"/>
      <c r="G11"/>
      <c r="H11"/>
    </row>
    <row r="12" spans="1:8" ht="15" x14ac:dyDescent="0.2">
      <c r="A12" s="348" t="s">
        <v>733</v>
      </c>
      <c r="B12" s="350" t="s">
        <v>734</v>
      </c>
      <c r="C12" s="352" t="str">
        <f>IF(OR('II Раздел (Значения)'!C7=0,ISBLANK('II Раздел (Значения)'!C7)),"-",'II Раздел (Значения)'!C7)</f>
        <v>-</v>
      </c>
      <c r="D12" s="352" t="str">
        <f>IF(OR('II Раздел (Значения)'!D7=0,ISBLANK('II Раздел (Значения)'!D7)),"-",'II Раздел (Значения)'!D7)</f>
        <v>-</v>
      </c>
      <c r="E12"/>
      <c r="F12"/>
      <c r="G12"/>
      <c r="H12"/>
    </row>
    <row r="13" spans="1:8" ht="15" x14ac:dyDescent="0.2">
      <c r="A13" s="348" t="s">
        <v>735</v>
      </c>
      <c r="B13" s="350" t="s">
        <v>736</v>
      </c>
      <c r="C13" s="352">
        <f>IF(OR('II Раздел (Значения)'!C8=0,ISBLANK('II Раздел (Значения)'!C8)),"-",'II Раздел (Значения)'!C8)</f>
        <v>18</v>
      </c>
      <c r="D13" s="352">
        <f>IF(OR('II Раздел (Значения)'!D8=0,ISBLANK('II Раздел (Значения)'!D8)),"-",'II Раздел (Значения)'!D8)</f>
        <v>18</v>
      </c>
      <c r="E13"/>
      <c r="F13"/>
      <c r="G13"/>
      <c r="H13"/>
    </row>
    <row r="14" spans="1:8" ht="17.25" customHeight="1" x14ac:dyDescent="0.2">
      <c r="A14" s="348" t="s">
        <v>814</v>
      </c>
      <c r="B14" s="350" t="s">
        <v>245</v>
      </c>
      <c r="C14" s="352">
        <f>IF(OR('II Раздел (Значения)'!C9=0,ISBLANK('II Раздел (Значения)'!C9)),"-",'II Раздел (Значения)'!C9)</f>
        <v>16</v>
      </c>
      <c r="D14" s="352">
        <f>IF(OR('II Раздел (Значения)'!D9=0,ISBLANK('II Раздел (Значения)'!D9)),"-",'II Раздел (Значения)'!D9)</f>
        <v>16</v>
      </c>
      <c r="E14"/>
      <c r="F14"/>
      <c r="G14"/>
      <c r="H14"/>
    </row>
    <row r="15" spans="1:8" ht="15" x14ac:dyDescent="0.2">
      <c r="A15" s="348" t="s">
        <v>738</v>
      </c>
      <c r="B15" s="350" t="s">
        <v>739</v>
      </c>
      <c r="C15" s="352" t="str">
        <f>IF(OR('II Раздел (Значения)'!C10=0,ISBLANK('II Раздел (Значения)'!C10)),"-",'II Раздел (Значения)'!C10)</f>
        <v>-</v>
      </c>
      <c r="D15" s="352" t="str">
        <f>IF(OR('II Раздел (Значения)'!D10=0,ISBLANK('II Раздел (Значения)'!D10)),"-",'II Раздел (Значения)'!D10)</f>
        <v>-</v>
      </c>
      <c r="E15"/>
      <c r="F15"/>
      <c r="G15"/>
      <c r="H15"/>
    </row>
    <row r="16" spans="1:8" ht="15" x14ac:dyDescent="0.2">
      <c r="A16" s="348" t="s">
        <v>740</v>
      </c>
      <c r="B16" s="350" t="s">
        <v>741</v>
      </c>
      <c r="C16" s="352">
        <f>IF(OR('II Раздел (Значения)'!C11=0,ISBLANK('II Раздел (Значения)'!C11)),"-",'II Раздел (Значения)'!C11)</f>
        <v>33</v>
      </c>
      <c r="D16" s="352">
        <f>IF(OR('II Раздел (Значения)'!D11=0,ISBLANK('II Раздел (Значения)'!D11)),"-",'II Раздел (Значения)'!D11)</f>
        <v>33</v>
      </c>
      <c r="E16"/>
      <c r="F16"/>
      <c r="G16"/>
      <c r="H16"/>
    </row>
    <row r="17" spans="1:8" ht="15" x14ac:dyDescent="0.2">
      <c r="A17" s="347" t="s">
        <v>580</v>
      </c>
      <c r="B17" s="350" t="s">
        <v>743</v>
      </c>
      <c r="C17" s="352">
        <f>IF(OR('II Раздел (Значения)'!C12=0,ISBLANK('II Раздел (Значения)'!C12)),"-",'II Раздел (Значения)'!C12)</f>
        <v>83</v>
      </c>
      <c r="D17" s="352">
        <f>IF(OR('II Раздел (Значения)'!D12=0,ISBLANK('II Раздел (Значения)'!D12)),"-",'II Раздел (Значения)'!D12)</f>
        <v>83</v>
      </c>
      <c r="E17"/>
      <c r="F17"/>
      <c r="G17"/>
      <c r="H17"/>
    </row>
    <row r="18" spans="1:8" ht="15" x14ac:dyDescent="0.2">
      <c r="A18" s="347" t="s">
        <v>585</v>
      </c>
      <c r="B18" s="350" t="s">
        <v>744</v>
      </c>
      <c r="C18" s="352">
        <f>IF(OR('II Раздел (Значения)'!C13=0,ISBLANK('II Раздел (Значения)'!C13)),"-",'II Раздел (Значения)'!C13)</f>
        <v>1617</v>
      </c>
      <c r="D18" s="352">
        <f>IF(OR('II Раздел (Значения)'!D13=0,ISBLANK('II Раздел (Значения)'!D13)),"-",'II Раздел (Значения)'!D13)</f>
        <v>1617</v>
      </c>
      <c r="E18"/>
      <c r="F18"/>
      <c r="G18"/>
      <c r="H18"/>
    </row>
    <row r="19" spans="1:8" ht="15" x14ac:dyDescent="0.2">
      <c r="A19" s="347" t="s">
        <v>586</v>
      </c>
      <c r="B19" s="350" t="s">
        <v>745</v>
      </c>
      <c r="C19" s="352">
        <f>IF(OR('II Раздел (Значения)'!C14=0,ISBLANK('II Раздел (Значения)'!C14)),"-",'II Раздел (Значения)'!C14)</f>
        <v>154</v>
      </c>
      <c r="D19" s="352">
        <f>IF(OR('II Раздел (Значения)'!D14=0,ISBLANK('II Раздел (Значения)'!D14)),"-",'II Раздел (Значения)'!D14)</f>
        <v>154</v>
      </c>
      <c r="E19"/>
      <c r="F19"/>
      <c r="G19"/>
      <c r="H19"/>
    </row>
    <row r="20" spans="1:8" ht="15" x14ac:dyDescent="0.2">
      <c r="A20" s="347" t="s">
        <v>746</v>
      </c>
      <c r="B20" s="350" t="s">
        <v>747</v>
      </c>
      <c r="C20" s="352">
        <f>IF(OR('II Раздел (Значения)'!C15=0,ISBLANK('II Раздел (Значения)'!C15)),"-",'II Раздел (Значения)'!C15)</f>
        <v>548</v>
      </c>
      <c r="D20" s="352">
        <f>IF(OR('II Раздел (Значения)'!D15=0,ISBLANK('II Раздел (Значения)'!D15)),"-",'II Раздел (Значения)'!D15)</f>
        <v>548</v>
      </c>
      <c r="E20"/>
      <c r="F20"/>
      <c r="G20"/>
      <c r="H20"/>
    </row>
    <row r="21" spans="1:8" ht="15" x14ac:dyDescent="0.2">
      <c r="A21" s="348" t="s">
        <v>748</v>
      </c>
      <c r="B21" s="350" t="s">
        <v>679</v>
      </c>
      <c r="C21" s="352" t="str">
        <f>IF(OR('II Раздел (Значения)'!C16=0,ISBLANK('II Раздел (Значения)'!C16)),"-",'II Раздел (Значения)'!C16)</f>
        <v>-</v>
      </c>
      <c r="D21" s="352" t="str">
        <f>IF(OR('II Раздел (Значения)'!D16=0,ISBLANK('II Раздел (Значения)'!D16)),"-",'II Раздел (Значения)'!D16)</f>
        <v>-</v>
      </c>
      <c r="E21"/>
      <c r="F21"/>
      <c r="G21"/>
      <c r="H21"/>
    </row>
    <row r="22" spans="1:8" ht="15" x14ac:dyDescent="0.2">
      <c r="A22" s="348" t="s">
        <v>749</v>
      </c>
      <c r="B22" s="350" t="s">
        <v>750</v>
      </c>
      <c r="C22" s="352">
        <f>IF(OR('II Раздел (Значения)'!C17=0,ISBLANK('II Раздел (Значения)'!C17)),"-",'II Раздел (Значения)'!C17)</f>
        <v>522</v>
      </c>
      <c r="D22" s="352">
        <f>IF(OR('II Раздел (Значения)'!D17=0,ISBLANK('II Раздел (Значения)'!D17)),"-",'II Раздел (Значения)'!D17)</f>
        <v>522</v>
      </c>
      <c r="E22"/>
      <c r="F22"/>
      <c r="G22"/>
      <c r="H22"/>
    </row>
    <row r="23" spans="1:8" ht="15" x14ac:dyDescent="0.2">
      <c r="A23" s="347" t="s">
        <v>588</v>
      </c>
      <c r="B23" s="350" t="s">
        <v>751</v>
      </c>
      <c r="C23" s="352">
        <f>IF(OR('II Раздел (Значения)'!C18=0,ISBLANK('II Раздел (Значения)'!C18)),"-",'II Раздел (Значения)'!C18)</f>
        <v>1663</v>
      </c>
      <c r="D23" s="352">
        <f>IF(OR('II Раздел (Значения)'!D18=0,ISBLANK('II Раздел (Значения)'!D18)),"-",'II Раздел (Значения)'!D18)</f>
        <v>1663</v>
      </c>
      <c r="E23"/>
      <c r="F23"/>
      <c r="G23"/>
      <c r="H23"/>
    </row>
    <row r="24" spans="1:8" ht="15" x14ac:dyDescent="0.2">
      <c r="A24" s="348" t="s">
        <v>752</v>
      </c>
      <c r="B24" s="350" t="s">
        <v>753</v>
      </c>
      <c r="C24" s="352" t="str">
        <f>IF(OR('II Раздел (Значения)'!C19=0,ISBLANK('II Раздел (Значения)'!C19)),"-",'II Раздел (Значения)'!C19)</f>
        <v>-</v>
      </c>
      <c r="D24" s="352" t="str">
        <f>IF(OR('II Раздел (Значения)'!D19=0,ISBLANK('II Раздел (Значения)'!D19)),"-",'II Раздел (Значения)'!D19)</f>
        <v>-</v>
      </c>
      <c r="E24"/>
      <c r="F24"/>
      <c r="G24"/>
      <c r="H24"/>
    </row>
    <row r="25" spans="1:8" ht="15" x14ac:dyDescent="0.2">
      <c r="A25" s="347" t="s">
        <v>590</v>
      </c>
      <c r="B25" s="350" t="s">
        <v>754</v>
      </c>
      <c r="C25" s="352">
        <f>IF(OR('II Раздел (Значения)'!C20=0,ISBLANK('II Раздел (Значения)'!C20)),"-",'II Раздел (Значения)'!C20)</f>
        <v>556</v>
      </c>
      <c r="D25" s="352">
        <f>IF(OR('II Раздел (Значения)'!D20=0,ISBLANK('II Раздел (Значения)'!D20)),"-",'II Раздел (Значения)'!D20)</f>
        <v>556</v>
      </c>
      <c r="E25"/>
      <c r="F25"/>
      <c r="G25"/>
      <c r="H25"/>
    </row>
    <row r="26" spans="1:8" ht="30" x14ac:dyDescent="0.2">
      <c r="A26" s="347" t="s">
        <v>755</v>
      </c>
      <c r="B26" s="350" t="s">
        <v>742</v>
      </c>
      <c r="C26" s="352">
        <f>IF(OR('II Раздел (Значения)'!C21=0,ISBLANK('II Раздел (Значения)'!C21)),"-",'II Раздел (Значения)'!C21)</f>
        <v>1981</v>
      </c>
      <c r="D26" s="352">
        <f>IF(OR('II Раздел (Значения)'!D21=0,ISBLANK('II Раздел (Значения)'!D21)),"-",'II Раздел (Значения)'!D21)</f>
        <v>1981</v>
      </c>
      <c r="E26"/>
      <c r="F26"/>
      <c r="G26"/>
      <c r="H26"/>
    </row>
    <row r="27" spans="1:8" ht="15" x14ac:dyDescent="0.2">
      <c r="A27" s="347" t="s">
        <v>756</v>
      </c>
      <c r="B27" s="350" t="s">
        <v>757</v>
      </c>
      <c r="C27" s="352">
        <f>IF(OR('II Раздел (Значения)'!C22=0,ISBLANK('II Раздел (Значения)'!C22)),"-",'II Раздел (Значения)'!C22)</f>
        <v>745</v>
      </c>
      <c r="D27" s="352">
        <f>IF(OR('II Раздел (Значения)'!D22=0,ISBLANK('II Раздел (Значения)'!D22)),"-",'II Раздел (Значения)'!D22)</f>
        <v>745</v>
      </c>
      <c r="E27"/>
      <c r="F27"/>
      <c r="G27"/>
      <c r="H27"/>
    </row>
    <row r="28" spans="1:8" ht="15" x14ac:dyDescent="0.2">
      <c r="A28" s="348" t="s">
        <v>758</v>
      </c>
      <c r="B28" s="350" t="s">
        <v>759</v>
      </c>
      <c r="C28" s="352">
        <f>IF(OR('II Раздел (Значения)'!C23=0,ISBLANK('II Раздел (Значения)'!C23)),"-",'II Раздел (Значения)'!C23)</f>
        <v>28</v>
      </c>
      <c r="D28" s="352">
        <f>IF(OR('II Раздел (Значения)'!D23=0,ISBLANK('II Раздел (Значения)'!D23)),"-",'II Раздел (Значения)'!D23)</f>
        <v>28</v>
      </c>
      <c r="E28"/>
      <c r="F28"/>
      <c r="G28"/>
      <c r="H28"/>
    </row>
    <row r="29" spans="1:8" ht="15" x14ac:dyDescent="0.2">
      <c r="A29" s="349" t="s">
        <v>760</v>
      </c>
      <c r="B29" s="350" t="s">
        <v>238</v>
      </c>
      <c r="C29" s="352">
        <f>IF(OR('II Раздел (Значения)'!C24=0,ISBLANK('II Раздел (Значения)'!C24)),"-",'II Раздел (Значения)'!C24)</f>
        <v>27</v>
      </c>
      <c r="D29" s="352">
        <f>IF(OR('II Раздел (Значения)'!D24=0,ISBLANK('II Раздел (Значения)'!D24)),"-",'II Раздел (Значения)'!D24)</f>
        <v>27</v>
      </c>
      <c r="E29"/>
      <c r="F29"/>
      <c r="G29"/>
      <c r="H29"/>
    </row>
    <row r="30" spans="1:8" ht="15" x14ac:dyDescent="0.2">
      <c r="A30" s="328" t="s">
        <v>761</v>
      </c>
      <c r="B30" s="350" t="s">
        <v>762</v>
      </c>
      <c r="C30" s="352" t="str">
        <f>IF(OR('II Раздел (Значения)'!C25=0,ISBLANK('II Раздел (Значения)'!C25)),"-",'II Раздел (Значения)'!C25)</f>
        <v>-</v>
      </c>
      <c r="D30" s="352" t="str">
        <f>IF(OR('II Раздел (Значения)'!D25=0,ISBLANK('II Раздел (Значения)'!D25)),"-",'II Раздел (Значения)'!D25)</f>
        <v>-</v>
      </c>
      <c r="E30"/>
      <c r="F30"/>
      <c r="G30"/>
      <c r="H30"/>
    </row>
    <row r="31" spans="1:8" ht="15" x14ac:dyDescent="0.2">
      <c r="A31" s="348" t="s">
        <v>763</v>
      </c>
      <c r="B31" s="350" t="s">
        <v>764</v>
      </c>
      <c r="C31" s="352">
        <f>IF(OR('II Раздел (Значения)'!C26=0,ISBLANK('II Раздел (Значения)'!C26)),"-",'II Раздел (Значения)'!C26)</f>
        <v>4</v>
      </c>
      <c r="D31" s="352">
        <f>IF(OR('II Раздел (Значения)'!D26=0,ISBLANK('II Раздел (Значения)'!D26)),"-",'II Раздел (Значения)'!D26)</f>
        <v>4</v>
      </c>
      <c r="E31"/>
      <c r="F31"/>
      <c r="G31"/>
      <c r="H31"/>
    </row>
    <row r="32" spans="1:8" ht="30" x14ac:dyDescent="0.2">
      <c r="A32" s="348" t="s">
        <v>765</v>
      </c>
      <c r="B32" s="350" t="s">
        <v>737</v>
      </c>
      <c r="C32" s="352">
        <f>IF(OR('II Раздел (Значения)'!C27=0,ISBLANK('II Раздел (Значения)'!C27)),"-",'II Раздел (Значения)'!C27)</f>
        <v>529</v>
      </c>
      <c r="D32" s="352">
        <f>IF(OR('II Раздел (Значения)'!D27=0,ISBLANK('II Раздел (Значения)'!D27)),"-",'II Раздел (Значения)'!D27)</f>
        <v>529</v>
      </c>
      <c r="E32"/>
      <c r="F32"/>
      <c r="G32"/>
      <c r="H32"/>
    </row>
    <row r="33" spans="1:8" ht="15" x14ac:dyDescent="0.2">
      <c r="A33" s="348" t="s">
        <v>766</v>
      </c>
      <c r="B33" s="350" t="s">
        <v>767</v>
      </c>
      <c r="C33" s="352" t="str">
        <f>IF(OR('II Раздел (Значения)'!C28=0,ISBLANK('II Раздел (Значения)'!C28)),"-",'II Раздел (Значения)'!C28)</f>
        <v>-</v>
      </c>
      <c r="D33" s="352" t="str">
        <f>IF(OR('II Раздел (Значения)'!D28=0,ISBLANK('II Раздел (Значения)'!D28)),"-",'II Раздел (Значения)'!D28)</f>
        <v>-</v>
      </c>
      <c r="E33"/>
      <c r="F33"/>
      <c r="G33"/>
      <c r="H33"/>
    </row>
    <row r="34" spans="1:8" ht="15" x14ac:dyDescent="0.2">
      <c r="A34" s="348" t="s">
        <v>768</v>
      </c>
      <c r="B34" s="350" t="s">
        <v>409</v>
      </c>
      <c r="C34" s="352">
        <f>IF(OR('II Раздел (Значения)'!C29=0,ISBLANK('II Раздел (Значения)'!C29)),"-",'II Раздел (Значения)'!C29)</f>
        <v>9</v>
      </c>
      <c r="D34" s="352">
        <f>IF(OR('II Раздел (Значения)'!D29=0,ISBLANK('II Раздел (Значения)'!D29)),"-",'II Раздел (Значения)'!D29)</f>
        <v>9</v>
      </c>
      <c r="E34"/>
      <c r="F34"/>
      <c r="G34"/>
      <c r="H34"/>
    </row>
    <row r="35" spans="1:8" ht="15" x14ac:dyDescent="0.2">
      <c r="A35" s="348" t="s">
        <v>769</v>
      </c>
      <c r="B35" s="350" t="s">
        <v>770</v>
      </c>
      <c r="C35" s="352">
        <f>IF(OR('II Раздел (Значения)'!C30=0,ISBLANK('II Раздел (Значения)'!C30)),"-",'II Раздел (Значения)'!C30)</f>
        <v>168</v>
      </c>
      <c r="D35" s="352">
        <f>IF(OR('II Раздел (Значения)'!D30=0,ISBLANK('II Раздел (Значения)'!D30)),"-",'II Раздел (Значения)'!D30)</f>
        <v>168</v>
      </c>
      <c r="E35"/>
      <c r="F35"/>
      <c r="G35"/>
      <c r="H35"/>
    </row>
    <row r="36" spans="1:8" ht="15" x14ac:dyDescent="0.2">
      <c r="A36" s="349" t="s">
        <v>771</v>
      </c>
      <c r="B36" s="350" t="s">
        <v>772</v>
      </c>
      <c r="C36" s="352">
        <f>IF(OR('II Раздел (Значения)'!C31=0,ISBLANK('II Раздел (Значения)'!C31)),"-",'II Раздел (Значения)'!C31)</f>
        <v>11</v>
      </c>
      <c r="D36" s="352">
        <f>IF(OR('II Раздел (Значения)'!D31=0,ISBLANK('II Раздел (Значения)'!D31)),"-",'II Раздел (Значения)'!D31)</f>
        <v>11</v>
      </c>
      <c r="E36"/>
      <c r="F36"/>
      <c r="G36"/>
      <c r="H36"/>
    </row>
    <row r="37" spans="1:8" ht="15" x14ac:dyDescent="0.2">
      <c r="A37" s="349" t="s">
        <v>773</v>
      </c>
      <c r="B37" s="350" t="s">
        <v>774</v>
      </c>
      <c r="C37" s="352">
        <f>IF(OR('II Раздел (Значения)'!C32=0,ISBLANK('II Раздел (Значения)'!C32)),"-",'II Раздел (Значения)'!C32)</f>
        <v>1</v>
      </c>
      <c r="D37" s="352">
        <f>IF(OR('II Раздел (Значения)'!D32=0,ISBLANK('II Раздел (Значения)'!D32)),"-",'II Раздел (Значения)'!D32)</f>
        <v>1</v>
      </c>
      <c r="E37"/>
      <c r="F37"/>
      <c r="G37"/>
      <c r="H37"/>
    </row>
    <row r="38" spans="1:8" ht="15" x14ac:dyDescent="0.2">
      <c r="A38" s="349" t="s">
        <v>775</v>
      </c>
      <c r="B38" s="350" t="s">
        <v>776</v>
      </c>
      <c r="C38" s="352">
        <f>IF(OR('II Раздел (Значения)'!C33=0,ISBLANK('II Раздел (Значения)'!C33)),"-",'II Раздел (Значения)'!C33)</f>
        <v>1</v>
      </c>
      <c r="D38" s="352">
        <f>IF(OR('II Раздел (Значения)'!D33=0,ISBLANK('II Раздел (Значения)'!D33)),"-",'II Раздел (Значения)'!D33)</f>
        <v>1</v>
      </c>
      <c r="E38"/>
      <c r="F38"/>
      <c r="G38"/>
      <c r="H38"/>
    </row>
    <row r="39" spans="1:8" ht="15" x14ac:dyDescent="0.2">
      <c r="A39" s="349" t="s">
        <v>777</v>
      </c>
      <c r="B39" s="350" t="s">
        <v>248</v>
      </c>
      <c r="C39" s="352">
        <f>IF(OR('II Раздел (Значения)'!C34=0,ISBLANK('II Раздел (Значения)'!C34)),"-",'II Раздел (Значения)'!C34)</f>
        <v>4</v>
      </c>
      <c r="D39" s="352">
        <f>IF(OR('II Раздел (Значения)'!D34=0,ISBLANK('II Раздел (Значения)'!D34)),"-",'II Раздел (Значения)'!D34)</f>
        <v>4</v>
      </c>
      <c r="E39"/>
      <c r="F39"/>
      <c r="G39"/>
      <c r="H39"/>
    </row>
    <row r="40" spans="1:8" ht="15" x14ac:dyDescent="0.2">
      <c r="A40" s="349" t="s">
        <v>778</v>
      </c>
      <c r="B40" s="350" t="s">
        <v>779</v>
      </c>
      <c r="C40" s="352">
        <f>IF(OR('II Раздел (Значения)'!C35=0,ISBLANK('II Раздел (Значения)'!C35)),"-",'II Раздел (Значения)'!C35)</f>
        <v>11</v>
      </c>
      <c r="D40" s="352">
        <f>IF(OR('II Раздел (Значения)'!D35=0,ISBLANK('II Раздел (Значения)'!D35)),"-",'II Раздел (Значения)'!D35)</f>
        <v>11</v>
      </c>
      <c r="E40"/>
      <c r="F40"/>
      <c r="G40"/>
      <c r="H40"/>
    </row>
    <row r="41" spans="1:8" ht="15" x14ac:dyDescent="0.2">
      <c r="A41" s="349" t="s">
        <v>780</v>
      </c>
      <c r="B41" s="350" t="s">
        <v>781</v>
      </c>
      <c r="C41" s="352" t="str">
        <f>IF(OR('II Раздел (Значения)'!C36=0,ISBLANK('II Раздел (Значения)'!C36)),"-",'II Раздел (Значения)'!C36)</f>
        <v>-</v>
      </c>
      <c r="D41" s="352" t="str">
        <f>IF(OR('II Раздел (Значения)'!D36=0,ISBLANK('II Раздел (Значения)'!D36)),"-",'II Раздел (Значения)'!D36)</f>
        <v>-</v>
      </c>
      <c r="E41"/>
      <c r="F41"/>
      <c r="G41"/>
      <c r="H41"/>
    </row>
    <row r="42" spans="1:8" ht="15" x14ac:dyDescent="0.2">
      <c r="A42" s="349" t="s">
        <v>782</v>
      </c>
      <c r="B42" s="350" t="s">
        <v>783</v>
      </c>
      <c r="C42" s="352">
        <f>IF(OR('II Раздел (Значения)'!C37=0,ISBLANK('II Раздел (Значения)'!C37)),"-",'II Раздел (Значения)'!C37)</f>
        <v>15</v>
      </c>
      <c r="D42" s="352">
        <f>IF(OR('II Раздел (Значения)'!D37=0,ISBLANK('II Раздел (Значения)'!D37)),"-",'II Раздел (Значения)'!D37)</f>
        <v>15</v>
      </c>
      <c r="E42"/>
      <c r="F42"/>
      <c r="G42"/>
      <c r="H42"/>
    </row>
    <row r="43" spans="1:8" ht="15" x14ac:dyDescent="0.2">
      <c r="A43" s="349" t="s">
        <v>784</v>
      </c>
      <c r="B43" s="350" t="s">
        <v>785</v>
      </c>
      <c r="C43" s="352">
        <f>IF(OR('II Раздел (Значения)'!C38=0,ISBLANK('II Раздел (Значения)'!C38)),"-",'II Раздел (Значения)'!C38)</f>
        <v>1</v>
      </c>
      <c r="D43" s="352">
        <f>IF(OR('II Раздел (Значения)'!D38=0,ISBLANK('II Раздел (Значения)'!D38)),"-",'II Раздел (Значения)'!D38)</f>
        <v>1</v>
      </c>
      <c r="E43"/>
      <c r="F43"/>
      <c r="G43"/>
      <c r="H43"/>
    </row>
    <row r="44" spans="1:8" ht="15" x14ac:dyDescent="0.2">
      <c r="A44" s="349" t="s">
        <v>786</v>
      </c>
      <c r="B44" s="350" t="s">
        <v>787</v>
      </c>
      <c r="C44" s="352" t="str">
        <f>IF(OR('II Раздел (Значения)'!C39=0,ISBLANK('II Раздел (Значения)'!C39)),"-",'II Раздел (Значения)'!C39)</f>
        <v>-</v>
      </c>
      <c r="D44" s="352" t="str">
        <f>IF(OR('II Раздел (Значения)'!D39=0,ISBLANK('II Раздел (Значения)'!D39)),"-",'II Раздел (Значения)'!D39)</f>
        <v>-</v>
      </c>
      <c r="E44"/>
      <c r="F44"/>
      <c r="G44"/>
      <c r="H44"/>
    </row>
    <row r="45" spans="1:8" ht="15" x14ac:dyDescent="0.2">
      <c r="A45" s="349" t="s">
        <v>788</v>
      </c>
      <c r="B45" s="350" t="s">
        <v>789</v>
      </c>
      <c r="C45" s="352">
        <f>IF(OR('II Раздел (Значения)'!C40=0,ISBLANK('II Раздел (Значения)'!C40)),"-",'II Раздел (Значения)'!C40)</f>
        <v>94</v>
      </c>
      <c r="D45" s="352">
        <f>IF(OR('II Раздел (Значения)'!D40=0,ISBLANK('II Раздел (Значения)'!D40)),"-",'II Раздел (Значения)'!D40)</f>
        <v>94</v>
      </c>
      <c r="E45"/>
      <c r="F45"/>
      <c r="G45"/>
      <c r="H45"/>
    </row>
    <row r="46" spans="1:8" ht="15" x14ac:dyDescent="0.2">
      <c r="A46" s="349" t="s">
        <v>790</v>
      </c>
      <c r="B46" s="350" t="s">
        <v>791</v>
      </c>
      <c r="C46" s="352">
        <f>IF(OR('II Раздел (Значения)'!C41=0,ISBLANK('II Раздел (Значения)'!C41)),"-",'II Раздел (Значения)'!C41)</f>
        <v>3</v>
      </c>
      <c r="D46" s="352">
        <f>IF(OR('II Раздел (Значения)'!D41=0,ISBLANK('II Раздел (Значения)'!D41)),"-",'II Раздел (Значения)'!D41)</f>
        <v>3</v>
      </c>
      <c r="E46"/>
      <c r="F46"/>
      <c r="G46"/>
      <c r="H46"/>
    </row>
    <row r="47" spans="1:8" ht="15" x14ac:dyDescent="0.2">
      <c r="A47" s="349" t="s">
        <v>792</v>
      </c>
      <c r="B47" s="350" t="s">
        <v>793</v>
      </c>
      <c r="C47" s="352" t="str">
        <f>IF(OR('II Раздел (Значения)'!C42=0,ISBLANK('II Раздел (Значения)'!C42)),"-",'II Раздел (Значения)'!C42)</f>
        <v>-</v>
      </c>
      <c r="D47" s="352" t="str">
        <f>IF(OR('II Раздел (Значения)'!D42=0,ISBLANK('II Раздел (Значения)'!D42)),"-",'II Раздел (Значения)'!D42)</f>
        <v>-</v>
      </c>
      <c r="E47"/>
      <c r="F47"/>
      <c r="G47"/>
      <c r="H47"/>
    </row>
    <row r="48" spans="1:8" ht="15" x14ac:dyDescent="0.2">
      <c r="A48" s="349" t="s">
        <v>794</v>
      </c>
      <c r="B48" s="350" t="s">
        <v>195</v>
      </c>
      <c r="C48" s="352">
        <f>IF(OR('II Раздел (Значения)'!C43=0,ISBLANK('II Раздел (Значения)'!C43)),"-",'II Раздел (Значения)'!C43)</f>
        <v>13</v>
      </c>
      <c r="D48" s="352">
        <f>IF(OR('II Раздел (Значения)'!D43=0,ISBLANK('II Раздел (Значения)'!D43)),"-",'II Раздел (Значения)'!D43)</f>
        <v>13</v>
      </c>
      <c r="E48"/>
      <c r="F48"/>
      <c r="G48"/>
      <c r="H48"/>
    </row>
    <row r="49" spans="1:9" ht="15" x14ac:dyDescent="0.2">
      <c r="A49" s="349" t="s">
        <v>795</v>
      </c>
      <c r="B49" s="350" t="s">
        <v>196</v>
      </c>
      <c r="C49" s="352">
        <f>IF(OR('II Раздел (Значения)'!C44=0,ISBLANK('II Раздел (Значения)'!C44)),"-",'II Раздел (Значения)'!C44)</f>
        <v>2</v>
      </c>
      <c r="D49" s="352">
        <f>IF(OR('II Раздел (Значения)'!D44=0,ISBLANK('II Раздел (Значения)'!D44)),"-",'II Раздел (Значения)'!D44)</f>
        <v>2</v>
      </c>
      <c r="E49"/>
      <c r="F49"/>
      <c r="G49"/>
      <c r="H49"/>
    </row>
    <row r="50" spans="1:9" ht="15" x14ac:dyDescent="0.2">
      <c r="A50" s="349" t="s">
        <v>796</v>
      </c>
      <c r="B50" s="350" t="s">
        <v>250</v>
      </c>
      <c r="C50" s="352">
        <f>IF(OR('II Раздел (Значения)'!C45=0,ISBLANK('II Раздел (Значения)'!C45)),"-",'II Раздел (Значения)'!C45)</f>
        <v>1</v>
      </c>
      <c r="D50" s="352">
        <f>IF(OR('II Раздел (Значения)'!D45=0,ISBLANK('II Раздел (Значения)'!D45)),"-",'II Раздел (Значения)'!D45)</f>
        <v>1</v>
      </c>
      <c r="E50"/>
      <c r="F50"/>
      <c r="G50"/>
      <c r="H50"/>
    </row>
    <row r="51" spans="1:9" ht="15" x14ac:dyDescent="0.2">
      <c r="A51" s="348" t="s">
        <v>73</v>
      </c>
      <c r="B51" s="350" t="s">
        <v>797</v>
      </c>
      <c r="C51" s="352">
        <f>IF(OR('II Раздел (Значения)'!C46=0,ISBLANK('II Раздел (Значения)'!C46)),"-",'II Раздел (Значения)'!C46)</f>
        <v>7</v>
      </c>
      <c r="D51" s="352">
        <f>IF(OR('II Раздел (Значения)'!D46=0,ISBLANK('II Раздел (Значения)'!D46)),"-",'II Раздел (Значения)'!D46)</f>
        <v>7</v>
      </c>
      <c r="E51"/>
      <c r="F51"/>
      <c r="G51"/>
      <c r="H51"/>
    </row>
    <row r="52" spans="1:9" ht="15" x14ac:dyDescent="0.2">
      <c r="A52" s="328" t="s">
        <v>813</v>
      </c>
      <c r="B52" s="350" t="s">
        <v>798</v>
      </c>
      <c r="C52" s="352" t="str">
        <f>IF(OR('II Раздел (Значения)'!C47=0,ISBLANK('II Раздел (Значения)'!C47)),"-",'II Раздел (Значения)'!C47)</f>
        <v>-</v>
      </c>
      <c r="D52" s="352" t="str">
        <f>IF(OR('II Раздел (Значения)'!D47=0,ISBLANK('II Раздел (Значения)'!D47)),"-",'II Раздел (Значения)'!D47)</f>
        <v>-</v>
      </c>
      <c r="E52"/>
      <c r="F52"/>
      <c r="G52"/>
      <c r="H52"/>
    </row>
    <row r="53" spans="1:9" ht="15" x14ac:dyDescent="0.2">
      <c r="A53" s="328" t="s">
        <v>799</v>
      </c>
      <c r="B53" s="350" t="s">
        <v>800</v>
      </c>
      <c r="C53" s="352" t="str">
        <f>IF(OR('II Раздел (Значения)'!C48=0,ISBLANK('II Раздел (Значения)'!C48)),"-",'II Раздел (Значения)'!C48)</f>
        <v>-</v>
      </c>
      <c r="D53" s="352" t="str">
        <f>IF(OR('II Раздел (Значения)'!D48=0,ISBLANK('II Раздел (Значения)'!D48)),"-",'II Раздел (Значения)'!D48)</f>
        <v>-</v>
      </c>
      <c r="E53"/>
      <c r="F53"/>
      <c r="G53"/>
      <c r="H53"/>
    </row>
    <row r="54" spans="1:9" ht="15" x14ac:dyDescent="0.2">
      <c r="A54" s="328" t="s">
        <v>801</v>
      </c>
      <c r="B54" s="350" t="s">
        <v>613</v>
      </c>
      <c r="C54" s="352">
        <f>IF(OR('II Раздел (Значения)'!C49=0,ISBLANK('II Раздел (Значения)'!C49)),"-",'II Раздел (Значения)'!C49)</f>
        <v>11</v>
      </c>
      <c r="D54" s="352">
        <f>IF(OR('II Раздел (Значения)'!D49=0,ISBLANK('II Раздел (Значения)'!D49)),"-",'II Раздел (Значения)'!D49)</f>
        <v>11</v>
      </c>
      <c r="E54"/>
      <c r="F54"/>
      <c r="G54"/>
      <c r="H54"/>
    </row>
    <row r="55" spans="1:9" ht="15" x14ac:dyDescent="0.2">
      <c r="A55" s="328" t="s">
        <v>197</v>
      </c>
      <c r="B55" s="350" t="s">
        <v>198</v>
      </c>
      <c r="C55" s="352" t="str">
        <f>IF(OR('II Раздел (Значения)'!C50=0,ISBLANK('II Раздел (Значения)'!C50)),"-",'II Раздел (Значения)'!C50)</f>
        <v>-</v>
      </c>
      <c r="D55" s="352" t="str">
        <f>IF(OR('II Раздел (Значения)'!D50=0,ISBLANK('II Раздел (Значения)'!D50)),"-",'II Раздел (Значения)'!D50)</f>
        <v>-</v>
      </c>
      <c r="E55"/>
      <c r="F55"/>
      <c r="G55"/>
      <c r="H55"/>
    </row>
    <row r="56" spans="1:9" ht="15" x14ac:dyDescent="0.2">
      <c r="A56" s="328" t="s">
        <v>802</v>
      </c>
      <c r="B56" s="350" t="s">
        <v>803</v>
      </c>
      <c r="C56" s="352" t="str">
        <f>IF(OR('II Раздел (Значения)'!C51=0,ISBLANK('II Раздел (Значения)'!C51)),"-",'II Раздел (Значения)'!C51)</f>
        <v>-</v>
      </c>
      <c r="D56" s="352" t="str">
        <f>IF(OR('II Раздел (Значения)'!D51=0,ISBLANK('II Раздел (Значения)'!D51)),"-",'II Раздел (Значения)'!D51)</f>
        <v>-</v>
      </c>
      <c r="E56"/>
      <c r="F56"/>
      <c r="G56"/>
      <c r="H56"/>
    </row>
    <row r="57" spans="1:9" ht="15" x14ac:dyDescent="0.2">
      <c r="A57" s="346" t="s">
        <v>804</v>
      </c>
      <c r="B57" s="350" t="s">
        <v>805</v>
      </c>
      <c r="C57" s="352" t="str">
        <f>IF(OR('II Раздел (Значения)'!C52=0,ISBLANK('II Раздел (Значения)'!C52)),"-",'II Раздел (Значения)'!C52)</f>
        <v>-</v>
      </c>
      <c r="D57" s="352" t="str">
        <f>IF(OR('II Раздел (Значения)'!D52=0,ISBLANK('II Раздел (Значения)'!D52)),"-",'II Раздел (Значения)'!D52)</f>
        <v>-</v>
      </c>
      <c r="E57"/>
      <c r="F57"/>
      <c r="G57"/>
      <c r="H57"/>
    </row>
    <row r="58" spans="1:9" ht="15" x14ac:dyDescent="0.2">
      <c r="A58" s="346" t="s">
        <v>806</v>
      </c>
      <c r="B58" s="350" t="s">
        <v>807</v>
      </c>
      <c r="C58" s="352" t="str">
        <f>IF(OR('II Раздел (Значения)'!C53=0,ISBLANK('II Раздел (Значения)'!C53)),"-",'II Раздел (Значения)'!C53)</f>
        <v>-</v>
      </c>
      <c r="D58" s="352" t="str">
        <f>IF(OR('II Раздел (Значения)'!D53=0,ISBLANK('II Раздел (Значения)'!D53)),"-",'II Раздел (Значения)'!D53)</f>
        <v>-</v>
      </c>
      <c r="E58"/>
      <c r="F58"/>
      <c r="G58"/>
      <c r="H58"/>
    </row>
    <row r="59" spans="1:9" ht="15" x14ac:dyDescent="0.2">
      <c r="A59" s="346" t="s">
        <v>808</v>
      </c>
      <c r="B59" s="350" t="s">
        <v>809</v>
      </c>
      <c r="C59" s="352" t="str">
        <f>IF(OR('II Раздел (Значения)'!C54=0,ISBLANK('II Раздел (Значения)'!C54)),"-",'II Раздел (Значения)'!C54)</f>
        <v>-</v>
      </c>
      <c r="D59" s="352" t="str">
        <f>IF(OR('II Раздел (Значения)'!D54=0,ISBLANK('II Раздел (Значения)'!D54)),"-",'II Раздел (Значения)'!D54)</f>
        <v>-</v>
      </c>
      <c r="E59"/>
      <c r="F59"/>
      <c r="G59"/>
      <c r="H59"/>
    </row>
    <row r="60" spans="1:9" ht="15" x14ac:dyDescent="0.2">
      <c r="A60" s="346" t="s">
        <v>810</v>
      </c>
      <c r="B60" s="350" t="s">
        <v>811</v>
      </c>
      <c r="C60" s="352" t="str">
        <f>IF(OR('II Раздел (Значения)'!C55=0,ISBLANK('II Раздел (Значения)'!C55)),"-",'II Раздел (Значения)'!C55)</f>
        <v>-</v>
      </c>
      <c r="D60" s="352" t="str">
        <f>IF(OR('II Раздел (Значения)'!D55=0,ISBLANK('II Раздел (Значения)'!D55)),"-",'II Раздел (Значения)'!D55)</f>
        <v>-</v>
      </c>
      <c r="E60"/>
      <c r="F60"/>
      <c r="G60"/>
      <c r="H60"/>
    </row>
    <row r="61" spans="1:9" x14ac:dyDescent="0.2">
      <c r="A61"/>
      <c r="B61"/>
      <c r="C61"/>
      <c r="D61"/>
      <c r="E61"/>
      <c r="F61"/>
      <c r="G61"/>
      <c r="H61"/>
    </row>
    <row r="62" spans="1:9" x14ac:dyDescent="0.2">
      <c r="D62" s="330"/>
      <c r="E62"/>
      <c r="F62"/>
      <c r="G62"/>
      <c r="H62"/>
    </row>
    <row r="63" spans="1:9" x14ac:dyDescent="0.2">
      <c r="E63"/>
      <c r="F63"/>
      <c r="G63"/>
      <c r="H63"/>
      <c r="I63"/>
    </row>
    <row r="64" spans="1:9" x14ac:dyDescent="0.2">
      <c r="E64"/>
      <c r="F64"/>
      <c r="G64"/>
      <c r="H64"/>
      <c r="I64"/>
    </row>
    <row r="65" spans="5:9" x14ac:dyDescent="0.2">
      <c r="E65"/>
      <c r="F65"/>
      <c r="G65"/>
      <c r="H65"/>
      <c r="I65"/>
    </row>
    <row r="66" spans="5:9" x14ac:dyDescent="0.2">
      <c r="E66"/>
      <c r="F66"/>
      <c r="G66"/>
      <c r="H66"/>
      <c r="I66"/>
    </row>
    <row r="67" spans="5:9" x14ac:dyDescent="0.2">
      <c r="E67"/>
      <c r="F67"/>
      <c r="G67"/>
      <c r="H67"/>
      <c r="I67"/>
    </row>
    <row r="68" spans="5:9" x14ac:dyDescent="0.2">
      <c r="E68"/>
      <c r="F68"/>
      <c r="G68"/>
      <c r="H68"/>
      <c r="I68"/>
    </row>
    <row r="69" spans="5:9" x14ac:dyDescent="0.2">
      <c r="E69"/>
      <c r="F69"/>
      <c r="G69"/>
      <c r="H69"/>
      <c r="I69"/>
    </row>
    <row r="70" spans="5:9" x14ac:dyDescent="0.2">
      <c r="E70"/>
      <c r="F70"/>
      <c r="G70"/>
      <c r="H70"/>
      <c r="I70"/>
    </row>
    <row r="71" spans="5:9" x14ac:dyDescent="0.2">
      <c r="E71"/>
      <c r="F71"/>
      <c r="G71"/>
      <c r="H71"/>
      <c r="I71"/>
    </row>
    <row r="72" spans="5:9" x14ac:dyDescent="0.2">
      <c r="E72"/>
      <c r="F72"/>
      <c r="G72"/>
      <c r="H72"/>
      <c r="I72"/>
    </row>
    <row r="73" spans="5:9" x14ac:dyDescent="0.2">
      <c r="E73"/>
      <c r="F73"/>
      <c r="G73"/>
      <c r="H73"/>
      <c r="I73"/>
    </row>
    <row r="74" spans="5:9" x14ac:dyDescent="0.2">
      <c r="E74"/>
      <c r="F74"/>
      <c r="G74"/>
      <c r="H74"/>
      <c r="I74"/>
    </row>
    <row r="75" spans="5:9" x14ac:dyDescent="0.2">
      <c r="E75"/>
      <c r="F75"/>
      <c r="G75"/>
      <c r="H75"/>
      <c r="I75"/>
    </row>
    <row r="76" spans="5:9" x14ac:dyDescent="0.2">
      <c r="E76"/>
      <c r="F76"/>
      <c r="G76"/>
      <c r="H76"/>
      <c r="I76"/>
    </row>
    <row r="77" spans="5:9" x14ac:dyDescent="0.2">
      <c r="E77"/>
      <c r="F77"/>
      <c r="G77"/>
      <c r="H77"/>
      <c r="I77"/>
    </row>
    <row r="78" spans="5:9" x14ac:dyDescent="0.2">
      <c r="E78"/>
      <c r="F78"/>
      <c r="G78"/>
      <c r="H78"/>
      <c r="I78"/>
    </row>
    <row r="79" spans="5:9" x14ac:dyDescent="0.2">
      <c r="E79"/>
      <c r="F79"/>
      <c r="G79"/>
      <c r="H79"/>
      <c r="I79"/>
    </row>
    <row r="80" spans="5:9" x14ac:dyDescent="0.2">
      <c r="E80"/>
      <c r="F80"/>
      <c r="G80"/>
      <c r="H80"/>
      <c r="I80"/>
    </row>
    <row r="81" spans="5:9" x14ac:dyDescent="0.2">
      <c r="E81"/>
      <c r="F81"/>
      <c r="G81"/>
      <c r="H81"/>
      <c r="I81"/>
    </row>
    <row r="82" spans="5:9" x14ac:dyDescent="0.2">
      <c r="E82"/>
      <c r="F82"/>
      <c r="G82"/>
      <c r="H82"/>
      <c r="I82"/>
    </row>
    <row r="83" spans="5:9" x14ac:dyDescent="0.2">
      <c r="E83"/>
      <c r="F83"/>
      <c r="G83"/>
      <c r="H83"/>
      <c r="I83"/>
    </row>
    <row r="84" spans="5:9" x14ac:dyDescent="0.2">
      <c r="E84"/>
      <c r="F84"/>
      <c r="G84"/>
      <c r="H84"/>
      <c r="I84"/>
    </row>
    <row r="85" spans="5:9" x14ac:dyDescent="0.2">
      <c r="E85"/>
      <c r="F85"/>
      <c r="G85"/>
      <c r="H85"/>
      <c r="I85"/>
    </row>
    <row r="86" spans="5:9" x14ac:dyDescent="0.2">
      <c r="E86"/>
      <c r="F86"/>
      <c r="G86"/>
      <c r="H86"/>
      <c r="I86"/>
    </row>
    <row r="87" spans="5:9" x14ac:dyDescent="0.2">
      <c r="E87"/>
      <c r="F87"/>
      <c r="G87"/>
      <c r="H87"/>
      <c r="I87"/>
    </row>
    <row r="88" spans="5:9" x14ac:dyDescent="0.2">
      <c r="E88"/>
      <c r="F88"/>
      <c r="G88"/>
      <c r="H88"/>
      <c r="I88"/>
    </row>
    <row r="89" spans="5:9" x14ac:dyDescent="0.2">
      <c r="E89"/>
      <c r="F89"/>
      <c r="G89"/>
      <c r="H89"/>
      <c r="I89"/>
    </row>
    <row r="90" spans="5:9" x14ac:dyDescent="0.2">
      <c r="E90"/>
      <c r="F90"/>
      <c r="G90"/>
      <c r="H90"/>
      <c r="I90"/>
    </row>
    <row r="91" spans="5:9" x14ac:dyDescent="0.2">
      <c r="E91"/>
      <c r="F91"/>
      <c r="G91"/>
      <c r="H91"/>
      <c r="I91"/>
    </row>
    <row r="92" spans="5:9" x14ac:dyDescent="0.2">
      <c r="E92"/>
      <c r="F92"/>
      <c r="G92"/>
      <c r="H92"/>
      <c r="I92"/>
    </row>
    <row r="93" spans="5:9" x14ac:dyDescent="0.2">
      <c r="E93"/>
      <c r="F93"/>
      <c r="G93"/>
      <c r="H93"/>
      <c r="I93"/>
    </row>
    <row r="94" spans="5:9" x14ac:dyDescent="0.2">
      <c r="E94"/>
      <c r="F94"/>
      <c r="G94"/>
      <c r="H94"/>
      <c r="I94"/>
    </row>
    <row r="95" spans="5:9" x14ac:dyDescent="0.2">
      <c r="E95"/>
      <c r="F95"/>
      <c r="G95"/>
      <c r="H95"/>
      <c r="I95"/>
    </row>
    <row r="96" spans="5:9" x14ac:dyDescent="0.2">
      <c r="E96"/>
      <c r="F96"/>
      <c r="G96"/>
      <c r="H96"/>
      <c r="I96"/>
    </row>
    <row r="97" spans="5:9" x14ac:dyDescent="0.2">
      <c r="E97"/>
      <c r="F97"/>
      <c r="G97"/>
      <c r="H97"/>
      <c r="I97"/>
    </row>
    <row r="98" spans="5:9" x14ac:dyDescent="0.2">
      <c r="E98"/>
      <c r="F98"/>
      <c r="G98"/>
      <c r="H98"/>
      <c r="I98"/>
    </row>
    <row r="99" spans="5:9" x14ac:dyDescent="0.2">
      <c r="E99"/>
      <c r="F99"/>
      <c r="G99"/>
      <c r="H99"/>
      <c r="I99"/>
    </row>
    <row r="100" spans="5:9" x14ac:dyDescent="0.2">
      <c r="E100"/>
      <c r="F100"/>
      <c r="G100"/>
      <c r="H100"/>
      <c r="I100"/>
    </row>
    <row r="101" spans="5:9" x14ac:dyDescent="0.2">
      <c r="E101"/>
      <c r="F101"/>
      <c r="G101"/>
      <c r="H101"/>
      <c r="I101"/>
    </row>
    <row r="102" spans="5:9" x14ac:dyDescent="0.2">
      <c r="E102"/>
      <c r="F102"/>
      <c r="G102"/>
      <c r="H102"/>
      <c r="I102"/>
    </row>
    <row r="103" spans="5:9" x14ac:dyDescent="0.2">
      <c r="E103"/>
      <c r="F103"/>
      <c r="G103"/>
      <c r="H103"/>
      <c r="I103"/>
    </row>
    <row r="104" spans="5:9" x14ac:dyDescent="0.2">
      <c r="E104"/>
      <c r="F104"/>
      <c r="G104"/>
      <c r="H104"/>
      <c r="I104"/>
    </row>
    <row r="105" spans="5:9" x14ac:dyDescent="0.2">
      <c r="E105"/>
      <c r="F105"/>
      <c r="G105"/>
      <c r="H105"/>
      <c r="I105"/>
    </row>
    <row r="106" spans="5:9" x14ac:dyDescent="0.2">
      <c r="E106"/>
      <c r="F106"/>
      <c r="G106"/>
      <c r="H106"/>
      <c r="I106"/>
    </row>
    <row r="107" spans="5:9" x14ac:dyDescent="0.2">
      <c r="E107"/>
      <c r="F107"/>
      <c r="G107"/>
      <c r="H107"/>
      <c r="I107"/>
    </row>
    <row r="108" spans="5:9" x14ac:dyDescent="0.2">
      <c r="E108"/>
      <c r="F108"/>
      <c r="G108"/>
      <c r="H108"/>
      <c r="I108"/>
    </row>
    <row r="109" spans="5:9" x14ac:dyDescent="0.2">
      <c r="E109"/>
      <c r="F109"/>
      <c r="G109"/>
      <c r="H109"/>
      <c r="I109"/>
    </row>
    <row r="110" spans="5:9" x14ac:dyDescent="0.2">
      <c r="E110"/>
      <c r="F110"/>
      <c r="G110"/>
      <c r="H110"/>
      <c r="I110"/>
    </row>
    <row r="111" spans="5:9" x14ac:dyDescent="0.2">
      <c r="E111"/>
      <c r="F111"/>
      <c r="G111"/>
      <c r="H111"/>
      <c r="I111"/>
    </row>
    <row r="112" spans="5:9" x14ac:dyDescent="0.2">
      <c r="E112"/>
      <c r="F112"/>
      <c r="G112"/>
      <c r="H112"/>
      <c r="I112"/>
    </row>
    <row r="113" spans="5:9" x14ac:dyDescent="0.2">
      <c r="E113"/>
      <c r="F113"/>
      <c r="G113"/>
      <c r="H113"/>
      <c r="I113"/>
    </row>
    <row r="114" spans="5:9" x14ac:dyDescent="0.2">
      <c r="E114"/>
      <c r="F114"/>
      <c r="G114"/>
      <c r="H114"/>
      <c r="I114"/>
    </row>
    <row r="115" spans="5:9" x14ac:dyDescent="0.2">
      <c r="E115"/>
      <c r="F115"/>
      <c r="G115"/>
      <c r="H115"/>
      <c r="I115"/>
    </row>
    <row r="116" spans="5:9" x14ac:dyDescent="0.2">
      <c r="E116"/>
      <c r="F116"/>
      <c r="G116"/>
      <c r="H116"/>
      <c r="I116"/>
    </row>
    <row r="117" spans="5:9" x14ac:dyDescent="0.2">
      <c r="E117"/>
      <c r="F117"/>
      <c r="G117"/>
      <c r="H117"/>
      <c r="I117"/>
    </row>
    <row r="118" spans="5:9" x14ac:dyDescent="0.2">
      <c r="E118"/>
      <c r="F118"/>
      <c r="G118"/>
      <c r="H118"/>
      <c r="I118"/>
    </row>
    <row r="119" spans="5:9" x14ac:dyDescent="0.2">
      <c r="E119"/>
      <c r="F119"/>
      <c r="G119"/>
      <c r="H119"/>
      <c r="I119"/>
    </row>
    <row r="120" spans="5:9" x14ac:dyDescent="0.2">
      <c r="E120"/>
      <c r="F120"/>
      <c r="G120"/>
      <c r="H120"/>
      <c r="I120"/>
    </row>
    <row r="121" spans="5:9" x14ac:dyDescent="0.2">
      <c r="E121"/>
      <c r="F121"/>
      <c r="G121"/>
      <c r="H121"/>
      <c r="I121"/>
    </row>
    <row r="122" spans="5:9" x14ac:dyDescent="0.2">
      <c r="E122"/>
      <c r="F122"/>
      <c r="G122"/>
      <c r="H122"/>
      <c r="I122"/>
    </row>
    <row r="123" spans="5:9" x14ac:dyDescent="0.2">
      <c r="E123"/>
      <c r="F123"/>
      <c r="G123"/>
      <c r="H123"/>
      <c r="I123"/>
    </row>
    <row r="124" spans="5:9" x14ac:dyDescent="0.2">
      <c r="E124"/>
      <c r="F124"/>
      <c r="G124"/>
      <c r="H124"/>
      <c r="I124"/>
    </row>
    <row r="125" spans="5:9" x14ac:dyDescent="0.2">
      <c r="E125"/>
      <c r="F125"/>
      <c r="G125"/>
      <c r="H125"/>
      <c r="I125"/>
    </row>
    <row r="126" spans="5:9" x14ac:dyDescent="0.2">
      <c r="E126"/>
      <c r="F126"/>
      <c r="G126"/>
      <c r="H126"/>
      <c r="I126"/>
    </row>
    <row r="127" spans="5:9" x14ac:dyDescent="0.2">
      <c r="E127"/>
      <c r="F127"/>
      <c r="G127"/>
      <c r="H127"/>
      <c r="I127"/>
    </row>
    <row r="128" spans="5:9" x14ac:dyDescent="0.2">
      <c r="E128"/>
      <c r="F128"/>
      <c r="G128"/>
      <c r="H128"/>
      <c r="I128"/>
    </row>
    <row r="129" spans="5:9" x14ac:dyDescent="0.2">
      <c r="E129"/>
      <c r="F129"/>
      <c r="G129"/>
      <c r="H129"/>
      <c r="I129"/>
    </row>
    <row r="130" spans="5:9" x14ac:dyDescent="0.2">
      <c r="E130"/>
      <c r="F130"/>
      <c r="G130"/>
      <c r="H130"/>
      <c r="I130"/>
    </row>
    <row r="131" spans="5:9" x14ac:dyDescent="0.2">
      <c r="E131"/>
      <c r="F131"/>
      <c r="G131"/>
      <c r="H131"/>
      <c r="I131"/>
    </row>
    <row r="132" spans="5:9" x14ac:dyDescent="0.2">
      <c r="E132"/>
      <c r="F132"/>
      <c r="G132"/>
      <c r="H132"/>
      <c r="I132"/>
    </row>
    <row r="133" spans="5:9" x14ac:dyDescent="0.2">
      <c r="E133"/>
      <c r="F133"/>
      <c r="G133"/>
      <c r="H133"/>
      <c r="I133"/>
    </row>
    <row r="134" spans="5:9" x14ac:dyDescent="0.2">
      <c r="E134"/>
      <c r="F134"/>
      <c r="G134"/>
      <c r="H134"/>
      <c r="I134"/>
    </row>
    <row r="135" spans="5:9" x14ac:dyDescent="0.2">
      <c r="E135"/>
      <c r="F135"/>
      <c r="G135"/>
      <c r="H135"/>
      <c r="I135"/>
    </row>
    <row r="136" spans="5:9" x14ac:dyDescent="0.2">
      <c r="E136"/>
      <c r="F136"/>
      <c r="G136"/>
      <c r="H136"/>
      <c r="I136"/>
    </row>
    <row r="137" spans="5:9" x14ac:dyDescent="0.2">
      <c r="E137"/>
      <c r="F137"/>
      <c r="G137"/>
      <c r="H137"/>
      <c r="I137"/>
    </row>
    <row r="138" spans="5:9" x14ac:dyDescent="0.2">
      <c r="E138"/>
      <c r="F138"/>
      <c r="G138"/>
      <c r="H138"/>
      <c r="I138"/>
    </row>
    <row r="139" spans="5:9" x14ac:dyDescent="0.2">
      <c r="E139"/>
      <c r="F139"/>
      <c r="G139"/>
      <c r="H139"/>
      <c r="I139"/>
    </row>
    <row r="140" spans="5:9" x14ac:dyDescent="0.2">
      <c r="E140"/>
      <c r="F140"/>
      <c r="G140"/>
      <c r="H140"/>
      <c r="I140"/>
    </row>
    <row r="141" spans="5:9" x14ac:dyDescent="0.2">
      <c r="E141"/>
      <c r="F141"/>
      <c r="G141"/>
      <c r="H141"/>
      <c r="I141"/>
    </row>
    <row r="142" spans="5:9" x14ac:dyDescent="0.2">
      <c r="E142"/>
      <c r="F142"/>
      <c r="G142"/>
      <c r="H142"/>
      <c r="I142"/>
    </row>
    <row r="143" spans="5:9" x14ac:dyDescent="0.2">
      <c r="E143"/>
      <c r="F143"/>
      <c r="G143"/>
      <c r="H143"/>
      <c r="I143"/>
    </row>
    <row r="144" spans="5:9" x14ac:dyDescent="0.2">
      <c r="E144"/>
      <c r="F144"/>
      <c r="G144"/>
      <c r="H144"/>
      <c r="I144"/>
    </row>
    <row r="145" spans="5:9" x14ac:dyDescent="0.2">
      <c r="E145"/>
      <c r="F145"/>
      <c r="G145"/>
      <c r="H145"/>
      <c r="I145"/>
    </row>
    <row r="146" spans="5:9" x14ac:dyDescent="0.2">
      <c r="E146"/>
      <c r="F146"/>
      <c r="G146"/>
      <c r="H146"/>
      <c r="I146"/>
    </row>
    <row r="147" spans="5:9" x14ac:dyDescent="0.2">
      <c r="E147"/>
      <c r="F147"/>
      <c r="G147"/>
      <c r="H147"/>
      <c r="I147"/>
    </row>
    <row r="148" spans="5:9" x14ac:dyDescent="0.2">
      <c r="E148"/>
      <c r="F148"/>
      <c r="G148"/>
      <c r="H148"/>
      <c r="I148"/>
    </row>
    <row r="149" spans="5:9" x14ac:dyDescent="0.2">
      <c r="E149"/>
      <c r="F149"/>
      <c r="G149"/>
      <c r="H149"/>
      <c r="I149"/>
    </row>
    <row r="150" spans="5:9" x14ac:dyDescent="0.2">
      <c r="E150"/>
      <c r="F150"/>
      <c r="G150"/>
      <c r="H150"/>
      <c r="I150"/>
    </row>
    <row r="151" spans="5:9" x14ac:dyDescent="0.2">
      <c r="E151"/>
      <c r="F151"/>
      <c r="G151"/>
      <c r="H151"/>
      <c r="I151"/>
    </row>
    <row r="152" spans="5:9" x14ac:dyDescent="0.2">
      <c r="E152"/>
      <c r="F152"/>
      <c r="G152"/>
      <c r="H152"/>
      <c r="I152"/>
    </row>
    <row r="153" spans="5:9" x14ac:dyDescent="0.2">
      <c r="E153"/>
      <c r="F153"/>
      <c r="G153"/>
      <c r="H153"/>
      <c r="I153"/>
    </row>
    <row r="154" spans="5:9" x14ac:dyDescent="0.2">
      <c r="E154"/>
      <c r="F154"/>
      <c r="G154"/>
      <c r="H154"/>
      <c r="I154"/>
    </row>
    <row r="155" spans="5:9" x14ac:dyDescent="0.2">
      <c r="E155"/>
      <c r="F155"/>
      <c r="G155"/>
      <c r="H155"/>
      <c r="I155"/>
    </row>
    <row r="156" spans="5:9" x14ac:dyDescent="0.2">
      <c r="E156"/>
      <c r="F156"/>
      <c r="G156"/>
      <c r="H156"/>
      <c r="I156"/>
    </row>
    <row r="157" spans="5:9" x14ac:dyDescent="0.2">
      <c r="E157"/>
      <c r="F157"/>
      <c r="G157"/>
      <c r="H157"/>
      <c r="I157"/>
    </row>
    <row r="158" spans="5:9" x14ac:dyDescent="0.2">
      <c r="E158"/>
      <c r="F158"/>
      <c r="G158"/>
      <c r="H158"/>
      <c r="I158"/>
    </row>
    <row r="159" spans="5:9" x14ac:dyDescent="0.2">
      <c r="E159"/>
      <c r="F159"/>
      <c r="G159"/>
      <c r="H159"/>
      <c r="I159"/>
    </row>
    <row r="160" spans="5:9" x14ac:dyDescent="0.2">
      <c r="E160"/>
      <c r="F160"/>
      <c r="G160"/>
      <c r="H160"/>
      <c r="I160"/>
    </row>
    <row r="161" spans="5:9" x14ac:dyDescent="0.2">
      <c r="E161"/>
      <c r="F161"/>
      <c r="G161"/>
      <c r="H161"/>
      <c r="I161"/>
    </row>
    <row r="162" spans="5:9" x14ac:dyDescent="0.2">
      <c r="E162"/>
      <c r="F162"/>
      <c r="G162"/>
      <c r="H162"/>
      <c r="I162"/>
    </row>
    <row r="163" spans="5:9" x14ac:dyDescent="0.2">
      <c r="E163"/>
      <c r="F163"/>
      <c r="G163"/>
      <c r="H163"/>
      <c r="I163"/>
    </row>
    <row r="164" spans="5:9" x14ac:dyDescent="0.2">
      <c r="E164"/>
      <c r="F164"/>
      <c r="G164"/>
      <c r="H164"/>
      <c r="I164"/>
    </row>
    <row r="165" spans="5:9" x14ac:dyDescent="0.2">
      <c r="E165"/>
      <c r="F165"/>
      <c r="G165"/>
      <c r="H165"/>
      <c r="I165"/>
    </row>
    <row r="166" spans="5:9" x14ac:dyDescent="0.2">
      <c r="E166"/>
      <c r="F166"/>
      <c r="G166"/>
      <c r="H166"/>
      <c r="I166"/>
    </row>
    <row r="167" spans="5:9" x14ac:dyDescent="0.2">
      <c r="E167"/>
      <c r="F167"/>
      <c r="G167"/>
      <c r="H167"/>
      <c r="I167"/>
    </row>
    <row r="168" spans="5:9" x14ac:dyDescent="0.2">
      <c r="E168"/>
      <c r="F168"/>
      <c r="G168"/>
      <c r="H168"/>
      <c r="I168"/>
    </row>
    <row r="169" spans="5:9" x14ac:dyDescent="0.2">
      <c r="E169"/>
      <c r="F169"/>
      <c r="G169"/>
      <c r="H169"/>
      <c r="I169"/>
    </row>
    <row r="170" spans="5:9" x14ac:dyDescent="0.2">
      <c r="E170"/>
      <c r="F170"/>
      <c r="G170"/>
      <c r="H170"/>
      <c r="I170"/>
    </row>
    <row r="171" spans="5:9" x14ac:dyDescent="0.2">
      <c r="E171"/>
      <c r="F171"/>
      <c r="G171"/>
      <c r="H171"/>
      <c r="I171"/>
    </row>
    <row r="172" spans="5:9" x14ac:dyDescent="0.2">
      <c r="E172"/>
      <c r="F172"/>
      <c r="G172"/>
      <c r="H172"/>
      <c r="I172"/>
    </row>
    <row r="173" spans="5:9" x14ac:dyDescent="0.2">
      <c r="E173"/>
      <c r="F173"/>
      <c r="G173"/>
      <c r="H173"/>
      <c r="I173"/>
    </row>
    <row r="174" spans="5:9" x14ac:dyDescent="0.2">
      <c r="E174"/>
      <c r="F174"/>
      <c r="G174"/>
      <c r="H174"/>
      <c r="I174"/>
    </row>
    <row r="175" spans="5:9" x14ac:dyDescent="0.2">
      <c r="E175"/>
      <c r="F175"/>
      <c r="G175"/>
      <c r="H175"/>
      <c r="I175"/>
    </row>
    <row r="176" spans="5:9" x14ac:dyDescent="0.2">
      <c r="E176"/>
      <c r="F176"/>
      <c r="G176"/>
      <c r="H176"/>
      <c r="I176"/>
    </row>
    <row r="177" spans="5:9" x14ac:dyDescent="0.2">
      <c r="E177"/>
      <c r="F177"/>
      <c r="G177"/>
      <c r="H177"/>
      <c r="I177"/>
    </row>
    <row r="178" spans="5:9" x14ac:dyDescent="0.2">
      <c r="E178"/>
      <c r="F178"/>
      <c r="G178"/>
      <c r="H178"/>
      <c r="I178"/>
    </row>
    <row r="179" spans="5:9" x14ac:dyDescent="0.2">
      <c r="E179"/>
      <c r="F179"/>
      <c r="G179"/>
      <c r="H179"/>
      <c r="I179"/>
    </row>
    <row r="180" spans="5:9" x14ac:dyDescent="0.2">
      <c r="E180"/>
      <c r="F180"/>
      <c r="G180"/>
      <c r="H180"/>
      <c r="I180"/>
    </row>
    <row r="181" spans="5:9" x14ac:dyDescent="0.2">
      <c r="E181"/>
      <c r="F181"/>
      <c r="G181"/>
      <c r="H181"/>
      <c r="I181"/>
    </row>
    <row r="182" spans="5:9" x14ac:dyDescent="0.2">
      <c r="E182"/>
      <c r="F182"/>
      <c r="G182"/>
      <c r="H182"/>
      <c r="I182"/>
    </row>
    <row r="183" spans="5:9" x14ac:dyDescent="0.2">
      <c r="E183"/>
      <c r="F183"/>
      <c r="G183"/>
      <c r="H183"/>
      <c r="I183"/>
    </row>
    <row r="184" spans="5:9" x14ac:dyDescent="0.2">
      <c r="E184"/>
      <c r="F184"/>
      <c r="G184"/>
      <c r="H184"/>
      <c r="I184"/>
    </row>
    <row r="185" spans="5:9" x14ac:dyDescent="0.2">
      <c r="E185"/>
      <c r="F185"/>
      <c r="G185"/>
      <c r="H185"/>
      <c r="I185"/>
    </row>
    <row r="186" spans="5:9" x14ac:dyDescent="0.2">
      <c r="E186"/>
      <c r="F186"/>
      <c r="G186"/>
      <c r="H186"/>
      <c r="I186"/>
    </row>
    <row r="187" spans="5:9" x14ac:dyDescent="0.2">
      <c r="E187"/>
      <c r="F187"/>
      <c r="G187"/>
      <c r="H187"/>
      <c r="I187"/>
    </row>
    <row r="188" spans="5:9" x14ac:dyDescent="0.2">
      <c r="E188"/>
      <c r="F188"/>
      <c r="G188"/>
      <c r="H188"/>
      <c r="I188"/>
    </row>
    <row r="189" spans="5:9" x14ac:dyDescent="0.2">
      <c r="E189"/>
      <c r="F189"/>
      <c r="G189"/>
      <c r="H189"/>
      <c r="I189"/>
    </row>
    <row r="190" spans="5:9" x14ac:dyDescent="0.2">
      <c r="E190"/>
      <c r="F190"/>
      <c r="G190"/>
      <c r="H190"/>
      <c r="I190"/>
    </row>
    <row r="191" spans="5:9" x14ac:dyDescent="0.2">
      <c r="E191"/>
      <c r="F191"/>
      <c r="G191"/>
      <c r="H191"/>
      <c r="I191"/>
    </row>
    <row r="192" spans="5:9" x14ac:dyDescent="0.2">
      <c r="E192"/>
      <c r="F192"/>
      <c r="G192"/>
      <c r="H192"/>
      <c r="I192"/>
    </row>
    <row r="193" spans="5:9" x14ac:dyDescent="0.2">
      <c r="E193"/>
      <c r="F193"/>
      <c r="G193"/>
      <c r="H193"/>
      <c r="I193"/>
    </row>
    <row r="194" spans="5:9" x14ac:dyDescent="0.2">
      <c r="E194"/>
      <c r="F194"/>
      <c r="G194"/>
      <c r="H194"/>
      <c r="I194"/>
    </row>
    <row r="195" spans="5:9" x14ac:dyDescent="0.2">
      <c r="E195"/>
      <c r="F195"/>
      <c r="G195"/>
      <c r="H195"/>
      <c r="I195"/>
    </row>
    <row r="196" spans="5:9" x14ac:dyDescent="0.2">
      <c r="E196"/>
      <c r="F196"/>
      <c r="G196"/>
      <c r="H196"/>
      <c r="I196"/>
    </row>
    <row r="197" spans="5:9" x14ac:dyDescent="0.2">
      <c r="E197"/>
      <c r="F197"/>
      <c r="G197"/>
      <c r="H197"/>
      <c r="I197"/>
    </row>
    <row r="198" spans="5:9" x14ac:dyDescent="0.2">
      <c r="E198"/>
      <c r="F198"/>
      <c r="G198"/>
      <c r="H198"/>
      <c r="I198"/>
    </row>
  </sheetData>
  <mergeCells count="3">
    <mergeCell ref="A1:D1"/>
    <mergeCell ref="A2:D2"/>
    <mergeCell ref="C3:D3"/>
  </mergeCells>
  <pageMargins left="0.7" right="0.7" top="0.75" bottom="0.75" header="0.3" footer="0.3"/>
  <pageSetup paperSize="9" orientation="landscape" horizontalDpi="1200" verticalDpi="1200" r:id="rId1"/>
  <ignoredErrors>
    <ignoredError sqref="B6:B60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5"/>
  <sheetViews>
    <sheetView workbookViewId="0">
      <selection activeCell="C9" sqref="C9"/>
    </sheetView>
  </sheetViews>
  <sheetFormatPr defaultRowHeight="12.75" x14ac:dyDescent="0.2"/>
  <cols>
    <col min="1" max="1" width="93.28515625" customWidth="1"/>
  </cols>
  <sheetData>
    <row r="1" spans="1:4" ht="30" x14ac:dyDescent="0.2">
      <c r="A1" s="328" t="s">
        <v>572</v>
      </c>
      <c r="B1" s="329" t="s">
        <v>722</v>
      </c>
      <c r="C1" s="332">
        <f>ROUND(ROUND(GetPatVarnum("s5zf","&amp;a0200"),0)/1000,0)</f>
        <v>8655</v>
      </c>
      <c r="D1" s="333">
        <f>ROUND(ROUND(GetPatVarnum("s5zf","&amp;a0201"),0)/1000,0)</f>
        <v>8655</v>
      </c>
    </row>
    <row r="2" spans="1:4" ht="30" x14ac:dyDescent="0.2">
      <c r="A2" s="328" t="s">
        <v>723</v>
      </c>
      <c r="B2" s="329" t="s">
        <v>724</v>
      </c>
      <c r="C2" s="332">
        <f>ROUND(ROUND(GetPatVarnum("s5zf","&amp;a0210"),0)/1000,0)</f>
        <v>7524</v>
      </c>
      <c r="D2" s="333">
        <f>ROUND(ROUND(GetPatVarnum("s5zf","&amp;a0211"),0)/1000,0)</f>
        <v>7524</v>
      </c>
    </row>
    <row r="3" spans="1:4" ht="15" x14ac:dyDescent="0.2">
      <c r="A3" s="328" t="s">
        <v>725</v>
      </c>
      <c r="B3" s="329" t="s">
        <v>726</v>
      </c>
      <c r="C3" s="332">
        <f>ROUND(ROUND(GetPatVarnum("s5zf","&amp;a0220"),0)/1000,0)</f>
        <v>2579</v>
      </c>
      <c r="D3" s="333">
        <f>ROUND(ROUND(GetPatVarnum("s5zf","&amp;a0221"),0)/1000,0)</f>
        <v>2579</v>
      </c>
    </row>
    <row r="4" spans="1:4" ht="15" x14ac:dyDescent="0.2">
      <c r="A4" s="328" t="s">
        <v>727</v>
      </c>
      <c r="B4" s="329" t="s">
        <v>728</v>
      </c>
      <c r="C4" s="332">
        <f>ROUND(ROUND(GetPatVarnum("s5zf","&amp;a0230"),0)/1000,0)</f>
        <v>94</v>
      </c>
      <c r="D4" s="333">
        <f>ROUND(ROUND(GetPatVarnum("s5zf","&amp;a0231"),0)/1000,0)</f>
        <v>94</v>
      </c>
    </row>
    <row r="5" spans="1:4" ht="15" x14ac:dyDescent="0.2">
      <c r="A5" s="328" t="s">
        <v>729</v>
      </c>
      <c r="B5" s="329" t="s">
        <v>730</v>
      </c>
      <c r="C5" s="332">
        <f>ROUND(ROUND(GetPatVarnum("s5zf","&amp;a0240"),0)/1000,0)</f>
        <v>0</v>
      </c>
      <c r="D5" s="333">
        <f>ROUND(ROUND(GetPatVarnum("s5zf","&amp;a0241"),0)/1000,0)</f>
        <v>0</v>
      </c>
    </row>
    <row r="6" spans="1:4" ht="15" x14ac:dyDescent="0.2">
      <c r="A6" s="328" t="s">
        <v>731</v>
      </c>
      <c r="B6" s="329" t="s">
        <v>732</v>
      </c>
      <c r="C6" s="332">
        <f>ROUND(ROUND(GetPatVarnum("s5zf","&amp;a0250"),0)/1000,0)</f>
        <v>82</v>
      </c>
      <c r="D6" s="333">
        <f>ROUND(ROUND(GetPatVarnum("s5zf","&amp;a0251"),0)/1000,0)</f>
        <v>82</v>
      </c>
    </row>
    <row r="7" spans="1:4" ht="15" x14ac:dyDescent="0.2">
      <c r="A7" s="328" t="s">
        <v>733</v>
      </c>
      <c r="B7" s="329" t="s">
        <v>734</v>
      </c>
      <c r="C7" s="332">
        <f>ROUND(ROUND(GetPatVarnum("s5zf","&amp;a0260"),0)/1000,0)</f>
        <v>0</v>
      </c>
      <c r="D7" s="333">
        <f>ROUND(ROUND(GetPatVarnum("s5zf","&amp;a0261"),0)/1000,0)</f>
        <v>0</v>
      </c>
    </row>
    <row r="8" spans="1:4" ht="15" x14ac:dyDescent="0.2">
      <c r="A8" s="328" t="s">
        <v>735</v>
      </c>
      <c r="B8" s="329" t="s">
        <v>736</v>
      </c>
      <c r="C8" s="332">
        <f>ROUND(ROUND(GetPatVarnum("s5zf","&amp;a0270"),0)/1000,0)</f>
        <v>18</v>
      </c>
      <c r="D8" s="333">
        <f>ROUND(ROUND(GetPatVarnum("s5zf","&amp;a0271"),0)/1000,0)</f>
        <v>18</v>
      </c>
    </row>
    <row r="9" spans="1:4" ht="30" x14ac:dyDescent="0.2">
      <c r="A9" s="328" t="s">
        <v>814</v>
      </c>
      <c r="B9" s="329" t="s">
        <v>245</v>
      </c>
      <c r="C9" s="332">
        <f>ROUND(ROUND(GetPatVarnum("s5zf","&amp;a2300"),0)/1000,0)</f>
        <v>16</v>
      </c>
      <c r="D9" s="333">
        <f>ROUND(ROUND(GetPatVarnum("s5zf","&amp;a2301"),0)/1000,0)</f>
        <v>16</v>
      </c>
    </row>
    <row r="10" spans="1:4" ht="15" x14ac:dyDescent="0.2">
      <c r="A10" s="328" t="s">
        <v>738</v>
      </c>
      <c r="B10" s="329" t="s">
        <v>739</v>
      </c>
      <c r="C10" s="332">
        <f>ROUND(ROUND(GetPatVarnum("s5zf","&amp;a0280"),0)/1000,0)</f>
        <v>0</v>
      </c>
      <c r="D10" s="333">
        <f>ROUND(ROUND(GetPatVarnum("s5zf","&amp;a0281"),0)/1000,0)</f>
        <v>0</v>
      </c>
    </row>
    <row r="11" spans="1:4" ht="15" x14ac:dyDescent="0.2">
      <c r="A11" s="328" t="s">
        <v>740</v>
      </c>
      <c r="B11" s="329" t="s">
        <v>741</v>
      </c>
      <c r="C11" s="332">
        <f>ROUND(ROUND(GetPatVarnum("s5zf","&amp;a0290"),0)/1000,0)</f>
        <v>33</v>
      </c>
      <c r="D11" s="333">
        <f>ROUND(ROUND(GetPatVarnum("s5zf","&amp;a0291"),0)/1000,0)</f>
        <v>33</v>
      </c>
    </row>
    <row r="12" spans="1:4" ht="15" x14ac:dyDescent="0.2">
      <c r="A12" s="328" t="s">
        <v>580</v>
      </c>
      <c r="B12" s="329" t="s">
        <v>743</v>
      </c>
      <c r="C12" s="332">
        <f>ROUND(ROUND(GetPatVarnum("s5zf","&amp;a0300"),0)/1000,0)</f>
        <v>83</v>
      </c>
      <c r="D12" s="333">
        <f>ROUND(ROUND(GetPatVarnum("s5zf","&amp;a0301"),0)/1000,0)</f>
        <v>83</v>
      </c>
    </row>
    <row r="13" spans="1:4" ht="15" x14ac:dyDescent="0.2">
      <c r="A13" s="328" t="s">
        <v>585</v>
      </c>
      <c r="B13" s="329" t="s">
        <v>744</v>
      </c>
      <c r="C13" s="332">
        <f>ROUND(ROUND(GetPatVarnum("s5zf","&amp;a0310"),0)/1000,0)</f>
        <v>1617</v>
      </c>
      <c r="D13" s="333">
        <f>ROUND(ROUND(GetPatVarnum("s5zf","&amp;a0311"),0)/1000,0)</f>
        <v>1617</v>
      </c>
    </row>
    <row r="14" spans="1:4" ht="15" x14ac:dyDescent="0.2">
      <c r="A14" s="328" t="s">
        <v>586</v>
      </c>
      <c r="B14" s="329" t="s">
        <v>745</v>
      </c>
      <c r="C14" s="332">
        <f>ROUND(ROUND(GetPatVarnum("s5zf","&amp;a0320"),0)/1000,0)</f>
        <v>154</v>
      </c>
      <c r="D14" s="333">
        <f>ROUND(ROUND(GetPatVarnum("s5zf","&amp;a0321"),0)/1000,0)</f>
        <v>154</v>
      </c>
    </row>
    <row r="15" spans="1:4" ht="15" x14ac:dyDescent="0.2">
      <c r="A15" s="328" t="s">
        <v>746</v>
      </c>
      <c r="B15" s="329" t="s">
        <v>747</v>
      </c>
      <c r="C15" s="332">
        <f>ROUND(ROUND(GetPatVarnum("s5zf","&amp;a0330"),0)/1000,0)</f>
        <v>548</v>
      </c>
      <c r="D15" s="333">
        <f>ROUND(ROUND(GetPatVarnum("s5zf","&amp;a0331"),0)/1000,0)</f>
        <v>548</v>
      </c>
    </row>
    <row r="16" spans="1:4" ht="15" x14ac:dyDescent="0.2">
      <c r="A16" s="328" t="s">
        <v>748</v>
      </c>
      <c r="B16" s="329" t="s">
        <v>679</v>
      </c>
      <c r="C16" s="332">
        <f>ROUND(ROUND(GetPatVarnum("s5zf","&amp;a0340"),0)/1000,0)</f>
        <v>0</v>
      </c>
      <c r="D16" s="333">
        <f>ROUND(ROUND(GetPatVarnum("s5zf","&amp;a0341"),0)/1000,0)</f>
        <v>0</v>
      </c>
    </row>
    <row r="17" spans="1:4" ht="15" x14ac:dyDescent="0.2">
      <c r="A17" s="328" t="s">
        <v>749</v>
      </c>
      <c r="B17" s="329" t="s">
        <v>750</v>
      </c>
      <c r="C17" s="332">
        <f>ROUND(ROUND(GetPatVarnum("s5zf","&amp;a0350"),0)/1000,0)</f>
        <v>522</v>
      </c>
      <c r="D17" s="333">
        <f>ROUND(ROUND(GetPatVarnum("s5zf","&amp;a0351"),0)/1000,0)</f>
        <v>522</v>
      </c>
    </row>
    <row r="18" spans="1:4" ht="15" x14ac:dyDescent="0.2">
      <c r="A18" s="328" t="s">
        <v>588</v>
      </c>
      <c r="B18" s="329" t="s">
        <v>751</v>
      </c>
      <c r="C18" s="332">
        <f>ROUND(ROUND(GetPatVarnum("s5zf","&amp;a0360"),0)/1000,0)</f>
        <v>1663</v>
      </c>
      <c r="D18" s="333">
        <f>ROUND(ROUND(GetPatVarnum("s5zf","&amp;a0361"),0)/1000,0)</f>
        <v>1663</v>
      </c>
    </row>
    <row r="19" spans="1:4" ht="15" x14ac:dyDescent="0.2">
      <c r="A19" s="328" t="s">
        <v>752</v>
      </c>
      <c r="B19" s="329" t="s">
        <v>753</v>
      </c>
      <c r="C19" s="332">
        <f>ROUND(ROUND(GetPatVarnum("s5zf","&amp;a0370"),0)/1000,0)</f>
        <v>0</v>
      </c>
      <c r="D19" s="333">
        <f>ROUND(ROUND(GetPatVarnum("s5zf","&amp;a0371"),0)/1000,0)</f>
        <v>0</v>
      </c>
    </row>
    <row r="20" spans="1:4" ht="15" x14ac:dyDescent="0.2">
      <c r="A20" s="328" t="s">
        <v>590</v>
      </c>
      <c r="B20" s="329" t="s">
        <v>754</v>
      </c>
      <c r="C20" s="332">
        <f>ROUND(ROUND(GetPatVarnum("s5zf","&amp;a0380"),0)/1000,0)</f>
        <v>556</v>
      </c>
      <c r="D20" s="333">
        <f>ROUND(ROUND(GetPatVarnum("s5zf","&amp;a0381"),0)/1000,0)</f>
        <v>556</v>
      </c>
    </row>
    <row r="21" spans="1:4" ht="30" x14ac:dyDescent="0.2">
      <c r="A21" s="328" t="s">
        <v>755</v>
      </c>
      <c r="B21" s="329" t="s">
        <v>742</v>
      </c>
      <c r="C21" s="332">
        <f>ROUND(ROUND(GetPatVarnum("s5zf","&amp;a0390"),0)/1000,0)</f>
        <v>1981</v>
      </c>
      <c r="D21" s="333">
        <f>ROUND(ROUND(GetPatVarnum("s5zf","&amp;a0391"),0)/1000,0)</f>
        <v>1981</v>
      </c>
    </row>
    <row r="22" spans="1:4" ht="15" x14ac:dyDescent="0.2">
      <c r="A22" s="328" t="s">
        <v>756</v>
      </c>
      <c r="B22" s="329" t="s">
        <v>757</v>
      </c>
      <c r="C22" s="332">
        <f>ROUND(ROUND(GetPatVarnum("s5zf","&amp;a0400"),0)/1000,0)</f>
        <v>745</v>
      </c>
      <c r="D22" s="333">
        <f>ROUND(ROUND(GetPatVarnum("s5zf","&amp;a0401"),0)/1000,0)</f>
        <v>745</v>
      </c>
    </row>
    <row r="23" spans="1:4" ht="15" x14ac:dyDescent="0.2">
      <c r="A23" s="328" t="s">
        <v>758</v>
      </c>
      <c r="B23" s="329" t="s">
        <v>759</v>
      </c>
      <c r="C23" s="332">
        <f>ROUND(ROUND(GetPatVarnum("s5zf","&amp;a0410"),0)/1000,0)</f>
        <v>28</v>
      </c>
      <c r="D23" s="333">
        <f>ROUND(ROUND(GetPatVarnum("s5zf","&amp;a0411"),0)/1000,0)</f>
        <v>28</v>
      </c>
    </row>
    <row r="24" spans="1:4" ht="15" x14ac:dyDescent="0.2">
      <c r="A24" s="328" t="s">
        <v>760</v>
      </c>
      <c r="B24" s="329" t="s">
        <v>238</v>
      </c>
      <c r="C24" s="332">
        <f>ROUND(ROUND(GetPatVarnum("s5zf","&amp;a2400"),0)/1000,0)</f>
        <v>27</v>
      </c>
      <c r="D24" s="333">
        <f>ROUND(ROUND(GetPatVarnum("s5zf","&amp;a2401"),0)/1000,0)</f>
        <v>27</v>
      </c>
    </row>
    <row r="25" spans="1:4" ht="15" x14ac:dyDescent="0.2">
      <c r="A25" s="328" t="s">
        <v>761</v>
      </c>
      <c r="B25" s="329" t="s">
        <v>762</v>
      </c>
      <c r="C25" s="332">
        <f>ROUND(ROUND(GetPatVarnum("s5zf","&amp;a0420"),0)/1000,0)</f>
        <v>0</v>
      </c>
      <c r="D25" s="333">
        <f>ROUND(ROUND(GetPatVarnum("s5zf","&amp;a0421"),0)/1000,0)</f>
        <v>0</v>
      </c>
    </row>
    <row r="26" spans="1:4" ht="15" x14ac:dyDescent="0.2">
      <c r="A26" s="328" t="s">
        <v>763</v>
      </c>
      <c r="B26" s="329" t="s">
        <v>764</v>
      </c>
      <c r="C26" s="332">
        <f>ROUND(ROUND(GetPatVarnum("s5zf","&amp;a0430"),0)/1000,0)</f>
        <v>4</v>
      </c>
      <c r="D26" s="333">
        <f>ROUND(ROUND(GetPatVarnum("s5zf","&amp;a0431"),0)/1000,0)</f>
        <v>4</v>
      </c>
    </row>
    <row r="27" spans="1:4" ht="30" x14ac:dyDescent="0.2">
      <c r="A27" s="328" t="s">
        <v>765</v>
      </c>
      <c r="B27" s="329" t="s">
        <v>737</v>
      </c>
      <c r="C27" s="332">
        <f>ROUND(ROUND(GetPatVarnum("s5zf","&amp;a0440"),0)/1000,0)</f>
        <v>529</v>
      </c>
      <c r="D27" s="333">
        <f>ROUND(ROUND(GetPatVarnum("s5zf","&amp;a0441"),0)/1000,0)</f>
        <v>529</v>
      </c>
    </row>
    <row r="28" spans="1:4" ht="15" x14ac:dyDescent="0.2">
      <c r="A28" s="328" t="s">
        <v>766</v>
      </c>
      <c r="B28" s="329" t="s">
        <v>767</v>
      </c>
      <c r="C28" s="332">
        <f>ROUND(ROUND(GetPatVarnum("s5zf","&amp;a0450"),0)/1000,0)</f>
        <v>0</v>
      </c>
      <c r="D28" s="333">
        <f>ROUND(ROUND(GetPatVarnum("s5zf","&amp;a0451"),0)/1000,0)</f>
        <v>0</v>
      </c>
    </row>
    <row r="29" spans="1:4" ht="15" x14ac:dyDescent="0.2">
      <c r="A29" s="328" t="s">
        <v>768</v>
      </c>
      <c r="B29" s="329" t="s">
        <v>409</v>
      </c>
      <c r="C29" s="332">
        <f>ROUND(ROUND(GetPatVarnum("s5zf","&amp;a2440"),0)/1000,0)</f>
        <v>9</v>
      </c>
      <c r="D29" s="333">
        <f>ROUND(ROUND(GetPatVarnum("s5zf","&amp;a2441"),0)/1000,0)</f>
        <v>9</v>
      </c>
    </row>
    <row r="30" spans="1:4" ht="15" x14ac:dyDescent="0.2">
      <c r="A30" s="328" t="s">
        <v>769</v>
      </c>
      <c r="B30" s="329" t="s">
        <v>770</v>
      </c>
      <c r="C30" s="332">
        <f>ROUND(ROUND(GetPatVarnum("s5zf","&amp;A0460"),0)/1000,0)</f>
        <v>168</v>
      </c>
      <c r="D30" s="333">
        <f>ROUND(ROUND(GetPatVarnum("s5zf","&amp;a0461"),0)/1000,0)</f>
        <v>168</v>
      </c>
    </row>
    <row r="31" spans="1:4" ht="15" x14ac:dyDescent="0.2">
      <c r="A31" s="328" t="s">
        <v>771</v>
      </c>
      <c r="B31" s="329" t="s">
        <v>772</v>
      </c>
      <c r="C31" s="332">
        <f>ROUND(ROUND(GetPatVarnum("s5zf","&amp;a0470"),0)/1000,0)</f>
        <v>11</v>
      </c>
      <c r="D31" s="333">
        <f>ROUND(ROUND(GetPatVarnum("s5zf","&amp;a0471"),0)/1000,0)</f>
        <v>11</v>
      </c>
    </row>
    <row r="32" spans="1:4" ht="15" x14ac:dyDescent="0.2">
      <c r="A32" s="328" t="s">
        <v>773</v>
      </c>
      <c r="B32" s="329" t="s">
        <v>774</v>
      </c>
      <c r="C32" s="332">
        <f>ROUND(ROUND(GetPatVarnum("s5zf","&amp;a0480"),0)/1000,0)</f>
        <v>1</v>
      </c>
      <c r="D32" s="333">
        <f>ROUND(ROUND(GetPatVarnum("s5zf","&amp;a0481"),0)/1000,0)</f>
        <v>1</v>
      </c>
    </row>
    <row r="33" spans="1:4" ht="15" x14ac:dyDescent="0.2">
      <c r="A33" s="328" t="s">
        <v>775</v>
      </c>
      <c r="B33" s="329" t="s">
        <v>776</v>
      </c>
      <c r="C33" s="332">
        <f>ROUND(ROUND(GetPatVarnum("s5zf","&amp;a0490"),0)/1000,0)</f>
        <v>1</v>
      </c>
      <c r="D33" s="333">
        <f>ROUND(ROUND(GetPatVarnum("s5zf","&amp;a0491"),0)/1000,0)</f>
        <v>1</v>
      </c>
    </row>
    <row r="34" spans="1:4" ht="15" x14ac:dyDescent="0.2">
      <c r="A34" s="328" t="s">
        <v>777</v>
      </c>
      <c r="B34" s="329" t="s">
        <v>248</v>
      </c>
      <c r="C34" s="332">
        <f>ROUND(ROUND(GetPatVarnum("s5zf","&amp;a2450"),0)/1000,0)</f>
        <v>4</v>
      </c>
      <c r="D34" s="333">
        <f>ROUND(ROUND(GetPatVarnum("s5zf","&amp;a2451"),0)/1000,0)</f>
        <v>4</v>
      </c>
    </row>
    <row r="35" spans="1:4" ht="15" x14ac:dyDescent="0.2">
      <c r="A35" s="328" t="s">
        <v>778</v>
      </c>
      <c r="B35" s="329" t="s">
        <v>779</v>
      </c>
      <c r="C35" s="332">
        <f>ROUND(ROUND(GetPatVarnum("s5zf","&amp;a0500"),0)/1000,0)</f>
        <v>11</v>
      </c>
      <c r="D35" s="333">
        <f>ROUND(ROUND(GetPatVarnum("s5zf","&amp;a0501"),0)/1000,0)</f>
        <v>11</v>
      </c>
    </row>
    <row r="36" spans="1:4" ht="15" x14ac:dyDescent="0.2">
      <c r="A36" s="328" t="s">
        <v>780</v>
      </c>
      <c r="B36" s="329" t="s">
        <v>781</v>
      </c>
      <c r="C36" s="332"/>
      <c r="D36" s="333"/>
    </row>
    <row r="37" spans="1:4" ht="15" x14ac:dyDescent="0.2">
      <c r="A37" s="328" t="s">
        <v>782</v>
      </c>
      <c r="B37" s="329" t="s">
        <v>783</v>
      </c>
      <c r="C37" s="332">
        <f>ROUND(ROUND(GetPatVarnum("s5zf","&amp;a0520"),0)/1000,0)</f>
        <v>15</v>
      </c>
      <c r="D37" s="333">
        <f>ROUND(ROUND(GetPatVarnum("s5zf","&amp;a0521"),0)/1000,0)</f>
        <v>15</v>
      </c>
    </row>
    <row r="38" spans="1:4" ht="15" x14ac:dyDescent="0.2">
      <c r="A38" s="328" t="s">
        <v>784</v>
      </c>
      <c r="B38" s="329" t="s">
        <v>785</v>
      </c>
      <c r="C38" s="332">
        <f>ROUND(ROUND(GetPatVarnum("s5zf","&amp;a0530"),0)/1000,0)</f>
        <v>1</v>
      </c>
      <c r="D38" s="333">
        <f>ROUND(ROUND(GetPatVarnum("s5zf","&amp;a0531"),0)/1000,0)</f>
        <v>1</v>
      </c>
    </row>
    <row r="39" spans="1:4" ht="15" x14ac:dyDescent="0.2">
      <c r="A39" s="328" t="s">
        <v>786</v>
      </c>
      <c r="B39" s="329" t="s">
        <v>787</v>
      </c>
      <c r="C39" s="332">
        <f>ROUND(ROUND(GetPatVarnum("s5zf","&amp;a0540"),0)/1000,0)</f>
        <v>0</v>
      </c>
      <c r="D39" s="333">
        <f>ROUND(ROUND(GetPatVarnum("s5zf","&amp;a0541"),0)/1000,0)</f>
        <v>0</v>
      </c>
    </row>
    <row r="40" spans="1:4" ht="15" x14ac:dyDescent="0.2">
      <c r="A40" s="328" t="s">
        <v>788</v>
      </c>
      <c r="B40" s="329" t="s">
        <v>789</v>
      </c>
      <c r="C40" s="332">
        <f>ROUND(ROUND(GetPatVarnum("s5zf","&amp;a0550"),0)/1000,0)</f>
        <v>94</v>
      </c>
      <c r="D40" s="333">
        <f>ROUND(ROUND(GetPatVarnum("s5zf","&amp;a0551"),0)/1000,0)</f>
        <v>94</v>
      </c>
    </row>
    <row r="41" spans="1:4" ht="15" x14ac:dyDescent="0.2">
      <c r="A41" s="328" t="s">
        <v>790</v>
      </c>
      <c r="B41" s="329" t="s">
        <v>791</v>
      </c>
      <c r="C41" s="332">
        <f>ROUND(ROUND(GetPatVarnum("s5zf","&amp;a0560"),0)/1000,0)</f>
        <v>3</v>
      </c>
      <c r="D41" s="333">
        <f>ROUND(ROUND(GetPatVarnum("s5zf","&amp;a0561"),0)/1000,0)</f>
        <v>3</v>
      </c>
    </row>
    <row r="42" spans="1:4" ht="15" x14ac:dyDescent="0.2">
      <c r="A42" s="328" t="s">
        <v>792</v>
      </c>
      <c r="B42" s="329" t="s">
        <v>793</v>
      </c>
      <c r="C42" s="332">
        <f>ROUND(ROUND(GetPatVarnum("s5zf","&amp;a0570"),0)/1000,0)</f>
        <v>0</v>
      </c>
      <c r="D42" s="333">
        <f>ROUND(ROUND(GetPatVarnum("s5zf","&amp;a0571"),0)/1000,0)</f>
        <v>0</v>
      </c>
    </row>
    <row r="43" spans="1:4" ht="15" x14ac:dyDescent="0.2">
      <c r="A43" s="328" t="s">
        <v>794</v>
      </c>
      <c r="B43" s="329" t="s">
        <v>195</v>
      </c>
      <c r="C43" s="332">
        <f>ROUND(ROUND(GetPatVarnum("s5zf","&amp;a2510"),0)/1000,0)</f>
        <v>13</v>
      </c>
      <c r="D43" s="333">
        <f>ROUND(ROUND(GetPatVarnum("s5zf","&amp;a2511"),0)/1000,0)</f>
        <v>13</v>
      </c>
    </row>
    <row r="44" spans="1:4" ht="15" x14ac:dyDescent="0.2">
      <c r="A44" s="328" t="s">
        <v>795</v>
      </c>
      <c r="B44" s="329" t="s">
        <v>196</v>
      </c>
      <c r="C44" s="332">
        <f>ROUND(ROUND(GetPatVarnum("s5zf","&amp;a2520"),0)/1000,0)</f>
        <v>2</v>
      </c>
      <c r="D44" s="333">
        <f>ROUND(ROUND(GetPatVarnum("s5zf","&amp;a2521"),0)/1000,0)</f>
        <v>2</v>
      </c>
    </row>
    <row r="45" spans="1:4" ht="15" x14ac:dyDescent="0.2">
      <c r="A45" s="328" t="s">
        <v>796</v>
      </c>
      <c r="B45" s="329" t="s">
        <v>250</v>
      </c>
      <c r="C45" s="332">
        <f>ROUND(ROUND(GetPatVarnum("s5zf","&amp;a2530"),0)/1000,0)</f>
        <v>1</v>
      </c>
      <c r="D45" s="333">
        <f>ROUND(ROUND(GetPatVarnum("s5zf","&amp;a2531"),0)/1000,0)</f>
        <v>1</v>
      </c>
    </row>
    <row r="46" spans="1:4" ht="15" x14ac:dyDescent="0.2">
      <c r="A46" s="328" t="s">
        <v>73</v>
      </c>
      <c r="B46" s="329" t="s">
        <v>797</v>
      </c>
      <c r="C46" s="332">
        <f>ROUND(ROUND(GetPatVarnum("s5zf","&amp;a0580"),0)/1000,0)</f>
        <v>7</v>
      </c>
      <c r="D46" s="333">
        <f>ROUND(ROUND(GetPatVarnum("s5zf","&amp;a0581"),0)/1000,0)</f>
        <v>7</v>
      </c>
    </row>
    <row r="47" spans="1:4" ht="15" x14ac:dyDescent="0.2">
      <c r="A47" s="328" t="s">
        <v>813</v>
      </c>
      <c r="B47" s="329" t="s">
        <v>798</v>
      </c>
      <c r="C47" s="332"/>
      <c r="D47" s="333"/>
    </row>
    <row r="48" spans="1:4" ht="15" x14ac:dyDescent="0.2">
      <c r="A48" s="328" t="s">
        <v>799</v>
      </c>
      <c r="B48" s="329" t="s">
        <v>800</v>
      </c>
      <c r="C48" s="332"/>
      <c r="D48" s="333"/>
    </row>
    <row r="49" spans="1:4" ht="15" x14ac:dyDescent="0.2">
      <c r="A49" s="328" t="s">
        <v>801</v>
      </c>
      <c r="B49" s="329" t="s">
        <v>613</v>
      </c>
      <c r="C49" s="332">
        <f>ROUND(ROUND(GetPatVarnum("s5zf","&amp;a0620"),0)/1000,0)</f>
        <v>11</v>
      </c>
      <c r="D49" s="333">
        <f>ROUND(ROUND(GetPatVarnum("s5zf","&amp;a0621"),0)/1000,0)</f>
        <v>11</v>
      </c>
    </row>
    <row r="50" spans="1:4" ht="15" x14ac:dyDescent="0.2">
      <c r="A50" s="328" t="s">
        <v>197</v>
      </c>
      <c r="B50" s="329" t="s">
        <v>198</v>
      </c>
      <c r="C50" s="332">
        <f>ROUND(ROUND(GetPatVarnum("s5zf","&amp;a2600"),0)/1000,0)</f>
        <v>0</v>
      </c>
      <c r="D50" s="333">
        <f>ROUND(ROUND(GetPatVarnum("s5zf","&amp;a2601"),0)/1000,0)</f>
        <v>0</v>
      </c>
    </row>
    <row r="51" spans="1:4" ht="15" x14ac:dyDescent="0.2">
      <c r="A51" s="328" t="s">
        <v>802</v>
      </c>
      <c r="B51" s="329" t="s">
        <v>803</v>
      </c>
      <c r="C51" s="332"/>
      <c r="D51" s="333"/>
    </row>
    <row r="52" spans="1:4" ht="15" x14ac:dyDescent="0.2">
      <c r="A52" s="328" t="s">
        <v>804</v>
      </c>
      <c r="B52" s="329" t="s">
        <v>805</v>
      </c>
      <c r="C52" s="332"/>
      <c r="D52" s="333"/>
    </row>
    <row r="53" spans="1:4" ht="15" x14ac:dyDescent="0.2">
      <c r="A53" s="328" t="s">
        <v>806</v>
      </c>
      <c r="B53" s="329" t="s">
        <v>807</v>
      </c>
      <c r="C53" s="332"/>
      <c r="D53" s="333"/>
    </row>
    <row r="54" spans="1:4" ht="15" x14ac:dyDescent="0.2">
      <c r="A54" s="328" t="s">
        <v>808</v>
      </c>
      <c r="B54" s="329" t="s">
        <v>809</v>
      </c>
      <c r="C54" s="332"/>
      <c r="D54" s="333"/>
    </row>
    <row r="55" spans="1:4" ht="15" x14ac:dyDescent="0.2">
      <c r="A55" s="328" t="s">
        <v>810</v>
      </c>
      <c r="B55" s="329" t="s">
        <v>811</v>
      </c>
      <c r="C55" s="332"/>
      <c r="D55" s="33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"/>
  <sheetViews>
    <sheetView view="pageLayout" zoomScaleNormal="100" workbookViewId="0">
      <selection activeCell="B6" sqref="B6"/>
    </sheetView>
  </sheetViews>
  <sheetFormatPr defaultRowHeight="12.75" x14ac:dyDescent="0.2"/>
  <cols>
    <col min="1" max="1" width="123.140625" customWidth="1"/>
    <col min="2" max="2" width="4.85546875" customWidth="1"/>
    <col min="3" max="3" width="4.7109375" customWidth="1"/>
  </cols>
  <sheetData>
    <row r="1" spans="1:14" ht="12.75" customHeight="1" x14ac:dyDescent="0.2">
      <c r="A1" s="388" t="s">
        <v>3765</v>
      </c>
      <c r="B1" s="388"/>
      <c r="C1" s="388"/>
    </row>
    <row r="2" spans="1:14" s="339" customFormat="1" ht="18.75" customHeight="1" x14ac:dyDescent="0.2">
      <c r="A2" s="388" t="s">
        <v>3766</v>
      </c>
      <c r="B2" s="388"/>
      <c r="C2" s="388"/>
      <c r="D2"/>
      <c r="E2"/>
      <c r="F2"/>
      <c r="G2"/>
      <c r="H2"/>
      <c r="I2"/>
      <c r="J2"/>
      <c r="K2"/>
      <c r="L2"/>
      <c r="M2"/>
      <c r="N2"/>
    </row>
    <row r="3" spans="1:14" ht="14.25" x14ac:dyDescent="0.2">
      <c r="A3" s="336" t="s">
        <v>3767</v>
      </c>
      <c r="B3" s="389" t="s">
        <v>570</v>
      </c>
      <c r="C3" s="389"/>
    </row>
    <row r="4" spans="1:14" ht="15" x14ac:dyDescent="0.2">
      <c r="A4" s="337" t="s">
        <v>3768</v>
      </c>
      <c r="B4" s="338" t="s">
        <v>570</v>
      </c>
      <c r="C4" s="338" t="s">
        <v>570</v>
      </c>
    </row>
    <row r="5" spans="1:14" ht="15" x14ac:dyDescent="0.2">
      <c r="A5" s="337" t="s">
        <v>571</v>
      </c>
      <c r="B5" s="338" t="s">
        <v>35</v>
      </c>
      <c r="C5" s="338" t="s">
        <v>565</v>
      </c>
    </row>
    <row r="6" spans="1:14" ht="15" x14ac:dyDescent="0.2">
      <c r="A6" s="337" t="s">
        <v>3769</v>
      </c>
      <c r="B6" s="338" t="s">
        <v>3770</v>
      </c>
      <c r="C6" s="338" t="s">
        <v>565</v>
      </c>
    </row>
    <row r="7" spans="1:14" ht="15" x14ac:dyDescent="0.2">
      <c r="A7" s="337" t="s">
        <v>3771</v>
      </c>
      <c r="B7" s="338" t="s">
        <v>3772</v>
      </c>
      <c r="C7" s="338" t="s">
        <v>3773</v>
      </c>
    </row>
    <row r="8" spans="1:14" ht="15" x14ac:dyDescent="0.2">
      <c r="A8" s="337" t="s">
        <v>3774</v>
      </c>
      <c r="B8" s="338" t="s">
        <v>3775</v>
      </c>
      <c r="C8" s="338" t="s">
        <v>3773</v>
      </c>
    </row>
  </sheetData>
  <mergeCells count="3">
    <mergeCell ref="A1:C1"/>
    <mergeCell ref="A2:C2"/>
    <mergeCell ref="B3:C3"/>
  </mergeCells>
  <pageMargins left="0.7" right="0.7" top="0.75" bottom="0.75" header="0.3" footer="0.3"/>
  <pageSetup paperSize="9" orientation="landscape" horizontalDpi="0" verticalDpi="0" r:id="rId1"/>
  <ignoredErrors>
    <ignoredError sqref="C5:C8 B6:B8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64"/>
  <sheetViews>
    <sheetView view="pageBreakPreview" topLeftCell="A52" zoomScaleNormal="100" zoomScaleSheetLayoutView="100" workbookViewId="0">
      <selection activeCell="J40" sqref="J40:J64"/>
    </sheetView>
  </sheetViews>
  <sheetFormatPr defaultRowHeight="12.75" x14ac:dyDescent="0.2"/>
  <cols>
    <col min="1" max="1" width="9.85546875" customWidth="1"/>
    <col min="2" max="2" width="6.5703125" customWidth="1"/>
    <col min="4" max="4" width="5.28515625" customWidth="1"/>
    <col min="5" max="5" width="6.7109375" customWidth="1"/>
    <col min="6" max="6" width="9.7109375" customWidth="1"/>
    <col min="7" max="7" width="4" customWidth="1"/>
    <col min="8" max="8" width="11.85546875" customWidth="1"/>
    <col min="9" max="9" width="15.85546875" customWidth="1"/>
    <col min="10" max="10" width="43.85546875" customWidth="1"/>
  </cols>
  <sheetData>
    <row r="1" spans="1:9" x14ac:dyDescent="0.2">
      <c r="H1" t="s">
        <v>54</v>
      </c>
    </row>
    <row r="2" spans="1:9" x14ac:dyDescent="0.2">
      <c r="H2" s="456" t="s">
        <v>251</v>
      </c>
      <c r="I2" s="456"/>
    </row>
    <row r="3" spans="1:9" x14ac:dyDescent="0.2">
      <c r="H3" s="456"/>
      <c r="I3" s="456"/>
    </row>
    <row r="4" spans="1:9" ht="33" customHeight="1" x14ac:dyDescent="0.2">
      <c r="H4" s="456"/>
      <c r="I4" s="456"/>
    </row>
    <row r="6" spans="1:9" x14ac:dyDescent="0.2">
      <c r="B6" s="12"/>
      <c r="C6" s="59" t="s">
        <v>53</v>
      </c>
      <c r="D6" s="58"/>
      <c r="E6" s="58"/>
      <c r="F6" s="58"/>
      <c r="G6" s="58"/>
      <c r="H6" s="57"/>
      <c r="I6" s="84"/>
    </row>
    <row r="7" spans="1:9" x14ac:dyDescent="0.2">
      <c r="B7" s="12"/>
      <c r="C7" s="56"/>
      <c r="D7" s="56"/>
      <c r="E7" s="56"/>
      <c r="F7" s="56"/>
      <c r="G7" s="56"/>
      <c r="H7" s="56"/>
      <c r="I7" s="12"/>
    </row>
    <row r="8" spans="1:9" x14ac:dyDescent="0.2">
      <c r="B8" s="55" t="s">
        <v>52</v>
      </c>
      <c r="C8" s="54"/>
      <c r="D8" s="53"/>
      <c r="E8" s="53"/>
      <c r="F8" s="53"/>
      <c r="G8" s="53"/>
      <c r="H8" s="53"/>
      <c r="I8" s="14"/>
    </row>
    <row r="9" spans="1:9" ht="5.45" customHeight="1" x14ac:dyDescent="0.2">
      <c r="B9" s="52"/>
      <c r="C9" s="12"/>
      <c r="D9" s="51"/>
      <c r="E9" s="51"/>
      <c r="F9" s="51"/>
      <c r="G9" s="51"/>
      <c r="H9" s="51"/>
      <c r="I9" s="50"/>
    </row>
    <row r="10" spans="1:9" ht="42" customHeight="1" x14ac:dyDescent="0.2">
      <c r="A10" s="49"/>
      <c r="B10" s="457" t="s">
        <v>252</v>
      </c>
      <c r="C10" s="458"/>
      <c r="D10" s="458"/>
      <c r="E10" s="458"/>
      <c r="F10" s="458"/>
      <c r="G10" s="458"/>
      <c r="H10" s="459"/>
      <c r="I10" s="49"/>
    </row>
    <row r="11" spans="1:9" ht="6.95" customHeight="1" x14ac:dyDescent="0.2">
      <c r="B11" s="12"/>
      <c r="C11" s="12"/>
      <c r="D11" s="12"/>
      <c r="E11" s="12"/>
      <c r="F11" s="12"/>
      <c r="G11" s="12"/>
      <c r="H11" s="12"/>
      <c r="I11" s="12"/>
    </row>
    <row r="12" spans="1:9" x14ac:dyDescent="0.2">
      <c r="B12" s="462" t="s">
        <v>254</v>
      </c>
      <c r="C12" s="463"/>
      <c r="D12" s="463"/>
      <c r="E12" s="463"/>
      <c r="F12" s="463"/>
      <c r="G12" s="463"/>
      <c r="H12" s="464"/>
      <c r="I12" s="12"/>
    </row>
    <row r="13" spans="1:9" x14ac:dyDescent="0.2">
      <c r="B13" s="434" t="s">
        <v>253</v>
      </c>
      <c r="C13" s="435"/>
      <c r="D13" s="435"/>
      <c r="E13" s="435"/>
      <c r="F13" s="435"/>
      <c r="G13" s="435"/>
      <c r="H13" s="436"/>
    </row>
    <row r="14" spans="1:9" x14ac:dyDescent="0.2">
      <c r="B14" s="48"/>
      <c r="C14" s="11"/>
      <c r="D14" s="47" t="s">
        <v>51</v>
      </c>
      <c r="E14" s="47"/>
      <c r="F14" s="46" t="str">
        <f>GetPatVar("s5zf","&amp;меси")</f>
        <v/>
      </c>
      <c r="G14" s="46"/>
      <c r="H14" s="85"/>
    </row>
    <row r="16" spans="1:9" ht="38.25" x14ac:dyDescent="0.2">
      <c r="A16" s="460" t="s">
        <v>50</v>
      </c>
      <c r="B16" s="461"/>
      <c r="C16" s="461"/>
      <c r="D16" s="461"/>
      <c r="E16" s="461"/>
      <c r="F16" s="45" t="s">
        <v>49</v>
      </c>
      <c r="G16" s="44"/>
      <c r="H16" s="432" t="s">
        <v>48</v>
      </c>
      <c r="I16" s="433"/>
    </row>
    <row r="17" spans="1:35" x14ac:dyDescent="0.2">
      <c r="A17" s="421" t="s">
        <v>262</v>
      </c>
      <c r="B17" s="422"/>
      <c r="C17" s="422"/>
      <c r="D17" s="422"/>
      <c r="E17" s="423"/>
      <c r="F17" s="430" t="s">
        <v>255</v>
      </c>
      <c r="G17" s="43"/>
      <c r="H17" s="42" t="s">
        <v>47</v>
      </c>
      <c r="I17" s="41">
        <v>602014</v>
      </c>
      <c r="J17" s="31"/>
    </row>
    <row r="18" spans="1:35" x14ac:dyDescent="0.2">
      <c r="A18" s="424"/>
      <c r="B18" s="425"/>
      <c r="C18" s="425"/>
      <c r="D18" s="425"/>
      <c r="E18" s="426"/>
      <c r="F18" s="431"/>
      <c r="G18" s="40"/>
      <c r="H18" s="432" t="s">
        <v>46</v>
      </c>
      <c r="I18" s="433"/>
      <c r="J18" s="31"/>
    </row>
    <row r="19" spans="1:35" ht="138.94999999999999" customHeight="1" x14ac:dyDescent="0.2">
      <c r="A19" s="427"/>
      <c r="B19" s="428"/>
      <c r="C19" s="428"/>
      <c r="D19" s="428"/>
      <c r="E19" s="429"/>
      <c r="F19" s="431"/>
      <c r="G19" s="39"/>
      <c r="H19" s="38"/>
      <c r="I19" s="37"/>
      <c r="J19" s="31"/>
    </row>
    <row r="21" spans="1:35" x14ac:dyDescent="0.2">
      <c r="A21" s="36" t="s">
        <v>260</v>
      </c>
      <c r="B21" s="35"/>
      <c r="C21" s="35"/>
      <c r="D21" s="35"/>
      <c r="E21" s="35"/>
      <c r="F21" s="34"/>
      <c r="G21" s="34"/>
      <c r="H21" s="34"/>
      <c r="I21" s="33"/>
      <c r="J21" s="31"/>
    </row>
    <row r="22" spans="1:35" ht="15.75" x14ac:dyDescent="0.25">
      <c r="A22" s="28"/>
      <c r="B22" s="29" t="s">
        <v>261</v>
      </c>
      <c r="C22" s="25"/>
      <c r="D22" s="25"/>
      <c r="E22" s="25"/>
      <c r="F22" s="16"/>
      <c r="G22" s="16"/>
      <c r="H22" s="16"/>
      <c r="I22" s="32"/>
      <c r="J22" s="31"/>
    </row>
    <row r="23" spans="1:35" x14ac:dyDescent="0.2">
      <c r="A23" s="28" t="s">
        <v>256</v>
      </c>
      <c r="B23" s="27"/>
      <c r="C23" s="25"/>
      <c r="D23" s="25"/>
      <c r="E23" s="25"/>
      <c r="F23" s="16"/>
      <c r="G23" s="16"/>
      <c r="H23" s="16"/>
      <c r="I23" s="30"/>
      <c r="J23" s="31"/>
    </row>
    <row r="24" spans="1:35" ht="15.75" x14ac:dyDescent="0.25">
      <c r="A24" s="28"/>
      <c r="B24" s="29"/>
      <c r="C24" s="25"/>
      <c r="D24" s="25"/>
      <c r="E24" s="25"/>
      <c r="F24" s="16"/>
      <c r="G24" s="16"/>
      <c r="H24" s="16"/>
      <c r="I24" s="30"/>
      <c r="J24" s="31"/>
    </row>
    <row r="25" spans="1:35" x14ac:dyDescent="0.2">
      <c r="A25" s="28" t="s">
        <v>258</v>
      </c>
      <c r="B25" s="27"/>
      <c r="C25" s="25"/>
      <c r="D25" s="25"/>
      <c r="E25" s="25"/>
      <c r="F25" s="16"/>
      <c r="G25" s="16"/>
      <c r="H25" s="16"/>
      <c r="I25" s="30"/>
      <c r="J25" s="16"/>
    </row>
    <row r="26" spans="1:35" ht="15.75" x14ac:dyDescent="0.25">
      <c r="A26" s="28"/>
      <c r="B26" s="29" t="s">
        <v>45</v>
      </c>
      <c r="C26" s="25"/>
      <c r="D26" s="25"/>
      <c r="E26" s="25"/>
      <c r="F26" s="16"/>
      <c r="G26" s="16"/>
      <c r="H26" s="16"/>
      <c r="I26" s="30"/>
      <c r="J26" s="16"/>
    </row>
    <row r="27" spans="1:35" x14ac:dyDescent="0.2">
      <c r="A27" s="28" t="s">
        <v>259</v>
      </c>
      <c r="B27" s="27"/>
      <c r="C27" s="25"/>
      <c r="D27" s="25"/>
      <c r="E27" s="25"/>
      <c r="F27" s="16"/>
      <c r="G27" s="16"/>
      <c r="H27" s="16"/>
      <c r="I27" s="23"/>
      <c r="J27" s="16"/>
    </row>
    <row r="28" spans="1:35" ht="15.75" x14ac:dyDescent="0.25">
      <c r="A28" s="28"/>
      <c r="B28" s="29"/>
      <c r="C28" s="26"/>
      <c r="D28" s="25"/>
      <c r="E28" s="25"/>
      <c r="F28" s="16"/>
      <c r="G28" s="16"/>
      <c r="H28" s="24"/>
      <c r="I28" s="23"/>
      <c r="J28" s="16"/>
    </row>
    <row r="29" spans="1:35" x14ac:dyDescent="0.2">
      <c r="A29" s="28"/>
      <c r="B29" s="27"/>
      <c r="C29" s="26"/>
      <c r="D29" s="25"/>
      <c r="E29" s="25"/>
      <c r="F29" s="16"/>
      <c r="G29" s="16"/>
      <c r="H29" s="24"/>
      <c r="I29" s="23"/>
      <c r="J29" s="16"/>
    </row>
    <row r="30" spans="1:35" ht="15.75" x14ac:dyDescent="0.25">
      <c r="A30" s="22"/>
      <c r="B30" s="21"/>
      <c r="C30" s="20"/>
      <c r="D30" s="20"/>
      <c r="E30" s="20"/>
      <c r="F30" s="19"/>
      <c r="G30" s="19"/>
      <c r="H30" s="18"/>
      <c r="I30" s="17"/>
      <c r="J30" s="16"/>
    </row>
    <row r="31" spans="1:35" x14ac:dyDescent="0.2">
      <c r="H31" s="15"/>
    </row>
    <row r="32" spans="1:35" ht="64.5" customHeight="1" x14ac:dyDescent="0.2">
      <c r="A32" s="443" t="s">
        <v>44</v>
      </c>
      <c r="B32" s="444"/>
      <c r="C32" s="441" t="s">
        <v>43</v>
      </c>
      <c r="D32" s="442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</row>
    <row r="33" spans="1:35" x14ac:dyDescent="0.2">
      <c r="A33" s="449">
        <v>1</v>
      </c>
      <c r="B33" s="450"/>
      <c r="C33" s="445">
        <v>2</v>
      </c>
      <c r="D33" s="446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</row>
    <row r="34" spans="1:35" ht="15.75" x14ac:dyDescent="0.25">
      <c r="A34" s="451">
        <v>373766085000</v>
      </c>
      <c r="B34" s="452"/>
      <c r="C34" s="447">
        <v>101007741</v>
      </c>
      <c r="D34" s="44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</row>
    <row r="35" spans="1:35" ht="15.75" x14ac:dyDescent="0.25">
      <c r="A35" s="438" t="s">
        <v>42</v>
      </c>
      <c r="B35" s="438"/>
      <c r="C35" s="438"/>
      <c r="D35" s="438"/>
      <c r="E35" s="438"/>
      <c r="F35" s="438"/>
      <c r="G35" s="438"/>
      <c r="H35" s="438"/>
      <c r="I35" s="438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</row>
    <row r="36" spans="1:35" ht="25.9" customHeight="1" x14ac:dyDescent="0.2">
      <c r="A36" s="437" t="s">
        <v>257</v>
      </c>
      <c r="B36" s="437"/>
      <c r="C36" s="437"/>
      <c r="D36" s="437"/>
      <c r="E36" s="437"/>
      <c r="F36" s="437"/>
      <c r="G36" s="437"/>
      <c r="H36" s="437"/>
      <c r="I36" s="437"/>
    </row>
    <row r="37" spans="1:35" x14ac:dyDescent="0.2">
      <c r="A37" s="11"/>
      <c r="B37" s="11"/>
      <c r="C37" s="11"/>
      <c r="D37" s="11"/>
      <c r="E37" s="11"/>
      <c r="F37" s="11"/>
      <c r="G37" s="11"/>
      <c r="H37" s="11"/>
      <c r="I37" s="10" t="s">
        <v>41</v>
      </c>
    </row>
    <row r="38" spans="1:35" ht="29.25" x14ac:dyDescent="0.2">
      <c r="A38" s="415" t="s">
        <v>40</v>
      </c>
      <c r="B38" s="416"/>
      <c r="C38" s="416"/>
      <c r="D38" s="416"/>
      <c r="E38" s="417"/>
      <c r="F38" s="9" t="s">
        <v>39</v>
      </c>
      <c r="G38" s="439" t="s">
        <v>38</v>
      </c>
      <c r="H38" s="440"/>
      <c r="I38" s="9" t="s">
        <v>37</v>
      </c>
      <c r="J38" s="90" t="s">
        <v>268</v>
      </c>
    </row>
    <row r="39" spans="1:35" x14ac:dyDescent="0.2">
      <c r="A39" s="418" t="s">
        <v>36</v>
      </c>
      <c r="B39" s="419"/>
      <c r="C39" s="419"/>
      <c r="D39" s="419"/>
      <c r="E39" s="420"/>
      <c r="F39" s="8" t="s">
        <v>35</v>
      </c>
      <c r="G39" s="453">
        <v>2</v>
      </c>
      <c r="H39" s="454"/>
      <c r="I39" s="7">
        <v>4</v>
      </c>
      <c r="J39" s="91"/>
    </row>
    <row r="40" spans="1:35" ht="51" customHeight="1" x14ac:dyDescent="0.2">
      <c r="A40" s="392" t="s">
        <v>241</v>
      </c>
      <c r="B40" s="393"/>
      <c r="C40" s="393"/>
      <c r="D40" s="393"/>
      <c r="E40" s="394"/>
      <c r="F40" s="276" t="s">
        <v>34</v>
      </c>
      <c r="G40" s="390" t="str">
        <f>GetPatVar("s5zf","&amp;a0011")</f>
        <v>8668726.79</v>
      </c>
      <c r="H40" s="455"/>
      <c r="I40" s="277" t="str">
        <f>GetPatVar("s5zf","&amp;a0012")</f>
        <v>8177977.13</v>
      </c>
      <c r="J40" s="278" t="s">
        <v>269</v>
      </c>
    </row>
    <row r="41" spans="1:35" ht="67.150000000000006" customHeight="1" x14ac:dyDescent="0.2">
      <c r="A41" s="392" t="s">
        <v>479</v>
      </c>
      <c r="B41" s="393"/>
      <c r="C41" s="393"/>
      <c r="D41" s="393"/>
      <c r="E41" s="394"/>
      <c r="F41" s="279" t="s">
        <v>33</v>
      </c>
      <c r="G41" s="390" t="str">
        <f>GetPatVar("s5zf","&amp;a0021")</f>
        <v>7536334.49</v>
      </c>
      <c r="H41" s="455"/>
      <c r="I41" s="277" t="str">
        <f>GetPatVar("s5zf","&amp;a0022")</f>
        <v>7500262.09</v>
      </c>
      <c r="J41" s="278" t="s">
        <v>271</v>
      </c>
    </row>
    <row r="42" spans="1:35" x14ac:dyDescent="0.2">
      <c r="A42" s="280" t="s">
        <v>32</v>
      </c>
      <c r="B42" s="281"/>
      <c r="C42" s="281"/>
      <c r="D42" s="281"/>
      <c r="E42" s="282"/>
      <c r="F42" s="283"/>
      <c r="G42" s="465"/>
      <c r="H42" s="466"/>
      <c r="I42" s="284"/>
      <c r="J42" s="291"/>
    </row>
    <row r="43" spans="1:35" ht="35.450000000000003" customHeight="1" x14ac:dyDescent="0.2">
      <c r="A43" s="412" t="s">
        <v>480</v>
      </c>
      <c r="B43" s="413"/>
      <c r="C43" s="413"/>
      <c r="D43" s="413"/>
      <c r="E43" s="414"/>
      <c r="F43" s="285" t="s">
        <v>31</v>
      </c>
      <c r="G43" s="390" t="str">
        <f>GetPatVar("s5zf","&amp;a0031")</f>
        <v>2583368.68</v>
      </c>
      <c r="H43" s="455"/>
      <c r="I43" s="277" t="str">
        <f>GetPatVar("s5zf","&amp;a0032")</f>
        <v>2607083.82</v>
      </c>
      <c r="J43" s="286" t="s">
        <v>270</v>
      </c>
    </row>
    <row r="44" spans="1:35" x14ac:dyDescent="0.2">
      <c r="A44" s="409" t="s">
        <v>30</v>
      </c>
      <c r="B44" s="410"/>
      <c r="C44" s="410"/>
      <c r="D44" s="410"/>
      <c r="E44" s="411"/>
      <c r="F44" s="287"/>
      <c r="G44" s="467"/>
      <c r="H44" s="455"/>
      <c r="I44" s="288"/>
      <c r="J44" s="291"/>
    </row>
    <row r="45" spans="1:35" ht="33" customHeight="1" x14ac:dyDescent="0.2">
      <c r="A45" s="412" t="s">
        <v>29</v>
      </c>
      <c r="B45" s="413"/>
      <c r="C45" s="413"/>
      <c r="D45" s="413"/>
      <c r="E45" s="414"/>
      <c r="F45" s="285" t="s">
        <v>28</v>
      </c>
      <c r="G45" s="390" t="str">
        <f>GetPatVar("s5zf","&amp;a0041")</f>
        <v>94525.66</v>
      </c>
      <c r="H45" s="455"/>
      <c r="I45" s="277" t="str">
        <f>GetPatVar("s5zf","&amp;a0042")</f>
        <v>105449.40</v>
      </c>
      <c r="J45" s="278" t="s">
        <v>272</v>
      </c>
    </row>
    <row r="46" spans="1:35" ht="53.45" customHeight="1" x14ac:dyDescent="0.2">
      <c r="A46" s="392" t="s">
        <v>27</v>
      </c>
      <c r="B46" s="393"/>
      <c r="C46" s="393"/>
      <c r="D46" s="393"/>
      <c r="E46" s="394"/>
      <c r="F46" s="276" t="s">
        <v>26</v>
      </c>
      <c r="G46" s="468" t="str">
        <f>GetPatVar("s5zf","&amp;a0051")</f>
        <v>76108.79</v>
      </c>
      <c r="H46" s="469"/>
      <c r="I46" s="292" t="str">
        <f>GetPatVar("s5zf","&amp;a0052")</f>
        <v>64581.29</v>
      </c>
      <c r="J46" s="293" t="s">
        <v>273</v>
      </c>
    </row>
    <row r="47" spans="1:35" ht="17.45" customHeight="1" x14ac:dyDescent="0.2">
      <c r="A47" s="400" t="s">
        <v>25</v>
      </c>
      <c r="B47" s="401"/>
      <c r="C47" s="401"/>
      <c r="D47" s="401"/>
      <c r="E47" s="402"/>
      <c r="F47" s="279" t="s">
        <v>24</v>
      </c>
      <c r="G47" s="390" t="str">
        <f>GetPatVar("s5zf","&amp;a0061")</f>
        <v>83436.95</v>
      </c>
      <c r="H47" s="455"/>
      <c r="I47" s="277" t="str">
        <f>GetPatVar("s5zf","&amp;a0062")</f>
        <v>67676.39</v>
      </c>
      <c r="J47" s="278" t="s">
        <v>274</v>
      </c>
    </row>
    <row r="48" spans="1:35" ht="24" customHeight="1" x14ac:dyDescent="0.2">
      <c r="A48" s="400" t="s">
        <v>23</v>
      </c>
      <c r="B48" s="401"/>
      <c r="C48" s="401"/>
      <c r="D48" s="401"/>
      <c r="E48" s="402"/>
      <c r="F48" s="279" t="s">
        <v>22</v>
      </c>
      <c r="G48" s="470" t="str">
        <f>GetPatVar("s5zf","&amp;a0071")</f>
        <v>-</v>
      </c>
      <c r="H48" s="471"/>
      <c r="I48" s="277" t="str">
        <f>GetPatVar("s5zf","&amp;a0072")</f>
        <v>-</v>
      </c>
      <c r="J48" s="293" t="s">
        <v>275</v>
      </c>
    </row>
    <row r="49" spans="1:10" x14ac:dyDescent="0.2">
      <c r="A49" s="400" t="s">
        <v>21</v>
      </c>
      <c r="B49" s="401"/>
      <c r="C49" s="401"/>
      <c r="D49" s="401"/>
      <c r="E49" s="402"/>
      <c r="F49" s="279" t="s">
        <v>20</v>
      </c>
      <c r="G49" s="390" t="str">
        <f>GetPatVar("s5zf","&amp;a0081")</f>
        <v>1619535.41</v>
      </c>
      <c r="H49" s="455"/>
      <c r="I49" s="277" t="str">
        <f>GetPatVar("s5zf","&amp;a0082")</f>
        <v>1637403.00</v>
      </c>
      <c r="J49" s="289" t="s">
        <v>276</v>
      </c>
    </row>
    <row r="50" spans="1:10" x14ac:dyDescent="0.2">
      <c r="A50" s="474" t="s">
        <v>19</v>
      </c>
      <c r="B50" s="475"/>
      <c r="C50" s="475"/>
      <c r="D50" s="475"/>
      <c r="E50" s="476"/>
      <c r="F50" s="279" t="s">
        <v>18</v>
      </c>
      <c r="G50" s="390" t="str">
        <f>GetPatVar("s5zf","&amp;a0091")</f>
        <v>154738.86</v>
      </c>
      <c r="H50" s="455"/>
      <c r="I50" s="277" t="str">
        <f>GetPatVar("s5zf","&amp;a0092")</f>
        <v>190369.17</v>
      </c>
      <c r="J50" s="289" t="s">
        <v>277</v>
      </c>
    </row>
    <row r="51" spans="1:10" ht="20.45" customHeight="1" x14ac:dyDescent="0.2">
      <c r="A51" s="403" t="s">
        <v>17</v>
      </c>
      <c r="B51" s="404"/>
      <c r="C51" s="404"/>
      <c r="D51" s="404"/>
      <c r="E51" s="405"/>
      <c r="F51" s="279" t="s">
        <v>16</v>
      </c>
      <c r="G51" s="390" t="str">
        <f>GetPatVar("s5zf","&amp;a0101")</f>
        <v>1665670.45</v>
      </c>
      <c r="H51" s="455"/>
      <c r="I51" s="277" t="str">
        <f>GetPatVar("s5zf","&amp;a0102")</f>
        <v>1452593.93</v>
      </c>
      <c r="J51" s="289" t="s">
        <v>278</v>
      </c>
    </row>
    <row r="52" spans="1:10" x14ac:dyDescent="0.2">
      <c r="A52" s="406" t="s">
        <v>15</v>
      </c>
      <c r="B52" s="407"/>
      <c r="C52" s="407"/>
      <c r="D52" s="407"/>
      <c r="E52" s="408"/>
      <c r="F52" s="279" t="s">
        <v>14</v>
      </c>
      <c r="G52" s="390" t="str">
        <f>GetPatVar("s5zf","&amp;a0111")</f>
        <v>557210.71</v>
      </c>
      <c r="H52" s="455"/>
      <c r="I52" s="277" t="str">
        <f>GetPatVar("s5zf","&amp;a0112")</f>
        <v>544730.07</v>
      </c>
      <c r="J52" s="289" t="s">
        <v>279</v>
      </c>
    </row>
    <row r="53" spans="1:10" ht="51" customHeight="1" x14ac:dyDescent="0.2">
      <c r="A53" s="400" t="s">
        <v>13</v>
      </c>
      <c r="B53" s="401"/>
      <c r="C53" s="401"/>
      <c r="D53" s="401"/>
      <c r="E53" s="402"/>
      <c r="F53" s="279" t="s">
        <v>12</v>
      </c>
      <c r="G53" s="472" t="str">
        <f>GetPatVar("s5zf","&amp;a0121")</f>
        <v>1983815.92</v>
      </c>
      <c r="H53" s="473"/>
      <c r="I53" s="277" t="str">
        <f>GetPatVar("s5zf","&amp;a0122")</f>
        <v>2131546.70</v>
      </c>
      <c r="J53" s="289" t="s">
        <v>280</v>
      </c>
    </row>
    <row r="54" spans="1:10" ht="31.5" customHeight="1" x14ac:dyDescent="0.2">
      <c r="A54" s="397" t="s">
        <v>11</v>
      </c>
      <c r="B54" s="398"/>
      <c r="C54" s="398"/>
      <c r="D54" s="398"/>
      <c r="E54" s="399"/>
      <c r="F54" s="279" t="s">
        <v>10</v>
      </c>
      <c r="G54" s="477" t="str">
        <f>GetPatVar("s5zf","&amp;a0131")</f>
        <v>1972785.64</v>
      </c>
      <c r="H54" s="478"/>
      <c r="I54" s="277" t="str">
        <f>GetPatVar("s5zf","&amp;a0132")</f>
        <v>2120315.55</v>
      </c>
      <c r="J54" s="289" t="s">
        <v>281</v>
      </c>
    </row>
    <row r="55" spans="1:10" ht="10.5" customHeight="1" x14ac:dyDescent="0.2">
      <c r="A55" s="400" t="s">
        <v>9</v>
      </c>
      <c r="B55" s="401"/>
      <c r="C55" s="401"/>
      <c r="D55" s="401"/>
      <c r="E55" s="402"/>
      <c r="F55" s="279" t="s">
        <v>8</v>
      </c>
      <c r="G55" s="390" t="str">
        <f>GetPatVar("s5zf","&amp;a0141")</f>
        <v>11030.28</v>
      </c>
      <c r="H55" s="455"/>
      <c r="I55" s="277" t="str">
        <f>GetPatVar("s5zf","&amp;a0142")</f>
        <v>11231.15</v>
      </c>
      <c r="J55" s="289" t="s">
        <v>282</v>
      </c>
    </row>
    <row r="56" spans="1:10" ht="51" customHeight="1" x14ac:dyDescent="0.2">
      <c r="A56" s="400" t="s">
        <v>7</v>
      </c>
      <c r="B56" s="401"/>
      <c r="C56" s="401"/>
      <c r="D56" s="401"/>
      <c r="E56" s="402"/>
      <c r="F56" s="279" t="s">
        <v>6</v>
      </c>
      <c r="G56" s="390" t="str">
        <f>GetPatVar("s5zf","&amp;a0151")</f>
        <v>746101.87</v>
      </c>
      <c r="H56" s="455"/>
      <c r="I56" s="277" t="str">
        <f>GetPatVar("s5zf","&amp;a0152")</f>
        <v>764307.57</v>
      </c>
      <c r="J56" s="278" t="s">
        <v>541</v>
      </c>
    </row>
    <row r="57" spans="1:10" ht="25.5" customHeight="1" x14ac:dyDescent="0.2">
      <c r="A57" s="482" t="s">
        <v>183</v>
      </c>
      <c r="B57" s="483"/>
      <c r="C57" s="483"/>
      <c r="D57" s="483"/>
      <c r="E57" s="484"/>
      <c r="F57" s="287" t="s">
        <v>5</v>
      </c>
      <c r="G57" s="390" t="str">
        <f>GetPatVar("s5zf","&amp;a0161")</f>
        <v>-</v>
      </c>
      <c r="H57" s="455"/>
      <c r="I57" s="277" t="str">
        <f>GetPatVar("s5zf","&amp;a0162")</f>
        <v>-</v>
      </c>
      <c r="J57" s="289" t="s">
        <v>283</v>
      </c>
    </row>
    <row r="58" spans="1:10" x14ac:dyDescent="0.2">
      <c r="A58" s="479" t="s">
        <v>188</v>
      </c>
      <c r="B58" s="480"/>
      <c r="C58" s="480"/>
      <c r="D58" s="480"/>
      <c r="E58" s="481"/>
      <c r="F58" s="285" t="s">
        <v>4</v>
      </c>
      <c r="G58" s="390" t="str">
        <f>GetPatVar("s5zf","&amp;a0171")</f>
        <v>-</v>
      </c>
      <c r="H58" s="455"/>
      <c r="I58" s="277" t="str">
        <f>GetPatVar("s5zf","&amp;a0172")</f>
        <v>-</v>
      </c>
      <c r="J58" s="289" t="s">
        <v>284</v>
      </c>
    </row>
    <row r="59" spans="1:10" x14ac:dyDescent="0.2">
      <c r="A59" s="397" t="s">
        <v>189</v>
      </c>
      <c r="B59" s="398"/>
      <c r="C59" s="398"/>
      <c r="D59" s="398"/>
      <c r="E59" s="399"/>
      <c r="F59" s="279" t="s">
        <v>3</v>
      </c>
      <c r="G59" s="390" t="str">
        <f>GetPatVar("s5zf","&amp;a0181")</f>
        <v>-</v>
      </c>
      <c r="H59" s="455"/>
      <c r="I59" s="277" t="str">
        <f>GetPatVar("s5zf","&amp;a0182")</f>
        <v>-</v>
      </c>
      <c r="J59" s="289" t="s">
        <v>285</v>
      </c>
    </row>
    <row r="60" spans="1:10" x14ac:dyDescent="0.2">
      <c r="A60" s="397" t="s">
        <v>173</v>
      </c>
      <c r="B60" s="398"/>
      <c r="C60" s="398"/>
      <c r="D60" s="398"/>
      <c r="E60" s="399"/>
      <c r="F60" s="279" t="s">
        <v>174</v>
      </c>
      <c r="G60" s="390" t="str">
        <f>GetPatVar("s5zf","&amp;a0191")</f>
        <v>-</v>
      </c>
      <c r="H60" s="391"/>
      <c r="I60" s="277" t="str">
        <f>GetPatVar("s5zf","&amp;a0192")</f>
        <v>-</v>
      </c>
      <c r="J60" s="289" t="s">
        <v>286</v>
      </c>
    </row>
    <row r="61" spans="1:10" x14ac:dyDescent="0.2">
      <c r="A61" s="397" t="s">
        <v>186</v>
      </c>
      <c r="B61" s="398"/>
      <c r="C61" s="398"/>
      <c r="D61" s="398"/>
      <c r="E61" s="399"/>
      <c r="F61" s="279" t="s">
        <v>184</v>
      </c>
      <c r="G61" s="390" t="str">
        <f>GetPatVar("s5zf","&amp;a2011")</f>
        <v>-</v>
      </c>
      <c r="H61" s="391"/>
      <c r="I61" s="277" t="str">
        <f>GetPatVar("s5zf","&amp;a2012")</f>
        <v>-</v>
      </c>
      <c r="J61" s="289" t="s">
        <v>287</v>
      </c>
    </row>
    <row r="62" spans="1:10" ht="28.15" customHeight="1" x14ac:dyDescent="0.2">
      <c r="A62" s="397" t="s">
        <v>187</v>
      </c>
      <c r="B62" s="398"/>
      <c r="C62" s="398"/>
      <c r="D62" s="398"/>
      <c r="E62" s="399"/>
      <c r="F62" s="279" t="s">
        <v>185</v>
      </c>
      <c r="G62" s="390" t="str">
        <f>GetPatVar("s5zf","&amp;a2021")</f>
        <v>-</v>
      </c>
      <c r="H62" s="391"/>
      <c r="I62" s="277" t="str">
        <f>GetPatVar("s5zf","&amp;a2022")</f>
        <v>-</v>
      </c>
      <c r="J62" s="290" t="s">
        <v>288</v>
      </c>
    </row>
    <row r="63" spans="1:10" ht="26.45" customHeight="1" x14ac:dyDescent="0.2">
      <c r="A63" s="392" t="s">
        <v>175</v>
      </c>
      <c r="B63" s="393"/>
      <c r="C63" s="393"/>
      <c r="D63" s="393"/>
      <c r="E63" s="394"/>
      <c r="F63" s="276" t="s">
        <v>177</v>
      </c>
      <c r="G63" s="390" t="str">
        <f>GetPatVar("s5zf","&amp;a2031")</f>
        <v>4.45</v>
      </c>
      <c r="H63" s="391"/>
      <c r="I63" s="277" t="str">
        <f>GetPatVar("s5zf","&amp;a2032")</f>
        <v>1.61</v>
      </c>
      <c r="J63" s="278" t="s">
        <v>289</v>
      </c>
    </row>
    <row r="64" spans="1:10" ht="72" x14ac:dyDescent="0.2">
      <c r="A64" s="392" t="s">
        <v>176</v>
      </c>
      <c r="B64" s="393"/>
      <c r="C64" s="393"/>
      <c r="D64" s="393"/>
      <c r="E64" s="394"/>
      <c r="F64" s="276" t="s">
        <v>178</v>
      </c>
      <c r="G64" s="395" t="str">
        <f>GetPatVar("s5zf","&amp;a2151")</f>
        <v>195595.81</v>
      </c>
      <c r="H64" s="396"/>
      <c r="I64" s="277" t="str">
        <f>GetPatVar("s5zf","&amp;a2152")</f>
        <v>145813.52</v>
      </c>
      <c r="J64" s="278" t="s">
        <v>290</v>
      </c>
    </row>
  </sheetData>
  <sheetProtection selectLockedCells="1"/>
  <mergeCells count="70">
    <mergeCell ref="G58:H58"/>
    <mergeCell ref="G59:H59"/>
    <mergeCell ref="A49:E49"/>
    <mergeCell ref="G49:H49"/>
    <mergeCell ref="A50:E50"/>
    <mergeCell ref="G50:H50"/>
    <mergeCell ref="G54:H54"/>
    <mergeCell ref="G55:H55"/>
    <mergeCell ref="G56:H56"/>
    <mergeCell ref="A58:E58"/>
    <mergeCell ref="A59:E59"/>
    <mergeCell ref="A55:E55"/>
    <mergeCell ref="A56:E56"/>
    <mergeCell ref="A57:E57"/>
    <mergeCell ref="A53:E53"/>
    <mergeCell ref="A54:E54"/>
    <mergeCell ref="G57:H57"/>
    <mergeCell ref="G51:H51"/>
    <mergeCell ref="G46:H46"/>
    <mergeCell ref="G47:H47"/>
    <mergeCell ref="G48:H48"/>
    <mergeCell ref="G52:H52"/>
    <mergeCell ref="G53:H53"/>
    <mergeCell ref="G41:H41"/>
    <mergeCell ref="G43:H43"/>
    <mergeCell ref="G45:H45"/>
    <mergeCell ref="G42:H42"/>
    <mergeCell ref="G44:H44"/>
    <mergeCell ref="H2:I4"/>
    <mergeCell ref="B10:H10"/>
    <mergeCell ref="A16:E16"/>
    <mergeCell ref="H16:I16"/>
    <mergeCell ref="B12:H12"/>
    <mergeCell ref="A17:E19"/>
    <mergeCell ref="F17:F19"/>
    <mergeCell ref="H18:I18"/>
    <mergeCell ref="B13:H13"/>
    <mergeCell ref="A43:E43"/>
    <mergeCell ref="A36:I36"/>
    <mergeCell ref="A35:I35"/>
    <mergeCell ref="G38:H38"/>
    <mergeCell ref="C32:D32"/>
    <mergeCell ref="A32:B32"/>
    <mergeCell ref="C33:D33"/>
    <mergeCell ref="C34:D34"/>
    <mergeCell ref="A33:B33"/>
    <mergeCell ref="A34:B34"/>
    <mergeCell ref="G39:H39"/>
    <mergeCell ref="G40:H40"/>
    <mergeCell ref="A44:E44"/>
    <mergeCell ref="A45:E45"/>
    <mergeCell ref="A46:E46"/>
    <mergeCell ref="A38:E38"/>
    <mergeCell ref="A39:E39"/>
    <mergeCell ref="A40:E40"/>
    <mergeCell ref="A41:E41"/>
    <mergeCell ref="A47:E47"/>
    <mergeCell ref="A48:E48"/>
    <mergeCell ref="A51:E51"/>
    <mergeCell ref="A52:E52"/>
    <mergeCell ref="A61:E61"/>
    <mergeCell ref="G60:H60"/>
    <mergeCell ref="A63:E63"/>
    <mergeCell ref="G63:H63"/>
    <mergeCell ref="A64:E64"/>
    <mergeCell ref="G64:H64"/>
    <mergeCell ref="A62:E62"/>
    <mergeCell ref="G61:H61"/>
    <mergeCell ref="A60:E60"/>
    <mergeCell ref="G62:H62"/>
  </mergeCells>
  <pageMargins left="0.39370078740157483" right="0.19685039370078741" top="0.39370078740157483" bottom="0.39370078740157483" header="0.51181102362204722" footer="0.51181102362204722"/>
  <pageSetup paperSize="9" scale="81" orientation="portrait" r:id="rId1"/>
  <headerFooter alignWithMargins="0"/>
  <rowBreaks count="1" manualBreakCount="1">
    <brk id="35" max="9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T269"/>
  <sheetViews>
    <sheetView view="pageBreakPreview" topLeftCell="A172" zoomScale="110" zoomScaleNormal="100" zoomScaleSheetLayoutView="110" workbookViewId="0">
      <selection activeCell="E5" sqref="E5:E200"/>
    </sheetView>
  </sheetViews>
  <sheetFormatPr defaultRowHeight="12.75" x14ac:dyDescent="0.2"/>
  <cols>
    <col min="1" max="1" width="56.85546875" customWidth="1"/>
    <col min="2" max="2" width="5.85546875" customWidth="1"/>
    <col min="3" max="3" width="0.140625" hidden="1" customWidth="1"/>
    <col min="4" max="4" width="18.7109375" style="314" customWidth="1"/>
    <col min="5" max="5" width="18.85546875" style="314" customWidth="1"/>
    <col min="6" max="6" width="36.85546875" style="314" customWidth="1"/>
    <col min="7" max="7" width="16.28515625" customWidth="1"/>
    <col min="8" max="8" width="12.28515625" customWidth="1"/>
    <col min="9" max="9" width="12.7109375" customWidth="1"/>
    <col min="10" max="10" width="21.85546875" customWidth="1"/>
  </cols>
  <sheetData>
    <row r="1" spans="1:22" ht="37.15" customHeight="1" thickBot="1" x14ac:dyDescent="0.25">
      <c r="A1" s="485" t="s">
        <v>140</v>
      </c>
      <c r="B1" s="486"/>
      <c r="C1" s="486"/>
      <c r="D1" s="486"/>
      <c r="E1" s="486"/>
      <c r="F1" s="274" t="s">
        <v>306</v>
      </c>
      <c r="G1" s="304">
        <f>GetPatVarnum("s5zf","&amp;k1000_26_01")</f>
        <v>0.998471</v>
      </c>
      <c r="H1" s="304">
        <f>GetPatVarnum("s5zf","&amp;k1000_26_02")</f>
        <v>0.99828399999999995</v>
      </c>
      <c r="I1" s="304">
        <f>GetPatVarnum("s5zf","&amp;k1000_26_03")</f>
        <v>0.99841500000000005</v>
      </c>
      <c r="J1" s="305"/>
      <c r="K1" s="304">
        <f>GetPatVarnum("s5zf","&amp;k26_04")</f>
        <v>0</v>
      </c>
      <c r="L1" s="304">
        <f>GetPatVarnum("s5zf","&amp;k26_05")</f>
        <v>0</v>
      </c>
      <c r="M1" s="304">
        <f>GetPatVarnum("s5zf","&amp;k26_06")</f>
        <v>0</v>
      </c>
      <c r="N1" s="306"/>
      <c r="O1" s="304">
        <f>GetPatVarnum("s5zf","&amp;k26_07")</f>
        <v>0</v>
      </c>
      <c r="P1" s="304">
        <f>GetPatVarnum("s5zf","&amp;k26_08")</f>
        <v>0</v>
      </c>
      <c r="Q1" s="304">
        <f>GetPatVarnum("s5zf","&amp;k26_09")</f>
        <v>0</v>
      </c>
      <c r="R1" s="306"/>
      <c r="S1" s="304">
        <f>GetPatVarnum("s5zf","&amp;k26_10")</f>
        <v>0</v>
      </c>
      <c r="T1" s="304">
        <f>GetPatVarnum("s5zf","&amp;k26_11")</f>
        <v>0</v>
      </c>
      <c r="U1" s="304">
        <f>GetPatVarnum("s5zf","&amp;k26_12")</f>
        <v>0</v>
      </c>
      <c r="V1" s="103"/>
    </row>
    <row r="2" spans="1:22" ht="40.9" customHeight="1" thickBot="1" x14ac:dyDescent="0.25">
      <c r="A2" s="487" t="s">
        <v>487</v>
      </c>
      <c r="B2" s="488"/>
      <c r="C2" s="488"/>
      <c r="D2" s="488"/>
      <c r="E2" s="488"/>
      <c r="F2" s="158" t="s">
        <v>307</v>
      </c>
      <c r="G2" s="304">
        <f>GetPatVarnum("s5zf","&amp;k1000_20_01")</f>
        <v>0.998471</v>
      </c>
      <c r="H2" s="304">
        <f>GetPatVarnum("s5zf","&amp;k1000_20_02")</f>
        <v>0.99828399999999995</v>
      </c>
      <c r="I2" s="304">
        <f>GetPatVarnum("s5zf","&amp;k1000_20_03")</f>
        <v>0.99841500000000005</v>
      </c>
      <c r="J2" s="305"/>
      <c r="K2" s="304">
        <f>GetPatVarnum("s5zf","&amp;k20_04")</f>
        <v>0</v>
      </c>
      <c r="L2" s="304">
        <f>GetPatVarnum("s5zf","&amp;k20_05")</f>
        <v>0</v>
      </c>
      <c r="M2" s="304">
        <f>GetPatVarnum("s5zf","&amp;k20_06")</f>
        <v>0</v>
      </c>
      <c r="N2" s="306"/>
      <c r="O2" s="304">
        <f>GetPatVarnum("s5zf","&amp;k20_07")</f>
        <v>0</v>
      </c>
      <c r="P2" s="304">
        <f>GetPatVarnum("s5zf","&amp;k20_08")</f>
        <v>0</v>
      </c>
      <c r="Q2" s="304">
        <f>GetPatVarnum("s5zf","&amp;k20_09")</f>
        <v>0</v>
      </c>
      <c r="R2" s="306"/>
      <c r="S2" s="304">
        <f>GetPatVarnum("s5zf","&amp;k20_10")</f>
        <v>0</v>
      </c>
      <c r="T2" s="304">
        <f>GetPatVarnum("s5zf","&amp;k20_11")</f>
        <v>0</v>
      </c>
      <c r="U2" s="304">
        <f>GetPatVarnum("s5zf","&amp;k20_12")</f>
        <v>0</v>
      </c>
      <c r="V2" s="103"/>
    </row>
    <row r="3" spans="1:22" ht="36" customHeight="1" thickBot="1" x14ac:dyDescent="0.25">
      <c r="A3" s="178" t="s">
        <v>40</v>
      </c>
      <c r="B3" s="179" t="s">
        <v>39</v>
      </c>
      <c r="C3" s="180"/>
      <c r="D3" s="310" t="s">
        <v>239</v>
      </c>
      <c r="E3" s="181" t="s">
        <v>38</v>
      </c>
      <c r="F3" s="489" t="s">
        <v>268</v>
      </c>
      <c r="G3" s="92" t="s">
        <v>291</v>
      </c>
      <c r="H3" s="93" t="s">
        <v>263</v>
      </c>
      <c r="I3" s="94" t="s">
        <v>292</v>
      </c>
      <c r="J3" s="95" t="s">
        <v>293</v>
      </c>
      <c r="K3" s="92" t="s">
        <v>294</v>
      </c>
      <c r="L3" s="93" t="s">
        <v>295</v>
      </c>
      <c r="M3" s="94" t="s">
        <v>296</v>
      </c>
      <c r="N3" s="96" t="s">
        <v>297</v>
      </c>
      <c r="O3" s="92" t="s">
        <v>298</v>
      </c>
      <c r="P3" s="93" t="s">
        <v>299</v>
      </c>
      <c r="Q3" s="94" t="s">
        <v>300</v>
      </c>
      <c r="R3" s="96" t="s">
        <v>301</v>
      </c>
      <c r="S3" s="92" t="s">
        <v>302</v>
      </c>
      <c r="T3" s="93" t="s">
        <v>303</v>
      </c>
      <c r="U3" s="94" t="s">
        <v>304</v>
      </c>
      <c r="V3" s="96" t="s">
        <v>305</v>
      </c>
    </row>
    <row r="4" spans="1:22" ht="10.5" customHeight="1" thickBot="1" x14ac:dyDescent="0.25">
      <c r="A4" s="182" t="s">
        <v>36</v>
      </c>
      <c r="B4" s="8" t="s">
        <v>35</v>
      </c>
      <c r="C4" s="63"/>
      <c r="D4" s="62">
        <v>2</v>
      </c>
      <c r="E4" s="183">
        <v>2</v>
      </c>
      <c r="F4" s="490"/>
      <c r="G4" s="92">
        <v>1</v>
      </c>
      <c r="H4" s="93">
        <v>2</v>
      </c>
      <c r="I4" s="94">
        <v>3</v>
      </c>
      <c r="J4" s="95"/>
      <c r="K4" s="92">
        <v>4</v>
      </c>
      <c r="L4" s="93">
        <v>5</v>
      </c>
      <c r="M4" s="94">
        <v>6</v>
      </c>
      <c r="N4" s="96"/>
      <c r="O4" s="92">
        <v>7</v>
      </c>
      <c r="P4" s="93">
        <v>8</v>
      </c>
      <c r="Q4" s="94">
        <v>9</v>
      </c>
      <c r="R4" s="96"/>
      <c r="S4" s="92">
        <v>10</v>
      </c>
      <c r="T4" s="93">
        <v>11</v>
      </c>
      <c r="U4" s="94">
        <v>12</v>
      </c>
      <c r="V4" s="96"/>
    </row>
    <row r="5" spans="1:22" ht="37.15" customHeight="1" thickBot="1" x14ac:dyDescent="0.25">
      <c r="A5" s="184" t="s">
        <v>241</v>
      </c>
      <c r="B5" s="6" t="s">
        <v>139</v>
      </c>
      <c r="C5" s="88"/>
      <c r="D5" s="311">
        <f>GetPatVarnum("s5zf","&amp;a0200")</f>
        <v>8654795.9299999997</v>
      </c>
      <c r="E5" s="275">
        <f>GetPatVarnum("s5zf","&amp;a0201")</f>
        <v>8654795.9299999997</v>
      </c>
      <c r="F5" s="176" t="s">
        <v>308</v>
      </c>
      <c r="G5" s="132">
        <f>GetPatVarnum("s5zf","&amp;a020_01")</f>
        <v>2960414.74</v>
      </c>
      <c r="H5" s="132">
        <f>GetPatVarnum("s5zf","&amp;a020_02")</f>
        <v>2717432.9</v>
      </c>
      <c r="I5" s="132">
        <f>GetPatVarnum("s5zf","&amp;a020_03")</f>
        <v>2976948.29</v>
      </c>
      <c r="J5" s="135">
        <f>SUM(G5:I5)</f>
        <v>8654795.9299999997</v>
      </c>
      <c r="K5" s="132">
        <f>GetPatVarnum("s5zf","&amp;a020_04")</f>
        <v>0</v>
      </c>
      <c r="L5" s="132">
        <f>GetPatVarnum("s5zf","&amp;a020_05")</f>
        <v>0</v>
      </c>
      <c r="M5" s="132">
        <f>GetPatVarnum("s5zf","&amp;a020_06")</f>
        <v>0</v>
      </c>
      <c r="N5" s="135">
        <f>SUM(K5:M5)</f>
        <v>0</v>
      </c>
      <c r="O5" s="132">
        <f>GetPatVarnum("s5zf","&amp;a020_07")</f>
        <v>0</v>
      </c>
      <c r="P5" s="132">
        <f>GetPatVarnum("s5zf","&amp;a020_08")</f>
        <v>0</v>
      </c>
      <c r="Q5" s="132">
        <f>GetPatVarnum("s5zf","&amp;a020_09")</f>
        <v>0</v>
      </c>
      <c r="R5" s="135">
        <f>SUM(O5:Q5)</f>
        <v>0</v>
      </c>
      <c r="S5" s="132">
        <f>GetPatVarnum("s5zf","&amp;a020_10")</f>
        <v>0</v>
      </c>
      <c r="T5" s="132">
        <f>GetPatVarnum("s5zf","&amp;a020_11")</f>
        <v>0</v>
      </c>
      <c r="U5" s="132">
        <f>GetPatVarnum("s5zf","&amp;a020_12")</f>
        <v>0</v>
      </c>
      <c r="V5" s="135">
        <f>SUM(S5:U5)</f>
        <v>0</v>
      </c>
    </row>
    <row r="6" spans="1:22" ht="19.149999999999999" customHeight="1" x14ac:dyDescent="0.2">
      <c r="A6" s="497"/>
      <c r="B6" s="495"/>
      <c r="C6" s="87"/>
      <c r="D6" s="491"/>
      <c r="E6" s="493"/>
      <c r="F6" s="130" t="s">
        <v>309</v>
      </c>
      <c r="G6" s="133">
        <f>GetPatVarnum("s5zf","&amp;a021_01_26")</f>
        <v>311561.55</v>
      </c>
      <c r="H6" s="133">
        <f>GetPatVarnum("s5zf","&amp;a021_02_26")</f>
        <v>313184.08</v>
      </c>
      <c r="I6" s="133">
        <f>GetPatVarnum("s5zf","&amp;a021_03_26")</f>
        <v>329306.23</v>
      </c>
      <c r="J6" s="136">
        <f>SUM(G6:I6)</f>
        <v>954051.86</v>
      </c>
      <c r="K6" s="133">
        <f>GetPatVarnum("s5zf","&amp;a021_04_26")</f>
        <v>0</v>
      </c>
      <c r="L6" s="133">
        <f>GetPatVarnum("s5zf","&amp;a021_05_26")</f>
        <v>0</v>
      </c>
      <c r="M6" s="133">
        <f>GetPatVarnum("s5zf","&amp;a021_06_26")</f>
        <v>0</v>
      </c>
      <c r="N6" s="136">
        <f>SUM(K6:M6)</f>
        <v>0</v>
      </c>
      <c r="O6" s="133">
        <f>GetPatVarnum("s5zf","&amp;a021_7_26")</f>
        <v>0</v>
      </c>
      <c r="P6" s="133">
        <f>GetPatVarnum("s5zf","&amp;a021_08_26")</f>
        <v>0</v>
      </c>
      <c r="Q6" s="133">
        <f>GetPatVarnum("s5zf","&amp;a021_09_26")</f>
        <v>0</v>
      </c>
      <c r="R6" s="136">
        <f>SUM(O6:Q6)</f>
        <v>0</v>
      </c>
      <c r="S6" s="133">
        <f>GetPatVarnum("s5zf","&amp;a021_10_26")</f>
        <v>0</v>
      </c>
      <c r="T6" s="133">
        <f>GetPatVarnum("s5zf","&amp;a021_11_26")</f>
        <v>0</v>
      </c>
      <c r="U6" s="133">
        <f>GetPatVarnum("s5zf","&amp;a021_12_26")</f>
        <v>0</v>
      </c>
      <c r="V6" s="137">
        <f>SUM(S6:U6)</f>
        <v>0</v>
      </c>
    </row>
    <row r="7" spans="1:22" ht="19.149999999999999" customHeight="1" x14ac:dyDescent="0.2">
      <c r="A7" s="498"/>
      <c r="B7" s="496"/>
      <c r="C7" s="87"/>
      <c r="D7" s="492"/>
      <c r="E7" s="494"/>
      <c r="F7" s="131" t="s">
        <v>310</v>
      </c>
      <c r="G7" s="134">
        <f>GetPatVarnum("s5zf","&amp;a021_01_20")</f>
        <v>2189482.79</v>
      </c>
      <c r="H7" s="134">
        <f>GetPatVarnum("s5zf","&amp;a021_02_20")</f>
        <v>2095539.66</v>
      </c>
      <c r="I7" s="134">
        <f>GetPatVarnum("s5zf","&amp;a021_03_20")</f>
        <v>2297260.1800000002</v>
      </c>
      <c r="J7" s="138">
        <f>SUM(G7:I7)</f>
        <v>6582282.6300000008</v>
      </c>
      <c r="K7" s="134">
        <f>GetPatVarnum("s5zf","&amp;a021_04_20")</f>
        <v>0</v>
      </c>
      <c r="L7" s="134">
        <f>GetPatVarnum("s5zf","&amp;a021_05_20")</f>
        <v>0</v>
      </c>
      <c r="M7" s="134">
        <f>GetPatVarnum("s5zf","&amp;a021_06_20")</f>
        <v>0</v>
      </c>
      <c r="N7" s="138">
        <f>SUM(K7:M7)</f>
        <v>0</v>
      </c>
      <c r="O7" s="134">
        <f>GetPatVarnum("s5zf","&amp;a021_7_20")</f>
        <v>0</v>
      </c>
      <c r="P7" s="134">
        <f>GetPatVarnum("s5zf","&amp;a021_08_20")</f>
        <v>0</v>
      </c>
      <c r="Q7" s="134">
        <f>GetPatVarnum("s5zf","&amp;a021_09_20")</f>
        <v>0</v>
      </c>
      <c r="R7" s="138">
        <f>SUM(O7:Q7)</f>
        <v>0</v>
      </c>
      <c r="S7" s="134">
        <f>GetPatVarnum("s5zf","&amp;a021_10_20")</f>
        <v>0</v>
      </c>
      <c r="T7" s="134">
        <f>GetPatVarnum("s5zf","&amp;a021_11_20")</f>
        <v>0</v>
      </c>
      <c r="U7" s="134">
        <f>GetPatVarnum("s5zf","&amp;a021_12_20")</f>
        <v>0</v>
      </c>
      <c r="V7" s="139">
        <f>SUM(S7:U7)</f>
        <v>0</v>
      </c>
    </row>
    <row r="8" spans="1:22" ht="19.149999999999999" customHeight="1" x14ac:dyDescent="0.2">
      <c r="A8" s="498"/>
      <c r="B8" s="496"/>
      <c r="C8" s="87"/>
      <c r="D8" s="492"/>
      <c r="E8" s="494"/>
      <c r="F8" s="131" t="s">
        <v>311</v>
      </c>
      <c r="G8" s="134">
        <f>GetPatVarnum("s5zf","&amp;A021_01_44")</f>
        <v>0</v>
      </c>
      <c r="H8" s="134">
        <f>GetPatVarnum("s5zf","&amp;a021_02_44")</f>
        <v>0</v>
      </c>
      <c r="I8" s="134">
        <f>GetPatVarnum("s5zf","&amp;a021_03_44")</f>
        <v>0</v>
      </c>
      <c r="J8" s="138">
        <f>SUM(G8:I8)</f>
        <v>0</v>
      </c>
      <c r="K8" s="134">
        <f>GetPatVarnum("s5zf","&amp;a021_04_44")</f>
        <v>0</v>
      </c>
      <c r="L8" s="134">
        <f>GetPatVarnum("s5zf","&amp;a021_05_44")</f>
        <v>0</v>
      </c>
      <c r="M8" s="134">
        <f>GetPatVarnum("s5zf","&amp;a021_06_44")</f>
        <v>0</v>
      </c>
      <c r="N8" s="138">
        <f>SUM(K8:M8)</f>
        <v>0</v>
      </c>
      <c r="O8" s="134">
        <f>GetPatVarnum("s5zf","&amp;a021_7_44")</f>
        <v>0</v>
      </c>
      <c r="P8" s="134">
        <f>GetPatVarnum("s5zf","&amp;a021_08_44")</f>
        <v>0</v>
      </c>
      <c r="Q8" s="134">
        <f>GetPatVarnum("s5zf","&amp;a021_09_44")</f>
        <v>0</v>
      </c>
      <c r="R8" s="138">
        <f>SUM(O8:Q8)</f>
        <v>0</v>
      </c>
      <c r="S8" s="134">
        <f>GetPatVarnum("s5zf","&amp;a021_10_44")</f>
        <v>0</v>
      </c>
      <c r="T8" s="134">
        <f>GetPatVarnum("s5zf","&amp;a021_11_44")</f>
        <v>0</v>
      </c>
      <c r="U8" s="134">
        <f>GetPatVarnum("s5zf","&amp;a021_12_44")</f>
        <v>0</v>
      </c>
      <c r="V8" s="139">
        <f>SUM(S8:U8)</f>
        <v>0</v>
      </c>
    </row>
    <row r="9" spans="1:22" ht="26.45" customHeight="1" thickBot="1" x14ac:dyDescent="0.25">
      <c r="A9" s="302" t="s">
        <v>481</v>
      </c>
      <c r="B9" s="99" t="s">
        <v>138</v>
      </c>
      <c r="C9" s="111"/>
      <c r="D9" s="109">
        <f>GetPatVarnum("s5zf","&amp;a0210")</f>
        <v>7524213.9199999999</v>
      </c>
      <c r="E9" s="185">
        <f>GetPatVarnum("s5zf","&amp;a0211")</f>
        <v>7524213.9199999999</v>
      </c>
      <c r="F9" s="112" t="s">
        <v>312</v>
      </c>
      <c r="G9" s="140">
        <f>G6*G$1+(G7+G8)*G$2</f>
        <v>2497220.2432041396</v>
      </c>
      <c r="H9" s="140">
        <f t="shared" ref="H9:I9" si="0">H6*H$1+(H7+H8)*H$2</f>
        <v>2404590.3700621598</v>
      </c>
      <c r="I9" s="140">
        <f t="shared" si="0"/>
        <v>2622403.30224015</v>
      </c>
      <c r="J9" s="141">
        <f>SUM(G9:I9)</f>
        <v>7524213.9155064495</v>
      </c>
      <c r="K9" s="140">
        <f>K6*K$1+(K7+K8)*K$2</f>
        <v>0</v>
      </c>
      <c r="L9" s="140">
        <f t="shared" ref="L9" si="1">L6*L$1+(L7+L8)*L$2</f>
        <v>0</v>
      </c>
      <c r="M9" s="140">
        <f t="shared" ref="M9" si="2">M6*M$1+(M7+M8)*M$2</f>
        <v>0</v>
      </c>
      <c r="N9" s="141">
        <f>SUM(K9:M9)</f>
        <v>0</v>
      </c>
      <c r="O9" s="140">
        <f>O6*O$1+(O7+O8)*O$2</f>
        <v>0</v>
      </c>
      <c r="P9" s="140">
        <f t="shared" ref="P9" si="3">P6*P$1+(P7+P8)*P$2</f>
        <v>0</v>
      </c>
      <c r="Q9" s="140">
        <f t="shared" ref="Q9" si="4">Q6*Q$1+(Q7+Q8)*Q$2</f>
        <v>0</v>
      </c>
      <c r="R9" s="141">
        <f>SUM(O9:Q9)</f>
        <v>0</v>
      </c>
      <c r="S9" s="140">
        <f>S6*S$1+(S7+S8)*S$2</f>
        <v>0</v>
      </c>
      <c r="T9" s="140">
        <f t="shared" ref="T9" si="5">T6*T$1+(T7+T8)*T$2</f>
        <v>0</v>
      </c>
      <c r="U9" s="140">
        <f t="shared" ref="U9" si="6">U6*U$1+(U7+U8)*U$2</f>
        <v>0</v>
      </c>
      <c r="V9" s="142">
        <f>SUM(S9:U9)</f>
        <v>0</v>
      </c>
    </row>
    <row r="10" spans="1:22" ht="13.5" thickBot="1" x14ac:dyDescent="0.25">
      <c r="A10" s="186" t="s">
        <v>32</v>
      </c>
      <c r="B10" s="98"/>
      <c r="C10" s="5"/>
      <c r="D10" s="298"/>
      <c r="E10" s="299"/>
      <c r="F10" s="89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</row>
    <row r="11" spans="1:22" ht="24" x14ac:dyDescent="0.2">
      <c r="A11" s="508"/>
      <c r="B11" s="496"/>
      <c r="C11" s="108"/>
      <c r="D11" s="515"/>
      <c r="E11" s="516"/>
      <c r="F11" s="130" t="s">
        <v>313</v>
      </c>
      <c r="G11" s="133">
        <f>GetPatVarnum("s5zf","&amp;a022_01_26")</f>
        <v>7738.64</v>
      </c>
      <c r="H11" s="133">
        <f>GetPatVarnum("s5zf","&amp;a022_02_26")</f>
        <v>13147.67</v>
      </c>
      <c r="I11" s="133">
        <f>GetPatVarnum("s5zf","&amp;a022_03_26")</f>
        <v>15620.99</v>
      </c>
      <c r="J11" s="136">
        <f>SUM(G11:I11)</f>
        <v>36507.300000000003</v>
      </c>
      <c r="K11" s="133">
        <f>GetPatVarnum("s5zf","&amp;a022_04_26")</f>
        <v>0</v>
      </c>
      <c r="L11" s="133">
        <f>GetPatVarnum("s5zf","&amp;a022_05_26")</f>
        <v>0</v>
      </c>
      <c r="M11" s="133">
        <f>GetPatVarnum("s5zf","&amp;a022_06_26")</f>
        <v>0</v>
      </c>
      <c r="N11" s="136">
        <f>SUM(K11:M11)</f>
        <v>0</v>
      </c>
      <c r="O11" s="133">
        <f>GetPatVarnum("s5zf","&amp;a022_7_26")</f>
        <v>0</v>
      </c>
      <c r="P11" s="133">
        <f>GetPatVarnum("s5zf","&amp;a022_08_26")</f>
        <v>0</v>
      </c>
      <c r="Q11" s="133">
        <f>GetPatVarnum("s5zf","&amp;a022_09_26")</f>
        <v>0</v>
      </c>
      <c r="R11" s="136">
        <f>SUM(O11:Q11)</f>
        <v>0</v>
      </c>
      <c r="S11" s="133">
        <f>GetPatVarnum("s5zf","&amp;a022_10_26")</f>
        <v>0</v>
      </c>
      <c r="T11" s="133">
        <f>GetPatVarnum("s5zf","&amp;a022_11_26")</f>
        <v>0</v>
      </c>
      <c r="U11" s="133">
        <f>GetPatVarnum("s5zf","&amp;a022_12_26")</f>
        <v>0</v>
      </c>
      <c r="V11" s="137">
        <f>SUM(S11:U11)</f>
        <v>0</v>
      </c>
    </row>
    <row r="12" spans="1:22" ht="24" x14ac:dyDescent="0.2">
      <c r="A12" s="508"/>
      <c r="B12" s="496"/>
      <c r="C12" s="108"/>
      <c r="D12" s="515"/>
      <c r="E12" s="516"/>
      <c r="F12" s="131" t="s">
        <v>314</v>
      </c>
      <c r="G12" s="134">
        <f>GetPatVarnum("s5zf","&amp;a022_01_20")</f>
        <v>836723.05</v>
      </c>
      <c r="H12" s="134">
        <f>GetPatVarnum("s5zf","&amp;a022_02_20")</f>
        <v>774880.74</v>
      </c>
      <c r="I12" s="134">
        <f>GetPatVarnum("s5zf","&amp;a022_03_20")</f>
        <v>935257.59</v>
      </c>
      <c r="J12" s="138">
        <f>SUM(G12:I12)</f>
        <v>2546861.38</v>
      </c>
      <c r="K12" s="134">
        <f>GetPatVarnum("s5zf","&amp;a022_04_20")</f>
        <v>0</v>
      </c>
      <c r="L12" s="134">
        <f>GetPatVarnum("s5zf","&amp;a022_05_20")</f>
        <v>0</v>
      </c>
      <c r="M12" s="134">
        <f>GetPatVarnum("s5zf","&amp;a022_06_20")</f>
        <v>0</v>
      </c>
      <c r="N12" s="138">
        <f>SUM(K12:M12)</f>
        <v>0</v>
      </c>
      <c r="O12" s="134">
        <f>GetPatVarnum("s5zf","&amp;a022_7_20")</f>
        <v>0</v>
      </c>
      <c r="P12" s="134">
        <f>GetPatVarnum("s5zf","&amp;a022_08_20")</f>
        <v>0</v>
      </c>
      <c r="Q12" s="134">
        <f>GetPatVarnum("s5zf","&amp;a022_09_20")</f>
        <v>0</v>
      </c>
      <c r="R12" s="138">
        <f>SUM(O12:Q12)</f>
        <v>0</v>
      </c>
      <c r="S12" s="134">
        <f>GetPatVarnum("s5zf","&amp;a022_10_20")</f>
        <v>0</v>
      </c>
      <c r="T12" s="134">
        <f>GetPatVarnum("s5zf","&amp;a022_11_20")</f>
        <v>0</v>
      </c>
      <c r="U12" s="134">
        <f>GetPatVarnum("s5zf","&amp;a022_12_20")</f>
        <v>0</v>
      </c>
      <c r="V12" s="139">
        <f>SUM(S12:U12)</f>
        <v>0</v>
      </c>
    </row>
    <row r="13" spans="1:22" ht="24" x14ac:dyDescent="0.2">
      <c r="A13" s="508"/>
      <c r="B13" s="496"/>
      <c r="C13" s="108"/>
      <c r="D13" s="515"/>
      <c r="E13" s="516"/>
      <c r="F13" s="131" t="s">
        <v>315</v>
      </c>
      <c r="G13" s="134">
        <f>GetPatVarnum("s5zf","&amp;A022_01_44")</f>
        <v>0</v>
      </c>
      <c r="H13" s="134">
        <f>GetPatVarnum("s5zf","&amp;a022_02_44")</f>
        <v>0</v>
      </c>
      <c r="I13" s="134">
        <f>GetPatVarnum("s5zf","&amp;a022_03_44")</f>
        <v>0</v>
      </c>
      <c r="J13" s="138">
        <f>SUM(G13:I13)</f>
        <v>0</v>
      </c>
      <c r="K13" s="134">
        <f>GetPatVarnum("s5zf","&amp;a022_04_44")</f>
        <v>0</v>
      </c>
      <c r="L13" s="134">
        <f>GetPatVarnum("s5zf","&amp;a022_05_44")</f>
        <v>0</v>
      </c>
      <c r="M13" s="134">
        <f>GetPatVarnum("s5zf","&amp;a022_06_44")</f>
        <v>0</v>
      </c>
      <c r="N13" s="138">
        <f>SUM(K13:M13)</f>
        <v>0</v>
      </c>
      <c r="O13" s="134">
        <f>GetPatVarnum("s5zf","&amp;a022_7_44")</f>
        <v>0</v>
      </c>
      <c r="P13" s="134">
        <f>GetPatVarnum("s5zf","&amp;a022_08_44")</f>
        <v>0</v>
      </c>
      <c r="Q13" s="134">
        <f>GetPatVarnum("s5zf","&amp;a022_09_44")</f>
        <v>0</v>
      </c>
      <c r="R13" s="138">
        <f>SUM(O13:Q13)</f>
        <v>0</v>
      </c>
      <c r="S13" s="134">
        <f>GetPatVarnum("s5zf","&amp;a022_10_44")</f>
        <v>0</v>
      </c>
      <c r="T13" s="134">
        <f>GetPatVarnum("s5zf","&amp;a022_11_44")</f>
        <v>0</v>
      </c>
      <c r="U13" s="134">
        <f>GetPatVarnum("s5zf","&amp;a022_12_44")</f>
        <v>0</v>
      </c>
      <c r="V13" s="139">
        <f>SUM(S13:U13)</f>
        <v>0</v>
      </c>
    </row>
    <row r="14" spans="1:22" ht="32.450000000000003" customHeight="1" thickBot="1" x14ac:dyDescent="0.25">
      <c r="A14" s="303" t="s">
        <v>482</v>
      </c>
      <c r="B14" s="99" t="s">
        <v>137</v>
      </c>
      <c r="C14" s="110"/>
      <c r="D14" s="109">
        <f>GetPatVarnum("s5zf","&amp;a0220")</f>
        <v>2579218.1</v>
      </c>
      <c r="E14" s="185">
        <f>GetPatVarnum("s5zf","&amp;a0221")</f>
        <v>2579218.1</v>
      </c>
      <c r="F14" s="112" t="s">
        <v>316</v>
      </c>
      <c r="G14" s="140">
        <f>G11*G$1+(G12+G13)*G$2</f>
        <v>843170.50807599002</v>
      </c>
      <c r="H14" s="140">
        <f t="shared" ref="H14" si="7">H11*H$1+(H12+H13)*H$2</f>
        <v>786676.15324844001</v>
      </c>
      <c r="I14" s="140">
        <f t="shared" ref="I14" si="8">I11*I$1+(I12+I13)*I$2</f>
        <v>949371.43745070009</v>
      </c>
      <c r="J14" s="141">
        <f>SUM(G14:I14)</f>
        <v>2579218.0987751302</v>
      </c>
      <c r="K14" s="140">
        <f>K11*K$1+(K12+K13)*K$2</f>
        <v>0</v>
      </c>
      <c r="L14" s="140">
        <f t="shared" ref="L14" si="9">L11*L$1+(L12+L13)*L$2</f>
        <v>0</v>
      </c>
      <c r="M14" s="140">
        <f t="shared" ref="M14" si="10">M11*M$1+(M12+M13)*M$2</f>
        <v>0</v>
      </c>
      <c r="N14" s="141">
        <f>SUM(K14:M14)</f>
        <v>0</v>
      </c>
      <c r="O14" s="140">
        <f>O11*O$1+(O12+O13)*O$2</f>
        <v>0</v>
      </c>
      <c r="P14" s="140">
        <f t="shared" ref="P14" si="11">P11*P$1+(P12+P13)*P$2</f>
        <v>0</v>
      </c>
      <c r="Q14" s="140">
        <f t="shared" ref="Q14" si="12">Q11*Q$1+(Q12+Q13)*Q$2</f>
        <v>0</v>
      </c>
      <c r="R14" s="141">
        <f>SUM(O14:Q14)</f>
        <v>0</v>
      </c>
      <c r="S14" s="140">
        <f>S11*S$1+(S12+S13)*S$2</f>
        <v>0</v>
      </c>
      <c r="T14" s="140">
        <f t="shared" ref="T14" si="13">T11*T$1+(T12+T13)*T$2</f>
        <v>0</v>
      </c>
      <c r="U14" s="140">
        <f t="shared" ref="U14" si="14">U11*U$1+(U12+U13)*U$2</f>
        <v>0</v>
      </c>
      <c r="V14" s="142">
        <f>SUM(S14:U14)</f>
        <v>0</v>
      </c>
    </row>
    <row r="15" spans="1:22" ht="13.5" thickBot="1" x14ac:dyDescent="0.25">
      <c r="A15" s="187" t="s">
        <v>30</v>
      </c>
      <c r="B15" s="97"/>
      <c r="C15" s="65"/>
      <c r="D15" s="66"/>
      <c r="E15" s="188"/>
      <c r="F15" s="89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</row>
    <row r="16" spans="1:22" x14ac:dyDescent="0.2">
      <c r="A16" s="508"/>
      <c r="B16" s="496"/>
      <c r="C16" s="86"/>
      <c r="D16" s="517"/>
      <c r="E16" s="518"/>
      <c r="F16" s="130" t="s">
        <v>317</v>
      </c>
      <c r="G16" s="133">
        <f>GetPatVarnum("s5zf","&amp;a023_01_26")</f>
        <v>428.05</v>
      </c>
      <c r="H16" s="133">
        <f>GetPatVarnum("s5zf","&amp;a023_02_26")</f>
        <v>138.34</v>
      </c>
      <c r="I16" s="133">
        <f>GetPatVarnum("s5zf","&amp;a023_03_26")</f>
        <v>260.88</v>
      </c>
      <c r="J16" s="136">
        <f t="shared" ref="J16:J27" si="15">SUM(G16:I16)</f>
        <v>827.27</v>
      </c>
      <c r="K16" s="133">
        <f>GetPatVarnum("s5zf","&amp;a023_04_26")</f>
        <v>0</v>
      </c>
      <c r="L16" s="133">
        <f>GetPatVarnum("s5zf","&amp;a023_05_26")</f>
        <v>0</v>
      </c>
      <c r="M16" s="133">
        <f>GetPatVarnum("s5zf","&amp;a023_06_26")</f>
        <v>0</v>
      </c>
      <c r="N16" s="136">
        <f t="shared" ref="N16:N27" si="16">SUM(K16:M16)</f>
        <v>0</v>
      </c>
      <c r="O16" s="133">
        <f>GetPatVarnum("s5zf","&amp;a023_7_26")</f>
        <v>0</v>
      </c>
      <c r="P16" s="133">
        <f>GetPatVarnum("s5zf","&amp;a023_08_26")</f>
        <v>0</v>
      </c>
      <c r="Q16" s="133">
        <f>GetPatVarnum("s5zf","&amp;a023_09_26")</f>
        <v>0</v>
      </c>
      <c r="R16" s="136">
        <f t="shared" ref="R16:R27" si="17">SUM(O16:Q16)</f>
        <v>0</v>
      </c>
      <c r="S16" s="133">
        <f>GetPatVarnum("s5zf","&amp;a023_10_26")</f>
        <v>0</v>
      </c>
      <c r="T16" s="133">
        <f>GetPatVarnum("s5zf","&amp;a023_11_26")</f>
        <v>0</v>
      </c>
      <c r="U16" s="133">
        <f>GetPatVarnum("s5zf","&amp;a023_12_26")</f>
        <v>0</v>
      </c>
      <c r="V16" s="137">
        <f t="shared" ref="V16:V27" si="18">SUM(S16:U16)</f>
        <v>0</v>
      </c>
    </row>
    <row r="17" spans="1:22" x14ac:dyDescent="0.2">
      <c r="A17" s="508"/>
      <c r="B17" s="496"/>
      <c r="C17" s="86"/>
      <c r="D17" s="517"/>
      <c r="E17" s="518"/>
      <c r="F17" s="131" t="s">
        <v>318</v>
      </c>
      <c r="G17" s="134">
        <f>GetPatVarnum("s5zf","&amp;a023_01_20")</f>
        <v>24473.21</v>
      </c>
      <c r="H17" s="134">
        <f>GetPatVarnum("s5zf","&amp;a023_02_20")</f>
        <v>20584.87</v>
      </c>
      <c r="I17" s="134">
        <f>GetPatVarnum("s5zf","&amp;a023_03_20")</f>
        <v>48640.31</v>
      </c>
      <c r="J17" s="138">
        <f t="shared" si="15"/>
        <v>93698.39</v>
      </c>
      <c r="K17" s="134">
        <f>GetPatVarnum("s5zf","&amp;a023_04_20")</f>
        <v>0</v>
      </c>
      <c r="L17" s="134">
        <f>GetPatVarnum("s5zf","&amp;a023_05_20")</f>
        <v>0</v>
      </c>
      <c r="M17" s="134">
        <f>GetPatVarnum("s5zf","&amp;a023_06_20")</f>
        <v>0</v>
      </c>
      <c r="N17" s="138">
        <f t="shared" si="16"/>
        <v>0</v>
      </c>
      <c r="O17" s="134">
        <f>GetPatVarnum("s5zf","&amp;a023_7_20")</f>
        <v>0</v>
      </c>
      <c r="P17" s="134">
        <f>GetPatVarnum("s5zf","&amp;a023_08_20")</f>
        <v>0</v>
      </c>
      <c r="Q17" s="134">
        <f>GetPatVarnum("s5zf","&amp;a023_09_20")</f>
        <v>0</v>
      </c>
      <c r="R17" s="138">
        <f t="shared" si="17"/>
        <v>0</v>
      </c>
      <c r="S17" s="134">
        <f>GetPatVarnum("s5zf","&amp;a023_10_20")</f>
        <v>0</v>
      </c>
      <c r="T17" s="134">
        <f>GetPatVarnum("s5zf","&amp;a023_11_20")</f>
        <v>0</v>
      </c>
      <c r="U17" s="134">
        <f>GetPatVarnum("s5zf","&amp;a023_12_20")</f>
        <v>0</v>
      </c>
      <c r="V17" s="139">
        <f t="shared" si="18"/>
        <v>0</v>
      </c>
    </row>
    <row r="18" spans="1:22" x14ac:dyDescent="0.2">
      <c r="A18" s="508"/>
      <c r="B18" s="496"/>
      <c r="C18" s="86"/>
      <c r="D18" s="517"/>
      <c r="E18" s="518"/>
      <c r="F18" s="131" t="s">
        <v>319</v>
      </c>
      <c r="G18" s="134">
        <f>GetPatVarnum("s5zf","&amp;A023_01_44")</f>
        <v>0</v>
      </c>
      <c r="H18" s="134">
        <f>GetPatVarnum("s5zf","&amp;a023_02_44")</f>
        <v>0</v>
      </c>
      <c r="I18" s="134">
        <f>GetPatVarnum("s5zf","&amp;a023_03_44")</f>
        <v>0</v>
      </c>
      <c r="J18" s="138">
        <f t="shared" si="15"/>
        <v>0</v>
      </c>
      <c r="K18" s="134">
        <f>GetPatVarnum("s5zf","&amp;a023_04_44")</f>
        <v>0</v>
      </c>
      <c r="L18" s="134">
        <f>GetPatVarnum("s5zf","&amp;a023_05_44")</f>
        <v>0</v>
      </c>
      <c r="M18" s="134">
        <f>GetPatVarnum("s5zf","&amp;a023_06_44")</f>
        <v>0</v>
      </c>
      <c r="N18" s="138">
        <f t="shared" si="16"/>
        <v>0</v>
      </c>
      <c r="O18" s="134">
        <f>GetPatVarnum("s5zf","&amp;a023_7_44")</f>
        <v>0</v>
      </c>
      <c r="P18" s="134">
        <f>GetPatVarnum("s5zf","&amp;a023_08_44")</f>
        <v>0</v>
      </c>
      <c r="Q18" s="134">
        <f>GetPatVarnum("s5zf","&amp;a023_09_44")</f>
        <v>0</v>
      </c>
      <c r="R18" s="138">
        <f t="shared" si="17"/>
        <v>0</v>
      </c>
      <c r="S18" s="134">
        <f>GetPatVarnum("s5zf","&amp;a023_10_44")</f>
        <v>0</v>
      </c>
      <c r="T18" s="134">
        <f>GetPatVarnum("s5zf","&amp;a023_11_44")</f>
        <v>0</v>
      </c>
      <c r="U18" s="134">
        <f>GetPatVarnum("s5zf","&amp;a023_12_44")</f>
        <v>0</v>
      </c>
      <c r="V18" s="139">
        <f t="shared" si="18"/>
        <v>0</v>
      </c>
    </row>
    <row r="19" spans="1:22" ht="13.5" thickBot="1" x14ac:dyDescent="0.25">
      <c r="A19" s="189" t="s">
        <v>136</v>
      </c>
      <c r="B19" s="115" t="s">
        <v>135</v>
      </c>
      <c r="C19" s="110"/>
      <c r="D19" s="114">
        <f>GetPatVarnum("s5zf","&amp;a0230")</f>
        <v>94374.52</v>
      </c>
      <c r="E19" s="190">
        <f>GetPatVarnum("s5zf","&amp;a0231")</f>
        <v>94374.52</v>
      </c>
      <c r="F19" s="112" t="s">
        <v>320</v>
      </c>
      <c r="G19" s="140">
        <f>G16*G$1+(G17+G18)*G$2</f>
        <v>24863.185973459997</v>
      </c>
      <c r="H19" s="140">
        <f t="shared" ref="H19" si="19">H16*H$1+(H17+H18)*H$2</f>
        <v>20687.648971639996</v>
      </c>
      <c r="I19" s="140">
        <f t="shared" ref="I19" si="20">I16*I$1+(I17+I18)*I$2</f>
        <v>48823.68161385</v>
      </c>
      <c r="J19" s="141">
        <f t="shared" si="15"/>
        <v>94374.516558949996</v>
      </c>
      <c r="K19" s="140">
        <f>K16*K$1+(K17+K18)*K$2</f>
        <v>0</v>
      </c>
      <c r="L19" s="140">
        <f t="shared" ref="L19" si="21">L16*L$1+(L17+L18)*L$2</f>
        <v>0</v>
      </c>
      <c r="M19" s="140">
        <f t="shared" ref="M19" si="22">M16*M$1+(M17+M18)*M$2</f>
        <v>0</v>
      </c>
      <c r="N19" s="141">
        <f t="shared" si="16"/>
        <v>0</v>
      </c>
      <c r="O19" s="140">
        <f>O16*O$1+(O17+O18)*O$2</f>
        <v>0</v>
      </c>
      <c r="P19" s="140">
        <f t="shared" ref="P19" si="23">P16*P$1+(P17+P18)*P$2</f>
        <v>0</v>
      </c>
      <c r="Q19" s="140">
        <f t="shared" ref="Q19" si="24">Q16*Q$1+(Q17+Q18)*Q$2</f>
        <v>0</v>
      </c>
      <c r="R19" s="141">
        <f t="shared" si="17"/>
        <v>0</v>
      </c>
      <c r="S19" s="140">
        <f>S16*S$1+(S17+S18)*S$2</f>
        <v>0</v>
      </c>
      <c r="T19" s="140">
        <f t="shared" ref="T19" si="25">T16*T$1+(T17+T18)*T$2</f>
        <v>0</v>
      </c>
      <c r="U19" s="140">
        <f t="shared" ref="U19" si="26">U16*U$1+(U17+U18)*U$2</f>
        <v>0</v>
      </c>
      <c r="V19" s="142">
        <f t="shared" si="18"/>
        <v>0</v>
      </c>
    </row>
    <row r="20" spans="1:22" x14ac:dyDescent="0.2">
      <c r="A20" s="507"/>
      <c r="B20" s="509"/>
      <c r="C20" s="113"/>
      <c r="D20" s="491"/>
      <c r="E20" s="493"/>
      <c r="F20" s="130" t="s">
        <v>321</v>
      </c>
      <c r="G20" s="133">
        <f>GetPatVarnum("s5zf","&amp;a024_01_26")</f>
        <v>0</v>
      </c>
      <c r="H20" s="133">
        <f>GetPatVarnum("s5zf","&amp;a024_02_26")</f>
        <v>0</v>
      </c>
      <c r="I20" s="133">
        <f>GetPatVarnum("s5zf","&amp;a024_03_26")</f>
        <v>0</v>
      </c>
      <c r="J20" s="136">
        <f t="shared" si="15"/>
        <v>0</v>
      </c>
      <c r="K20" s="133">
        <f>GetPatVarnum("s5zf","&amp;a024_04_26")</f>
        <v>0</v>
      </c>
      <c r="L20" s="133">
        <f>GetPatVarnum("s5zf","&amp;a024_05_26")</f>
        <v>0</v>
      </c>
      <c r="M20" s="133">
        <f>GetPatVarnum("s5zf","&amp;a024_06_26")</f>
        <v>0</v>
      </c>
      <c r="N20" s="136">
        <f t="shared" si="16"/>
        <v>0</v>
      </c>
      <c r="O20" s="133">
        <f>GetPatVarnum("s5zf","&amp;a024_7_26")</f>
        <v>0</v>
      </c>
      <c r="P20" s="133">
        <f>GetPatVarnum("s5zf","&amp;a024_08_26")</f>
        <v>0</v>
      </c>
      <c r="Q20" s="133">
        <f>GetPatVarnum("s5zf","&amp;a024_09_26")</f>
        <v>0</v>
      </c>
      <c r="R20" s="136">
        <f t="shared" si="17"/>
        <v>0</v>
      </c>
      <c r="S20" s="133">
        <f>GetPatVarnum("s5zf","&amp;a024_10_26")</f>
        <v>0</v>
      </c>
      <c r="T20" s="133">
        <f>GetPatVarnum("s5zf","&amp;a024_11_26")</f>
        <v>0</v>
      </c>
      <c r="U20" s="133">
        <f>GetPatVarnum("s5zf","&amp;a024_12_26")</f>
        <v>0</v>
      </c>
      <c r="V20" s="137">
        <f t="shared" si="18"/>
        <v>0</v>
      </c>
    </row>
    <row r="21" spans="1:22" x14ac:dyDescent="0.2">
      <c r="A21" s="508"/>
      <c r="B21" s="510"/>
      <c r="C21" s="113"/>
      <c r="D21" s="492"/>
      <c r="E21" s="494"/>
      <c r="F21" s="131" t="s">
        <v>322</v>
      </c>
      <c r="G21" s="134">
        <f>GetPatVarnum("s5zf","&amp;A024_01_20")</f>
        <v>0</v>
      </c>
      <c r="H21" s="134">
        <f>GetPatVarnum("s5zf","&amp;a024_02_20")</f>
        <v>0</v>
      </c>
      <c r="I21" s="134">
        <f>GetPatVarnum("s5zf","&amp;a024_03_20")</f>
        <v>0</v>
      </c>
      <c r="J21" s="138">
        <f t="shared" si="15"/>
        <v>0</v>
      </c>
      <c r="K21" s="134">
        <f>GetPatVarnum("s5zf","&amp;a024_04_20")</f>
        <v>0</v>
      </c>
      <c r="L21" s="134">
        <f>GetPatVarnum("s5zf","&amp;a024_05_20")</f>
        <v>0</v>
      </c>
      <c r="M21" s="134">
        <f>GetPatVarnum("s5zf","&amp;a024_06_20")</f>
        <v>0</v>
      </c>
      <c r="N21" s="138">
        <f t="shared" si="16"/>
        <v>0</v>
      </c>
      <c r="O21" s="134">
        <f>GetPatVarnum("s5zf","&amp;a024_7_20")</f>
        <v>0</v>
      </c>
      <c r="P21" s="134">
        <f>GetPatVarnum("s5zf","&amp;a024_08_20")</f>
        <v>0</v>
      </c>
      <c r="Q21" s="134">
        <f>GetPatVarnum("s5zf","&amp;a024_09_20")</f>
        <v>0</v>
      </c>
      <c r="R21" s="138">
        <f t="shared" si="17"/>
        <v>0</v>
      </c>
      <c r="S21" s="134">
        <f>GetPatVarnum("s5zf","&amp;a024_10_20")</f>
        <v>0</v>
      </c>
      <c r="T21" s="134">
        <f>GetPatVarnum("s5zf","&amp;a024_11_20")</f>
        <v>0</v>
      </c>
      <c r="U21" s="134">
        <f>GetPatVarnum("s5zf","&amp;a024_12_20")</f>
        <v>0</v>
      </c>
      <c r="V21" s="139">
        <f t="shared" si="18"/>
        <v>0</v>
      </c>
    </row>
    <row r="22" spans="1:22" x14ac:dyDescent="0.2">
      <c r="A22" s="508"/>
      <c r="B22" s="510"/>
      <c r="C22" s="113"/>
      <c r="D22" s="492"/>
      <c r="E22" s="494"/>
      <c r="F22" s="131" t="s">
        <v>323</v>
      </c>
      <c r="G22" s="134">
        <f>GetPatVarnum("s5zf","&amp;A024_01_44")</f>
        <v>0</v>
      </c>
      <c r="H22" s="134">
        <f>GetPatVarnum("s5zf","&amp;a024_02_44")</f>
        <v>0</v>
      </c>
      <c r="I22" s="134">
        <f>GetPatVarnum("s5zf","&amp;a024_03_44")</f>
        <v>0</v>
      </c>
      <c r="J22" s="138">
        <f t="shared" si="15"/>
        <v>0</v>
      </c>
      <c r="K22" s="134">
        <f>GetPatVarnum("s5zf","&amp;a024_04_44")</f>
        <v>0</v>
      </c>
      <c r="L22" s="134">
        <f>GetPatVarnum("s5zf","&amp;a024_05_44")</f>
        <v>0</v>
      </c>
      <c r="M22" s="134">
        <f>GetPatVarnum("s5zf","&amp;a024_06_44")</f>
        <v>0</v>
      </c>
      <c r="N22" s="138">
        <f t="shared" si="16"/>
        <v>0</v>
      </c>
      <c r="O22" s="134">
        <f>GetPatVarnum("s5zf","&amp;a024_7_44")</f>
        <v>0</v>
      </c>
      <c r="P22" s="134">
        <f>GetPatVarnum("s5zf","&amp;a024_08_44")</f>
        <v>0</v>
      </c>
      <c r="Q22" s="134">
        <f>GetPatVarnum("s5zf","&amp;a024_09_44")</f>
        <v>0</v>
      </c>
      <c r="R22" s="138">
        <f t="shared" si="17"/>
        <v>0</v>
      </c>
      <c r="S22" s="134">
        <f>GetPatVarnum("s5zf","&amp;a024_10_44")</f>
        <v>0</v>
      </c>
      <c r="T22" s="134">
        <f>GetPatVarnum("s5zf","&amp;a024_11_44")</f>
        <v>0</v>
      </c>
      <c r="U22" s="134">
        <f>GetPatVarnum("s5zf","&amp;a024_12_44")</f>
        <v>0</v>
      </c>
      <c r="V22" s="139">
        <f t="shared" si="18"/>
        <v>0</v>
      </c>
    </row>
    <row r="23" spans="1:22" ht="23.45" customHeight="1" thickBot="1" x14ac:dyDescent="0.25">
      <c r="A23" s="191" t="s">
        <v>134</v>
      </c>
      <c r="B23" s="115" t="s">
        <v>133</v>
      </c>
      <c r="C23" s="111"/>
      <c r="D23" s="144">
        <f>GetPatVarnum("s5zf","&amp;a0240")</f>
        <v>0</v>
      </c>
      <c r="E23" s="192">
        <f>GetPatVarnum("s5zf","&amp;a0241")</f>
        <v>0</v>
      </c>
      <c r="F23" s="112" t="s">
        <v>324</v>
      </c>
      <c r="G23" s="140">
        <f>G20*G$1+(G21+G22)*G$2</f>
        <v>0</v>
      </c>
      <c r="H23" s="140">
        <f t="shared" ref="H23:I23" si="27">H20*H$1+(H21+H22)*H$2</f>
        <v>0</v>
      </c>
      <c r="I23" s="140">
        <f t="shared" si="27"/>
        <v>0</v>
      </c>
      <c r="J23" s="141">
        <f t="shared" si="15"/>
        <v>0</v>
      </c>
      <c r="K23" s="140">
        <f>K20*K$1+(K21+K22)*K$2</f>
        <v>0</v>
      </c>
      <c r="L23" s="140">
        <f t="shared" ref="L23:M23" si="28">L20*L$1+(L21+L22)*L$2</f>
        <v>0</v>
      </c>
      <c r="M23" s="140">
        <f t="shared" si="28"/>
        <v>0</v>
      </c>
      <c r="N23" s="141">
        <f t="shared" si="16"/>
        <v>0</v>
      </c>
      <c r="O23" s="140">
        <f>O20*O$1+(O21+O22)*O$2</f>
        <v>0</v>
      </c>
      <c r="P23" s="140">
        <f t="shared" ref="P23:Q23" si="29">P20*P$1+(P21+P22)*P$2</f>
        <v>0</v>
      </c>
      <c r="Q23" s="140">
        <f t="shared" si="29"/>
        <v>0</v>
      </c>
      <c r="R23" s="141">
        <f t="shared" si="17"/>
        <v>0</v>
      </c>
      <c r="S23" s="140">
        <f>S20*S$1+(S21+S22)*S$2</f>
        <v>0</v>
      </c>
      <c r="T23" s="140">
        <f t="shared" ref="T23:U23" si="30">T20*T$1+(T21+T22)*T$2</f>
        <v>0</v>
      </c>
      <c r="U23" s="140">
        <f t="shared" si="30"/>
        <v>0</v>
      </c>
      <c r="V23" s="142">
        <f t="shared" si="18"/>
        <v>0</v>
      </c>
    </row>
    <row r="24" spans="1:22" ht="13.15" customHeight="1" x14ac:dyDescent="0.2">
      <c r="A24" s="511"/>
      <c r="B24" s="495"/>
      <c r="C24" s="87"/>
      <c r="D24" s="513"/>
      <c r="E24" s="493"/>
      <c r="F24" s="130" t="s">
        <v>325</v>
      </c>
      <c r="G24" s="133">
        <f>GetPatVarnum("s5zf","&amp;a025_01_26")</f>
        <v>354.56</v>
      </c>
      <c r="H24" s="133">
        <f>GetPatVarnum("s5zf","&amp;a025_02_26")</f>
        <v>2863.71</v>
      </c>
      <c r="I24" s="133">
        <f>GetPatVarnum("s5zf","&amp;a025_03_26")</f>
        <v>8206.8799999999992</v>
      </c>
      <c r="J24" s="136">
        <f t="shared" si="15"/>
        <v>11425.15</v>
      </c>
      <c r="K24" s="133">
        <f>GetPatVarnum("s5zf","&amp;a025_04_26")</f>
        <v>0</v>
      </c>
      <c r="L24" s="133">
        <f>GetPatVarnum("s5zf","&amp;a025_05_26")</f>
        <v>0</v>
      </c>
      <c r="M24" s="133">
        <f>GetPatVarnum("s5zf","&amp;a025_06_26")</f>
        <v>0</v>
      </c>
      <c r="N24" s="136">
        <f t="shared" si="16"/>
        <v>0</v>
      </c>
      <c r="O24" s="133">
        <f>GetPatVarnum("s5zf","&amp;a025_7_26")</f>
        <v>0</v>
      </c>
      <c r="P24" s="133">
        <f>GetPatVarnum("s5zf","&amp;a025_08_26")</f>
        <v>0</v>
      </c>
      <c r="Q24" s="133">
        <f>GetPatVarnum("s5zf","&amp;a025_09_26")</f>
        <v>0</v>
      </c>
      <c r="R24" s="136">
        <f t="shared" si="17"/>
        <v>0</v>
      </c>
      <c r="S24" s="133">
        <f>GetPatVarnum("s5zf","&amp;a025_10_26")</f>
        <v>0</v>
      </c>
      <c r="T24" s="133">
        <f>GetPatVarnum("s5zf","&amp;a025_11_26")</f>
        <v>0</v>
      </c>
      <c r="U24" s="133">
        <f>GetPatVarnum("s5zf","&amp;a025_12_26")</f>
        <v>0</v>
      </c>
      <c r="V24" s="137">
        <f t="shared" si="18"/>
        <v>0</v>
      </c>
    </row>
    <row r="25" spans="1:22" ht="13.15" customHeight="1" x14ac:dyDescent="0.2">
      <c r="A25" s="512"/>
      <c r="B25" s="496"/>
      <c r="C25" s="87"/>
      <c r="D25" s="514"/>
      <c r="E25" s="494"/>
      <c r="F25" s="131" t="s">
        <v>326</v>
      </c>
      <c r="G25" s="134">
        <f>GetPatVarnum("s5zf","&amp;a025_01_20")</f>
        <v>17379.650000000001</v>
      </c>
      <c r="H25" s="134">
        <f>GetPatVarnum("s5zf","&amp;a025_02_20")</f>
        <v>16733.37</v>
      </c>
      <c r="I25" s="134">
        <f>GetPatVarnum("s5zf","&amp;a025_03_20")</f>
        <v>36837.9</v>
      </c>
      <c r="J25" s="138">
        <f t="shared" si="15"/>
        <v>70950.920000000013</v>
      </c>
      <c r="K25" s="134">
        <f>GetPatVarnum("s5zf","&amp;a025_04_20")</f>
        <v>0</v>
      </c>
      <c r="L25" s="134">
        <f>GetPatVarnum("s5zf","&amp;a025_05_20")</f>
        <v>0</v>
      </c>
      <c r="M25" s="134">
        <f>GetPatVarnum("s5zf","&amp;a025_06_20")</f>
        <v>0</v>
      </c>
      <c r="N25" s="138">
        <f t="shared" si="16"/>
        <v>0</v>
      </c>
      <c r="O25" s="134">
        <f>GetPatVarnum("s5zf","&amp;a025_7_20")</f>
        <v>0</v>
      </c>
      <c r="P25" s="134">
        <f>GetPatVarnum("s5zf","&amp;a025_08_20")</f>
        <v>0</v>
      </c>
      <c r="Q25" s="134">
        <f>GetPatVarnum("s5zf","&amp;a025_09_20")</f>
        <v>0</v>
      </c>
      <c r="R25" s="138">
        <f t="shared" si="17"/>
        <v>0</v>
      </c>
      <c r="S25" s="134">
        <f>GetPatVarnum("s5zf","&amp;a025_10_20")</f>
        <v>0</v>
      </c>
      <c r="T25" s="134">
        <f>GetPatVarnum("s5zf","&amp;a025_11_20")</f>
        <v>0</v>
      </c>
      <c r="U25" s="134">
        <f>GetPatVarnum("s5zf","&amp;a025_12_20")</f>
        <v>0</v>
      </c>
      <c r="V25" s="139">
        <f t="shared" si="18"/>
        <v>0</v>
      </c>
    </row>
    <row r="26" spans="1:22" ht="13.15" customHeight="1" x14ac:dyDescent="0.2">
      <c r="A26" s="512"/>
      <c r="B26" s="496"/>
      <c r="C26" s="87"/>
      <c r="D26" s="514"/>
      <c r="E26" s="494"/>
      <c r="F26" s="131" t="s">
        <v>327</v>
      </c>
      <c r="G26" s="134">
        <f>GetPatVarnum("s5zf","&amp;A025_01_44")</f>
        <v>0</v>
      </c>
      <c r="H26" s="134">
        <f>GetPatVarnum("s5zf","&amp;a025_02_44")</f>
        <v>0</v>
      </c>
      <c r="I26" s="134">
        <f>GetPatVarnum("s5zf","&amp;a025_03_44")</f>
        <v>0</v>
      </c>
      <c r="J26" s="138">
        <f t="shared" si="15"/>
        <v>0</v>
      </c>
      <c r="K26" s="134">
        <f>GetPatVarnum("s5zf","&amp;a025_04_44")</f>
        <v>0</v>
      </c>
      <c r="L26" s="134">
        <f>GetPatVarnum("s5zf","&amp;a025_05_44")</f>
        <v>0</v>
      </c>
      <c r="M26" s="134">
        <f>GetPatVarnum("s5zf","&amp;a025_06_44")</f>
        <v>0</v>
      </c>
      <c r="N26" s="138">
        <f t="shared" si="16"/>
        <v>0</v>
      </c>
      <c r="O26" s="134">
        <f>GetPatVarnum("s5zf","&amp;a025_7_44")</f>
        <v>0</v>
      </c>
      <c r="P26" s="134">
        <f>GetPatVarnum("s5zf","&amp;a025_08_44")</f>
        <v>0</v>
      </c>
      <c r="Q26" s="134">
        <f>GetPatVarnum("s5zf","&amp;a025_09_44")</f>
        <v>0</v>
      </c>
      <c r="R26" s="138">
        <f t="shared" si="17"/>
        <v>0</v>
      </c>
      <c r="S26" s="134">
        <f>GetPatVarnum("s5zf","&amp;a025_10_44")</f>
        <v>0</v>
      </c>
      <c r="T26" s="134">
        <f>GetPatVarnum("s5zf","&amp;a025_11_44")</f>
        <v>0</v>
      </c>
      <c r="U26" s="134">
        <f>GetPatVarnum("s5zf","&amp;a025_12_44")</f>
        <v>0</v>
      </c>
      <c r="V26" s="139">
        <f t="shared" si="18"/>
        <v>0</v>
      </c>
    </row>
    <row r="27" spans="1:22" ht="34.5" customHeight="1" thickBot="1" x14ac:dyDescent="0.25">
      <c r="A27" s="193" t="s">
        <v>242</v>
      </c>
      <c r="B27" s="99" t="s">
        <v>132</v>
      </c>
      <c r="C27" s="87"/>
      <c r="D27" s="312">
        <f>GetPatVarnum("s5zf","&amp;a0250")</f>
        <v>82243.929999999993</v>
      </c>
      <c r="E27" s="185">
        <f>GetPatVarnum("s5zf","&amp;a0251")</f>
        <v>82243.929999999993</v>
      </c>
      <c r="F27" s="112" t="s">
        <v>328</v>
      </c>
      <c r="G27" s="140">
        <f>G24*G$1+(G25+G26)*G$2</f>
        <v>17707.094392910003</v>
      </c>
      <c r="H27" s="140">
        <f t="shared" ref="H27:I27" si="31">H24*H$1+(H25+H26)*H$2</f>
        <v>19563.451410719998</v>
      </c>
      <c r="I27" s="140">
        <f t="shared" si="31"/>
        <v>44973.384023700004</v>
      </c>
      <c r="J27" s="141">
        <f t="shared" si="15"/>
        <v>82243.929827329994</v>
      </c>
      <c r="K27" s="140">
        <f>K24*K$1+(K25+K26)*K$2</f>
        <v>0</v>
      </c>
      <c r="L27" s="140">
        <f t="shared" ref="L27:M27" si="32">L24*L$1+(L25+L26)*L$2</f>
        <v>0</v>
      </c>
      <c r="M27" s="140">
        <f t="shared" si="32"/>
        <v>0</v>
      </c>
      <c r="N27" s="141">
        <f t="shared" si="16"/>
        <v>0</v>
      </c>
      <c r="O27" s="140">
        <f>O24*O$1+(O25+O26)*O$2</f>
        <v>0</v>
      </c>
      <c r="P27" s="140">
        <f t="shared" ref="P27:Q27" si="33">P24*P$1+(P25+P26)*P$2</f>
        <v>0</v>
      </c>
      <c r="Q27" s="140">
        <f t="shared" si="33"/>
        <v>0</v>
      </c>
      <c r="R27" s="141">
        <f t="shared" si="17"/>
        <v>0</v>
      </c>
      <c r="S27" s="140">
        <f>S24*S$1+(S25+S26)*S$2</f>
        <v>0</v>
      </c>
      <c r="T27" s="140">
        <f t="shared" ref="T27:U27" si="34">T24*T$1+(T25+T26)*T$2</f>
        <v>0</v>
      </c>
      <c r="U27" s="140">
        <f t="shared" si="34"/>
        <v>0</v>
      </c>
      <c r="V27" s="142">
        <f t="shared" si="18"/>
        <v>0</v>
      </c>
    </row>
    <row r="28" spans="1:22" ht="13.5" thickBot="1" x14ac:dyDescent="0.25">
      <c r="A28" s="194" t="s">
        <v>131</v>
      </c>
      <c r="B28" s="98"/>
      <c r="C28" s="65"/>
      <c r="D28" s="295"/>
      <c r="E28" s="296"/>
      <c r="F28" s="89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</row>
    <row r="29" spans="1:22" x14ac:dyDescent="0.2">
      <c r="A29" s="523"/>
      <c r="B29" s="495"/>
      <c r="C29" s="56"/>
      <c r="D29" s="491"/>
      <c r="E29" s="493"/>
      <c r="F29" s="130" t="s">
        <v>329</v>
      </c>
      <c r="G29" s="133">
        <f>GetPatVarnum("s5zf","&amp;a026_01_26")</f>
        <v>0</v>
      </c>
      <c r="H29" s="133">
        <f>GetPatVarnum("s5zf","&amp;a026_02_26")</f>
        <v>0</v>
      </c>
      <c r="I29" s="133">
        <f>GetPatVarnum("s5zf","&amp;a026_03_26")</f>
        <v>0</v>
      </c>
      <c r="J29" s="136">
        <f t="shared" ref="J29:J64" si="35">SUM(G29:I29)</f>
        <v>0</v>
      </c>
      <c r="K29" s="133">
        <f>GetPatVarnum("s5zf","&amp;a026_04_26")</f>
        <v>0</v>
      </c>
      <c r="L29" s="133">
        <f>GetPatVarnum("s5zf","&amp;a026_05_26")</f>
        <v>0</v>
      </c>
      <c r="M29" s="133">
        <f>GetPatVarnum("s5zf","&amp;a026_06_26")</f>
        <v>0</v>
      </c>
      <c r="N29" s="136">
        <f t="shared" ref="N29:N64" si="36">SUM(K29:M29)</f>
        <v>0</v>
      </c>
      <c r="O29" s="133">
        <f>GetPatVarnum("s5zf","&amp;a026_7_26")</f>
        <v>0</v>
      </c>
      <c r="P29" s="133">
        <f>GetPatVarnum("s5zf","&amp;a026_08_26")</f>
        <v>0</v>
      </c>
      <c r="Q29" s="133">
        <f>GetPatVarnum("s5zf","&amp;a026_09_26")</f>
        <v>0</v>
      </c>
      <c r="R29" s="136">
        <f t="shared" ref="R29:R64" si="37">SUM(O29:Q29)</f>
        <v>0</v>
      </c>
      <c r="S29" s="133">
        <f>GetPatVarnum("s5zf","&amp;a026_10_26")</f>
        <v>0</v>
      </c>
      <c r="T29" s="133">
        <f>GetPatVarnum("s5zf","&amp;a026_11_26")</f>
        <v>0</v>
      </c>
      <c r="U29" s="133">
        <f>GetPatVarnum("s5zf","&amp;a026_12_26")</f>
        <v>0</v>
      </c>
      <c r="V29" s="137">
        <f t="shared" ref="V29:V64" si="38">SUM(S29:U29)</f>
        <v>0</v>
      </c>
    </row>
    <row r="30" spans="1:22" x14ac:dyDescent="0.2">
      <c r="A30" s="524"/>
      <c r="B30" s="496"/>
      <c r="C30" s="56"/>
      <c r="D30" s="492"/>
      <c r="E30" s="494"/>
      <c r="F30" s="131" t="s">
        <v>330</v>
      </c>
      <c r="G30" s="134">
        <f>GetPatVarnum("s5zf","&amp;a026_01_20")</f>
        <v>0</v>
      </c>
      <c r="H30" s="134">
        <f>GetPatVarnum("s5zf","&amp;a026_02_20")</f>
        <v>0</v>
      </c>
      <c r="I30" s="134">
        <f>GetPatVarnum("s5zf","&amp;a026_03_20")</f>
        <v>0</v>
      </c>
      <c r="J30" s="138">
        <f t="shared" si="35"/>
        <v>0</v>
      </c>
      <c r="K30" s="134">
        <f>GetPatVarnum("s5zf","&amp;a026_04_20")</f>
        <v>0</v>
      </c>
      <c r="L30" s="134">
        <f>GetPatVarnum("s5zf","&amp;a026_05_20")</f>
        <v>0</v>
      </c>
      <c r="M30" s="134">
        <f>GetPatVarnum("s5zf","&amp;a026_06_20")</f>
        <v>0</v>
      </c>
      <c r="N30" s="138">
        <f t="shared" si="36"/>
        <v>0</v>
      </c>
      <c r="O30" s="134">
        <f>GetPatVarnum("s5zf","&amp;a026_7_20")</f>
        <v>0</v>
      </c>
      <c r="P30" s="134">
        <f>GetPatVarnum("s5zf","&amp;a026_08_20")</f>
        <v>0</v>
      </c>
      <c r="Q30" s="134">
        <f>GetPatVarnum("s5zf","&amp;a026_09_20")</f>
        <v>0</v>
      </c>
      <c r="R30" s="138">
        <f t="shared" si="37"/>
        <v>0</v>
      </c>
      <c r="S30" s="134">
        <f>GetPatVarnum("s5zf","&amp;a026_10_20")</f>
        <v>0</v>
      </c>
      <c r="T30" s="134">
        <f>GetPatVarnum("s5zf","&amp;a026_11_20")</f>
        <v>0</v>
      </c>
      <c r="U30" s="134">
        <f>GetPatVarnum("s5zf","&amp;a026_12_20")</f>
        <v>0</v>
      </c>
      <c r="V30" s="139">
        <f t="shared" si="38"/>
        <v>0</v>
      </c>
    </row>
    <row r="31" spans="1:22" x14ac:dyDescent="0.2">
      <c r="A31" s="524"/>
      <c r="B31" s="496"/>
      <c r="C31" s="56"/>
      <c r="D31" s="492"/>
      <c r="E31" s="494"/>
      <c r="F31" s="131" t="s">
        <v>331</v>
      </c>
      <c r="G31" s="134">
        <f>GetPatVarnum("s5zf","&amp;A026_01_44")</f>
        <v>0</v>
      </c>
      <c r="H31" s="134">
        <f>GetPatVarnum("s5zf","&amp;a026_02_44")</f>
        <v>0</v>
      </c>
      <c r="I31" s="134">
        <f>GetPatVarnum("s5zf","&amp;a026_03_44")</f>
        <v>0</v>
      </c>
      <c r="J31" s="138">
        <f t="shared" si="35"/>
        <v>0</v>
      </c>
      <c r="K31" s="134">
        <f>GetPatVarnum("s5zf","&amp;a026_04_44")</f>
        <v>0</v>
      </c>
      <c r="L31" s="134">
        <f>GetPatVarnum("s5zf","&amp;a026_05_44")</f>
        <v>0</v>
      </c>
      <c r="M31" s="134">
        <f>GetPatVarnum("s5zf","&amp;a026_06_44")</f>
        <v>0</v>
      </c>
      <c r="N31" s="138">
        <f t="shared" si="36"/>
        <v>0</v>
      </c>
      <c r="O31" s="134">
        <f>GetPatVarnum("s5zf","&amp;a026_7_44")</f>
        <v>0</v>
      </c>
      <c r="P31" s="134">
        <f>GetPatVarnum("s5zf","&amp;a026_08_44")</f>
        <v>0</v>
      </c>
      <c r="Q31" s="134">
        <f>GetPatVarnum("s5zf","&amp;a026_09_44")</f>
        <v>0</v>
      </c>
      <c r="R31" s="138">
        <f t="shared" si="37"/>
        <v>0</v>
      </c>
      <c r="S31" s="134">
        <f>GetPatVarnum("s5zf","&amp;a026_10_44")</f>
        <v>0</v>
      </c>
      <c r="T31" s="134">
        <f>GetPatVarnum("s5zf","&amp;a026_11_44")</f>
        <v>0</v>
      </c>
      <c r="U31" s="134">
        <f>GetPatVarnum("s5zf","&amp;a026_12_44")</f>
        <v>0</v>
      </c>
      <c r="V31" s="139">
        <f t="shared" si="38"/>
        <v>0</v>
      </c>
    </row>
    <row r="32" spans="1:22" ht="13.5" thickBot="1" x14ac:dyDescent="0.25">
      <c r="A32" s="195" t="s">
        <v>130</v>
      </c>
      <c r="B32" s="115" t="s">
        <v>129</v>
      </c>
      <c r="C32" s="145"/>
      <c r="D32" s="114">
        <f>GetPatVarnum("s5zf","&amp;a0260")</f>
        <v>0</v>
      </c>
      <c r="E32" s="190">
        <f>GetPatVarnum("s5zf","&amp;a0261")</f>
        <v>0</v>
      </c>
      <c r="F32" s="112" t="s">
        <v>332</v>
      </c>
      <c r="G32" s="140">
        <f>G29*G$1+(G30+G31)*G$2</f>
        <v>0</v>
      </c>
      <c r="H32" s="140">
        <f t="shared" ref="H32:I32" si="39">H29*H$1+(H30+H31)*H$2</f>
        <v>0</v>
      </c>
      <c r="I32" s="140">
        <f t="shared" si="39"/>
        <v>0</v>
      </c>
      <c r="J32" s="141">
        <f t="shared" si="35"/>
        <v>0</v>
      </c>
      <c r="K32" s="140">
        <f>K29*K$1+(K30+K31)*K$2</f>
        <v>0</v>
      </c>
      <c r="L32" s="140">
        <f t="shared" ref="L32:M32" si="40">L29*L$1+(L30+L31)*L$2</f>
        <v>0</v>
      </c>
      <c r="M32" s="140">
        <f t="shared" si="40"/>
        <v>0</v>
      </c>
      <c r="N32" s="141">
        <f t="shared" si="36"/>
        <v>0</v>
      </c>
      <c r="O32" s="140">
        <f>O29*O$1+(O30+O31)*O$2</f>
        <v>0</v>
      </c>
      <c r="P32" s="140">
        <f t="shared" ref="P32:Q32" si="41">P29*P$1+(P30+P31)*P$2</f>
        <v>0</v>
      </c>
      <c r="Q32" s="140">
        <f t="shared" si="41"/>
        <v>0</v>
      </c>
      <c r="R32" s="141">
        <f t="shared" si="37"/>
        <v>0</v>
      </c>
      <c r="S32" s="140">
        <f>S29*S$1+(S30+S31)*S$2</f>
        <v>0</v>
      </c>
      <c r="T32" s="140">
        <f t="shared" ref="T32:U32" si="42">T29*T$1+(T30+T31)*T$2</f>
        <v>0</v>
      </c>
      <c r="U32" s="140">
        <f t="shared" si="42"/>
        <v>0</v>
      </c>
      <c r="V32" s="142">
        <f t="shared" si="38"/>
        <v>0</v>
      </c>
    </row>
    <row r="33" spans="1:22" x14ac:dyDescent="0.2">
      <c r="A33" s="523"/>
      <c r="B33" s="495"/>
      <c r="C33" s="116"/>
      <c r="D33" s="491"/>
      <c r="E33" s="493"/>
      <c r="F33" s="130" t="s">
        <v>333</v>
      </c>
      <c r="G33" s="133">
        <f>GetPatVarnum("s5zf","&amp;a027_01_26")</f>
        <v>0</v>
      </c>
      <c r="H33" s="133">
        <f>GetPatVarnum("s5zf","&amp;a027_02_26")</f>
        <v>0</v>
      </c>
      <c r="I33" s="133">
        <f>GetPatVarnum("s5zf","&amp;a027_03_26")</f>
        <v>0</v>
      </c>
      <c r="J33" s="136">
        <f t="shared" si="35"/>
        <v>0</v>
      </c>
      <c r="K33" s="133">
        <f>GetPatVarnum("s5zf","&amp;a027_04_26")</f>
        <v>0</v>
      </c>
      <c r="L33" s="133">
        <f>GetPatVarnum("s5zf","&amp;a027_05_26")</f>
        <v>0</v>
      </c>
      <c r="M33" s="133">
        <f>GetPatVarnum("s5zf","&amp;a027_06_26")</f>
        <v>0</v>
      </c>
      <c r="N33" s="136">
        <f t="shared" si="36"/>
        <v>0</v>
      </c>
      <c r="O33" s="133">
        <f>GetPatVarnum("s5zf","&amp;a027_7_26")</f>
        <v>0</v>
      </c>
      <c r="P33" s="133">
        <f>GetPatVarnum("s5zf","&amp;a027_08_26")</f>
        <v>0</v>
      </c>
      <c r="Q33" s="133">
        <f>GetPatVarnum("s5zf","&amp;a027_09_26")</f>
        <v>0</v>
      </c>
      <c r="R33" s="136">
        <f t="shared" si="37"/>
        <v>0</v>
      </c>
      <c r="S33" s="133">
        <f>GetPatVarnum("s5zf","&amp;a027_10_26")</f>
        <v>0</v>
      </c>
      <c r="T33" s="133">
        <f>GetPatVarnum("s5zf","&amp;a027_11_26")</f>
        <v>0</v>
      </c>
      <c r="U33" s="133">
        <f>GetPatVarnum("s5zf","&amp;a027_12_26")</f>
        <v>0</v>
      </c>
      <c r="V33" s="137">
        <f t="shared" si="38"/>
        <v>0</v>
      </c>
    </row>
    <row r="34" spans="1:22" x14ac:dyDescent="0.2">
      <c r="A34" s="524"/>
      <c r="B34" s="496"/>
      <c r="C34" s="116"/>
      <c r="D34" s="492"/>
      <c r="E34" s="494"/>
      <c r="F34" s="131" t="s">
        <v>334</v>
      </c>
      <c r="G34" s="134">
        <f>GetPatVarnum("s5zf","&amp;a027_01_20")</f>
        <v>227.94</v>
      </c>
      <c r="H34" s="134">
        <f>GetPatVarnum("s5zf","&amp;a027_02_20")</f>
        <v>0</v>
      </c>
      <c r="I34" s="134">
        <f>GetPatVarnum("s5zf","&amp;a027_03_20")</f>
        <v>17433.669999999998</v>
      </c>
      <c r="J34" s="138">
        <f t="shared" si="35"/>
        <v>17661.609999999997</v>
      </c>
      <c r="K34" s="134">
        <f>GetPatVarnum("s5zf","&amp;a027_04_20")</f>
        <v>0</v>
      </c>
      <c r="L34" s="134">
        <f>GetPatVarnum("s5zf","&amp;a027_05_20")</f>
        <v>0</v>
      </c>
      <c r="M34" s="134">
        <f>GetPatVarnum("s5zf","&amp;a027_06_20")</f>
        <v>0</v>
      </c>
      <c r="N34" s="138">
        <f t="shared" si="36"/>
        <v>0</v>
      </c>
      <c r="O34" s="134">
        <f>GetPatVarnum("s5zf","&amp;a027_7_20")</f>
        <v>0</v>
      </c>
      <c r="P34" s="134">
        <f>GetPatVarnum("s5zf","&amp;a027_08_20")</f>
        <v>0</v>
      </c>
      <c r="Q34" s="134">
        <f>GetPatVarnum("s5zf","&amp;a027_09_20")</f>
        <v>0</v>
      </c>
      <c r="R34" s="138">
        <f t="shared" si="37"/>
        <v>0</v>
      </c>
      <c r="S34" s="134">
        <f>GetPatVarnum("s5zf","&amp;a027_10_20")</f>
        <v>0</v>
      </c>
      <c r="T34" s="134">
        <f>GetPatVarnum("s5zf","&amp;a027_11_20")</f>
        <v>0</v>
      </c>
      <c r="U34" s="134">
        <f>GetPatVarnum("s5zf","&amp;a027_12_20")</f>
        <v>0</v>
      </c>
      <c r="V34" s="139">
        <f t="shared" si="38"/>
        <v>0</v>
      </c>
    </row>
    <row r="35" spans="1:22" x14ac:dyDescent="0.2">
      <c r="A35" s="524"/>
      <c r="B35" s="496"/>
      <c r="C35" s="116"/>
      <c r="D35" s="492"/>
      <c r="E35" s="494"/>
      <c r="F35" s="131" t="s">
        <v>335</v>
      </c>
      <c r="G35" s="134">
        <f>GetPatVarnum("s5zf","&amp;A027_01_44")</f>
        <v>0</v>
      </c>
      <c r="H35" s="134">
        <f>GetPatVarnum("s5zf","&amp;a027_02_44")</f>
        <v>0</v>
      </c>
      <c r="I35" s="134">
        <f>GetPatVarnum("s5zf","&amp;a027_03_44")</f>
        <v>0</v>
      </c>
      <c r="J35" s="138">
        <f t="shared" si="35"/>
        <v>0</v>
      </c>
      <c r="K35" s="134">
        <f>GetPatVarnum("s5zf","&amp;a027_04_44")</f>
        <v>0</v>
      </c>
      <c r="L35" s="134">
        <f>GetPatVarnum("s5zf","&amp;a027_05_44")</f>
        <v>0</v>
      </c>
      <c r="M35" s="134">
        <f>GetPatVarnum("s5zf","&amp;a027_06_44")</f>
        <v>0</v>
      </c>
      <c r="N35" s="138">
        <f t="shared" si="36"/>
        <v>0</v>
      </c>
      <c r="O35" s="134">
        <f>GetPatVarnum("s5zf","&amp;a027_7_44")</f>
        <v>0</v>
      </c>
      <c r="P35" s="134">
        <f>GetPatVarnum("s5zf","&amp;a027_08_44")</f>
        <v>0</v>
      </c>
      <c r="Q35" s="134">
        <f>GetPatVarnum("s5zf","&amp;a027_09_44")</f>
        <v>0</v>
      </c>
      <c r="R35" s="138">
        <f t="shared" si="37"/>
        <v>0</v>
      </c>
      <c r="S35" s="134">
        <f>GetPatVarnum("s5zf","&amp;a027_10_44")</f>
        <v>0</v>
      </c>
      <c r="T35" s="134">
        <f>GetPatVarnum("s5zf","&amp;a027_11_44")</f>
        <v>0</v>
      </c>
      <c r="U35" s="134">
        <f>GetPatVarnum("s5zf","&amp;a027_12_44")</f>
        <v>0</v>
      </c>
      <c r="V35" s="139">
        <f t="shared" si="38"/>
        <v>0</v>
      </c>
    </row>
    <row r="36" spans="1:22" ht="17.45" customHeight="1" thickBot="1" x14ac:dyDescent="0.25">
      <c r="A36" s="191" t="s">
        <v>128</v>
      </c>
      <c r="B36" s="115" t="s">
        <v>127</v>
      </c>
      <c r="C36" s="111"/>
      <c r="D36" s="114">
        <f>GetPatVarnum("s5zf","&amp;a0270")</f>
        <v>17633.63</v>
      </c>
      <c r="E36" s="190">
        <f>GetPatVarnum("s5zf","&amp;a0271")</f>
        <v>17633.63</v>
      </c>
      <c r="F36" s="112" t="s">
        <v>336</v>
      </c>
      <c r="G36" s="140">
        <f>G33*G$1+(G34+G35)*G$2</f>
        <v>227.59147974000001</v>
      </c>
      <c r="H36" s="140">
        <f t="shared" ref="H36:I36" si="43">H33*H$1+(H34+H35)*H$2</f>
        <v>0</v>
      </c>
      <c r="I36" s="140">
        <f t="shared" si="43"/>
        <v>17406.03763305</v>
      </c>
      <c r="J36" s="141">
        <f t="shared" si="35"/>
        <v>17633.62911279</v>
      </c>
      <c r="K36" s="140">
        <f>K33*K$1+(K34+K35)*K$2</f>
        <v>0</v>
      </c>
      <c r="L36" s="140">
        <f t="shared" ref="L36:M36" si="44">L33*L$1+(L34+L35)*L$2</f>
        <v>0</v>
      </c>
      <c r="M36" s="140">
        <f t="shared" si="44"/>
        <v>0</v>
      </c>
      <c r="N36" s="141">
        <f t="shared" si="36"/>
        <v>0</v>
      </c>
      <c r="O36" s="140">
        <f>O33*O$1+(O34+O35)*O$2</f>
        <v>0</v>
      </c>
      <c r="P36" s="140">
        <f t="shared" ref="P36:Q36" si="45">P33*P$1+(P34+P35)*P$2</f>
        <v>0</v>
      </c>
      <c r="Q36" s="140">
        <f t="shared" si="45"/>
        <v>0</v>
      </c>
      <c r="R36" s="141">
        <f t="shared" si="37"/>
        <v>0</v>
      </c>
      <c r="S36" s="140">
        <f>S33*S$1+(S34+S35)*S$2</f>
        <v>0</v>
      </c>
      <c r="T36" s="140">
        <f t="shared" ref="T36:U36" si="46">T33*T$1+(T34+T35)*T$2</f>
        <v>0</v>
      </c>
      <c r="U36" s="140">
        <f t="shared" si="46"/>
        <v>0</v>
      </c>
      <c r="V36" s="142">
        <f t="shared" si="38"/>
        <v>0</v>
      </c>
    </row>
    <row r="37" spans="1:22" ht="13.5" customHeight="1" x14ac:dyDescent="0.2">
      <c r="A37" s="519"/>
      <c r="B37" s="495"/>
      <c r="C37" s="87"/>
      <c r="D37" s="491"/>
      <c r="E37" s="493"/>
      <c r="F37" s="130" t="s">
        <v>337</v>
      </c>
      <c r="G37" s="133">
        <f>GetPatVarnum("s5zf","&amp;a230_01_26")</f>
        <v>0</v>
      </c>
      <c r="H37" s="133">
        <f>GetPatVarnum("s5zf","&amp;a230_02_26")</f>
        <v>666.2</v>
      </c>
      <c r="I37" s="133">
        <f>GetPatVarnum("s5zf","&amp;a230_03_26")</f>
        <v>0</v>
      </c>
      <c r="J37" s="136">
        <f t="shared" si="35"/>
        <v>666.2</v>
      </c>
      <c r="K37" s="133">
        <f>GetPatVarnum("s5zf","&amp;a230_04_26")</f>
        <v>0</v>
      </c>
      <c r="L37" s="133">
        <f>GetPatVarnum("s5zf","&amp;a230_05_26")</f>
        <v>0</v>
      </c>
      <c r="M37" s="133">
        <f>GetPatVarnum("s5zf","&amp;a230_06_26")</f>
        <v>0</v>
      </c>
      <c r="N37" s="136">
        <f t="shared" si="36"/>
        <v>0</v>
      </c>
      <c r="O37" s="133">
        <f>GetPatVarnum("s5zf","&amp;a230_07_26")</f>
        <v>0</v>
      </c>
      <c r="P37" s="133">
        <f>GetPatVarnum("s5zf","&amp;a230_08_26")</f>
        <v>0</v>
      </c>
      <c r="Q37" s="133">
        <f>GetPatVarnum("s5zf","&amp;a230_09_26")</f>
        <v>0</v>
      </c>
      <c r="R37" s="136">
        <f t="shared" si="37"/>
        <v>0</v>
      </c>
      <c r="S37" s="133">
        <f>GetPatVarnum("s5zf","&amp;a230_10_26")</f>
        <v>0</v>
      </c>
      <c r="T37" s="133">
        <f>GetPatVarnum("s5zf","&amp;a230_11_26")</f>
        <v>0</v>
      </c>
      <c r="U37" s="133">
        <f>GetPatVarnum("s5zf","&amp;a230_12_26")</f>
        <v>0</v>
      </c>
      <c r="V37" s="137">
        <f t="shared" si="38"/>
        <v>0</v>
      </c>
    </row>
    <row r="38" spans="1:22" ht="13.5" customHeight="1" x14ac:dyDescent="0.2">
      <c r="A38" s="520"/>
      <c r="B38" s="496"/>
      <c r="C38" s="87"/>
      <c r="D38" s="492"/>
      <c r="E38" s="494"/>
      <c r="F38" s="131" t="s">
        <v>338</v>
      </c>
      <c r="G38" s="134">
        <f>GetPatVarnum("s5zf","&amp;a230_01_20")</f>
        <v>3535.39</v>
      </c>
      <c r="H38" s="134">
        <f>GetPatVarnum("s5zf","&amp;a230_02_20")</f>
        <v>8817.81</v>
      </c>
      <c r="I38" s="134">
        <f>GetPatVarnum("s5zf","&amp;a230_03_20")</f>
        <v>3133.34</v>
      </c>
      <c r="J38" s="138">
        <f t="shared" si="35"/>
        <v>15486.539999999999</v>
      </c>
      <c r="K38" s="134">
        <f>GetPatVarnum("s5zf","&amp;a230_04_20")</f>
        <v>0</v>
      </c>
      <c r="L38" s="134">
        <f>GetPatVarnum("s5zf","&amp;a230_05_20")</f>
        <v>0</v>
      </c>
      <c r="M38" s="134">
        <f>GetPatVarnum("s5zf","&amp;a230_06_20")</f>
        <v>0</v>
      </c>
      <c r="N38" s="138">
        <f t="shared" si="36"/>
        <v>0</v>
      </c>
      <c r="O38" s="134">
        <f>GetPatVarnum("s5zf","&amp;a230_07_20")</f>
        <v>0</v>
      </c>
      <c r="P38" s="134">
        <f>GetPatVarnum("s5zf","&amp;a230_08_20")</f>
        <v>0</v>
      </c>
      <c r="Q38" s="134">
        <f>GetPatVarnum("s5zf","&amp;a230_09_20")</f>
        <v>0</v>
      </c>
      <c r="R38" s="138">
        <f t="shared" si="37"/>
        <v>0</v>
      </c>
      <c r="S38" s="134">
        <f>GetPatVarnum("s5zf","&amp;a230_10_20")</f>
        <v>0</v>
      </c>
      <c r="T38" s="134">
        <f>GetPatVarnum("s5zf","&amp;a230_11_20")</f>
        <v>0</v>
      </c>
      <c r="U38" s="134">
        <f>GetPatVarnum("s5zf","&amp;a230_12_20")</f>
        <v>0</v>
      </c>
      <c r="V38" s="139">
        <f t="shared" si="38"/>
        <v>0</v>
      </c>
    </row>
    <row r="39" spans="1:22" ht="13.5" customHeight="1" x14ac:dyDescent="0.2">
      <c r="A39" s="520"/>
      <c r="B39" s="496"/>
      <c r="C39" s="87"/>
      <c r="D39" s="492"/>
      <c r="E39" s="494"/>
      <c r="F39" s="131" t="s">
        <v>339</v>
      </c>
      <c r="G39" s="134">
        <f>GetPatVarnum("s5zf","&amp;A230_01_44")</f>
        <v>0</v>
      </c>
      <c r="H39" s="134">
        <f>GetPatVarnum("s5zf","&amp;a230_02_44")</f>
        <v>0</v>
      </c>
      <c r="I39" s="134">
        <f>GetPatVarnum("s5zf","&amp;a230_03_44")</f>
        <v>0</v>
      </c>
      <c r="J39" s="138">
        <f t="shared" si="35"/>
        <v>0</v>
      </c>
      <c r="K39" s="134">
        <f>GetPatVarnum("s5zf","&amp;A230_04_44")</f>
        <v>0</v>
      </c>
      <c r="L39" s="134">
        <f>GetPatVarnum("s5zf","&amp;a230_05_44")</f>
        <v>0</v>
      </c>
      <c r="M39" s="134">
        <f>GetPatVarnum("s5zf","&amp;a230_06_44")</f>
        <v>0</v>
      </c>
      <c r="N39" s="138">
        <f t="shared" si="36"/>
        <v>0</v>
      </c>
      <c r="O39" s="134">
        <f>GetPatVarnum("s5zf","&amp;A230_07_44")</f>
        <v>0</v>
      </c>
      <c r="P39" s="134">
        <f>GetPatVarnum("s5zf","&amp;a230_08_44")</f>
        <v>0</v>
      </c>
      <c r="Q39" s="134">
        <f>GetPatVarnum("s5zf","&amp;a230_09_44")</f>
        <v>0</v>
      </c>
      <c r="R39" s="138">
        <f t="shared" si="37"/>
        <v>0</v>
      </c>
      <c r="S39" s="134">
        <f>GetPatVarnum("s5zf","&amp;A230_10_44")</f>
        <v>0</v>
      </c>
      <c r="T39" s="134">
        <f>GetPatVarnum("s5zf","&amp;a230_11_44")</f>
        <v>0</v>
      </c>
      <c r="U39" s="134">
        <f>GetPatVarnum("s5zf","&amp;a230_12_44")</f>
        <v>0</v>
      </c>
      <c r="V39" s="139">
        <f t="shared" si="38"/>
        <v>0</v>
      </c>
    </row>
    <row r="40" spans="1:22" ht="39" customHeight="1" thickBot="1" x14ac:dyDescent="0.25">
      <c r="A40" s="191" t="s">
        <v>244</v>
      </c>
      <c r="B40" s="115" t="s">
        <v>245</v>
      </c>
      <c r="C40" s="146"/>
      <c r="D40" s="144">
        <f>GetPatVarnum("s5zf","&amp;a2300")</f>
        <v>16126.09</v>
      </c>
      <c r="E40" s="192">
        <f>GetPatVarnum("s5zf","&amp;a2301")</f>
        <v>16126.09</v>
      </c>
      <c r="F40" s="112" t="s">
        <v>340</v>
      </c>
      <c r="G40" s="140">
        <f>G37*G$1+(G38+G39)*G$2</f>
        <v>3529.9843886899998</v>
      </c>
      <c r="H40" s="140">
        <f t="shared" ref="H40:I40" si="47">H37*H$1+(H38+H39)*H$2</f>
        <v>9467.7354388399981</v>
      </c>
      <c r="I40" s="140">
        <f t="shared" si="47"/>
        <v>3128.3736561000005</v>
      </c>
      <c r="J40" s="141">
        <f t="shared" si="35"/>
        <v>16126.093483629998</v>
      </c>
      <c r="K40" s="140">
        <f>K37*K$1+(K38+K39)*K$2</f>
        <v>0</v>
      </c>
      <c r="L40" s="140">
        <f t="shared" ref="L40:M40" si="48">L37*L$1+(L38+L39)*L$2</f>
        <v>0</v>
      </c>
      <c r="M40" s="140">
        <f t="shared" si="48"/>
        <v>0</v>
      </c>
      <c r="N40" s="141">
        <f t="shared" si="36"/>
        <v>0</v>
      </c>
      <c r="O40" s="140">
        <f>O37*O$1+(O38+O39)*O$2</f>
        <v>0</v>
      </c>
      <c r="P40" s="140">
        <f t="shared" ref="P40:Q40" si="49">P37*P$1+(P38+P39)*P$2</f>
        <v>0</v>
      </c>
      <c r="Q40" s="140">
        <f t="shared" si="49"/>
        <v>0</v>
      </c>
      <c r="R40" s="141">
        <f t="shared" si="37"/>
        <v>0</v>
      </c>
      <c r="S40" s="140">
        <f>S37*S$1+(S38+S39)*S$2</f>
        <v>0</v>
      </c>
      <c r="T40" s="140">
        <f t="shared" ref="T40:U40" si="50">T37*T$1+(T38+T39)*T$2</f>
        <v>0</v>
      </c>
      <c r="U40" s="140">
        <f t="shared" si="50"/>
        <v>0</v>
      </c>
      <c r="V40" s="142">
        <f t="shared" si="38"/>
        <v>0</v>
      </c>
    </row>
    <row r="41" spans="1:22" ht="13.5" customHeight="1" x14ac:dyDescent="0.2">
      <c r="A41" s="519"/>
      <c r="B41" s="495"/>
      <c r="C41" s="87"/>
      <c r="D41" s="491"/>
      <c r="E41" s="521"/>
      <c r="F41" s="130" t="s">
        <v>341</v>
      </c>
      <c r="G41" s="133">
        <f>GetPatVarnum("s5zf","&amp;a028_01_26")</f>
        <v>0</v>
      </c>
      <c r="H41" s="133">
        <f>GetPatVarnum("s5zf","&amp;a028_02_26")</f>
        <v>0</v>
      </c>
      <c r="I41" s="133">
        <f>GetPatVarnum("s5zf","&amp;a028_03_26")</f>
        <v>0</v>
      </c>
      <c r="J41" s="136">
        <f t="shared" si="35"/>
        <v>0</v>
      </c>
      <c r="K41" s="133">
        <f>GetPatVarnum("s5zf","&amp;a028_04_26")</f>
        <v>0</v>
      </c>
      <c r="L41" s="133">
        <f>GetPatVarnum("s5zf","&amp;a028_05_26")</f>
        <v>0</v>
      </c>
      <c r="M41" s="133">
        <f>GetPatVarnum("s5zf","&amp;a028_06_26")</f>
        <v>0</v>
      </c>
      <c r="N41" s="136">
        <f t="shared" si="36"/>
        <v>0</v>
      </c>
      <c r="O41" s="133">
        <f>GetPatVarnum("s5zf","&amp;a028_7_26")</f>
        <v>0</v>
      </c>
      <c r="P41" s="133">
        <f>GetPatVarnum("s5zf","&amp;a028_08_26")</f>
        <v>0</v>
      </c>
      <c r="Q41" s="133">
        <f>GetPatVarnum("s5zf","&amp;a028_09_26")</f>
        <v>0</v>
      </c>
      <c r="R41" s="136">
        <f t="shared" si="37"/>
        <v>0</v>
      </c>
      <c r="S41" s="133">
        <f>GetPatVarnum("s5zf","&amp;a028_10_26")</f>
        <v>0</v>
      </c>
      <c r="T41" s="133">
        <f>GetPatVarnum("s5zf","&amp;a028_11_26")</f>
        <v>0</v>
      </c>
      <c r="U41" s="133">
        <f>GetPatVarnum("s5zf","&amp;a028_12_26")</f>
        <v>0</v>
      </c>
      <c r="V41" s="137">
        <f t="shared" si="38"/>
        <v>0</v>
      </c>
    </row>
    <row r="42" spans="1:22" ht="13.5" customHeight="1" x14ac:dyDescent="0.2">
      <c r="A42" s="520"/>
      <c r="B42" s="496"/>
      <c r="C42" s="87"/>
      <c r="D42" s="492"/>
      <c r="E42" s="522"/>
      <c r="F42" s="131" t="s">
        <v>342</v>
      </c>
      <c r="G42" s="134">
        <f>GetPatVarnum("s5zf","&amp;a028_01_20")</f>
        <v>0</v>
      </c>
      <c r="H42" s="134">
        <f>GetPatVarnum("s5zf","&amp;a028_02_20")</f>
        <v>0</v>
      </c>
      <c r="I42" s="134">
        <f>GetPatVarnum("s5zf","&amp;a028_03_20")</f>
        <v>0</v>
      </c>
      <c r="J42" s="138">
        <f t="shared" si="35"/>
        <v>0</v>
      </c>
      <c r="K42" s="134">
        <f>GetPatVarnum("s5zf","&amp;a028_04_20")</f>
        <v>0</v>
      </c>
      <c r="L42" s="134">
        <f>GetPatVarnum("s5zf","&amp;a028_05_20")</f>
        <v>0</v>
      </c>
      <c r="M42" s="134">
        <f>GetPatVarnum("s5zf","&amp;a028_06_20")</f>
        <v>0</v>
      </c>
      <c r="N42" s="138">
        <f t="shared" si="36"/>
        <v>0</v>
      </c>
      <c r="O42" s="134">
        <f>GetPatVarnum("s5zf","&amp;a028_7_20")</f>
        <v>0</v>
      </c>
      <c r="P42" s="134">
        <f>GetPatVarnum("s5zf","&amp;a028_08_20")</f>
        <v>0</v>
      </c>
      <c r="Q42" s="134">
        <f>GetPatVarnum("s5zf","&amp;a028_09_20")</f>
        <v>0</v>
      </c>
      <c r="R42" s="138">
        <f t="shared" si="37"/>
        <v>0</v>
      </c>
      <c r="S42" s="134">
        <f>GetPatVarnum("s5zf","&amp;a028_10_20")</f>
        <v>0</v>
      </c>
      <c r="T42" s="134">
        <f>GetPatVarnum("s5zf","&amp;a028_11_20")</f>
        <v>0</v>
      </c>
      <c r="U42" s="134">
        <f>GetPatVarnum("s5zf","&amp;a028_12_20")</f>
        <v>0</v>
      </c>
      <c r="V42" s="139">
        <f t="shared" si="38"/>
        <v>0</v>
      </c>
    </row>
    <row r="43" spans="1:22" ht="13.5" customHeight="1" x14ac:dyDescent="0.2">
      <c r="A43" s="520"/>
      <c r="B43" s="496"/>
      <c r="C43" s="87"/>
      <c r="D43" s="492"/>
      <c r="E43" s="522"/>
      <c r="F43" s="131" t="s">
        <v>343</v>
      </c>
      <c r="G43" s="134">
        <f>GetPatVarnum("s5zf","&amp;A028_01_44")</f>
        <v>0</v>
      </c>
      <c r="H43" s="134">
        <f>GetPatVarnum("s5zf","&amp;a028_02_44")</f>
        <v>0</v>
      </c>
      <c r="I43" s="134">
        <f>GetPatVarnum("s5zf","&amp;a028_03_44")</f>
        <v>0</v>
      </c>
      <c r="J43" s="138">
        <f t="shared" si="35"/>
        <v>0</v>
      </c>
      <c r="K43" s="134">
        <f>GetPatVarnum("s5zf","&amp;a028_04_44")</f>
        <v>0</v>
      </c>
      <c r="L43" s="134">
        <f>GetPatVarnum("s5zf","&amp;a028_05_44")</f>
        <v>0</v>
      </c>
      <c r="M43" s="134">
        <f>GetPatVarnum("s5zf","&amp;a028_06_44")</f>
        <v>0</v>
      </c>
      <c r="N43" s="138">
        <f t="shared" si="36"/>
        <v>0</v>
      </c>
      <c r="O43" s="134">
        <f>GetPatVarnum("s5zf","&amp;a028_7_44")</f>
        <v>0</v>
      </c>
      <c r="P43" s="134">
        <f>GetPatVarnum("s5zf","&amp;a028_08_44")</f>
        <v>0</v>
      </c>
      <c r="Q43" s="134">
        <f>GetPatVarnum("s5zf","&amp;a028_09_44")</f>
        <v>0</v>
      </c>
      <c r="R43" s="138">
        <f t="shared" si="37"/>
        <v>0</v>
      </c>
      <c r="S43" s="134">
        <f>GetPatVarnum("s5zf","&amp;a028_10_44")</f>
        <v>0</v>
      </c>
      <c r="T43" s="134">
        <f>GetPatVarnum("s5zf","&amp;a028_11_44")</f>
        <v>0</v>
      </c>
      <c r="U43" s="134">
        <f>GetPatVarnum("s5zf","&amp;a028_12_44")</f>
        <v>0</v>
      </c>
      <c r="V43" s="139">
        <f t="shared" si="38"/>
        <v>0</v>
      </c>
    </row>
    <row r="44" spans="1:22" ht="32.450000000000003" customHeight="1" thickBot="1" x14ac:dyDescent="0.25">
      <c r="A44" s="191" t="s">
        <v>243</v>
      </c>
      <c r="B44" s="115" t="s">
        <v>126</v>
      </c>
      <c r="C44" s="146"/>
      <c r="D44" s="144">
        <f>GetPatVarnum("s5zf","&amp;a0280")</f>
        <v>0</v>
      </c>
      <c r="E44" s="196">
        <f>GetPatVarnum("s5zf","&amp;a0281")</f>
        <v>0</v>
      </c>
      <c r="F44" s="112" t="s">
        <v>344</v>
      </c>
      <c r="G44" s="140">
        <f>G41*G$1+(G42+G43)*G$2</f>
        <v>0</v>
      </c>
      <c r="H44" s="140">
        <f t="shared" ref="H44:I44" si="51">H41*H$1+(H42+H43)*H$2</f>
        <v>0</v>
      </c>
      <c r="I44" s="140">
        <f t="shared" si="51"/>
        <v>0</v>
      </c>
      <c r="J44" s="141">
        <f t="shared" si="35"/>
        <v>0</v>
      </c>
      <c r="K44" s="140">
        <f>K41*K$1+(K42+K43)*K$2</f>
        <v>0</v>
      </c>
      <c r="L44" s="140">
        <f t="shared" ref="L44:M44" si="52">L41*L$1+(L42+L43)*L$2</f>
        <v>0</v>
      </c>
      <c r="M44" s="140">
        <f t="shared" si="52"/>
        <v>0</v>
      </c>
      <c r="N44" s="141">
        <f t="shared" si="36"/>
        <v>0</v>
      </c>
      <c r="O44" s="140">
        <f>O41*O$1+(O42+O43)*O$2</f>
        <v>0</v>
      </c>
      <c r="P44" s="140">
        <f t="shared" ref="P44:Q44" si="53">P41*P$1+(P42+P43)*P$2</f>
        <v>0</v>
      </c>
      <c r="Q44" s="140">
        <f t="shared" si="53"/>
        <v>0</v>
      </c>
      <c r="R44" s="141">
        <f t="shared" si="37"/>
        <v>0</v>
      </c>
      <c r="S44" s="140">
        <f>S41*S$1+(S42+S43)*S$2</f>
        <v>0</v>
      </c>
      <c r="T44" s="140">
        <f t="shared" ref="T44:U44" si="54">T41*T$1+(T42+T43)*T$2</f>
        <v>0</v>
      </c>
      <c r="U44" s="140">
        <f t="shared" si="54"/>
        <v>0</v>
      </c>
      <c r="V44" s="142">
        <f t="shared" si="38"/>
        <v>0</v>
      </c>
    </row>
    <row r="45" spans="1:22" ht="13.5" customHeight="1" x14ac:dyDescent="0.2">
      <c r="A45" s="511"/>
      <c r="B45" s="495"/>
      <c r="C45" s="87"/>
      <c r="D45" s="491"/>
      <c r="E45" s="493"/>
      <c r="F45" s="130" t="s">
        <v>345</v>
      </c>
      <c r="G45" s="133">
        <f>GetPatVarnum("s5zf","&amp;a029_01_26")</f>
        <v>157.5</v>
      </c>
      <c r="H45" s="133">
        <f>GetPatVarnum("s5zf","&amp;a029_02_26")</f>
        <v>2000.45</v>
      </c>
      <c r="I45" s="133">
        <f>GetPatVarnum("s5zf","&amp;a029_03_26")</f>
        <v>6655.82</v>
      </c>
      <c r="J45" s="136">
        <f t="shared" si="35"/>
        <v>8813.77</v>
      </c>
      <c r="K45" s="133">
        <f>GetPatVarnum("s5zf","&amp;a029_04_26")</f>
        <v>0</v>
      </c>
      <c r="L45" s="133">
        <f>GetPatVarnum("s5zf","&amp;a029_05_26")</f>
        <v>0</v>
      </c>
      <c r="M45" s="133">
        <f>GetPatVarnum("s5zf","&amp;a029_06_26")</f>
        <v>0</v>
      </c>
      <c r="N45" s="136">
        <f t="shared" si="36"/>
        <v>0</v>
      </c>
      <c r="O45" s="133">
        <f>GetPatVarnum("s5zf","&amp;a029_7_26")</f>
        <v>0</v>
      </c>
      <c r="P45" s="133">
        <f>GetPatVarnum("s5zf","&amp;a029_08_26")</f>
        <v>0</v>
      </c>
      <c r="Q45" s="133">
        <f>GetPatVarnum("s5zf","&amp;a029_09_26")</f>
        <v>0</v>
      </c>
      <c r="R45" s="136">
        <f t="shared" si="37"/>
        <v>0</v>
      </c>
      <c r="S45" s="133">
        <f>GetPatVarnum("s5zf","&amp;a029_10_26")</f>
        <v>0</v>
      </c>
      <c r="T45" s="133">
        <f>GetPatVarnum("s5zf","&amp;a029_11_26")</f>
        <v>0</v>
      </c>
      <c r="U45" s="133">
        <f>GetPatVarnum("s5zf","&amp;a029_12_26")</f>
        <v>0</v>
      </c>
      <c r="V45" s="137">
        <f t="shared" si="38"/>
        <v>0</v>
      </c>
    </row>
    <row r="46" spans="1:22" ht="13.5" customHeight="1" x14ac:dyDescent="0.2">
      <c r="A46" s="512"/>
      <c r="B46" s="496"/>
      <c r="C46" s="116"/>
      <c r="D46" s="492"/>
      <c r="E46" s="494"/>
      <c r="F46" s="131" t="s">
        <v>346</v>
      </c>
      <c r="G46" s="134">
        <f>GetPatVarnum("s5zf","&amp;a029_01_20")</f>
        <v>9573.23</v>
      </c>
      <c r="H46" s="134">
        <f>GetPatVarnum("s5zf","&amp;a029_02_20")</f>
        <v>5068.7299999999996</v>
      </c>
      <c r="I46" s="134">
        <f>GetPatVarnum("s5zf","&amp;a029_03_20")</f>
        <v>9922.75</v>
      </c>
      <c r="J46" s="138">
        <f t="shared" si="35"/>
        <v>24564.71</v>
      </c>
      <c r="K46" s="134">
        <f>GetPatVarnum("s5zf","&amp;a029_04_20")</f>
        <v>0</v>
      </c>
      <c r="L46" s="134">
        <f>GetPatVarnum("s5zf","&amp;a029_05_20")</f>
        <v>0</v>
      </c>
      <c r="M46" s="134">
        <f>GetPatVarnum("s5zf","&amp;a029_06_20")</f>
        <v>0</v>
      </c>
      <c r="N46" s="138">
        <f t="shared" si="36"/>
        <v>0</v>
      </c>
      <c r="O46" s="134">
        <f>GetPatVarnum("s5zf","&amp;a029_7_20")</f>
        <v>0</v>
      </c>
      <c r="P46" s="134">
        <f>GetPatVarnum("s5zf","&amp;a029_08_20")</f>
        <v>0</v>
      </c>
      <c r="Q46" s="134">
        <f>GetPatVarnum("s5zf","&amp;a029_09_20")</f>
        <v>0</v>
      </c>
      <c r="R46" s="138">
        <f t="shared" si="37"/>
        <v>0</v>
      </c>
      <c r="S46" s="134">
        <f>GetPatVarnum("s5zf","&amp;a029_10_20")</f>
        <v>0</v>
      </c>
      <c r="T46" s="134">
        <f>GetPatVarnum("s5zf","&amp;a029_11_20")</f>
        <v>0</v>
      </c>
      <c r="U46" s="134">
        <f>GetPatVarnum("s5zf","&amp;a029_12_20")</f>
        <v>0</v>
      </c>
      <c r="V46" s="139">
        <f t="shared" si="38"/>
        <v>0</v>
      </c>
    </row>
    <row r="47" spans="1:22" ht="13.5" customHeight="1" x14ac:dyDescent="0.2">
      <c r="A47" s="512"/>
      <c r="B47" s="496"/>
      <c r="C47" s="116"/>
      <c r="D47" s="492"/>
      <c r="E47" s="494"/>
      <c r="F47" s="131" t="s">
        <v>347</v>
      </c>
      <c r="G47" s="134">
        <f>GetPatVarnum("s5zf","&amp;A029_01_44")</f>
        <v>0</v>
      </c>
      <c r="H47" s="134">
        <f>GetPatVarnum("s5zf","&amp;a029_02_44")</f>
        <v>0</v>
      </c>
      <c r="I47" s="134">
        <f>GetPatVarnum("s5zf","&amp;a029_03_44")</f>
        <v>0</v>
      </c>
      <c r="J47" s="138">
        <f t="shared" si="35"/>
        <v>0</v>
      </c>
      <c r="K47" s="134">
        <f>GetPatVarnum("s5zf","&amp;a029_04_44")</f>
        <v>0</v>
      </c>
      <c r="L47" s="134">
        <f>GetPatVarnum("s5zf","&amp;a029_05_44")</f>
        <v>0</v>
      </c>
      <c r="M47" s="134">
        <f>GetPatVarnum("s5zf","&amp;a029_06_44")</f>
        <v>0</v>
      </c>
      <c r="N47" s="138">
        <f t="shared" si="36"/>
        <v>0</v>
      </c>
      <c r="O47" s="134">
        <f>GetPatVarnum("s5zf","&amp;a029_7_44")</f>
        <v>0</v>
      </c>
      <c r="P47" s="134">
        <f>GetPatVarnum("s5zf","&amp;a029_08_44")</f>
        <v>0</v>
      </c>
      <c r="Q47" s="134">
        <f>GetPatVarnum("s5zf","&amp;a029_09_44")</f>
        <v>0</v>
      </c>
      <c r="R47" s="138">
        <f t="shared" si="37"/>
        <v>0</v>
      </c>
      <c r="S47" s="134">
        <f>GetPatVarnum("s5zf","&amp;a029_10_44")</f>
        <v>0</v>
      </c>
      <c r="T47" s="134">
        <f>GetPatVarnum("s5zf","&amp;a029_11_44")</f>
        <v>0</v>
      </c>
      <c r="U47" s="134">
        <f>GetPatVarnum("s5zf","&amp;a029_12_44")</f>
        <v>0</v>
      </c>
      <c r="V47" s="139">
        <f t="shared" si="38"/>
        <v>0</v>
      </c>
    </row>
    <row r="48" spans="1:22" ht="32.450000000000003" customHeight="1" thickBot="1" x14ac:dyDescent="0.25">
      <c r="A48" s="197" t="s">
        <v>125</v>
      </c>
      <c r="B48" s="115" t="s">
        <v>124</v>
      </c>
      <c r="C48" s="147"/>
      <c r="D48" s="144">
        <f>GetPatVarnum("s5zf","&amp;a0290")</f>
        <v>33325.19</v>
      </c>
      <c r="E48" s="192">
        <f>GetPatVarnum("s5zf","&amp;a0291")</f>
        <v>33325.19</v>
      </c>
      <c r="F48" s="112" t="s">
        <v>348</v>
      </c>
      <c r="G48" s="140">
        <f>G45*G$1+(G46+G47)*G$2</f>
        <v>9715.8517138299994</v>
      </c>
      <c r="H48" s="140">
        <f t="shared" ref="H48:I48" si="55">H45*H$1+(H46+H47)*H$2</f>
        <v>7057.0492871199995</v>
      </c>
      <c r="I48" s="140">
        <f t="shared" si="55"/>
        <v>16552.292966550001</v>
      </c>
      <c r="J48" s="141">
        <f t="shared" si="35"/>
        <v>33325.193967500003</v>
      </c>
      <c r="K48" s="140">
        <f>K45*K$1+(K46+K47)*K$2</f>
        <v>0</v>
      </c>
      <c r="L48" s="140">
        <f t="shared" ref="L48:M48" si="56">L45*L$1+(L46+L47)*L$2</f>
        <v>0</v>
      </c>
      <c r="M48" s="140">
        <f t="shared" si="56"/>
        <v>0</v>
      </c>
      <c r="N48" s="141">
        <f t="shared" si="36"/>
        <v>0</v>
      </c>
      <c r="O48" s="140">
        <f>O45*O$1+(O46+O47)*O$2</f>
        <v>0</v>
      </c>
      <c r="P48" s="140">
        <f t="shared" ref="P48:Q48" si="57">P45*P$1+(P46+P47)*P$2</f>
        <v>0</v>
      </c>
      <c r="Q48" s="140">
        <f t="shared" si="57"/>
        <v>0</v>
      </c>
      <c r="R48" s="141">
        <f t="shared" si="37"/>
        <v>0</v>
      </c>
      <c r="S48" s="140">
        <f>S45*S$1+(S46+S47)*S$2</f>
        <v>0</v>
      </c>
      <c r="T48" s="140">
        <f t="shared" ref="T48:U48" si="58">T45*T$1+(T46+T47)*T$2</f>
        <v>0</v>
      </c>
      <c r="U48" s="140">
        <f t="shared" si="58"/>
        <v>0</v>
      </c>
      <c r="V48" s="142">
        <f t="shared" si="38"/>
        <v>0</v>
      </c>
    </row>
    <row r="49" spans="1:22" ht="13.5" customHeight="1" x14ac:dyDescent="0.2">
      <c r="A49" s="519"/>
      <c r="B49" s="495"/>
      <c r="C49" s="87"/>
      <c r="D49" s="491"/>
      <c r="E49" s="493"/>
      <c r="F49" s="130" t="s">
        <v>349</v>
      </c>
      <c r="G49" s="133">
        <f>GetPatVarnum("s5zf","&amp;a030_01_26")</f>
        <v>1128.26</v>
      </c>
      <c r="H49" s="133">
        <f>GetPatVarnum("s5zf","&amp;a030_02_26")</f>
        <v>1892.83</v>
      </c>
      <c r="I49" s="133">
        <f>GetPatVarnum("s5zf","&amp;a030_03_26")</f>
        <v>2767.11</v>
      </c>
      <c r="J49" s="136">
        <f t="shared" si="35"/>
        <v>5788.2000000000007</v>
      </c>
      <c r="K49" s="133">
        <f>GetPatVarnum("s5zf","&amp;a030_04_26")</f>
        <v>0</v>
      </c>
      <c r="L49" s="133">
        <f>GetPatVarnum("s5zf","&amp;a030_05_26")</f>
        <v>0</v>
      </c>
      <c r="M49" s="133">
        <f>GetPatVarnum("s5zf","&amp;a030_06_26")</f>
        <v>0</v>
      </c>
      <c r="N49" s="136">
        <f t="shared" si="36"/>
        <v>0</v>
      </c>
      <c r="O49" s="133">
        <f>GetPatVarnum("s5zf","&amp;a030_07_26")</f>
        <v>0</v>
      </c>
      <c r="P49" s="133">
        <f>GetPatVarnum("s5zf","&amp;a030_08_26")</f>
        <v>0</v>
      </c>
      <c r="Q49" s="133">
        <f>GetPatVarnum("s5zf","&amp;a030_09_26")</f>
        <v>0</v>
      </c>
      <c r="R49" s="136">
        <f t="shared" si="37"/>
        <v>0</v>
      </c>
      <c r="S49" s="133">
        <f>GetPatVarnum("s5zf","&amp;a030_10_26")</f>
        <v>0</v>
      </c>
      <c r="T49" s="133">
        <f>GetPatVarnum("s5zf","&amp;a030_11_26")</f>
        <v>0</v>
      </c>
      <c r="U49" s="133">
        <f>GetPatVarnum("s5zf","&amp;a030_12_26")</f>
        <v>0</v>
      </c>
      <c r="V49" s="137">
        <f t="shared" si="38"/>
        <v>0</v>
      </c>
    </row>
    <row r="50" spans="1:22" ht="13.5" customHeight="1" x14ac:dyDescent="0.2">
      <c r="A50" s="520"/>
      <c r="B50" s="496"/>
      <c r="C50" s="116"/>
      <c r="D50" s="492"/>
      <c r="E50" s="494"/>
      <c r="F50" s="131" t="s">
        <v>350</v>
      </c>
      <c r="G50" s="134">
        <f>GetPatVarnum("s5zf","&amp;a030_01_20")</f>
        <v>24026.720000000001</v>
      </c>
      <c r="H50" s="134">
        <f>GetPatVarnum("s5zf","&amp;a030_02_20")</f>
        <v>26848.6</v>
      </c>
      <c r="I50" s="134">
        <f>GetPatVarnum("s5zf","&amp;a030_03_20")</f>
        <v>26773.43</v>
      </c>
      <c r="J50" s="138">
        <f t="shared" si="35"/>
        <v>77648.75</v>
      </c>
      <c r="K50" s="134">
        <f>GetPatVarnum("s5zf","&amp;a030_04_20")</f>
        <v>0</v>
      </c>
      <c r="L50" s="134">
        <f>GetPatVarnum("s5zf","&amp;a030_05_20")</f>
        <v>0</v>
      </c>
      <c r="M50" s="134">
        <f>GetPatVarnum("s5zf","&amp;a030_06_20")</f>
        <v>0</v>
      </c>
      <c r="N50" s="138">
        <f t="shared" si="36"/>
        <v>0</v>
      </c>
      <c r="O50" s="134">
        <f>GetPatVarnum("s5zf","&amp;a030_07_20")</f>
        <v>0</v>
      </c>
      <c r="P50" s="134">
        <f>GetPatVarnum("s5zf","&amp;a030_08_20")</f>
        <v>0</v>
      </c>
      <c r="Q50" s="134">
        <f>GetPatVarnum("s5zf","&amp;a030_09_20")</f>
        <v>0</v>
      </c>
      <c r="R50" s="138">
        <f t="shared" si="37"/>
        <v>0</v>
      </c>
      <c r="S50" s="134">
        <f>GetPatVarnum("s5zf","&amp;a030_10_20")</f>
        <v>0</v>
      </c>
      <c r="T50" s="134">
        <f>GetPatVarnum("s5zf","&amp;a030_11_20")</f>
        <v>0</v>
      </c>
      <c r="U50" s="134">
        <f>GetPatVarnum("s5zf","&amp;a030_12_20")</f>
        <v>0</v>
      </c>
      <c r="V50" s="139">
        <f t="shared" si="38"/>
        <v>0</v>
      </c>
    </row>
    <row r="51" spans="1:22" ht="13.5" customHeight="1" x14ac:dyDescent="0.2">
      <c r="A51" s="520"/>
      <c r="B51" s="496"/>
      <c r="C51" s="116"/>
      <c r="D51" s="492"/>
      <c r="E51" s="494"/>
      <c r="F51" s="131" t="s">
        <v>351</v>
      </c>
      <c r="G51" s="134">
        <f>GetPatVarnum("s5zf","&amp;A030_01_44")</f>
        <v>0</v>
      </c>
      <c r="H51" s="134">
        <f>GetPatVarnum("s5zf","&amp;a030_02_44")</f>
        <v>0</v>
      </c>
      <c r="I51" s="134">
        <f>GetPatVarnum("s5zf","&amp;a030_03_44")</f>
        <v>0</v>
      </c>
      <c r="J51" s="138">
        <f t="shared" si="35"/>
        <v>0</v>
      </c>
      <c r="K51" s="134">
        <f>GetPatVarnum("s5zf","&amp;A030_04_44")</f>
        <v>0</v>
      </c>
      <c r="L51" s="134">
        <f>GetPatVarnum("s5zf","&amp;a030_05_44")</f>
        <v>0</v>
      </c>
      <c r="M51" s="134">
        <f>GetPatVarnum("s5zf","&amp;a030_06_44")</f>
        <v>0</v>
      </c>
      <c r="N51" s="138">
        <f t="shared" si="36"/>
        <v>0</v>
      </c>
      <c r="O51" s="134">
        <f>GetPatVarnum("s5zf","&amp;030_07_44")</f>
        <v>0</v>
      </c>
      <c r="P51" s="134">
        <f>GetPatVarnum("s5zf","&amp;a030_08_44")</f>
        <v>0</v>
      </c>
      <c r="Q51" s="134">
        <f>GetPatVarnum("s5zf","&amp;a030_09_44")</f>
        <v>0</v>
      </c>
      <c r="R51" s="138">
        <f t="shared" si="37"/>
        <v>0</v>
      </c>
      <c r="S51" s="134">
        <f>GetPatVarnum("s5zf","&amp;A030_10_44")</f>
        <v>0</v>
      </c>
      <c r="T51" s="134">
        <f>GetPatVarnum("s5zf","&amp;a030_11_44")</f>
        <v>0</v>
      </c>
      <c r="U51" s="134">
        <f>GetPatVarnum("s5zf","&amp;a030_12_44")</f>
        <v>0</v>
      </c>
      <c r="V51" s="139">
        <f t="shared" si="38"/>
        <v>0</v>
      </c>
    </row>
    <row r="52" spans="1:22" ht="13.5" thickBot="1" x14ac:dyDescent="0.25">
      <c r="A52" s="195" t="s">
        <v>123</v>
      </c>
      <c r="B52" s="115" t="s">
        <v>122</v>
      </c>
      <c r="C52" s="147"/>
      <c r="D52" s="114">
        <f>GetPatVarnum("s5zf","&amp;a0300")</f>
        <v>83302.350000000006</v>
      </c>
      <c r="E52" s="190">
        <f>GetPatVarnum("s5zf","&amp;a0301")</f>
        <v>83302.350000000006</v>
      </c>
      <c r="F52" s="112" t="s">
        <v>352</v>
      </c>
      <c r="G52" s="140">
        <f>G49*G$1+(G50+G51)*G$2</f>
        <v>25116.51803558</v>
      </c>
      <c r="H52" s="140">
        <f t="shared" ref="H52:I52" si="59">H49*H$1+(H50+H51)*H$2</f>
        <v>28692.109706119998</v>
      </c>
      <c r="I52" s="140">
        <f t="shared" si="59"/>
        <v>29493.7182441</v>
      </c>
      <c r="J52" s="141">
        <f t="shared" si="35"/>
        <v>83302.345985799999</v>
      </c>
      <c r="K52" s="140">
        <f>K49*K$1+(K50+K51)*K$2</f>
        <v>0</v>
      </c>
      <c r="L52" s="140">
        <f t="shared" ref="L52:M52" si="60">L49*L$1+(L50+L51)*L$2</f>
        <v>0</v>
      </c>
      <c r="M52" s="140">
        <f t="shared" si="60"/>
        <v>0</v>
      </c>
      <c r="N52" s="141">
        <f t="shared" si="36"/>
        <v>0</v>
      </c>
      <c r="O52" s="140">
        <f>O49*O$1+(O50+O51)*O$2</f>
        <v>0</v>
      </c>
      <c r="P52" s="140">
        <f t="shared" ref="P52:Q52" si="61">P49*P$1+(P50+P51)*P$2</f>
        <v>0</v>
      </c>
      <c r="Q52" s="140">
        <f t="shared" si="61"/>
        <v>0</v>
      </c>
      <c r="R52" s="141">
        <f t="shared" si="37"/>
        <v>0</v>
      </c>
      <c r="S52" s="140">
        <f>S49*S$1+(S50+S51)*S$2</f>
        <v>0</v>
      </c>
      <c r="T52" s="140">
        <f t="shared" ref="T52:U52" si="62">T49*T$1+(T50+T51)*T$2</f>
        <v>0</v>
      </c>
      <c r="U52" s="140">
        <f t="shared" si="62"/>
        <v>0</v>
      </c>
      <c r="V52" s="142">
        <f t="shared" si="38"/>
        <v>0</v>
      </c>
    </row>
    <row r="53" spans="1:22" ht="13.5" customHeight="1" x14ac:dyDescent="0.2">
      <c r="A53" s="525"/>
      <c r="B53" s="495"/>
      <c r="C53" s="87"/>
      <c r="D53" s="491"/>
      <c r="E53" s="521"/>
      <c r="F53" s="130" t="s">
        <v>353</v>
      </c>
      <c r="G53" s="133">
        <f>GetPatVarnum("s5zf","&amp;a031_01_26")</f>
        <v>2378.21</v>
      </c>
      <c r="H53" s="133">
        <f>GetPatVarnum("s5zf","&amp;a031_02_26")</f>
        <v>2579.15</v>
      </c>
      <c r="I53" s="133">
        <f>GetPatVarnum("s5zf","&amp;a031_03_26")</f>
        <v>2668.07</v>
      </c>
      <c r="J53" s="136">
        <f t="shared" si="35"/>
        <v>7625.43</v>
      </c>
      <c r="K53" s="133">
        <f>GetPatVarnum("s5zf","&amp;a031_04_26")</f>
        <v>0</v>
      </c>
      <c r="L53" s="133">
        <f>GetPatVarnum("s5zf","&amp;a031_05_26")</f>
        <v>0</v>
      </c>
      <c r="M53" s="133">
        <f>GetPatVarnum("s5zf","&amp;a031_06_26")</f>
        <v>0</v>
      </c>
      <c r="N53" s="136">
        <f t="shared" si="36"/>
        <v>0</v>
      </c>
      <c r="O53" s="133">
        <f>GetPatVarnum("s5zf","&amp;a031_07_26")</f>
        <v>0</v>
      </c>
      <c r="P53" s="133">
        <f>GetPatVarnum("s5zf","&amp;a031_08_26")</f>
        <v>0</v>
      </c>
      <c r="Q53" s="133">
        <f>GetPatVarnum("s5zf","&amp;a031_09_26")</f>
        <v>0</v>
      </c>
      <c r="R53" s="136">
        <f t="shared" si="37"/>
        <v>0</v>
      </c>
      <c r="S53" s="133">
        <f>GetPatVarnum("s5zf","&amp;a031_10_26")</f>
        <v>0</v>
      </c>
      <c r="T53" s="133">
        <f>GetPatVarnum("s5zf","&amp;a031_11_26")</f>
        <v>0</v>
      </c>
      <c r="U53" s="133">
        <f>GetPatVarnum("s5zf","&amp;a031_12_26")</f>
        <v>0</v>
      </c>
      <c r="V53" s="137">
        <f t="shared" si="38"/>
        <v>0</v>
      </c>
    </row>
    <row r="54" spans="1:22" ht="13.5" customHeight="1" x14ac:dyDescent="0.2">
      <c r="A54" s="526"/>
      <c r="B54" s="496"/>
      <c r="C54" s="116"/>
      <c r="D54" s="492"/>
      <c r="E54" s="522"/>
      <c r="F54" s="131" t="s">
        <v>354</v>
      </c>
      <c r="G54" s="134">
        <f>GetPatVarnum("s5zf","&amp;a031_01_20")</f>
        <v>529869.14</v>
      </c>
      <c r="H54" s="134">
        <f>GetPatVarnum("s5zf","&amp;a031_02_20")</f>
        <v>496028.84</v>
      </c>
      <c r="I54" s="134">
        <f>GetPatVarnum("s5zf","&amp;a031_03_20")</f>
        <v>586012</v>
      </c>
      <c r="J54" s="138">
        <f t="shared" si="35"/>
        <v>1611909.98</v>
      </c>
      <c r="K54" s="134">
        <f>GetPatVarnum("s5zf","&amp;a031_04_20")</f>
        <v>0</v>
      </c>
      <c r="L54" s="134">
        <f>GetPatVarnum("s5zf","&amp;a031_05_20")</f>
        <v>0</v>
      </c>
      <c r="M54" s="134">
        <f>GetPatVarnum("s5zf","&amp;a031_06_20")</f>
        <v>0</v>
      </c>
      <c r="N54" s="138">
        <f t="shared" si="36"/>
        <v>0</v>
      </c>
      <c r="O54" s="134">
        <f>GetPatVarnum("s5zf","&amp;a031_07_20")</f>
        <v>0</v>
      </c>
      <c r="P54" s="134">
        <f>GetPatVarnum("s5zf","&amp;a031_08_20")</f>
        <v>0</v>
      </c>
      <c r="Q54" s="134">
        <f>GetPatVarnum("s5zf","&amp;a031_09_20")</f>
        <v>0</v>
      </c>
      <c r="R54" s="138">
        <f t="shared" si="37"/>
        <v>0</v>
      </c>
      <c r="S54" s="134">
        <f>GetPatVarnum("s5zf","&amp;a031_10_20")</f>
        <v>0</v>
      </c>
      <c r="T54" s="134">
        <f>GetPatVarnum("s5zf","&amp;a031_11_20")</f>
        <v>0</v>
      </c>
      <c r="U54" s="134">
        <f>GetPatVarnum("s5zf","&amp;a031_12_20")</f>
        <v>0</v>
      </c>
      <c r="V54" s="139">
        <f t="shared" si="38"/>
        <v>0</v>
      </c>
    </row>
    <row r="55" spans="1:22" ht="13.5" customHeight="1" x14ac:dyDescent="0.2">
      <c r="A55" s="526"/>
      <c r="B55" s="496"/>
      <c r="C55" s="116"/>
      <c r="D55" s="492"/>
      <c r="E55" s="522"/>
      <c r="F55" s="131" t="s">
        <v>355</v>
      </c>
      <c r="G55" s="134">
        <f>GetPatVarnum("s5zf","&amp;A031_01_44")</f>
        <v>0</v>
      </c>
      <c r="H55" s="134">
        <f>GetPatVarnum("s5zf","&amp;a031_02_44")</f>
        <v>0</v>
      </c>
      <c r="I55" s="134">
        <f>GetPatVarnum("s5zf","&amp;a031_03_44")</f>
        <v>0</v>
      </c>
      <c r="J55" s="138">
        <f t="shared" si="35"/>
        <v>0</v>
      </c>
      <c r="K55" s="134">
        <f>GetPatVarnum("s5zf","&amp;A031_04_44")</f>
        <v>0</v>
      </c>
      <c r="L55" s="134">
        <f>GetPatVarnum("s5zf","&amp;a031_05_44")</f>
        <v>0</v>
      </c>
      <c r="M55" s="134">
        <f>GetPatVarnum("s5zf","&amp;a031_06_44")</f>
        <v>0</v>
      </c>
      <c r="N55" s="138">
        <f t="shared" si="36"/>
        <v>0</v>
      </c>
      <c r="O55" s="134">
        <f>GetPatVarnum("s5zf","&amp;031_07_44")</f>
        <v>0</v>
      </c>
      <c r="P55" s="134">
        <f>GetPatVarnum("s5zf","&amp;a031_08_44")</f>
        <v>0</v>
      </c>
      <c r="Q55" s="134">
        <f>GetPatVarnum("s5zf","&amp;a031_09_44")</f>
        <v>0</v>
      </c>
      <c r="R55" s="138">
        <f t="shared" si="37"/>
        <v>0</v>
      </c>
      <c r="S55" s="134">
        <f>GetPatVarnum("s5zf","&amp;A031_10_44")</f>
        <v>0</v>
      </c>
      <c r="T55" s="134">
        <f>GetPatVarnum("s5zf","&amp;a031_11_44")</f>
        <v>0</v>
      </c>
      <c r="U55" s="134">
        <f>GetPatVarnum("s5zf","&amp;a031_12_44")</f>
        <v>0</v>
      </c>
      <c r="V55" s="139">
        <f t="shared" si="38"/>
        <v>0</v>
      </c>
    </row>
    <row r="56" spans="1:22" ht="32.450000000000003" customHeight="1" thickBot="1" x14ac:dyDescent="0.25">
      <c r="A56" s="197" t="s">
        <v>21</v>
      </c>
      <c r="B56" s="115" t="s">
        <v>121</v>
      </c>
      <c r="C56" s="147"/>
      <c r="D56" s="144">
        <f>GetPatVarnum("s5zf","&amp;a0310")</f>
        <v>1616932.93</v>
      </c>
      <c r="E56" s="196">
        <f>GetPatVarnum("s5zf","&amp;a0311")</f>
        <v>1616932.93</v>
      </c>
      <c r="F56" s="112" t="s">
        <v>356</v>
      </c>
      <c r="G56" s="140">
        <f>G53*G$1+(G54+G55)*G$2</f>
        <v>531433.54380184994</v>
      </c>
      <c r="H56" s="140">
        <f t="shared" ref="H56:I56" si="63">H53*H$1+(H54+H55)*H$2</f>
        <v>497752.37868915999</v>
      </c>
      <c r="I56" s="140">
        <f t="shared" si="63"/>
        <v>587747.01208905003</v>
      </c>
      <c r="J56" s="141">
        <f t="shared" si="35"/>
        <v>1616932.93458006</v>
      </c>
      <c r="K56" s="140">
        <f>K53*K$1+(K54+K55)*K$2</f>
        <v>0</v>
      </c>
      <c r="L56" s="140">
        <f t="shared" ref="L56:M56" si="64">L53*L$1+(L54+L55)*L$2</f>
        <v>0</v>
      </c>
      <c r="M56" s="140">
        <f t="shared" si="64"/>
        <v>0</v>
      </c>
      <c r="N56" s="141">
        <f t="shared" si="36"/>
        <v>0</v>
      </c>
      <c r="O56" s="140">
        <f>O53*O$1+(O54+O55)*O$2</f>
        <v>0</v>
      </c>
      <c r="P56" s="140">
        <f t="shared" ref="P56:Q56" si="65">P53*P$1+(P54+P55)*P$2</f>
        <v>0</v>
      </c>
      <c r="Q56" s="140">
        <f t="shared" si="65"/>
        <v>0</v>
      </c>
      <c r="R56" s="141">
        <f t="shared" si="37"/>
        <v>0</v>
      </c>
      <c r="S56" s="140">
        <f>S53*S$1+(S54+S55)*S$2</f>
        <v>0</v>
      </c>
      <c r="T56" s="140">
        <f t="shared" ref="T56:U56" si="66">T53*T$1+(T54+T55)*T$2</f>
        <v>0</v>
      </c>
      <c r="U56" s="140">
        <f t="shared" si="66"/>
        <v>0</v>
      </c>
      <c r="V56" s="142">
        <f t="shared" si="38"/>
        <v>0</v>
      </c>
    </row>
    <row r="57" spans="1:22" ht="13.5" customHeight="1" x14ac:dyDescent="0.2">
      <c r="A57" s="511"/>
      <c r="B57" s="495"/>
      <c r="C57" s="87"/>
      <c r="D57" s="491"/>
      <c r="E57" s="521"/>
      <c r="F57" s="130" t="s">
        <v>357</v>
      </c>
      <c r="G57" s="133">
        <f>GetPatVarnum("s5zf","&amp;a032_01_26")</f>
        <v>3217.02</v>
      </c>
      <c r="H57" s="133">
        <f>GetPatVarnum("s5zf","&amp;a032_02_26")</f>
        <v>3585.64</v>
      </c>
      <c r="I57" s="133">
        <f>GetPatVarnum("s5zf","&amp;a032_03_26")</f>
        <v>1044.8900000000001</v>
      </c>
      <c r="J57" s="136">
        <f t="shared" si="35"/>
        <v>7847.55</v>
      </c>
      <c r="K57" s="133">
        <f>GetPatVarnum("s5zf","&amp;a032_04_26")</f>
        <v>0</v>
      </c>
      <c r="L57" s="133">
        <f>GetPatVarnum("s5zf","&amp;a032_05_26")</f>
        <v>0</v>
      </c>
      <c r="M57" s="133">
        <f>GetPatVarnum("s5zf","&amp;a032_06_26")</f>
        <v>0</v>
      </c>
      <c r="N57" s="136">
        <f t="shared" si="36"/>
        <v>0</v>
      </c>
      <c r="O57" s="133">
        <f>GetPatVarnum("s5zf","&amp;a032_07_26")</f>
        <v>0</v>
      </c>
      <c r="P57" s="133">
        <f>GetPatVarnum("s5zf","&amp;a032_08_26")</f>
        <v>0</v>
      </c>
      <c r="Q57" s="133">
        <f>GetPatVarnum("s5zf","&amp;a032_09_26")</f>
        <v>0</v>
      </c>
      <c r="R57" s="136">
        <f t="shared" si="37"/>
        <v>0</v>
      </c>
      <c r="S57" s="133">
        <f>GetPatVarnum("s5zf","&amp;a032_10_26")</f>
        <v>0</v>
      </c>
      <c r="T57" s="133">
        <f>GetPatVarnum("s5zf","&amp;a032_11_26")</f>
        <v>0</v>
      </c>
      <c r="U57" s="133">
        <f>GetPatVarnum("s5zf","&amp;a032_12_26")</f>
        <v>0</v>
      </c>
      <c r="V57" s="137">
        <f t="shared" si="38"/>
        <v>0</v>
      </c>
    </row>
    <row r="58" spans="1:22" ht="13.5" customHeight="1" x14ac:dyDescent="0.2">
      <c r="A58" s="512"/>
      <c r="B58" s="496"/>
      <c r="C58" s="116"/>
      <c r="D58" s="492"/>
      <c r="E58" s="522"/>
      <c r="F58" s="131" t="s">
        <v>358</v>
      </c>
      <c r="G58" s="134">
        <f>GetPatVarnum("s5zf","&amp;a032_01_20")</f>
        <v>57937.99</v>
      </c>
      <c r="H58" s="134">
        <f>GetPatVarnum("s5zf","&amp;a032_02_20")</f>
        <v>46489.99</v>
      </c>
      <c r="I58" s="134">
        <f>GetPatVarnum("s5zf","&amp;a032_03_20")</f>
        <v>42463.33</v>
      </c>
      <c r="J58" s="138">
        <f t="shared" si="35"/>
        <v>146891.31</v>
      </c>
      <c r="K58" s="134">
        <f>GetPatVarnum("s5zf","&amp;a032_04_20")</f>
        <v>0</v>
      </c>
      <c r="L58" s="134">
        <f>GetPatVarnum("s5zf","&amp;a032_05_20")</f>
        <v>0</v>
      </c>
      <c r="M58" s="134">
        <f>GetPatVarnum("s5zf","&amp;a032_06_20")</f>
        <v>0</v>
      </c>
      <c r="N58" s="138">
        <f t="shared" si="36"/>
        <v>0</v>
      </c>
      <c r="O58" s="134">
        <f>GetPatVarnum("s5zf","&amp;a032_07_20")</f>
        <v>0</v>
      </c>
      <c r="P58" s="134">
        <f>GetPatVarnum("s5zf","&amp;a032_08_20")</f>
        <v>0</v>
      </c>
      <c r="Q58" s="134">
        <f>GetPatVarnum("s5zf","&amp;a032_09_20")</f>
        <v>0</v>
      </c>
      <c r="R58" s="138">
        <f t="shared" si="37"/>
        <v>0</v>
      </c>
      <c r="S58" s="134">
        <f>GetPatVarnum("s5zf","&amp;a032_10_20")</f>
        <v>0</v>
      </c>
      <c r="T58" s="134">
        <f>GetPatVarnum("s5zf","&amp;a032_11_20")</f>
        <v>0</v>
      </c>
      <c r="U58" s="134">
        <f>GetPatVarnum("s5zf","&amp;a032_12_20")</f>
        <v>0</v>
      </c>
      <c r="V58" s="139">
        <f t="shared" si="38"/>
        <v>0</v>
      </c>
    </row>
    <row r="59" spans="1:22" ht="13.5" customHeight="1" x14ac:dyDescent="0.2">
      <c r="A59" s="512"/>
      <c r="B59" s="496"/>
      <c r="C59" s="116"/>
      <c r="D59" s="492"/>
      <c r="E59" s="522"/>
      <c r="F59" s="131" t="s">
        <v>359</v>
      </c>
      <c r="G59" s="134">
        <f>GetPatVarnum("s5zf","&amp;A032_01_44")</f>
        <v>0</v>
      </c>
      <c r="H59" s="134">
        <f>GetPatVarnum("s5zf","&amp;a032_02_44")</f>
        <v>0</v>
      </c>
      <c r="I59" s="134">
        <f>GetPatVarnum("s5zf","&amp;a032_03_44")</f>
        <v>0</v>
      </c>
      <c r="J59" s="138">
        <f t="shared" si="35"/>
        <v>0</v>
      </c>
      <c r="K59" s="134">
        <f>GetPatVarnum("s5zf","&amp;A032_04_44")</f>
        <v>0</v>
      </c>
      <c r="L59" s="134">
        <f>GetPatVarnum("s5zf","&amp;a032_05_44")</f>
        <v>0</v>
      </c>
      <c r="M59" s="134">
        <f>GetPatVarnum("s5zf","&amp;a032_06_44")</f>
        <v>0</v>
      </c>
      <c r="N59" s="138">
        <f t="shared" si="36"/>
        <v>0</v>
      </c>
      <c r="O59" s="134">
        <f>GetPatVarnum("s5zf","&amp;032_07_44")</f>
        <v>0</v>
      </c>
      <c r="P59" s="134">
        <f>GetPatVarnum("s5zf","&amp;a032_08_44")</f>
        <v>0</v>
      </c>
      <c r="Q59" s="134">
        <f>GetPatVarnum("s5zf","&amp;a032_09_44")</f>
        <v>0</v>
      </c>
      <c r="R59" s="138">
        <f t="shared" si="37"/>
        <v>0</v>
      </c>
      <c r="S59" s="134">
        <f>GetPatVarnum("s5zf","&amp;A032_10_44")</f>
        <v>0</v>
      </c>
      <c r="T59" s="134">
        <f>GetPatVarnum("s5zf","&amp;a032_11_44")</f>
        <v>0</v>
      </c>
      <c r="U59" s="134">
        <f>GetPatVarnum("s5zf","&amp;a032_12_44")</f>
        <v>0</v>
      </c>
      <c r="V59" s="139">
        <f t="shared" si="38"/>
        <v>0</v>
      </c>
    </row>
    <row r="60" spans="1:22" ht="13.5" thickBot="1" x14ac:dyDescent="0.25">
      <c r="A60" s="194" t="s">
        <v>19</v>
      </c>
      <c r="B60" s="115" t="s">
        <v>120</v>
      </c>
      <c r="C60" s="147"/>
      <c r="D60" s="114">
        <f>GetPatVarnum("s5zf","&amp;a0320")</f>
        <v>154490.46</v>
      </c>
      <c r="E60" s="198">
        <f>GetPatVarnum("s5zf","&amp;a0321")</f>
        <v>154490.46</v>
      </c>
      <c r="F60" s="112" t="s">
        <v>360</v>
      </c>
      <c r="G60" s="140">
        <f>G57*G$1+(G58+G59)*G$2</f>
        <v>61061.50398971</v>
      </c>
      <c r="H60" s="140">
        <f t="shared" ref="H60:I60" si="67">H57*H$1+(H58+H59)*H$2</f>
        <v>49989.700218919999</v>
      </c>
      <c r="I60" s="140">
        <f t="shared" si="67"/>
        <v>43439.2594713</v>
      </c>
      <c r="J60" s="141">
        <f t="shared" si="35"/>
        <v>154490.46367992999</v>
      </c>
      <c r="K60" s="140">
        <f>K57*K$1+(K58+K59)*K$2</f>
        <v>0</v>
      </c>
      <c r="L60" s="140">
        <f t="shared" ref="L60:M60" si="68">L57*L$1+(L58+L59)*L$2</f>
        <v>0</v>
      </c>
      <c r="M60" s="140">
        <f t="shared" si="68"/>
        <v>0</v>
      </c>
      <c r="N60" s="141">
        <f t="shared" si="36"/>
        <v>0</v>
      </c>
      <c r="O60" s="140">
        <f>O57*O$1+(O58+O59)*O$2</f>
        <v>0</v>
      </c>
      <c r="P60" s="140">
        <f t="shared" ref="P60:Q60" si="69">P57*P$1+(P58+P59)*P$2</f>
        <v>0</v>
      </c>
      <c r="Q60" s="140">
        <f t="shared" si="69"/>
        <v>0</v>
      </c>
      <c r="R60" s="141">
        <f t="shared" si="37"/>
        <v>0</v>
      </c>
      <c r="S60" s="140">
        <f>S57*S$1+(S58+S59)*S$2</f>
        <v>0</v>
      </c>
      <c r="T60" s="140">
        <f t="shared" ref="T60:U60" si="70">T57*T$1+(T58+T59)*T$2</f>
        <v>0</v>
      </c>
      <c r="U60" s="140">
        <f t="shared" si="70"/>
        <v>0</v>
      </c>
      <c r="V60" s="142">
        <f t="shared" si="38"/>
        <v>0</v>
      </c>
    </row>
    <row r="61" spans="1:22" ht="13.5" customHeight="1" x14ac:dyDescent="0.2">
      <c r="A61" s="525"/>
      <c r="B61" s="495"/>
      <c r="C61" s="87"/>
      <c r="D61" s="491"/>
      <c r="E61" s="493"/>
      <c r="F61" s="130" t="s">
        <v>361</v>
      </c>
      <c r="G61" s="133">
        <f>GetPatVarnum("s5zf","&amp;a033_01_26")</f>
        <v>232.54</v>
      </c>
      <c r="H61" s="133">
        <f>GetPatVarnum("s5zf","&amp;a033_02_26")</f>
        <v>2088</v>
      </c>
      <c r="I61" s="133">
        <f>GetPatVarnum("s5zf","&amp;a033_03_26")</f>
        <v>673.16</v>
      </c>
      <c r="J61" s="136">
        <f t="shared" si="35"/>
        <v>2993.7</v>
      </c>
      <c r="K61" s="133">
        <f>GetPatVarnum("s5zf","&amp;a033_04_26")</f>
        <v>0</v>
      </c>
      <c r="L61" s="133">
        <f>GetPatVarnum("s5zf","&amp;a033_05_26")</f>
        <v>0</v>
      </c>
      <c r="M61" s="133">
        <f>GetPatVarnum("s5zf","&amp;a033_06_26")</f>
        <v>0</v>
      </c>
      <c r="N61" s="136">
        <f t="shared" si="36"/>
        <v>0</v>
      </c>
      <c r="O61" s="133">
        <f>GetPatVarnum("s5zf","&amp;a033_07_26")</f>
        <v>0</v>
      </c>
      <c r="P61" s="133">
        <f>GetPatVarnum("s5zf","&amp;a033_08_26")</f>
        <v>0</v>
      </c>
      <c r="Q61" s="133">
        <f>GetPatVarnum("s5zf","&amp;a033_09_26")</f>
        <v>0</v>
      </c>
      <c r="R61" s="136">
        <f t="shared" si="37"/>
        <v>0</v>
      </c>
      <c r="S61" s="133">
        <f>GetPatVarnum("s5zf","&amp;a033_10_26")</f>
        <v>0</v>
      </c>
      <c r="T61" s="133">
        <f>GetPatVarnum("s5zf","&amp;a033_11_26")</f>
        <v>0</v>
      </c>
      <c r="U61" s="133">
        <f>GetPatVarnum("s5zf","&amp;a033_12_26")</f>
        <v>0</v>
      </c>
      <c r="V61" s="137">
        <f t="shared" si="38"/>
        <v>0</v>
      </c>
    </row>
    <row r="62" spans="1:22" ht="13.5" customHeight="1" x14ac:dyDescent="0.2">
      <c r="A62" s="526"/>
      <c r="B62" s="496"/>
      <c r="C62" s="116"/>
      <c r="D62" s="492"/>
      <c r="E62" s="494"/>
      <c r="F62" s="131" t="s">
        <v>362</v>
      </c>
      <c r="G62" s="134">
        <f>GetPatVarnum("s5zf","&amp;a033_01_20")</f>
        <v>183036.34</v>
      </c>
      <c r="H62" s="134">
        <f>GetPatVarnum("s5zf","&amp;a033_02_20")</f>
        <v>168195.07</v>
      </c>
      <c r="I62" s="134">
        <f>GetPatVarnum("s5zf","&amp;a033_03_20")</f>
        <v>194530.62</v>
      </c>
      <c r="J62" s="138">
        <f t="shared" si="35"/>
        <v>545762.03</v>
      </c>
      <c r="K62" s="134">
        <f>GetPatVarnum("s5zf","&amp;a033_04_20")</f>
        <v>0</v>
      </c>
      <c r="L62" s="134">
        <f>GetPatVarnum("s5zf","&amp;a033_05_20")</f>
        <v>0</v>
      </c>
      <c r="M62" s="134">
        <f>GetPatVarnum("s5zf","&amp;a033_06_20")</f>
        <v>0</v>
      </c>
      <c r="N62" s="138">
        <f t="shared" si="36"/>
        <v>0</v>
      </c>
      <c r="O62" s="134">
        <f>GetPatVarnum("s5zf","&amp;a033_07_20")</f>
        <v>0</v>
      </c>
      <c r="P62" s="134">
        <f>GetPatVarnum("s5zf","&amp;a033_08_20")</f>
        <v>0</v>
      </c>
      <c r="Q62" s="134">
        <f>GetPatVarnum("s5zf","&amp;a033_09_20")</f>
        <v>0</v>
      </c>
      <c r="R62" s="138">
        <f t="shared" si="37"/>
        <v>0</v>
      </c>
      <c r="S62" s="134">
        <f>GetPatVarnum("s5zf","&amp;a033_10_20")</f>
        <v>0</v>
      </c>
      <c r="T62" s="134">
        <f>GetPatVarnum("s5zf","&amp;a033_11_20")</f>
        <v>0</v>
      </c>
      <c r="U62" s="134">
        <f>GetPatVarnum("s5zf","&amp;a033_12_20")</f>
        <v>0</v>
      </c>
      <c r="V62" s="139">
        <f t="shared" si="38"/>
        <v>0</v>
      </c>
    </row>
    <row r="63" spans="1:22" ht="13.5" customHeight="1" x14ac:dyDescent="0.2">
      <c r="A63" s="526"/>
      <c r="B63" s="496"/>
      <c r="C63" s="116"/>
      <c r="D63" s="492"/>
      <c r="E63" s="494"/>
      <c r="F63" s="131" t="s">
        <v>363</v>
      </c>
      <c r="G63" s="134">
        <f>GetPatVarnum("s5zf","&amp;A033_01_44")</f>
        <v>0</v>
      </c>
      <c r="H63" s="134">
        <f>GetPatVarnum("s5zf","&amp;a033_02_44")</f>
        <v>0</v>
      </c>
      <c r="I63" s="134">
        <f>GetPatVarnum("s5zf","&amp;a033_03_44")</f>
        <v>0</v>
      </c>
      <c r="J63" s="138">
        <f t="shared" si="35"/>
        <v>0</v>
      </c>
      <c r="K63" s="134">
        <f>GetPatVarnum("s5zf","&amp;A033_04_44")</f>
        <v>0</v>
      </c>
      <c r="L63" s="134">
        <f>GetPatVarnum("s5zf","&amp;a033_05_44")</f>
        <v>0</v>
      </c>
      <c r="M63" s="134">
        <f>GetPatVarnum("s5zf","&amp;a033_06_44")</f>
        <v>0</v>
      </c>
      <c r="N63" s="138">
        <f t="shared" si="36"/>
        <v>0</v>
      </c>
      <c r="O63" s="134">
        <f>GetPatVarnum("s5zf","&amp;033_07_44")</f>
        <v>0</v>
      </c>
      <c r="P63" s="134">
        <f>GetPatVarnum("s5zf","&amp;a033_08_44")</f>
        <v>0</v>
      </c>
      <c r="Q63" s="134">
        <f>GetPatVarnum("s5zf","&amp;a033_09_44")</f>
        <v>0</v>
      </c>
      <c r="R63" s="138">
        <f t="shared" si="37"/>
        <v>0</v>
      </c>
      <c r="S63" s="134">
        <f>GetPatVarnum("s5zf","&amp;A033_10_44")</f>
        <v>0</v>
      </c>
      <c r="T63" s="134">
        <f>GetPatVarnum("s5zf","&amp;a033_11_44")</f>
        <v>0</v>
      </c>
      <c r="U63" s="134">
        <f>GetPatVarnum("s5zf","&amp;a033_12_44")</f>
        <v>0</v>
      </c>
      <c r="V63" s="139">
        <f t="shared" si="38"/>
        <v>0</v>
      </c>
    </row>
    <row r="64" spans="1:22" ht="25.5" customHeight="1" thickBot="1" x14ac:dyDescent="0.25">
      <c r="A64" s="193" t="s">
        <v>119</v>
      </c>
      <c r="B64" s="99" t="s">
        <v>118</v>
      </c>
      <c r="C64" s="145"/>
      <c r="D64" s="109">
        <f>GetPatVarnum("s5zf","&amp;a0330")</f>
        <v>547873.91</v>
      </c>
      <c r="E64" s="185">
        <f>GetPatVarnum("s5zf","&amp;a0331")</f>
        <v>547873.91</v>
      </c>
      <c r="F64" s="112" t="s">
        <v>364</v>
      </c>
      <c r="G64" s="140">
        <f>G61*G$1+(G62+G63)*G$2</f>
        <v>182988.66188248</v>
      </c>
      <c r="H64" s="140">
        <f t="shared" ref="H64:I64" si="71">H61*H$1+(H62+H63)*H$2</f>
        <v>169990.86425188</v>
      </c>
      <c r="I64" s="140">
        <f t="shared" si="71"/>
        <v>194894.38200869999</v>
      </c>
      <c r="J64" s="141">
        <f t="shared" si="35"/>
        <v>547873.90814306005</v>
      </c>
      <c r="K64" s="140">
        <f>K61*K$1+(K62+K63)*K$2</f>
        <v>0</v>
      </c>
      <c r="L64" s="140">
        <f t="shared" ref="L64:M64" si="72">L61*L$1+(L62+L63)*L$2</f>
        <v>0</v>
      </c>
      <c r="M64" s="140">
        <f t="shared" si="72"/>
        <v>0</v>
      </c>
      <c r="N64" s="141">
        <f t="shared" si="36"/>
        <v>0</v>
      </c>
      <c r="O64" s="140">
        <f>O61*O$1+(O62+O63)*O$2</f>
        <v>0</v>
      </c>
      <c r="P64" s="140">
        <f t="shared" ref="P64:Q64" si="73">P61*P$1+(P62+P63)*P$2</f>
        <v>0</v>
      </c>
      <c r="Q64" s="140">
        <f t="shared" si="73"/>
        <v>0</v>
      </c>
      <c r="R64" s="141">
        <f t="shared" si="37"/>
        <v>0</v>
      </c>
      <c r="S64" s="140">
        <f>S61*S$1+(S62+S63)*S$2</f>
        <v>0</v>
      </c>
      <c r="T64" s="140">
        <f t="shared" ref="T64:U64" si="74">T61*T$1+(T62+T63)*T$2</f>
        <v>0</v>
      </c>
      <c r="U64" s="140">
        <f t="shared" si="74"/>
        <v>0</v>
      </c>
      <c r="V64" s="142">
        <f t="shared" si="38"/>
        <v>0</v>
      </c>
    </row>
    <row r="65" spans="1:22" ht="12.95" customHeight="1" thickBot="1" x14ac:dyDescent="0.25">
      <c r="A65" s="194" t="s">
        <v>112</v>
      </c>
      <c r="B65" s="98"/>
      <c r="C65" s="86"/>
      <c r="D65" s="295"/>
      <c r="E65" s="296"/>
      <c r="F65" s="89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</row>
    <row r="66" spans="1:22" ht="12.95" customHeight="1" x14ac:dyDescent="0.2">
      <c r="A66" s="523"/>
      <c r="B66" s="495"/>
      <c r="C66" s="56"/>
      <c r="D66" s="491"/>
      <c r="E66" s="493"/>
      <c r="F66" s="130" t="s">
        <v>365</v>
      </c>
      <c r="G66" s="133">
        <f>GetPatVarnum("s5zf","&amp;a034_01_26")</f>
        <v>0</v>
      </c>
      <c r="H66" s="133">
        <f>GetPatVarnum("s5zf","&amp;a034_02_26")</f>
        <v>0</v>
      </c>
      <c r="I66" s="133">
        <f>GetPatVarnum("s5zf","&amp;a034_03_26")</f>
        <v>0</v>
      </c>
      <c r="J66" s="136">
        <f t="shared" ref="J66:J77" si="75">SUM(G66:I66)</f>
        <v>0</v>
      </c>
      <c r="K66" s="133">
        <f>GetPatVarnum("s5zf","&amp;a034_04_26")</f>
        <v>0</v>
      </c>
      <c r="L66" s="133">
        <f>GetPatVarnum("s5zf","&amp;a034_05_26")</f>
        <v>0</v>
      </c>
      <c r="M66" s="133">
        <f>GetPatVarnum("s5zf","&amp;a034_06_26")</f>
        <v>0</v>
      </c>
      <c r="N66" s="136">
        <f t="shared" ref="N66:N77" si="76">SUM(K66:M66)</f>
        <v>0</v>
      </c>
      <c r="O66" s="133">
        <f>GetPatVarnum("s5zf","&amp;a034_07_26")</f>
        <v>0</v>
      </c>
      <c r="P66" s="133">
        <f>GetPatVarnum("s5zf","&amp;a034_08_26")</f>
        <v>0</v>
      </c>
      <c r="Q66" s="133">
        <f>GetPatVarnum("s5zf","&amp;a034_09_26")</f>
        <v>0</v>
      </c>
      <c r="R66" s="136">
        <f t="shared" ref="R66:R77" si="77">SUM(O66:Q66)</f>
        <v>0</v>
      </c>
      <c r="S66" s="133">
        <f>GetPatVarnum("s5zf","&amp;a034_10_26")</f>
        <v>0</v>
      </c>
      <c r="T66" s="133">
        <f>GetPatVarnum("s5zf","&amp;a034_11_26")</f>
        <v>0</v>
      </c>
      <c r="U66" s="133">
        <f>GetPatVarnum("s5zf","&amp;a034_12_26")</f>
        <v>0</v>
      </c>
      <c r="V66" s="137">
        <f t="shared" ref="V66:V77" si="78">SUM(S66:U66)</f>
        <v>0</v>
      </c>
    </row>
    <row r="67" spans="1:22" ht="12.95" customHeight="1" x14ac:dyDescent="0.2">
      <c r="A67" s="524"/>
      <c r="B67" s="496"/>
      <c r="C67" s="56"/>
      <c r="D67" s="492"/>
      <c r="E67" s="494"/>
      <c r="F67" s="131" t="s">
        <v>366</v>
      </c>
      <c r="G67" s="134">
        <f>GetPatVarnum("s5zf","&amp;a034_01_20")</f>
        <v>0.91</v>
      </c>
      <c r="H67" s="134">
        <f>GetPatVarnum("s5zf","&amp;a034_02_20")</f>
        <v>2.0699999999999998</v>
      </c>
      <c r="I67" s="134">
        <f>GetPatVarnum("s5zf","&amp;a034_03_20")</f>
        <v>1.47</v>
      </c>
      <c r="J67" s="138">
        <f t="shared" si="75"/>
        <v>4.45</v>
      </c>
      <c r="K67" s="134">
        <f>GetPatVarnum("s5zf","&amp;a034_04_20")</f>
        <v>0</v>
      </c>
      <c r="L67" s="134">
        <f>GetPatVarnum("s5zf","&amp;a034_05_20")</f>
        <v>0</v>
      </c>
      <c r="M67" s="134">
        <f>GetPatVarnum("s5zf","&amp;a034_06_20")</f>
        <v>0</v>
      </c>
      <c r="N67" s="138">
        <f t="shared" si="76"/>
        <v>0</v>
      </c>
      <c r="O67" s="134">
        <f>GetPatVarnum("s5zf","&amp;a034_07_20")</f>
        <v>0</v>
      </c>
      <c r="P67" s="134">
        <f>GetPatVarnum("s5zf","&amp;a034_08_20")</f>
        <v>0</v>
      </c>
      <c r="Q67" s="134">
        <f>GetPatVarnum("s5zf","&amp;a033_09_20")</f>
        <v>0</v>
      </c>
      <c r="R67" s="138">
        <f t="shared" si="77"/>
        <v>0</v>
      </c>
      <c r="S67" s="134">
        <f>GetPatVarnum("s5zf","&amp;a034_10_20")</f>
        <v>0</v>
      </c>
      <c r="T67" s="134">
        <f>GetPatVarnum("s5zf","&amp;a034_11_20")</f>
        <v>0</v>
      </c>
      <c r="U67" s="134">
        <f>GetPatVarnum("s5zf","&amp;a034_12_20")</f>
        <v>0</v>
      </c>
      <c r="V67" s="139">
        <f t="shared" si="78"/>
        <v>0</v>
      </c>
    </row>
    <row r="68" spans="1:22" ht="12.95" customHeight="1" x14ac:dyDescent="0.2">
      <c r="A68" s="524"/>
      <c r="B68" s="496"/>
      <c r="C68" s="56"/>
      <c r="D68" s="492"/>
      <c r="E68" s="494"/>
      <c r="F68" s="131" t="s">
        <v>367</v>
      </c>
      <c r="G68" s="134">
        <f>GetPatVarnum("s5zf","&amp;A034_01_44")</f>
        <v>0</v>
      </c>
      <c r="H68" s="134">
        <f>GetPatVarnum("s5zf","&amp;a034_02_44")</f>
        <v>0</v>
      </c>
      <c r="I68" s="134">
        <f>GetPatVarnum("s5zf","&amp;a034_03_44")</f>
        <v>0</v>
      </c>
      <c r="J68" s="138">
        <f t="shared" si="75"/>
        <v>0</v>
      </c>
      <c r="K68" s="134">
        <f>GetPatVarnum("s5zf","&amp;A034_04_44")</f>
        <v>0</v>
      </c>
      <c r="L68" s="134">
        <f>GetPatVarnum("s5zf","&amp;a034_05_44")</f>
        <v>0</v>
      </c>
      <c r="M68" s="134">
        <f>GetPatVarnum("s5zf","&amp;a034_06_44")</f>
        <v>0</v>
      </c>
      <c r="N68" s="138">
        <f t="shared" si="76"/>
        <v>0</v>
      </c>
      <c r="O68" s="134">
        <f>GetPatVarnum("s5zf","&amp;034_07_44")</f>
        <v>0</v>
      </c>
      <c r="P68" s="134">
        <f>GetPatVarnum("s5zf","&amp;a034_08_44")</f>
        <v>0</v>
      </c>
      <c r="Q68" s="134">
        <f>GetPatVarnum("s5zf","&amp;a033_09_44")</f>
        <v>0</v>
      </c>
      <c r="R68" s="138">
        <f t="shared" si="77"/>
        <v>0</v>
      </c>
      <c r="S68" s="134">
        <f>GetPatVarnum("s5zf","&amp;A034_10_44")</f>
        <v>0</v>
      </c>
      <c r="T68" s="134">
        <f>GetPatVarnum("s5zf","&amp;a034_11_44")</f>
        <v>0</v>
      </c>
      <c r="U68" s="134">
        <f>GetPatVarnum("s5zf","&amp;a034_12_44")</f>
        <v>0</v>
      </c>
      <c r="V68" s="139">
        <f t="shared" si="78"/>
        <v>0</v>
      </c>
    </row>
    <row r="69" spans="1:22" ht="16.5" customHeight="1" thickBot="1" x14ac:dyDescent="0.25">
      <c r="A69" s="191" t="s">
        <v>117</v>
      </c>
      <c r="B69" s="115" t="s">
        <v>116</v>
      </c>
      <c r="C69" s="147"/>
      <c r="D69" s="114">
        <f>GetPatVarnum("s5zf","&amp;a0340")</f>
        <v>4.4400000000000004</v>
      </c>
      <c r="E69" s="190">
        <f>GetPatVarnum("s5zf","&amp;a0341")</f>
        <v>4.4400000000000004</v>
      </c>
      <c r="F69" s="112" t="s">
        <v>368</v>
      </c>
      <c r="G69" s="140">
        <f>G66*G$1+(G67+G68)*G$2</f>
        <v>0.90860861000000004</v>
      </c>
      <c r="H69" s="140">
        <f t="shared" ref="H69:I69" si="79">H66*H$1+(H67+H68)*H$2</f>
        <v>2.0664478799999997</v>
      </c>
      <c r="I69" s="140">
        <f t="shared" si="79"/>
        <v>1.4676700499999999</v>
      </c>
      <c r="J69" s="141">
        <f t="shared" si="75"/>
        <v>4.4427265399999998</v>
      </c>
      <c r="K69" s="140">
        <f>K66*K$1+(K67+K68)*K$2</f>
        <v>0</v>
      </c>
      <c r="L69" s="140">
        <f t="shared" ref="L69:M69" si="80">L66*L$1+(L67+L68)*L$2</f>
        <v>0</v>
      </c>
      <c r="M69" s="140">
        <f t="shared" si="80"/>
        <v>0</v>
      </c>
      <c r="N69" s="141">
        <f t="shared" si="76"/>
        <v>0</v>
      </c>
      <c r="O69" s="140">
        <f>O66*O$1+(O67+O68)*O$2</f>
        <v>0</v>
      </c>
      <c r="P69" s="140">
        <f t="shared" ref="P69:Q69" si="81">P66*P$1+(P67+P68)*P$2</f>
        <v>0</v>
      </c>
      <c r="Q69" s="140">
        <f t="shared" si="81"/>
        <v>0</v>
      </c>
      <c r="R69" s="141">
        <f t="shared" si="77"/>
        <v>0</v>
      </c>
      <c r="S69" s="140">
        <f>S66*S$1+(S67+S68)*S$2</f>
        <v>0</v>
      </c>
      <c r="T69" s="140">
        <f t="shared" ref="T69:U69" si="82">T66*T$1+(T67+T68)*T$2</f>
        <v>0</v>
      </c>
      <c r="U69" s="140">
        <f t="shared" si="82"/>
        <v>0</v>
      </c>
      <c r="V69" s="142">
        <f t="shared" si="78"/>
        <v>0</v>
      </c>
    </row>
    <row r="70" spans="1:22" ht="13.5" customHeight="1" x14ac:dyDescent="0.2">
      <c r="A70" s="511"/>
      <c r="B70" s="495"/>
      <c r="C70" s="87"/>
      <c r="D70" s="491"/>
      <c r="E70" s="521"/>
      <c r="F70" s="130" t="s">
        <v>369</v>
      </c>
      <c r="G70" s="133">
        <f>GetPatVarnum("s5zf","&amp;a035_01_26")</f>
        <v>0</v>
      </c>
      <c r="H70" s="133">
        <f>GetPatVarnum("s5zf","&amp;a035_02_26")</f>
        <v>0</v>
      </c>
      <c r="I70" s="133">
        <f>GetPatVarnum("s5zf","&amp;a035_03_26")</f>
        <v>0</v>
      </c>
      <c r="J70" s="136">
        <f t="shared" si="75"/>
        <v>0</v>
      </c>
      <c r="K70" s="133">
        <f>GetPatVarnum("s5zf","&amp;a035_04_26")</f>
        <v>0</v>
      </c>
      <c r="L70" s="133">
        <f>GetPatVarnum("s5zf","&amp;a035_05_26")</f>
        <v>0</v>
      </c>
      <c r="M70" s="133">
        <f>GetPatVarnum("s5zf","&amp;a035_06_26")</f>
        <v>0</v>
      </c>
      <c r="N70" s="136">
        <f t="shared" si="76"/>
        <v>0</v>
      </c>
      <c r="O70" s="133">
        <f>GetPatVarnum("s5zf","&amp;a035_07_26")</f>
        <v>0</v>
      </c>
      <c r="P70" s="133">
        <f>GetPatVarnum("s5zf","&amp;a035_08_26")</f>
        <v>0</v>
      </c>
      <c r="Q70" s="133">
        <f>GetPatVarnum("s5zf","&amp;a035_09_26")</f>
        <v>0</v>
      </c>
      <c r="R70" s="136">
        <f t="shared" si="77"/>
        <v>0</v>
      </c>
      <c r="S70" s="133">
        <f>GetPatVarnum("s5zf","&amp;a035_10_26")</f>
        <v>0</v>
      </c>
      <c r="T70" s="133">
        <f>GetPatVarnum("s5zf","&amp;a035_11_26")</f>
        <v>0</v>
      </c>
      <c r="U70" s="133">
        <f>GetPatVarnum("s5zf","&amp;a035_12_26")</f>
        <v>0</v>
      </c>
      <c r="V70" s="137">
        <f t="shared" si="78"/>
        <v>0</v>
      </c>
    </row>
    <row r="71" spans="1:22" ht="13.5" customHeight="1" x14ac:dyDescent="0.2">
      <c r="A71" s="512"/>
      <c r="B71" s="496"/>
      <c r="C71" s="116"/>
      <c r="D71" s="492"/>
      <c r="E71" s="522"/>
      <c r="F71" s="131" t="s">
        <v>370</v>
      </c>
      <c r="G71" s="134">
        <f>GetPatVarnum("s5zf","&amp;a035_01_20")</f>
        <v>172880.19</v>
      </c>
      <c r="H71" s="134">
        <f>GetPatVarnum("s5zf","&amp;a035_02_20")</f>
        <v>161712.32999999999</v>
      </c>
      <c r="I71" s="134">
        <f>GetPatVarnum("s5zf","&amp;a035_03_20")</f>
        <v>188581.74</v>
      </c>
      <c r="J71" s="138">
        <f t="shared" si="75"/>
        <v>523174.26</v>
      </c>
      <c r="K71" s="134">
        <f>GetPatVarnum("s5zf","&amp;a035_04_20")</f>
        <v>0</v>
      </c>
      <c r="L71" s="134">
        <f>GetPatVarnum("s5zf","&amp;a035_05_20")</f>
        <v>0</v>
      </c>
      <c r="M71" s="134">
        <f>GetPatVarnum("s5zf","&amp;a035_06_20")</f>
        <v>0</v>
      </c>
      <c r="N71" s="138">
        <f t="shared" si="76"/>
        <v>0</v>
      </c>
      <c r="O71" s="134">
        <f>GetPatVarnum("s5zf","&amp;a035_07_20")</f>
        <v>0</v>
      </c>
      <c r="P71" s="134">
        <f>GetPatVarnum("s5zf","&amp;a035_08_20")</f>
        <v>0</v>
      </c>
      <c r="Q71" s="134">
        <f>GetPatVarnum("s5zf","&amp;a035_09_20")</f>
        <v>0</v>
      </c>
      <c r="R71" s="138">
        <f t="shared" si="77"/>
        <v>0</v>
      </c>
      <c r="S71" s="134">
        <f>GetPatVarnum("s5zf","&amp;a035_10_20")</f>
        <v>0</v>
      </c>
      <c r="T71" s="134">
        <f>GetPatVarnum("s5zf","&amp;a035_11_20")</f>
        <v>0</v>
      </c>
      <c r="U71" s="134">
        <f>GetPatVarnum("s5zf","&amp;a035_12_20")</f>
        <v>0</v>
      </c>
      <c r="V71" s="139">
        <f t="shared" si="78"/>
        <v>0</v>
      </c>
    </row>
    <row r="72" spans="1:22" ht="13.5" customHeight="1" x14ac:dyDescent="0.2">
      <c r="A72" s="512"/>
      <c r="B72" s="496"/>
      <c r="C72" s="116"/>
      <c r="D72" s="492"/>
      <c r="E72" s="522"/>
      <c r="F72" s="131" t="s">
        <v>371</v>
      </c>
      <c r="G72" s="134">
        <f>GetPatVarnum("s5zf","&amp;A035_01_44")</f>
        <v>0</v>
      </c>
      <c r="H72" s="134">
        <f>GetPatVarnum("s5zf","&amp;a035_02_44")</f>
        <v>0</v>
      </c>
      <c r="I72" s="134">
        <f>GetPatVarnum("s5zf","&amp;a035_03_44")</f>
        <v>0</v>
      </c>
      <c r="J72" s="138">
        <f t="shared" si="75"/>
        <v>0</v>
      </c>
      <c r="K72" s="134">
        <f>GetPatVarnum("s5zf","&amp;A035_04_44")</f>
        <v>0</v>
      </c>
      <c r="L72" s="134">
        <f>GetPatVarnum("s5zf","&amp;a035_05_44")</f>
        <v>0</v>
      </c>
      <c r="M72" s="134">
        <f>GetPatVarnum("s5zf","&amp;a035_06_44")</f>
        <v>0</v>
      </c>
      <c r="N72" s="138">
        <f t="shared" si="76"/>
        <v>0</v>
      </c>
      <c r="O72" s="134">
        <f>GetPatVarnum("s5zf","&amp;035_07_44")</f>
        <v>0</v>
      </c>
      <c r="P72" s="134">
        <f>GetPatVarnum("s5zf","&amp;a035_08_44")</f>
        <v>0</v>
      </c>
      <c r="Q72" s="134">
        <f>GetPatVarnum("s5zf","&amp;a035_09_44")</f>
        <v>0</v>
      </c>
      <c r="R72" s="138">
        <f t="shared" si="77"/>
        <v>0</v>
      </c>
      <c r="S72" s="134">
        <f>GetPatVarnum("s5zf","&amp;A035_10_44")</f>
        <v>0</v>
      </c>
      <c r="T72" s="134">
        <f>GetPatVarnum("s5zf","&amp;a035_11_44")</f>
        <v>0</v>
      </c>
      <c r="U72" s="134">
        <f>GetPatVarnum("s5zf","&amp;a035_12_44")</f>
        <v>0</v>
      </c>
      <c r="V72" s="139">
        <f t="shared" si="78"/>
        <v>0</v>
      </c>
    </row>
    <row r="73" spans="1:22" ht="25.5" customHeight="1" thickBot="1" x14ac:dyDescent="0.25">
      <c r="A73" s="199" t="s">
        <v>115</v>
      </c>
      <c r="B73" s="115" t="s">
        <v>114</v>
      </c>
      <c r="C73" s="146"/>
      <c r="D73" s="114">
        <f>GetPatVarnum("s5zf","&amp;a0350")</f>
        <v>522333.53</v>
      </c>
      <c r="E73" s="198">
        <f>GetPatVarnum("s5zf","&amp;a0351")</f>
        <v>522333.53</v>
      </c>
      <c r="F73" s="112" t="s">
        <v>372</v>
      </c>
      <c r="G73" s="140">
        <f>G70*G$1+(G71+G72)*G$2</f>
        <v>172615.85618949</v>
      </c>
      <c r="H73" s="140">
        <f t="shared" ref="H73:I73" si="83">H70*H$1+(H71+H72)*H$2</f>
        <v>161434.83164171997</v>
      </c>
      <c r="I73" s="140">
        <f t="shared" si="83"/>
        <v>188282.83794210001</v>
      </c>
      <c r="J73" s="141">
        <f t="shared" si="75"/>
        <v>522333.52577330999</v>
      </c>
      <c r="K73" s="140">
        <f>K70*K$1+(K71+K72)*K$2</f>
        <v>0</v>
      </c>
      <c r="L73" s="140">
        <f t="shared" ref="L73:M73" si="84">L70*L$1+(L71+L72)*L$2</f>
        <v>0</v>
      </c>
      <c r="M73" s="140">
        <f t="shared" si="84"/>
        <v>0</v>
      </c>
      <c r="N73" s="141">
        <f t="shared" si="76"/>
        <v>0</v>
      </c>
      <c r="O73" s="140">
        <f>O70*O$1+(O71+O72)*O$2</f>
        <v>0</v>
      </c>
      <c r="P73" s="140">
        <f t="shared" ref="P73:Q73" si="85">P70*P$1+(P71+P72)*P$2</f>
        <v>0</v>
      </c>
      <c r="Q73" s="140">
        <f t="shared" si="85"/>
        <v>0</v>
      </c>
      <c r="R73" s="141">
        <f t="shared" si="77"/>
        <v>0</v>
      </c>
      <c r="S73" s="140">
        <f>S70*S$1+(S71+S72)*S$2</f>
        <v>0</v>
      </c>
      <c r="T73" s="140">
        <f t="shared" ref="T73:U73" si="86">T70*T$1+(T71+T72)*T$2</f>
        <v>0</v>
      </c>
      <c r="U73" s="140">
        <f t="shared" si="86"/>
        <v>0</v>
      </c>
      <c r="V73" s="142">
        <f t="shared" si="78"/>
        <v>0</v>
      </c>
    </row>
    <row r="74" spans="1:22" ht="13.5" customHeight="1" x14ac:dyDescent="0.2">
      <c r="A74" s="527"/>
      <c r="B74" s="495"/>
      <c r="C74" s="87"/>
      <c r="D74" s="491"/>
      <c r="E74" s="521"/>
      <c r="F74" s="130" t="s">
        <v>373</v>
      </c>
      <c r="G74" s="133">
        <f>GetPatVarnum("s5zf","&amp;a036_01_26")</f>
        <v>121928.75</v>
      </c>
      <c r="H74" s="133">
        <f>GetPatVarnum("s5zf","&amp;a036_02_26")</f>
        <v>116499.38</v>
      </c>
      <c r="I74" s="133">
        <f>GetPatVarnum("s5zf","&amp;a036_03_26")</f>
        <v>123520.11</v>
      </c>
      <c r="J74" s="136">
        <f t="shared" si="75"/>
        <v>361948.24</v>
      </c>
      <c r="K74" s="133">
        <f>GetPatVarnum("s5zf","&amp;a036_04_26")</f>
        <v>0</v>
      </c>
      <c r="L74" s="133">
        <f>GetPatVarnum("s5zf","&amp;a036_05_26")</f>
        <v>0</v>
      </c>
      <c r="M74" s="133">
        <f>GetPatVarnum("s5zf","&amp;a036_06_26")</f>
        <v>0</v>
      </c>
      <c r="N74" s="136">
        <f t="shared" si="76"/>
        <v>0</v>
      </c>
      <c r="O74" s="133">
        <f>GetPatVarnum("s5zf","&amp;a036_07_26")</f>
        <v>0</v>
      </c>
      <c r="P74" s="133">
        <f>GetPatVarnum("s5zf","&amp;a036_08_26")</f>
        <v>0</v>
      </c>
      <c r="Q74" s="133">
        <f>GetPatVarnum("s5zf","&amp;a036_09_26")</f>
        <v>0</v>
      </c>
      <c r="R74" s="136">
        <f t="shared" si="77"/>
        <v>0</v>
      </c>
      <c r="S74" s="133">
        <f>GetPatVarnum("s5zf","&amp;a036_10_26")</f>
        <v>0</v>
      </c>
      <c r="T74" s="133">
        <f>GetPatVarnum("s5zf","&amp;a036_11_26")</f>
        <v>0</v>
      </c>
      <c r="U74" s="133">
        <f>GetPatVarnum("s5zf","&amp;a036_12_26")</f>
        <v>0</v>
      </c>
      <c r="V74" s="137">
        <f t="shared" si="78"/>
        <v>0</v>
      </c>
    </row>
    <row r="75" spans="1:22" ht="13.5" customHeight="1" x14ac:dyDescent="0.2">
      <c r="A75" s="528"/>
      <c r="B75" s="496"/>
      <c r="C75" s="116"/>
      <c r="D75" s="492"/>
      <c r="E75" s="522"/>
      <c r="F75" s="131" t="s">
        <v>374</v>
      </c>
      <c r="G75" s="134">
        <f>GetPatVarnum("s5zf","&amp;a036_01_20")</f>
        <v>442489.64</v>
      </c>
      <c r="H75" s="134">
        <f>GetPatVarnum("s5zf","&amp;a036_02_20")</f>
        <v>412399.33</v>
      </c>
      <c r="I75" s="134">
        <f>GetPatVarnum("s5zf","&amp;a036_03_20")</f>
        <v>448833.24</v>
      </c>
      <c r="J75" s="138">
        <f t="shared" si="75"/>
        <v>1303722.21</v>
      </c>
      <c r="K75" s="134">
        <f>GetPatVarnum("s5zf","&amp;a036_04_20")</f>
        <v>0</v>
      </c>
      <c r="L75" s="134">
        <f>GetPatVarnum("s5zf","&amp;a036_05_20")</f>
        <v>0</v>
      </c>
      <c r="M75" s="134">
        <f>GetPatVarnum("s5zf","&amp;a036_06_20")</f>
        <v>0</v>
      </c>
      <c r="N75" s="138">
        <f t="shared" si="76"/>
        <v>0</v>
      </c>
      <c r="O75" s="134">
        <f>GetPatVarnum("s5zf","&amp;a036_07_20")</f>
        <v>0</v>
      </c>
      <c r="P75" s="134">
        <f>GetPatVarnum("s5zf","&amp;a036_08_20")</f>
        <v>0</v>
      </c>
      <c r="Q75" s="134">
        <f>GetPatVarnum("s5zf","&amp;a036_09_20")</f>
        <v>0</v>
      </c>
      <c r="R75" s="138">
        <f t="shared" si="77"/>
        <v>0</v>
      </c>
      <c r="S75" s="134">
        <f>GetPatVarnum("s5zf","&amp;a036_10_20")</f>
        <v>0</v>
      </c>
      <c r="T75" s="134">
        <f>GetPatVarnum("s5zf","&amp;a036_11_20")</f>
        <v>0</v>
      </c>
      <c r="U75" s="134">
        <f>GetPatVarnum("s5zf","&amp;a036_12_20")</f>
        <v>0</v>
      </c>
      <c r="V75" s="139">
        <f t="shared" si="78"/>
        <v>0</v>
      </c>
    </row>
    <row r="76" spans="1:22" ht="13.5" customHeight="1" x14ac:dyDescent="0.2">
      <c r="A76" s="528"/>
      <c r="B76" s="496"/>
      <c r="C76" s="116"/>
      <c r="D76" s="492"/>
      <c r="E76" s="522"/>
      <c r="F76" s="131" t="s">
        <v>375</v>
      </c>
      <c r="G76" s="134">
        <f>GetPatVarnum("s5zf","&amp;A036_01_44")</f>
        <v>0</v>
      </c>
      <c r="H76" s="134">
        <f>GetPatVarnum("s5zf","&amp;a036_02_44")</f>
        <v>0</v>
      </c>
      <c r="I76" s="134">
        <f>GetPatVarnum("s5zf","&amp;a036_03_44")</f>
        <v>0</v>
      </c>
      <c r="J76" s="138">
        <f t="shared" si="75"/>
        <v>0</v>
      </c>
      <c r="K76" s="134">
        <f>GetPatVarnum("s5zf","&amp;A036_04_44")</f>
        <v>0</v>
      </c>
      <c r="L76" s="134">
        <f>GetPatVarnum("s5zf","&amp;a036_05_44")</f>
        <v>0</v>
      </c>
      <c r="M76" s="134">
        <f>GetPatVarnum("s5zf","&amp;a036_06_44")</f>
        <v>0</v>
      </c>
      <c r="N76" s="138">
        <f t="shared" si="76"/>
        <v>0</v>
      </c>
      <c r="O76" s="134">
        <f>GetPatVarnum("s5zf","&amp;036_07_44")</f>
        <v>0</v>
      </c>
      <c r="P76" s="134">
        <f>GetPatVarnum("s5zf","&amp;a036_08_44")</f>
        <v>0</v>
      </c>
      <c r="Q76" s="134">
        <f>GetPatVarnum("s5zf","&amp;a036_09_44")</f>
        <v>0</v>
      </c>
      <c r="R76" s="138">
        <f t="shared" si="77"/>
        <v>0</v>
      </c>
      <c r="S76" s="134">
        <f>GetPatVarnum("s5zf","&amp;A036_10_44")</f>
        <v>0</v>
      </c>
      <c r="T76" s="134">
        <f>GetPatVarnum("s5zf","&amp;a036_11_44")</f>
        <v>0</v>
      </c>
      <c r="U76" s="134">
        <f>GetPatVarnum("s5zf","&amp;a036_12_44")</f>
        <v>0</v>
      </c>
      <c r="V76" s="139">
        <f t="shared" si="78"/>
        <v>0</v>
      </c>
    </row>
    <row r="77" spans="1:22" ht="20.45" customHeight="1" thickBot="1" x14ac:dyDescent="0.25">
      <c r="A77" s="200" t="s">
        <v>17</v>
      </c>
      <c r="B77" s="99" t="s">
        <v>113</v>
      </c>
      <c r="C77" s="148"/>
      <c r="D77" s="307">
        <f>GetPatVarnum("s5zf","&amp;a0360")</f>
        <v>1662992.68</v>
      </c>
      <c r="E77" s="201">
        <f>GetPatVarnum("s5zf","&amp;a0361")</f>
        <v>1662992.68</v>
      </c>
      <c r="F77" s="112" t="s">
        <v>376</v>
      </c>
      <c r="G77" s="140">
        <f>G74*G$1+(G75+G76)*G$2</f>
        <v>563555.39428169001</v>
      </c>
      <c r="H77" s="140">
        <f t="shared" ref="H77:I77" si="87">H74*H$1+(H75+H76)*H$2</f>
        <v>527991.11981364002</v>
      </c>
      <c r="I77" s="140">
        <f t="shared" si="87"/>
        <v>571446.16994024999</v>
      </c>
      <c r="J77" s="141">
        <f t="shared" si="75"/>
        <v>1662992.6840355801</v>
      </c>
      <c r="K77" s="140">
        <f>K74*K$1+(K75+K76)*K$2</f>
        <v>0</v>
      </c>
      <c r="L77" s="140">
        <f t="shared" ref="L77:M77" si="88">L74*L$1+(L75+L76)*L$2</f>
        <v>0</v>
      </c>
      <c r="M77" s="140">
        <f t="shared" si="88"/>
        <v>0</v>
      </c>
      <c r="N77" s="141">
        <f t="shared" si="76"/>
        <v>0</v>
      </c>
      <c r="O77" s="140">
        <f>O74*O$1+(O75+O76)*O$2</f>
        <v>0</v>
      </c>
      <c r="P77" s="140">
        <f t="shared" ref="P77:Q77" si="89">P74*P$1+(P75+P76)*P$2</f>
        <v>0</v>
      </c>
      <c r="Q77" s="140">
        <f t="shared" si="89"/>
        <v>0</v>
      </c>
      <c r="R77" s="141">
        <f t="shared" si="77"/>
        <v>0</v>
      </c>
      <c r="S77" s="140">
        <f>S74*S$1+(S75+S76)*S$2</f>
        <v>0</v>
      </c>
      <c r="T77" s="140">
        <f t="shared" ref="T77:U77" si="90">T74*T$1+(T75+T76)*T$2</f>
        <v>0</v>
      </c>
      <c r="U77" s="140">
        <f t="shared" si="90"/>
        <v>0</v>
      </c>
      <c r="V77" s="142">
        <f t="shared" si="78"/>
        <v>0</v>
      </c>
    </row>
    <row r="78" spans="1:22" ht="12" customHeight="1" thickBot="1" x14ac:dyDescent="0.25">
      <c r="A78" s="202" t="s">
        <v>112</v>
      </c>
      <c r="B78" s="98"/>
      <c r="C78" s="64"/>
      <c r="D78" s="295"/>
      <c r="E78" s="296"/>
      <c r="F78" s="89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</row>
    <row r="79" spans="1:22" ht="25.5" customHeight="1" thickBot="1" x14ac:dyDescent="0.25">
      <c r="A79" s="203" t="s">
        <v>111</v>
      </c>
      <c r="B79" s="149" t="s">
        <v>110</v>
      </c>
      <c r="C79" s="150"/>
      <c r="D79" s="114">
        <f>GetPatVarnum("s5zf","&amp;a0370")</f>
        <v>0</v>
      </c>
      <c r="E79" s="190">
        <f>GetPatVarnum("s5zf","&amp;a0371")</f>
        <v>0</v>
      </c>
      <c r="F79" s="177" t="s">
        <v>101</v>
      </c>
      <c r="G79" s="159" t="s">
        <v>101</v>
      </c>
      <c r="H79" s="159" t="s">
        <v>101</v>
      </c>
      <c r="I79" s="159" t="s">
        <v>101</v>
      </c>
      <c r="J79" s="159" t="s">
        <v>101</v>
      </c>
      <c r="K79" s="159" t="s">
        <v>101</v>
      </c>
      <c r="L79" s="159" t="s">
        <v>101</v>
      </c>
      <c r="M79" s="159" t="s">
        <v>101</v>
      </c>
      <c r="N79" s="159" t="s">
        <v>101</v>
      </c>
      <c r="O79" s="159" t="s">
        <v>101</v>
      </c>
      <c r="P79" s="159" t="s">
        <v>101</v>
      </c>
      <c r="Q79" s="159" t="s">
        <v>101</v>
      </c>
      <c r="R79" s="159" t="s">
        <v>101</v>
      </c>
      <c r="S79" s="159" t="s">
        <v>101</v>
      </c>
      <c r="T79" s="159" t="s">
        <v>101</v>
      </c>
      <c r="U79" s="159" t="s">
        <v>101</v>
      </c>
      <c r="V79" s="160" t="s">
        <v>101</v>
      </c>
    </row>
    <row r="80" spans="1:22" ht="13.5" customHeight="1" x14ac:dyDescent="0.2">
      <c r="A80" s="529"/>
      <c r="B80" s="495"/>
      <c r="C80" s="119"/>
      <c r="D80" s="491"/>
      <c r="E80" s="493"/>
      <c r="F80" s="130" t="s">
        <v>377</v>
      </c>
      <c r="G80" s="133">
        <f>GetPatVarnum("s5zf","&amp;a038_01_26")</f>
        <v>41333.96</v>
      </c>
      <c r="H80" s="133">
        <f>GetPatVarnum("s5zf","&amp;a038_02_26")</f>
        <v>39552.699999999997</v>
      </c>
      <c r="I80" s="133">
        <f>GetPatVarnum("s5zf","&amp;a038_03_26")</f>
        <v>41459.51</v>
      </c>
      <c r="J80" s="136">
        <f t="shared" ref="J80:J91" si="91">SUM(G80:I80)</f>
        <v>122346.17000000001</v>
      </c>
      <c r="K80" s="133">
        <f>GetPatVarnum("s5zf","&amp;a038_04_26")</f>
        <v>0</v>
      </c>
      <c r="L80" s="133">
        <f>GetPatVarnum("s5zf","&amp;a038_05_26")</f>
        <v>0</v>
      </c>
      <c r="M80" s="133">
        <f>GetPatVarnum("s5zf","&amp;a038_06_26")</f>
        <v>0</v>
      </c>
      <c r="N80" s="136">
        <f t="shared" ref="N80:N91" si="92">SUM(K80:M80)</f>
        <v>0</v>
      </c>
      <c r="O80" s="133">
        <f>GetPatVarnum("s5zf","&amp;a038_07_26")</f>
        <v>0</v>
      </c>
      <c r="P80" s="133">
        <f>GetPatVarnum("s5zf","&amp;a038_08_26")</f>
        <v>0</v>
      </c>
      <c r="Q80" s="133">
        <f>GetPatVarnum("s5zf","&amp;a038_09_26")</f>
        <v>0</v>
      </c>
      <c r="R80" s="136">
        <f t="shared" ref="R80:R91" si="93">SUM(O80:Q80)</f>
        <v>0</v>
      </c>
      <c r="S80" s="133">
        <f>GetPatVarnum("s5zf","&amp;a038_10_26")</f>
        <v>0</v>
      </c>
      <c r="T80" s="133">
        <f>GetPatVarnum("s5zf","&amp;a038_11_26")</f>
        <v>0</v>
      </c>
      <c r="U80" s="133">
        <f>GetPatVarnum("s5zf","&amp;a038_12_26")</f>
        <v>0</v>
      </c>
      <c r="V80" s="137">
        <f t="shared" ref="V80:V91" si="94">SUM(S80:U80)</f>
        <v>0</v>
      </c>
    </row>
    <row r="81" spans="1:22" ht="13.5" customHeight="1" x14ac:dyDescent="0.2">
      <c r="A81" s="530"/>
      <c r="B81" s="496"/>
      <c r="C81" s="117"/>
      <c r="D81" s="492"/>
      <c r="E81" s="494"/>
      <c r="F81" s="131" t="s">
        <v>378</v>
      </c>
      <c r="G81" s="134">
        <f>GetPatVarnum("s5zf","&amp;a038_01_20")</f>
        <v>147809.39000000001</v>
      </c>
      <c r="H81" s="134">
        <f>GetPatVarnum("s5zf","&amp;a038_02_20")</f>
        <v>139077.51</v>
      </c>
      <c r="I81" s="134">
        <f>GetPatVarnum("s5zf","&amp;a038_03_20")</f>
        <v>147977.64000000001</v>
      </c>
      <c r="J81" s="138">
        <f t="shared" si="91"/>
        <v>434864.54000000004</v>
      </c>
      <c r="K81" s="134">
        <f>GetPatVarnum("s5zf","&amp;a038_04_20")</f>
        <v>0</v>
      </c>
      <c r="L81" s="134">
        <f>GetPatVarnum("s5zf","&amp;038_05_20")</f>
        <v>0</v>
      </c>
      <c r="M81" s="134">
        <f>GetPatVarnum("s5zf","&amp;a038_06_20")</f>
        <v>0</v>
      </c>
      <c r="N81" s="138">
        <f t="shared" si="92"/>
        <v>0</v>
      </c>
      <c r="O81" s="134">
        <f>GetPatVarnum("s5zf","&amp;a038_07_20")</f>
        <v>0</v>
      </c>
      <c r="P81" s="134">
        <f>GetPatVarnum("s5zf","&amp;a038_08_20")</f>
        <v>0</v>
      </c>
      <c r="Q81" s="134">
        <f>GetPatVarnum("s5zf","&amp;a038_09_20")</f>
        <v>0</v>
      </c>
      <c r="R81" s="138">
        <f t="shared" si="93"/>
        <v>0</v>
      </c>
      <c r="S81" s="134">
        <f>GetPatVarnum("s5zf","&amp;a038_10_20")</f>
        <v>0</v>
      </c>
      <c r="T81" s="134">
        <f>GetPatVarnum("s5zf","&amp;a038_11_20")</f>
        <v>0</v>
      </c>
      <c r="U81" s="134">
        <f>GetPatVarnum("s5zf","&amp;a038_12_20")</f>
        <v>0</v>
      </c>
      <c r="V81" s="139">
        <f t="shared" si="94"/>
        <v>0</v>
      </c>
    </row>
    <row r="82" spans="1:22" ht="13.5" customHeight="1" x14ac:dyDescent="0.2">
      <c r="A82" s="530"/>
      <c r="B82" s="496"/>
      <c r="C82" s="117"/>
      <c r="D82" s="492"/>
      <c r="E82" s="494"/>
      <c r="F82" s="131" t="s">
        <v>379</v>
      </c>
      <c r="G82" s="134">
        <f>GetPatVarnum("s5zf","&amp;A038_01_44")</f>
        <v>0</v>
      </c>
      <c r="H82" s="134">
        <f>GetPatVarnum("s5zf","&amp;a038_02_44")</f>
        <v>0</v>
      </c>
      <c r="I82" s="134">
        <f>GetPatVarnum("s5zf","&amp;a038_03_44")</f>
        <v>0</v>
      </c>
      <c r="J82" s="138">
        <f t="shared" si="91"/>
        <v>0</v>
      </c>
      <c r="K82" s="134">
        <f>GetPatVarnum("s5zf","&amp;A038_04_44")</f>
        <v>0</v>
      </c>
      <c r="L82" s="134">
        <f>GetPatVarnum("s5zf","&amp;a038_05_44")</f>
        <v>0</v>
      </c>
      <c r="M82" s="134">
        <f>GetPatVarnum("s5zf","&amp;a038_06_44")</f>
        <v>0</v>
      </c>
      <c r="N82" s="138">
        <f t="shared" si="92"/>
        <v>0</v>
      </c>
      <c r="O82" s="134">
        <f>GetPatVarnum("s5zf","&amp;038_07_44")</f>
        <v>0</v>
      </c>
      <c r="P82" s="134">
        <f>GetPatVarnum("s5zf","&amp;a038_08_44")</f>
        <v>0</v>
      </c>
      <c r="Q82" s="134">
        <f>GetPatVarnum("s5zf","&amp;a038_09_44")</f>
        <v>0</v>
      </c>
      <c r="R82" s="138">
        <f t="shared" si="93"/>
        <v>0</v>
      </c>
      <c r="S82" s="134">
        <f>GetPatVarnum("s5zf","&amp;A038_10_44")</f>
        <v>0</v>
      </c>
      <c r="T82" s="134">
        <f>GetPatVarnum("s5zf","&amp;a038_11_44")</f>
        <v>0</v>
      </c>
      <c r="U82" s="134">
        <f>GetPatVarnum("s5zf","&amp;a038_12_44")</f>
        <v>0</v>
      </c>
      <c r="V82" s="139">
        <f t="shared" si="94"/>
        <v>0</v>
      </c>
    </row>
    <row r="83" spans="1:22" ht="20.45" customHeight="1" thickBot="1" x14ac:dyDescent="0.25">
      <c r="A83" s="202" t="s">
        <v>15</v>
      </c>
      <c r="B83" s="115" t="s">
        <v>109</v>
      </c>
      <c r="C83" s="151"/>
      <c r="D83" s="114">
        <f>GetPatVarnum("s5zf","&amp;a0380")</f>
        <v>556314.72</v>
      </c>
      <c r="E83" s="190">
        <f>GetPatVarnum("s5zf","&amp;a0381")</f>
        <v>556314.72</v>
      </c>
      <c r="F83" s="112" t="s">
        <v>380</v>
      </c>
      <c r="G83" s="140">
        <f>G80*G$1+(G81+G82)*G$2</f>
        <v>188854.14981785</v>
      </c>
      <c r="H83" s="140">
        <f t="shared" ref="H83:I83" si="95">H80*H$1+(H81+H82)*H$2</f>
        <v>178323.68055963999</v>
      </c>
      <c r="I83" s="140">
        <f t="shared" si="95"/>
        <v>189136.89211725001</v>
      </c>
      <c r="J83" s="141">
        <f t="shared" si="91"/>
        <v>556314.72249474004</v>
      </c>
      <c r="K83" s="140">
        <f>K80*K$1+(K81+K82)*K$2</f>
        <v>0</v>
      </c>
      <c r="L83" s="140">
        <f t="shared" ref="L83:M83" si="96">L80*L$1+(L81+L82)*L$2</f>
        <v>0</v>
      </c>
      <c r="M83" s="140">
        <f t="shared" si="96"/>
        <v>0</v>
      </c>
      <c r="N83" s="141">
        <f t="shared" si="92"/>
        <v>0</v>
      </c>
      <c r="O83" s="140">
        <f>O80*O$1+(O81+O82)*O$2</f>
        <v>0</v>
      </c>
      <c r="P83" s="140">
        <f t="shared" ref="P83:Q83" si="97">P80*P$1+(P81+P82)*P$2</f>
        <v>0</v>
      </c>
      <c r="Q83" s="140">
        <f t="shared" si="97"/>
        <v>0</v>
      </c>
      <c r="R83" s="141">
        <f t="shared" si="93"/>
        <v>0</v>
      </c>
      <c r="S83" s="140">
        <f>S80*S$1+(S81+S82)*S$2</f>
        <v>0</v>
      </c>
      <c r="T83" s="140">
        <f t="shared" ref="T83:U83" si="98">T80*T$1+(T81+T82)*T$2</f>
        <v>0</v>
      </c>
      <c r="U83" s="140">
        <f t="shared" si="98"/>
        <v>0</v>
      </c>
      <c r="V83" s="142">
        <f t="shared" si="94"/>
        <v>0</v>
      </c>
    </row>
    <row r="84" spans="1:22" ht="13.5" customHeight="1" x14ac:dyDescent="0.2">
      <c r="A84" s="529"/>
      <c r="B84" s="495"/>
      <c r="C84" s="119"/>
      <c r="D84" s="491"/>
      <c r="E84" s="521"/>
      <c r="F84" s="130" t="s">
        <v>381</v>
      </c>
      <c r="G84" s="133">
        <f>GetPatVarnum("s5zf","&amp;a039_01_26")</f>
        <v>2267.5700000000002</v>
      </c>
      <c r="H84" s="133">
        <f>GetPatVarnum("s5zf","&amp;a039_02_26")</f>
        <v>3760.46</v>
      </c>
      <c r="I84" s="133">
        <f>GetPatVarnum("s5zf","&amp;a039_03_26")</f>
        <v>3586.99</v>
      </c>
      <c r="J84" s="136">
        <f t="shared" si="91"/>
        <v>9615.02</v>
      </c>
      <c r="K84" s="133">
        <f>GetPatVarnum("s5zf","&amp;a039_04_26")</f>
        <v>0</v>
      </c>
      <c r="L84" s="133">
        <f>GetPatVarnum("s5zf","&amp;a039_05_26")</f>
        <v>0</v>
      </c>
      <c r="M84" s="133">
        <f>GetPatVarnum("s5zf","&amp;a039_06_26")</f>
        <v>0</v>
      </c>
      <c r="N84" s="136">
        <f t="shared" si="92"/>
        <v>0</v>
      </c>
      <c r="O84" s="133">
        <f>GetPatVarnum("s5zf","&amp;a039_07_26")</f>
        <v>0</v>
      </c>
      <c r="P84" s="133">
        <f>GetPatVarnum("s5zf","&amp;a039_08_26")</f>
        <v>0</v>
      </c>
      <c r="Q84" s="133">
        <f>GetPatVarnum("s5zf","&amp;a039_09_26")</f>
        <v>0</v>
      </c>
      <c r="R84" s="136">
        <f t="shared" si="93"/>
        <v>0</v>
      </c>
      <c r="S84" s="133">
        <f>GetPatVarnum("s5zf","&amp;a035_10_26")</f>
        <v>0</v>
      </c>
      <c r="T84" s="133">
        <f>GetPatVarnum("s5zf","&amp;a039_11_26")</f>
        <v>0</v>
      </c>
      <c r="U84" s="133">
        <f>GetPatVarnum("s5zf","&amp;a039_12_26")</f>
        <v>0</v>
      </c>
      <c r="V84" s="137">
        <f t="shared" si="94"/>
        <v>0</v>
      </c>
    </row>
    <row r="85" spans="1:22" ht="13.5" customHeight="1" x14ac:dyDescent="0.2">
      <c r="A85" s="530"/>
      <c r="B85" s="496"/>
      <c r="C85" s="117"/>
      <c r="D85" s="492"/>
      <c r="E85" s="522"/>
      <c r="F85" s="131" t="s">
        <v>382</v>
      </c>
      <c r="G85" s="134">
        <f>GetPatVarnum("s5zf","&amp;a039_01_20")</f>
        <v>656507.59</v>
      </c>
      <c r="H85" s="134">
        <f>GetPatVarnum("s5zf","&amp;a039_02_20")</f>
        <v>663263.31999999995</v>
      </c>
      <c r="I85" s="134">
        <f>GetPatVarnum("s5zf","&amp;a039_03_20")</f>
        <v>654429.99</v>
      </c>
      <c r="J85" s="138">
        <f t="shared" si="91"/>
        <v>1974200.9</v>
      </c>
      <c r="K85" s="134">
        <f>GetPatVarnum("s5zf","&amp;a039_04_20")</f>
        <v>0</v>
      </c>
      <c r="L85" s="134">
        <f>GetPatVarnum("s5zf","&amp;a039_05_20")</f>
        <v>0</v>
      </c>
      <c r="M85" s="134">
        <f>GetPatVarnum("s5zf","&amp;a039_06_20")</f>
        <v>0</v>
      </c>
      <c r="N85" s="138">
        <f t="shared" si="92"/>
        <v>0</v>
      </c>
      <c r="O85" s="134">
        <f>GetPatVarnum("s5zf","&amp;a039_07_20")</f>
        <v>0</v>
      </c>
      <c r="P85" s="134">
        <f>GetPatVarnum("s5zf","&amp;a039_08_20")</f>
        <v>0</v>
      </c>
      <c r="Q85" s="134">
        <f>GetPatVarnum("s5zf","&amp;a039_09_20")</f>
        <v>0</v>
      </c>
      <c r="R85" s="138">
        <f t="shared" si="93"/>
        <v>0</v>
      </c>
      <c r="S85" s="134">
        <f>GetPatVarnum("s5zf","&amp;a039_10_20")</f>
        <v>0</v>
      </c>
      <c r="T85" s="134">
        <f>GetPatVarnum("s5zf","&amp;a039_11_20")</f>
        <v>0</v>
      </c>
      <c r="U85" s="134">
        <f>GetPatVarnum("s5zf","&amp;a039_12_20")</f>
        <v>0</v>
      </c>
      <c r="V85" s="139">
        <f t="shared" si="94"/>
        <v>0</v>
      </c>
    </row>
    <row r="86" spans="1:22" ht="13.5" customHeight="1" x14ac:dyDescent="0.2">
      <c r="A86" s="530"/>
      <c r="B86" s="496"/>
      <c r="C86" s="117"/>
      <c r="D86" s="492"/>
      <c r="E86" s="522"/>
      <c r="F86" s="131" t="s">
        <v>383</v>
      </c>
      <c r="G86" s="134">
        <f>GetPatVarnum("s5zf","&amp;A039_01_44")</f>
        <v>0</v>
      </c>
      <c r="H86" s="134">
        <f>GetPatVarnum("s5zf","&amp;a039_02_44")</f>
        <v>0</v>
      </c>
      <c r="I86" s="134">
        <f>GetPatVarnum("s5zf","&amp;a039_03_44")</f>
        <v>0</v>
      </c>
      <c r="J86" s="138">
        <f t="shared" si="91"/>
        <v>0</v>
      </c>
      <c r="K86" s="134">
        <f>GetPatVarnum("s5zf","&amp;A039_04_44")</f>
        <v>0</v>
      </c>
      <c r="L86" s="134">
        <f>GetPatVarnum("s5zf","&amp;a039_05_44")</f>
        <v>0</v>
      </c>
      <c r="M86" s="134">
        <f>GetPatVarnum("s5zf","&amp;a039_06_44")</f>
        <v>0</v>
      </c>
      <c r="N86" s="138">
        <f t="shared" si="92"/>
        <v>0</v>
      </c>
      <c r="O86" s="134">
        <f>GetPatVarnum("s5zf","&amp;039_07_44")</f>
        <v>0</v>
      </c>
      <c r="P86" s="134">
        <f>GetPatVarnum("s5zf","&amp;a039_08_44")</f>
        <v>0</v>
      </c>
      <c r="Q86" s="134">
        <f>GetPatVarnum("s5zf","&amp;a039_09_44")</f>
        <v>0</v>
      </c>
      <c r="R86" s="138">
        <f t="shared" si="93"/>
        <v>0</v>
      </c>
      <c r="S86" s="134">
        <f>GetPatVarnum("s5zf","&amp;A039_10_44")</f>
        <v>0</v>
      </c>
      <c r="T86" s="134">
        <f>GetPatVarnum("s5zf","&amp;a039_11_44")</f>
        <v>0</v>
      </c>
      <c r="U86" s="134">
        <f>GetPatVarnum("s5zf","&amp;a039_12_44")</f>
        <v>0</v>
      </c>
      <c r="V86" s="139">
        <f t="shared" si="94"/>
        <v>0</v>
      </c>
    </row>
    <row r="87" spans="1:22" ht="31.5" customHeight="1" thickBot="1" x14ac:dyDescent="0.25">
      <c r="A87" s="202" t="s">
        <v>108</v>
      </c>
      <c r="B87" s="115" t="s">
        <v>107</v>
      </c>
      <c r="C87" s="151"/>
      <c r="D87" s="144">
        <f>GetPatVarnum("s5zf","&amp;a0390")</f>
        <v>1980621.08</v>
      </c>
      <c r="E87" s="196">
        <f>GetPatVarnum("s5zf","&amp;a0391")</f>
        <v>1980621.08</v>
      </c>
      <c r="F87" s="112" t="s">
        <v>384</v>
      </c>
      <c r="G87" s="140">
        <f>G84*G$1+(G85+G86)*G$2</f>
        <v>657767.89278035995</v>
      </c>
      <c r="H87" s="140">
        <f t="shared" ref="H87:I87" si="99">H84*H$1+(H85+H86)*H$2</f>
        <v>665879.16719351988</v>
      </c>
      <c r="I87" s="140">
        <f t="shared" si="99"/>
        <v>656974.02308670001</v>
      </c>
      <c r="J87" s="141">
        <f t="shared" si="91"/>
        <v>1980621.0830605798</v>
      </c>
      <c r="K87" s="140">
        <f>K84*K$1+(K85+K86)*K$2</f>
        <v>0</v>
      </c>
      <c r="L87" s="140">
        <f t="shared" ref="L87:M87" si="100">L84*L$1+(L85+L86)*L$2</f>
        <v>0</v>
      </c>
      <c r="M87" s="140">
        <f t="shared" si="100"/>
        <v>0</v>
      </c>
      <c r="N87" s="141">
        <f t="shared" si="92"/>
        <v>0</v>
      </c>
      <c r="O87" s="140">
        <f>O84*O$1+(O85+O86)*O$2</f>
        <v>0</v>
      </c>
      <c r="P87" s="140">
        <f t="shared" ref="P87:Q87" si="101">P84*P$1+(P85+P86)*P$2</f>
        <v>0</v>
      </c>
      <c r="Q87" s="140">
        <f t="shared" si="101"/>
        <v>0</v>
      </c>
      <c r="R87" s="141">
        <f t="shared" si="93"/>
        <v>0</v>
      </c>
      <c r="S87" s="140">
        <f>S84*S$1+(S85+S86)*S$2</f>
        <v>0</v>
      </c>
      <c r="T87" s="140">
        <f t="shared" ref="T87:U87" si="102">T84*T$1+(T85+T86)*T$2</f>
        <v>0</v>
      </c>
      <c r="U87" s="140">
        <f t="shared" si="102"/>
        <v>0</v>
      </c>
      <c r="V87" s="142">
        <f t="shared" si="94"/>
        <v>0</v>
      </c>
    </row>
    <row r="88" spans="1:22" ht="45.6" customHeight="1" x14ac:dyDescent="0.2">
      <c r="A88" s="529"/>
      <c r="B88" s="495"/>
      <c r="C88" s="119"/>
      <c r="D88" s="531"/>
      <c r="E88" s="521"/>
      <c r="F88" s="130" t="s">
        <v>545</v>
      </c>
      <c r="G88" s="133">
        <f>GetPatVarnum("s5zf","&amp;a040_01_26")</f>
        <v>138292.63</v>
      </c>
      <c r="H88" s="133">
        <f>GetPatVarnum("s5zf","&amp;a040_02_26")</f>
        <v>140223.87</v>
      </c>
      <c r="I88" s="133">
        <f>GetPatVarnum("s5zf","&amp;a040_03_26")</f>
        <v>144951.76999999999</v>
      </c>
      <c r="J88" s="136">
        <f t="shared" si="91"/>
        <v>423468.27</v>
      </c>
      <c r="K88" s="133">
        <f>GetPatVarnum("s5zf","&amp;a040_04_26")</f>
        <v>0</v>
      </c>
      <c r="L88" s="133">
        <f>GetPatVarnum("s5zf","&amp;a040_05_26")</f>
        <v>0</v>
      </c>
      <c r="M88" s="133">
        <f>GetPatVarnum("s5zf","&amp;a040_06_26")</f>
        <v>0</v>
      </c>
      <c r="N88" s="136">
        <f t="shared" si="92"/>
        <v>0</v>
      </c>
      <c r="O88" s="133">
        <f>GetPatVarnum("s5zf","&amp;a040_07_26")</f>
        <v>0</v>
      </c>
      <c r="P88" s="133">
        <f>GetPatVarnum("s5zf","&amp;a040_08_26")</f>
        <v>0</v>
      </c>
      <c r="Q88" s="133">
        <f>GetPatVarnum("s5zf","&amp;a040_09_26")</f>
        <v>0</v>
      </c>
      <c r="R88" s="136">
        <f t="shared" si="93"/>
        <v>0</v>
      </c>
      <c r="S88" s="133">
        <f>GetPatVarnum("s5zf","&amp;a040_10_26")</f>
        <v>0</v>
      </c>
      <c r="T88" s="133">
        <f>GetPatVarnum("s5zf","&amp;a040_11_26")</f>
        <v>0</v>
      </c>
      <c r="U88" s="133">
        <f>GetPatVarnum("s5zf","&amp;a040_12_26")</f>
        <v>0</v>
      </c>
      <c r="V88" s="137">
        <f t="shared" si="94"/>
        <v>0</v>
      </c>
    </row>
    <row r="89" spans="1:22" ht="45.6" customHeight="1" x14ac:dyDescent="0.2">
      <c r="A89" s="530"/>
      <c r="B89" s="496"/>
      <c r="C89" s="117"/>
      <c r="D89" s="532"/>
      <c r="E89" s="522"/>
      <c r="F89" s="131" t="s">
        <v>546</v>
      </c>
      <c r="G89" s="134">
        <f>GetPatVarnum("s5zf","&amp;a040_01_20")</f>
        <v>105953.12</v>
      </c>
      <c r="H89" s="134">
        <f>GetPatVarnum("s5zf","&amp;a040_02_20")</f>
        <v>105918.76</v>
      </c>
      <c r="I89" s="134">
        <f>GetPatVarnum("s5zf","&amp;a040_03_20")</f>
        <v>110761.72</v>
      </c>
      <c r="J89" s="138">
        <f t="shared" si="91"/>
        <v>322633.59999999998</v>
      </c>
      <c r="K89" s="134">
        <f>GetPatVarnum("s5zf","&amp;a040_04_20")</f>
        <v>0</v>
      </c>
      <c r="L89" s="134">
        <f>GetPatVarnum("s5zf","&amp;a040_05_20")</f>
        <v>0</v>
      </c>
      <c r="M89" s="134">
        <f>GetPatVarnum("s5zf","&amp;a040_06_20")</f>
        <v>0</v>
      </c>
      <c r="N89" s="138">
        <f t="shared" si="92"/>
        <v>0</v>
      </c>
      <c r="O89" s="134">
        <f>GetPatVarnum("s5zf","&amp;a040_07_20")</f>
        <v>0</v>
      </c>
      <c r="P89" s="134">
        <f>GetPatVarnum("s5zf","&amp;a040_08_20")</f>
        <v>0</v>
      </c>
      <c r="Q89" s="134">
        <f>GetPatVarnum("s5zf","&amp;a040_09_20")</f>
        <v>0</v>
      </c>
      <c r="R89" s="138">
        <f t="shared" si="93"/>
        <v>0</v>
      </c>
      <c r="S89" s="134">
        <f>GetPatVarnum("s5zf","&amp;a040_10_20")</f>
        <v>0</v>
      </c>
      <c r="T89" s="134">
        <f>GetPatVarnum("s5zf","&amp;a040_11_20")</f>
        <v>0</v>
      </c>
      <c r="U89" s="134">
        <f>GetPatVarnum("s5zf","&amp;a040_12_20")</f>
        <v>0</v>
      </c>
      <c r="V89" s="139">
        <f t="shared" si="94"/>
        <v>0</v>
      </c>
    </row>
    <row r="90" spans="1:22" ht="45.6" customHeight="1" x14ac:dyDescent="0.2">
      <c r="A90" s="530"/>
      <c r="B90" s="496"/>
      <c r="C90" s="117"/>
      <c r="D90" s="532"/>
      <c r="E90" s="522"/>
      <c r="F90" s="131" t="s">
        <v>547</v>
      </c>
      <c r="G90" s="134">
        <f>GetPatVarnum("s5zf","&amp;A040_01_44")</f>
        <v>0</v>
      </c>
      <c r="H90" s="134">
        <f>GetPatVarnum("s5zf","&amp;a040_02_44")</f>
        <v>0</v>
      </c>
      <c r="I90" s="134">
        <f>GetPatVarnum("s5zf","&amp;a040_03_44")</f>
        <v>0</v>
      </c>
      <c r="J90" s="138">
        <f t="shared" si="91"/>
        <v>0</v>
      </c>
      <c r="K90" s="134">
        <f>GetPatVarnum("s5zf","&amp;A040_04_44")</f>
        <v>0</v>
      </c>
      <c r="L90" s="134">
        <f>GetPatVarnum("s5zf","&amp;a040_05_44")</f>
        <v>0</v>
      </c>
      <c r="M90" s="134">
        <f>GetPatVarnum("s5zf","&amp;a040_06_44")</f>
        <v>0</v>
      </c>
      <c r="N90" s="138">
        <f t="shared" si="92"/>
        <v>0</v>
      </c>
      <c r="O90" s="134">
        <f>GetPatVarnum("s5zf","&amp;040_07_44")</f>
        <v>0</v>
      </c>
      <c r="P90" s="134">
        <f>GetPatVarnum("s5zf","&amp;a040_08_44")</f>
        <v>0</v>
      </c>
      <c r="Q90" s="134">
        <f>GetPatVarnum("s5zf","&amp;a040_09_44")</f>
        <v>0</v>
      </c>
      <c r="R90" s="138">
        <f t="shared" si="93"/>
        <v>0</v>
      </c>
      <c r="S90" s="134">
        <f>GetPatVarnum("s5zf","&amp;A040_10_44")</f>
        <v>0</v>
      </c>
      <c r="T90" s="134">
        <f>GetPatVarnum("s5zf","&amp;a040_11_44")</f>
        <v>0</v>
      </c>
      <c r="U90" s="134">
        <f>GetPatVarnum("s5zf","&amp;a040_12_44")</f>
        <v>0</v>
      </c>
      <c r="V90" s="139">
        <f t="shared" si="94"/>
        <v>0</v>
      </c>
    </row>
    <row r="91" spans="1:22" ht="24" customHeight="1" thickBot="1" x14ac:dyDescent="0.25">
      <c r="A91" s="204" t="s">
        <v>407</v>
      </c>
      <c r="B91" s="99" t="s">
        <v>106</v>
      </c>
      <c r="C91" s="148"/>
      <c r="D91" s="109">
        <f>GetPatVarnum("s5zf","&amp;a0400")</f>
        <v>744900.73</v>
      </c>
      <c r="E91" s="205">
        <f>GetPatVarnum("s5zf","&amp;a0401")</f>
        <v>744900.73</v>
      </c>
      <c r="F91" s="112" t="s">
        <v>385</v>
      </c>
      <c r="G91" s="140">
        <f>G88*G$1+(G89+G90)*G$2</f>
        <v>243872.29824824998</v>
      </c>
      <c r="H91" s="140">
        <f t="shared" ref="H91:I91" si="103">H88*H$1+(H89+H90)*H$2</f>
        <v>245720.24924691999</v>
      </c>
      <c r="I91" s="140">
        <f t="shared" si="103"/>
        <v>255308.18411834998</v>
      </c>
      <c r="J91" s="141">
        <f t="shared" si="91"/>
        <v>744900.73161351995</v>
      </c>
      <c r="K91" s="140">
        <f>K88*K$1+(K89+K90)*K$2</f>
        <v>0</v>
      </c>
      <c r="L91" s="140">
        <f t="shared" ref="L91:M91" si="104">L88*L$1+(L89+L90)*L$2</f>
        <v>0</v>
      </c>
      <c r="M91" s="140">
        <f t="shared" si="104"/>
        <v>0</v>
      </c>
      <c r="N91" s="141">
        <f t="shared" si="92"/>
        <v>0</v>
      </c>
      <c r="O91" s="140">
        <f>O88*O$1+(O89+O90)*O$2</f>
        <v>0</v>
      </c>
      <c r="P91" s="140">
        <f t="shared" ref="P91:Q91" si="105">P88*P$1+(P89+P90)*P$2</f>
        <v>0</v>
      </c>
      <c r="Q91" s="140">
        <f t="shared" si="105"/>
        <v>0</v>
      </c>
      <c r="R91" s="141">
        <f t="shared" si="93"/>
        <v>0</v>
      </c>
      <c r="S91" s="140">
        <f>S88*S$1+(S89+S90)*S$2</f>
        <v>0</v>
      </c>
      <c r="T91" s="140">
        <f t="shared" ref="T91:U91" si="106">T88*T$1+(T89+T90)*T$2</f>
        <v>0</v>
      </c>
      <c r="U91" s="140">
        <f t="shared" si="106"/>
        <v>0</v>
      </c>
      <c r="V91" s="142">
        <f t="shared" si="94"/>
        <v>0</v>
      </c>
    </row>
    <row r="92" spans="1:22" ht="12.95" customHeight="1" thickBot="1" x14ac:dyDescent="0.25">
      <c r="A92" s="202" t="s">
        <v>105</v>
      </c>
      <c r="B92" s="98"/>
      <c r="C92" s="64"/>
      <c r="D92" s="295"/>
      <c r="E92" s="296"/>
      <c r="F92" s="89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</row>
    <row r="93" spans="1:22" ht="12.95" customHeight="1" x14ac:dyDescent="0.2">
      <c r="A93" s="533"/>
      <c r="B93" s="495"/>
      <c r="C93" s="122"/>
      <c r="D93" s="491"/>
      <c r="E93" s="521"/>
      <c r="F93" s="130" t="s">
        <v>386</v>
      </c>
      <c r="G93" s="133">
        <f>GetPatVarnum("s5zf","&amp;a041_01_26")</f>
        <v>1.79</v>
      </c>
      <c r="H93" s="133">
        <f>GetPatVarnum("s5zf","&amp;a041_02_26")</f>
        <v>9.9499999999999993</v>
      </c>
      <c r="I93" s="133">
        <f>GetPatVarnum("s5zf","&amp;a041_03_26")</f>
        <v>2.4300000000000002</v>
      </c>
      <c r="J93" s="136">
        <f t="shared" ref="J93:J112" si="107">SUM(G93:I93)</f>
        <v>14.169999999999998</v>
      </c>
      <c r="K93" s="133">
        <f>GetPatVarnum("s5zf","&amp;a041_04_26")</f>
        <v>0</v>
      </c>
      <c r="L93" s="133">
        <f>GetPatVarnum("s5zf","&amp;a041_05_26")</f>
        <v>0</v>
      </c>
      <c r="M93" s="133">
        <f>GetPatVarnum("s5zf","&amp;a041_06_26")</f>
        <v>0</v>
      </c>
      <c r="N93" s="136">
        <f t="shared" ref="N93:N112" si="108">SUM(K93:M93)</f>
        <v>0</v>
      </c>
      <c r="O93" s="133">
        <f>GetPatVarnum("s5zf","&amp;a041_07_26")</f>
        <v>0</v>
      </c>
      <c r="P93" s="133">
        <f>GetPatVarnum("s5zf","&amp;a041_08_26")</f>
        <v>0</v>
      </c>
      <c r="Q93" s="133">
        <f>GetPatVarnum("s5zf","&amp;a041_09_26")</f>
        <v>0</v>
      </c>
      <c r="R93" s="136">
        <f t="shared" ref="R93:R112" si="109">SUM(O93:Q93)</f>
        <v>0</v>
      </c>
      <c r="S93" s="133">
        <f>GetPatVarnum("s5zf","&amp;a041_10_26")</f>
        <v>0</v>
      </c>
      <c r="T93" s="133">
        <f>GetPatVarnum("s5zf","&amp;a041_11_26")</f>
        <v>0</v>
      </c>
      <c r="U93" s="133">
        <f>GetPatVarnum("s5zf","&amp;a041_12_26")</f>
        <v>0</v>
      </c>
      <c r="V93" s="137">
        <f t="shared" ref="V93:V112" si="110">SUM(S93:U93)</f>
        <v>0</v>
      </c>
    </row>
    <row r="94" spans="1:22" ht="12.95" customHeight="1" x14ac:dyDescent="0.2">
      <c r="A94" s="534"/>
      <c r="B94" s="496"/>
      <c r="C94" s="121"/>
      <c r="D94" s="492"/>
      <c r="E94" s="522"/>
      <c r="F94" s="131" t="s">
        <v>387</v>
      </c>
      <c r="G94" s="134">
        <f>GetPatVarnum("s5zf","&amp;a041_01_20")</f>
        <v>9275.59</v>
      </c>
      <c r="H94" s="134">
        <f>GetPatVarnum("s5zf","&amp;a041_02_20")</f>
        <v>9206.5300000000007</v>
      </c>
      <c r="I94" s="134">
        <f>GetPatVarnum("s5zf","&amp;a041_03_20")</f>
        <v>9282.8700000000008</v>
      </c>
      <c r="J94" s="138">
        <f t="shared" si="107"/>
        <v>27764.990000000005</v>
      </c>
      <c r="K94" s="134">
        <f>GetPatVarnum("s5zf","&amp;a041_04_20")</f>
        <v>0</v>
      </c>
      <c r="L94" s="134">
        <f>GetPatVarnum("s5zf","&amp;a041_05_20")</f>
        <v>0</v>
      </c>
      <c r="M94" s="134">
        <f>GetPatVarnum("s5zf","&amp;a041_06_20")</f>
        <v>0</v>
      </c>
      <c r="N94" s="138">
        <f t="shared" si="108"/>
        <v>0</v>
      </c>
      <c r="O94" s="134">
        <f>GetPatVarnum("s5zf","&amp;a041_07_20")</f>
        <v>0</v>
      </c>
      <c r="P94" s="134">
        <f>GetPatVarnum("s5zf","&amp;041_08_20")</f>
        <v>0</v>
      </c>
      <c r="Q94" s="134">
        <f>GetPatVarnum("s5zf","&amp;a041_09_20")</f>
        <v>0</v>
      </c>
      <c r="R94" s="138">
        <f t="shared" si="109"/>
        <v>0</v>
      </c>
      <c r="S94" s="134">
        <f>GetPatVarnum("s5zf","&amp;a041_10_20")</f>
        <v>0</v>
      </c>
      <c r="T94" s="134">
        <f>GetPatVarnum("s5zf","&amp;a041_11_20")</f>
        <v>0</v>
      </c>
      <c r="U94" s="134">
        <f>GetPatVarnum("s5zf","&amp;a041_12_20")</f>
        <v>0</v>
      </c>
      <c r="V94" s="139">
        <f t="shared" si="110"/>
        <v>0</v>
      </c>
    </row>
    <row r="95" spans="1:22" ht="12.95" customHeight="1" x14ac:dyDescent="0.2">
      <c r="A95" s="534"/>
      <c r="B95" s="496"/>
      <c r="C95" s="121"/>
      <c r="D95" s="492"/>
      <c r="E95" s="522"/>
      <c r="F95" s="131" t="s">
        <v>388</v>
      </c>
      <c r="G95" s="134">
        <f>GetPatVarnum("s5zf","&amp;A041_01_44")</f>
        <v>0</v>
      </c>
      <c r="H95" s="134">
        <f>GetPatVarnum("s5zf","&amp;a041_02_44")</f>
        <v>0</v>
      </c>
      <c r="I95" s="134">
        <f>GetPatVarnum("s5zf","&amp;a041_03_44")</f>
        <v>0</v>
      </c>
      <c r="J95" s="138">
        <f t="shared" si="107"/>
        <v>0</v>
      </c>
      <c r="K95" s="134">
        <f>GetPatVarnum("s5zf","&amp;A041_04_44")</f>
        <v>0</v>
      </c>
      <c r="L95" s="134">
        <f>GetPatVarnum("s5zf","&amp;a041_05_44")</f>
        <v>0</v>
      </c>
      <c r="M95" s="134">
        <f>GetPatVarnum("s5zf","&amp;a041_06_44")</f>
        <v>0</v>
      </c>
      <c r="N95" s="138">
        <f t="shared" si="108"/>
        <v>0</v>
      </c>
      <c r="O95" s="134">
        <f>GetPatVarnum("s5zf","&amp;A041_07_44")</f>
        <v>0</v>
      </c>
      <c r="P95" s="134">
        <f>GetPatVarnum("s5zf","&amp;a041_08_44")</f>
        <v>0</v>
      </c>
      <c r="Q95" s="134">
        <f>GetPatVarnum("s5zf","&amp;a041_09_44")</f>
        <v>0</v>
      </c>
      <c r="R95" s="138">
        <f t="shared" si="109"/>
        <v>0</v>
      </c>
      <c r="S95" s="134">
        <f>GetPatVarnum("s5zf","&amp;A041_10_44")</f>
        <v>0</v>
      </c>
      <c r="T95" s="134">
        <f>GetPatVarnum("s5zf","&amp;a041_11_44")</f>
        <v>0</v>
      </c>
      <c r="U95" s="134">
        <f>GetPatVarnum("s5zf","&amp;a041_12_44")</f>
        <v>0</v>
      </c>
      <c r="V95" s="139">
        <f t="shared" si="110"/>
        <v>0</v>
      </c>
    </row>
    <row r="96" spans="1:22" ht="14.45" customHeight="1" thickBot="1" x14ac:dyDescent="0.25">
      <c r="A96" s="202" t="s">
        <v>104</v>
      </c>
      <c r="B96" s="115" t="s">
        <v>103</v>
      </c>
      <c r="C96" s="152"/>
      <c r="D96" s="144">
        <f>GetPatVarnum("s5zf","&amp;a0410")</f>
        <v>27734.44</v>
      </c>
      <c r="E96" s="196">
        <f>GetPatVarnum("s5zf","&amp;a0411")</f>
        <v>27734.44</v>
      </c>
      <c r="F96" s="112" t="s">
        <v>389</v>
      </c>
      <c r="G96" s="140">
        <f>G93*G$1+(G94+G95)*G$2</f>
        <v>9263.1948859799995</v>
      </c>
      <c r="H96" s="140">
        <f t="shared" ref="H96:I96" si="111">H93*H$1+(H94+H95)*H$2</f>
        <v>9200.6645203200005</v>
      </c>
      <c r="I96" s="140">
        <f t="shared" si="111"/>
        <v>9270.5827995000018</v>
      </c>
      <c r="J96" s="141">
        <f t="shared" si="107"/>
        <v>27734.442205799998</v>
      </c>
      <c r="K96" s="140">
        <f>K93*K$1+(K94+K95)*K$2</f>
        <v>0</v>
      </c>
      <c r="L96" s="140">
        <f t="shared" ref="L96:M96" si="112">L93*L$1+(L94+L95)*L$2</f>
        <v>0</v>
      </c>
      <c r="M96" s="140">
        <f t="shared" si="112"/>
        <v>0</v>
      </c>
      <c r="N96" s="141">
        <f t="shared" si="108"/>
        <v>0</v>
      </c>
      <c r="O96" s="140">
        <f>O93*O$1+(O94+O95)*O$2</f>
        <v>0</v>
      </c>
      <c r="P96" s="140">
        <f t="shared" ref="P96:Q96" si="113">P93*P$1+(P94+P95)*P$2</f>
        <v>0</v>
      </c>
      <c r="Q96" s="140">
        <f t="shared" si="113"/>
        <v>0</v>
      </c>
      <c r="R96" s="141">
        <f t="shared" si="109"/>
        <v>0</v>
      </c>
      <c r="S96" s="140">
        <f>S93*S$1+(S94+S95)*S$2</f>
        <v>0</v>
      </c>
      <c r="T96" s="140">
        <f t="shared" ref="T96:U96" si="114">T93*T$1+(T94+T95)*T$2</f>
        <v>0</v>
      </c>
      <c r="U96" s="140">
        <f t="shared" si="114"/>
        <v>0</v>
      </c>
      <c r="V96" s="142">
        <f t="shared" si="110"/>
        <v>0</v>
      </c>
    </row>
    <row r="97" spans="1:22" ht="14.45" customHeight="1" x14ac:dyDescent="0.2">
      <c r="A97" s="529"/>
      <c r="B97" s="495"/>
      <c r="C97" s="119"/>
      <c r="D97" s="491"/>
      <c r="E97" s="521"/>
      <c r="F97" s="130" t="s">
        <v>390</v>
      </c>
      <c r="G97" s="133">
        <f>GetPatVarnum("s5zf","&amp;a240_01_26")</f>
        <v>1.79</v>
      </c>
      <c r="H97" s="133">
        <f>GetPatVarnum("s5zf","&amp;a240_02_26")</f>
        <v>9.9499999999999993</v>
      </c>
      <c r="I97" s="133">
        <f>GetPatVarnum("s5zf","&amp;a240_03_26")</f>
        <v>2.4300000000000002</v>
      </c>
      <c r="J97" s="136">
        <f t="shared" si="107"/>
        <v>14.169999999999998</v>
      </c>
      <c r="K97" s="133">
        <f>GetPatVarnum("s5zf","&amp;a240_04_26")</f>
        <v>0</v>
      </c>
      <c r="L97" s="133">
        <f>GetPatVarnum("s5zf","&amp;a240_05_26")</f>
        <v>0</v>
      </c>
      <c r="M97" s="133">
        <f>GetPatVarnum("s5zf","&amp;a240_06_26")</f>
        <v>0</v>
      </c>
      <c r="N97" s="136">
        <f t="shared" si="108"/>
        <v>0</v>
      </c>
      <c r="O97" s="133">
        <f>GetPatVarnum("s5zf","&amp;a230_07_26")</f>
        <v>0</v>
      </c>
      <c r="P97" s="133">
        <f>GetPatVarnum("s5zf","&amp;a240_08_26")</f>
        <v>0</v>
      </c>
      <c r="Q97" s="133">
        <f>GetPatVarnum("s5zf","&amp;a240_09_26")</f>
        <v>0</v>
      </c>
      <c r="R97" s="136">
        <f t="shared" si="109"/>
        <v>0</v>
      </c>
      <c r="S97" s="133">
        <f>GetPatVarnum("s5zf","&amp;a240_10_26")</f>
        <v>0</v>
      </c>
      <c r="T97" s="133">
        <f>GetPatVarnum("s5zf","&amp;a240_11_26")</f>
        <v>0</v>
      </c>
      <c r="U97" s="133">
        <f>GetPatVarnum("s5zf","&amp;a240_12_26")</f>
        <v>0</v>
      </c>
      <c r="V97" s="137">
        <f t="shared" si="110"/>
        <v>0</v>
      </c>
    </row>
    <row r="98" spans="1:22" ht="14.45" customHeight="1" x14ac:dyDescent="0.2">
      <c r="A98" s="530"/>
      <c r="B98" s="496"/>
      <c r="C98" s="117"/>
      <c r="D98" s="492"/>
      <c r="E98" s="522"/>
      <c r="F98" s="131" t="s">
        <v>391</v>
      </c>
      <c r="G98" s="134">
        <f>GetPatVarnum("s5zf","&amp;a240_01_20")</f>
        <v>11010.66</v>
      </c>
      <c r="H98" s="134">
        <f>GetPatVarnum("s5zf","&amp;a240_02_20")</f>
        <v>11000.64</v>
      </c>
      <c r="I98" s="134">
        <f>GetPatVarnum("s5zf","&amp;a240_03_20")</f>
        <v>4665.99</v>
      </c>
      <c r="J98" s="138">
        <f t="shared" si="107"/>
        <v>26677.29</v>
      </c>
      <c r="K98" s="134">
        <f>GetPatVarnum("s5zf","&amp;a240_04_20")</f>
        <v>0</v>
      </c>
      <c r="L98" s="134">
        <f>GetPatVarnum("s5zf","&amp;a240_05_20")</f>
        <v>0</v>
      </c>
      <c r="M98" s="134">
        <f>GetPatVarnum("s5zf","&amp;a240_06_20")</f>
        <v>0</v>
      </c>
      <c r="N98" s="138">
        <f t="shared" si="108"/>
        <v>0</v>
      </c>
      <c r="O98" s="134">
        <f>GetPatVarnum("s5zf","&amp;a200_07_20")</f>
        <v>0</v>
      </c>
      <c r="P98" s="134">
        <f>GetPatVarnum("s5zf","&amp;a240_08_20")</f>
        <v>0</v>
      </c>
      <c r="Q98" s="134">
        <f>GetPatVarnum("s5zf","&amp;a240_09_20")</f>
        <v>0</v>
      </c>
      <c r="R98" s="138">
        <f t="shared" si="109"/>
        <v>0</v>
      </c>
      <c r="S98" s="134">
        <f>GetPatVarnum("s5zf","&amp;a240_10_20")</f>
        <v>0</v>
      </c>
      <c r="T98" s="134">
        <f>GetPatVarnum("s5zf","&amp;a240_11_20")</f>
        <v>0</v>
      </c>
      <c r="U98" s="134">
        <f>GetPatVarnum("s5zf","&amp;a240_12_20")</f>
        <v>0</v>
      </c>
      <c r="V98" s="139">
        <f t="shared" si="110"/>
        <v>0</v>
      </c>
    </row>
    <row r="99" spans="1:22" ht="14.45" customHeight="1" x14ac:dyDescent="0.2">
      <c r="A99" s="530"/>
      <c r="B99" s="496"/>
      <c r="C99" s="117"/>
      <c r="D99" s="492"/>
      <c r="E99" s="522"/>
      <c r="F99" s="131" t="s">
        <v>392</v>
      </c>
      <c r="G99" s="134">
        <f>GetPatVarnum("s5zf","&amp;A240_01_44")</f>
        <v>0</v>
      </c>
      <c r="H99" s="134">
        <f>GetPatVarnum("s5zf","&amp;a240_02_44")</f>
        <v>0</v>
      </c>
      <c r="I99" s="134">
        <f>GetPatVarnum("s5zf","&amp;a240_03_44")</f>
        <v>0</v>
      </c>
      <c r="J99" s="138">
        <f t="shared" si="107"/>
        <v>0</v>
      </c>
      <c r="K99" s="134">
        <f>GetPatVarnum("s5zf","&amp;A240_04_44")</f>
        <v>0</v>
      </c>
      <c r="L99" s="134">
        <f>GetPatVarnum("s5zf","&amp;a240_05_44")</f>
        <v>0</v>
      </c>
      <c r="M99" s="134">
        <f>GetPatVarnum("s5zf","&amp;a240_06_44")</f>
        <v>0</v>
      </c>
      <c r="N99" s="138">
        <f t="shared" si="108"/>
        <v>0</v>
      </c>
      <c r="O99" s="134">
        <f>GetPatVarnum("s5zf","&amp;A240_07_44")</f>
        <v>0</v>
      </c>
      <c r="P99" s="134">
        <f>GetPatVarnum("s5zf","&amp;a240_08_44")</f>
        <v>0</v>
      </c>
      <c r="Q99" s="134">
        <f>GetPatVarnum("s5zf","&amp;a240_09_44")</f>
        <v>0</v>
      </c>
      <c r="R99" s="138">
        <f t="shared" si="109"/>
        <v>0</v>
      </c>
      <c r="S99" s="134">
        <f>GetPatVarnum("s5zf","&amp;A240_10_44")</f>
        <v>0</v>
      </c>
      <c r="T99" s="134">
        <f>GetPatVarnum("s5zf","&amp;a240_11_44")</f>
        <v>0</v>
      </c>
      <c r="U99" s="134">
        <f>GetPatVarnum("s5zf","&amp;a240_12_44")</f>
        <v>0</v>
      </c>
      <c r="V99" s="139">
        <f t="shared" si="110"/>
        <v>0</v>
      </c>
    </row>
    <row r="100" spans="1:22" ht="22.5" customHeight="1" thickBot="1" x14ac:dyDescent="0.25">
      <c r="A100" s="202" t="s">
        <v>237</v>
      </c>
      <c r="B100" s="115" t="s">
        <v>238</v>
      </c>
      <c r="C100" s="151" t="s">
        <v>101</v>
      </c>
      <c r="D100" s="144">
        <f>GetPatVarnum("s5zf","&amp;a2400")</f>
        <v>26648.33</v>
      </c>
      <c r="E100" s="196">
        <f>GetPatVarnum("s5zf","&amp;a2401")</f>
        <v>26648.33</v>
      </c>
      <c r="F100" s="112" t="s">
        <v>393</v>
      </c>
      <c r="G100" s="140">
        <f>G97*G$1+(G98+G99)*G$2</f>
        <v>10995.611963949999</v>
      </c>
      <c r="H100" s="140">
        <f t="shared" ref="H100:I100" si="115">H97*H$1+(H98+H99)*H$2</f>
        <v>10991.695827559999</v>
      </c>
      <c r="I100" s="140">
        <f t="shared" si="115"/>
        <v>4661.0205543000002</v>
      </c>
      <c r="J100" s="141">
        <f t="shared" si="107"/>
        <v>26648.328345810001</v>
      </c>
      <c r="K100" s="140">
        <f>K97*K$1+(K98+K99)*K$2</f>
        <v>0</v>
      </c>
      <c r="L100" s="140">
        <f t="shared" ref="L100:M100" si="116">L97*L$1+(L98+L99)*L$2</f>
        <v>0</v>
      </c>
      <c r="M100" s="140">
        <f t="shared" si="116"/>
        <v>0</v>
      </c>
      <c r="N100" s="141">
        <f t="shared" si="108"/>
        <v>0</v>
      </c>
      <c r="O100" s="140">
        <f>O97*O$1+(O98+O99)*O$2</f>
        <v>0</v>
      </c>
      <c r="P100" s="140">
        <f t="shared" ref="P100:Q100" si="117">P97*P$1+(P98+P99)*P$2</f>
        <v>0</v>
      </c>
      <c r="Q100" s="140">
        <f t="shared" si="117"/>
        <v>0</v>
      </c>
      <c r="R100" s="141">
        <f t="shared" si="109"/>
        <v>0</v>
      </c>
      <c r="S100" s="140">
        <f>S97*S$1+(S98+S99)*S$2</f>
        <v>0</v>
      </c>
      <c r="T100" s="140">
        <f t="shared" ref="T100:U100" si="118">T97*T$1+(T98+T99)*T$2</f>
        <v>0</v>
      </c>
      <c r="U100" s="140">
        <f t="shared" si="118"/>
        <v>0</v>
      </c>
      <c r="V100" s="142">
        <f t="shared" si="110"/>
        <v>0</v>
      </c>
    </row>
    <row r="101" spans="1:22" ht="13.5" customHeight="1" x14ac:dyDescent="0.2">
      <c r="A101" s="529"/>
      <c r="B101" s="495"/>
      <c r="C101" s="119"/>
      <c r="D101" s="491"/>
      <c r="E101" s="521"/>
      <c r="F101" s="130" t="s">
        <v>394</v>
      </c>
      <c r="G101" s="133">
        <f>GetPatVarnum("s5zf","&amp;a042_01_26")</f>
        <v>0</v>
      </c>
      <c r="H101" s="133">
        <f>GetPatVarnum("s5zf","&amp;a042_02_26")</f>
        <v>0</v>
      </c>
      <c r="I101" s="133">
        <f>GetPatVarnum("s5zf","&amp;a042_03_26")</f>
        <v>0</v>
      </c>
      <c r="J101" s="136">
        <f t="shared" si="107"/>
        <v>0</v>
      </c>
      <c r="K101" s="133">
        <f>GetPatVarnum("s5zf","&amp;a042_04_26")</f>
        <v>0</v>
      </c>
      <c r="L101" s="133">
        <f>GetPatVarnum("s5zf","&amp;a042_05_26")</f>
        <v>0</v>
      </c>
      <c r="M101" s="133">
        <f>GetPatVarnum("s5zf","&amp;a042_06_26")</f>
        <v>0</v>
      </c>
      <c r="N101" s="136">
        <f t="shared" si="108"/>
        <v>0</v>
      </c>
      <c r="O101" s="133">
        <f>GetPatVarnum("s5zf","&amp;a042_07_26")</f>
        <v>0</v>
      </c>
      <c r="P101" s="133">
        <f>GetPatVarnum("s5zf","&amp;a042_08_26")</f>
        <v>0</v>
      </c>
      <c r="Q101" s="133">
        <f>GetPatVarnum("s5zf","&amp;a042_09_26")</f>
        <v>0</v>
      </c>
      <c r="R101" s="136">
        <f t="shared" si="109"/>
        <v>0</v>
      </c>
      <c r="S101" s="133">
        <f>GetPatVarnum("s5zf","&amp;a042_10_26")</f>
        <v>0</v>
      </c>
      <c r="T101" s="133">
        <f>GetPatVarnum("s5zf","&amp;a042_11_26")</f>
        <v>0</v>
      </c>
      <c r="U101" s="133">
        <f>GetPatVarnum("s5zf","&amp;a042_12_26")</f>
        <v>0</v>
      </c>
      <c r="V101" s="137">
        <f t="shared" si="110"/>
        <v>0</v>
      </c>
    </row>
    <row r="102" spans="1:22" ht="13.5" customHeight="1" x14ac:dyDescent="0.2">
      <c r="A102" s="530"/>
      <c r="B102" s="496"/>
      <c r="C102" s="117"/>
      <c r="D102" s="492"/>
      <c r="E102" s="522"/>
      <c r="F102" s="131" t="s">
        <v>395</v>
      </c>
      <c r="G102" s="134">
        <f>GetPatVarnum("s5zf","&amp;a042_01_20")</f>
        <v>0</v>
      </c>
      <c r="H102" s="134">
        <f>GetPatVarnum("s5zf","&amp;a042_02_20")</f>
        <v>0</v>
      </c>
      <c r="I102" s="134">
        <f>GetPatVarnum("s5zf","&amp;a042_03_20")</f>
        <v>0</v>
      </c>
      <c r="J102" s="138">
        <f t="shared" si="107"/>
        <v>0</v>
      </c>
      <c r="K102" s="134">
        <f>GetPatVarnum("s5zf","&amp;a042_04_20")</f>
        <v>0</v>
      </c>
      <c r="L102" s="134">
        <f>GetPatVarnum("s5zf","&amp;a042_05_20")</f>
        <v>0</v>
      </c>
      <c r="M102" s="134">
        <f>GetPatVarnum("s5zf","&amp;a042_06_20")</f>
        <v>0</v>
      </c>
      <c r="N102" s="138">
        <f t="shared" si="108"/>
        <v>0</v>
      </c>
      <c r="O102" s="134">
        <f>GetPatVarnum("s5zf","&amp;a042_07_20")</f>
        <v>0</v>
      </c>
      <c r="P102" s="134">
        <f>GetPatVarnum("s5zf","&amp;a042_08_20")</f>
        <v>0</v>
      </c>
      <c r="Q102" s="134">
        <f>GetPatVarnum("s5zf","&amp;a042_09_20")</f>
        <v>0</v>
      </c>
      <c r="R102" s="138">
        <f t="shared" si="109"/>
        <v>0</v>
      </c>
      <c r="S102" s="134">
        <f>GetPatVarnum("s5zf","&amp;a042_10_20")</f>
        <v>0</v>
      </c>
      <c r="T102" s="134">
        <f>GetPatVarnum("s5zf","&amp;a042_11_20")</f>
        <v>0</v>
      </c>
      <c r="U102" s="134">
        <f>GetPatVarnum("s5zf","&amp;a042_12_20")</f>
        <v>0</v>
      </c>
      <c r="V102" s="139">
        <f t="shared" si="110"/>
        <v>0</v>
      </c>
    </row>
    <row r="103" spans="1:22" ht="13.5" customHeight="1" x14ac:dyDescent="0.2">
      <c r="A103" s="530"/>
      <c r="B103" s="496"/>
      <c r="C103" s="117"/>
      <c r="D103" s="492"/>
      <c r="E103" s="522"/>
      <c r="F103" s="131" t="s">
        <v>396</v>
      </c>
      <c r="G103" s="134">
        <f>GetPatVarnum("s5zf","&amp;A042_01_44")</f>
        <v>0</v>
      </c>
      <c r="H103" s="134">
        <f>GetPatVarnum("s5zf","&amp;a042_02_44")</f>
        <v>0</v>
      </c>
      <c r="I103" s="134">
        <f>GetPatVarnum("s5zf","&amp;a042_03_44")</f>
        <v>0</v>
      </c>
      <c r="J103" s="138">
        <f t="shared" si="107"/>
        <v>0</v>
      </c>
      <c r="K103" s="134">
        <f>GetPatVarnum("s5zf","&amp;A042_04_44")</f>
        <v>0</v>
      </c>
      <c r="L103" s="134">
        <f>GetPatVarnum("s5zf","&amp;a042_05_44")</f>
        <v>0</v>
      </c>
      <c r="M103" s="134">
        <f>GetPatVarnum("s5zf","&amp;a042_06_44")</f>
        <v>0</v>
      </c>
      <c r="N103" s="138">
        <f t="shared" si="108"/>
        <v>0</v>
      </c>
      <c r="O103" s="134">
        <f>GetPatVarnum("s5zf","&amp;A042_07_44")</f>
        <v>0</v>
      </c>
      <c r="P103" s="134">
        <f>GetPatVarnum("s5zf","&amp;a042_08_44")</f>
        <v>0</v>
      </c>
      <c r="Q103" s="134">
        <f>GetPatVarnum("s5zf","&amp;a042_09_44")</f>
        <v>0</v>
      </c>
      <c r="R103" s="138">
        <f t="shared" si="109"/>
        <v>0</v>
      </c>
      <c r="S103" s="134">
        <f>GetPatVarnum("s5zf","&amp;A042_10_44")</f>
        <v>0</v>
      </c>
      <c r="T103" s="134">
        <f>GetPatVarnum("s5zf","&amp;a042_11_44")</f>
        <v>0</v>
      </c>
      <c r="U103" s="134">
        <f>GetPatVarnum("s5zf","&amp;a042_12_44")</f>
        <v>0</v>
      </c>
      <c r="V103" s="139">
        <f t="shared" si="110"/>
        <v>0</v>
      </c>
    </row>
    <row r="104" spans="1:22" ht="22.5" customHeight="1" thickBot="1" x14ac:dyDescent="0.25">
      <c r="A104" s="202" t="s">
        <v>246</v>
      </c>
      <c r="B104" s="115" t="s">
        <v>102</v>
      </c>
      <c r="C104" s="151" t="s">
        <v>101</v>
      </c>
      <c r="D104" s="144">
        <f>GetPatVarnum("s5zf","&amp;a0420")</f>
        <v>0</v>
      </c>
      <c r="E104" s="196">
        <f>GetPatVarnum("s5zf","&amp;a0421")</f>
        <v>0</v>
      </c>
      <c r="F104" s="112" t="s">
        <v>397</v>
      </c>
      <c r="G104" s="140">
        <f>G101*G$1+(G102+G103)*G$2</f>
        <v>0</v>
      </c>
      <c r="H104" s="140">
        <f t="shared" ref="H104:I104" si="119">H101*H$1+(H102+H103)*H$2</f>
        <v>0</v>
      </c>
      <c r="I104" s="140">
        <f t="shared" si="119"/>
        <v>0</v>
      </c>
      <c r="J104" s="141">
        <f t="shared" si="107"/>
        <v>0</v>
      </c>
      <c r="K104" s="140">
        <f>K101*K$1+(K102+K103)*K$2</f>
        <v>0</v>
      </c>
      <c r="L104" s="140">
        <f t="shared" ref="L104:M104" si="120">L101*L$1+(L102+L103)*L$2</f>
        <v>0</v>
      </c>
      <c r="M104" s="140">
        <f t="shared" si="120"/>
        <v>0</v>
      </c>
      <c r="N104" s="141">
        <f t="shared" si="108"/>
        <v>0</v>
      </c>
      <c r="O104" s="140">
        <f>O101*O$1+(O102+O103)*O$2</f>
        <v>0</v>
      </c>
      <c r="P104" s="140">
        <f t="shared" ref="P104:Q104" si="121">P101*P$1+(P102+P103)*P$2</f>
        <v>0</v>
      </c>
      <c r="Q104" s="140">
        <f t="shared" si="121"/>
        <v>0</v>
      </c>
      <c r="R104" s="141">
        <f t="shared" si="109"/>
        <v>0</v>
      </c>
      <c r="S104" s="140">
        <f>S101*S$1+(S102+S103)*S$2</f>
        <v>0</v>
      </c>
      <c r="T104" s="140">
        <f t="shared" ref="T104:U104" si="122">T101*T$1+(T102+T103)*T$2</f>
        <v>0</v>
      </c>
      <c r="U104" s="140">
        <f t="shared" si="122"/>
        <v>0</v>
      </c>
      <c r="V104" s="142">
        <f t="shared" si="110"/>
        <v>0</v>
      </c>
    </row>
    <row r="105" spans="1:22" ht="13.5" customHeight="1" x14ac:dyDescent="0.2">
      <c r="A105" s="529"/>
      <c r="B105" s="495"/>
      <c r="C105" s="119"/>
      <c r="D105" s="491"/>
      <c r="E105" s="521"/>
      <c r="F105" s="130" t="s">
        <v>398</v>
      </c>
      <c r="G105" s="133">
        <f>GetPatVarnum("s5zf","&amp;a043_01_26")</f>
        <v>108</v>
      </c>
      <c r="H105" s="133">
        <f>GetPatVarnum("s5zf","&amp;a043_02_26")</f>
        <v>153</v>
      </c>
      <c r="I105" s="133">
        <f>GetPatVarnum("s5zf","&amp;a043_03_26")</f>
        <v>342</v>
      </c>
      <c r="J105" s="136">
        <f t="shared" si="107"/>
        <v>603</v>
      </c>
      <c r="K105" s="133">
        <f>GetPatVarnum("s5zf","&amp;a043_04_26")</f>
        <v>0</v>
      </c>
      <c r="L105" s="133">
        <f>GetPatVarnum("s5zf","&amp;a043_05_26")</f>
        <v>0</v>
      </c>
      <c r="M105" s="133">
        <f>GetPatVarnum("s5zf","&amp;a043_06_26")</f>
        <v>0</v>
      </c>
      <c r="N105" s="136">
        <f t="shared" si="108"/>
        <v>0</v>
      </c>
      <c r="O105" s="133">
        <f>GetPatVarnum("s5zf","&amp;a043_07_26")</f>
        <v>0</v>
      </c>
      <c r="P105" s="133">
        <f>GetPatVarnum("s5zf","&amp;a043_08_26")</f>
        <v>0</v>
      </c>
      <c r="Q105" s="133">
        <f>GetPatVarnum("s5zf","&amp;a043_09_26")</f>
        <v>0</v>
      </c>
      <c r="R105" s="136">
        <f t="shared" si="109"/>
        <v>0</v>
      </c>
      <c r="S105" s="133">
        <f>GetPatVarnum("s5zf","&amp;a043_10_26")</f>
        <v>0</v>
      </c>
      <c r="T105" s="133">
        <f>GetPatVarnum("s5zf","&amp;a043_11_26")</f>
        <v>0</v>
      </c>
      <c r="U105" s="133">
        <f>GetPatVarnum("s5zf","&amp;a043_12_26")</f>
        <v>0</v>
      </c>
      <c r="V105" s="137">
        <f t="shared" si="110"/>
        <v>0</v>
      </c>
    </row>
    <row r="106" spans="1:22" ht="13.5" customHeight="1" x14ac:dyDescent="0.2">
      <c r="A106" s="530"/>
      <c r="B106" s="496"/>
      <c r="C106" s="117"/>
      <c r="D106" s="492"/>
      <c r="E106" s="522"/>
      <c r="F106" s="131" t="s">
        <v>399</v>
      </c>
      <c r="G106" s="134">
        <f>GetPatVarnum("s5zf","&amp;a043_01_20")</f>
        <v>936</v>
      </c>
      <c r="H106" s="134">
        <f>GetPatVarnum("s5zf","&amp;a043_02_20")</f>
        <v>1215</v>
      </c>
      <c r="I106" s="134">
        <f>GetPatVarnum("s5zf","&amp;a043_03_20")</f>
        <v>1611</v>
      </c>
      <c r="J106" s="138">
        <f t="shared" si="107"/>
        <v>3762</v>
      </c>
      <c r="K106" s="134">
        <f>GetPatVarnum("s5zf","&amp;a043_04_20")</f>
        <v>0</v>
      </c>
      <c r="L106" s="134">
        <f>GetPatVarnum("s5zf","&amp;a043_05_20")</f>
        <v>0</v>
      </c>
      <c r="M106" s="134">
        <f>GetPatVarnum("s5zf","&amp;a043_06_20")</f>
        <v>0</v>
      </c>
      <c r="N106" s="138">
        <f t="shared" si="108"/>
        <v>0</v>
      </c>
      <c r="O106" s="134">
        <f>GetPatVarnum("s5zf","&amp;a043_07_20")</f>
        <v>0</v>
      </c>
      <c r="P106" s="134">
        <f>GetPatVarnum("s5zf","&amp;a043_08_20")</f>
        <v>0</v>
      </c>
      <c r="Q106" s="134">
        <f>GetPatVarnum("s5zf","&amp;a043_09_20")</f>
        <v>0</v>
      </c>
      <c r="R106" s="138">
        <f t="shared" si="109"/>
        <v>0</v>
      </c>
      <c r="S106" s="134">
        <f>GetPatVarnum("s5zf","&amp;a043_10_20")</f>
        <v>0</v>
      </c>
      <c r="T106" s="134">
        <f>GetPatVarnum("s5zf","&amp;a043_11_20")</f>
        <v>0</v>
      </c>
      <c r="U106" s="134">
        <f>GetPatVarnum("s5zf","&amp;a043_12_20")</f>
        <v>0</v>
      </c>
      <c r="V106" s="139">
        <f t="shared" si="110"/>
        <v>0</v>
      </c>
    </row>
    <row r="107" spans="1:22" ht="13.5" customHeight="1" x14ac:dyDescent="0.2">
      <c r="A107" s="530"/>
      <c r="B107" s="496"/>
      <c r="C107" s="117"/>
      <c r="D107" s="492"/>
      <c r="E107" s="522"/>
      <c r="F107" s="131" t="s">
        <v>400</v>
      </c>
      <c r="G107" s="134">
        <f>GetPatVarnum("s5zf","&amp;A043_01_44")</f>
        <v>0</v>
      </c>
      <c r="H107" s="134">
        <f>GetPatVarnum("s5zf","&amp;a043_02_44")</f>
        <v>0</v>
      </c>
      <c r="I107" s="134">
        <f>GetPatVarnum("s5zf","&amp;a043_03_44")</f>
        <v>0</v>
      </c>
      <c r="J107" s="138">
        <f t="shared" si="107"/>
        <v>0</v>
      </c>
      <c r="K107" s="134">
        <f>GetPatVarnum("s5zf","&amp;A043_04_44")</f>
        <v>0</v>
      </c>
      <c r="L107" s="134">
        <f>GetPatVarnum("s5zf","&amp;a043_05_44")</f>
        <v>0</v>
      </c>
      <c r="M107" s="134">
        <f>GetPatVarnum("s5zf","&amp;a043_06_44")</f>
        <v>0</v>
      </c>
      <c r="N107" s="138">
        <f t="shared" si="108"/>
        <v>0</v>
      </c>
      <c r="O107" s="134">
        <f>GetPatVarnum("s5zf","&amp;A043_07_44")</f>
        <v>0</v>
      </c>
      <c r="P107" s="134">
        <f>GetPatVarnum("s5zf","&amp;a043_08_44")</f>
        <v>0</v>
      </c>
      <c r="Q107" s="134">
        <f>GetPatVarnum("s5zf","&amp;a043_09_44")</f>
        <v>0</v>
      </c>
      <c r="R107" s="138">
        <f t="shared" si="109"/>
        <v>0</v>
      </c>
      <c r="S107" s="134">
        <f>GetPatVarnum("s5zf","&amp;A043_10_44")</f>
        <v>0</v>
      </c>
      <c r="T107" s="134">
        <f>GetPatVarnum("s5zf","&amp;a043_11_44")</f>
        <v>0</v>
      </c>
      <c r="U107" s="134">
        <f>GetPatVarnum("s5zf","&amp;a043_12_44")</f>
        <v>0</v>
      </c>
      <c r="V107" s="139">
        <f t="shared" si="110"/>
        <v>0</v>
      </c>
    </row>
    <row r="108" spans="1:22" ht="15.95" customHeight="1" thickBot="1" x14ac:dyDescent="0.25">
      <c r="A108" s="202" t="s">
        <v>100</v>
      </c>
      <c r="B108" s="115" t="s">
        <v>99</v>
      </c>
      <c r="C108" s="148"/>
      <c r="D108" s="144">
        <f>GetPatVarnum("s5zf","&amp;a0430")</f>
        <v>4357.96</v>
      </c>
      <c r="E108" s="196">
        <f>GetPatVarnum("s5zf","&amp;a0431")</f>
        <v>4357.96</v>
      </c>
      <c r="F108" s="112" t="s">
        <v>401</v>
      </c>
      <c r="G108" s="140">
        <f>G105*G$1+(G106+G107)*G$2</f>
        <v>1042.403724</v>
      </c>
      <c r="H108" s="140">
        <f t="shared" ref="H108:I108" si="123">H105*H$1+(H106+H107)*H$2</f>
        <v>1365.6525120000001</v>
      </c>
      <c r="I108" s="140">
        <f t="shared" si="123"/>
        <v>1949.9044950000002</v>
      </c>
      <c r="J108" s="141">
        <f t="shared" si="107"/>
        <v>4357.960731000001</v>
      </c>
      <c r="K108" s="140">
        <f>K105*K$1+(K106+K107)*K$2</f>
        <v>0</v>
      </c>
      <c r="L108" s="140">
        <f t="shared" ref="L108:M108" si="124">L105*L$1+(L106+L107)*L$2</f>
        <v>0</v>
      </c>
      <c r="M108" s="140">
        <f t="shared" si="124"/>
        <v>0</v>
      </c>
      <c r="N108" s="141">
        <f t="shared" si="108"/>
        <v>0</v>
      </c>
      <c r="O108" s="140">
        <f>O105*O$1+(O106+O107)*O$2</f>
        <v>0</v>
      </c>
      <c r="P108" s="140">
        <f t="shared" ref="P108:Q108" si="125">P105*P$1+(P106+P107)*P$2</f>
        <v>0</v>
      </c>
      <c r="Q108" s="140">
        <f t="shared" si="125"/>
        <v>0</v>
      </c>
      <c r="R108" s="141">
        <f t="shared" si="109"/>
        <v>0</v>
      </c>
      <c r="S108" s="140">
        <f>S105*S$1+(S106+S107)*S$2</f>
        <v>0</v>
      </c>
      <c r="T108" s="140">
        <f t="shared" ref="T108:U108" si="126">T105*T$1+(T106+T107)*T$2</f>
        <v>0</v>
      </c>
      <c r="U108" s="140">
        <f t="shared" si="126"/>
        <v>0</v>
      </c>
      <c r="V108" s="142">
        <f t="shared" si="110"/>
        <v>0</v>
      </c>
    </row>
    <row r="109" spans="1:22" ht="15.95" customHeight="1" x14ac:dyDescent="0.2">
      <c r="A109" s="533"/>
      <c r="B109" s="495"/>
      <c r="C109" s="117"/>
      <c r="D109" s="531"/>
      <c r="E109" s="493"/>
      <c r="F109" s="130" t="s">
        <v>548</v>
      </c>
      <c r="G109" s="133">
        <f>GetPatVarnum("s5zf","&amp;a044_01_26")</f>
        <v>128014.19</v>
      </c>
      <c r="H109" s="133">
        <f>GetPatVarnum("s5zf","&amp;a044_02_26")</f>
        <v>130747.74</v>
      </c>
      <c r="I109" s="133">
        <f>GetPatVarnum("s5zf","&amp;a044_03_26")</f>
        <v>135637.07</v>
      </c>
      <c r="J109" s="136">
        <f t="shared" si="107"/>
        <v>394399</v>
      </c>
      <c r="K109" s="133">
        <f>GetPatVarnum("s5zf","&amp;a044_04_26")</f>
        <v>0</v>
      </c>
      <c r="L109" s="133">
        <f>GetPatVarnum("s5zf","&amp;a044_05_26")</f>
        <v>0</v>
      </c>
      <c r="M109" s="133">
        <f>GetPatVarnum("s5zf","&amp;a044_06_26")</f>
        <v>0</v>
      </c>
      <c r="N109" s="136">
        <f t="shared" si="108"/>
        <v>0</v>
      </c>
      <c r="O109" s="133">
        <f>GetPatVarnum("s5zf","&amp;a044_07_26")</f>
        <v>0</v>
      </c>
      <c r="P109" s="133">
        <f>GetPatVarnum("s5zf","&amp;a044_08_26")</f>
        <v>0</v>
      </c>
      <c r="Q109" s="133">
        <f>GetPatVarnum("s5zf","&amp;a044_09_26")</f>
        <v>0</v>
      </c>
      <c r="R109" s="136">
        <f t="shared" si="109"/>
        <v>0</v>
      </c>
      <c r="S109" s="133">
        <f>GetPatVarnum("s5zf","&amp;a044_10_26")</f>
        <v>0</v>
      </c>
      <c r="T109" s="133">
        <f>GetPatVarnum("s5zf","&amp;a044_11_26")</f>
        <v>0</v>
      </c>
      <c r="U109" s="133">
        <f>GetPatVarnum("s5zf","&amp;a044_12_26")</f>
        <v>0</v>
      </c>
      <c r="V109" s="137">
        <f t="shared" si="110"/>
        <v>0</v>
      </c>
    </row>
    <row r="110" spans="1:22" ht="15.95" customHeight="1" x14ac:dyDescent="0.2">
      <c r="A110" s="534"/>
      <c r="B110" s="496"/>
      <c r="C110" s="117"/>
      <c r="D110" s="532"/>
      <c r="E110" s="494"/>
      <c r="F110" s="131" t="s">
        <v>549</v>
      </c>
      <c r="G110" s="134">
        <f>GetPatVarnum("s5zf","&amp;a044_01_20")</f>
        <v>46410.23</v>
      </c>
      <c r="H110" s="134">
        <f>GetPatVarnum("s5zf","&amp;a044_02_20")</f>
        <v>42864.37</v>
      </c>
      <c r="I110" s="134">
        <f>GetPatVarnum("s5zf","&amp;a044_03_20")</f>
        <v>46591.73</v>
      </c>
      <c r="J110" s="138">
        <f t="shared" si="107"/>
        <v>135866.33000000002</v>
      </c>
      <c r="K110" s="134">
        <f>GetPatVarnum("s5zf","&amp;a040_04_20")</f>
        <v>0</v>
      </c>
      <c r="L110" s="134">
        <f>GetPatVarnum("s5zf","&amp;a044_05_20")</f>
        <v>0</v>
      </c>
      <c r="M110" s="134">
        <f>GetPatVarnum("s5zf","&amp;a044_06_20")</f>
        <v>0</v>
      </c>
      <c r="N110" s="138">
        <f t="shared" si="108"/>
        <v>0</v>
      </c>
      <c r="O110" s="134">
        <f>GetPatVarnum("s5zf","&amp;a044_07_20")</f>
        <v>0</v>
      </c>
      <c r="P110" s="134">
        <f>GetPatVarnum("s5zf","&amp;a044_08_20")</f>
        <v>0</v>
      </c>
      <c r="Q110" s="134">
        <f>GetPatVarnum("s5zf","&amp;a044_09_20")</f>
        <v>0</v>
      </c>
      <c r="R110" s="138">
        <f t="shared" si="109"/>
        <v>0</v>
      </c>
      <c r="S110" s="134">
        <f>GetPatVarnum("s5zf","&amp;a044_10_20")</f>
        <v>0</v>
      </c>
      <c r="T110" s="134">
        <f>GetPatVarnum("s5zf","&amp;a044_11_20")</f>
        <v>0</v>
      </c>
      <c r="U110" s="134">
        <f>GetPatVarnum("s5zf","&amp;a044_12_20")</f>
        <v>0</v>
      </c>
      <c r="V110" s="139">
        <f t="shared" si="110"/>
        <v>0</v>
      </c>
    </row>
    <row r="111" spans="1:22" ht="15.95" customHeight="1" x14ac:dyDescent="0.2">
      <c r="A111" s="534"/>
      <c r="B111" s="496"/>
      <c r="C111" s="117"/>
      <c r="D111" s="532"/>
      <c r="E111" s="494"/>
      <c r="F111" s="131" t="s">
        <v>550</v>
      </c>
      <c r="G111" s="134">
        <f>GetPatVarnum("s5zf","&amp;A044_01_44")</f>
        <v>0</v>
      </c>
      <c r="H111" s="134">
        <f>GetPatVarnum("s5zf","&amp;a044_02_44")</f>
        <v>0</v>
      </c>
      <c r="I111" s="134">
        <f>GetPatVarnum("s5zf","&amp;a044_03_44")</f>
        <v>0</v>
      </c>
      <c r="J111" s="138">
        <f t="shared" si="107"/>
        <v>0</v>
      </c>
      <c r="K111" s="134">
        <f>GetPatVarnum("s5zf","&amp;A044_04_44")</f>
        <v>0</v>
      </c>
      <c r="L111" s="134">
        <f>GetPatVarnum("s5zf","&amp;a044_05_44")</f>
        <v>0</v>
      </c>
      <c r="M111" s="134">
        <f>GetPatVarnum("s5zf","&amp;a044_06_44")</f>
        <v>0</v>
      </c>
      <c r="N111" s="138">
        <f t="shared" si="108"/>
        <v>0</v>
      </c>
      <c r="O111" s="134">
        <f>GetPatVarnum("s5zf","&amp;A044_07_44")</f>
        <v>0</v>
      </c>
      <c r="P111" s="134">
        <f>GetPatVarnum("s5zf","&amp;a044_08_44")</f>
        <v>0</v>
      </c>
      <c r="Q111" s="134">
        <f>GetPatVarnum("s5zf","&amp;a044_09_44")</f>
        <v>0</v>
      </c>
      <c r="R111" s="138">
        <f t="shared" si="109"/>
        <v>0</v>
      </c>
      <c r="S111" s="134">
        <f>GetPatVarnum("s5zf","&amp;A044_10_44")</f>
        <v>0</v>
      </c>
      <c r="T111" s="134">
        <f>GetPatVarnum("s5zf","&amp;a044_11_44")</f>
        <v>0</v>
      </c>
      <c r="U111" s="134">
        <f>GetPatVarnum("s5zf","&amp;a044_12_44")</f>
        <v>0</v>
      </c>
      <c r="V111" s="139">
        <f t="shared" si="110"/>
        <v>0</v>
      </c>
    </row>
    <row r="112" spans="1:22" ht="26.45" customHeight="1" thickBot="1" x14ac:dyDescent="0.25">
      <c r="A112" s="301" t="s">
        <v>483</v>
      </c>
      <c r="B112" s="206" t="s">
        <v>98</v>
      </c>
      <c r="C112" s="207"/>
      <c r="D112" s="208">
        <f>GetPatVarnum("s5zf","&amp;a0440")</f>
        <v>529411.88</v>
      </c>
      <c r="E112" s="209">
        <f>GetPatVarnum("s5zf","&amp;a0441")</f>
        <v>529411.88</v>
      </c>
      <c r="F112" s="112" t="s">
        <v>402</v>
      </c>
      <c r="G112" s="140">
        <f>G109*G$1+(G110+G111)*G$2</f>
        <v>174157.72506182001</v>
      </c>
      <c r="H112" s="140">
        <f t="shared" ref="H112:I112" si="127">H109*H$1+(H110+H111)*H$2</f>
        <v>173314.19161923998</v>
      </c>
      <c r="I112" s="140">
        <f t="shared" si="127"/>
        <v>181939.96735200001</v>
      </c>
      <c r="J112" s="141">
        <f t="shared" si="107"/>
        <v>529411.88403305993</v>
      </c>
      <c r="K112" s="140">
        <f>K109*K$1+(K110+K111)*K$2</f>
        <v>0</v>
      </c>
      <c r="L112" s="140">
        <f t="shared" ref="L112:M112" si="128">L109*L$1+(L110+L111)*L$2</f>
        <v>0</v>
      </c>
      <c r="M112" s="140">
        <f t="shared" si="128"/>
        <v>0</v>
      </c>
      <c r="N112" s="141">
        <f t="shared" si="108"/>
        <v>0</v>
      </c>
      <c r="O112" s="140">
        <f>O109*O$1+(O110+O111)*O$2</f>
        <v>0</v>
      </c>
      <c r="P112" s="140">
        <f t="shared" ref="P112:Q112" si="129">P109*P$1+(P110+P111)*P$2</f>
        <v>0</v>
      </c>
      <c r="Q112" s="140">
        <f t="shared" si="129"/>
        <v>0</v>
      </c>
      <c r="R112" s="141">
        <f t="shared" si="109"/>
        <v>0</v>
      </c>
      <c r="S112" s="140">
        <f>S109*S$1+(S110+S111)*S$2</f>
        <v>0</v>
      </c>
      <c r="T112" s="140">
        <f t="shared" ref="T112:U112" si="130">T109*T$1+(T110+T111)*T$2</f>
        <v>0</v>
      </c>
      <c r="U112" s="140">
        <f t="shared" si="130"/>
        <v>0</v>
      </c>
      <c r="V112" s="142">
        <f t="shared" si="110"/>
        <v>0</v>
      </c>
    </row>
    <row r="113" spans="1:22" ht="23.45" customHeight="1" x14ac:dyDescent="0.2">
      <c r="A113" s="178" t="s">
        <v>40</v>
      </c>
      <c r="B113" s="179" t="s">
        <v>39</v>
      </c>
      <c r="C113" s="180"/>
      <c r="D113" s="310"/>
      <c r="E113" s="210" t="s">
        <v>97</v>
      </c>
      <c r="F113" s="89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</row>
    <row r="114" spans="1:22" ht="10.5" customHeight="1" thickBot="1" x14ac:dyDescent="0.25">
      <c r="A114" s="211" t="s">
        <v>36</v>
      </c>
      <c r="B114" s="123" t="s">
        <v>35</v>
      </c>
      <c r="C114" s="63"/>
      <c r="D114" s="125">
        <v>2</v>
      </c>
      <c r="E114" s="297">
        <v>2</v>
      </c>
      <c r="F114" s="89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</row>
    <row r="115" spans="1:22" ht="19.149999999999999" customHeight="1" x14ac:dyDescent="0.2">
      <c r="A115" s="535"/>
      <c r="B115" s="537"/>
      <c r="C115" s="124"/>
      <c r="D115" s="503"/>
      <c r="E115" s="505"/>
      <c r="F115" s="130" t="s">
        <v>403</v>
      </c>
      <c r="G115" s="133">
        <f>GetPatVarnum("s5zf","&amp;a045_01_26")</f>
        <v>0</v>
      </c>
      <c r="H115" s="133">
        <f>GetPatVarnum("s5zf","&amp;a045_02_26")</f>
        <v>0</v>
      </c>
      <c r="I115" s="133">
        <f>GetPatVarnum("s5zf","&amp;a045_03_26")</f>
        <v>0</v>
      </c>
      <c r="J115" s="136">
        <f t="shared" ref="J115:J117" si="131">SUM(G115:I115)</f>
        <v>0</v>
      </c>
      <c r="K115" s="133">
        <f>GetPatVarnum("s5zf","&amp;a045_04_26")</f>
        <v>0</v>
      </c>
      <c r="L115" s="133">
        <f>GetPatVarnum("s5zf","&amp;a045_05_26")</f>
        <v>0</v>
      </c>
      <c r="M115" s="133">
        <f>GetPatVarnum("s5zf","&amp;a045_06_26")</f>
        <v>0</v>
      </c>
      <c r="N115" s="136">
        <f t="shared" ref="N115:N117" si="132">SUM(K115:M115)</f>
        <v>0</v>
      </c>
      <c r="O115" s="133">
        <f>GetPatVarnum("s5zf","&amp;a045_07_26")</f>
        <v>0</v>
      </c>
      <c r="P115" s="133">
        <f>GetPatVarnum("s5zf","&amp;a045_08_26")</f>
        <v>0</v>
      </c>
      <c r="Q115" s="133">
        <f>GetPatVarnum("s5zf","&amp;a045_09_26")</f>
        <v>0</v>
      </c>
      <c r="R115" s="136">
        <f t="shared" ref="R115:R117" si="133">SUM(O115:Q115)</f>
        <v>0</v>
      </c>
      <c r="S115" s="133">
        <f>GetPatVarnum("s5zf","&amp;a045_10_26")</f>
        <v>0</v>
      </c>
      <c r="T115" s="133">
        <f>GetPatVarnum("s5zf","&amp;a045_11_26")</f>
        <v>0</v>
      </c>
      <c r="U115" s="133">
        <f>GetPatVarnum("s5zf","&amp;a045_12_26")</f>
        <v>0</v>
      </c>
      <c r="V115" s="137">
        <f t="shared" ref="V115:V126" si="134">SUM(S115:U115)</f>
        <v>0</v>
      </c>
    </row>
    <row r="116" spans="1:22" ht="19.149999999999999" customHeight="1" x14ac:dyDescent="0.2">
      <c r="A116" s="536"/>
      <c r="B116" s="538"/>
      <c r="C116" s="124"/>
      <c r="D116" s="504"/>
      <c r="E116" s="506"/>
      <c r="F116" s="131" t="s">
        <v>404</v>
      </c>
      <c r="G116" s="134">
        <f>GetPatVarnum("s5zf","&amp;a045_01_20")</f>
        <v>0</v>
      </c>
      <c r="H116" s="134">
        <f>GetPatVarnum("s5zf","&amp;a045_02_20")</f>
        <v>0</v>
      </c>
      <c r="I116" s="134">
        <f>GetPatVarnum("s5zf","&amp;a045_03_20")</f>
        <v>0</v>
      </c>
      <c r="J116" s="138">
        <f t="shared" si="131"/>
        <v>0</v>
      </c>
      <c r="K116" s="134">
        <f>GetPatVarnum("s5zf","&amp;a045_04_20")</f>
        <v>0</v>
      </c>
      <c r="L116" s="134">
        <f>GetPatVarnum("s5zf","&amp;a045_05_20")</f>
        <v>0</v>
      </c>
      <c r="M116" s="134">
        <f>GetPatVarnum("s5zf","&amp;a045_06_20")</f>
        <v>0</v>
      </c>
      <c r="N116" s="138">
        <f t="shared" si="132"/>
        <v>0</v>
      </c>
      <c r="O116" s="134">
        <f>GetPatVarnum("s5zf","&amp;a045_07_20")</f>
        <v>0</v>
      </c>
      <c r="P116" s="134">
        <f>GetPatVarnum("s5zf","&amp;a045_08_20")</f>
        <v>0</v>
      </c>
      <c r="Q116" s="134">
        <f>GetPatVarnum("s5zf","&amp;a045_09_20")</f>
        <v>0</v>
      </c>
      <c r="R116" s="138">
        <f t="shared" si="133"/>
        <v>0</v>
      </c>
      <c r="S116" s="134">
        <f>GetPatVarnum("s5zf","&amp;a045_10_20")</f>
        <v>0</v>
      </c>
      <c r="T116" s="134">
        <f>GetPatVarnum("s5zf","&amp;a045_11_20")</f>
        <v>0</v>
      </c>
      <c r="U116" s="134">
        <f>GetPatVarnum("s5zf","&amp;a045_12_20")</f>
        <v>0</v>
      </c>
      <c r="V116" s="139">
        <f t="shared" si="134"/>
        <v>0</v>
      </c>
    </row>
    <row r="117" spans="1:22" ht="17.45" customHeight="1" x14ac:dyDescent="0.2">
      <c r="A117" s="536"/>
      <c r="B117" s="538"/>
      <c r="C117" s="124"/>
      <c r="D117" s="504"/>
      <c r="E117" s="506"/>
      <c r="F117" s="131" t="s">
        <v>405</v>
      </c>
      <c r="G117" s="134">
        <f>GetPatVarnum("s5zf","&amp;A045_01_44")</f>
        <v>0</v>
      </c>
      <c r="H117" s="134">
        <f>GetPatVarnum("s5zf","&amp;a045_02_44")</f>
        <v>0</v>
      </c>
      <c r="I117" s="134">
        <f>GetPatVarnum("s5zf","&amp;a045_03_44")</f>
        <v>0</v>
      </c>
      <c r="J117" s="138">
        <f t="shared" si="131"/>
        <v>0</v>
      </c>
      <c r="K117" s="134">
        <f>GetPatVarnum("s5zf","&amp;A045_04_44")</f>
        <v>0</v>
      </c>
      <c r="L117" s="134">
        <f>GetPatVarnum("s5zf","&amp;a045_05_44")</f>
        <v>0</v>
      </c>
      <c r="M117" s="134">
        <f>GetPatVarnum("s5zf","&amp;a045_06_44")</f>
        <v>0</v>
      </c>
      <c r="N117" s="138">
        <f t="shared" si="132"/>
        <v>0</v>
      </c>
      <c r="O117" s="134">
        <f>GetPatVarnum("s5zf","&amp;A045_07_44")</f>
        <v>0</v>
      </c>
      <c r="P117" s="134">
        <f>GetPatVarnum("s5zf","&amp;a045_08_44")</f>
        <v>0</v>
      </c>
      <c r="Q117" s="134">
        <f>GetPatVarnum("s5zf","&amp;a045_09_44")</f>
        <v>0</v>
      </c>
      <c r="R117" s="138">
        <f t="shared" si="133"/>
        <v>0</v>
      </c>
      <c r="S117" s="134">
        <f>GetPatVarnum("s5zf","&amp;A045_10_44")</f>
        <v>0</v>
      </c>
      <c r="T117" s="134">
        <f>GetPatVarnum("s5zf","&amp;a045_11_44")</f>
        <v>0</v>
      </c>
      <c r="U117" s="134">
        <f>GetPatVarnum("s5zf","&amp;a045_12_44")</f>
        <v>0</v>
      </c>
      <c r="V117" s="139">
        <f t="shared" si="134"/>
        <v>0</v>
      </c>
    </row>
    <row r="118" spans="1:22" ht="18.95" customHeight="1" thickBot="1" x14ac:dyDescent="0.25">
      <c r="A118" s="203" t="s">
        <v>96</v>
      </c>
      <c r="B118" s="115" t="s">
        <v>95</v>
      </c>
      <c r="C118" s="150"/>
      <c r="D118" s="144">
        <f>GetPatVarnum("s5zf","&amp;a0450")</f>
        <v>0</v>
      </c>
      <c r="E118" s="192">
        <f>GetPatVarnum("s5zf","&amp;a0451")</f>
        <v>0</v>
      </c>
      <c r="F118" s="112" t="s">
        <v>406</v>
      </c>
      <c r="G118" s="140">
        <f>G115*G$1+(G116+G117)*G$2</f>
        <v>0</v>
      </c>
      <c r="H118" s="140">
        <f t="shared" ref="H118:I118" si="135">H115*H$1+(H116+H117)*H$2</f>
        <v>0</v>
      </c>
      <c r="I118" s="140">
        <f t="shared" si="135"/>
        <v>0</v>
      </c>
      <c r="J118" s="141">
        <f t="shared" ref="J118:J126" si="136">SUM(G118:I118)</f>
        <v>0</v>
      </c>
      <c r="K118" s="140">
        <f>K115*K$1+(K116+K117)*K$2</f>
        <v>0</v>
      </c>
      <c r="L118" s="140">
        <f t="shared" ref="L118:M118" si="137">L115*L$1+(L116+L117)*L$2</f>
        <v>0</v>
      </c>
      <c r="M118" s="140">
        <f t="shared" si="137"/>
        <v>0</v>
      </c>
      <c r="N118" s="141">
        <f t="shared" ref="N118:N126" si="138">SUM(K118:M118)</f>
        <v>0</v>
      </c>
      <c r="O118" s="140">
        <f>O115*O$1+(O116+O117)*O$2</f>
        <v>0</v>
      </c>
      <c r="P118" s="140">
        <f t="shared" ref="P118:Q118" si="139">P115*P$1+(P116+P117)*P$2</f>
        <v>0</v>
      </c>
      <c r="Q118" s="140">
        <f t="shared" si="139"/>
        <v>0</v>
      </c>
      <c r="R118" s="141">
        <f t="shared" ref="R118:R126" si="140">SUM(O118:Q118)</f>
        <v>0</v>
      </c>
      <c r="S118" s="140">
        <f>S115*S$1+(S116+S117)*S$2</f>
        <v>0</v>
      </c>
      <c r="T118" s="140">
        <f t="shared" ref="T118:U118" si="141">T115*T$1+(T116+T117)*T$2</f>
        <v>0</v>
      </c>
      <c r="U118" s="140">
        <f t="shared" si="141"/>
        <v>0</v>
      </c>
      <c r="V118" s="142">
        <f t="shared" si="134"/>
        <v>0</v>
      </c>
    </row>
    <row r="119" spans="1:22" ht="18.95" customHeight="1" x14ac:dyDescent="0.2">
      <c r="A119" s="499"/>
      <c r="B119" s="501"/>
      <c r="C119" s="124"/>
      <c r="D119" s="503"/>
      <c r="E119" s="505"/>
      <c r="F119" s="130" t="s">
        <v>410</v>
      </c>
      <c r="G119" s="133">
        <v>2502.67</v>
      </c>
      <c r="H119" s="133">
        <v>2408.2399999999998</v>
      </c>
      <c r="I119" s="133"/>
      <c r="J119" s="136">
        <f t="shared" si="136"/>
        <v>4910.91</v>
      </c>
      <c r="K119" s="133"/>
      <c r="L119" s="133"/>
      <c r="M119" s="133"/>
      <c r="N119" s="136">
        <f t="shared" si="138"/>
        <v>0</v>
      </c>
      <c r="O119" s="133"/>
      <c r="P119" s="133"/>
      <c r="Q119" s="133"/>
      <c r="R119" s="136">
        <f t="shared" si="140"/>
        <v>0</v>
      </c>
      <c r="S119" s="133"/>
      <c r="T119" s="133"/>
      <c r="U119" s="133"/>
      <c r="V119" s="137">
        <f t="shared" si="134"/>
        <v>0</v>
      </c>
    </row>
    <row r="120" spans="1:22" ht="18.95" customHeight="1" x14ac:dyDescent="0.2">
      <c r="A120" s="500"/>
      <c r="B120" s="502"/>
      <c r="C120" s="124"/>
      <c r="D120" s="504"/>
      <c r="E120" s="506"/>
      <c r="F120" s="131" t="s">
        <v>411</v>
      </c>
      <c r="G120" s="134">
        <v>7363.54</v>
      </c>
      <c r="H120" s="134">
        <v>6973.72</v>
      </c>
      <c r="I120" s="134"/>
      <c r="J120" s="138">
        <f t="shared" si="136"/>
        <v>14337.26</v>
      </c>
      <c r="K120" s="134"/>
      <c r="L120" s="134"/>
      <c r="M120" s="134"/>
      <c r="N120" s="138">
        <f t="shared" si="138"/>
        <v>0</v>
      </c>
      <c r="O120" s="134"/>
      <c r="P120" s="134"/>
      <c r="Q120" s="134"/>
      <c r="R120" s="138">
        <f t="shared" si="140"/>
        <v>0</v>
      </c>
      <c r="S120" s="134"/>
      <c r="T120" s="134"/>
      <c r="U120" s="134"/>
      <c r="V120" s="139">
        <f t="shared" si="134"/>
        <v>0</v>
      </c>
    </row>
    <row r="121" spans="1:22" ht="18.95" customHeight="1" x14ac:dyDescent="0.2">
      <c r="A121" s="500"/>
      <c r="B121" s="502"/>
      <c r="C121" s="124"/>
      <c r="D121" s="504"/>
      <c r="E121" s="506"/>
      <c r="F121" s="131" t="s">
        <v>412</v>
      </c>
      <c r="G121" s="134">
        <v>21.01</v>
      </c>
      <c r="H121" s="134">
        <v>21.01</v>
      </c>
      <c r="I121" s="134"/>
      <c r="J121" s="138">
        <f t="shared" si="136"/>
        <v>42.02</v>
      </c>
      <c r="K121" s="134"/>
      <c r="L121" s="134"/>
      <c r="M121" s="134"/>
      <c r="N121" s="138">
        <f t="shared" si="138"/>
        <v>0</v>
      </c>
      <c r="O121" s="134"/>
      <c r="P121" s="134"/>
      <c r="Q121" s="134"/>
      <c r="R121" s="138">
        <f t="shared" si="140"/>
        <v>0</v>
      </c>
      <c r="S121" s="134"/>
      <c r="T121" s="134"/>
      <c r="U121" s="134"/>
      <c r="V121" s="139">
        <f t="shared" si="134"/>
        <v>0</v>
      </c>
    </row>
    <row r="122" spans="1:22" ht="18.95" customHeight="1" thickBot="1" x14ac:dyDescent="0.25">
      <c r="A122" s="300" t="s">
        <v>408</v>
      </c>
      <c r="B122" s="115" t="s">
        <v>409</v>
      </c>
      <c r="C122" s="150"/>
      <c r="D122" s="144">
        <f>GetPatVarnum("s5zf","&amp;a2440")</f>
        <v>8965.19</v>
      </c>
      <c r="E122" s="192">
        <f>GetPatVarnum("s5zf","&amp;a2441")</f>
        <v>8965.19</v>
      </c>
      <c r="F122" s="112" t="s">
        <v>413</v>
      </c>
      <c r="G122" s="140">
        <f>G119*G$1+(G120+G121)*G$2</f>
        <v>9872.1024406199995</v>
      </c>
      <c r="H122" s="140">
        <f t="shared" ref="H122:I122" si="142">H119*H$1+(H120+H121)*H$2</f>
        <v>9386.8345034800004</v>
      </c>
      <c r="I122" s="140">
        <f t="shared" si="142"/>
        <v>0</v>
      </c>
      <c r="J122" s="141">
        <f t="shared" si="136"/>
        <v>19258.936944100002</v>
      </c>
      <c r="K122" s="140">
        <f>K119*K$1+(K120+K121)*K$2</f>
        <v>0</v>
      </c>
      <c r="L122" s="140">
        <f t="shared" ref="L122:M122" si="143">L119*L$1+(L120+L121)*L$2</f>
        <v>0</v>
      </c>
      <c r="M122" s="140">
        <f t="shared" si="143"/>
        <v>0</v>
      </c>
      <c r="N122" s="141">
        <f t="shared" si="138"/>
        <v>0</v>
      </c>
      <c r="O122" s="140">
        <f>O119*O$1+(O120+O121)*O$2</f>
        <v>0</v>
      </c>
      <c r="P122" s="140">
        <f t="shared" ref="P122:Q122" si="144">P119*P$1+(P120+P121)*P$2</f>
        <v>0</v>
      </c>
      <c r="Q122" s="140">
        <f t="shared" si="144"/>
        <v>0</v>
      </c>
      <c r="R122" s="141">
        <f t="shared" si="140"/>
        <v>0</v>
      </c>
      <c r="S122" s="140">
        <f>S119*S$1+(S120+S121)*S$2</f>
        <v>0</v>
      </c>
      <c r="T122" s="140">
        <f t="shared" ref="T122:U122" si="145">T119*T$1+(T120+T121)*T$2</f>
        <v>0</v>
      </c>
      <c r="U122" s="140">
        <f t="shared" si="145"/>
        <v>0</v>
      </c>
      <c r="V122" s="142">
        <f t="shared" si="134"/>
        <v>0</v>
      </c>
    </row>
    <row r="123" spans="1:22" ht="36.6" customHeight="1" x14ac:dyDescent="0.2">
      <c r="A123" s="529"/>
      <c r="B123" s="495"/>
      <c r="C123" s="119"/>
      <c r="D123" s="491"/>
      <c r="E123" s="521"/>
      <c r="F123" s="130" t="s">
        <v>415</v>
      </c>
      <c r="G123" s="133">
        <f>GetPatVarnum("s5zf","&amp;a046_01_26")</f>
        <v>8808.0300000000007</v>
      </c>
      <c r="H123" s="133">
        <f>GetPatVarnum("s5zf","&amp;a046_02_26")</f>
        <v>7564.82</v>
      </c>
      <c r="I123" s="133">
        <f>GetPatVarnum("s5zf","&amp;a046_03_26")</f>
        <v>7378.25</v>
      </c>
      <c r="J123" s="136">
        <f t="shared" ref="J123:J125" si="146">SUM(G123:I123)</f>
        <v>23751.1</v>
      </c>
      <c r="K123" s="133">
        <f>GetPatVarnum("s5zf","&amp;a046_04_26")</f>
        <v>0</v>
      </c>
      <c r="L123" s="133">
        <f>GetPatVarnum("s5zf","&amp;a046_05_26")</f>
        <v>0</v>
      </c>
      <c r="M123" s="133">
        <f>GetPatVarnum("s5zf","&amp;a046_06_26")</f>
        <v>0</v>
      </c>
      <c r="N123" s="136">
        <f t="shared" ref="N123:N125" si="147">SUM(K123:M123)</f>
        <v>0</v>
      </c>
      <c r="O123" s="133">
        <f>GetPatVarnum("s5zf","&amp;a046_07_26")</f>
        <v>0</v>
      </c>
      <c r="P123" s="133">
        <f>GetPatVarnum("s5zf","&amp;a046_08_26")</f>
        <v>0</v>
      </c>
      <c r="Q123" s="133">
        <f>GetPatVarnum("s5zf","&amp;a046_09_26")</f>
        <v>0</v>
      </c>
      <c r="R123" s="136">
        <f t="shared" ref="R123:R125" si="148">SUM(O123:Q123)</f>
        <v>0</v>
      </c>
      <c r="S123" s="133">
        <f>GetPatVarnum("s5zf","&amp;a046_10_26")</f>
        <v>0</v>
      </c>
      <c r="T123" s="133">
        <f>GetPatVarnum("s5zf","&amp;a046_11_26")</f>
        <v>0</v>
      </c>
      <c r="U123" s="133">
        <f>GetPatVarnum("s5zf","&amp;a046_12_26")</f>
        <v>0</v>
      </c>
      <c r="V123" s="137">
        <f t="shared" si="134"/>
        <v>0</v>
      </c>
    </row>
    <row r="124" spans="1:22" ht="36.6" customHeight="1" x14ac:dyDescent="0.2">
      <c r="A124" s="530"/>
      <c r="B124" s="496"/>
      <c r="C124" s="119"/>
      <c r="D124" s="492"/>
      <c r="E124" s="522"/>
      <c r="F124" s="131" t="s">
        <v>416</v>
      </c>
      <c r="G124" s="134">
        <f>GetPatVarnum("s5zf","&amp;a046_01_20")</f>
        <v>45524.12</v>
      </c>
      <c r="H124" s="134">
        <f>GetPatVarnum("s5zf","&amp;a046_02_20")</f>
        <v>49133.9</v>
      </c>
      <c r="I124" s="134">
        <f>GetPatVarnum("s5zf","&amp;a046_03_20")</f>
        <v>49407.53</v>
      </c>
      <c r="J124" s="138">
        <f t="shared" si="146"/>
        <v>144065.54999999999</v>
      </c>
      <c r="K124" s="134">
        <f>GetPatVarnum("s5zf","&amp;a046_04_20")</f>
        <v>0</v>
      </c>
      <c r="L124" s="134">
        <f>GetPatVarnum("s5zf","&amp;a046_05_20")</f>
        <v>0</v>
      </c>
      <c r="M124" s="134">
        <f>GetPatVarnum("s5zf","&amp;a046_06_20")</f>
        <v>0</v>
      </c>
      <c r="N124" s="138">
        <f t="shared" si="147"/>
        <v>0</v>
      </c>
      <c r="O124" s="134">
        <f>GetPatVarnum("s5zf","&amp;a046_07_20")</f>
        <v>0</v>
      </c>
      <c r="P124" s="134">
        <f>GetPatVarnum("s5zf","&amp;a046_08_20")</f>
        <v>0</v>
      </c>
      <c r="Q124" s="134">
        <f>GetPatVarnum("s5zf","&amp;a046_09_20")</f>
        <v>0</v>
      </c>
      <c r="R124" s="138">
        <f t="shared" si="148"/>
        <v>0</v>
      </c>
      <c r="S124" s="134">
        <f>GetPatVarnum("s5zf","&amp;a046_10_20")</f>
        <v>0</v>
      </c>
      <c r="T124" s="134">
        <f>GetPatVarnum("s5zf","&amp;a046_11_20")</f>
        <v>0</v>
      </c>
      <c r="U124" s="134">
        <f>GetPatVarnum("s5zf","&amp;a046_12_20")</f>
        <v>0</v>
      </c>
      <c r="V124" s="139">
        <f t="shared" si="134"/>
        <v>0</v>
      </c>
    </row>
    <row r="125" spans="1:22" ht="36.6" customHeight="1" x14ac:dyDescent="0.2">
      <c r="A125" s="530"/>
      <c r="B125" s="496"/>
      <c r="C125" s="119"/>
      <c r="D125" s="492"/>
      <c r="E125" s="522"/>
      <c r="F125" s="131" t="s">
        <v>417</v>
      </c>
      <c r="G125" s="134">
        <f>GetPatVarnum("s5zf","&amp;A046_01_44")</f>
        <v>0</v>
      </c>
      <c r="H125" s="134">
        <f>GetPatVarnum("s5zf","&amp;a046_02_44")</f>
        <v>0</v>
      </c>
      <c r="I125" s="134">
        <f>GetPatVarnum("s5zf","&amp;a046_03_44")</f>
        <v>0</v>
      </c>
      <c r="J125" s="138">
        <f t="shared" si="146"/>
        <v>0</v>
      </c>
      <c r="K125" s="134">
        <f>GetPatVarnum("s5zf","&amp;A046_04_44")</f>
        <v>0</v>
      </c>
      <c r="L125" s="134">
        <f>GetPatVarnum("s5zf","&amp;a046_05_44")</f>
        <v>0</v>
      </c>
      <c r="M125" s="134">
        <f>GetPatVarnum("s5zf","&amp;a046_06_44")</f>
        <v>0</v>
      </c>
      <c r="N125" s="138">
        <f t="shared" si="147"/>
        <v>0</v>
      </c>
      <c r="O125" s="134">
        <f>GetPatVarnum("s5zf","&amp;A046_07_44")</f>
        <v>0</v>
      </c>
      <c r="P125" s="134">
        <f>GetPatVarnum("s5zf","&amp;a046_08_44")</f>
        <v>0</v>
      </c>
      <c r="Q125" s="134">
        <f>GetPatVarnum("s5zf","&amp;a046_09_44")</f>
        <v>0</v>
      </c>
      <c r="R125" s="138">
        <f t="shared" si="148"/>
        <v>0</v>
      </c>
      <c r="S125" s="134">
        <f>GetPatVarnum("s5zf","&amp;A046_10_44")</f>
        <v>0</v>
      </c>
      <c r="T125" s="134">
        <f>GetPatVarnum("s5zf","&amp;a046_11_44")</f>
        <v>0</v>
      </c>
      <c r="U125" s="134">
        <f>GetPatVarnum("s5zf","&amp;a046_12_44")</f>
        <v>0</v>
      </c>
      <c r="V125" s="139">
        <f t="shared" si="134"/>
        <v>0</v>
      </c>
    </row>
    <row r="126" spans="1:22" ht="20.45" customHeight="1" thickBot="1" x14ac:dyDescent="0.25">
      <c r="A126" s="200" t="s">
        <v>94</v>
      </c>
      <c r="B126" s="99" t="s">
        <v>93</v>
      </c>
      <c r="C126" s="153" t="e">
        <f>SUM(C139+C148+C152+#REF!+C135+C156+C164+#REF!+C168+C172+#REF!+C188)</f>
        <v>#REF!</v>
      </c>
      <c r="D126" s="109">
        <f>GetPatVarnum("s5zf","&amp;A0460")</f>
        <v>167546.28</v>
      </c>
      <c r="E126" s="205">
        <f>GetPatVarnum("s5zf","&amp;a0461")</f>
        <v>167546.28</v>
      </c>
      <c r="F126" s="112" t="s">
        <v>414</v>
      </c>
      <c r="G126" s="140">
        <f>G123*G$1+(G124+G125)*G$2</f>
        <v>54249.076142650003</v>
      </c>
      <c r="H126" s="140">
        <f t="shared" ref="H126:I126" si="149">H123*H$1+(H124+H125)*H$2</f>
        <v>56601.424996479996</v>
      </c>
      <c r="I126" s="140">
        <f t="shared" si="149"/>
        <v>56695.774538700003</v>
      </c>
      <c r="J126" s="141">
        <f t="shared" si="136"/>
        <v>167546.27567783001</v>
      </c>
      <c r="K126" s="140">
        <f>K123*K$1+(K124+K125)*K$2</f>
        <v>0</v>
      </c>
      <c r="L126" s="140">
        <f t="shared" ref="L126:M126" si="150">L123*L$1+(L124+L125)*L$2</f>
        <v>0</v>
      </c>
      <c r="M126" s="140">
        <f t="shared" si="150"/>
        <v>0</v>
      </c>
      <c r="N126" s="141">
        <f t="shared" si="138"/>
        <v>0</v>
      </c>
      <c r="O126" s="140">
        <f>O123*O$1+(O124+O125)*O$2</f>
        <v>0</v>
      </c>
      <c r="P126" s="140">
        <f t="shared" ref="P126:Q126" si="151">P123*P$1+(P124+P125)*P$2</f>
        <v>0</v>
      </c>
      <c r="Q126" s="140">
        <f t="shared" si="151"/>
        <v>0</v>
      </c>
      <c r="R126" s="141">
        <f t="shared" si="140"/>
        <v>0</v>
      </c>
      <c r="S126" s="140">
        <f>S123*S$1+(S124+S125)*S$2</f>
        <v>0</v>
      </c>
      <c r="T126" s="140">
        <f t="shared" ref="T126:U126" si="152">T123*T$1+(T124+T125)*T$2</f>
        <v>0</v>
      </c>
      <c r="U126" s="140">
        <f t="shared" si="152"/>
        <v>0</v>
      </c>
      <c r="V126" s="142">
        <f t="shared" si="134"/>
        <v>0</v>
      </c>
    </row>
    <row r="127" spans="1:22" ht="8.4499999999999993" customHeight="1" thickBot="1" x14ac:dyDescent="0.25">
      <c r="A127" s="202" t="s">
        <v>92</v>
      </c>
      <c r="B127" s="98"/>
      <c r="C127" s="64"/>
      <c r="D127" s="295"/>
      <c r="E127" s="296"/>
      <c r="F127" s="89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</row>
    <row r="128" spans="1:22" ht="19.149999999999999" customHeight="1" x14ac:dyDescent="0.2">
      <c r="A128" s="529"/>
      <c r="B128" s="495"/>
      <c r="C128" s="120"/>
      <c r="D128" s="491"/>
      <c r="E128" s="521"/>
      <c r="F128" s="130" t="s">
        <v>418</v>
      </c>
      <c r="G128" s="133">
        <f>GetPatVarnum("s5zf","&amp;a047_01_26")</f>
        <v>91.67</v>
      </c>
      <c r="H128" s="133">
        <f>GetPatVarnum("s5zf","&amp;a047_02_26")</f>
        <v>497.75</v>
      </c>
      <c r="I128" s="133">
        <f>GetPatVarnum("s5zf","&amp;a047_03_26")</f>
        <v>277.66000000000003</v>
      </c>
      <c r="J128" s="136">
        <f t="shared" ref="J128:J130" si="153">SUM(G128:I128)</f>
        <v>867.07999999999993</v>
      </c>
      <c r="K128" s="133">
        <f>GetPatVarnum("s5zf","&amp;a047_04_26")</f>
        <v>0</v>
      </c>
      <c r="L128" s="133">
        <f>GetPatVarnum("s5zf","&amp;a047_05_26")</f>
        <v>0</v>
      </c>
      <c r="M128" s="133">
        <f>GetPatVarnum("s5zf","&amp;a047_06_26")</f>
        <v>0</v>
      </c>
      <c r="N128" s="136">
        <f t="shared" ref="N128:N130" si="154">SUM(K128:M128)</f>
        <v>0</v>
      </c>
      <c r="O128" s="133">
        <f>GetPatVarnum("s5zf","&amp;a047_07_26")</f>
        <v>0</v>
      </c>
      <c r="P128" s="133">
        <f>GetPatVarnum("s5zf","&amp;a047_08_26")</f>
        <v>0</v>
      </c>
      <c r="Q128" s="133">
        <f>GetPatVarnum("s5zf","&amp;a047_09_26")</f>
        <v>0</v>
      </c>
      <c r="R128" s="136">
        <f t="shared" ref="R128:R130" si="155">SUM(O128:Q128)</f>
        <v>0</v>
      </c>
      <c r="S128" s="133">
        <f>GetPatVarnum("s5zf","&amp;a047_10_26")</f>
        <v>0</v>
      </c>
      <c r="T128" s="133">
        <f>GetPatVarnum("s5zf","&amp;a047_11_26")</f>
        <v>0</v>
      </c>
      <c r="U128" s="133">
        <f>GetPatVarnum("s5zf","&amp;a047_12_26")</f>
        <v>0</v>
      </c>
      <c r="V128" s="137">
        <f t="shared" ref="V128:V147" si="156">SUM(S128:U128)</f>
        <v>0</v>
      </c>
    </row>
    <row r="129" spans="1:22" ht="19.149999999999999" customHeight="1" x14ac:dyDescent="0.2">
      <c r="A129" s="530"/>
      <c r="B129" s="496"/>
      <c r="C129" s="118"/>
      <c r="D129" s="492"/>
      <c r="E129" s="522"/>
      <c r="F129" s="131" t="s">
        <v>419</v>
      </c>
      <c r="G129" s="134">
        <f>GetPatVarnum("s5zf","&amp;a047_01_20")</f>
        <v>1779.46</v>
      </c>
      <c r="H129" s="134">
        <f>GetPatVarnum("s5zf","&amp;a047_02_20")</f>
        <v>4022.04</v>
      </c>
      <c r="I129" s="134">
        <f>GetPatVarnum("s5zf","&amp;a047_03_20")</f>
        <v>4204.97</v>
      </c>
      <c r="J129" s="138">
        <f t="shared" si="153"/>
        <v>10006.470000000001</v>
      </c>
      <c r="K129" s="134">
        <f>GetPatVarnum("s5zf","&amp;a047_04_20")</f>
        <v>0</v>
      </c>
      <c r="L129" s="134">
        <f>GetPatVarnum("s5zf","&amp;a047_05_20")</f>
        <v>0</v>
      </c>
      <c r="M129" s="134">
        <f>GetPatVarnum("s5zf","&amp;a047_06_20")</f>
        <v>0</v>
      </c>
      <c r="N129" s="138">
        <f t="shared" si="154"/>
        <v>0</v>
      </c>
      <c r="O129" s="134">
        <f>GetPatVarnum("s5zf","&amp;a047_07_20")</f>
        <v>0</v>
      </c>
      <c r="P129" s="134">
        <f>GetPatVarnum("s5zf","&amp;a047_08_20")</f>
        <v>0</v>
      </c>
      <c r="Q129" s="134">
        <f>GetPatVarnum("s5zf","&amp;a047_09_20")</f>
        <v>0</v>
      </c>
      <c r="R129" s="138">
        <f t="shared" si="155"/>
        <v>0</v>
      </c>
      <c r="S129" s="134">
        <f>GetPatVarnum("s5zf","&amp;a047_10_20")</f>
        <v>0</v>
      </c>
      <c r="T129" s="134">
        <f>GetPatVarnum("s5zf","&amp;a047_11_20")</f>
        <v>0</v>
      </c>
      <c r="U129" s="134">
        <f>GetPatVarnum("s5zf","&amp;a047_12_20")</f>
        <v>0</v>
      </c>
      <c r="V129" s="139">
        <f t="shared" si="156"/>
        <v>0</v>
      </c>
    </row>
    <row r="130" spans="1:22" ht="19.149999999999999" customHeight="1" x14ac:dyDescent="0.2">
      <c r="A130" s="530"/>
      <c r="B130" s="496"/>
      <c r="C130" s="118"/>
      <c r="D130" s="492"/>
      <c r="E130" s="522"/>
      <c r="F130" s="131" t="s">
        <v>420</v>
      </c>
      <c r="G130" s="134">
        <f>GetPatVarnum("s5zf","&amp;A047_01_44")</f>
        <v>0</v>
      </c>
      <c r="H130" s="134">
        <f>GetPatVarnum("s5zf","&amp;a047_02_44")</f>
        <v>0</v>
      </c>
      <c r="I130" s="134">
        <f>GetPatVarnum("s5zf","&amp;a047_03_44")</f>
        <v>0</v>
      </c>
      <c r="J130" s="138">
        <f t="shared" si="153"/>
        <v>0</v>
      </c>
      <c r="K130" s="134">
        <f>GetPatVarnum("s5zf","&amp;A047_04_44")</f>
        <v>0</v>
      </c>
      <c r="L130" s="134">
        <f>GetPatVarnum("s5zf","&amp;a047_05_44")</f>
        <v>0</v>
      </c>
      <c r="M130" s="134">
        <f>GetPatVarnum("s5zf","&amp;a047_06_44")</f>
        <v>0</v>
      </c>
      <c r="N130" s="138">
        <f t="shared" si="154"/>
        <v>0</v>
      </c>
      <c r="O130" s="134">
        <f>GetPatVarnum("s5zf","&amp;A047_07_44")</f>
        <v>0</v>
      </c>
      <c r="P130" s="134">
        <f>GetPatVarnum("s5zf","&amp;a047_08_44")</f>
        <v>0</v>
      </c>
      <c r="Q130" s="134">
        <f>GetPatVarnum("s5zf","&amp;a047_09_44")</f>
        <v>0</v>
      </c>
      <c r="R130" s="138">
        <f t="shared" si="155"/>
        <v>0</v>
      </c>
      <c r="S130" s="134">
        <f>GetPatVarnum("s5zf","&amp;A047_10_44")</f>
        <v>0</v>
      </c>
      <c r="T130" s="134">
        <f>GetPatVarnum("s5zf","&amp;a047_11_44")</f>
        <v>0</v>
      </c>
      <c r="U130" s="134">
        <f>GetPatVarnum("s5zf","&amp;a047_12_44")</f>
        <v>0</v>
      </c>
      <c r="V130" s="139">
        <f t="shared" si="156"/>
        <v>0</v>
      </c>
    </row>
    <row r="131" spans="1:22" ht="15.95" customHeight="1" thickBot="1" x14ac:dyDescent="0.25">
      <c r="A131" s="202" t="s">
        <v>91</v>
      </c>
      <c r="B131" s="115" t="s">
        <v>90</v>
      </c>
      <c r="C131" s="150"/>
      <c r="D131" s="144">
        <f>GetPatVarnum("s5zf","&amp;a0470")</f>
        <v>10855.83</v>
      </c>
      <c r="E131" s="196">
        <f>GetPatVarnum("s5zf","&amp;a0471")</f>
        <v>10855.83</v>
      </c>
      <c r="F131" s="112" t="s">
        <v>421</v>
      </c>
      <c r="G131" s="140">
        <f>G128*G$1+(G129+G130)*G$2</f>
        <v>1868.26904223</v>
      </c>
      <c r="H131" s="140">
        <f t="shared" ref="H131:I131" si="157">H128*H$1+(H129+H130)*H$2</f>
        <v>4512.0340403600003</v>
      </c>
      <c r="I131" s="140">
        <f t="shared" si="157"/>
        <v>4475.5250314500008</v>
      </c>
      <c r="J131" s="141">
        <f t="shared" ref="J131:J147" si="158">SUM(G131:I131)</f>
        <v>10855.828114040001</v>
      </c>
      <c r="K131" s="140">
        <f>K128*K$1+(K129+K130)*K$2</f>
        <v>0</v>
      </c>
      <c r="L131" s="140">
        <f t="shared" ref="L131:M131" si="159">L128*L$1+(L129+L130)*L$2</f>
        <v>0</v>
      </c>
      <c r="M131" s="140">
        <f t="shared" si="159"/>
        <v>0</v>
      </c>
      <c r="N131" s="141">
        <f t="shared" ref="N131:N147" si="160">SUM(K131:M131)</f>
        <v>0</v>
      </c>
      <c r="O131" s="140">
        <f>O128*O$1+(O129+O130)*O$2</f>
        <v>0</v>
      </c>
      <c r="P131" s="140">
        <f t="shared" ref="P131:Q131" si="161">P128*P$1+(P129+P130)*P$2</f>
        <v>0</v>
      </c>
      <c r="Q131" s="140">
        <f t="shared" si="161"/>
        <v>0</v>
      </c>
      <c r="R131" s="141">
        <f t="shared" ref="R131:R147" si="162">SUM(O131:Q131)</f>
        <v>0</v>
      </c>
      <c r="S131" s="140">
        <f>S128*S$1+(S129+S130)*S$2</f>
        <v>0</v>
      </c>
      <c r="T131" s="140">
        <f t="shared" ref="T131:U131" si="163">T128*T$1+(T129+T130)*T$2</f>
        <v>0</v>
      </c>
      <c r="U131" s="140">
        <f t="shared" si="163"/>
        <v>0</v>
      </c>
      <c r="V131" s="142">
        <f t="shared" si="156"/>
        <v>0</v>
      </c>
    </row>
    <row r="132" spans="1:22" ht="15.95" customHeight="1" x14ac:dyDescent="0.2">
      <c r="A132" s="529"/>
      <c r="B132" s="495"/>
      <c r="C132" s="119"/>
      <c r="D132" s="491"/>
      <c r="E132" s="521"/>
      <c r="F132" s="130" t="s">
        <v>422</v>
      </c>
      <c r="G132" s="133">
        <f>GetPatVarnum("s5zf","&amp;a048_01_26")</f>
        <v>187.8</v>
      </c>
      <c r="H132" s="133">
        <f>GetPatVarnum("s5zf","&amp;a048_02_26")</f>
        <v>177.98</v>
      </c>
      <c r="I132" s="133">
        <f>GetPatVarnum("s5zf","&amp;a048_03_26")</f>
        <v>187.54</v>
      </c>
      <c r="J132" s="136">
        <f t="shared" ref="J132:J134" si="164">SUM(G132:I132)</f>
        <v>553.31999999999994</v>
      </c>
      <c r="K132" s="133">
        <f>GetPatVarnum("s5zf","&amp;a048_04_26")</f>
        <v>0</v>
      </c>
      <c r="L132" s="133">
        <f>GetPatVarnum("s5zf","&amp;a048_05_26")</f>
        <v>0</v>
      </c>
      <c r="M132" s="133">
        <f>GetPatVarnum("s5zf","&amp;a048_06_26")</f>
        <v>0</v>
      </c>
      <c r="N132" s="136">
        <f t="shared" ref="N132:N134" si="165">SUM(K132:M132)</f>
        <v>0</v>
      </c>
      <c r="O132" s="133">
        <f>GetPatVarnum("s5zf","&amp;a048_07_26")</f>
        <v>0</v>
      </c>
      <c r="P132" s="133">
        <f>GetPatVarnum("s5zf","&amp;a048_08_26")</f>
        <v>0</v>
      </c>
      <c r="Q132" s="133">
        <f>GetPatVarnum("s5zf","&amp;a048_09_26")</f>
        <v>0</v>
      </c>
      <c r="R132" s="136">
        <f t="shared" ref="R132:R134" si="166">SUM(O132:Q132)</f>
        <v>0</v>
      </c>
      <c r="S132" s="133">
        <f>GetPatVarnum("s5zf","&amp;a048_10_26")</f>
        <v>0</v>
      </c>
      <c r="T132" s="133">
        <f>GetPatVarnum("s5zf","&amp;a048_11_26")</f>
        <v>0</v>
      </c>
      <c r="U132" s="133">
        <f>GetPatVarnum("s5zf","&amp;a048_12_26")</f>
        <v>0</v>
      </c>
      <c r="V132" s="137">
        <f t="shared" si="156"/>
        <v>0</v>
      </c>
    </row>
    <row r="133" spans="1:22" ht="15.95" customHeight="1" x14ac:dyDescent="0.2">
      <c r="A133" s="530"/>
      <c r="B133" s="496"/>
      <c r="C133" s="117"/>
      <c r="D133" s="492"/>
      <c r="E133" s="522"/>
      <c r="F133" s="131" t="s">
        <v>423</v>
      </c>
      <c r="G133" s="134">
        <f>GetPatVarnum("s5zf","&amp;a048_01_20")</f>
        <v>0</v>
      </c>
      <c r="H133" s="134">
        <f>GetPatVarnum("s5zf","&amp;a048_02_20")</f>
        <v>96.41</v>
      </c>
      <c r="I133" s="134">
        <f>GetPatVarnum("s5zf","&amp;a048_03_20")</f>
        <v>250.59</v>
      </c>
      <c r="J133" s="138">
        <f t="shared" si="164"/>
        <v>347</v>
      </c>
      <c r="K133" s="134">
        <f>GetPatVarnum("s5zf","&amp;a048_04_20")</f>
        <v>0</v>
      </c>
      <c r="L133" s="134">
        <f>GetPatVarnum("s5zf","&amp;a048_05_20")</f>
        <v>0</v>
      </c>
      <c r="M133" s="134">
        <f>GetPatVarnum("s5zf","&amp;a048_06_20")</f>
        <v>0</v>
      </c>
      <c r="N133" s="138">
        <f t="shared" si="165"/>
        <v>0</v>
      </c>
      <c r="O133" s="134">
        <f>GetPatVarnum("s5zf","&amp;a048_07_20")</f>
        <v>0</v>
      </c>
      <c r="P133" s="134">
        <f>GetPatVarnum("s5zf","&amp;a048_08_20")</f>
        <v>0</v>
      </c>
      <c r="Q133" s="134">
        <f>GetPatVarnum("s5zf","&amp;a048_09_20")</f>
        <v>0</v>
      </c>
      <c r="R133" s="138">
        <f t="shared" si="166"/>
        <v>0</v>
      </c>
      <c r="S133" s="134">
        <f>GetPatVarnum("s5zf","&amp;a048_10_20")</f>
        <v>0</v>
      </c>
      <c r="T133" s="134">
        <f>GetPatVarnum("s5zf","&amp;a048_11_20")</f>
        <v>0</v>
      </c>
      <c r="U133" s="134">
        <f>GetPatVarnum("s5zf","&amp;a048_12_20")</f>
        <v>0</v>
      </c>
      <c r="V133" s="139">
        <f t="shared" si="156"/>
        <v>0</v>
      </c>
    </row>
    <row r="134" spans="1:22" ht="15.95" customHeight="1" x14ac:dyDescent="0.2">
      <c r="A134" s="530"/>
      <c r="B134" s="496"/>
      <c r="C134" s="117"/>
      <c r="D134" s="492"/>
      <c r="E134" s="522"/>
      <c r="F134" s="131" t="s">
        <v>424</v>
      </c>
      <c r="G134" s="134">
        <f>GetPatVarnum("s5zf","&amp;A048_01_44")</f>
        <v>0</v>
      </c>
      <c r="H134" s="134">
        <f>GetPatVarnum("s5zf","&amp;a048_02_44")</f>
        <v>0</v>
      </c>
      <c r="I134" s="134">
        <f>GetPatVarnum("s5zf","&amp;a048_03_44")</f>
        <v>0</v>
      </c>
      <c r="J134" s="138">
        <f t="shared" si="164"/>
        <v>0</v>
      </c>
      <c r="K134" s="134">
        <f>GetPatVarnum("s5zf","&amp;A048_04_44")</f>
        <v>0</v>
      </c>
      <c r="L134" s="134">
        <f>GetPatVarnum("s5zf","&amp;a048_05_44")</f>
        <v>0</v>
      </c>
      <c r="M134" s="134">
        <f>GetPatVarnum("s5zf","&amp;a048_06_44")</f>
        <v>0</v>
      </c>
      <c r="N134" s="138">
        <f t="shared" si="165"/>
        <v>0</v>
      </c>
      <c r="O134" s="134">
        <f>GetPatVarnum("s5zf","&amp;A048_07_44")</f>
        <v>0</v>
      </c>
      <c r="P134" s="134">
        <f>GetPatVarnum("s5zf","&amp;a048_08_44")</f>
        <v>0</v>
      </c>
      <c r="Q134" s="134">
        <f>GetPatVarnum("s5zf","&amp;a048_09_44")</f>
        <v>0</v>
      </c>
      <c r="R134" s="138">
        <f t="shared" si="166"/>
        <v>0</v>
      </c>
      <c r="S134" s="134">
        <f>GetPatVarnum("s5zf","&amp;A048_10_44")</f>
        <v>0</v>
      </c>
      <c r="T134" s="134">
        <f>GetPatVarnum("s5zf","&amp;a048_11_44")</f>
        <v>0</v>
      </c>
      <c r="U134" s="134">
        <f>GetPatVarnum("s5zf","&amp;a048_12_44")</f>
        <v>0</v>
      </c>
      <c r="V134" s="139">
        <f t="shared" si="156"/>
        <v>0</v>
      </c>
    </row>
    <row r="135" spans="1:22" ht="15.95" customHeight="1" thickBot="1" x14ac:dyDescent="0.25">
      <c r="A135" s="202" t="s">
        <v>89</v>
      </c>
      <c r="B135" s="115" t="s">
        <v>88</v>
      </c>
      <c r="C135" s="151"/>
      <c r="D135" s="144">
        <f>GetPatVarnum("s5zf","&amp;a0480")</f>
        <v>898.87</v>
      </c>
      <c r="E135" s="196">
        <f>GetPatVarnum("s5zf","&amp;a0481")</f>
        <v>898.87</v>
      </c>
      <c r="F135" s="112" t="s">
        <v>425</v>
      </c>
      <c r="G135" s="140">
        <f>G132*G$1+(G133+G134)*G$2</f>
        <v>187.51285380000002</v>
      </c>
      <c r="H135" s="140">
        <f t="shared" ref="H135:I135" si="167">H132*H$1+(H133+H134)*H$2</f>
        <v>273.91914675999999</v>
      </c>
      <c r="I135" s="140">
        <f t="shared" si="167"/>
        <v>437.43556395000002</v>
      </c>
      <c r="J135" s="141">
        <f t="shared" si="158"/>
        <v>898.86756450999997</v>
      </c>
      <c r="K135" s="140">
        <f>K132*K$1+(K133+K134)*K$2</f>
        <v>0</v>
      </c>
      <c r="L135" s="140">
        <f t="shared" ref="L135:M135" si="168">L132*L$1+(L133+L134)*L$2</f>
        <v>0</v>
      </c>
      <c r="M135" s="140">
        <f t="shared" si="168"/>
        <v>0</v>
      </c>
      <c r="N135" s="141">
        <f t="shared" si="160"/>
        <v>0</v>
      </c>
      <c r="O135" s="140">
        <f>O132*O$1+(O133+O134)*O$2</f>
        <v>0</v>
      </c>
      <c r="P135" s="140">
        <f t="shared" ref="P135:Q135" si="169">P132*P$1+(P133+P134)*P$2</f>
        <v>0</v>
      </c>
      <c r="Q135" s="140">
        <f t="shared" si="169"/>
        <v>0</v>
      </c>
      <c r="R135" s="141">
        <f t="shared" si="162"/>
        <v>0</v>
      </c>
      <c r="S135" s="140">
        <f>S132*S$1+(S133+S134)*S$2</f>
        <v>0</v>
      </c>
      <c r="T135" s="140">
        <f t="shared" ref="T135:U135" si="170">T132*T$1+(T133+T134)*T$2</f>
        <v>0</v>
      </c>
      <c r="U135" s="140">
        <f t="shared" si="170"/>
        <v>0</v>
      </c>
      <c r="V135" s="142">
        <f t="shared" si="156"/>
        <v>0</v>
      </c>
    </row>
    <row r="136" spans="1:22" ht="15.95" customHeight="1" x14ac:dyDescent="0.2">
      <c r="A136" s="529"/>
      <c r="B136" s="495"/>
      <c r="C136" s="119"/>
      <c r="D136" s="491"/>
      <c r="E136" s="521"/>
      <c r="F136" s="130" t="s">
        <v>426</v>
      </c>
      <c r="G136" s="133">
        <f>GetPatVarnum("s5zf","&amp;a049_01_26")</f>
        <v>380.19</v>
      </c>
      <c r="H136" s="133">
        <f>GetPatVarnum("s5zf","&amp;a049_02_26")</f>
        <v>293.85000000000002</v>
      </c>
      <c r="I136" s="133">
        <f>GetPatVarnum("s5zf","&amp;a049_03_26")</f>
        <v>332.85</v>
      </c>
      <c r="J136" s="136">
        <f t="shared" ref="J136:J138" si="171">SUM(G136:I136)</f>
        <v>1006.89</v>
      </c>
      <c r="K136" s="133">
        <f>GetPatVarnum("s5zf","&amp;a049_04_26")</f>
        <v>0</v>
      </c>
      <c r="L136" s="133">
        <f>GetPatVarnum("s5zf","&amp;a049_05_26")</f>
        <v>0</v>
      </c>
      <c r="M136" s="133">
        <f>GetPatVarnum("s5zf","&amp;a049_06_26")</f>
        <v>0</v>
      </c>
      <c r="N136" s="136">
        <f t="shared" ref="N136:N138" si="172">SUM(K136:M136)</f>
        <v>0</v>
      </c>
      <c r="O136" s="133">
        <f>GetPatVarnum("s5zf","&amp;a049_07_26")</f>
        <v>0</v>
      </c>
      <c r="P136" s="133">
        <f>GetPatVarnum("s5zf","&amp;a049_08_26")</f>
        <v>0</v>
      </c>
      <c r="Q136" s="133">
        <f>GetPatVarnum("s5zf","&amp;a049_09_26")</f>
        <v>0</v>
      </c>
      <c r="R136" s="136">
        <f t="shared" ref="R136:R138" si="173">SUM(O136:Q136)</f>
        <v>0</v>
      </c>
      <c r="S136" s="133">
        <f>GetPatVarnum("s5zf","&amp;a049_10_26")</f>
        <v>0</v>
      </c>
      <c r="T136" s="133">
        <f>GetPatVarnum("s5zf","&amp;a049_11_26")</f>
        <v>0</v>
      </c>
      <c r="U136" s="133">
        <f>GetPatVarnum("s5zf","&amp;a049_12_26")</f>
        <v>0</v>
      </c>
      <c r="V136" s="137">
        <f t="shared" si="156"/>
        <v>0</v>
      </c>
    </row>
    <row r="137" spans="1:22" ht="15.95" customHeight="1" x14ac:dyDescent="0.2">
      <c r="A137" s="530"/>
      <c r="B137" s="496"/>
      <c r="C137" s="117"/>
      <c r="D137" s="492"/>
      <c r="E137" s="522"/>
      <c r="F137" s="131" t="s">
        <v>427</v>
      </c>
      <c r="G137" s="134">
        <f>GetPatVarnum("s5zf","&amp;a049_01_20")</f>
        <v>80.849999999999994</v>
      </c>
      <c r="H137" s="134">
        <f>GetPatVarnum("s5zf","&amp;a049_02_20")</f>
        <v>0</v>
      </c>
      <c r="I137" s="134">
        <f>GetPatVarnum("s5zf","&amp;a049_03_20")</f>
        <v>0</v>
      </c>
      <c r="J137" s="138">
        <f t="shared" si="171"/>
        <v>80.849999999999994</v>
      </c>
      <c r="K137" s="134">
        <f>GetPatVarnum("s5zf","&amp;a049_04_20")</f>
        <v>0</v>
      </c>
      <c r="L137" s="134">
        <f>GetPatVarnum("s5zf","&amp;a049_05_20")</f>
        <v>0</v>
      </c>
      <c r="M137" s="134">
        <f>GetPatVarnum("s5zf","&amp;a049_06_20")</f>
        <v>0</v>
      </c>
      <c r="N137" s="138">
        <f t="shared" si="172"/>
        <v>0</v>
      </c>
      <c r="O137" s="134">
        <f>GetPatVarnum("s5zf","&amp;a049_07_20")</f>
        <v>0</v>
      </c>
      <c r="P137" s="134">
        <f>GetPatVarnum("s5zf","&amp;a049_08_20")</f>
        <v>0</v>
      </c>
      <c r="Q137" s="134">
        <f>GetPatVarnum("s5zf","&amp;a049_09_20")</f>
        <v>0</v>
      </c>
      <c r="R137" s="138">
        <f t="shared" si="173"/>
        <v>0</v>
      </c>
      <c r="S137" s="134">
        <f>GetPatVarnum("s5zf","&amp;a049_10_20")</f>
        <v>0</v>
      </c>
      <c r="T137" s="134">
        <f>GetPatVarnum("s5zf","&amp;a049_11_20")</f>
        <v>0</v>
      </c>
      <c r="U137" s="134">
        <f>GetPatVarnum("s5zf","&amp;a049_12_20")</f>
        <v>0</v>
      </c>
      <c r="V137" s="139">
        <f t="shared" si="156"/>
        <v>0</v>
      </c>
    </row>
    <row r="138" spans="1:22" ht="15.95" customHeight="1" x14ac:dyDescent="0.2">
      <c r="A138" s="530"/>
      <c r="B138" s="496"/>
      <c r="C138" s="117"/>
      <c r="D138" s="492"/>
      <c r="E138" s="522"/>
      <c r="F138" s="131" t="s">
        <v>428</v>
      </c>
      <c r="G138" s="134">
        <f>GetPatVarnum("s5zf","&amp;A049_01_44")</f>
        <v>0</v>
      </c>
      <c r="H138" s="134">
        <f>GetPatVarnum("s5zf","&amp;a049_02_44")</f>
        <v>0</v>
      </c>
      <c r="I138" s="134">
        <f>GetPatVarnum("s5zf","&amp;a049_03_44")</f>
        <v>0</v>
      </c>
      <c r="J138" s="138">
        <f t="shared" si="171"/>
        <v>0</v>
      </c>
      <c r="K138" s="134">
        <f>GetPatVarnum("s5zf","&amp;A049_04_44")</f>
        <v>0</v>
      </c>
      <c r="L138" s="134">
        <f>GetPatVarnum("s5zf","&amp;a049_05_44")</f>
        <v>0</v>
      </c>
      <c r="M138" s="134">
        <f>GetPatVarnum("s5zf","&amp;a049_06_44")</f>
        <v>0</v>
      </c>
      <c r="N138" s="138">
        <f t="shared" si="172"/>
        <v>0</v>
      </c>
      <c r="O138" s="134">
        <f>GetPatVarnum("s5zf","&amp;A049_07_44")</f>
        <v>0</v>
      </c>
      <c r="P138" s="134">
        <f>GetPatVarnum("s5zf","&amp;a049_08_44")</f>
        <v>0</v>
      </c>
      <c r="Q138" s="134">
        <f>GetPatVarnum("s5zf","&amp;a049_09_44")</f>
        <v>0</v>
      </c>
      <c r="R138" s="138">
        <f t="shared" si="173"/>
        <v>0</v>
      </c>
      <c r="S138" s="134">
        <f>GetPatVarnum("s5zf","&amp;A049_10_44")</f>
        <v>0</v>
      </c>
      <c r="T138" s="134">
        <f>GetPatVarnum("s5zf","&amp;a049_11_44")</f>
        <v>0</v>
      </c>
      <c r="U138" s="134">
        <f>GetPatVarnum("s5zf","&amp;a049_12_44")</f>
        <v>0</v>
      </c>
      <c r="V138" s="139">
        <f t="shared" si="156"/>
        <v>0</v>
      </c>
    </row>
    <row r="139" spans="1:22" ht="14.45" customHeight="1" thickBot="1" x14ac:dyDescent="0.25">
      <c r="A139" s="212" t="s">
        <v>190</v>
      </c>
      <c r="B139" s="115" t="s">
        <v>87</v>
      </c>
      <c r="C139" s="151"/>
      <c r="D139" s="144">
        <f>GetPatVarnum("s5zf","&amp;a0490")</f>
        <v>1086</v>
      </c>
      <c r="E139" s="196">
        <f>GetPatVarnum("s5zf","&amp;a0491")</f>
        <v>1086</v>
      </c>
      <c r="F139" s="112" t="s">
        <v>429</v>
      </c>
      <c r="G139" s="140">
        <f>G136*G$1+(G137+G138)*G$2</f>
        <v>460.33506984000002</v>
      </c>
      <c r="H139" s="140">
        <f t="shared" ref="H139:I139" si="174">H136*H$1+(H137+H138)*H$2</f>
        <v>293.34575340000004</v>
      </c>
      <c r="I139" s="140">
        <f t="shared" si="174"/>
        <v>332.32243275000002</v>
      </c>
      <c r="J139" s="141">
        <f t="shared" si="158"/>
        <v>1086.0032559900001</v>
      </c>
      <c r="K139" s="140">
        <f>K136*K$1+(K137+K138)*K$2</f>
        <v>0</v>
      </c>
      <c r="L139" s="140">
        <f t="shared" ref="L139:M139" si="175">L136*L$1+(L137+L138)*L$2</f>
        <v>0</v>
      </c>
      <c r="M139" s="140">
        <f t="shared" si="175"/>
        <v>0</v>
      </c>
      <c r="N139" s="141">
        <f t="shared" si="160"/>
        <v>0</v>
      </c>
      <c r="O139" s="140">
        <f>O136*O$1+(O137+O138)*O$2</f>
        <v>0</v>
      </c>
      <c r="P139" s="140">
        <f t="shared" ref="P139:Q139" si="176">P136*P$1+(P137+P138)*P$2</f>
        <v>0</v>
      </c>
      <c r="Q139" s="140">
        <f t="shared" si="176"/>
        <v>0</v>
      </c>
      <c r="R139" s="141">
        <f t="shared" si="162"/>
        <v>0</v>
      </c>
      <c r="S139" s="140">
        <f>S136*S$1+(S137+S138)*S$2</f>
        <v>0</v>
      </c>
      <c r="T139" s="140">
        <f t="shared" ref="T139:U139" si="177">T136*T$1+(T137+T138)*T$2</f>
        <v>0</v>
      </c>
      <c r="U139" s="140">
        <f t="shared" si="177"/>
        <v>0</v>
      </c>
      <c r="V139" s="142">
        <f t="shared" si="156"/>
        <v>0</v>
      </c>
    </row>
    <row r="140" spans="1:22" ht="14.45" customHeight="1" x14ac:dyDescent="0.2">
      <c r="A140" s="539"/>
      <c r="B140" s="495"/>
      <c r="C140" s="119"/>
      <c r="D140" s="491"/>
      <c r="E140" s="521"/>
      <c r="F140" s="130" t="s">
        <v>430</v>
      </c>
      <c r="G140" s="133">
        <f>GetPatVarnum("s5zf","&amp;a245_01_26")</f>
        <v>7.69</v>
      </c>
      <c r="H140" s="133">
        <f>GetPatVarnum("s5zf","&amp;a245_02_26")</f>
        <v>7.02</v>
      </c>
      <c r="I140" s="133">
        <f>GetPatVarnum("s5zf","&amp;a245_03_26")</f>
        <v>6.65</v>
      </c>
      <c r="J140" s="136">
        <f t="shared" ref="J140:J142" si="178">SUM(G140:I140)</f>
        <v>21.36</v>
      </c>
      <c r="K140" s="133">
        <f>GetPatVarnum("s5zf","&amp;a245_04_26")</f>
        <v>0</v>
      </c>
      <c r="L140" s="133">
        <f>GetPatVarnum("s5zf","&amp;a245_05_26")</f>
        <v>0</v>
      </c>
      <c r="M140" s="133">
        <f>GetPatVarnum("s5zf","&amp;a245_06_26")</f>
        <v>0</v>
      </c>
      <c r="N140" s="136">
        <f t="shared" ref="N140:N142" si="179">SUM(K140:M140)</f>
        <v>0</v>
      </c>
      <c r="O140" s="133">
        <f>GetPatVarnum("s5zf","&amp;a245_07_26")</f>
        <v>0</v>
      </c>
      <c r="P140" s="133">
        <f>GetPatVarnum("s5zf","&amp;a245_08_26")</f>
        <v>0</v>
      </c>
      <c r="Q140" s="133">
        <f>GetPatVarnum("s5zf","&amp;a245_09_26")</f>
        <v>0</v>
      </c>
      <c r="R140" s="136">
        <f t="shared" ref="R140:R142" si="180">SUM(O140:Q140)</f>
        <v>0</v>
      </c>
      <c r="S140" s="133">
        <f>GetPatVarnum("s5zf","&amp;a245_10_26")</f>
        <v>0</v>
      </c>
      <c r="T140" s="133">
        <f>GetPatVarnum("s5zf","&amp;a245_11_26")</f>
        <v>0</v>
      </c>
      <c r="U140" s="133">
        <f>GetPatVarnum("s5zf","&amp;a245_12_26")</f>
        <v>0</v>
      </c>
      <c r="V140" s="137">
        <f t="shared" si="156"/>
        <v>0</v>
      </c>
    </row>
    <row r="141" spans="1:22" ht="14.45" customHeight="1" x14ac:dyDescent="0.2">
      <c r="A141" s="540"/>
      <c r="B141" s="496"/>
      <c r="C141" s="117"/>
      <c r="D141" s="492"/>
      <c r="E141" s="522"/>
      <c r="F141" s="131" t="s">
        <v>431</v>
      </c>
      <c r="G141" s="134">
        <f>GetPatVarnum("s5zf","&amp;a245_01_20")</f>
        <v>1384.16</v>
      </c>
      <c r="H141" s="134">
        <f>GetPatVarnum("s5zf","&amp;a245_02_20")</f>
        <v>1383.85</v>
      </c>
      <c r="I141" s="134">
        <f>GetPatVarnum("s5zf","&amp;a245_03_20")</f>
        <v>1322</v>
      </c>
      <c r="J141" s="138">
        <f t="shared" si="178"/>
        <v>4090.01</v>
      </c>
      <c r="K141" s="134">
        <f>GetPatVarnum("s5zf","&amp;a245_04_20")</f>
        <v>0</v>
      </c>
      <c r="L141" s="134">
        <f>GetPatVarnum("s5zf","&amp;a245_05_20")</f>
        <v>0</v>
      </c>
      <c r="M141" s="134">
        <f>GetPatVarnum("s5zf","&amp;a245_06_20")</f>
        <v>0</v>
      </c>
      <c r="N141" s="138">
        <f t="shared" si="179"/>
        <v>0</v>
      </c>
      <c r="O141" s="134">
        <f>GetPatVarnum("s5zf","&amp;a245_07_20")</f>
        <v>0</v>
      </c>
      <c r="P141" s="134">
        <f>GetPatVarnum("s5zf","&amp;a245_08_20")</f>
        <v>0</v>
      </c>
      <c r="Q141" s="134">
        <f>GetPatVarnum("s5zf","&amp;a245_09_20")</f>
        <v>0</v>
      </c>
      <c r="R141" s="138">
        <f t="shared" si="180"/>
        <v>0</v>
      </c>
      <c r="S141" s="134">
        <f>GetPatVarnum("s5zf","&amp;a245_10_20")</f>
        <v>0</v>
      </c>
      <c r="T141" s="134">
        <f>GetPatVarnum("s5zf","&amp;a245_11_20")</f>
        <v>0</v>
      </c>
      <c r="U141" s="134">
        <f>GetPatVarnum("s5zf","&amp;a245_12_20")</f>
        <v>0</v>
      </c>
      <c r="V141" s="139">
        <f t="shared" si="156"/>
        <v>0</v>
      </c>
    </row>
    <row r="142" spans="1:22" ht="14.45" customHeight="1" x14ac:dyDescent="0.2">
      <c r="A142" s="540"/>
      <c r="B142" s="496"/>
      <c r="C142" s="117"/>
      <c r="D142" s="492"/>
      <c r="E142" s="522"/>
      <c r="F142" s="131" t="s">
        <v>432</v>
      </c>
      <c r="G142" s="134">
        <f>GetPatVarnum("s5zf","&amp;A245_01_44")</f>
        <v>0</v>
      </c>
      <c r="H142" s="134">
        <f>GetPatVarnum("s5zf","&amp;a245_02_44")</f>
        <v>0</v>
      </c>
      <c r="I142" s="134">
        <f>GetPatVarnum("s5zf","&amp;a245_03_44")</f>
        <v>0</v>
      </c>
      <c r="J142" s="138">
        <f t="shared" si="178"/>
        <v>0</v>
      </c>
      <c r="K142" s="134">
        <f>GetPatVarnum("s5zf","&amp;A245_04_44")</f>
        <v>0</v>
      </c>
      <c r="L142" s="134">
        <f>GetPatVarnum("s5zf","&amp;a245_05_44")</f>
        <v>0</v>
      </c>
      <c r="M142" s="134">
        <f>GetPatVarnum("s5zf","&amp;a245_06_44")</f>
        <v>0</v>
      </c>
      <c r="N142" s="138">
        <f t="shared" si="179"/>
        <v>0</v>
      </c>
      <c r="O142" s="134">
        <f>GetPatVarnum("s5zf","&amp;A245_07_44")</f>
        <v>0</v>
      </c>
      <c r="P142" s="134">
        <f>GetPatVarnum("s5zf","&amp;a245_08_44")</f>
        <v>0</v>
      </c>
      <c r="Q142" s="134">
        <f>GetPatVarnum("s5zf","&amp;a245_09_44")</f>
        <v>0</v>
      </c>
      <c r="R142" s="138">
        <f t="shared" si="180"/>
        <v>0</v>
      </c>
      <c r="S142" s="134">
        <f>GetPatVarnum("s5zf","&amp;A245_10_44")</f>
        <v>0</v>
      </c>
      <c r="T142" s="134">
        <f>GetPatVarnum("s5zf","&amp;a245_11_44")</f>
        <v>0</v>
      </c>
      <c r="U142" s="134">
        <f>GetPatVarnum("s5zf","&amp;a049_12_44")</f>
        <v>0</v>
      </c>
      <c r="V142" s="139">
        <f t="shared" si="156"/>
        <v>0</v>
      </c>
    </row>
    <row r="143" spans="1:22" ht="21" customHeight="1" thickBot="1" x14ac:dyDescent="0.25">
      <c r="A143" s="203" t="s">
        <v>247</v>
      </c>
      <c r="B143" s="115" t="s">
        <v>248</v>
      </c>
      <c r="C143" s="151"/>
      <c r="D143" s="144">
        <f>GetPatVarnum("s5zf","&amp;a2450")</f>
        <v>4104.75</v>
      </c>
      <c r="E143" s="196">
        <f>GetPatVarnum("s5zf","&amp;a2451")</f>
        <v>4104.75</v>
      </c>
      <c r="F143" s="112" t="s">
        <v>433</v>
      </c>
      <c r="G143" s="140">
        <f>G140*G$1+(G141+G142)*G$2</f>
        <v>1389.7218613500002</v>
      </c>
      <c r="H143" s="140">
        <f t="shared" ref="H143:I143" si="181">H140*H$1+(H141+H142)*H$2</f>
        <v>1388.4832670799997</v>
      </c>
      <c r="I143" s="140">
        <f t="shared" si="181"/>
        <v>1326.54408975</v>
      </c>
      <c r="J143" s="141">
        <f t="shared" si="158"/>
        <v>4104.7492181799998</v>
      </c>
      <c r="K143" s="140">
        <f>K140*K$1+(K141+K142)*K$2</f>
        <v>0</v>
      </c>
      <c r="L143" s="140">
        <f t="shared" ref="L143:M143" si="182">L140*L$1+(L141+L142)*L$2</f>
        <v>0</v>
      </c>
      <c r="M143" s="140">
        <f t="shared" si="182"/>
        <v>0</v>
      </c>
      <c r="N143" s="141">
        <f t="shared" si="160"/>
        <v>0</v>
      </c>
      <c r="O143" s="140">
        <f>O140*O$1+(O141+O142)*O$2</f>
        <v>0</v>
      </c>
      <c r="P143" s="140">
        <f t="shared" ref="P143:Q143" si="183">P140*P$1+(P141+P142)*P$2</f>
        <v>0</v>
      </c>
      <c r="Q143" s="140">
        <f t="shared" si="183"/>
        <v>0</v>
      </c>
      <c r="R143" s="141">
        <f t="shared" si="162"/>
        <v>0</v>
      </c>
      <c r="S143" s="140">
        <f>S140*S$1+(S141+S142)*S$2</f>
        <v>0</v>
      </c>
      <c r="T143" s="140">
        <f t="shared" ref="T143:U143" si="184">T140*T$1+(T141+T142)*T$2</f>
        <v>0</v>
      </c>
      <c r="U143" s="140">
        <f t="shared" si="184"/>
        <v>0</v>
      </c>
      <c r="V143" s="142">
        <f t="shared" si="156"/>
        <v>0</v>
      </c>
    </row>
    <row r="144" spans="1:22" ht="13.5" customHeight="1" x14ac:dyDescent="0.2">
      <c r="A144" s="529"/>
      <c r="B144" s="495"/>
      <c r="C144" s="119"/>
      <c r="D144" s="491"/>
      <c r="E144" s="521"/>
      <c r="F144" s="130" t="s">
        <v>434</v>
      </c>
      <c r="G144" s="133">
        <f>GetPatVarnum("s5zf","&amp;a050_01_26")</f>
        <v>3826.74</v>
      </c>
      <c r="H144" s="133">
        <f>GetPatVarnum("s5zf","&amp;a050_02_26")</f>
        <v>3174.99</v>
      </c>
      <c r="I144" s="133">
        <f>GetPatVarnum("s5zf","&amp;a050_03_26")</f>
        <v>2968.64</v>
      </c>
      <c r="J144" s="136">
        <f t="shared" ref="J144:J146" si="185">SUM(G144:I144)</f>
        <v>9970.369999999999</v>
      </c>
      <c r="K144" s="133">
        <f>GetPatVarnum("s5zf","&amp;a050_04_26")</f>
        <v>0</v>
      </c>
      <c r="L144" s="133">
        <f>GetPatVarnum("s5zf","&amp;a050_05_26")</f>
        <v>0</v>
      </c>
      <c r="M144" s="133">
        <f>GetPatVarnum("s5zf","&amp;a050_06_26")</f>
        <v>0</v>
      </c>
      <c r="N144" s="136">
        <f t="shared" ref="N144:N146" si="186">SUM(K144:M144)</f>
        <v>0</v>
      </c>
      <c r="O144" s="133">
        <f>GetPatVarnum("s5zf","&amp;a050_07_26")</f>
        <v>0</v>
      </c>
      <c r="P144" s="133">
        <f>GetPatVarnum("s5zf","&amp;a050_08_26")</f>
        <v>0</v>
      </c>
      <c r="Q144" s="133">
        <f>GetPatVarnum("s5zf","&amp;a050_09_26")</f>
        <v>0</v>
      </c>
      <c r="R144" s="136">
        <f t="shared" ref="R144:R146" si="187">SUM(O144:Q144)</f>
        <v>0</v>
      </c>
      <c r="S144" s="133">
        <f>GetPatVarnum("s5zf","&amp;a050_10_26")</f>
        <v>0</v>
      </c>
      <c r="T144" s="133">
        <f>GetPatVarnum("s5zf","&amp;a050_11_26")</f>
        <v>0</v>
      </c>
      <c r="U144" s="133">
        <f>GetPatVarnum("s5zf","&amp;a050_12_26")</f>
        <v>0</v>
      </c>
      <c r="V144" s="137">
        <f t="shared" si="156"/>
        <v>0</v>
      </c>
    </row>
    <row r="145" spans="1:22" ht="13.5" customHeight="1" x14ac:dyDescent="0.2">
      <c r="A145" s="530"/>
      <c r="B145" s="496"/>
      <c r="C145" s="117"/>
      <c r="D145" s="492"/>
      <c r="E145" s="522"/>
      <c r="F145" s="131" t="s">
        <v>435</v>
      </c>
      <c r="G145" s="134">
        <f>GetPatVarnum("s5zf","&amp;a050_01_20")</f>
        <v>316.7</v>
      </c>
      <c r="H145" s="134">
        <f>GetPatVarnum("s5zf","&amp;a050_02_20")</f>
        <v>317.73</v>
      </c>
      <c r="I145" s="134">
        <f>GetPatVarnum("s5zf","&amp;a050_03_20")</f>
        <v>309.77999999999997</v>
      </c>
      <c r="J145" s="138">
        <f t="shared" si="185"/>
        <v>944.21</v>
      </c>
      <c r="K145" s="134">
        <f>GetPatVarnum("s5zf","&amp;a050_04_20")</f>
        <v>0</v>
      </c>
      <c r="L145" s="134">
        <f>GetPatVarnum("s5zf","&amp;a050_05_20")</f>
        <v>0</v>
      </c>
      <c r="M145" s="134">
        <f>GetPatVarnum("s5zf","&amp;a050_06_20")</f>
        <v>0</v>
      </c>
      <c r="N145" s="138">
        <f t="shared" si="186"/>
        <v>0</v>
      </c>
      <c r="O145" s="134">
        <f>GetPatVarnum("s5zf","&amp;a050_07_20")</f>
        <v>0</v>
      </c>
      <c r="P145" s="134">
        <f>GetPatVarnum("s5zf","&amp;a050_08_20")</f>
        <v>0</v>
      </c>
      <c r="Q145" s="134">
        <f>GetPatVarnum("s5zf","&amp;a050_09_20")</f>
        <v>0</v>
      </c>
      <c r="R145" s="138">
        <f t="shared" si="187"/>
        <v>0</v>
      </c>
      <c r="S145" s="134">
        <f>GetPatVarnum("s5zf","&amp;a050_10_20")</f>
        <v>0</v>
      </c>
      <c r="T145" s="134">
        <f>GetPatVarnum("s5zf","&amp;a050_11_20")</f>
        <v>0</v>
      </c>
      <c r="U145" s="134">
        <f>GetPatVarnum("s5zf","&amp;a050_12_20")</f>
        <v>0</v>
      </c>
      <c r="V145" s="139">
        <f t="shared" si="156"/>
        <v>0</v>
      </c>
    </row>
    <row r="146" spans="1:22" ht="13.5" customHeight="1" x14ac:dyDescent="0.2">
      <c r="A146" s="530"/>
      <c r="B146" s="496"/>
      <c r="C146" s="117"/>
      <c r="D146" s="492"/>
      <c r="E146" s="522"/>
      <c r="F146" s="131" t="s">
        <v>436</v>
      </c>
      <c r="G146" s="134">
        <f>GetPatVarnum("s5zf","&amp;A050_01_44")</f>
        <v>0</v>
      </c>
      <c r="H146" s="134">
        <f>GetPatVarnum("s5zf","&amp;a050_02_44")</f>
        <v>0</v>
      </c>
      <c r="I146" s="134">
        <f>GetPatVarnum("s5zf","&amp;a050_03_44")</f>
        <v>0</v>
      </c>
      <c r="J146" s="138">
        <f t="shared" si="185"/>
        <v>0</v>
      </c>
      <c r="K146" s="134">
        <f>GetPatVarnum("s5zf","&amp;A050_04_44")</f>
        <v>0</v>
      </c>
      <c r="L146" s="134">
        <f>GetPatVarnum("s5zf","&amp;a050_05_44")</f>
        <v>0</v>
      </c>
      <c r="M146" s="134">
        <f>GetPatVarnum("s5zf","&amp;a050_06_44")</f>
        <v>0</v>
      </c>
      <c r="N146" s="138">
        <f t="shared" si="186"/>
        <v>0</v>
      </c>
      <c r="O146" s="134">
        <f>GetPatVarnum("s5zf","&amp;A050_07_44")</f>
        <v>0</v>
      </c>
      <c r="P146" s="134">
        <f>GetPatVarnum("s5zf","&amp;a050_08_44")</f>
        <v>0</v>
      </c>
      <c r="Q146" s="134">
        <f>GetPatVarnum("s5zf","&amp;a050_09_44")</f>
        <v>0</v>
      </c>
      <c r="R146" s="138">
        <f t="shared" si="187"/>
        <v>0</v>
      </c>
      <c r="S146" s="134">
        <f>GetPatVarnum("s5zf","&amp;A050_10_44")</f>
        <v>0</v>
      </c>
      <c r="T146" s="134">
        <f>GetPatVarnum("s5zf","&amp;a050_11_44")</f>
        <v>0</v>
      </c>
      <c r="U146" s="134">
        <f>GetPatVarnum("s5zf","&amp;a050_12_44")</f>
        <v>0</v>
      </c>
      <c r="V146" s="139">
        <f t="shared" si="156"/>
        <v>0</v>
      </c>
    </row>
    <row r="147" spans="1:22" ht="21" customHeight="1" thickBot="1" x14ac:dyDescent="0.25">
      <c r="A147" s="204" t="s">
        <v>484</v>
      </c>
      <c r="B147" s="99" t="s">
        <v>86</v>
      </c>
      <c r="C147" s="148"/>
      <c r="D147" s="109">
        <f>GetPatVarnum("s5zf","&amp;a0500")</f>
        <v>10897.05</v>
      </c>
      <c r="E147" s="205">
        <f>GetPatVarnum("s5zf","&amp;a0501")</f>
        <v>10897.05</v>
      </c>
      <c r="F147" s="112" t="s">
        <v>437</v>
      </c>
      <c r="G147" s="140">
        <f>G144*G$1+(G145+G146)*G$2</f>
        <v>4137.1046802399997</v>
      </c>
      <c r="H147" s="140">
        <f t="shared" ref="H147:I147" si="188">H144*H$1+(H145+H146)*H$2</f>
        <v>3486.7264924799997</v>
      </c>
      <c r="I147" s="140">
        <f t="shared" si="188"/>
        <v>3273.2237043</v>
      </c>
      <c r="J147" s="141">
        <f t="shared" si="158"/>
        <v>10897.05487702</v>
      </c>
      <c r="K147" s="140">
        <f>K144*K$1+(K145+K146)*K$2</f>
        <v>0</v>
      </c>
      <c r="L147" s="140">
        <f t="shared" ref="L147:M147" si="189">L144*L$1+(L145+L146)*L$2</f>
        <v>0</v>
      </c>
      <c r="M147" s="140">
        <f t="shared" si="189"/>
        <v>0</v>
      </c>
      <c r="N147" s="141">
        <f t="shared" si="160"/>
        <v>0</v>
      </c>
      <c r="O147" s="140">
        <f>O144*O$1+(O145+O146)*O$2</f>
        <v>0</v>
      </c>
      <c r="P147" s="140">
        <f t="shared" ref="P147:Q147" si="190">P144*P$1+(P145+P146)*P$2</f>
        <v>0</v>
      </c>
      <c r="Q147" s="140">
        <f t="shared" si="190"/>
        <v>0</v>
      </c>
      <c r="R147" s="141">
        <f t="shared" si="162"/>
        <v>0</v>
      </c>
      <c r="S147" s="140">
        <f>S144*S$1+(S145+S146)*S$2</f>
        <v>0</v>
      </c>
      <c r="T147" s="140">
        <f t="shared" ref="T147:U147" si="191">T144*T$1+(T145+T146)*T$2</f>
        <v>0</v>
      </c>
      <c r="U147" s="140">
        <f t="shared" si="191"/>
        <v>0</v>
      </c>
      <c r="V147" s="142">
        <f t="shared" si="156"/>
        <v>0</v>
      </c>
    </row>
    <row r="148" spans="1:22" ht="21.95" customHeight="1" thickBot="1" x14ac:dyDescent="0.25">
      <c r="A148" s="202" t="s">
        <v>85</v>
      </c>
      <c r="B148" s="115" t="s">
        <v>84</v>
      </c>
      <c r="C148" s="154"/>
      <c r="D148" s="114" t="s">
        <v>101</v>
      </c>
      <c r="E148" s="190" t="s">
        <v>101</v>
      </c>
      <c r="F148" s="177" t="s">
        <v>101</v>
      </c>
      <c r="G148" s="159" t="s">
        <v>101</v>
      </c>
      <c r="H148" s="159" t="s">
        <v>101</v>
      </c>
      <c r="I148" s="159" t="s">
        <v>101</v>
      </c>
      <c r="J148" s="159" t="s">
        <v>101</v>
      </c>
      <c r="K148" s="159" t="s">
        <v>101</v>
      </c>
      <c r="L148" s="159" t="s">
        <v>101</v>
      </c>
      <c r="M148" s="159" t="s">
        <v>101</v>
      </c>
      <c r="N148" s="159" t="s">
        <v>101</v>
      </c>
      <c r="O148" s="159" t="s">
        <v>101</v>
      </c>
      <c r="P148" s="159" t="s">
        <v>101</v>
      </c>
      <c r="Q148" s="159" t="s">
        <v>101</v>
      </c>
      <c r="R148" s="159" t="s">
        <v>101</v>
      </c>
      <c r="S148" s="159" t="s">
        <v>101</v>
      </c>
      <c r="T148" s="159" t="s">
        <v>101</v>
      </c>
      <c r="U148" s="159" t="s">
        <v>101</v>
      </c>
      <c r="V148" s="160" t="s">
        <v>101</v>
      </c>
    </row>
    <row r="149" spans="1:22" ht="13.5" customHeight="1" x14ac:dyDescent="0.2">
      <c r="A149" s="529"/>
      <c r="B149" s="495"/>
      <c r="C149" s="119"/>
      <c r="D149" s="491"/>
      <c r="E149" s="521"/>
      <c r="F149" s="130" t="s">
        <v>438</v>
      </c>
      <c r="G149" s="133">
        <f>GetPatVarnum("s5zf","&amp;a052_01_26")</f>
        <v>0</v>
      </c>
      <c r="H149" s="133">
        <f>GetPatVarnum("s5zf","&amp;a052_02_26")</f>
        <v>6.8</v>
      </c>
      <c r="I149" s="133">
        <f>GetPatVarnum("s5zf","&amp;a052_03_26")</f>
        <v>3.4</v>
      </c>
      <c r="J149" s="136">
        <f t="shared" ref="J149:J151" si="192">SUM(G149:I149)</f>
        <v>10.199999999999999</v>
      </c>
      <c r="K149" s="133">
        <f>GetPatVarnum("s5zf","&amp;a052_04_26")</f>
        <v>0</v>
      </c>
      <c r="L149" s="133">
        <f>GetPatVarnum("s5zf","&amp;a052_05_26")</f>
        <v>0</v>
      </c>
      <c r="M149" s="133">
        <f>GetPatVarnum("s5zf","&amp;a052_06_26")</f>
        <v>0</v>
      </c>
      <c r="N149" s="136">
        <f t="shared" ref="N149:N151" si="193">SUM(K149:M149)</f>
        <v>0</v>
      </c>
      <c r="O149" s="133">
        <f>GetPatVarnum("s5zf","&amp;a052_07_26")</f>
        <v>0</v>
      </c>
      <c r="P149" s="133">
        <f>GetPatVarnum("s5zf","&amp;a052_08_26")</f>
        <v>0</v>
      </c>
      <c r="Q149" s="133">
        <f>GetPatVarnum("s5zf","&amp;a052_09_26")</f>
        <v>0</v>
      </c>
      <c r="R149" s="136">
        <f t="shared" ref="R149:R151" si="194">SUM(O149:Q149)</f>
        <v>0</v>
      </c>
      <c r="S149" s="133">
        <f>GetPatVarnum("s5zf","&amp;a052_10_26")</f>
        <v>0</v>
      </c>
      <c r="T149" s="133">
        <f>GetPatVarnum("s5zf","&amp;a052_11_26")</f>
        <v>0</v>
      </c>
      <c r="U149" s="133">
        <f>GetPatVarnum("s5zf","&amp;a052_12_26")</f>
        <v>0</v>
      </c>
      <c r="V149" s="137">
        <f t="shared" ref="V149:V188" si="195">SUM(S149:U149)</f>
        <v>0</v>
      </c>
    </row>
    <row r="150" spans="1:22" ht="13.5" customHeight="1" x14ac:dyDescent="0.2">
      <c r="A150" s="530"/>
      <c r="B150" s="496"/>
      <c r="C150" s="117"/>
      <c r="D150" s="492"/>
      <c r="E150" s="522"/>
      <c r="F150" s="131" t="s">
        <v>439</v>
      </c>
      <c r="G150" s="134">
        <f>GetPatVarnum("s5zf","&amp;a052_01_20")</f>
        <v>4527.04</v>
      </c>
      <c r="H150" s="134">
        <f>GetPatVarnum("s5zf","&amp;a052_02_20")</f>
        <v>5036.76</v>
      </c>
      <c r="I150" s="134">
        <f>GetPatVarnum("s5zf","&amp;a052_03_20")</f>
        <v>5041.93</v>
      </c>
      <c r="J150" s="138">
        <f t="shared" si="192"/>
        <v>14605.73</v>
      </c>
      <c r="K150" s="134">
        <f>GetPatVarnum("s5zf","&amp;a052_04_20")</f>
        <v>0</v>
      </c>
      <c r="L150" s="134">
        <f>GetPatVarnum("s5zf","&amp;a052_05_20")</f>
        <v>0</v>
      </c>
      <c r="M150" s="134">
        <f>GetPatVarnum("s5zf","&amp;a052_06_20")</f>
        <v>0</v>
      </c>
      <c r="N150" s="138">
        <f t="shared" si="193"/>
        <v>0</v>
      </c>
      <c r="O150" s="134">
        <f>GetPatVarnum("s5zf","&amp;a052_07_20")</f>
        <v>0</v>
      </c>
      <c r="P150" s="134">
        <f>GetPatVarnum("s5zf","&amp;a052_08_20")</f>
        <v>0</v>
      </c>
      <c r="Q150" s="134">
        <f>GetPatVarnum("s5zf","&amp;a052_09_20")</f>
        <v>0</v>
      </c>
      <c r="R150" s="138">
        <f t="shared" si="194"/>
        <v>0</v>
      </c>
      <c r="S150" s="134">
        <f>GetPatVarnum("s5zf","&amp;a052_10_20")</f>
        <v>0</v>
      </c>
      <c r="T150" s="134">
        <f>GetPatVarnum("s5zf","&amp;a052_11_20")</f>
        <v>0</v>
      </c>
      <c r="U150" s="134">
        <f>GetPatVarnum("s5zf","&amp;a052_12_20")</f>
        <v>0</v>
      </c>
      <c r="V150" s="139">
        <f t="shared" si="195"/>
        <v>0</v>
      </c>
    </row>
    <row r="151" spans="1:22" ht="13.5" customHeight="1" x14ac:dyDescent="0.2">
      <c r="A151" s="530"/>
      <c r="B151" s="496"/>
      <c r="C151" s="117"/>
      <c r="D151" s="492"/>
      <c r="E151" s="522"/>
      <c r="F151" s="131" t="s">
        <v>440</v>
      </c>
      <c r="G151" s="134">
        <f>GetPatVarnum("s5zf","&amp;A052_01_44")</f>
        <v>0</v>
      </c>
      <c r="H151" s="134">
        <f>GetPatVarnum("s5zf","&amp;a052_02_44")</f>
        <v>0</v>
      </c>
      <c r="I151" s="134">
        <f>GetPatVarnum("s5zf","&amp;a052_03_44")</f>
        <v>0</v>
      </c>
      <c r="J151" s="138">
        <f t="shared" si="192"/>
        <v>0</v>
      </c>
      <c r="K151" s="134">
        <f>GetPatVarnum("s5zf","&amp;A052_04_44")</f>
        <v>0</v>
      </c>
      <c r="L151" s="134">
        <f>GetPatVarnum("s5zf","&amp;a052_05_44")</f>
        <v>0</v>
      </c>
      <c r="M151" s="134">
        <f>GetPatVarnum("s5zf","&amp;a052_06_44")</f>
        <v>0</v>
      </c>
      <c r="N151" s="138">
        <f t="shared" si="193"/>
        <v>0</v>
      </c>
      <c r="O151" s="134">
        <f>GetPatVarnum("s5zf","&amp;A052_07_44")</f>
        <v>0</v>
      </c>
      <c r="P151" s="134">
        <f>GetPatVarnum("s5zf","&amp;a052_08_44")</f>
        <v>0</v>
      </c>
      <c r="Q151" s="134">
        <f>GetPatVarnum("s5zf","&amp;a052_09_44")</f>
        <v>0</v>
      </c>
      <c r="R151" s="138">
        <f t="shared" si="194"/>
        <v>0</v>
      </c>
      <c r="S151" s="134">
        <f>GetPatVarnum("s5zf","&amp;A052_10_44")</f>
        <v>0</v>
      </c>
      <c r="T151" s="134">
        <f>GetPatVarnum("s5zf","&amp;a052_11_44")</f>
        <v>0</v>
      </c>
      <c r="U151" s="134">
        <f>GetPatVarnum("s5zf","&amp;a052_12_44")</f>
        <v>0</v>
      </c>
      <c r="V151" s="139">
        <f t="shared" si="195"/>
        <v>0</v>
      </c>
    </row>
    <row r="152" spans="1:22" ht="20.45" customHeight="1" thickBot="1" x14ac:dyDescent="0.25">
      <c r="A152" s="202" t="s">
        <v>83</v>
      </c>
      <c r="B152" s="115" t="s">
        <v>82</v>
      </c>
      <c r="C152" s="150"/>
      <c r="D152" s="144">
        <f>GetPatVarnum("s5zf","&amp;a0520")</f>
        <v>14592.36</v>
      </c>
      <c r="E152" s="196">
        <f>GetPatVarnum("s5zf","&amp;a0521")</f>
        <v>14592.36</v>
      </c>
      <c r="F152" s="112" t="s">
        <v>441</v>
      </c>
      <c r="G152" s="140">
        <f>G149*G$1+(G150+G151)*G$2</f>
        <v>4520.1181558400003</v>
      </c>
      <c r="H152" s="140">
        <f t="shared" ref="H152:I152" si="196">H149*H$1+(H150+H151)*H$2</f>
        <v>5034.9052510400006</v>
      </c>
      <c r="I152" s="140">
        <f t="shared" si="196"/>
        <v>5037.3331519500007</v>
      </c>
      <c r="J152" s="141">
        <f t="shared" ref="J152:J188" si="197">SUM(G152:I152)</f>
        <v>14592.356558830003</v>
      </c>
      <c r="K152" s="140">
        <f>K149*K$1+(K150+K151)*K$2</f>
        <v>0</v>
      </c>
      <c r="L152" s="140">
        <f t="shared" ref="L152:M152" si="198">L149*L$1+(L150+L151)*L$2</f>
        <v>0</v>
      </c>
      <c r="M152" s="140">
        <f t="shared" si="198"/>
        <v>0</v>
      </c>
      <c r="N152" s="141">
        <f t="shared" ref="N152:N188" si="199">SUM(K152:M152)</f>
        <v>0</v>
      </c>
      <c r="O152" s="140">
        <f>O149*O$1+(O150+O151)*O$2</f>
        <v>0</v>
      </c>
      <c r="P152" s="140">
        <f t="shared" ref="P152:Q152" si="200">P149*P$1+(P150+P151)*P$2</f>
        <v>0</v>
      </c>
      <c r="Q152" s="140">
        <f t="shared" si="200"/>
        <v>0</v>
      </c>
      <c r="R152" s="141">
        <f t="shared" ref="R152:R188" si="201">SUM(O152:Q152)</f>
        <v>0</v>
      </c>
      <c r="S152" s="140">
        <f>S149*S$1+(S150+S151)*S$2</f>
        <v>0</v>
      </c>
      <c r="T152" s="140">
        <f t="shared" ref="T152:U152" si="202">T149*T$1+(T150+T151)*T$2</f>
        <v>0</v>
      </c>
      <c r="U152" s="140">
        <f t="shared" si="202"/>
        <v>0</v>
      </c>
      <c r="V152" s="142">
        <f t="shared" si="195"/>
        <v>0</v>
      </c>
    </row>
    <row r="153" spans="1:22" ht="13.5" customHeight="1" x14ac:dyDescent="0.2">
      <c r="A153" s="529"/>
      <c r="B153" s="495"/>
      <c r="C153" s="119"/>
      <c r="D153" s="491"/>
      <c r="E153" s="521"/>
      <c r="F153" s="130" t="s">
        <v>442</v>
      </c>
      <c r="G153" s="133">
        <f>GetPatVarnum("s5zf","&amp;a053_01_26")</f>
        <v>176.35</v>
      </c>
      <c r="H153" s="133">
        <f>GetPatVarnum("s5zf","&amp;a053_02_26")</f>
        <v>194.73</v>
      </c>
      <c r="I153" s="133">
        <f>GetPatVarnum("s5zf","&amp;a053_03_26")</f>
        <v>195.79</v>
      </c>
      <c r="J153" s="136">
        <f t="shared" ref="J153:J155" si="203">SUM(G153:I153)</f>
        <v>566.87</v>
      </c>
      <c r="K153" s="133">
        <f>GetPatVarnum("s5zf","&amp;a053_04_26")</f>
        <v>0</v>
      </c>
      <c r="L153" s="133">
        <f>GetPatVarnum("s5zf","&amp;a053_05_26")</f>
        <v>0</v>
      </c>
      <c r="M153" s="133">
        <f>GetPatVarnum("s5zf","&amp;a053_06_26")</f>
        <v>0</v>
      </c>
      <c r="N153" s="136">
        <f t="shared" ref="N153:N155" si="204">SUM(K153:M153)</f>
        <v>0</v>
      </c>
      <c r="O153" s="133">
        <f>GetPatVarnum("s5zf","&amp;a053_07_26")</f>
        <v>0</v>
      </c>
      <c r="P153" s="133">
        <f>GetPatVarnum("s5zf","&amp;a053_08_26")</f>
        <v>0</v>
      </c>
      <c r="Q153" s="133">
        <f>GetPatVarnum("s5zf","&amp;a053_09_26")</f>
        <v>0</v>
      </c>
      <c r="R153" s="136">
        <f t="shared" ref="R153:R155" si="205">SUM(O153:Q153)</f>
        <v>0</v>
      </c>
      <c r="S153" s="133">
        <f>GetPatVarnum("s5zf","&amp;a053_10_26")</f>
        <v>0</v>
      </c>
      <c r="T153" s="133">
        <f>GetPatVarnum("s5zf","&amp;a053_11_26")</f>
        <v>0</v>
      </c>
      <c r="U153" s="133">
        <f>GetPatVarnum("s5zf","&amp;a053_12_26")</f>
        <v>0</v>
      </c>
      <c r="V153" s="137">
        <f t="shared" si="195"/>
        <v>0</v>
      </c>
    </row>
    <row r="154" spans="1:22" ht="13.5" customHeight="1" x14ac:dyDescent="0.2">
      <c r="A154" s="530"/>
      <c r="B154" s="496"/>
      <c r="C154" s="117"/>
      <c r="D154" s="492"/>
      <c r="E154" s="522"/>
      <c r="F154" s="131" t="s">
        <v>443</v>
      </c>
      <c r="G154" s="134">
        <f>GetPatVarnum("s5zf","&amp;a053_01_20")</f>
        <v>0</v>
      </c>
      <c r="H154" s="134">
        <f>GetPatVarnum("s5zf","&amp;a053_02_20")</f>
        <v>0</v>
      </c>
      <c r="I154" s="134">
        <f>GetPatVarnum("s5zf","&amp;a053_03_20")</f>
        <v>0</v>
      </c>
      <c r="J154" s="138">
        <f t="shared" si="203"/>
        <v>0</v>
      </c>
      <c r="K154" s="134">
        <f>GetPatVarnum("s5zf","&amp;a053_04_20")</f>
        <v>0</v>
      </c>
      <c r="L154" s="134">
        <f>GetPatVarnum("s5zf","&amp;a053_05_20")</f>
        <v>0</v>
      </c>
      <c r="M154" s="134">
        <f>GetPatVarnum("s5zf","&amp;a053_06_20")</f>
        <v>0</v>
      </c>
      <c r="N154" s="138">
        <f t="shared" si="204"/>
        <v>0</v>
      </c>
      <c r="O154" s="134">
        <f>GetPatVarnum("s5zf","&amp;a053_07_20")</f>
        <v>0</v>
      </c>
      <c r="P154" s="134">
        <f>GetPatVarnum("s5zf","&amp;a053_08_20")</f>
        <v>0</v>
      </c>
      <c r="Q154" s="134">
        <f>GetPatVarnum("s5zf","&amp;a053_09_20")</f>
        <v>0</v>
      </c>
      <c r="R154" s="138">
        <f t="shared" si="205"/>
        <v>0</v>
      </c>
      <c r="S154" s="134">
        <f>GetPatVarnum("s5zf","&amp;a053_10_20")</f>
        <v>0</v>
      </c>
      <c r="T154" s="134">
        <f>GetPatVarnum("s5zf","&amp;a053_11_20")</f>
        <v>0</v>
      </c>
      <c r="U154" s="134">
        <f>GetPatVarnum("s5zf","&amp;a053_12_20")</f>
        <v>0</v>
      </c>
      <c r="V154" s="139">
        <f t="shared" si="195"/>
        <v>0</v>
      </c>
    </row>
    <row r="155" spans="1:22" ht="13.5" customHeight="1" x14ac:dyDescent="0.2">
      <c r="A155" s="530"/>
      <c r="B155" s="496"/>
      <c r="C155" s="117"/>
      <c r="D155" s="492"/>
      <c r="E155" s="522"/>
      <c r="F155" s="131" t="s">
        <v>444</v>
      </c>
      <c r="G155" s="134">
        <f>GetPatVarnum("s5zf","&amp;A053_01_44")</f>
        <v>0</v>
      </c>
      <c r="H155" s="134">
        <f>GetPatVarnum("s5zf","&amp;a053_02_44")</f>
        <v>0</v>
      </c>
      <c r="I155" s="134">
        <f>GetPatVarnum("s5zf","&amp;a053_03_44")</f>
        <v>0</v>
      </c>
      <c r="J155" s="138">
        <f t="shared" si="203"/>
        <v>0</v>
      </c>
      <c r="K155" s="134">
        <f>GetPatVarnum("s5zf","&amp;A053_04_44")</f>
        <v>0</v>
      </c>
      <c r="L155" s="134">
        <f>GetPatVarnum("s5zf","&amp;a053_05_44")</f>
        <v>0</v>
      </c>
      <c r="M155" s="134">
        <f>GetPatVarnum("s5zf","&amp;a053_06_44")</f>
        <v>0</v>
      </c>
      <c r="N155" s="138">
        <f t="shared" si="204"/>
        <v>0</v>
      </c>
      <c r="O155" s="134">
        <f>GetPatVarnum("s5zf","&amp;A053_07_44")</f>
        <v>0</v>
      </c>
      <c r="P155" s="134">
        <f>GetPatVarnum("s5zf","&amp;a053_08_44")</f>
        <v>0</v>
      </c>
      <c r="Q155" s="134">
        <f>GetPatVarnum("s5zf","&amp;a053_09_44")</f>
        <v>0</v>
      </c>
      <c r="R155" s="138">
        <f t="shared" si="205"/>
        <v>0</v>
      </c>
      <c r="S155" s="134">
        <f>GetPatVarnum("s5zf","&amp;A053_10_44")</f>
        <v>0</v>
      </c>
      <c r="T155" s="134">
        <f>GetPatVarnum("s5zf","&amp;a053_11_44")</f>
        <v>0</v>
      </c>
      <c r="U155" s="134">
        <f>GetPatVarnum("s5zf","&amp;a053_12_44")</f>
        <v>0</v>
      </c>
      <c r="V155" s="139">
        <f t="shared" si="195"/>
        <v>0</v>
      </c>
    </row>
    <row r="156" spans="1:22" ht="25.5" customHeight="1" thickBot="1" x14ac:dyDescent="0.25">
      <c r="A156" s="202" t="s">
        <v>81</v>
      </c>
      <c r="B156" s="115" t="s">
        <v>80</v>
      </c>
      <c r="C156" s="151"/>
      <c r="D156" s="144">
        <f>GetPatVarnum("s5zf","&amp;a0530")</f>
        <v>565.96</v>
      </c>
      <c r="E156" s="196">
        <f>GetPatVarnum("s5zf","&amp;a0531")</f>
        <v>565.96</v>
      </c>
      <c r="F156" s="112" t="s">
        <v>445</v>
      </c>
      <c r="G156" s="140">
        <f>G153*G$1+(G154+G155)*G$2</f>
        <v>176.08036085000001</v>
      </c>
      <c r="H156" s="140">
        <f t="shared" ref="H156:I156" si="206">H153*H$1+(H154+H155)*H$2</f>
        <v>194.39584331999998</v>
      </c>
      <c r="I156" s="140">
        <f t="shared" si="206"/>
        <v>195.47967285000001</v>
      </c>
      <c r="J156" s="141">
        <f t="shared" si="197"/>
        <v>565.95587702</v>
      </c>
      <c r="K156" s="140">
        <f>K153*K$1+(K154+K155)*K$2</f>
        <v>0</v>
      </c>
      <c r="L156" s="140">
        <f t="shared" ref="L156:M156" si="207">L153*L$1+(L154+L155)*L$2</f>
        <v>0</v>
      </c>
      <c r="M156" s="140">
        <f t="shared" si="207"/>
        <v>0</v>
      </c>
      <c r="N156" s="141">
        <f t="shared" si="199"/>
        <v>0</v>
      </c>
      <c r="O156" s="140">
        <f>O153*O$1+(O154+O155)*O$2</f>
        <v>0</v>
      </c>
      <c r="P156" s="140">
        <f t="shared" ref="P156:Q156" si="208">P153*P$1+(P154+P155)*P$2</f>
        <v>0</v>
      </c>
      <c r="Q156" s="140">
        <f t="shared" si="208"/>
        <v>0</v>
      </c>
      <c r="R156" s="141">
        <f t="shared" si="201"/>
        <v>0</v>
      </c>
      <c r="S156" s="140">
        <f>S153*S$1+(S154+S155)*S$2</f>
        <v>0</v>
      </c>
      <c r="T156" s="140">
        <f t="shared" ref="T156:U156" si="209">T153*T$1+(T154+T155)*T$2</f>
        <v>0</v>
      </c>
      <c r="U156" s="140">
        <f t="shared" si="209"/>
        <v>0</v>
      </c>
      <c r="V156" s="142">
        <f t="shared" si="195"/>
        <v>0</v>
      </c>
    </row>
    <row r="157" spans="1:22" ht="13.5" customHeight="1" x14ac:dyDescent="0.2">
      <c r="A157" s="529"/>
      <c r="B157" s="495"/>
      <c r="C157" s="120"/>
      <c r="D157" s="491"/>
      <c r="E157" s="521"/>
      <c r="F157" s="130" t="s">
        <v>446</v>
      </c>
      <c r="G157" s="133">
        <f>GetPatVarnum("s5zf","&amp;a054_01_26")</f>
        <v>0</v>
      </c>
      <c r="H157" s="133">
        <f>GetPatVarnum("s5zf","&amp;a054_02_26")</f>
        <v>0</v>
      </c>
      <c r="I157" s="133">
        <f>GetPatVarnum("s5zf","&amp;a054_03_26")</f>
        <v>0</v>
      </c>
      <c r="J157" s="136">
        <f t="shared" ref="J157:J159" si="210">SUM(G157:I157)</f>
        <v>0</v>
      </c>
      <c r="K157" s="133">
        <f>GetPatVarnum("s5zf","&amp;a054_04_26")</f>
        <v>0</v>
      </c>
      <c r="L157" s="133">
        <f>GetPatVarnum("s5zf","&amp;a054_05_26")</f>
        <v>0</v>
      </c>
      <c r="M157" s="133">
        <f>GetPatVarnum("s5zf","&amp;a054_06_26")</f>
        <v>0</v>
      </c>
      <c r="N157" s="136">
        <f t="shared" ref="N157:N159" si="211">SUM(K157:M157)</f>
        <v>0</v>
      </c>
      <c r="O157" s="133">
        <f>GetPatVarnum("s5zf","&amp;a054_07_26")</f>
        <v>0</v>
      </c>
      <c r="P157" s="133">
        <f>GetPatVarnum("s5zf","&amp;a054_08_26")</f>
        <v>0</v>
      </c>
      <c r="Q157" s="133">
        <f>GetPatVarnum("s5zf","&amp;a054_09_26")</f>
        <v>0</v>
      </c>
      <c r="R157" s="136">
        <f t="shared" ref="R157:R159" si="212">SUM(O157:Q157)</f>
        <v>0</v>
      </c>
      <c r="S157" s="133">
        <f>GetPatVarnum("s5zf","&amp;a054_10_26")</f>
        <v>0</v>
      </c>
      <c r="T157" s="133">
        <f>GetPatVarnum("s5zf","&amp;a054_11_26")</f>
        <v>0</v>
      </c>
      <c r="U157" s="133">
        <f>GetPatVarnum("s5zf","&amp;a054_12_26")</f>
        <v>0</v>
      </c>
      <c r="V157" s="137">
        <f t="shared" si="195"/>
        <v>0</v>
      </c>
    </row>
    <row r="158" spans="1:22" ht="13.5" customHeight="1" x14ac:dyDescent="0.2">
      <c r="A158" s="530"/>
      <c r="B158" s="496"/>
      <c r="C158" s="118"/>
      <c r="D158" s="492"/>
      <c r="E158" s="522"/>
      <c r="F158" s="131" t="s">
        <v>447</v>
      </c>
      <c r="G158" s="134">
        <f>GetPatVarnum("s5zf","&amp;a054_01_20")</f>
        <v>0</v>
      </c>
      <c r="H158" s="134">
        <f>GetPatVarnum("s5zf","&amp;a054_02_20")</f>
        <v>0</v>
      </c>
      <c r="I158" s="134">
        <f>GetPatVarnum("s5zf","&amp;a054_03_20")</f>
        <v>0</v>
      </c>
      <c r="J158" s="138">
        <f t="shared" si="210"/>
        <v>0</v>
      </c>
      <c r="K158" s="134">
        <f>GetPatVarnum("s5zf","&amp;a054_04_20")</f>
        <v>0</v>
      </c>
      <c r="L158" s="134">
        <f>GetPatVarnum("s5zf","&amp;a054_05_20")</f>
        <v>0</v>
      </c>
      <c r="M158" s="134">
        <f>GetPatVarnum("s5zf","&amp;a054_06_20")</f>
        <v>0</v>
      </c>
      <c r="N158" s="138">
        <f t="shared" si="211"/>
        <v>0</v>
      </c>
      <c r="O158" s="134">
        <f>GetPatVarnum("s5zf","&amp;a054_07_20")</f>
        <v>0</v>
      </c>
      <c r="P158" s="134">
        <f>GetPatVarnum("s5zf","&amp;a054_08_20")</f>
        <v>0</v>
      </c>
      <c r="Q158" s="134">
        <f>GetPatVarnum("s5zf","&amp;a054_09_20")</f>
        <v>0</v>
      </c>
      <c r="R158" s="138">
        <f t="shared" si="212"/>
        <v>0</v>
      </c>
      <c r="S158" s="134">
        <f>GetPatVarnum("s5zf","&amp;a054_10_20")</f>
        <v>0</v>
      </c>
      <c r="T158" s="134">
        <f>GetPatVarnum("s5zf","&amp;a054_11_20")</f>
        <v>0</v>
      </c>
      <c r="U158" s="134">
        <f>GetPatVarnum("s5zf","&amp;a054_12_20")</f>
        <v>0</v>
      </c>
      <c r="V158" s="139">
        <f t="shared" si="195"/>
        <v>0</v>
      </c>
    </row>
    <row r="159" spans="1:22" ht="13.5" customHeight="1" x14ac:dyDescent="0.2">
      <c r="A159" s="530"/>
      <c r="B159" s="496"/>
      <c r="C159" s="118"/>
      <c r="D159" s="492"/>
      <c r="E159" s="522"/>
      <c r="F159" s="131" t="s">
        <v>448</v>
      </c>
      <c r="G159" s="134">
        <f>GetPatVarnum("s5zf","&amp;A054_01_44")</f>
        <v>0</v>
      </c>
      <c r="H159" s="134">
        <f>GetPatVarnum("s5zf","&amp;a054_02_44")</f>
        <v>0</v>
      </c>
      <c r="I159" s="134">
        <f>GetPatVarnum("s5zf","&amp;a054_03_44")</f>
        <v>0</v>
      </c>
      <c r="J159" s="138">
        <f t="shared" si="210"/>
        <v>0</v>
      </c>
      <c r="K159" s="134">
        <f>GetPatVarnum("s5zf","&amp;A054_04_44")</f>
        <v>0</v>
      </c>
      <c r="L159" s="134">
        <f>GetPatVarnum("s5zf","&amp;a054_05_44")</f>
        <v>0</v>
      </c>
      <c r="M159" s="134">
        <f>GetPatVarnum("s5zf","&amp;a054_06_44")</f>
        <v>0</v>
      </c>
      <c r="N159" s="138">
        <f t="shared" si="211"/>
        <v>0</v>
      </c>
      <c r="O159" s="134">
        <f>GetPatVarnum("s5zf","&amp;A054_07_44")</f>
        <v>0</v>
      </c>
      <c r="P159" s="134">
        <f>GetPatVarnum("s5zf","&amp;a054_08_44")</f>
        <v>0</v>
      </c>
      <c r="Q159" s="134">
        <f>GetPatVarnum("s5zf","&amp;a054_09_44")</f>
        <v>0</v>
      </c>
      <c r="R159" s="138">
        <f t="shared" si="212"/>
        <v>0</v>
      </c>
      <c r="S159" s="134">
        <f>GetPatVarnum("s5zf","&amp;A054_10_44")</f>
        <v>0</v>
      </c>
      <c r="T159" s="134">
        <f>GetPatVarnum("s5zf","&amp;a054_11_44")</f>
        <v>0</v>
      </c>
      <c r="U159" s="134">
        <f>GetPatVarnum("s5zf","&amp;a054_12_44")</f>
        <v>0</v>
      </c>
      <c r="V159" s="139">
        <f t="shared" si="195"/>
        <v>0</v>
      </c>
    </row>
    <row r="160" spans="1:22" ht="25.5" customHeight="1" thickBot="1" x14ac:dyDescent="0.25">
      <c r="A160" s="212" t="s">
        <v>191</v>
      </c>
      <c r="B160" s="115" t="s">
        <v>79</v>
      </c>
      <c r="C160" s="151"/>
      <c r="D160" s="144">
        <f>GetPatVarnum("s5zf","&amp;a0540")</f>
        <v>0</v>
      </c>
      <c r="E160" s="196">
        <f>GetPatVarnum("s5zf","&amp;a0541")</f>
        <v>0</v>
      </c>
      <c r="F160" s="112" t="s">
        <v>449</v>
      </c>
      <c r="G160" s="140">
        <f>G157*G$1+(G158+G159)*G$2</f>
        <v>0</v>
      </c>
      <c r="H160" s="140">
        <f t="shared" ref="H160:I160" si="213">H157*H$1+(H158+H159)*H$2</f>
        <v>0</v>
      </c>
      <c r="I160" s="140">
        <f t="shared" si="213"/>
        <v>0</v>
      </c>
      <c r="J160" s="141">
        <f t="shared" si="197"/>
        <v>0</v>
      </c>
      <c r="K160" s="140">
        <f>K157*K$1+(K158+K159)*K$2</f>
        <v>0</v>
      </c>
      <c r="L160" s="140">
        <f t="shared" ref="L160:M160" si="214">L157*L$1+(L158+L159)*L$2</f>
        <v>0</v>
      </c>
      <c r="M160" s="140">
        <f t="shared" si="214"/>
        <v>0</v>
      </c>
      <c r="N160" s="141">
        <f t="shared" si="199"/>
        <v>0</v>
      </c>
      <c r="O160" s="140">
        <f>O157*O$1+(O158+O159)*O$2</f>
        <v>0</v>
      </c>
      <c r="P160" s="140">
        <f t="shared" ref="P160:Q160" si="215">P157*P$1+(P158+P159)*P$2</f>
        <v>0</v>
      </c>
      <c r="Q160" s="140">
        <f t="shared" si="215"/>
        <v>0</v>
      </c>
      <c r="R160" s="141">
        <f t="shared" si="201"/>
        <v>0</v>
      </c>
      <c r="S160" s="140">
        <f>S157*S$1+(S158+S159)*S$2</f>
        <v>0</v>
      </c>
      <c r="T160" s="140">
        <f t="shared" ref="T160:U160" si="216">T157*T$1+(T158+T159)*T$2</f>
        <v>0</v>
      </c>
      <c r="U160" s="140">
        <f t="shared" si="216"/>
        <v>0</v>
      </c>
      <c r="V160" s="142">
        <f t="shared" si="195"/>
        <v>0</v>
      </c>
    </row>
    <row r="161" spans="1:22" ht="13.5" customHeight="1" x14ac:dyDescent="0.2">
      <c r="A161" s="541"/>
      <c r="B161" s="495"/>
      <c r="C161" s="120"/>
      <c r="D161" s="543"/>
      <c r="E161" s="493"/>
      <c r="F161" s="130" t="s">
        <v>450</v>
      </c>
      <c r="G161" s="133">
        <f>GetPatVarnum("s5zf","&amp;a055_01_26")</f>
        <v>0</v>
      </c>
      <c r="H161" s="133">
        <f>GetPatVarnum("s5zf","&amp;a055_02_26")</f>
        <v>1875.79</v>
      </c>
      <c r="I161" s="133">
        <f>GetPatVarnum("s5zf","&amp;a055_03_26")</f>
        <v>1875.79</v>
      </c>
      <c r="J161" s="136">
        <f t="shared" ref="J161:J163" si="217">SUM(G161:I161)</f>
        <v>3751.58</v>
      </c>
      <c r="K161" s="133">
        <f>GetPatVarnum("s5zf","&amp;a055_04_26")</f>
        <v>0</v>
      </c>
      <c r="L161" s="133">
        <f>GetPatVarnum("s5zf","&amp;a055_05_26")</f>
        <v>0</v>
      </c>
      <c r="M161" s="133">
        <f>GetPatVarnum("s5zf","&amp;a055_06_26")</f>
        <v>0</v>
      </c>
      <c r="N161" s="136">
        <f t="shared" ref="N161:N163" si="218">SUM(K161:M161)</f>
        <v>0</v>
      </c>
      <c r="O161" s="133">
        <f>GetPatVarnum("s5zf","&amp;a055_07_26")</f>
        <v>0</v>
      </c>
      <c r="P161" s="133">
        <f>GetPatVarnum("s5zf","&amp;a055_08_26")</f>
        <v>0</v>
      </c>
      <c r="Q161" s="133">
        <f>GetPatVarnum("s5zf","&amp;a055_09_26")</f>
        <v>0</v>
      </c>
      <c r="R161" s="136">
        <f t="shared" ref="R161:R163" si="219">SUM(O161:Q161)</f>
        <v>0</v>
      </c>
      <c r="S161" s="133">
        <f>GetPatVarnum("s5zf","&amp;a055_10_26")</f>
        <v>0</v>
      </c>
      <c r="T161" s="133">
        <f>GetPatVarnum("s5zf","&amp;a055_11_26")</f>
        <v>0</v>
      </c>
      <c r="U161" s="133">
        <f>GetPatVarnum("s5zf","&amp;a055_12_26")</f>
        <v>0</v>
      </c>
      <c r="V161" s="137">
        <f t="shared" si="195"/>
        <v>0</v>
      </c>
    </row>
    <row r="162" spans="1:22" ht="13.5" customHeight="1" x14ac:dyDescent="0.2">
      <c r="A162" s="542"/>
      <c r="B162" s="496"/>
      <c r="C162" s="118"/>
      <c r="D162" s="544"/>
      <c r="E162" s="494"/>
      <c r="F162" s="131" t="s">
        <v>451</v>
      </c>
      <c r="G162" s="134">
        <f>GetPatVarnum("s5zf","&amp;a055_01_20")</f>
        <v>31881.97</v>
      </c>
      <c r="H162" s="134">
        <f>GetPatVarnum("s5zf","&amp;a055_02_20")</f>
        <v>29610.13</v>
      </c>
      <c r="I162" s="134">
        <f>GetPatVarnum("s5zf","&amp;a055_03_20")</f>
        <v>29311.17</v>
      </c>
      <c r="J162" s="138">
        <f t="shared" si="217"/>
        <v>90803.27</v>
      </c>
      <c r="K162" s="134">
        <f>GetPatVarnum("s5zf","&amp;a055_04_20")</f>
        <v>0</v>
      </c>
      <c r="L162" s="134">
        <f>GetPatVarnum("s5zf","&amp;a055_05_20")</f>
        <v>0</v>
      </c>
      <c r="M162" s="134">
        <f>GetPatVarnum("s5zf","&amp;a055_06_20")</f>
        <v>0</v>
      </c>
      <c r="N162" s="138">
        <f t="shared" si="218"/>
        <v>0</v>
      </c>
      <c r="O162" s="134">
        <f>GetPatVarnum("s5zf","&amp;a055_07_20")</f>
        <v>0</v>
      </c>
      <c r="P162" s="134">
        <f>GetPatVarnum("s5zf","&amp;a055_08_20")</f>
        <v>0</v>
      </c>
      <c r="Q162" s="134">
        <f>GetPatVarnum("s5zf","&amp;a055_09_20")</f>
        <v>0</v>
      </c>
      <c r="R162" s="138">
        <f t="shared" si="219"/>
        <v>0</v>
      </c>
      <c r="S162" s="134">
        <f>GetPatVarnum("s5zf","&amp;a055_10_20")</f>
        <v>0</v>
      </c>
      <c r="T162" s="134">
        <f>GetPatVarnum("s5zf","&amp;a055_11_20")</f>
        <v>0</v>
      </c>
      <c r="U162" s="134">
        <f>GetPatVarnum("s5zf","&amp;a055_12_20")</f>
        <v>0</v>
      </c>
      <c r="V162" s="139">
        <f t="shared" si="195"/>
        <v>0</v>
      </c>
    </row>
    <row r="163" spans="1:22" ht="13.5" customHeight="1" x14ac:dyDescent="0.2">
      <c r="A163" s="542"/>
      <c r="B163" s="496"/>
      <c r="C163" s="118"/>
      <c r="D163" s="544"/>
      <c r="E163" s="494"/>
      <c r="F163" s="131" t="s">
        <v>452</v>
      </c>
      <c r="G163" s="134">
        <f>GetPatVarnum("s5zf","&amp;A055_01_44")</f>
        <v>0</v>
      </c>
      <c r="H163" s="134">
        <f>GetPatVarnum("s5zf","&amp;a055_02_44")</f>
        <v>0</v>
      </c>
      <c r="I163" s="134">
        <f>GetPatVarnum("s5zf","&amp;a055_03_44")</f>
        <v>0</v>
      </c>
      <c r="J163" s="138">
        <f t="shared" si="217"/>
        <v>0</v>
      </c>
      <c r="K163" s="134">
        <f>GetPatVarnum("s5zf","&amp;A055_04_44")</f>
        <v>0</v>
      </c>
      <c r="L163" s="134">
        <f>GetPatVarnum("s5zf","&amp;a055_05_44")</f>
        <v>0</v>
      </c>
      <c r="M163" s="134">
        <f>GetPatVarnum("s5zf","&amp;a055_06_44")</f>
        <v>0</v>
      </c>
      <c r="N163" s="138">
        <f t="shared" si="218"/>
        <v>0</v>
      </c>
      <c r="O163" s="134">
        <f>GetPatVarnum("s5zf","&amp;A055_07_44")</f>
        <v>0</v>
      </c>
      <c r="P163" s="134">
        <f>GetPatVarnum("s5zf","&amp;a055_08_44")</f>
        <v>0</v>
      </c>
      <c r="Q163" s="134">
        <f>GetPatVarnum("s5zf","&amp;a055_09_44")</f>
        <v>0</v>
      </c>
      <c r="R163" s="138">
        <f t="shared" si="219"/>
        <v>0</v>
      </c>
      <c r="S163" s="134">
        <f>GetPatVarnum("s5zf","&amp;A055_10_44")</f>
        <v>0</v>
      </c>
      <c r="T163" s="134">
        <f>GetPatVarnum("s5zf","&amp;a055_11_44")</f>
        <v>0</v>
      </c>
      <c r="U163" s="134">
        <f>GetPatVarnum("s5zf","&amp;a055_12_44")</f>
        <v>0</v>
      </c>
      <c r="V163" s="139">
        <f t="shared" si="195"/>
        <v>0</v>
      </c>
    </row>
    <row r="164" spans="1:22" ht="24" customHeight="1" thickBot="1" x14ac:dyDescent="0.25">
      <c r="A164" s="212" t="s">
        <v>192</v>
      </c>
      <c r="B164" s="115" t="s">
        <v>78</v>
      </c>
      <c r="C164" s="151"/>
      <c r="D164" s="155">
        <f>GetPatVarnum("s5zf","&amp;a0550")</f>
        <v>94402.64</v>
      </c>
      <c r="E164" s="192">
        <f>GetPatVarnum("s5zf","&amp;a0551")</f>
        <v>94402.64</v>
      </c>
      <c r="F164" s="112" t="s">
        <v>453</v>
      </c>
      <c r="G164" s="140">
        <f>G161*G$1+(G162+G163)*G$2</f>
        <v>31833.22246787</v>
      </c>
      <c r="H164" s="140">
        <f t="shared" ref="H164:I164" si="220">H161*H$1+(H162+H163)*H$2</f>
        <v>31431.89016128</v>
      </c>
      <c r="I164" s="140">
        <f t="shared" si="220"/>
        <v>31137.528668399998</v>
      </c>
      <c r="J164" s="141">
        <f t="shared" si="197"/>
        <v>94402.641297549999</v>
      </c>
      <c r="K164" s="140">
        <f>K161*K$1+(K162+K163)*K$2</f>
        <v>0</v>
      </c>
      <c r="L164" s="140">
        <f t="shared" ref="L164:M164" si="221">L161*L$1+(L162+L163)*L$2</f>
        <v>0</v>
      </c>
      <c r="M164" s="140">
        <f t="shared" si="221"/>
        <v>0</v>
      </c>
      <c r="N164" s="141">
        <f t="shared" si="199"/>
        <v>0</v>
      </c>
      <c r="O164" s="140">
        <f>O161*O$1+(O162+O163)*O$2</f>
        <v>0</v>
      </c>
      <c r="P164" s="140">
        <f t="shared" ref="P164:Q164" si="222">P161*P$1+(P162+P163)*P$2</f>
        <v>0</v>
      </c>
      <c r="Q164" s="140">
        <f t="shared" si="222"/>
        <v>0</v>
      </c>
      <c r="R164" s="141">
        <f t="shared" si="201"/>
        <v>0</v>
      </c>
      <c r="S164" s="140">
        <f>S161*S$1+(S162+S163)*S$2</f>
        <v>0</v>
      </c>
      <c r="T164" s="140">
        <f t="shared" ref="T164:U164" si="223">T161*T$1+(T162+T163)*T$2</f>
        <v>0</v>
      </c>
      <c r="U164" s="140">
        <f t="shared" si="223"/>
        <v>0</v>
      </c>
      <c r="V164" s="142">
        <f t="shared" si="195"/>
        <v>0</v>
      </c>
    </row>
    <row r="165" spans="1:22" ht="13.5" customHeight="1" x14ac:dyDescent="0.2">
      <c r="A165" s="541"/>
      <c r="B165" s="495"/>
      <c r="C165" s="120"/>
      <c r="D165" s="491"/>
      <c r="E165" s="521"/>
      <c r="F165" s="130" t="s">
        <v>454</v>
      </c>
      <c r="G165" s="133">
        <f>GetPatVarnum("s5zf","&amp;a056_01_26")</f>
        <v>322.5</v>
      </c>
      <c r="H165" s="133">
        <f>GetPatVarnum("s5zf","&amp;a056_02_26")</f>
        <v>500</v>
      </c>
      <c r="I165" s="133">
        <f>GetPatVarnum("s5zf","&amp;a056_03_26")</f>
        <v>91</v>
      </c>
      <c r="J165" s="136">
        <f t="shared" ref="J165:J167" si="224">SUM(G165:I165)</f>
        <v>913.5</v>
      </c>
      <c r="K165" s="133">
        <f>GetPatVarnum("s5zf","&amp;a056_04_26")</f>
        <v>0</v>
      </c>
      <c r="L165" s="133">
        <f>GetPatVarnum("s5zf","&amp;a056_05_26")</f>
        <v>0</v>
      </c>
      <c r="M165" s="133">
        <f>GetPatVarnum("s5zf","&amp;a056_06_26")</f>
        <v>0</v>
      </c>
      <c r="N165" s="136">
        <f t="shared" ref="N165:N167" si="225">SUM(K165:M165)</f>
        <v>0</v>
      </c>
      <c r="O165" s="133">
        <f>GetPatVarnum("s5zf","&amp;a056_07_26")</f>
        <v>0</v>
      </c>
      <c r="P165" s="133">
        <f>GetPatVarnum("s5zf","&amp;a056_08_26")</f>
        <v>0</v>
      </c>
      <c r="Q165" s="133">
        <f>GetPatVarnum("s5zf","&amp;a056_09_26")</f>
        <v>0</v>
      </c>
      <c r="R165" s="136">
        <f t="shared" ref="R165:R167" si="226">SUM(O165:Q165)</f>
        <v>0</v>
      </c>
      <c r="S165" s="133">
        <f>GetPatVarnum("s5zf","&amp;a056_10_26")</f>
        <v>0</v>
      </c>
      <c r="T165" s="133">
        <f>GetPatVarnum("s5zf","&amp;a056_11_26")</f>
        <v>0</v>
      </c>
      <c r="U165" s="133">
        <f>GetPatVarnum("s5zf","&amp;a056_12_26")</f>
        <v>0</v>
      </c>
      <c r="V165" s="137">
        <f t="shared" si="195"/>
        <v>0</v>
      </c>
    </row>
    <row r="166" spans="1:22" ht="13.5" customHeight="1" x14ac:dyDescent="0.2">
      <c r="A166" s="542"/>
      <c r="B166" s="496"/>
      <c r="C166" s="118"/>
      <c r="D166" s="492"/>
      <c r="E166" s="522"/>
      <c r="F166" s="131" t="s">
        <v>455</v>
      </c>
      <c r="G166" s="134">
        <f>GetPatVarnum("s5zf","&amp;a056_01_20")</f>
        <v>483</v>
      </c>
      <c r="H166" s="134">
        <f>GetPatVarnum("s5zf","&amp;a056_02_20")</f>
        <v>0</v>
      </c>
      <c r="I166" s="134">
        <f>GetPatVarnum("s5zf","&amp;a056_03_20")</f>
        <v>1750</v>
      </c>
      <c r="J166" s="138">
        <f t="shared" si="224"/>
        <v>2233</v>
      </c>
      <c r="K166" s="134">
        <f>GetPatVarnum("s5zf","&amp;a056_04_20")</f>
        <v>0</v>
      </c>
      <c r="L166" s="134">
        <f>GetPatVarnum("s5zf","&amp;a056_05_20")</f>
        <v>0</v>
      </c>
      <c r="M166" s="134">
        <f>GetPatVarnum("s5zf","&amp;a056_06_20")</f>
        <v>0</v>
      </c>
      <c r="N166" s="138">
        <f t="shared" si="225"/>
        <v>0</v>
      </c>
      <c r="O166" s="134">
        <f>GetPatVarnum("s5zf","&amp;a056_07_20")</f>
        <v>0</v>
      </c>
      <c r="P166" s="134">
        <f>GetPatVarnum("s5zf","&amp;a056_08_20")</f>
        <v>0</v>
      </c>
      <c r="Q166" s="134">
        <f>GetPatVarnum("s5zf","&amp;a056_09_20")</f>
        <v>0</v>
      </c>
      <c r="R166" s="138">
        <f t="shared" si="226"/>
        <v>0</v>
      </c>
      <c r="S166" s="134">
        <f>GetPatVarnum("s5zf","&amp;a056_10_20")</f>
        <v>0</v>
      </c>
      <c r="T166" s="134">
        <f>GetPatVarnum("s5zf","&amp;a056_11_20")</f>
        <v>0</v>
      </c>
      <c r="U166" s="134">
        <f>GetPatVarnum("s5zf","&amp;a056_12_20")</f>
        <v>0</v>
      </c>
      <c r="V166" s="139">
        <f t="shared" si="195"/>
        <v>0</v>
      </c>
    </row>
    <row r="167" spans="1:22" ht="13.5" customHeight="1" x14ac:dyDescent="0.2">
      <c r="A167" s="542"/>
      <c r="B167" s="496"/>
      <c r="C167" s="118"/>
      <c r="D167" s="492"/>
      <c r="E167" s="522"/>
      <c r="F167" s="131" t="s">
        <v>456</v>
      </c>
      <c r="G167" s="134">
        <f>GetPatVarnum("s5zf","&amp;A056_01_44")</f>
        <v>0</v>
      </c>
      <c r="H167" s="134">
        <f>GetPatVarnum("s5zf","&amp;a056_02_44")</f>
        <v>0</v>
      </c>
      <c r="I167" s="134">
        <f>GetPatVarnum("s5zf","&amp;a056_03_44")</f>
        <v>0</v>
      </c>
      <c r="J167" s="138">
        <f t="shared" si="224"/>
        <v>0</v>
      </c>
      <c r="K167" s="134">
        <f>GetPatVarnum("s5zf","&amp;A056_04_44")</f>
        <v>0</v>
      </c>
      <c r="L167" s="134">
        <f>GetPatVarnum("s5zf","&amp;a056_05_44")</f>
        <v>0</v>
      </c>
      <c r="M167" s="134">
        <f>GetPatVarnum("s5zf","&amp;a056_06_44")</f>
        <v>0</v>
      </c>
      <c r="N167" s="138">
        <f t="shared" si="225"/>
        <v>0</v>
      </c>
      <c r="O167" s="134">
        <f>GetPatVarnum("s5zf","&amp;A056_07_44")</f>
        <v>0</v>
      </c>
      <c r="P167" s="134">
        <f>GetPatVarnum("s5zf","&amp;a056_08_44")</f>
        <v>0</v>
      </c>
      <c r="Q167" s="134">
        <f>GetPatVarnum("s5zf","&amp;a056_09_44")</f>
        <v>0</v>
      </c>
      <c r="R167" s="138">
        <f t="shared" si="226"/>
        <v>0</v>
      </c>
      <c r="S167" s="134">
        <f>GetPatVarnum("s5zf","&amp;A056_10_44")</f>
        <v>0</v>
      </c>
      <c r="T167" s="134">
        <f>GetPatVarnum("s5zf","&amp;a056_11_44")</f>
        <v>0</v>
      </c>
      <c r="U167" s="134">
        <f>GetPatVarnum("s5zf","&amp;a056_12_44")</f>
        <v>0</v>
      </c>
      <c r="V167" s="139">
        <f t="shared" si="195"/>
        <v>0</v>
      </c>
    </row>
    <row r="168" spans="1:22" ht="15" customHeight="1" thickBot="1" x14ac:dyDescent="0.25">
      <c r="A168" s="202" t="s">
        <v>77</v>
      </c>
      <c r="B168" s="115" t="s">
        <v>76</v>
      </c>
      <c r="C168" s="151"/>
      <c r="D168" s="144">
        <f>GetPatVarnum("s5zf","&amp;a0560")</f>
        <v>3141.49</v>
      </c>
      <c r="E168" s="196">
        <f>GetPatVarnum("s5zf","&amp;a0561")</f>
        <v>3141.49</v>
      </c>
      <c r="F168" s="112" t="s">
        <v>457</v>
      </c>
      <c r="G168" s="140">
        <f>G165*G$1+(G166+G167)*G$2</f>
        <v>804.2683904999999</v>
      </c>
      <c r="H168" s="140">
        <f t="shared" ref="H168:I168" si="227">H165*H$1+(H166+H167)*H$2</f>
        <v>499.142</v>
      </c>
      <c r="I168" s="140">
        <f t="shared" si="227"/>
        <v>1838.0820150000002</v>
      </c>
      <c r="J168" s="141">
        <f t="shared" si="197"/>
        <v>3141.4924055000001</v>
      </c>
      <c r="K168" s="140">
        <f>K165*K$1+(K166+K167)*K$2</f>
        <v>0</v>
      </c>
      <c r="L168" s="140">
        <f t="shared" ref="L168:M168" si="228">L165*L$1+(L166+L167)*L$2</f>
        <v>0</v>
      </c>
      <c r="M168" s="140">
        <f t="shared" si="228"/>
        <v>0</v>
      </c>
      <c r="N168" s="141">
        <f t="shared" si="199"/>
        <v>0</v>
      </c>
      <c r="O168" s="140">
        <f>O165*O$1+(O166+O167)*O$2</f>
        <v>0</v>
      </c>
      <c r="P168" s="140">
        <f t="shared" ref="P168:Q168" si="229">P165*P$1+(P166+P167)*P$2</f>
        <v>0</v>
      </c>
      <c r="Q168" s="140">
        <f t="shared" si="229"/>
        <v>0</v>
      </c>
      <c r="R168" s="141">
        <f t="shared" si="201"/>
        <v>0</v>
      </c>
      <c r="S168" s="140">
        <f>S165*S$1+(S166+S167)*S$2</f>
        <v>0</v>
      </c>
      <c r="T168" s="140">
        <f t="shared" ref="T168:U168" si="230">T165*T$1+(T166+T167)*T$2</f>
        <v>0</v>
      </c>
      <c r="U168" s="140">
        <f t="shared" si="230"/>
        <v>0</v>
      </c>
      <c r="V168" s="142">
        <f t="shared" si="195"/>
        <v>0</v>
      </c>
    </row>
    <row r="169" spans="1:22" ht="15" customHeight="1" x14ac:dyDescent="0.2">
      <c r="A169" s="529"/>
      <c r="B169" s="495"/>
      <c r="C169" s="120"/>
      <c r="D169" s="491"/>
      <c r="E169" s="521"/>
      <c r="F169" s="130" t="s">
        <v>458</v>
      </c>
      <c r="G169" s="133">
        <f>GetPatVarnum("s5zf","&amp;a057_01_26")</f>
        <v>0.38</v>
      </c>
      <c r="H169" s="133">
        <f>GetPatVarnum("s5zf","&amp;a057_02_26")</f>
        <v>2.08</v>
      </c>
      <c r="I169" s="133">
        <f>GetPatVarnum("s5zf","&amp;a057_03_26")</f>
        <v>0.54</v>
      </c>
      <c r="J169" s="136">
        <f t="shared" ref="J169:J171" si="231">SUM(G169:I169)</f>
        <v>3</v>
      </c>
      <c r="K169" s="133">
        <f>GetPatVarnum("s5zf","&amp;a057_04_26")</f>
        <v>0</v>
      </c>
      <c r="L169" s="133">
        <f>GetPatVarnum("s5zf","&amp;a057_05_26")</f>
        <v>0</v>
      </c>
      <c r="M169" s="133">
        <f>GetPatVarnum("s5zf","&amp;a057_06_26")</f>
        <v>0</v>
      </c>
      <c r="N169" s="136">
        <f t="shared" ref="N169:N171" si="232">SUM(K169:M169)</f>
        <v>0</v>
      </c>
      <c r="O169" s="133">
        <f>GetPatVarnum("s5zf","&amp;a057_07_26")</f>
        <v>0</v>
      </c>
      <c r="P169" s="133">
        <f>GetPatVarnum("s5zf","&amp;a057_08_26")</f>
        <v>0</v>
      </c>
      <c r="Q169" s="133">
        <f>GetPatVarnum("s5zf","&amp;a057_09_26")</f>
        <v>0</v>
      </c>
      <c r="R169" s="136">
        <f t="shared" ref="R169:R171" si="233">SUM(O169:Q169)</f>
        <v>0</v>
      </c>
      <c r="S169" s="133">
        <f>GetPatVarnum("s5zf","&amp;a057_10_26")</f>
        <v>0</v>
      </c>
      <c r="T169" s="133">
        <f>GetPatVarnum("s5zf","&amp;a057_11_26")</f>
        <v>0</v>
      </c>
      <c r="U169" s="133">
        <f>GetPatVarnum("s5zf","&amp;a057_12_26")</f>
        <v>0</v>
      </c>
      <c r="V169" s="137">
        <f t="shared" si="195"/>
        <v>0</v>
      </c>
    </row>
    <row r="170" spans="1:22" ht="15" customHeight="1" x14ac:dyDescent="0.2">
      <c r="A170" s="530"/>
      <c r="B170" s="496"/>
      <c r="C170" s="118"/>
      <c r="D170" s="492"/>
      <c r="E170" s="522"/>
      <c r="F170" s="131" t="s">
        <v>459</v>
      </c>
      <c r="G170" s="134">
        <f>GetPatVarnum("s5zf","&amp;a057_01_20")</f>
        <v>38.99</v>
      </c>
      <c r="H170" s="134">
        <f>GetPatVarnum("s5zf","&amp;a057_02_20")</f>
        <v>36.78</v>
      </c>
      <c r="I170" s="134">
        <f>GetPatVarnum("s5zf","&amp;a057_03_20")</f>
        <v>106.81</v>
      </c>
      <c r="J170" s="138">
        <f t="shared" si="231"/>
        <v>182.58</v>
      </c>
      <c r="K170" s="134">
        <f>GetPatVarnum("s5zf","&amp;a056_04_20")</f>
        <v>0</v>
      </c>
      <c r="L170" s="134">
        <f>GetPatVarnum("s5zf","&amp;a057_05_20")</f>
        <v>0</v>
      </c>
      <c r="M170" s="134">
        <f>GetPatVarnum("s5zf","&amp;a057_06_20")</f>
        <v>0</v>
      </c>
      <c r="N170" s="138">
        <f t="shared" si="232"/>
        <v>0</v>
      </c>
      <c r="O170" s="134">
        <f>GetPatVarnum("s5zf","&amp;a057_07_20")</f>
        <v>0</v>
      </c>
      <c r="P170" s="134">
        <f>GetPatVarnum("s5zf","&amp;a057_08_20")</f>
        <v>0</v>
      </c>
      <c r="Q170" s="134">
        <f>GetPatVarnum("s5zf","&amp;a057_09_20")</f>
        <v>0</v>
      </c>
      <c r="R170" s="138">
        <f t="shared" si="233"/>
        <v>0</v>
      </c>
      <c r="S170" s="134">
        <f>GetPatVarnum("s5zf","&amp;a057_10_20")</f>
        <v>0</v>
      </c>
      <c r="T170" s="134">
        <f>GetPatVarnum("s5zf","&amp;a057_11_20")</f>
        <v>0</v>
      </c>
      <c r="U170" s="134">
        <f>GetPatVarnum("s5zf","&amp;a057_12_20")</f>
        <v>0</v>
      </c>
      <c r="V170" s="139">
        <f t="shared" si="195"/>
        <v>0</v>
      </c>
    </row>
    <row r="171" spans="1:22" ht="15" customHeight="1" x14ac:dyDescent="0.2">
      <c r="A171" s="530"/>
      <c r="B171" s="496"/>
      <c r="C171" s="118"/>
      <c r="D171" s="492"/>
      <c r="E171" s="522"/>
      <c r="F171" s="131" t="s">
        <v>460</v>
      </c>
      <c r="G171" s="134">
        <f>GetPatVarnum("s5zf","&amp;A057_01_44")</f>
        <v>0</v>
      </c>
      <c r="H171" s="134">
        <f>GetPatVarnum("s5zf","&amp;a057_02_44")</f>
        <v>0</v>
      </c>
      <c r="I171" s="134">
        <f>GetPatVarnum("s5zf","&amp;a057_03_44")</f>
        <v>0</v>
      </c>
      <c r="J171" s="138">
        <f t="shared" si="231"/>
        <v>0</v>
      </c>
      <c r="K171" s="134">
        <f>GetPatVarnum("s5zf","&amp;A057_04_44")</f>
        <v>0</v>
      </c>
      <c r="L171" s="134">
        <f>GetPatVarnum("s5zf","&amp;a057_05_44")</f>
        <v>0</v>
      </c>
      <c r="M171" s="134">
        <f>GetPatVarnum("s5zf","&amp;a057_06_44")</f>
        <v>0</v>
      </c>
      <c r="N171" s="138">
        <f t="shared" si="232"/>
        <v>0</v>
      </c>
      <c r="O171" s="134">
        <f>GetPatVarnum("s5zf","&amp;A057_07_44")</f>
        <v>0</v>
      </c>
      <c r="P171" s="134">
        <f>GetPatVarnum("s5zf","&amp;a057_08_44")</f>
        <v>0</v>
      </c>
      <c r="Q171" s="134">
        <f>GetPatVarnum("s5zf","&amp;a057_09_44")</f>
        <v>0</v>
      </c>
      <c r="R171" s="138">
        <f t="shared" si="233"/>
        <v>0</v>
      </c>
      <c r="S171" s="134">
        <f>GetPatVarnum("s5zf","&amp;A057_10_44")</f>
        <v>0</v>
      </c>
      <c r="T171" s="134">
        <f>GetPatVarnum("s5zf","&amp;a057_11_44")</f>
        <v>0</v>
      </c>
      <c r="U171" s="134">
        <f>GetPatVarnum("s5zf","&amp;a057_12_44")</f>
        <v>0</v>
      </c>
      <c r="V171" s="139">
        <f t="shared" si="195"/>
        <v>0</v>
      </c>
    </row>
    <row r="172" spans="1:22" ht="14.45" customHeight="1" thickBot="1" x14ac:dyDescent="0.25">
      <c r="A172" s="202" t="s">
        <v>75</v>
      </c>
      <c r="B172" s="115" t="s">
        <v>74</v>
      </c>
      <c r="C172" s="151"/>
      <c r="D172" s="144">
        <f>GetPatVarnum("s5zf","&amp;a0570")</f>
        <v>185.28</v>
      </c>
      <c r="E172" s="196">
        <f>GetPatVarnum("s5zf","&amp;a0571")</f>
        <v>185.28</v>
      </c>
      <c r="F172" s="112" t="s">
        <v>461</v>
      </c>
      <c r="G172" s="140">
        <f>G169*G$1+(G170+G171)*G$2</f>
        <v>39.309803269999996</v>
      </c>
      <c r="H172" s="140">
        <f t="shared" ref="H172:I172" si="234">H169*H$1+(H170+H171)*H$2</f>
        <v>38.793316239999996</v>
      </c>
      <c r="I172" s="140">
        <f t="shared" si="234"/>
        <v>107.17985025000002</v>
      </c>
      <c r="J172" s="141">
        <f t="shared" si="197"/>
        <v>185.28296976000001</v>
      </c>
      <c r="K172" s="140">
        <f>K169*K$1+(K170+K171)*K$2</f>
        <v>0</v>
      </c>
      <c r="L172" s="140">
        <f t="shared" ref="L172:M172" si="235">L169*L$1+(L170+L171)*L$2</f>
        <v>0</v>
      </c>
      <c r="M172" s="140">
        <f t="shared" si="235"/>
        <v>0</v>
      </c>
      <c r="N172" s="141">
        <f t="shared" si="199"/>
        <v>0</v>
      </c>
      <c r="O172" s="140">
        <f>O169*O$1+(O170+O171)*O$2</f>
        <v>0</v>
      </c>
      <c r="P172" s="140">
        <f t="shared" ref="P172:Q172" si="236">P169*P$1+(P170+P171)*P$2</f>
        <v>0</v>
      </c>
      <c r="Q172" s="140">
        <f t="shared" si="236"/>
        <v>0</v>
      </c>
      <c r="R172" s="141">
        <f t="shared" si="201"/>
        <v>0</v>
      </c>
      <c r="S172" s="140">
        <f>S169*S$1+(S170+S171)*S$2</f>
        <v>0</v>
      </c>
      <c r="T172" s="140">
        <f t="shared" ref="T172:U172" si="237">T169*T$1+(T170+T171)*T$2</f>
        <v>0</v>
      </c>
      <c r="U172" s="140">
        <f t="shared" si="237"/>
        <v>0</v>
      </c>
      <c r="V172" s="142">
        <f t="shared" si="195"/>
        <v>0</v>
      </c>
    </row>
    <row r="173" spans="1:22" ht="14.45" customHeight="1" x14ac:dyDescent="0.2">
      <c r="A173" s="529"/>
      <c r="B173" s="495"/>
      <c r="C173" s="120"/>
      <c r="D173" s="491"/>
      <c r="E173" s="521"/>
      <c r="F173" s="130" t="s">
        <v>462</v>
      </c>
      <c r="G173" s="133">
        <f>GetPatVarnum("s5zf","&amp;a251_01_26")</f>
        <v>700.43</v>
      </c>
      <c r="H173" s="133">
        <f>GetPatVarnum("s5zf","&amp;a251_02_26")</f>
        <v>8.59</v>
      </c>
      <c r="I173" s="133">
        <f>GetPatVarnum("s5zf","&amp;a251_03_26")</f>
        <v>3.82</v>
      </c>
      <c r="J173" s="136">
        <f t="shared" ref="J173:J175" si="238">SUM(G173:I173)</f>
        <v>712.84</v>
      </c>
      <c r="K173" s="133">
        <f>GetPatVarnum("s5zf","&amp;a251_04_26")</f>
        <v>0</v>
      </c>
      <c r="L173" s="133">
        <f>GetPatVarnum("s5zf","&amp;a251_05_26")</f>
        <v>0</v>
      </c>
      <c r="M173" s="133">
        <f>GetPatVarnum("s5zf","&amp;a251_06_26")</f>
        <v>0</v>
      </c>
      <c r="N173" s="136">
        <f t="shared" ref="N173:N175" si="239">SUM(K173:M173)</f>
        <v>0</v>
      </c>
      <c r="O173" s="133">
        <f>GetPatVarnum("s5zf","&amp;a251_07_26")</f>
        <v>0</v>
      </c>
      <c r="P173" s="133">
        <f>GetPatVarnum("s5zf","&amp;a251_08_26")</f>
        <v>0</v>
      </c>
      <c r="Q173" s="133">
        <f>GetPatVarnum("s5zf","&amp;a251_09_26")</f>
        <v>0</v>
      </c>
      <c r="R173" s="136">
        <f t="shared" ref="R173:R175" si="240">SUM(O173:Q173)</f>
        <v>0</v>
      </c>
      <c r="S173" s="133">
        <f>GetPatVarnum("s5zf","&amp;a251_10_26")</f>
        <v>0</v>
      </c>
      <c r="T173" s="133">
        <f>GetPatVarnum("s5zf","&amp;a251_11_26")</f>
        <v>0</v>
      </c>
      <c r="U173" s="133">
        <f>GetPatVarnum("s5zf","&amp;a251_12_26")</f>
        <v>0</v>
      </c>
      <c r="V173" s="137">
        <f t="shared" si="195"/>
        <v>0</v>
      </c>
    </row>
    <row r="174" spans="1:22" ht="14.45" customHeight="1" x14ac:dyDescent="0.2">
      <c r="A174" s="530"/>
      <c r="B174" s="496"/>
      <c r="C174" s="118"/>
      <c r="D174" s="492"/>
      <c r="E174" s="522"/>
      <c r="F174" s="131" t="s">
        <v>463</v>
      </c>
      <c r="G174" s="134">
        <f>GetPatVarnum("s5zf","&amp;a251_01_20")</f>
        <v>3257.58</v>
      </c>
      <c r="H174" s="134">
        <f>GetPatVarnum("s5zf","&amp;a251_02_20")</f>
        <v>5141.6400000000003</v>
      </c>
      <c r="I174" s="134">
        <f>GetPatVarnum("s5zf","&amp;a251_03_20")</f>
        <v>4026.8</v>
      </c>
      <c r="J174" s="138">
        <f t="shared" si="238"/>
        <v>12426.02</v>
      </c>
      <c r="K174" s="134">
        <f>GetPatVarnum("s5zf","&amp;a251_04_20")</f>
        <v>0</v>
      </c>
      <c r="L174" s="134">
        <f>GetPatVarnum("s5zf","&amp;a251_05_20")</f>
        <v>0</v>
      </c>
      <c r="M174" s="134">
        <f>GetPatVarnum("s5zf","&amp;a251_06_20")</f>
        <v>0</v>
      </c>
      <c r="N174" s="138">
        <f t="shared" si="239"/>
        <v>0</v>
      </c>
      <c r="O174" s="134">
        <f>GetPatVarnum("s5zf","&amp;a251_07_20")</f>
        <v>0</v>
      </c>
      <c r="P174" s="134">
        <f>GetPatVarnum("s5zf","&amp;a251_08_20")</f>
        <v>0</v>
      </c>
      <c r="Q174" s="134">
        <f>GetPatVarnum("s5zf","&amp;a251_09_20")</f>
        <v>0</v>
      </c>
      <c r="R174" s="138">
        <f t="shared" si="240"/>
        <v>0</v>
      </c>
      <c r="S174" s="134">
        <f>GetPatVarnum("s5zf","&amp;a251_10_20")</f>
        <v>0</v>
      </c>
      <c r="T174" s="134">
        <f>GetPatVarnum("s5zf","&amp;av_11_20")</f>
        <v>0</v>
      </c>
      <c r="U174" s="134">
        <f>GetPatVarnum("s5zf","&amp;a251_12_20")</f>
        <v>0</v>
      </c>
      <c r="V174" s="139">
        <f t="shared" si="195"/>
        <v>0</v>
      </c>
    </row>
    <row r="175" spans="1:22" ht="14.45" customHeight="1" x14ac:dyDescent="0.2">
      <c r="A175" s="530"/>
      <c r="B175" s="496"/>
      <c r="C175" s="118"/>
      <c r="D175" s="492"/>
      <c r="E175" s="522"/>
      <c r="F175" s="131" t="s">
        <v>464</v>
      </c>
      <c r="G175" s="134">
        <f>GetPatVarnum("s5zf","&amp;A251_01_44")</f>
        <v>0</v>
      </c>
      <c r="H175" s="134">
        <f>GetPatVarnum("s5zf","&amp;a251_02_44")</f>
        <v>0</v>
      </c>
      <c r="I175" s="134">
        <f>GetPatVarnum("s5zf","&amp;a251_03_44")</f>
        <v>0</v>
      </c>
      <c r="J175" s="138">
        <f t="shared" si="238"/>
        <v>0</v>
      </c>
      <c r="K175" s="134">
        <f>GetPatVarnum("s5zf","&amp;A251_04_44")</f>
        <v>0</v>
      </c>
      <c r="L175" s="134">
        <f>GetPatVarnum("s5zf","&amp;a251_05_44")</f>
        <v>0</v>
      </c>
      <c r="M175" s="134">
        <f>GetPatVarnum("s5zf","&amp;a251_06_44")</f>
        <v>0</v>
      </c>
      <c r="N175" s="138">
        <f t="shared" si="239"/>
        <v>0</v>
      </c>
      <c r="O175" s="134">
        <f>GetPatVarnum("s5zf","&amp;A251_07_44")</f>
        <v>0</v>
      </c>
      <c r="P175" s="134">
        <f>GetPatVarnum("s5zf","&amp;a251_08_44")</f>
        <v>0</v>
      </c>
      <c r="Q175" s="134">
        <f>GetPatVarnum("s5zf","&amp;a251_09_44")</f>
        <v>0</v>
      </c>
      <c r="R175" s="138">
        <f t="shared" si="240"/>
        <v>0</v>
      </c>
      <c r="S175" s="134">
        <f>GetPatVarnum("s5zf","&amp;A251_10_44")</f>
        <v>0</v>
      </c>
      <c r="T175" s="134">
        <f>GetPatVarnum("s5zf","&amp;a251_11_44")</f>
        <v>0</v>
      </c>
      <c r="U175" s="134">
        <f>GetPatVarnum("s5zf","&amp;a251_12_44")</f>
        <v>0</v>
      </c>
      <c r="V175" s="139">
        <f t="shared" si="195"/>
        <v>0</v>
      </c>
    </row>
    <row r="176" spans="1:22" ht="21.95" customHeight="1" thickBot="1" x14ac:dyDescent="0.25">
      <c r="A176" s="212" t="s">
        <v>193</v>
      </c>
      <c r="B176" s="115" t="s">
        <v>195</v>
      </c>
      <c r="C176" s="151"/>
      <c r="D176" s="144">
        <f>GetPatVarnum("s5zf","&amp;a2510")</f>
        <v>13117.58</v>
      </c>
      <c r="E176" s="196">
        <f>GetPatVarnum("s5zf","&amp;a2511")</f>
        <v>13117.58</v>
      </c>
      <c r="F176" s="112" t="s">
        <v>465</v>
      </c>
      <c r="G176" s="140">
        <f>G173*G$1+(G174+G175)*G$2</f>
        <v>3951.95820271</v>
      </c>
      <c r="H176" s="140">
        <f t="shared" ref="H176:I176" si="241">H173*H$1+(H174+H175)*H$2</f>
        <v>5141.3922053199994</v>
      </c>
      <c r="I176" s="140">
        <f t="shared" si="241"/>
        <v>4024.2314673000001</v>
      </c>
      <c r="J176" s="141">
        <f t="shared" si="197"/>
        <v>13117.581875329999</v>
      </c>
      <c r="K176" s="140">
        <f>K173*K$1+(K174+K175)*K$2</f>
        <v>0</v>
      </c>
      <c r="L176" s="140">
        <f t="shared" ref="L176:M176" si="242">L173*L$1+(L174+L175)*L$2</f>
        <v>0</v>
      </c>
      <c r="M176" s="140">
        <f t="shared" si="242"/>
        <v>0</v>
      </c>
      <c r="N176" s="141">
        <f t="shared" si="199"/>
        <v>0</v>
      </c>
      <c r="O176" s="140">
        <f>O173*O$1+(O174+O175)*O$2</f>
        <v>0</v>
      </c>
      <c r="P176" s="140">
        <f t="shared" ref="P176:Q176" si="243">P173*P$1+(P174+P175)*P$2</f>
        <v>0</v>
      </c>
      <c r="Q176" s="140">
        <f t="shared" si="243"/>
        <v>0</v>
      </c>
      <c r="R176" s="141">
        <f t="shared" si="201"/>
        <v>0</v>
      </c>
      <c r="S176" s="140">
        <f>S173*S$1+(S174+S175)*S$2</f>
        <v>0</v>
      </c>
      <c r="T176" s="140">
        <f t="shared" ref="T176:U176" si="244">T173*T$1+(T174+T175)*T$2</f>
        <v>0</v>
      </c>
      <c r="U176" s="140">
        <f t="shared" si="244"/>
        <v>0</v>
      </c>
      <c r="V176" s="142">
        <f t="shared" si="195"/>
        <v>0</v>
      </c>
    </row>
    <row r="177" spans="1:22" ht="13.5" customHeight="1" x14ac:dyDescent="0.2">
      <c r="A177" s="541"/>
      <c r="B177" s="495"/>
      <c r="C177" s="120"/>
      <c r="D177" s="491"/>
      <c r="E177" s="521"/>
      <c r="F177" s="130" t="s">
        <v>466</v>
      </c>
      <c r="G177" s="133">
        <f>GetPatVarnum("s5zf","&amp;a252_01_26")</f>
        <v>48.56</v>
      </c>
      <c r="H177" s="133">
        <f>GetPatVarnum("s5zf","&amp;a252_02_26")</f>
        <v>47.84</v>
      </c>
      <c r="I177" s="133">
        <f>GetPatVarnum("s5zf","&amp;a252_03_26")</f>
        <v>60.23</v>
      </c>
      <c r="J177" s="136">
        <f t="shared" ref="J177:J179" si="245">SUM(G177:I177)</f>
        <v>156.63</v>
      </c>
      <c r="K177" s="133">
        <f>GetPatVarnum("s5zf","&amp;a252_04_26")</f>
        <v>0</v>
      </c>
      <c r="L177" s="133">
        <f>GetPatVarnum("s5zf","&amp;a252_05_26")</f>
        <v>0</v>
      </c>
      <c r="M177" s="133">
        <f>GetPatVarnum("s5zf","&amp;a252_06_26")</f>
        <v>0</v>
      </c>
      <c r="N177" s="136">
        <f t="shared" ref="N177:N179" si="246">SUM(K177:M177)</f>
        <v>0</v>
      </c>
      <c r="O177" s="133">
        <f>GetPatVarnum("s5zf","&amp;a252_07_26")</f>
        <v>0</v>
      </c>
      <c r="P177" s="133">
        <f>GetPatVarnum("s5zf","&amp;a252_08_26")</f>
        <v>0</v>
      </c>
      <c r="Q177" s="133">
        <f>GetPatVarnum("s5zf","&amp;a252_09_26")</f>
        <v>0</v>
      </c>
      <c r="R177" s="136">
        <f t="shared" ref="R177:R179" si="247">SUM(O177:Q177)</f>
        <v>0</v>
      </c>
      <c r="S177" s="133">
        <f>GetPatVarnum("s5zf","&amp;a252_10_26")</f>
        <v>0</v>
      </c>
      <c r="T177" s="133">
        <f>GetPatVarnum("s5zf","&amp;a252_11_26")</f>
        <v>0</v>
      </c>
      <c r="U177" s="133">
        <f>GetPatVarnum("s5zf","&amp;a252_12_26")</f>
        <v>0</v>
      </c>
      <c r="V177" s="137">
        <f t="shared" si="195"/>
        <v>0</v>
      </c>
    </row>
    <row r="178" spans="1:22" ht="13.5" customHeight="1" x14ac:dyDescent="0.2">
      <c r="A178" s="542"/>
      <c r="B178" s="496"/>
      <c r="C178" s="118"/>
      <c r="D178" s="492"/>
      <c r="E178" s="522"/>
      <c r="F178" s="131" t="s">
        <v>467</v>
      </c>
      <c r="G178" s="134">
        <f>GetPatVarnum("s5zf","&amp;a252_01_20")</f>
        <v>589.15</v>
      </c>
      <c r="H178" s="134">
        <f>GetPatVarnum("s5zf","&amp;a252_02_20")</f>
        <v>656.17</v>
      </c>
      <c r="I178" s="134">
        <f>GetPatVarnum("s5zf","&amp;a252_03_20")</f>
        <v>629.54999999999995</v>
      </c>
      <c r="J178" s="138">
        <f t="shared" si="245"/>
        <v>1874.87</v>
      </c>
      <c r="K178" s="134">
        <f>GetPatVarnum("s5zf","&amp;a252_04_20")</f>
        <v>0</v>
      </c>
      <c r="L178" s="134">
        <f>GetPatVarnum("s5zf","&amp;a252_05_20")</f>
        <v>0</v>
      </c>
      <c r="M178" s="134">
        <f>GetPatVarnum("s5zf","&amp;a252_06_20")</f>
        <v>0</v>
      </c>
      <c r="N178" s="138">
        <f t="shared" si="246"/>
        <v>0</v>
      </c>
      <c r="O178" s="134">
        <f>GetPatVarnum("s5zf","&amp;a252_07_20")</f>
        <v>0</v>
      </c>
      <c r="P178" s="134">
        <f>GetPatVarnum("s5zf","&amp;a252_08_20")</f>
        <v>0</v>
      </c>
      <c r="Q178" s="134">
        <f>GetPatVarnum("s5zf","&amp;a252_09_20")</f>
        <v>0</v>
      </c>
      <c r="R178" s="138">
        <f t="shared" si="247"/>
        <v>0</v>
      </c>
      <c r="S178" s="134">
        <f>GetPatVarnum("s5zf","&amp;a252_10_20")</f>
        <v>0</v>
      </c>
      <c r="T178" s="134">
        <f>GetPatVarnum("s5zf","&amp;a252_11_20")</f>
        <v>0</v>
      </c>
      <c r="U178" s="134">
        <f>GetPatVarnum("s5zf","&amp;a252_12_20")</f>
        <v>0</v>
      </c>
      <c r="V178" s="139">
        <f t="shared" si="195"/>
        <v>0</v>
      </c>
    </row>
    <row r="179" spans="1:22" ht="13.5" customHeight="1" x14ac:dyDescent="0.2">
      <c r="A179" s="542"/>
      <c r="B179" s="496"/>
      <c r="C179" s="118"/>
      <c r="D179" s="492"/>
      <c r="E179" s="522"/>
      <c r="F179" s="131" t="s">
        <v>468</v>
      </c>
      <c r="G179" s="134">
        <f>GetPatVarnum("s5zf","&amp;A252_01_44")</f>
        <v>0</v>
      </c>
      <c r="H179" s="134">
        <f>GetPatVarnum("s5zf","&amp;a252_02_44")</f>
        <v>0</v>
      </c>
      <c r="I179" s="134">
        <f>GetPatVarnum("s5zf","&amp;a252_03_44")</f>
        <v>0</v>
      </c>
      <c r="J179" s="138">
        <f t="shared" si="245"/>
        <v>0</v>
      </c>
      <c r="K179" s="134">
        <f>GetPatVarnum("s5zf","&amp;A252_04_44")</f>
        <v>0</v>
      </c>
      <c r="L179" s="134">
        <f>GetPatVarnum("s5zf","&amp;a252_05_44")</f>
        <v>0</v>
      </c>
      <c r="M179" s="134">
        <f>GetPatVarnum("s5zf","&amp;a252_06_44")</f>
        <v>0</v>
      </c>
      <c r="N179" s="138">
        <f t="shared" si="246"/>
        <v>0</v>
      </c>
      <c r="O179" s="134">
        <f>GetPatVarnum("s5zf","&amp;A252_07_44")</f>
        <v>0</v>
      </c>
      <c r="P179" s="134">
        <f>GetPatVarnum("s5zf","&amp;a252_08_44")</f>
        <v>0</v>
      </c>
      <c r="Q179" s="134">
        <f>GetPatVarnum("s5zf","&amp;a252_09_44")</f>
        <v>0</v>
      </c>
      <c r="R179" s="138">
        <f t="shared" si="247"/>
        <v>0</v>
      </c>
      <c r="S179" s="134">
        <f>GetPatVarnum("s5zf","&amp;A252_10_44")</f>
        <v>0</v>
      </c>
      <c r="T179" s="134">
        <f>GetPatVarnum("s5zf","&amp;a252_11_44")</f>
        <v>0</v>
      </c>
      <c r="U179" s="134">
        <f>GetPatVarnum("s5zf","&amp;a252_12_44")</f>
        <v>0</v>
      </c>
      <c r="V179" s="139">
        <f t="shared" si="195"/>
        <v>0</v>
      </c>
    </row>
    <row r="180" spans="1:22" ht="14.45" customHeight="1" thickBot="1" x14ac:dyDescent="0.25">
      <c r="A180" s="212" t="s">
        <v>194</v>
      </c>
      <c r="B180" s="115" t="s">
        <v>196</v>
      </c>
      <c r="C180" s="151"/>
      <c r="D180" s="144">
        <f>GetPatVarnum("s5zf","&amp;a2520")</f>
        <v>2028.22</v>
      </c>
      <c r="E180" s="196">
        <f>GetPatVarnum("s5zf","&amp;a2521")</f>
        <v>2028.22</v>
      </c>
      <c r="F180" s="112" t="s">
        <v>469</v>
      </c>
      <c r="G180" s="140">
        <f>G177*G$1+(G178+G179)*G$2</f>
        <v>636.73494140999992</v>
      </c>
      <c r="H180" s="140">
        <f t="shared" ref="H180:I180" si="248">H177*H$1+(H178+H179)*H$2</f>
        <v>702.80191883999998</v>
      </c>
      <c r="I180" s="140">
        <f t="shared" si="248"/>
        <v>688.68669870000008</v>
      </c>
      <c r="J180" s="141">
        <f t="shared" si="197"/>
        <v>2028.2235589499999</v>
      </c>
      <c r="K180" s="140">
        <f>K177*K$1+(K178+K179)*K$2</f>
        <v>0</v>
      </c>
      <c r="L180" s="140">
        <f t="shared" ref="L180:M180" si="249">L177*L$1+(L178+L179)*L$2</f>
        <v>0</v>
      </c>
      <c r="M180" s="140">
        <f t="shared" si="249"/>
        <v>0</v>
      </c>
      <c r="N180" s="141">
        <f t="shared" si="199"/>
        <v>0</v>
      </c>
      <c r="O180" s="140">
        <f>O177*O$1+(O178+O179)*O$2</f>
        <v>0</v>
      </c>
      <c r="P180" s="140">
        <f t="shared" ref="P180:Q180" si="250">P177*P$1+(P178+P179)*P$2</f>
        <v>0</v>
      </c>
      <c r="Q180" s="140">
        <f t="shared" si="250"/>
        <v>0</v>
      </c>
      <c r="R180" s="141">
        <f t="shared" si="201"/>
        <v>0</v>
      </c>
      <c r="S180" s="140">
        <f>S177*S$1+(S178+S179)*S$2</f>
        <v>0</v>
      </c>
      <c r="T180" s="140">
        <f t="shared" ref="T180:U180" si="251">T177*T$1+(T178+T179)*T$2</f>
        <v>0</v>
      </c>
      <c r="U180" s="140">
        <f t="shared" si="251"/>
        <v>0</v>
      </c>
      <c r="V180" s="142">
        <f t="shared" si="195"/>
        <v>0</v>
      </c>
    </row>
    <row r="181" spans="1:22" ht="14.45" customHeight="1" x14ac:dyDescent="0.2">
      <c r="A181" s="541"/>
      <c r="B181" s="495"/>
      <c r="C181" s="120"/>
      <c r="D181" s="491"/>
      <c r="E181" s="521"/>
      <c r="F181" s="130" t="s">
        <v>470</v>
      </c>
      <c r="G181" s="133">
        <f>GetPatVarnum("s5zf","&amp;a253_01_26")</f>
        <v>18.420000000000002</v>
      </c>
      <c r="H181" s="133">
        <f>GetPatVarnum("s5zf","&amp;a253_02_26")</f>
        <v>18.420000000000002</v>
      </c>
      <c r="I181" s="133">
        <f>GetPatVarnum("s5zf","&amp;a253_03_26")</f>
        <v>18.62</v>
      </c>
      <c r="J181" s="136">
        <f t="shared" ref="J181:J183" si="252">SUM(G181:I181)</f>
        <v>55.460000000000008</v>
      </c>
      <c r="K181" s="133">
        <f>GetPatVarnum("s5zf","&amp;a253_04_26")</f>
        <v>0</v>
      </c>
      <c r="L181" s="133">
        <f>GetPatVarnum("s5zf","&amp;a253_05_26")</f>
        <v>0</v>
      </c>
      <c r="M181" s="133">
        <f>GetPatVarnum("s5zf","&amp;a253_06_26")</f>
        <v>0</v>
      </c>
      <c r="N181" s="136">
        <f t="shared" ref="N181:N183" si="253">SUM(K181:M181)</f>
        <v>0</v>
      </c>
      <c r="O181" s="133">
        <f>GetPatVarnum("s5zf","&amp;a253_07_26")</f>
        <v>0</v>
      </c>
      <c r="P181" s="133">
        <f>GetPatVarnum("s5zf","&amp;a253_08_26")</f>
        <v>0</v>
      </c>
      <c r="Q181" s="133">
        <f>GetPatVarnum("s5zf","&amp;a253_09_26")</f>
        <v>0</v>
      </c>
      <c r="R181" s="136">
        <f t="shared" ref="R181:R183" si="254">SUM(O181:Q181)</f>
        <v>0</v>
      </c>
      <c r="S181" s="133">
        <f>GetPatVarnum("s5zf","&amp;a253_10_26")</f>
        <v>0</v>
      </c>
      <c r="T181" s="133">
        <f>GetPatVarnum("s5zf","&amp;a253_11_26")</f>
        <v>0</v>
      </c>
      <c r="U181" s="133">
        <f>GetPatVarnum("s5zf","&amp;a253_12_26")</f>
        <v>0</v>
      </c>
      <c r="V181" s="137">
        <f t="shared" si="195"/>
        <v>0</v>
      </c>
    </row>
    <row r="182" spans="1:22" ht="14.45" customHeight="1" x14ac:dyDescent="0.2">
      <c r="A182" s="542"/>
      <c r="B182" s="496"/>
      <c r="C182" s="118"/>
      <c r="D182" s="492"/>
      <c r="E182" s="522"/>
      <c r="F182" s="131" t="s">
        <v>471</v>
      </c>
      <c r="G182" s="134">
        <f>GetPatVarnum("s5zf","&amp;a253_01_20")</f>
        <v>188.7</v>
      </c>
      <c r="H182" s="134">
        <f>GetPatVarnum("s5zf","&amp;a253_02_20")</f>
        <v>452.84</v>
      </c>
      <c r="I182" s="134">
        <f>GetPatVarnum("s5zf","&amp;a253_03_20")</f>
        <v>323.29000000000002</v>
      </c>
      <c r="J182" s="138">
        <f t="shared" si="252"/>
        <v>964.82999999999993</v>
      </c>
      <c r="K182" s="134">
        <f>GetPatVarnum("s5zf","&amp;a253_04_20")</f>
        <v>0</v>
      </c>
      <c r="L182" s="134">
        <f>GetPatVarnum("s5zf","&amp;a253_05_20")</f>
        <v>0</v>
      </c>
      <c r="M182" s="134">
        <f>GetPatVarnum("s5zf","&amp;a253_06_20")</f>
        <v>0</v>
      </c>
      <c r="N182" s="138">
        <f t="shared" si="253"/>
        <v>0</v>
      </c>
      <c r="O182" s="134">
        <f>GetPatVarnum("s5zf","&amp;a253_07_20")</f>
        <v>0</v>
      </c>
      <c r="P182" s="134">
        <f>GetPatVarnum("s5zf","&amp;a253_08_20")</f>
        <v>0</v>
      </c>
      <c r="Q182" s="134">
        <f>GetPatVarnum("s5zf","&amp;a253_09_20")</f>
        <v>0</v>
      </c>
      <c r="R182" s="138">
        <f t="shared" si="254"/>
        <v>0</v>
      </c>
      <c r="S182" s="134">
        <f>GetPatVarnum("s5zf","&amp;a253_10_20")</f>
        <v>0</v>
      </c>
      <c r="T182" s="134">
        <f>GetPatVarnum("s5zf","&amp;a253_11_20")</f>
        <v>0</v>
      </c>
      <c r="U182" s="134">
        <f>GetPatVarnum("s5zf","&amp;a253_12_20")</f>
        <v>0</v>
      </c>
      <c r="V182" s="139">
        <f t="shared" si="195"/>
        <v>0</v>
      </c>
    </row>
    <row r="183" spans="1:22" ht="14.45" customHeight="1" x14ac:dyDescent="0.2">
      <c r="A183" s="542"/>
      <c r="B183" s="496"/>
      <c r="C183" s="118"/>
      <c r="D183" s="492"/>
      <c r="E183" s="522"/>
      <c r="F183" s="131" t="s">
        <v>472</v>
      </c>
      <c r="G183" s="134">
        <f>GetPatVarnum("s5zf","&amp;A253_01_44")</f>
        <v>0</v>
      </c>
      <c r="H183" s="134">
        <f>GetPatVarnum("s5zf","&amp;a253_02_44")</f>
        <v>0</v>
      </c>
      <c r="I183" s="134">
        <f>GetPatVarnum("s5zf","&amp;a253_03_44")</f>
        <v>0</v>
      </c>
      <c r="J183" s="138">
        <f t="shared" si="252"/>
        <v>0</v>
      </c>
      <c r="K183" s="134">
        <f>GetPatVarnum("s5zf","&amp;A253_04_44")</f>
        <v>0</v>
      </c>
      <c r="L183" s="134">
        <f>GetPatVarnum("s5zf","&amp;a253_05_44")</f>
        <v>0</v>
      </c>
      <c r="M183" s="134">
        <f>GetPatVarnum("s5zf","&amp;a253_06_44")</f>
        <v>0</v>
      </c>
      <c r="N183" s="138">
        <f t="shared" si="253"/>
        <v>0</v>
      </c>
      <c r="O183" s="134">
        <f>GetPatVarnum("s5zf","&amp;A253_07_44")</f>
        <v>0</v>
      </c>
      <c r="P183" s="134">
        <f>GetPatVarnum("s5zf","&amp;a253_08_44")</f>
        <v>0</v>
      </c>
      <c r="Q183" s="134">
        <f>GetPatVarnum("s5zf","&amp;a253_09_44")</f>
        <v>0</v>
      </c>
      <c r="R183" s="138">
        <f t="shared" si="254"/>
        <v>0</v>
      </c>
      <c r="S183" s="134">
        <f>GetPatVarnum("s5zf","&amp;A253_10_44")</f>
        <v>0</v>
      </c>
      <c r="T183" s="134">
        <f>GetPatVarnum("s5zf","&amp;a253_11_44")</f>
        <v>0</v>
      </c>
      <c r="U183" s="134">
        <f>GetPatVarnum("s5zf","&amp;a253_12_44")</f>
        <v>0</v>
      </c>
      <c r="V183" s="139">
        <f t="shared" si="195"/>
        <v>0</v>
      </c>
    </row>
    <row r="184" spans="1:22" ht="14.45" customHeight="1" thickBot="1" x14ac:dyDescent="0.25">
      <c r="A184" s="202" t="s">
        <v>249</v>
      </c>
      <c r="B184" s="115" t="s">
        <v>250</v>
      </c>
      <c r="C184" s="151"/>
      <c r="D184" s="144">
        <f>GetPatVarnum("s5zf","&amp;a2530")</f>
        <v>1018.62</v>
      </c>
      <c r="E184" s="196">
        <f>GetPatVarnum("s5zf","&amp;a2531")</f>
        <v>1018.62</v>
      </c>
      <c r="F184" s="112" t="s">
        <v>473</v>
      </c>
      <c r="G184" s="140">
        <f>G181*G$1+(G182+G183)*G$2</f>
        <v>206.80331351999999</v>
      </c>
      <c r="H184" s="140">
        <f t="shared" ref="H184:I184" si="255">H181*H$1+(H182+H183)*H$2</f>
        <v>470.45131783999994</v>
      </c>
      <c r="I184" s="140">
        <f t="shared" si="255"/>
        <v>341.36807265000004</v>
      </c>
      <c r="J184" s="141">
        <f t="shared" si="197"/>
        <v>1018.62270401</v>
      </c>
      <c r="K184" s="140">
        <f>K181*K$1+(K182+K183)*K$2</f>
        <v>0</v>
      </c>
      <c r="L184" s="140">
        <f t="shared" ref="L184:M184" si="256">L181*L$1+(L182+L183)*L$2</f>
        <v>0</v>
      </c>
      <c r="M184" s="140">
        <f t="shared" si="256"/>
        <v>0</v>
      </c>
      <c r="N184" s="141">
        <f t="shared" si="199"/>
        <v>0</v>
      </c>
      <c r="O184" s="140">
        <f>O181*O$1+(O182+O183)*O$2</f>
        <v>0</v>
      </c>
      <c r="P184" s="140">
        <f t="shared" ref="P184:Q184" si="257">P181*P$1+(P182+P183)*P$2</f>
        <v>0</v>
      </c>
      <c r="Q184" s="140">
        <f t="shared" si="257"/>
        <v>0</v>
      </c>
      <c r="R184" s="141">
        <f t="shared" si="201"/>
        <v>0</v>
      </c>
      <c r="S184" s="140">
        <f>S181*S$1+(S182+S183)*S$2</f>
        <v>0</v>
      </c>
      <c r="T184" s="140">
        <f t="shared" ref="T184:U184" si="258">T181*T$1+(T182+T183)*T$2</f>
        <v>0</v>
      </c>
      <c r="U184" s="140">
        <f t="shared" si="258"/>
        <v>0</v>
      </c>
      <c r="V184" s="142">
        <f t="shared" si="195"/>
        <v>0</v>
      </c>
    </row>
    <row r="185" spans="1:22" ht="14.45" customHeight="1" x14ac:dyDescent="0.2">
      <c r="A185" s="529"/>
      <c r="B185" s="495"/>
      <c r="C185" s="120"/>
      <c r="D185" s="491"/>
      <c r="E185" s="521"/>
      <c r="F185" s="130" t="s">
        <v>542</v>
      </c>
      <c r="G185" s="133">
        <f>GetPatVarnum("s5zf","&amp;a058_01_26")</f>
        <v>724.63</v>
      </c>
      <c r="H185" s="133">
        <f>GetPatVarnum("s5zf","&amp;a058_02_26")</f>
        <v>1045.8</v>
      </c>
      <c r="I185" s="133">
        <f>GetPatVarnum("s5zf","&amp;a058_03_26")</f>
        <v>952.72</v>
      </c>
      <c r="J185" s="136">
        <f t="shared" ref="J185:J187" si="259">SUM(G185:I185)</f>
        <v>2723.1499999999996</v>
      </c>
      <c r="K185" s="133">
        <f>GetPatVarnum("s5zf","&amp;a058_04_26")</f>
        <v>0</v>
      </c>
      <c r="L185" s="133">
        <f>GetPatVarnum("s5zf","&amp;a058_05_26")</f>
        <v>0</v>
      </c>
      <c r="M185" s="133">
        <f>GetPatVarnum("s5zf","&amp;a058_06_26")</f>
        <v>0</v>
      </c>
      <c r="N185" s="136">
        <f t="shared" ref="N185:N187" si="260">SUM(K185:M185)</f>
        <v>0</v>
      </c>
      <c r="O185" s="133">
        <f>GetPatVarnum("s5zf","&amp;a058_07_26")</f>
        <v>0</v>
      </c>
      <c r="P185" s="133">
        <f>GetPatVarnum("s5zf","&amp;a058_08_26")</f>
        <v>0</v>
      </c>
      <c r="Q185" s="133">
        <f>GetPatVarnum("s5zf","&amp;a058_09_26")</f>
        <v>0</v>
      </c>
      <c r="R185" s="136">
        <f t="shared" ref="R185:R187" si="261">SUM(O185:Q185)</f>
        <v>0</v>
      </c>
      <c r="S185" s="133">
        <f>GetPatVarnum("s5zf","&amp;a058_10_26")</f>
        <v>0</v>
      </c>
      <c r="T185" s="133">
        <f>GetPatVarnum("s5zf","&amp;a058_11_26")</f>
        <v>0</v>
      </c>
      <c r="U185" s="133">
        <f>GetPatVarnum("s5zf","&amp;a058_12_26")</f>
        <v>0</v>
      </c>
      <c r="V185" s="137">
        <f t="shared" si="195"/>
        <v>0</v>
      </c>
    </row>
    <row r="186" spans="1:22" ht="14.45" customHeight="1" x14ac:dyDescent="0.2">
      <c r="A186" s="530"/>
      <c r="B186" s="496"/>
      <c r="C186" s="118"/>
      <c r="D186" s="492"/>
      <c r="E186" s="522"/>
      <c r="F186" s="131" t="s">
        <v>543</v>
      </c>
      <c r="G186" s="134">
        <f>GetPatVarnum("s5zf","&amp;a058_01_20")</f>
        <v>1370.96</v>
      </c>
      <c r="H186" s="134">
        <f>GetPatVarnum("s5zf","&amp;a058_02_20")</f>
        <v>1284.9100000000001</v>
      </c>
      <c r="I186" s="134">
        <f>GetPatVarnum("s5zf","&amp;a058_03_20")</f>
        <v>1517.08</v>
      </c>
      <c r="J186" s="138">
        <f t="shared" si="259"/>
        <v>4172.95</v>
      </c>
      <c r="K186" s="134">
        <f>GetPatVarnum("s5zf","&amp;a058_04_20")</f>
        <v>0</v>
      </c>
      <c r="L186" s="134">
        <f>GetPatVarnum("s5zf","&amp;a058_05_20")</f>
        <v>0</v>
      </c>
      <c r="M186" s="134">
        <f>GetPatVarnum("s5zf","&amp;a058_06_20")</f>
        <v>0</v>
      </c>
      <c r="N186" s="138">
        <f t="shared" si="260"/>
        <v>0</v>
      </c>
      <c r="O186" s="134">
        <f>GetPatVarnum("s5zf","&amp;a058_07_20")</f>
        <v>0</v>
      </c>
      <c r="P186" s="134">
        <f>GetPatVarnum("s5zf","&amp;a058_08_20")</f>
        <v>0</v>
      </c>
      <c r="Q186" s="134">
        <f>GetPatVarnum("s5zf","&amp;a058_09_20")</f>
        <v>0</v>
      </c>
      <c r="R186" s="138">
        <f t="shared" si="261"/>
        <v>0</v>
      </c>
      <c r="S186" s="134">
        <f>GetPatVarnum("s5zf","&amp;a058_10_20")</f>
        <v>0</v>
      </c>
      <c r="T186" s="134">
        <f>GetPatVarnum("s5zf","&amp;a058_11_20")</f>
        <v>0</v>
      </c>
      <c r="U186" s="134">
        <f>GetPatVarnum("s5zf","&amp;a058_12_20")</f>
        <v>0</v>
      </c>
      <c r="V186" s="139">
        <f t="shared" si="195"/>
        <v>0</v>
      </c>
    </row>
    <row r="187" spans="1:22" ht="14.45" customHeight="1" x14ac:dyDescent="0.2">
      <c r="A187" s="530"/>
      <c r="B187" s="496"/>
      <c r="C187" s="118"/>
      <c r="D187" s="492"/>
      <c r="E187" s="522"/>
      <c r="F187" s="131" t="s">
        <v>544</v>
      </c>
      <c r="G187" s="134">
        <f>GetPatVarnum("s5zf","&amp;A058_01_44")</f>
        <v>0</v>
      </c>
      <c r="H187" s="134">
        <f>GetPatVarnum("s5zf","&amp;a058_02_44")</f>
        <v>0</v>
      </c>
      <c r="I187" s="134">
        <f>GetPatVarnum("s5zf","&amp;a058_03_44")</f>
        <v>0</v>
      </c>
      <c r="J187" s="138">
        <f t="shared" si="259"/>
        <v>0</v>
      </c>
      <c r="K187" s="134">
        <f>GetPatVarnum("s5zf","&amp;A058_04_44")</f>
        <v>0</v>
      </c>
      <c r="L187" s="134">
        <f>GetPatVarnum("s5zf","&amp;a058_05_44")</f>
        <v>0</v>
      </c>
      <c r="M187" s="134">
        <f>GetPatVarnum("s5zf","&amp;a058_06_44")</f>
        <v>0</v>
      </c>
      <c r="N187" s="138">
        <f t="shared" si="260"/>
        <v>0</v>
      </c>
      <c r="O187" s="134">
        <f>GetPatVarnum("s5zf","&amp;A058_07_44")</f>
        <v>0</v>
      </c>
      <c r="P187" s="134">
        <f>GetPatVarnum("s5zf","&amp;a058_08_44")</f>
        <v>0</v>
      </c>
      <c r="Q187" s="134">
        <f>GetPatVarnum("s5zf","&amp;a058_09_44")</f>
        <v>0</v>
      </c>
      <c r="R187" s="138">
        <f t="shared" si="261"/>
        <v>0</v>
      </c>
      <c r="S187" s="134">
        <f>GetPatVarnum("s5zf","&amp;A058_10_44")</f>
        <v>0</v>
      </c>
      <c r="T187" s="134">
        <f>GetPatVarnum("s5zf","&amp;a058_11_44")</f>
        <v>0</v>
      </c>
      <c r="U187" s="134">
        <f>GetPatVarnum("s5zf","&amp;a058_12_44")</f>
        <v>0</v>
      </c>
      <c r="V187" s="139">
        <f t="shared" si="195"/>
        <v>0</v>
      </c>
    </row>
    <row r="188" spans="1:22" ht="15.95" customHeight="1" thickBot="1" x14ac:dyDescent="0.25">
      <c r="A188" s="200" t="s">
        <v>73</v>
      </c>
      <c r="B188" s="99" t="s">
        <v>72</v>
      </c>
      <c r="C188" s="148"/>
      <c r="D188" s="109">
        <f>GetPatVarnum("s5zf","&amp;a0580")</f>
        <v>6884.98</v>
      </c>
      <c r="E188" s="205">
        <f>GetPatVarnum("s5zf","&amp;a0581")</f>
        <v>6884.98</v>
      </c>
      <c r="F188" s="112" t="s">
        <v>474</v>
      </c>
      <c r="G188" s="140">
        <f>G185*G$1+(G186+G187)*G$2</f>
        <v>2092.3858428899998</v>
      </c>
      <c r="H188" s="140">
        <f t="shared" ref="H188:I188" si="262">H185*H$1+(H186+H187)*H$2</f>
        <v>2326.7105016400001</v>
      </c>
      <c r="I188" s="140">
        <f t="shared" si="262"/>
        <v>2465.8853669999999</v>
      </c>
      <c r="J188" s="141">
        <f t="shared" si="197"/>
        <v>6884.9817115300002</v>
      </c>
      <c r="K188" s="140">
        <f>K185*K$1+(K186+K187)*K$2</f>
        <v>0</v>
      </c>
      <c r="L188" s="140">
        <f t="shared" ref="L188:M188" si="263">L185*L$1+(L186+L187)*L$2</f>
        <v>0</v>
      </c>
      <c r="M188" s="140">
        <f t="shared" si="263"/>
        <v>0</v>
      </c>
      <c r="N188" s="141">
        <f t="shared" si="199"/>
        <v>0</v>
      </c>
      <c r="O188" s="140">
        <f>O185*O$1+(O186+O187)*O$2</f>
        <v>0</v>
      </c>
      <c r="P188" s="140">
        <f t="shared" ref="P188:Q188" si="264">P185*P$1+(P186+P187)*P$2</f>
        <v>0</v>
      </c>
      <c r="Q188" s="140">
        <f t="shared" si="264"/>
        <v>0</v>
      </c>
      <c r="R188" s="141">
        <f t="shared" si="201"/>
        <v>0</v>
      </c>
      <c r="S188" s="140">
        <f>S185*S$1+(S186+S187)*S$2</f>
        <v>0</v>
      </c>
      <c r="T188" s="140">
        <f t="shared" ref="T188:U188" si="265">T185*T$1+(T186+T187)*T$2</f>
        <v>0</v>
      </c>
      <c r="U188" s="140">
        <f t="shared" si="265"/>
        <v>0</v>
      </c>
      <c r="V188" s="142">
        <f t="shared" si="195"/>
        <v>0</v>
      </c>
    </row>
    <row r="189" spans="1:22" ht="36.950000000000003" customHeight="1" thickBot="1" x14ac:dyDescent="0.25">
      <c r="A189" s="213" t="s">
        <v>71</v>
      </c>
      <c r="B189" s="4" t="s">
        <v>70</v>
      </c>
      <c r="C189" s="126"/>
      <c r="D189" s="80" t="s">
        <v>101</v>
      </c>
      <c r="E189" s="214" t="s">
        <v>101</v>
      </c>
      <c r="F189" s="177" t="s">
        <v>101</v>
      </c>
      <c r="G189" s="159" t="s">
        <v>101</v>
      </c>
      <c r="H189" s="159" t="s">
        <v>101</v>
      </c>
      <c r="I189" s="159" t="s">
        <v>101</v>
      </c>
      <c r="J189" s="159" t="s">
        <v>101</v>
      </c>
      <c r="K189" s="159" t="s">
        <v>101</v>
      </c>
      <c r="L189" s="159" t="s">
        <v>101</v>
      </c>
      <c r="M189" s="159" t="s">
        <v>101</v>
      </c>
      <c r="N189" s="159" t="s">
        <v>101</v>
      </c>
      <c r="O189" s="159" t="s">
        <v>101</v>
      </c>
      <c r="P189" s="159" t="s">
        <v>101</v>
      </c>
      <c r="Q189" s="159" t="s">
        <v>101</v>
      </c>
      <c r="R189" s="159" t="s">
        <v>101</v>
      </c>
      <c r="S189" s="159" t="s">
        <v>101</v>
      </c>
      <c r="T189" s="159" t="s">
        <v>101</v>
      </c>
      <c r="U189" s="159" t="s">
        <v>101</v>
      </c>
      <c r="V189" s="160" t="s">
        <v>101</v>
      </c>
    </row>
    <row r="190" spans="1:22" ht="33" customHeight="1" thickBot="1" x14ac:dyDescent="0.25">
      <c r="A190" s="215" t="s">
        <v>69</v>
      </c>
      <c r="B190" s="97" t="s">
        <v>68</v>
      </c>
      <c r="C190" s="127"/>
      <c r="D190" s="294" t="s">
        <v>101</v>
      </c>
      <c r="E190" s="216" t="s">
        <v>101</v>
      </c>
      <c r="F190" s="177" t="s">
        <v>101</v>
      </c>
      <c r="G190" s="159" t="s">
        <v>101</v>
      </c>
      <c r="H190" s="159" t="s">
        <v>101</v>
      </c>
      <c r="I190" s="159" t="s">
        <v>101</v>
      </c>
      <c r="J190" s="159" t="s">
        <v>101</v>
      </c>
      <c r="K190" s="159" t="s">
        <v>101</v>
      </c>
      <c r="L190" s="159" t="s">
        <v>101</v>
      </c>
      <c r="M190" s="159" t="s">
        <v>101</v>
      </c>
      <c r="N190" s="159" t="s">
        <v>101</v>
      </c>
      <c r="O190" s="159" t="s">
        <v>101</v>
      </c>
      <c r="P190" s="159" t="s">
        <v>101</v>
      </c>
      <c r="Q190" s="159" t="s">
        <v>101</v>
      </c>
      <c r="R190" s="159" t="s">
        <v>101</v>
      </c>
      <c r="S190" s="159" t="s">
        <v>101</v>
      </c>
      <c r="T190" s="159" t="s">
        <v>101</v>
      </c>
      <c r="U190" s="159" t="s">
        <v>101</v>
      </c>
      <c r="V190" s="160" t="s">
        <v>101</v>
      </c>
    </row>
    <row r="191" spans="1:22" ht="13.5" customHeight="1" x14ac:dyDescent="0.2">
      <c r="A191" s="545"/>
      <c r="B191" s="495"/>
      <c r="C191" s="129"/>
      <c r="D191" s="547"/>
      <c r="E191" s="549"/>
      <c r="F191" s="130" t="s">
        <v>475</v>
      </c>
      <c r="G191" s="133">
        <f>GetPatVarnum("s5zf","&amp;a062_01_26")</f>
        <v>233.07</v>
      </c>
      <c r="H191" s="133">
        <f>GetPatVarnum("s5zf","&amp;a062_02_26")</f>
        <v>674.33</v>
      </c>
      <c r="I191" s="133">
        <f>GetPatVarnum("s5zf","&amp;a062_03_26")</f>
        <v>652.79999999999995</v>
      </c>
      <c r="J191" s="136">
        <f t="shared" ref="J191:J193" si="266">SUM(G191:I191)</f>
        <v>1560.2</v>
      </c>
      <c r="K191" s="133">
        <f>GetPatVarnum("s5zf","&amp;a062_04_26")</f>
        <v>0</v>
      </c>
      <c r="L191" s="133">
        <f>GetPatVarnum("s5zf","&amp;a062_05_26")</f>
        <v>0</v>
      </c>
      <c r="M191" s="133">
        <f>GetPatVarnum("s5zf","&amp;a062_06_26")</f>
        <v>0</v>
      </c>
      <c r="N191" s="136">
        <f t="shared" ref="N191:N193" si="267">SUM(K191:M191)</f>
        <v>0</v>
      </c>
      <c r="O191" s="133">
        <f>GetPatVarnum("s5zf","&amp;a062_07_26")</f>
        <v>0</v>
      </c>
      <c r="P191" s="133">
        <f>GetPatVarnum("s5zf","&amp;a062_08_26")</f>
        <v>0</v>
      </c>
      <c r="Q191" s="133">
        <f>GetPatVarnum("s5zf","&amp;a062_09_26")</f>
        <v>0</v>
      </c>
      <c r="R191" s="136">
        <f t="shared" ref="R191:R193" si="268">SUM(O191:Q191)</f>
        <v>0</v>
      </c>
      <c r="S191" s="133">
        <f>GetPatVarnum("s5zf","&amp;a062_10_26")</f>
        <v>0</v>
      </c>
      <c r="T191" s="133">
        <f>GetPatVarnum("s5zf","&amp;a062_11_26")</f>
        <v>0</v>
      </c>
      <c r="U191" s="133">
        <f>GetPatVarnum("s5zf","&amp;a062_12_26")</f>
        <v>0</v>
      </c>
      <c r="V191" s="137">
        <f>SUM(S191:U191)</f>
        <v>0</v>
      </c>
    </row>
    <row r="192" spans="1:22" ht="13.5" customHeight="1" x14ac:dyDescent="0.2">
      <c r="A192" s="546"/>
      <c r="B192" s="496"/>
      <c r="C192" s="128"/>
      <c r="D192" s="548"/>
      <c r="E192" s="550"/>
      <c r="F192" s="131" t="s">
        <v>476</v>
      </c>
      <c r="G192" s="134">
        <f>GetPatVarnum("s5zf","&amp;a062_01_20")</f>
        <v>2286.79</v>
      </c>
      <c r="H192" s="134">
        <f>GetPatVarnum("s5zf","&amp;a062_02_20")</f>
        <v>3746.34</v>
      </c>
      <c r="I192" s="134">
        <f>GetPatVarnum("s5zf","&amp;a062_03_20")</f>
        <v>3244.19</v>
      </c>
      <c r="J192" s="138">
        <f t="shared" si="266"/>
        <v>9277.32</v>
      </c>
      <c r="K192" s="134">
        <f>GetPatVarnum("s5zf","&amp;a062_04_20")</f>
        <v>0</v>
      </c>
      <c r="L192" s="134">
        <f>GetPatVarnum("s5zf","&amp;a062_05_20")</f>
        <v>0</v>
      </c>
      <c r="M192" s="134">
        <f>GetPatVarnum("s5zf","&amp;a062_06_20")</f>
        <v>0</v>
      </c>
      <c r="N192" s="138">
        <f t="shared" si="267"/>
        <v>0</v>
      </c>
      <c r="O192" s="134">
        <f>GetPatVarnum("s5zf","&amp;a062_07_20")</f>
        <v>0</v>
      </c>
      <c r="P192" s="134">
        <f>GetPatVarnum("s5zf","&amp;a062_08_20")</f>
        <v>0</v>
      </c>
      <c r="Q192" s="134">
        <f>GetPatVarnum("s5zf","&amp;a062_09_20")</f>
        <v>0</v>
      </c>
      <c r="R192" s="138">
        <f t="shared" si="268"/>
        <v>0</v>
      </c>
      <c r="S192" s="134">
        <f>GetPatVarnum("s5zf","&amp;a062_10_20")</f>
        <v>0</v>
      </c>
      <c r="T192" s="134">
        <f>GetPatVarnum("s5zf","&amp;a062_11_20")</f>
        <v>0</v>
      </c>
      <c r="U192" s="134">
        <f>GetPatVarnum("s5zf","&amp;a062_12_20")</f>
        <v>0</v>
      </c>
      <c r="V192" s="139">
        <f>SUM(S192:U192)</f>
        <v>0</v>
      </c>
    </row>
    <row r="193" spans="1:72" ht="13.5" customHeight="1" x14ac:dyDescent="0.2">
      <c r="A193" s="546"/>
      <c r="B193" s="496"/>
      <c r="C193" s="128"/>
      <c r="D193" s="548"/>
      <c r="E193" s="550"/>
      <c r="F193" s="131" t="s">
        <v>477</v>
      </c>
      <c r="G193" s="134">
        <f>GetPatVarnum("s5zf","&amp;A062_01_44")</f>
        <v>0</v>
      </c>
      <c r="H193" s="134">
        <f>GetPatVarnum("s5zf","&amp;a062_02_44")</f>
        <v>0</v>
      </c>
      <c r="I193" s="134">
        <f>GetPatVarnum("s5zf","&amp;a062_03_44")</f>
        <v>0</v>
      </c>
      <c r="J193" s="138">
        <f t="shared" si="266"/>
        <v>0</v>
      </c>
      <c r="K193" s="134">
        <f>GetPatVarnum("s5zf","&amp;A062_04_44")</f>
        <v>0</v>
      </c>
      <c r="L193" s="134">
        <f>GetPatVarnum("s5zf","&amp;a062_05_44")</f>
        <v>0</v>
      </c>
      <c r="M193" s="134">
        <f>GetPatVarnum("s5zf","&amp;a062_06_44")</f>
        <v>0</v>
      </c>
      <c r="N193" s="138">
        <f t="shared" si="267"/>
        <v>0</v>
      </c>
      <c r="O193" s="134">
        <f>GetPatVarnum("s5zf","&amp;A062_07_44")</f>
        <v>0</v>
      </c>
      <c r="P193" s="134">
        <f>GetPatVarnum("s5zf","&amp;a062_08_44")</f>
        <v>0</v>
      </c>
      <c r="Q193" s="134">
        <f>GetPatVarnum("s5zf","&amp;a062_09_44")</f>
        <v>0</v>
      </c>
      <c r="R193" s="138">
        <f t="shared" si="268"/>
        <v>0</v>
      </c>
      <c r="S193" s="134">
        <f>GetPatVarnum("s5zf","&amp;A062_10_44")</f>
        <v>0</v>
      </c>
      <c r="T193" s="134">
        <f>GetPatVarnum("s5zf","&amp;a062_11_44")</f>
        <v>0</v>
      </c>
      <c r="U193" s="134">
        <f>GetPatVarnum("s5zf","&amp;a062_12_44")</f>
        <v>0</v>
      </c>
      <c r="V193" s="139">
        <f>SUM(S193:U193)</f>
        <v>0</v>
      </c>
    </row>
    <row r="194" spans="1:72" ht="17.45" customHeight="1" thickBot="1" x14ac:dyDescent="0.25">
      <c r="A194" s="217" t="s">
        <v>67</v>
      </c>
      <c r="B194" s="99" t="s">
        <v>66</v>
      </c>
      <c r="C194" s="156" t="str">
        <f>GetPatVar("s5zf","&amp;a0511")</f>
        <v>-</v>
      </c>
      <c r="D194" s="109">
        <f>GetPatVarnum("s5zf","&amp;a0620")</f>
        <v>10819.9</v>
      </c>
      <c r="E194" s="205">
        <f>GetPatVarnum("s5zf","&amp;a0621")</f>
        <v>10819.9</v>
      </c>
      <c r="F194" s="112" t="s">
        <v>478</v>
      </c>
      <c r="G194" s="140">
        <f>G191*G$1+(G192+G193)*G$2</f>
        <v>2516.0071340599998</v>
      </c>
      <c r="H194" s="140">
        <f t="shared" ref="H194:I194" si="269">H191*H$1+(H192+H193)*H$2</f>
        <v>4413.08413028</v>
      </c>
      <c r="I194" s="140">
        <f t="shared" si="269"/>
        <v>3890.8132708500002</v>
      </c>
      <c r="J194" s="141">
        <f>SUM(G194:I194)</f>
        <v>10819.90453519</v>
      </c>
      <c r="K194" s="140">
        <f>K191*K$1+(K192+K193)*K$2</f>
        <v>0</v>
      </c>
      <c r="L194" s="140">
        <f t="shared" ref="L194:M194" si="270">L191*L$1+(L192+L193)*L$2</f>
        <v>0</v>
      </c>
      <c r="M194" s="140">
        <f t="shared" si="270"/>
        <v>0</v>
      </c>
      <c r="N194" s="141">
        <f>SUM(K194:M194)</f>
        <v>0</v>
      </c>
      <c r="O194" s="140">
        <f>O191*O$1+(O192+O193)*O$2</f>
        <v>0</v>
      </c>
      <c r="P194" s="140">
        <f t="shared" ref="P194:Q194" si="271">P191*P$1+(P192+P193)*P$2</f>
        <v>0</v>
      </c>
      <c r="Q194" s="140">
        <f t="shared" si="271"/>
        <v>0</v>
      </c>
      <c r="R194" s="141">
        <f>SUM(O194:Q194)</f>
        <v>0</v>
      </c>
      <c r="S194" s="140">
        <f>S191*S$1+(S192+S193)*S$2</f>
        <v>0</v>
      </c>
      <c r="T194" s="140">
        <f t="shared" ref="T194:U194" si="272">T191*T$1+(T192+T193)*T$2</f>
        <v>0</v>
      </c>
      <c r="U194" s="140">
        <f t="shared" si="272"/>
        <v>0</v>
      </c>
      <c r="V194" s="142">
        <f>SUM(S194:U194)</f>
        <v>0</v>
      </c>
    </row>
    <row r="195" spans="1:72" ht="17.45" customHeight="1" thickBot="1" x14ac:dyDescent="0.25">
      <c r="A195" s="213" t="s">
        <v>197</v>
      </c>
      <c r="B195" s="4" t="s">
        <v>198</v>
      </c>
      <c r="C195" s="3" t="str">
        <f>GetPatVar("s5zf","&amp;a0511")</f>
        <v>-</v>
      </c>
      <c r="D195" s="308">
        <f>GetPatVarnum("s5zf","&amp;a2600")</f>
        <v>0</v>
      </c>
      <c r="E195" s="309">
        <f>GetPatVarnum("s5zf","&amp;a2601")</f>
        <v>0</v>
      </c>
      <c r="F195" s="177" t="s">
        <v>101</v>
      </c>
      <c r="G195" s="159" t="s">
        <v>101</v>
      </c>
      <c r="H195" s="159" t="s">
        <v>101</v>
      </c>
      <c r="I195" s="159" t="s">
        <v>101</v>
      </c>
      <c r="J195" s="159" t="s">
        <v>101</v>
      </c>
      <c r="K195" s="159" t="s">
        <v>101</v>
      </c>
      <c r="L195" s="159" t="s">
        <v>101</v>
      </c>
      <c r="M195" s="159" t="s">
        <v>101</v>
      </c>
      <c r="N195" s="159" t="s">
        <v>101</v>
      </c>
      <c r="O195" s="159" t="s">
        <v>101</v>
      </c>
      <c r="P195" s="159" t="s">
        <v>101</v>
      </c>
      <c r="Q195" s="159" t="s">
        <v>101</v>
      </c>
      <c r="R195" s="159" t="s">
        <v>101</v>
      </c>
      <c r="S195" s="159" t="s">
        <v>101</v>
      </c>
      <c r="T195" s="159" t="s">
        <v>101</v>
      </c>
      <c r="U195" s="159" t="s">
        <v>101</v>
      </c>
      <c r="V195" s="160" t="s">
        <v>101</v>
      </c>
    </row>
    <row r="196" spans="1:72" ht="17.45" customHeight="1" thickBot="1" x14ac:dyDescent="0.25">
      <c r="A196" s="218" t="s">
        <v>64</v>
      </c>
      <c r="B196" s="2" t="s">
        <v>63</v>
      </c>
      <c r="C196" s="61"/>
      <c r="D196" s="61" t="s">
        <v>101</v>
      </c>
      <c r="E196" s="219" t="s">
        <v>101</v>
      </c>
      <c r="F196" s="177" t="s">
        <v>101</v>
      </c>
      <c r="G196" s="159" t="s">
        <v>101</v>
      </c>
      <c r="H196" s="159" t="s">
        <v>101</v>
      </c>
      <c r="I196" s="159" t="s">
        <v>101</v>
      </c>
      <c r="J196" s="159" t="s">
        <v>101</v>
      </c>
      <c r="K196" s="159" t="s">
        <v>101</v>
      </c>
      <c r="L196" s="159" t="s">
        <v>101</v>
      </c>
      <c r="M196" s="159" t="s">
        <v>101</v>
      </c>
      <c r="N196" s="159" t="s">
        <v>101</v>
      </c>
      <c r="O196" s="159" t="s">
        <v>101</v>
      </c>
      <c r="P196" s="159" t="s">
        <v>101</v>
      </c>
      <c r="Q196" s="159" t="s">
        <v>101</v>
      </c>
      <c r="R196" s="159" t="s">
        <v>101</v>
      </c>
      <c r="S196" s="159" t="s">
        <v>101</v>
      </c>
      <c r="T196" s="159" t="s">
        <v>101</v>
      </c>
      <c r="U196" s="159" t="s">
        <v>101</v>
      </c>
      <c r="V196" s="160" t="s">
        <v>101</v>
      </c>
    </row>
    <row r="197" spans="1:72" ht="17.45" customHeight="1" thickBot="1" x14ac:dyDescent="0.25">
      <c r="A197" s="218" t="s">
        <v>62</v>
      </c>
      <c r="B197" s="2" t="s">
        <v>61</v>
      </c>
      <c r="C197" s="61"/>
      <c r="D197" s="61" t="s">
        <v>101</v>
      </c>
      <c r="E197" s="219" t="s">
        <v>101</v>
      </c>
      <c r="F197" s="177" t="s">
        <v>101</v>
      </c>
      <c r="G197" s="159" t="s">
        <v>101</v>
      </c>
      <c r="H197" s="159" t="s">
        <v>101</v>
      </c>
      <c r="I197" s="159" t="s">
        <v>101</v>
      </c>
      <c r="J197" s="159" t="s">
        <v>101</v>
      </c>
      <c r="K197" s="159" t="s">
        <v>101</v>
      </c>
      <c r="L197" s="159" t="s">
        <v>101</v>
      </c>
      <c r="M197" s="159" t="s">
        <v>101</v>
      </c>
      <c r="N197" s="159" t="s">
        <v>101</v>
      </c>
      <c r="O197" s="159" t="s">
        <v>101</v>
      </c>
      <c r="P197" s="159" t="s">
        <v>101</v>
      </c>
      <c r="Q197" s="159" t="s">
        <v>101</v>
      </c>
      <c r="R197" s="159" t="s">
        <v>101</v>
      </c>
      <c r="S197" s="159" t="s">
        <v>101</v>
      </c>
      <c r="T197" s="159" t="s">
        <v>101</v>
      </c>
      <c r="U197" s="159" t="s">
        <v>101</v>
      </c>
      <c r="V197" s="160" t="s">
        <v>101</v>
      </c>
    </row>
    <row r="198" spans="1:72" ht="17.45" customHeight="1" thickBot="1" x14ac:dyDescent="0.25">
      <c r="A198" s="218" t="s">
        <v>60</v>
      </c>
      <c r="B198" s="2" t="s">
        <v>59</v>
      </c>
      <c r="C198" s="61"/>
      <c r="D198" s="61" t="s">
        <v>101</v>
      </c>
      <c r="E198" s="219" t="s">
        <v>101</v>
      </c>
      <c r="F198" s="177" t="s">
        <v>101</v>
      </c>
      <c r="G198" s="159" t="s">
        <v>101</v>
      </c>
      <c r="H198" s="159" t="s">
        <v>101</v>
      </c>
      <c r="I198" s="159" t="s">
        <v>101</v>
      </c>
      <c r="J198" s="159" t="s">
        <v>101</v>
      </c>
      <c r="K198" s="159" t="s">
        <v>101</v>
      </c>
      <c r="L198" s="159" t="s">
        <v>101</v>
      </c>
      <c r="M198" s="159" t="s">
        <v>101</v>
      </c>
      <c r="N198" s="159" t="s">
        <v>101</v>
      </c>
      <c r="O198" s="159" t="s">
        <v>101</v>
      </c>
      <c r="P198" s="159" t="s">
        <v>101</v>
      </c>
      <c r="Q198" s="159" t="s">
        <v>101</v>
      </c>
      <c r="R198" s="159" t="s">
        <v>101</v>
      </c>
      <c r="S198" s="159" t="s">
        <v>101</v>
      </c>
      <c r="T198" s="159" t="s">
        <v>101</v>
      </c>
      <c r="U198" s="159" t="s">
        <v>101</v>
      </c>
      <c r="V198" s="160" t="s">
        <v>101</v>
      </c>
    </row>
    <row r="199" spans="1:72" ht="17.45" customHeight="1" thickBot="1" x14ac:dyDescent="0.25">
      <c r="A199" s="218" t="s">
        <v>58</v>
      </c>
      <c r="B199" s="2" t="s">
        <v>57</v>
      </c>
      <c r="C199" s="61"/>
      <c r="D199" s="61" t="s">
        <v>101</v>
      </c>
      <c r="E199" s="219" t="s">
        <v>101</v>
      </c>
      <c r="F199" s="177" t="s">
        <v>101</v>
      </c>
      <c r="G199" s="159" t="s">
        <v>101</v>
      </c>
      <c r="H199" s="159" t="s">
        <v>101</v>
      </c>
      <c r="I199" s="159" t="s">
        <v>101</v>
      </c>
      <c r="J199" s="159" t="s">
        <v>101</v>
      </c>
      <c r="K199" s="159" t="s">
        <v>101</v>
      </c>
      <c r="L199" s="159" t="s">
        <v>101</v>
      </c>
      <c r="M199" s="159" t="s">
        <v>101</v>
      </c>
      <c r="N199" s="159" t="s">
        <v>101</v>
      </c>
      <c r="O199" s="159" t="s">
        <v>101</v>
      </c>
      <c r="P199" s="159" t="s">
        <v>101</v>
      </c>
      <c r="Q199" s="159" t="s">
        <v>101</v>
      </c>
      <c r="R199" s="159" t="s">
        <v>101</v>
      </c>
      <c r="S199" s="159" t="s">
        <v>101</v>
      </c>
      <c r="T199" s="159" t="s">
        <v>101</v>
      </c>
      <c r="U199" s="159" t="s">
        <v>101</v>
      </c>
      <c r="V199" s="160" t="s">
        <v>101</v>
      </c>
    </row>
    <row r="200" spans="1:72" ht="22.5" customHeight="1" thickBot="1" x14ac:dyDescent="0.25">
      <c r="A200" s="220" t="s">
        <v>56</v>
      </c>
      <c r="B200" s="221" t="s">
        <v>55</v>
      </c>
      <c r="C200" s="222"/>
      <c r="D200" s="222" t="s">
        <v>101</v>
      </c>
      <c r="E200" s="223" t="s">
        <v>101</v>
      </c>
      <c r="F200" s="177" t="s">
        <v>101</v>
      </c>
      <c r="G200" s="159" t="s">
        <v>101</v>
      </c>
      <c r="H200" s="159" t="s">
        <v>101</v>
      </c>
      <c r="I200" s="159" t="s">
        <v>101</v>
      </c>
      <c r="J200" s="159" t="s">
        <v>101</v>
      </c>
      <c r="K200" s="159" t="s">
        <v>101</v>
      </c>
      <c r="L200" s="159" t="s">
        <v>101</v>
      </c>
      <c r="M200" s="159" t="s">
        <v>101</v>
      </c>
      <c r="N200" s="159" t="s">
        <v>101</v>
      </c>
      <c r="O200" s="159" t="s">
        <v>101</v>
      </c>
      <c r="P200" s="159" t="s">
        <v>101</v>
      </c>
      <c r="Q200" s="159" t="s">
        <v>101</v>
      </c>
      <c r="R200" s="159" t="s">
        <v>101</v>
      </c>
      <c r="S200" s="159" t="s">
        <v>101</v>
      </c>
      <c r="T200" s="159" t="s">
        <v>101</v>
      </c>
      <c r="U200" s="159" t="s">
        <v>101</v>
      </c>
      <c r="V200" s="160" t="s">
        <v>101</v>
      </c>
    </row>
    <row r="201" spans="1:72" ht="20.45" customHeight="1" x14ac:dyDescent="0.2">
      <c r="A201" s="60"/>
      <c r="B201" s="60"/>
      <c r="C201" s="60"/>
      <c r="D201" s="313"/>
      <c r="E201" s="313"/>
      <c r="F201" s="313"/>
      <c r="G201" s="60"/>
      <c r="H201" s="60"/>
      <c r="I201" s="60"/>
      <c r="J201" s="60"/>
      <c r="K201" s="60"/>
      <c r="L201" s="60"/>
      <c r="M201" s="60"/>
      <c r="N201" s="60"/>
      <c r="O201" s="60"/>
      <c r="P201" s="60"/>
      <c r="Q201" s="60"/>
      <c r="R201" s="60"/>
      <c r="S201" s="60"/>
      <c r="T201" s="60"/>
      <c r="U201" s="60"/>
      <c r="V201" s="60"/>
      <c r="W201" s="60"/>
      <c r="X201" s="60"/>
      <c r="Y201" s="60"/>
      <c r="Z201" s="60"/>
      <c r="AA201" s="60"/>
      <c r="AB201" s="60"/>
      <c r="AC201" s="60"/>
      <c r="AD201" s="60"/>
      <c r="AE201" s="60"/>
      <c r="AF201" s="60"/>
      <c r="AG201" s="60"/>
      <c r="AH201" s="60"/>
      <c r="AI201" s="60"/>
      <c r="AJ201" s="60"/>
      <c r="AK201" s="60"/>
      <c r="AL201" s="60"/>
      <c r="AM201" s="60"/>
      <c r="AN201" s="60"/>
      <c r="AO201" s="60"/>
      <c r="AP201" s="60"/>
      <c r="AQ201" s="60"/>
      <c r="AR201" s="60"/>
      <c r="AS201" s="60"/>
      <c r="AT201" s="60"/>
      <c r="AU201" s="60"/>
      <c r="AV201" s="60"/>
      <c r="AW201" s="60"/>
      <c r="AX201" s="60"/>
      <c r="AY201" s="60"/>
      <c r="AZ201" s="60"/>
      <c r="BA201" s="60"/>
      <c r="BB201" s="60"/>
      <c r="BC201" s="60"/>
      <c r="BD201" s="60"/>
      <c r="BE201" s="60"/>
      <c r="BF201" s="60"/>
      <c r="BG201" s="60"/>
      <c r="BH201" s="60"/>
      <c r="BI201" s="60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60"/>
    </row>
    <row r="202" spans="1:72" ht="20.45" customHeight="1" x14ac:dyDescent="0.2">
      <c r="A202" s="60"/>
      <c r="B202" s="60"/>
      <c r="C202" s="60"/>
      <c r="D202" s="313"/>
      <c r="E202" s="313"/>
      <c r="F202" s="313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A202" s="60"/>
      <c r="AB202" s="60"/>
      <c r="AC202" s="60"/>
      <c r="AD202" s="60"/>
      <c r="AE202" s="60"/>
      <c r="AF202" s="60"/>
      <c r="AG202" s="60"/>
      <c r="AH202" s="60"/>
      <c r="AI202" s="60"/>
      <c r="AJ202" s="60"/>
      <c r="AK202" s="60"/>
      <c r="AL202" s="60"/>
      <c r="AM202" s="60"/>
      <c r="AN202" s="60"/>
      <c r="AO202" s="60"/>
      <c r="AP202" s="60"/>
      <c r="AQ202" s="60"/>
      <c r="AR202" s="60"/>
      <c r="AS202" s="60"/>
      <c r="AT202" s="60"/>
      <c r="AU202" s="60"/>
      <c r="AV202" s="60"/>
      <c r="AW202" s="60"/>
      <c r="AX202" s="60"/>
      <c r="AY202" s="60"/>
      <c r="AZ202" s="60"/>
      <c r="BA202" s="60"/>
      <c r="BB202" s="60"/>
      <c r="BC202" s="60"/>
      <c r="BD202" s="60"/>
      <c r="BE202" s="60"/>
      <c r="BF202" s="60"/>
      <c r="BG202" s="60"/>
      <c r="BH202" s="60"/>
      <c r="BI202" s="60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60"/>
    </row>
    <row r="203" spans="1:72" ht="20.45" customHeight="1" x14ac:dyDescent="0.2"/>
    <row r="204" spans="1:72" ht="20.45" customHeight="1" x14ac:dyDescent="0.2"/>
    <row r="205" spans="1:72" ht="20.45" customHeight="1" x14ac:dyDescent="0.2"/>
    <row r="206" spans="1:72" ht="20.45" customHeight="1" x14ac:dyDescent="0.2"/>
    <row r="207" spans="1:72" ht="20.45" customHeight="1" x14ac:dyDescent="0.2"/>
    <row r="208" spans="1:72" ht="20.45" customHeight="1" x14ac:dyDescent="0.2"/>
    <row r="209" ht="20.45" customHeight="1" x14ac:dyDescent="0.2"/>
    <row r="210" ht="20.45" customHeight="1" x14ac:dyDescent="0.2"/>
    <row r="211" ht="20.45" customHeight="1" x14ac:dyDescent="0.2"/>
    <row r="212" ht="20.45" customHeight="1" x14ac:dyDescent="0.2"/>
    <row r="213" ht="20.45" customHeight="1" x14ac:dyDescent="0.2"/>
    <row r="214" ht="20.45" customHeight="1" x14ac:dyDescent="0.2"/>
    <row r="215" ht="20.45" customHeight="1" x14ac:dyDescent="0.2"/>
    <row r="216" ht="20.45" customHeight="1" x14ac:dyDescent="0.2"/>
    <row r="217" ht="20.45" customHeight="1" x14ac:dyDescent="0.2"/>
    <row r="218" ht="20.45" customHeight="1" x14ac:dyDescent="0.2"/>
    <row r="219" ht="20.45" customHeight="1" x14ac:dyDescent="0.2"/>
    <row r="220" ht="20.45" customHeight="1" x14ac:dyDescent="0.2"/>
    <row r="221" ht="20.45" customHeight="1" x14ac:dyDescent="0.2"/>
    <row r="222" ht="20.45" customHeight="1" x14ac:dyDescent="0.2"/>
    <row r="223" ht="20.45" customHeight="1" x14ac:dyDescent="0.2"/>
    <row r="224" ht="20.45" customHeight="1" x14ac:dyDescent="0.2"/>
    <row r="225" ht="20.45" customHeight="1" x14ac:dyDescent="0.2"/>
    <row r="226" ht="20.45" customHeight="1" x14ac:dyDescent="0.2"/>
    <row r="227" ht="20.45" customHeight="1" x14ac:dyDescent="0.2"/>
    <row r="228" ht="20.45" customHeight="1" x14ac:dyDescent="0.2"/>
    <row r="229" ht="20.45" customHeight="1" x14ac:dyDescent="0.2"/>
    <row r="230" ht="20.45" customHeight="1" x14ac:dyDescent="0.2"/>
    <row r="231" ht="20.45" customHeight="1" x14ac:dyDescent="0.2"/>
    <row r="232" ht="20.45" customHeight="1" x14ac:dyDescent="0.2"/>
    <row r="233" ht="20.45" customHeight="1" x14ac:dyDescent="0.2"/>
    <row r="234" ht="20.45" customHeight="1" x14ac:dyDescent="0.2"/>
    <row r="235" ht="20.45" customHeight="1" x14ac:dyDescent="0.2"/>
    <row r="236" ht="20.45" customHeight="1" x14ac:dyDescent="0.2"/>
    <row r="237" ht="20.45" customHeight="1" x14ac:dyDescent="0.2"/>
    <row r="238" ht="20.45" customHeight="1" x14ac:dyDescent="0.2"/>
    <row r="239" ht="20.45" customHeight="1" x14ac:dyDescent="0.2"/>
    <row r="240" ht="20.45" customHeight="1" x14ac:dyDescent="0.2"/>
    <row r="241" ht="20.45" customHeight="1" x14ac:dyDescent="0.2"/>
    <row r="242" ht="20.45" customHeight="1" x14ac:dyDescent="0.2"/>
    <row r="243" ht="20.45" customHeight="1" x14ac:dyDescent="0.2"/>
    <row r="244" ht="20.45" customHeight="1" x14ac:dyDescent="0.2"/>
    <row r="245" ht="20.45" customHeight="1" x14ac:dyDescent="0.2"/>
    <row r="246" ht="20.45" customHeight="1" x14ac:dyDescent="0.2"/>
    <row r="247" ht="20.45" customHeight="1" x14ac:dyDescent="0.2"/>
    <row r="248" ht="20.45" customHeight="1" x14ac:dyDescent="0.2"/>
    <row r="249" ht="20.45" customHeight="1" x14ac:dyDescent="0.2"/>
    <row r="250" ht="20.45" customHeight="1" x14ac:dyDescent="0.2"/>
    <row r="251" ht="20.45" customHeight="1" x14ac:dyDescent="0.2"/>
    <row r="252" ht="20.45" customHeight="1" x14ac:dyDescent="0.2"/>
    <row r="253" ht="20.45" customHeight="1" x14ac:dyDescent="0.2"/>
    <row r="254" ht="20.45" customHeight="1" x14ac:dyDescent="0.2"/>
    <row r="255" ht="20.45" customHeight="1" x14ac:dyDescent="0.2"/>
    <row r="256" ht="20.45" customHeight="1" x14ac:dyDescent="0.2"/>
    <row r="257" ht="20.45" customHeight="1" x14ac:dyDescent="0.2"/>
    <row r="258" ht="20.45" customHeight="1" x14ac:dyDescent="0.2"/>
    <row r="259" ht="20.45" customHeight="1" x14ac:dyDescent="0.2"/>
    <row r="260" ht="20.45" customHeight="1" x14ac:dyDescent="0.2"/>
    <row r="261" ht="20.45" customHeight="1" x14ac:dyDescent="0.2"/>
    <row r="262" ht="20.45" customHeight="1" x14ac:dyDescent="0.2"/>
    <row r="263" ht="20.45" customHeight="1" x14ac:dyDescent="0.2"/>
    <row r="264" ht="20.45" customHeight="1" x14ac:dyDescent="0.2"/>
    <row r="265" ht="20.45" customHeight="1" x14ac:dyDescent="0.2"/>
    <row r="266" ht="20.45" customHeight="1" x14ac:dyDescent="0.2"/>
    <row r="267" ht="20.45" customHeight="1" x14ac:dyDescent="0.2"/>
    <row r="268" ht="20.45" customHeight="1" x14ac:dyDescent="0.2"/>
    <row r="269" ht="20.45" customHeight="1" x14ac:dyDescent="0.2"/>
  </sheetData>
  <mergeCells count="179">
    <mergeCell ref="A191:A193"/>
    <mergeCell ref="B191:B193"/>
    <mergeCell ref="D191:D193"/>
    <mergeCell ref="E191:E193"/>
    <mergeCell ref="A181:A183"/>
    <mergeCell ref="B181:B183"/>
    <mergeCell ref="D181:D183"/>
    <mergeCell ref="E181:E183"/>
    <mergeCell ref="A185:A187"/>
    <mergeCell ref="B185:B187"/>
    <mergeCell ref="D185:D187"/>
    <mergeCell ref="E185:E187"/>
    <mergeCell ref="A173:A175"/>
    <mergeCell ref="B173:B175"/>
    <mergeCell ref="D173:D175"/>
    <mergeCell ref="E173:E175"/>
    <mergeCell ref="A177:A179"/>
    <mergeCell ref="B177:B179"/>
    <mergeCell ref="D177:D179"/>
    <mergeCell ref="E177:E179"/>
    <mergeCell ref="A165:A167"/>
    <mergeCell ref="B165:B167"/>
    <mergeCell ref="D165:D167"/>
    <mergeCell ref="E165:E167"/>
    <mergeCell ref="A169:A171"/>
    <mergeCell ref="B169:B171"/>
    <mergeCell ref="D169:D171"/>
    <mergeCell ref="E169:E171"/>
    <mergeCell ref="A157:A159"/>
    <mergeCell ref="B157:B159"/>
    <mergeCell ref="D157:D159"/>
    <mergeCell ref="E157:E159"/>
    <mergeCell ref="A161:A163"/>
    <mergeCell ref="B161:B163"/>
    <mergeCell ref="D161:D163"/>
    <mergeCell ref="E161:E163"/>
    <mergeCell ref="A149:A151"/>
    <mergeCell ref="B149:B151"/>
    <mergeCell ref="D149:D151"/>
    <mergeCell ref="E149:E151"/>
    <mergeCell ref="A153:A155"/>
    <mergeCell ref="B153:B155"/>
    <mergeCell ref="D153:D155"/>
    <mergeCell ref="E153:E155"/>
    <mergeCell ref="A140:A142"/>
    <mergeCell ref="B140:B142"/>
    <mergeCell ref="D140:D142"/>
    <mergeCell ref="E140:E142"/>
    <mergeCell ref="A144:A146"/>
    <mergeCell ref="B144:B146"/>
    <mergeCell ref="D144:D146"/>
    <mergeCell ref="E144:E146"/>
    <mergeCell ref="A132:A134"/>
    <mergeCell ref="B132:B134"/>
    <mergeCell ref="D132:D134"/>
    <mergeCell ref="E132:E134"/>
    <mergeCell ref="A136:A138"/>
    <mergeCell ref="B136:B138"/>
    <mergeCell ref="D136:D138"/>
    <mergeCell ref="E136:E138"/>
    <mergeCell ref="A123:A125"/>
    <mergeCell ref="B123:B125"/>
    <mergeCell ref="D123:D125"/>
    <mergeCell ref="E123:E125"/>
    <mergeCell ref="A128:A130"/>
    <mergeCell ref="B128:B130"/>
    <mergeCell ref="D128:D130"/>
    <mergeCell ref="E128:E130"/>
    <mergeCell ref="A109:A111"/>
    <mergeCell ref="B109:B111"/>
    <mergeCell ref="D109:D111"/>
    <mergeCell ref="E109:E111"/>
    <mergeCell ref="A115:A117"/>
    <mergeCell ref="D115:D117"/>
    <mergeCell ref="B115:B117"/>
    <mergeCell ref="E115:E117"/>
    <mergeCell ref="A101:A103"/>
    <mergeCell ref="B101:B103"/>
    <mergeCell ref="D101:D103"/>
    <mergeCell ref="E101:E103"/>
    <mergeCell ref="A105:A107"/>
    <mergeCell ref="B105:B107"/>
    <mergeCell ref="D105:D107"/>
    <mergeCell ref="E105:E107"/>
    <mergeCell ref="A93:A95"/>
    <mergeCell ref="B93:B95"/>
    <mergeCell ref="D93:D95"/>
    <mergeCell ref="E93:E95"/>
    <mergeCell ref="A97:A99"/>
    <mergeCell ref="B97:B99"/>
    <mergeCell ref="D97:D99"/>
    <mergeCell ref="E97:E99"/>
    <mergeCell ref="A84:A86"/>
    <mergeCell ref="B84:B86"/>
    <mergeCell ref="D84:D86"/>
    <mergeCell ref="E84:E86"/>
    <mergeCell ref="A88:A90"/>
    <mergeCell ref="B88:B90"/>
    <mergeCell ref="D88:D90"/>
    <mergeCell ref="E88:E90"/>
    <mergeCell ref="A80:A82"/>
    <mergeCell ref="B80:B82"/>
    <mergeCell ref="D80:D82"/>
    <mergeCell ref="E80:E82"/>
    <mergeCell ref="A70:A72"/>
    <mergeCell ref="B70:B72"/>
    <mergeCell ref="D70:D72"/>
    <mergeCell ref="E70:E72"/>
    <mergeCell ref="A74:A76"/>
    <mergeCell ref="B74:B76"/>
    <mergeCell ref="D74:D76"/>
    <mergeCell ref="E74:E76"/>
    <mergeCell ref="A61:A63"/>
    <mergeCell ref="B61:B63"/>
    <mergeCell ref="D61:D63"/>
    <mergeCell ref="E61:E63"/>
    <mergeCell ref="A66:A68"/>
    <mergeCell ref="B66:B68"/>
    <mergeCell ref="D66:D68"/>
    <mergeCell ref="E66:E68"/>
    <mergeCell ref="A53:A55"/>
    <mergeCell ref="B53:B55"/>
    <mergeCell ref="D53:D55"/>
    <mergeCell ref="E53:E55"/>
    <mergeCell ref="A57:A59"/>
    <mergeCell ref="B57:B59"/>
    <mergeCell ref="D57:D59"/>
    <mergeCell ref="E57:E59"/>
    <mergeCell ref="A45:A47"/>
    <mergeCell ref="B45:B47"/>
    <mergeCell ref="D45:D47"/>
    <mergeCell ref="E45:E47"/>
    <mergeCell ref="A49:A51"/>
    <mergeCell ref="B49:B51"/>
    <mergeCell ref="D49:D51"/>
    <mergeCell ref="E49:E51"/>
    <mergeCell ref="B16:B18"/>
    <mergeCell ref="D16:D18"/>
    <mergeCell ref="E16:E18"/>
    <mergeCell ref="A37:A39"/>
    <mergeCell ref="B37:B39"/>
    <mergeCell ref="D37:D39"/>
    <mergeCell ref="E37:E39"/>
    <mergeCell ref="A41:A43"/>
    <mergeCell ref="B41:B43"/>
    <mergeCell ref="D41:D43"/>
    <mergeCell ref="E41:E43"/>
    <mergeCell ref="A29:A31"/>
    <mergeCell ref="B29:B31"/>
    <mergeCell ref="D29:D31"/>
    <mergeCell ref="E29:E31"/>
    <mergeCell ref="A33:A35"/>
    <mergeCell ref="B33:B35"/>
    <mergeCell ref="D33:D35"/>
    <mergeCell ref="E33:E35"/>
    <mergeCell ref="A1:E1"/>
    <mergeCell ref="A2:E2"/>
    <mergeCell ref="F3:F4"/>
    <mergeCell ref="D6:D8"/>
    <mergeCell ref="E6:E8"/>
    <mergeCell ref="B6:B8"/>
    <mergeCell ref="A6:A8"/>
    <mergeCell ref="A119:A121"/>
    <mergeCell ref="B119:B121"/>
    <mergeCell ref="D119:D121"/>
    <mergeCell ref="E119:E121"/>
    <mergeCell ref="A20:A22"/>
    <mergeCell ref="B20:B22"/>
    <mergeCell ref="D20:D22"/>
    <mergeCell ref="E20:E22"/>
    <mergeCell ref="A24:A26"/>
    <mergeCell ref="B24:B26"/>
    <mergeCell ref="D24:D26"/>
    <mergeCell ref="E24:E26"/>
    <mergeCell ref="A11:A13"/>
    <mergeCell ref="B11:B13"/>
    <mergeCell ref="D11:D13"/>
    <mergeCell ref="E11:E13"/>
    <mergeCell ref="A16:A18"/>
  </mergeCells>
  <pageMargins left="0.19685039370078741" right="0.19685039370078741" top="0.39370078740157483" bottom="0.39370078740157483" header="0.51181102362204722" footer="0.51181102362204722"/>
  <pageSetup paperSize="9" scale="96" orientation="landscape" r:id="rId1"/>
  <headerFooter alignWithMargins="0"/>
  <rowBreaks count="1" manualBreakCount="1">
    <brk id="112" max="21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19"/>
  <sheetViews>
    <sheetView view="pageBreakPreview" zoomScaleNormal="100" workbookViewId="0">
      <selection activeCell="C7" sqref="C7:C10"/>
    </sheetView>
  </sheetViews>
  <sheetFormatPr defaultRowHeight="12.75" x14ac:dyDescent="0.2"/>
  <cols>
    <col min="1" max="1" width="48.42578125" customWidth="1"/>
    <col min="2" max="2" width="10.85546875" customWidth="1"/>
    <col min="3" max="3" width="13.85546875" customWidth="1"/>
    <col min="4" max="4" width="11.28515625" customWidth="1"/>
    <col min="5" max="5" width="11.5703125" customWidth="1"/>
    <col min="6" max="6" width="32.28515625" customWidth="1"/>
  </cols>
  <sheetData>
    <row r="1" spans="1:18" ht="13.5" thickBot="1" x14ac:dyDescent="0.25">
      <c r="A1" s="565" t="s">
        <v>485</v>
      </c>
      <c r="B1" s="566"/>
      <c r="C1" s="566"/>
      <c r="D1" s="566"/>
      <c r="E1" s="566"/>
    </row>
    <row r="2" spans="1:18" ht="33" customHeight="1" thickBot="1" x14ac:dyDescent="0.25">
      <c r="A2" s="565" t="s">
        <v>486</v>
      </c>
      <c r="B2" s="566"/>
      <c r="C2" s="566"/>
      <c r="D2" s="566"/>
      <c r="E2" s="566"/>
      <c r="F2" s="157" t="s">
        <v>306</v>
      </c>
      <c r="G2" s="100">
        <v>1</v>
      </c>
      <c r="H2" s="101">
        <v>1</v>
      </c>
      <c r="I2" s="102"/>
      <c r="J2" s="100"/>
      <c r="K2" s="101"/>
      <c r="L2" s="102"/>
      <c r="M2" s="100"/>
      <c r="N2" s="101"/>
      <c r="O2" s="102"/>
      <c r="P2" s="100"/>
      <c r="Q2" s="101"/>
      <c r="R2" s="102"/>
    </row>
    <row r="3" spans="1:18" ht="48.75" thickBot="1" x14ac:dyDescent="0.25">
      <c r="A3" s="79"/>
      <c r="B3" s="79"/>
      <c r="C3" s="79"/>
      <c r="D3" s="79"/>
      <c r="E3" s="79"/>
      <c r="F3" s="157" t="s">
        <v>307</v>
      </c>
      <c r="G3" s="104">
        <v>1</v>
      </c>
      <c r="H3" s="105">
        <v>1</v>
      </c>
      <c r="I3" s="106"/>
      <c r="J3" s="104"/>
      <c r="K3" s="105"/>
      <c r="L3" s="106"/>
      <c r="M3" s="104"/>
      <c r="N3" s="105"/>
      <c r="O3" s="106"/>
      <c r="P3" s="104"/>
      <c r="Q3" s="105"/>
      <c r="R3" s="106"/>
    </row>
    <row r="4" spans="1:18" ht="62.45" customHeight="1" thickBot="1" x14ac:dyDescent="0.25">
      <c r="A4" s="259" t="s">
        <v>166</v>
      </c>
      <c r="B4" s="261" t="s">
        <v>39</v>
      </c>
      <c r="C4" s="567" t="s">
        <v>165</v>
      </c>
      <c r="D4" s="563" t="s">
        <v>164</v>
      </c>
      <c r="E4" s="564"/>
    </row>
    <row r="5" spans="1:18" ht="65.45" customHeight="1" thickBot="1" x14ac:dyDescent="0.25">
      <c r="A5" s="260"/>
      <c r="B5" s="262"/>
      <c r="C5" s="568"/>
      <c r="D5" s="228" t="s">
        <v>163</v>
      </c>
      <c r="E5" s="263" t="s">
        <v>162</v>
      </c>
      <c r="F5" s="240" t="s">
        <v>268</v>
      </c>
      <c r="G5" s="92" t="s">
        <v>291</v>
      </c>
      <c r="H5" s="93" t="s">
        <v>263</v>
      </c>
      <c r="I5" s="94" t="s">
        <v>292</v>
      </c>
      <c r="J5" s="92" t="s">
        <v>294</v>
      </c>
      <c r="K5" s="93" t="s">
        <v>295</v>
      </c>
      <c r="L5" s="94" t="s">
        <v>296</v>
      </c>
      <c r="M5" s="92" t="s">
        <v>298</v>
      </c>
      <c r="N5" s="93" t="s">
        <v>299</v>
      </c>
      <c r="O5" s="94" t="s">
        <v>300</v>
      </c>
      <c r="P5" s="92" t="s">
        <v>302</v>
      </c>
      <c r="Q5" s="93" t="s">
        <v>303</v>
      </c>
      <c r="R5" s="94" t="s">
        <v>304</v>
      </c>
    </row>
    <row r="6" spans="1:18" ht="13.5" thickBot="1" x14ac:dyDescent="0.25">
      <c r="A6" s="229" t="s">
        <v>36</v>
      </c>
      <c r="B6" s="228" t="s">
        <v>35</v>
      </c>
      <c r="C6" s="230">
        <v>1</v>
      </c>
      <c r="D6" s="230">
        <v>2</v>
      </c>
      <c r="E6" s="264">
        <v>3</v>
      </c>
      <c r="F6" s="239"/>
      <c r="G6" s="92">
        <v>1</v>
      </c>
      <c r="H6" s="93">
        <v>2</v>
      </c>
      <c r="I6" s="94">
        <v>3</v>
      </c>
      <c r="J6" s="92">
        <v>4</v>
      </c>
      <c r="K6" s="93">
        <v>5</v>
      </c>
      <c r="L6" s="94">
        <v>6</v>
      </c>
      <c r="M6" s="92">
        <v>7</v>
      </c>
      <c r="N6" s="93">
        <v>8</v>
      </c>
      <c r="O6" s="94">
        <v>9</v>
      </c>
      <c r="P6" s="92">
        <v>10</v>
      </c>
      <c r="Q6" s="93">
        <v>11</v>
      </c>
      <c r="R6" s="94">
        <v>12</v>
      </c>
    </row>
    <row r="7" spans="1:18" ht="89.25" x14ac:dyDescent="0.2">
      <c r="A7" s="559"/>
      <c r="B7" s="560"/>
      <c r="C7" s="561"/>
      <c r="D7" s="561"/>
      <c r="E7" s="562"/>
      <c r="F7" s="224" t="s">
        <v>493</v>
      </c>
      <c r="G7" s="166"/>
      <c r="H7" s="167"/>
      <c r="I7" s="167"/>
      <c r="J7" s="168"/>
      <c r="K7" s="167"/>
      <c r="L7" s="167"/>
      <c r="M7" s="167"/>
      <c r="N7" s="167"/>
      <c r="O7" s="167"/>
      <c r="P7" s="167"/>
      <c r="Q7" s="167"/>
      <c r="R7" s="169"/>
    </row>
    <row r="8" spans="1:18" ht="89.25" x14ac:dyDescent="0.2">
      <c r="A8" s="559"/>
      <c r="B8" s="560"/>
      <c r="C8" s="561"/>
      <c r="D8" s="561"/>
      <c r="E8" s="562"/>
      <c r="F8" s="225" t="s">
        <v>494</v>
      </c>
      <c r="G8" s="161"/>
      <c r="H8" s="162"/>
      <c r="I8" s="162"/>
      <c r="J8" s="170"/>
      <c r="K8" s="162"/>
      <c r="L8" s="162"/>
      <c r="M8" s="162"/>
      <c r="N8" s="162"/>
      <c r="O8" s="162"/>
      <c r="P8" s="162"/>
      <c r="Q8" s="162"/>
      <c r="R8" s="163"/>
    </row>
    <row r="9" spans="1:18" ht="63.75" x14ac:dyDescent="0.2">
      <c r="A9" s="559"/>
      <c r="B9" s="560"/>
      <c r="C9" s="561"/>
      <c r="D9" s="561"/>
      <c r="E9" s="562"/>
      <c r="F9" s="226" t="s">
        <v>488</v>
      </c>
      <c r="G9" s="171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3"/>
    </row>
    <row r="10" spans="1:18" ht="102" x14ac:dyDescent="0.2">
      <c r="A10" s="559"/>
      <c r="B10" s="560"/>
      <c r="C10" s="561"/>
      <c r="D10" s="561"/>
      <c r="E10" s="562"/>
      <c r="F10" s="226" t="s">
        <v>489</v>
      </c>
      <c r="G10" s="171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3"/>
    </row>
    <row r="11" spans="1:18" ht="13.5" thickBot="1" x14ac:dyDescent="0.25">
      <c r="A11" s="252" t="s">
        <v>491</v>
      </c>
      <c r="B11" s="250">
        <v>110</v>
      </c>
      <c r="C11" s="251" t="str">
        <f>GetPatVar("s5zf","&amp;b1101")</f>
        <v>-</v>
      </c>
      <c r="D11" s="251" t="str">
        <f>GetPatVar("s5zf","&amp;b1102")</f>
        <v>-</v>
      </c>
      <c r="E11" s="265" t="str">
        <f>GetPatVar("s5zf","&amp;b1103")</f>
        <v>-</v>
      </c>
      <c r="F11" s="241" t="s">
        <v>490</v>
      </c>
      <c r="G11" s="242">
        <f>(G7-G9)*G$2+(G8-G10)*G$3</f>
        <v>0</v>
      </c>
      <c r="H11" s="243">
        <f t="shared" ref="H11:R11" si="0">(H7-H9)*H$2+(H8-H10)*H$3</f>
        <v>0</v>
      </c>
      <c r="I11" s="243">
        <f t="shared" si="0"/>
        <v>0</v>
      </c>
      <c r="J11" s="243">
        <f t="shared" si="0"/>
        <v>0</v>
      </c>
      <c r="K11" s="243">
        <f t="shared" si="0"/>
        <v>0</v>
      </c>
      <c r="L11" s="243">
        <f>(L7-L9)*L$2+(L8-L10)*L$3</f>
        <v>0</v>
      </c>
      <c r="M11" s="243">
        <f t="shared" si="0"/>
        <v>0</v>
      </c>
      <c r="N11" s="243">
        <f t="shared" si="0"/>
        <v>0</v>
      </c>
      <c r="O11" s="243">
        <f t="shared" si="0"/>
        <v>0</v>
      </c>
      <c r="P11" s="243">
        <f t="shared" si="0"/>
        <v>0</v>
      </c>
      <c r="Q11" s="243">
        <f t="shared" si="0"/>
        <v>0</v>
      </c>
      <c r="R11" s="244">
        <f t="shared" si="0"/>
        <v>0</v>
      </c>
    </row>
    <row r="12" spans="1:18" ht="13.5" thickBot="1" x14ac:dyDescent="0.25">
      <c r="A12" s="271" t="s">
        <v>199</v>
      </c>
      <c r="B12" s="164">
        <v>111</v>
      </c>
      <c r="C12" s="165" t="str">
        <f>GetPatVar("s5zf","&amp;b1111")</f>
        <v/>
      </c>
      <c r="D12" s="165" t="s">
        <v>65</v>
      </c>
      <c r="E12" s="270" t="s">
        <v>65</v>
      </c>
      <c r="F12" s="227" t="s">
        <v>101</v>
      </c>
      <c r="G12" s="174" t="s">
        <v>101</v>
      </c>
      <c r="H12" s="174" t="s">
        <v>101</v>
      </c>
      <c r="I12" s="174" t="s">
        <v>101</v>
      </c>
      <c r="J12" s="174" t="s">
        <v>101</v>
      </c>
      <c r="K12" s="174" t="s">
        <v>101</v>
      </c>
      <c r="L12" s="174" t="s">
        <v>101</v>
      </c>
      <c r="M12" s="174" t="s">
        <v>101</v>
      </c>
      <c r="N12" s="174" t="s">
        <v>101</v>
      </c>
      <c r="O12" s="174" t="s">
        <v>101</v>
      </c>
      <c r="P12" s="174" t="s">
        <v>101</v>
      </c>
      <c r="Q12" s="174" t="s">
        <v>101</v>
      </c>
      <c r="R12" s="175" t="s">
        <v>101</v>
      </c>
    </row>
    <row r="13" spans="1:18" ht="25.5" x14ac:dyDescent="0.2">
      <c r="A13" s="555"/>
      <c r="B13" s="556"/>
      <c r="C13" s="557"/>
      <c r="D13" s="557"/>
      <c r="E13" s="558"/>
      <c r="F13" s="224" t="s">
        <v>492</v>
      </c>
      <c r="G13" s="166"/>
      <c r="H13" s="167"/>
      <c r="I13" s="167"/>
      <c r="J13" s="168"/>
      <c r="K13" s="167"/>
      <c r="L13" s="167"/>
      <c r="M13" s="167"/>
      <c r="N13" s="167"/>
      <c r="O13" s="167"/>
      <c r="P13" s="167"/>
      <c r="Q13" s="167"/>
      <c r="R13" s="169"/>
    </row>
    <row r="14" spans="1:18" ht="25.5" x14ac:dyDescent="0.2">
      <c r="A14" s="551"/>
      <c r="B14" s="552"/>
      <c r="C14" s="553"/>
      <c r="D14" s="553"/>
      <c r="E14" s="554"/>
      <c r="F14" s="225" t="s">
        <v>495</v>
      </c>
      <c r="G14" s="161"/>
      <c r="H14" s="162"/>
      <c r="I14" s="162"/>
      <c r="J14" s="170"/>
      <c r="K14" s="162"/>
      <c r="L14" s="162"/>
      <c r="M14" s="162"/>
      <c r="N14" s="162"/>
      <c r="O14" s="162"/>
      <c r="P14" s="162"/>
      <c r="Q14" s="162"/>
      <c r="R14" s="163"/>
    </row>
    <row r="15" spans="1:18" x14ac:dyDescent="0.2">
      <c r="A15" s="551"/>
      <c r="B15" s="552"/>
      <c r="C15" s="553"/>
      <c r="D15" s="553"/>
      <c r="E15" s="554"/>
      <c r="F15" s="226" t="s">
        <v>496</v>
      </c>
      <c r="G15" s="171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3"/>
    </row>
    <row r="16" spans="1:18" ht="25.5" x14ac:dyDescent="0.2">
      <c r="A16" s="551"/>
      <c r="B16" s="552"/>
      <c r="C16" s="553"/>
      <c r="D16" s="553"/>
      <c r="E16" s="554"/>
      <c r="F16" s="226" t="s">
        <v>497</v>
      </c>
      <c r="G16" s="171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3"/>
    </row>
    <row r="17" spans="1:18" ht="13.5" thickBot="1" x14ac:dyDescent="0.25">
      <c r="A17" s="249" t="s">
        <v>200</v>
      </c>
      <c r="B17" s="250">
        <v>112</v>
      </c>
      <c r="C17" s="251" t="str">
        <f>GetPatVar("s5zf","&amp;b1121")</f>
        <v/>
      </c>
      <c r="D17" s="251" t="str">
        <f>GetPatVar("s5zf","&amp;b1122")</f>
        <v/>
      </c>
      <c r="E17" s="265" t="str">
        <f>GetPatVar("s5zf","&amp;b1123")</f>
        <v/>
      </c>
      <c r="F17" s="245" t="s">
        <v>498</v>
      </c>
      <c r="G17" s="246">
        <f>(G13-G15)*G$2+(G14-G16)*G$3</f>
        <v>0</v>
      </c>
      <c r="H17" s="247">
        <f t="shared" ref="H17" si="1">(H13-H15)*H$2+(H14-H16)*H$3</f>
        <v>0</v>
      </c>
      <c r="I17" s="247">
        <f t="shared" ref="I17" si="2">(I13-I15)*I$2+(I14-I16)*I$3</f>
        <v>0</v>
      </c>
      <c r="J17" s="247">
        <f t="shared" ref="J17" si="3">(J13-J15)*J$2+(J14-J16)*J$3</f>
        <v>0</v>
      </c>
      <c r="K17" s="247">
        <f t="shared" ref="K17" si="4">(K13-K15)*K$2+(K14-K16)*K$3</f>
        <v>0</v>
      </c>
      <c r="L17" s="247">
        <f>(L13-L15)*L$2+(L14-L16)*L$3</f>
        <v>0</v>
      </c>
      <c r="M17" s="247">
        <f t="shared" ref="M17" si="5">(M13-M15)*M$2+(M14-M16)*M$3</f>
        <v>0</v>
      </c>
      <c r="N17" s="247">
        <f t="shared" ref="N17" si="6">(N13-N15)*N$2+(N14-N16)*N$3</f>
        <v>0</v>
      </c>
      <c r="O17" s="247">
        <f t="shared" ref="O17" si="7">(O13-O15)*O$2+(O14-O16)*O$3</f>
        <v>0</v>
      </c>
      <c r="P17" s="247">
        <f t="shared" ref="P17" si="8">(P13-P15)*P$2+(P14-P16)*P$3</f>
        <v>0</v>
      </c>
      <c r="Q17" s="247">
        <f t="shared" ref="Q17" si="9">(Q13-Q15)*Q$2+(Q14-Q16)*Q$3</f>
        <v>0</v>
      </c>
      <c r="R17" s="248">
        <f t="shared" ref="R17" si="10">(R13-R15)*R$2+(R14-R16)*R$3</f>
        <v>0</v>
      </c>
    </row>
    <row r="18" spans="1:18" ht="25.5" x14ac:dyDescent="0.2">
      <c r="A18" s="555"/>
      <c r="B18" s="556"/>
      <c r="C18" s="557"/>
      <c r="D18" s="557"/>
      <c r="E18" s="558"/>
      <c r="F18" s="224" t="s">
        <v>492</v>
      </c>
      <c r="G18" s="166"/>
      <c r="H18" s="167"/>
      <c r="I18" s="167"/>
      <c r="J18" s="168"/>
      <c r="K18" s="167"/>
      <c r="L18" s="167"/>
      <c r="M18" s="167"/>
      <c r="N18" s="167"/>
      <c r="O18" s="167"/>
      <c r="P18" s="167"/>
      <c r="Q18" s="167"/>
      <c r="R18" s="169"/>
    </row>
    <row r="19" spans="1:18" ht="25.5" x14ac:dyDescent="0.2">
      <c r="A19" s="551"/>
      <c r="B19" s="552"/>
      <c r="C19" s="553"/>
      <c r="D19" s="553"/>
      <c r="E19" s="554"/>
      <c r="F19" s="225" t="s">
        <v>495</v>
      </c>
      <c r="G19" s="161"/>
      <c r="H19" s="162"/>
      <c r="I19" s="162"/>
      <c r="J19" s="170"/>
      <c r="K19" s="162"/>
      <c r="L19" s="162"/>
      <c r="M19" s="162"/>
      <c r="N19" s="162"/>
      <c r="O19" s="162"/>
      <c r="P19" s="162"/>
      <c r="Q19" s="162"/>
      <c r="R19" s="163"/>
    </row>
    <row r="20" spans="1:18" x14ac:dyDescent="0.2">
      <c r="A20" s="551"/>
      <c r="B20" s="552"/>
      <c r="C20" s="553"/>
      <c r="D20" s="553"/>
      <c r="E20" s="554"/>
      <c r="F20" s="226" t="s">
        <v>496</v>
      </c>
      <c r="G20" s="171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3"/>
    </row>
    <row r="21" spans="1:18" ht="25.5" x14ac:dyDescent="0.2">
      <c r="A21" s="551"/>
      <c r="B21" s="552"/>
      <c r="C21" s="553"/>
      <c r="D21" s="553"/>
      <c r="E21" s="554"/>
      <c r="F21" s="226" t="s">
        <v>497</v>
      </c>
      <c r="G21" s="171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3"/>
    </row>
    <row r="22" spans="1:18" ht="13.5" thickBot="1" x14ac:dyDescent="0.25">
      <c r="A22" s="253" t="s">
        <v>201</v>
      </c>
      <c r="B22" s="250">
        <v>113</v>
      </c>
      <c r="C22" s="251" t="str">
        <f>GetPatVar("s5zf","&amp;b1131")</f>
        <v>-</v>
      </c>
      <c r="D22" s="251" t="str">
        <f>GetPatVar("s5zf","&amp;b1132")</f>
        <v>-</v>
      </c>
      <c r="E22" s="265" t="str">
        <f>GetPatVar("s5zf","&amp;b1133")</f>
        <v>-</v>
      </c>
      <c r="F22" s="245" t="s">
        <v>499</v>
      </c>
      <c r="G22" s="246">
        <f>(G18-G20)*G$2+(G19-G21)*G$3</f>
        <v>0</v>
      </c>
      <c r="H22" s="247">
        <f t="shared" ref="H22" si="11">(H18-H20)*H$2+(H19-H21)*H$3</f>
        <v>0</v>
      </c>
      <c r="I22" s="247">
        <f t="shared" ref="I22" si="12">(I18-I20)*I$2+(I19-I21)*I$3</f>
        <v>0</v>
      </c>
      <c r="J22" s="247">
        <f t="shared" ref="J22" si="13">(J18-J20)*J$2+(J19-J21)*J$3</f>
        <v>0</v>
      </c>
      <c r="K22" s="247">
        <f t="shared" ref="K22" si="14">(K18-K20)*K$2+(K19-K21)*K$3</f>
        <v>0</v>
      </c>
      <c r="L22" s="247">
        <f>(L18-L20)*L$2+(L19-L21)*L$3</f>
        <v>0</v>
      </c>
      <c r="M22" s="247">
        <f t="shared" ref="M22" si="15">(M18-M20)*M$2+(M19-M21)*M$3</f>
        <v>0</v>
      </c>
      <c r="N22" s="247">
        <f t="shared" ref="N22" si="16">(N18-N20)*N$2+(N19-N21)*N$3</f>
        <v>0</v>
      </c>
      <c r="O22" s="247">
        <f t="shared" ref="O22" si="17">(O18-O20)*O$2+(O19-O21)*O$3</f>
        <v>0</v>
      </c>
      <c r="P22" s="247">
        <f t="shared" ref="P22" si="18">(P18-P20)*P$2+(P19-P21)*P$3</f>
        <v>0</v>
      </c>
      <c r="Q22" s="247">
        <f t="shared" ref="Q22" si="19">(Q18-Q20)*Q$2+(Q19-Q21)*Q$3</f>
        <v>0</v>
      </c>
      <c r="R22" s="248">
        <f t="shared" ref="R22" si="20">(R18-R20)*R$2+(R19-R21)*R$3</f>
        <v>0</v>
      </c>
    </row>
    <row r="23" spans="1:18" ht="25.5" x14ac:dyDescent="0.2">
      <c r="A23" s="551"/>
      <c r="B23" s="552"/>
      <c r="C23" s="553"/>
      <c r="D23" s="553"/>
      <c r="E23" s="554"/>
      <c r="F23" s="224" t="s">
        <v>492</v>
      </c>
      <c r="G23" s="166"/>
      <c r="H23" s="167"/>
      <c r="I23" s="167"/>
      <c r="J23" s="168"/>
      <c r="K23" s="167"/>
      <c r="L23" s="167"/>
      <c r="M23" s="167"/>
      <c r="N23" s="167"/>
      <c r="O23" s="167"/>
      <c r="P23" s="167"/>
      <c r="Q23" s="167"/>
      <c r="R23" s="169"/>
    </row>
    <row r="24" spans="1:18" ht="25.5" x14ac:dyDescent="0.2">
      <c r="A24" s="551"/>
      <c r="B24" s="552"/>
      <c r="C24" s="553"/>
      <c r="D24" s="553"/>
      <c r="E24" s="554"/>
      <c r="F24" s="225" t="s">
        <v>495</v>
      </c>
      <c r="G24" s="161"/>
      <c r="H24" s="162"/>
      <c r="I24" s="162"/>
      <c r="J24" s="170"/>
      <c r="K24" s="162"/>
      <c r="L24" s="162"/>
      <c r="M24" s="162"/>
      <c r="N24" s="162"/>
      <c r="O24" s="162"/>
      <c r="P24" s="162"/>
      <c r="Q24" s="162"/>
      <c r="R24" s="163"/>
    </row>
    <row r="25" spans="1:18" x14ac:dyDescent="0.2">
      <c r="A25" s="551"/>
      <c r="B25" s="552"/>
      <c r="C25" s="553"/>
      <c r="D25" s="553"/>
      <c r="E25" s="554"/>
      <c r="F25" s="226" t="s">
        <v>496</v>
      </c>
      <c r="G25" s="171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3"/>
    </row>
    <row r="26" spans="1:18" ht="25.5" x14ac:dyDescent="0.2">
      <c r="A26" s="551"/>
      <c r="B26" s="552"/>
      <c r="C26" s="553"/>
      <c r="D26" s="553"/>
      <c r="E26" s="554"/>
      <c r="F26" s="226" t="s">
        <v>497</v>
      </c>
      <c r="G26" s="171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3"/>
    </row>
    <row r="27" spans="1:18" ht="13.5" thickBot="1" x14ac:dyDescent="0.25">
      <c r="A27" s="249" t="s">
        <v>202</v>
      </c>
      <c r="B27" s="250">
        <v>114</v>
      </c>
      <c r="C27" s="251" t="str">
        <f>GetPatVar("s5zf","&amp;b1141")</f>
        <v>-</v>
      </c>
      <c r="D27" s="251" t="str">
        <f>GetPatVar("s5zf","&amp;b1142")</f>
        <v>-</v>
      </c>
      <c r="E27" s="265" t="str">
        <f>GetPatVar("s5zf","&amp;b1143")</f>
        <v>-</v>
      </c>
      <c r="F27" s="245" t="s">
        <v>500</v>
      </c>
      <c r="G27" s="246">
        <f>(G23-G25)*G$2+(G24-G26)*G$3</f>
        <v>0</v>
      </c>
      <c r="H27" s="247">
        <f t="shared" ref="H27" si="21">(H23-H25)*H$2+(H24-H26)*H$3</f>
        <v>0</v>
      </c>
      <c r="I27" s="247">
        <f t="shared" ref="I27" si="22">(I23-I25)*I$2+(I24-I26)*I$3</f>
        <v>0</v>
      </c>
      <c r="J27" s="247">
        <f t="shared" ref="J27" si="23">(J23-J25)*J$2+(J24-J26)*J$3</f>
        <v>0</v>
      </c>
      <c r="K27" s="247">
        <f t="shared" ref="K27" si="24">(K23-K25)*K$2+(K24-K26)*K$3</f>
        <v>0</v>
      </c>
      <c r="L27" s="247">
        <f>(L23-L25)*L$2+(L24-L26)*L$3</f>
        <v>0</v>
      </c>
      <c r="M27" s="247">
        <f t="shared" ref="M27" si="25">(M23-M25)*M$2+(M24-M26)*M$3</f>
        <v>0</v>
      </c>
      <c r="N27" s="247">
        <f t="shared" ref="N27" si="26">(N23-N25)*N$2+(N24-N26)*N$3</f>
        <v>0</v>
      </c>
      <c r="O27" s="247">
        <f t="shared" ref="O27" si="27">(O23-O25)*O$2+(O24-O26)*O$3</f>
        <v>0</v>
      </c>
      <c r="P27" s="247">
        <f t="shared" ref="P27" si="28">(P23-P25)*P$2+(P24-P26)*P$3</f>
        <v>0</v>
      </c>
      <c r="Q27" s="247">
        <f t="shared" ref="Q27" si="29">(Q23-Q25)*Q$2+(Q24-Q26)*Q$3</f>
        <v>0</v>
      </c>
      <c r="R27" s="248">
        <f t="shared" ref="R27" si="30">(R23-R25)*R$2+(R24-R26)*R$3</f>
        <v>0</v>
      </c>
    </row>
    <row r="28" spans="1:18" ht="25.5" x14ac:dyDescent="0.2">
      <c r="A28" s="551"/>
      <c r="B28" s="552"/>
      <c r="C28" s="553"/>
      <c r="D28" s="553"/>
      <c r="E28" s="554"/>
      <c r="F28" s="224" t="s">
        <v>492</v>
      </c>
      <c r="G28" s="166"/>
      <c r="H28" s="167"/>
      <c r="I28" s="167"/>
      <c r="J28" s="168"/>
      <c r="K28" s="167"/>
      <c r="L28" s="167"/>
      <c r="M28" s="167"/>
      <c r="N28" s="167"/>
      <c r="O28" s="167"/>
      <c r="P28" s="167"/>
      <c r="Q28" s="167"/>
      <c r="R28" s="169"/>
    </row>
    <row r="29" spans="1:18" ht="25.5" x14ac:dyDescent="0.2">
      <c r="A29" s="551"/>
      <c r="B29" s="552"/>
      <c r="C29" s="553"/>
      <c r="D29" s="553"/>
      <c r="E29" s="554"/>
      <c r="F29" s="225" t="s">
        <v>495</v>
      </c>
      <c r="G29" s="161"/>
      <c r="H29" s="162"/>
      <c r="I29" s="162"/>
      <c r="J29" s="170"/>
      <c r="K29" s="162"/>
      <c r="L29" s="162"/>
      <c r="M29" s="162"/>
      <c r="N29" s="162"/>
      <c r="O29" s="162"/>
      <c r="P29" s="162"/>
      <c r="Q29" s="162"/>
      <c r="R29" s="163"/>
    </row>
    <row r="30" spans="1:18" x14ac:dyDescent="0.2">
      <c r="A30" s="551"/>
      <c r="B30" s="552"/>
      <c r="C30" s="553"/>
      <c r="D30" s="553"/>
      <c r="E30" s="554"/>
      <c r="F30" s="226" t="s">
        <v>496</v>
      </c>
      <c r="G30" s="171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3"/>
    </row>
    <row r="31" spans="1:18" ht="25.5" x14ac:dyDescent="0.2">
      <c r="A31" s="551"/>
      <c r="B31" s="552"/>
      <c r="C31" s="553"/>
      <c r="D31" s="553"/>
      <c r="E31" s="554"/>
      <c r="F31" s="226" t="s">
        <v>497</v>
      </c>
      <c r="G31" s="171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3"/>
    </row>
    <row r="32" spans="1:18" ht="13.5" thickBot="1" x14ac:dyDescent="0.25">
      <c r="A32" s="253" t="s">
        <v>203</v>
      </c>
      <c r="B32" s="250">
        <v>115</v>
      </c>
      <c r="C32" s="251" t="str">
        <f>GetPatVar("s5zf","&amp;b1151")</f>
        <v>-</v>
      </c>
      <c r="D32" s="251" t="str">
        <f>GetPatVar("s5zf","&amp;b1152")</f>
        <v>-</v>
      </c>
      <c r="E32" s="265" t="str">
        <f>GetPatVar("s5zf","&amp;b1153")</f>
        <v>-</v>
      </c>
      <c r="F32" s="245" t="s">
        <v>501</v>
      </c>
      <c r="G32" s="246">
        <f>(G28-G30)*G$2+(G29-G31)*G$3</f>
        <v>0</v>
      </c>
      <c r="H32" s="247">
        <f t="shared" ref="H32" si="31">(H28-H30)*H$2+(H29-H31)*H$3</f>
        <v>0</v>
      </c>
      <c r="I32" s="247">
        <f t="shared" ref="I32" si="32">(I28-I30)*I$2+(I29-I31)*I$3</f>
        <v>0</v>
      </c>
      <c r="J32" s="247">
        <f t="shared" ref="J32" si="33">(J28-J30)*J$2+(J29-J31)*J$3</f>
        <v>0</v>
      </c>
      <c r="K32" s="247">
        <f t="shared" ref="K32" si="34">(K28-K30)*K$2+(K29-K31)*K$3</f>
        <v>0</v>
      </c>
      <c r="L32" s="247">
        <f>(L28-L30)*L$2+(L29-L31)*L$3</f>
        <v>0</v>
      </c>
      <c r="M32" s="247">
        <f t="shared" ref="M32" si="35">(M28-M30)*M$2+(M29-M31)*M$3</f>
        <v>0</v>
      </c>
      <c r="N32" s="247">
        <f t="shared" ref="N32" si="36">(N28-N30)*N$2+(N29-N31)*N$3</f>
        <v>0</v>
      </c>
      <c r="O32" s="247">
        <f t="shared" ref="O32" si="37">(O28-O30)*O$2+(O29-O31)*O$3</f>
        <v>0</v>
      </c>
      <c r="P32" s="247">
        <f t="shared" ref="P32" si="38">(P28-P30)*P$2+(P29-P31)*P$3</f>
        <v>0</v>
      </c>
      <c r="Q32" s="247">
        <f t="shared" ref="Q32" si="39">(Q28-Q30)*Q$2+(Q29-Q31)*Q$3</f>
        <v>0</v>
      </c>
      <c r="R32" s="248">
        <f t="shared" ref="R32" si="40">(R28-R30)*R$2+(R29-R31)*R$3</f>
        <v>0</v>
      </c>
    </row>
    <row r="33" spans="1:18" ht="25.5" x14ac:dyDescent="0.2">
      <c r="A33" s="555"/>
      <c r="B33" s="556"/>
      <c r="C33" s="557"/>
      <c r="D33" s="557"/>
      <c r="E33" s="558"/>
      <c r="F33" s="224" t="s">
        <v>492</v>
      </c>
      <c r="G33" s="166"/>
      <c r="H33" s="167"/>
      <c r="I33" s="167"/>
      <c r="J33" s="168"/>
      <c r="K33" s="167"/>
      <c r="L33" s="167"/>
      <c r="M33" s="167"/>
      <c r="N33" s="167"/>
      <c r="O33" s="167"/>
      <c r="P33" s="167"/>
      <c r="Q33" s="167"/>
      <c r="R33" s="169"/>
    </row>
    <row r="34" spans="1:18" ht="25.5" x14ac:dyDescent="0.2">
      <c r="A34" s="551"/>
      <c r="B34" s="552"/>
      <c r="C34" s="553"/>
      <c r="D34" s="553"/>
      <c r="E34" s="554"/>
      <c r="F34" s="225" t="s">
        <v>495</v>
      </c>
      <c r="G34" s="161"/>
      <c r="H34" s="162"/>
      <c r="I34" s="162"/>
      <c r="J34" s="170"/>
      <c r="K34" s="162"/>
      <c r="L34" s="162"/>
      <c r="M34" s="162"/>
      <c r="N34" s="162"/>
      <c r="O34" s="162"/>
      <c r="P34" s="162"/>
      <c r="Q34" s="162"/>
      <c r="R34" s="163"/>
    </row>
    <row r="35" spans="1:18" x14ac:dyDescent="0.2">
      <c r="A35" s="551"/>
      <c r="B35" s="552"/>
      <c r="C35" s="553"/>
      <c r="D35" s="553"/>
      <c r="E35" s="554"/>
      <c r="F35" s="226" t="s">
        <v>496</v>
      </c>
      <c r="G35" s="171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3"/>
    </row>
    <row r="36" spans="1:18" ht="25.5" x14ac:dyDescent="0.2">
      <c r="A36" s="551"/>
      <c r="B36" s="552"/>
      <c r="C36" s="553"/>
      <c r="D36" s="553"/>
      <c r="E36" s="554"/>
      <c r="F36" s="226" t="s">
        <v>497</v>
      </c>
      <c r="G36" s="171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3"/>
    </row>
    <row r="37" spans="1:18" ht="13.5" thickBot="1" x14ac:dyDescent="0.25">
      <c r="A37" s="249" t="s">
        <v>204</v>
      </c>
      <c r="B37" s="250">
        <v>116</v>
      </c>
      <c r="C37" s="251" t="str">
        <f>GetPatVar("s5zf","&amp;b1161")</f>
        <v>-</v>
      </c>
      <c r="D37" s="251" t="str">
        <f>GetPatVar("s5zf","&amp;b1162")</f>
        <v>-</v>
      </c>
      <c r="E37" s="265" t="str">
        <f>GetPatVar("s5zf","&amp;b1163")</f>
        <v>-</v>
      </c>
      <c r="F37" s="245" t="s">
        <v>502</v>
      </c>
      <c r="G37" s="246">
        <f>(G33-G35)*G$2+(G34-G36)*G$3</f>
        <v>0</v>
      </c>
      <c r="H37" s="247">
        <f t="shared" ref="H37" si="41">(H33-H35)*H$2+(H34-H36)*H$3</f>
        <v>0</v>
      </c>
      <c r="I37" s="247">
        <f t="shared" ref="I37" si="42">(I33-I35)*I$2+(I34-I36)*I$3</f>
        <v>0</v>
      </c>
      <c r="J37" s="247">
        <f t="shared" ref="J37" si="43">(J33-J35)*J$2+(J34-J36)*J$3</f>
        <v>0</v>
      </c>
      <c r="K37" s="247">
        <f t="shared" ref="K37" si="44">(K33-K35)*K$2+(K34-K36)*K$3</f>
        <v>0</v>
      </c>
      <c r="L37" s="247">
        <f>(L33-L35)*L$2+(L34-L36)*L$3</f>
        <v>0</v>
      </c>
      <c r="M37" s="247">
        <f t="shared" ref="M37" si="45">(M33-M35)*M$2+(M34-M36)*M$3</f>
        <v>0</v>
      </c>
      <c r="N37" s="247">
        <f t="shared" ref="N37" si="46">(N33-N35)*N$2+(N34-N36)*N$3</f>
        <v>0</v>
      </c>
      <c r="O37" s="247">
        <f t="shared" ref="O37" si="47">(O33-O35)*O$2+(O34-O36)*O$3</f>
        <v>0</v>
      </c>
      <c r="P37" s="247">
        <f t="shared" ref="P37" si="48">(P33-P35)*P$2+(P34-P36)*P$3</f>
        <v>0</v>
      </c>
      <c r="Q37" s="247">
        <f t="shared" ref="Q37" si="49">(Q33-Q35)*Q$2+(Q34-Q36)*Q$3</f>
        <v>0</v>
      </c>
      <c r="R37" s="248">
        <f t="shared" ref="R37" si="50">(R33-R35)*R$2+(R34-R36)*R$3</f>
        <v>0</v>
      </c>
    </row>
    <row r="38" spans="1:18" ht="25.5" x14ac:dyDescent="0.2">
      <c r="A38" s="551"/>
      <c r="B38" s="552"/>
      <c r="C38" s="553"/>
      <c r="D38" s="553"/>
      <c r="E38" s="554"/>
      <c r="F38" s="224" t="s">
        <v>492</v>
      </c>
      <c r="G38" s="166"/>
      <c r="H38" s="167"/>
      <c r="I38" s="167"/>
      <c r="J38" s="168"/>
      <c r="K38" s="167"/>
      <c r="L38" s="167"/>
      <c r="M38" s="167"/>
      <c r="N38" s="167"/>
      <c r="O38" s="167"/>
      <c r="P38" s="167"/>
      <c r="Q38" s="167"/>
      <c r="R38" s="169"/>
    </row>
    <row r="39" spans="1:18" ht="25.5" x14ac:dyDescent="0.2">
      <c r="A39" s="551"/>
      <c r="B39" s="552"/>
      <c r="C39" s="553"/>
      <c r="D39" s="553"/>
      <c r="E39" s="554"/>
      <c r="F39" s="225" t="s">
        <v>495</v>
      </c>
      <c r="G39" s="161"/>
      <c r="H39" s="162"/>
      <c r="I39" s="162"/>
      <c r="J39" s="170"/>
      <c r="K39" s="162"/>
      <c r="L39" s="162"/>
      <c r="M39" s="162"/>
      <c r="N39" s="162"/>
      <c r="O39" s="162"/>
      <c r="P39" s="162"/>
      <c r="Q39" s="162"/>
      <c r="R39" s="163"/>
    </row>
    <row r="40" spans="1:18" x14ac:dyDescent="0.2">
      <c r="A40" s="551"/>
      <c r="B40" s="552"/>
      <c r="C40" s="553"/>
      <c r="D40" s="553"/>
      <c r="E40" s="554"/>
      <c r="F40" s="226" t="s">
        <v>496</v>
      </c>
      <c r="G40" s="171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3"/>
    </row>
    <row r="41" spans="1:18" ht="25.5" x14ac:dyDescent="0.2">
      <c r="A41" s="551"/>
      <c r="B41" s="552"/>
      <c r="C41" s="553"/>
      <c r="D41" s="553"/>
      <c r="E41" s="554"/>
      <c r="F41" s="226" t="s">
        <v>497</v>
      </c>
      <c r="G41" s="171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3"/>
    </row>
    <row r="42" spans="1:18" ht="13.5" thickBot="1" x14ac:dyDescent="0.25">
      <c r="A42" s="253" t="s">
        <v>205</v>
      </c>
      <c r="B42" s="250">
        <v>117</v>
      </c>
      <c r="C42" s="251" t="str">
        <f>GetPatVar("s5zf","&amp;b1171")</f>
        <v>-</v>
      </c>
      <c r="D42" s="251" t="str">
        <f>GetPatVar("s5zf","&amp;b1172")</f>
        <v>-</v>
      </c>
      <c r="E42" s="265" t="str">
        <f>GetPatVar("s5zf","&amp;b1173")</f>
        <v>-</v>
      </c>
      <c r="F42" s="245" t="s">
        <v>503</v>
      </c>
      <c r="G42" s="246">
        <f>(G38-G40)*G$2+(G39-G41)*G$3</f>
        <v>0</v>
      </c>
      <c r="H42" s="247">
        <f t="shared" ref="H42" si="51">(H38-H40)*H$2+(H39-H41)*H$3</f>
        <v>0</v>
      </c>
      <c r="I42" s="247">
        <f t="shared" ref="I42" si="52">(I38-I40)*I$2+(I39-I41)*I$3</f>
        <v>0</v>
      </c>
      <c r="J42" s="247">
        <f t="shared" ref="J42" si="53">(J38-J40)*J$2+(J39-J41)*J$3</f>
        <v>0</v>
      </c>
      <c r="K42" s="247">
        <f t="shared" ref="K42" si="54">(K38-K40)*K$2+(K39-K41)*K$3</f>
        <v>0</v>
      </c>
      <c r="L42" s="247">
        <f>(L38-L40)*L$2+(L39-L41)*L$3</f>
        <v>0</v>
      </c>
      <c r="M42" s="247">
        <f t="shared" ref="M42" si="55">(M38-M40)*M$2+(M39-M41)*M$3</f>
        <v>0</v>
      </c>
      <c r="N42" s="247">
        <f t="shared" ref="N42" si="56">(N38-N40)*N$2+(N39-N41)*N$3</f>
        <v>0</v>
      </c>
      <c r="O42" s="247">
        <f t="shared" ref="O42" si="57">(O38-O40)*O$2+(O39-O41)*O$3</f>
        <v>0</v>
      </c>
      <c r="P42" s="247">
        <f t="shared" ref="P42" si="58">(P38-P40)*P$2+(P39-P41)*P$3</f>
        <v>0</v>
      </c>
      <c r="Q42" s="247">
        <f t="shared" ref="Q42" si="59">(Q38-Q40)*Q$2+(Q39-Q41)*Q$3</f>
        <v>0</v>
      </c>
      <c r="R42" s="248">
        <f t="shared" ref="R42" si="60">(R38-R40)*R$2+(R39-R41)*R$3</f>
        <v>0</v>
      </c>
    </row>
    <row r="43" spans="1:18" ht="25.5" x14ac:dyDescent="0.2">
      <c r="A43" s="551"/>
      <c r="B43" s="552"/>
      <c r="C43" s="553"/>
      <c r="D43" s="553"/>
      <c r="E43" s="554"/>
      <c r="F43" s="224" t="s">
        <v>492</v>
      </c>
      <c r="G43" s="166"/>
      <c r="H43" s="167"/>
      <c r="I43" s="167"/>
      <c r="J43" s="168"/>
      <c r="K43" s="167"/>
      <c r="L43" s="167"/>
      <c r="M43" s="167"/>
      <c r="N43" s="167"/>
      <c r="O43" s="167"/>
      <c r="P43" s="167"/>
      <c r="Q43" s="167"/>
      <c r="R43" s="169"/>
    </row>
    <row r="44" spans="1:18" ht="25.5" x14ac:dyDescent="0.2">
      <c r="A44" s="551"/>
      <c r="B44" s="552"/>
      <c r="C44" s="553"/>
      <c r="D44" s="553"/>
      <c r="E44" s="554"/>
      <c r="F44" s="225" t="s">
        <v>495</v>
      </c>
      <c r="G44" s="161"/>
      <c r="H44" s="162"/>
      <c r="I44" s="162"/>
      <c r="J44" s="170"/>
      <c r="K44" s="162"/>
      <c r="L44" s="162"/>
      <c r="M44" s="162"/>
      <c r="N44" s="162"/>
      <c r="O44" s="162"/>
      <c r="P44" s="162"/>
      <c r="Q44" s="162"/>
      <c r="R44" s="163"/>
    </row>
    <row r="45" spans="1:18" x14ac:dyDescent="0.2">
      <c r="A45" s="551"/>
      <c r="B45" s="552"/>
      <c r="C45" s="553"/>
      <c r="D45" s="553"/>
      <c r="E45" s="554"/>
      <c r="F45" s="226" t="s">
        <v>496</v>
      </c>
      <c r="G45" s="171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3"/>
    </row>
    <row r="46" spans="1:18" ht="25.5" x14ac:dyDescent="0.2">
      <c r="A46" s="551"/>
      <c r="B46" s="552"/>
      <c r="C46" s="553"/>
      <c r="D46" s="553"/>
      <c r="E46" s="554"/>
      <c r="F46" s="226" t="s">
        <v>497</v>
      </c>
      <c r="G46" s="171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3"/>
    </row>
    <row r="47" spans="1:18" ht="13.5" thickBot="1" x14ac:dyDescent="0.25">
      <c r="A47" s="249" t="s">
        <v>206</v>
      </c>
      <c r="B47" s="250">
        <v>118</v>
      </c>
      <c r="C47" s="251" t="str">
        <f>GetPatVar("s5zf","&amp;b1181")</f>
        <v>-</v>
      </c>
      <c r="D47" s="251" t="str">
        <f>GetPatVar("s5zf","&amp;b1182")</f>
        <v>216.49</v>
      </c>
      <c r="E47" s="265" t="str">
        <f>GetPatVar("s5zf","&amp;b1183")</f>
        <v>216.49</v>
      </c>
      <c r="F47" s="245" t="s">
        <v>504</v>
      </c>
      <c r="G47" s="246">
        <f>(G43-G45)*G$2+(G44-G46)*G$3</f>
        <v>0</v>
      </c>
      <c r="H47" s="247">
        <f t="shared" ref="H47" si="61">(H43-H45)*H$2+(H44-H46)*H$3</f>
        <v>0</v>
      </c>
      <c r="I47" s="247">
        <f t="shared" ref="I47" si="62">(I43-I45)*I$2+(I44-I46)*I$3</f>
        <v>0</v>
      </c>
      <c r="J47" s="247">
        <f t="shared" ref="J47" si="63">(J43-J45)*J$2+(J44-J46)*J$3</f>
        <v>0</v>
      </c>
      <c r="K47" s="247">
        <f t="shared" ref="K47" si="64">(K43-K45)*K$2+(K44-K46)*K$3</f>
        <v>0</v>
      </c>
      <c r="L47" s="247">
        <f>(L43-L45)*L$2+(L44-L46)*L$3</f>
        <v>0</v>
      </c>
      <c r="M47" s="247">
        <f t="shared" ref="M47" si="65">(M43-M45)*M$2+(M44-M46)*M$3</f>
        <v>0</v>
      </c>
      <c r="N47" s="247">
        <f t="shared" ref="N47" si="66">(N43-N45)*N$2+(N44-N46)*N$3</f>
        <v>0</v>
      </c>
      <c r="O47" s="247">
        <f t="shared" ref="O47" si="67">(O43-O45)*O$2+(O44-O46)*O$3</f>
        <v>0</v>
      </c>
      <c r="P47" s="247">
        <f t="shared" ref="P47" si="68">(P43-P45)*P$2+(P44-P46)*P$3</f>
        <v>0</v>
      </c>
      <c r="Q47" s="247">
        <f t="shared" ref="Q47" si="69">(Q43-Q45)*Q$2+(Q44-Q46)*Q$3</f>
        <v>0</v>
      </c>
      <c r="R47" s="248">
        <f t="shared" ref="R47" si="70">(R43-R45)*R$2+(R44-R46)*R$3</f>
        <v>0</v>
      </c>
    </row>
    <row r="48" spans="1:18" ht="25.5" x14ac:dyDescent="0.2">
      <c r="A48" s="551"/>
      <c r="B48" s="552"/>
      <c r="C48" s="553"/>
      <c r="D48" s="553"/>
      <c r="E48" s="554"/>
      <c r="F48" s="224" t="s">
        <v>492</v>
      </c>
      <c r="G48" s="166"/>
      <c r="H48" s="167"/>
      <c r="I48" s="167"/>
      <c r="J48" s="168"/>
      <c r="K48" s="167"/>
      <c r="L48" s="167"/>
      <c r="M48" s="167"/>
      <c r="N48" s="167"/>
      <c r="O48" s="167"/>
      <c r="P48" s="167"/>
      <c r="Q48" s="167"/>
      <c r="R48" s="169"/>
    </row>
    <row r="49" spans="1:18" ht="25.5" x14ac:dyDescent="0.2">
      <c r="A49" s="551"/>
      <c r="B49" s="552"/>
      <c r="C49" s="553"/>
      <c r="D49" s="553"/>
      <c r="E49" s="554"/>
      <c r="F49" s="225" t="s">
        <v>495</v>
      </c>
      <c r="G49" s="161"/>
      <c r="H49" s="162"/>
      <c r="I49" s="162"/>
      <c r="J49" s="170"/>
      <c r="K49" s="162"/>
      <c r="L49" s="162"/>
      <c r="M49" s="162"/>
      <c r="N49" s="162"/>
      <c r="O49" s="162"/>
      <c r="P49" s="162"/>
      <c r="Q49" s="162"/>
      <c r="R49" s="163"/>
    </row>
    <row r="50" spans="1:18" x14ac:dyDescent="0.2">
      <c r="A50" s="551"/>
      <c r="B50" s="552"/>
      <c r="C50" s="553"/>
      <c r="D50" s="553"/>
      <c r="E50" s="554"/>
      <c r="F50" s="226" t="s">
        <v>496</v>
      </c>
      <c r="G50" s="171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3"/>
    </row>
    <row r="51" spans="1:18" ht="25.5" x14ac:dyDescent="0.2">
      <c r="A51" s="551"/>
      <c r="B51" s="552"/>
      <c r="C51" s="553"/>
      <c r="D51" s="553"/>
      <c r="E51" s="554"/>
      <c r="F51" s="226" t="s">
        <v>497</v>
      </c>
      <c r="G51" s="171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3"/>
    </row>
    <row r="52" spans="1:18" ht="26.25" thickBot="1" x14ac:dyDescent="0.25">
      <c r="A52" s="249" t="s">
        <v>207</v>
      </c>
      <c r="B52" s="250">
        <v>119</v>
      </c>
      <c r="C52" s="251" t="str">
        <f>GetPatVar("s5zf","&amp;b1191")</f>
        <v>-</v>
      </c>
      <c r="D52" s="251" t="str">
        <f>GetPatVar("s5zf","&amp;b1192")</f>
        <v>-</v>
      </c>
      <c r="E52" s="265" t="str">
        <f>GetPatVar("s5zf","&amp;b1193")</f>
        <v>-</v>
      </c>
      <c r="F52" s="245" t="s">
        <v>505</v>
      </c>
      <c r="G52" s="246">
        <f>(G48-G50)*G$2+(G49-G51)*G$3</f>
        <v>0</v>
      </c>
      <c r="H52" s="247">
        <f t="shared" ref="H52" si="71">(H48-H50)*H$2+(H49-H51)*H$3</f>
        <v>0</v>
      </c>
      <c r="I52" s="247">
        <f t="shared" ref="I52" si="72">(I48-I50)*I$2+(I49-I51)*I$3</f>
        <v>0</v>
      </c>
      <c r="J52" s="247">
        <f t="shared" ref="J52" si="73">(J48-J50)*J$2+(J49-J51)*J$3</f>
        <v>0</v>
      </c>
      <c r="K52" s="247">
        <f t="shared" ref="K52" si="74">(K48-K50)*K$2+(K49-K51)*K$3</f>
        <v>0</v>
      </c>
      <c r="L52" s="247">
        <f>(L48-L50)*L$2+(L49-L51)*L$3</f>
        <v>0</v>
      </c>
      <c r="M52" s="247">
        <f t="shared" ref="M52" si="75">(M48-M50)*M$2+(M49-M51)*M$3</f>
        <v>0</v>
      </c>
      <c r="N52" s="247">
        <f t="shared" ref="N52" si="76">(N48-N50)*N$2+(N49-N51)*N$3</f>
        <v>0</v>
      </c>
      <c r="O52" s="247">
        <f t="shared" ref="O52" si="77">(O48-O50)*O$2+(O49-O51)*O$3</f>
        <v>0</v>
      </c>
      <c r="P52" s="247">
        <f t="shared" ref="P52" si="78">(P48-P50)*P$2+(P49-P51)*P$3</f>
        <v>0</v>
      </c>
      <c r="Q52" s="247">
        <f t="shared" ref="Q52" si="79">(Q48-Q50)*Q$2+(Q49-Q51)*Q$3</f>
        <v>0</v>
      </c>
      <c r="R52" s="248">
        <f t="shared" ref="R52" si="80">(R48-R50)*R$2+(R49-R51)*R$3</f>
        <v>0</v>
      </c>
    </row>
    <row r="53" spans="1:18" ht="25.5" x14ac:dyDescent="0.2">
      <c r="A53" s="551"/>
      <c r="B53" s="552"/>
      <c r="C53" s="553"/>
      <c r="D53" s="553"/>
      <c r="E53" s="554"/>
      <c r="F53" s="224" t="s">
        <v>492</v>
      </c>
      <c r="G53" s="166"/>
      <c r="H53" s="167"/>
      <c r="I53" s="167"/>
      <c r="J53" s="168"/>
      <c r="K53" s="167"/>
      <c r="L53" s="167"/>
      <c r="M53" s="167"/>
      <c r="N53" s="167"/>
      <c r="O53" s="167"/>
      <c r="P53" s="167"/>
      <c r="Q53" s="167"/>
      <c r="R53" s="169"/>
    </row>
    <row r="54" spans="1:18" ht="25.5" x14ac:dyDescent="0.2">
      <c r="A54" s="551"/>
      <c r="B54" s="552"/>
      <c r="C54" s="553"/>
      <c r="D54" s="553"/>
      <c r="E54" s="554"/>
      <c r="F54" s="225" t="s">
        <v>495</v>
      </c>
      <c r="G54" s="161"/>
      <c r="H54" s="162"/>
      <c r="I54" s="162"/>
      <c r="J54" s="170"/>
      <c r="K54" s="162"/>
      <c r="L54" s="162"/>
      <c r="M54" s="162"/>
      <c r="N54" s="162"/>
      <c r="O54" s="162"/>
      <c r="P54" s="162"/>
      <c r="Q54" s="162"/>
      <c r="R54" s="163"/>
    </row>
    <row r="55" spans="1:18" x14ac:dyDescent="0.2">
      <c r="A55" s="551"/>
      <c r="B55" s="552"/>
      <c r="C55" s="553"/>
      <c r="D55" s="553"/>
      <c r="E55" s="554"/>
      <c r="F55" s="226" t="s">
        <v>496</v>
      </c>
      <c r="G55" s="171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3"/>
    </row>
    <row r="56" spans="1:18" ht="25.5" x14ac:dyDescent="0.2">
      <c r="A56" s="551"/>
      <c r="B56" s="552"/>
      <c r="C56" s="553"/>
      <c r="D56" s="553"/>
      <c r="E56" s="554"/>
      <c r="F56" s="226" t="s">
        <v>497</v>
      </c>
      <c r="G56" s="171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3"/>
    </row>
    <row r="57" spans="1:18" ht="26.25" thickBot="1" x14ac:dyDescent="0.25">
      <c r="A57" s="253" t="s">
        <v>208</v>
      </c>
      <c r="B57" s="250">
        <v>120</v>
      </c>
      <c r="C57" s="251" t="str">
        <f>GetPatVar("s5zf","&amp;b1201")</f>
        <v>-</v>
      </c>
      <c r="D57" s="251" t="str">
        <f>GetPatVar("s5zf","&amp;b1202")</f>
        <v>52.46</v>
      </c>
      <c r="E57" s="265" t="str">
        <f>GetPatVar("s5zf","&amp;b1203")</f>
        <v>52.46</v>
      </c>
      <c r="F57" s="245" t="s">
        <v>506</v>
      </c>
      <c r="G57" s="246">
        <f>(G53-G55)*G$2+(G54-G56)*G$3</f>
        <v>0</v>
      </c>
      <c r="H57" s="247">
        <f t="shared" ref="H57" si="81">(H53-H55)*H$2+(H54-H56)*H$3</f>
        <v>0</v>
      </c>
      <c r="I57" s="247">
        <f t="shared" ref="I57" si="82">(I53-I55)*I$2+(I54-I56)*I$3</f>
        <v>0</v>
      </c>
      <c r="J57" s="247">
        <f t="shared" ref="J57" si="83">(J53-J55)*J$2+(J54-J56)*J$3</f>
        <v>0</v>
      </c>
      <c r="K57" s="247">
        <f t="shared" ref="K57" si="84">(K53-K55)*K$2+(K54-K56)*K$3</f>
        <v>0</v>
      </c>
      <c r="L57" s="247">
        <f>(L53-L55)*L$2+(L54-L56)*L$3</f>
        <v>0</v>
      </c>
      <c r="M57" s="247">
        <f t="shared" ref="M57" si="85">(M53-M55)*M$2+(M54-M56)*M$3</f>
        <v>0</v>
      </c>
      <c r="N57" s="247">
        <f t="shared" ref="N57" si="86">(N53-N55)*N$2+(N54-N56)*N$3</f>
        <v>0</v>
      </c>
      <c r="O57" s="247">
        <f t="shared" ref="O57" si="87">(O53-O55)*O$2+(O54-O56)*O$3</f>
        <v>0</v>
      </c>
      <c r="P57" s="247">
        <f t="shared" ref="P57" si="88">(P53-P55)*P$2+(P54-P56)*P$3</f>
        <v>0</v>
      </c>
      <c r="Q57" s="247">
        <f t="shared" ref="Q57" si="89">(Q53-Q55)*Q$2+(Q54-Q56)*Q$3</f>
        <v>0</v>
      </c>
      <c r="R57" s="248">
        <f t="shared" ref="R57" si="90">(R53-R55)*R$2+(R54-R56)*R$3</f>
        <v>0</v>
      </c>
    </row>
    <row r="58" spans="1:18" ht="26.25" thickBot="1" x14ac:dyDescent="0.25">
      <c r="A58" s="232" t="s">
        <v>209</v>
      </c>
      <c r="B58" s="164">
        <v>121</v>
      </c>
      <c r="C58" s="165" t="str">
        <f>GetPatVar("s5zf","&amp;b1111")</f>
        <v/>
      </c>
      <c r="D58" s="165" t="s">
        <v>65</v>
      </c>
      <c r="E58" s="270" t="s">
        <v>65</v>
      </c>
      <c r="F58" s="227" t="s">
        <v>101</v>
      </c>
      <c r="G58" s="174" t="s">
        <v>101</v>
      </c>
      <c r="H58" s="174" t="s">
        <v>101</v>
      </c>
      <c r="I58" s="174" t="s">
        <v>101</v>
      </c>
      <c r="J58" s="174" t="s">
        <v>101</v>
      </c>
      <c r="K58" s="174" t="s">
        <v>101</v>
      </c>
      <c r="L58" s="174" t="s">
        <v>101</v>
      </c>
      <c r="M58" s="174" t="s">
        <v>101</v>
      </c>
      <c r="N58" s="174" t="s">
        <v>101</v>
      </c>
      <c r="O58" s="174" t="s">
        <v>101</v>
      </c>
      <c r="P58" s="174" t="s">
        <v>101</v>
      </c>
      <c r="Q58" s="174" t="s">
        <v>101</v>
      </c>
      <c r="R58" s="175" t="s">
        <v>101</v>
      </c>
    </row>
    <row r="59" spans="1:18" ht="25.5" x14ac:dyDescent="0.2">
      <c r="A59" s="551"/>
      <c r="B59" s="552"/>
      <c r="C59" s="553"/>
      <c r="D59" s="553"/>
      <c r="E59" s="554"/>
      <c r="F59" s="224" t="s">
        <v>492</v>
      </c>
      <c r="G59" s="166"/>
      <c r="H59" s="167"/>
      <c r="I59" s="167"/>
      <c r="J59" s="168"/>
      <c r="K59" s="167"/>
      <c r="L59" s="167"/>
      <c r="M59" s="167"/>
      <c r="N59" s="167"/>
      <c r="O59" s="167"/>
      <c r="P59" s="167"/>
      <c r="Q59" s="167"/>
      <c r="R59" s="169"/>
    </row>
    <row r="60" spans="1:18" ht="25.5" x14ac:dyDescent="0.2">
      <c r="A60" s="551"/>
      <c r="B60" s="552"/>
      <c r="C60" s="553"/>
      <c r="D60" s="553"/>
      <c r="E60" s="554"/>
      <c r="F60" s="225" t="s">
        <v>495</v>
      </c>
      <c r="G60" s="161"/>
      <c r="H60" s="162"/>
      <c r="I60" s="162"/>
      <c r="J60" s="170"/>
      <c r="K60" s="162"/>
      <c r="L60" s="162"/>
      <c r="M60" s="162"/>
      <c r="N60" s="162"/>
      <c r="O60" s="162"/>
      <c r="P60" s="162"/>
      <c r="Q60" s="162"/>
      <c r="R60" s="163"/>
    </row>
    <row r="61" spans="1:18" x14ac:dyDescent="0.2">
      <c r="A61" s="551"/>
      <c r="B61" s="552"/>
      <c r="C61" s="553"/>
      <c r="D61" s="553"/>
      <c r="E61" s="554"/>
      <c r="F61" s="226" t="s">
        <v>496</v>
      </c>
      <c r="G61" s="171"/>
      <c r="H61" s="172"/>
      <c r="I61" s="172"/>
      <c r="J61" s="172"/>
      <c r="K61" s="172"/>
      <c r="L61" s="172"/>
      <c r="M61" s="172"/>
      <c r="N61" s="172"/>
      <c r="O61" s="172"/>
      <c r="P61" s="172"/>
      <c r="Q61" s="172"/>
      <c r="R61" s="173"/>
    </row>
    <row r="62" spans="1:18" ht="25.5" x14ac:dyDescent="0.2">
      <c r="A62" s="551"/>
      <c r="B62" s="552"/>
      <c r="C62" s="553"/>
      <c r="D62" s="553"/>
      <c r="E62" s="554"/>
      <c r="F62" s="226" t="s">
        <v>497</v>
      </c>
      <c r="G62" s="171"/>
      <c r="H62" s="172"/>
      <c r="I62" s="172"/>
      <c r="J62" s="172"/>
      <c r="K62" s="172"/>
      <c r="L62" s="172"/>
      <c r="M62" s="172"/>
      <c r="N62" s="172"/>
      <c r="O62" s="172"/>
      <c r="P62" s="172"/>
      <c r="Q62" s="172"/>
      <c r="R62" s="173"/>
    </row>
    <row r="63" spans="1:18" ht="26.25" thickBot="1" x14ac:dyDescent="0.25">
      <c r="A63" s="253" t="s">
        <v>210</v>
      </c>
      <c r="B63" s="250">
        <v>122</v>
      </c>
      <c r="C63" s="251" t="str">
        <f>GetPatVar("s5zf","&amp;b1221")</f>
        <v>25.84</v>
      </c>
      <c r="D63" s="251" t="str">
        <f>GetPatVar("s5zf","&amp;b1222")</f>
        <v>339.21</v>
      </c>
      <c r="E63" s="265" t="str">
        <f>GetPatVar("s5zf","&amp;b1223")</f>
        <v>365.05</v>
      </c>
      <c r="F63" s="245" t="s">
        <v>507</v>
      </c>
      <c r="G63" s="246">
        <f>(G59-G61)*G$2+(G60-G62)*G$3</f>
        <v>0</v>
      </c>
      <c r="H63" s="247">
        <f t="shared" ref="H63" si="91">(H59-H61)*H$2+(H60-H62)*H$3</f>
        <v>0</v>
      </c>
      <c r="I63" s="247">
        <f t="shared" ref="I63" si="92">(I59-I61)*I$2+(I60-I62)*I$3</f>
        <v>0</v>
      </c>
      <c r="J63" s="247">
        <f t="shared" ref="J63" si="93">(J59-J61)*J$2+(J60-J62)*J$3</f>
        <v>0</v>
      </c>
      <c r="K63" s="247">
        <f t="shared" ref="K63" si="94">(K59-K61)*K$2+(K60-K62)*K$3</f>
        <v>0</v>
      </c>
      <c r="L63" s="247">
        <f>(L59-L61)*L$2+(L60-L62)*L$3</f>
        <v>0</v>
      </c>
      <c r="M63" s="247">
        <f t="shared" ref="M63" si="95">(M59-M61)*M$2+(M60-M62)*M$3</f>
        <v>0</v>
      </c>
      <c r="N63" s="247">
        <f t="shared" ref="N63" si="96">(N59-N61)*N$2+(N60-N62)*N$3</f>
        <v>0</v>
      </c>
      <c r="O63" s="247">
        <f t="shared" ref="O63" si="97">(O59-O61)*O$2+(O60-O62)*O$3</f>
        <v>0</v>
      </c>
      <c r="P63" s="247">
        <f t="shared" ref="P63" si="98">(P59-P61)*P$2+(P60-P62)*P$3</f>
        <v>0</v>
      </c>
      <c r="Q63" s="247">
        <f t="shared" ref="Q63" si="99">(Q59-Q61)*Q$2+(Q60-Q62)*Q$3</f>
        <v>0</v>
      </c>
      <c r="R63" s="248">
        <f t="shared" ref="R63" si="100">(R59-R61)*R$2+(R60-R62)*R$3</f>
        <v>0</v>
      </c>
    </row>
    <row r="64" spans="1:18" ht="25.5" x14ac:dyDescent="0.2">
      <c r="A64" s="551"/>
      <c r="B64" s="552"/>
      <c r="C64" s="553"/>
      <c r="D64" s="553"/>
      <c r="E64" s="554"/>
      <c r="F64" s="224" t="s">
        <v>492</v>
      </c>
      <c r="G64" s="166"/>
      <c r="H64" s="167"/>
      <c r="I64" s="167"/>
      <c r="J64" s="168"/>
      <c r="K64" s="167"/>
      <c r="L64" s="167"/>
      <c r="M64" s="167"/>
      <c r="N64" s="167"/>
      <c r="O64" s="167"/>
      <c r="P64" s="167"/>
      <c r="Q64" s="167"/>
      <c r="R64" s="169"/>
    </row>
    <row r="65" spans="1:18" ht="25.5" x14ac:dyDescent="0.2">
      <c r="A65" s="551"/>
      <c r="B65" s="552"/>
      <c r="C65" s="553"/>
      <c r="D65" s="553"/>
      <c r="E65" s="554"/>
      <c r="F65" s="225" t="s">
        <v>495</v>
      </c>
      <c r="G65" s="161"/>
      <c r="H65" s="162"/>
      <c r="I65" s="162"/>
      <c r="J65" s="170"/>
      <c r="K65" s="162"/>
      <c r="L65" s="162"/>
      <c r="M65" s="162"/>
      <c r="N65" s="162"/>
      <c r="O65" s="162"/>
      <c r="P65" s="162"/>
      <c r="Q65" s="162"/>
      <c r="R65" s="163"/>
    </row>
    <row r="66" spans="1:18" x14ac:dyDescent="0.2">
      <c r="A66" s="551"/>
      <c r="B66" s="552"/>
      <c r="C66" s="553"/>
      <c r="D66" s="553"/>
      <c r="E66" s="554"/>
      <c r="F66" s="226" t="s">
        <v>496</v>
      </c>
      <c r="G66" s="171"/>
      <c r="H66" s="172"/>
      <c r="I66" s="172"/>
      <c r="J66" s="172"/>
      <c r="K66" s="172"/>
      <c r="L66" s="172"/>
      <c r="M66" s="172"/>
      <c r="N66" s="172"/>
      <c r="O66" s="172"/>
      <c r="P66" s="172"/>
      <c r="Q66" s="172"/>
      <c r="R66" s="173"/>
    </row>
    <row r="67" spans="1:18" ht="25.5" x14ac:dyDescent="0.2">
      <c r="A67" s="551"/>
      <c r="B67" s="552"/>
      <c r="C67" s="553"/>
      <c r="D67" s="553"/>
      <c r="E67" s="554"/>
      <c r="F67" s="226" t="s">
        <v>497</v>
      </c>
      <c r="G67" s="171"/>
      <c r="H67" s="172"/>
      <c r="I67" s="172"/>
      <c r="J67" s="172"/>
      <c r="K67" s="172"/>
      <c r="L67" s="172"/>
      <c r="M67" s="172"/>
      <c r="N67" s="172"/>
      <c r="O67" s="172"/>
      <c r="P67" s="172"/>
      <c r="Q67" s="172"/>
      <c r="R67" s="173"/>
    </row>
    <row r="68" spans="1:18" ht="26.25" thickBot="1" x14ac:dyDescent="0.25">
      <c r="A68" s="253" t="s">
        <v>211</v>
      </c>
      <c r="B68" s="250">
        <v>123</v>
      </c>
      <c r="C68" s="251" t="str">
        <f>GetPatVar("s5zf","&amp;b1231")</f>
        <v>11329.54</v>
      </c>
      <c r="D68" s="251" t="str">
        <f>GetPatVar("s5zf","&amp;b1232")</f>
        <v>79308.93</v>
      </c>
      <c r="E68" s="265" t="str">
        <f>GetPatVar("s5zf","&amp;b1233")</f>
        <v>90638.47</v>
      </c>
      <c r="F68" s="245" t="s">
        <v>508</v>
      </c>
      <c r="G68" s="246">
        <f>(G64-G66)*G$2+(G65-G67)*G$3</f>
        <v>0</v>
      </c>
      <c r="H68" s="247">
        <f t="shared" ref="H68" si="101">(H64-H66)*H$2+(H65-H67)*H$3</f>
        <v>0</v>
      </c>
      <c r="I68" s="247">
        <f t="shared" ref="I68" si="102">(I64-I66)*I$2+(I65-I67)*I$3</f>
        <v>0</v>
      </c>
      <c r="J68" s="247">
        <f t="shared" ref="J68" si="103">(J64-J66)*J$2+(J65-J67)*J$3</f>
        <v>0</v>
      </c>
      <c r="K68" s="247">
        <f t="shared" ref="K68" si="104">(K64-K66)*K$2+(K65-K67)*K$3</f>
        <v>0</v>
      </c>
      <c r="L68" s="247">
        <f>(L64-L66)*L$2+(L65-L67)*L$3</f>
        <v>0</v>
      </c>
      <c r="M68" s="247">
        <f t="shared" ref="M68" si="105">(M64-M66)*M$2+(M65-M67)*M$3</f>
        <v>0</v>
      </c>
      <c r="N68" s="247">
        <f t="shared" ref="N68" si="106">(N64-N66)*N$2+(N65-N67)*N$3</f>
        <v>0</v>
      </c>
      <c r="O68" s="247">
        <f t="shared" ref="O68" si="107">(O64-O66)*O$2+(O65-O67)*O$3</f>
        <v>0</v>
      </c>
      <c r="P68" s="247">
        <f t="shared" ref="P68" si="108">(P64-P66)*P$2+(P65-P67)*P$3</f>
        <v>0</v>
      </c>
      <c r="Q68" s="247">
        <f t="shared" ref="Q68" si="109">(Q64-Q66)*Q$2+(Q65-Q67)*Q$3</f>
        <v>0</v>
      </c>
      <c r="R68" s="248">
        <f t="shared" ref="R68" si="110">(R64-R66)*R$2+(R65-R67)*R$3</f>
        <v>0</v>
      </c>
    </row>
    <row r="69" spans="1:18" ht="25.5" x14ac:dyDescent="0.2">
      <c r="A69" s="551"/>
      <c r="B69" s="552"/>
      <c r="C69" s="553"/>
      <c r="D69" s="553"/>
      <c r="E69" s="554"/>
      <c r="F69" s="224" t="s">
        <v>492</v>
      </c>
      <c r="G69" s="166"/>
      <c r="H69" s="167"/>
      <c r="I69" s="167"/>
      <c r="J69" s="168"/>
      <c r="K69" s="167"/>
      <c r="L69" s="167"/>
      <c r="M69" s="167"/>
      <c r="N69" s="167"/>
      <c r="O69" s="167"/>
      <c r="P69" s="167"/>
      <c r="Q69" s="167"/>
      <c r="R69" s="169"/>
    </row>
    <row r="70" spans="1:18" ht="25.5" x14ac:dyDescent="0.2">
      <c r="A70" s="551"/>
      <c r="B70" s="552"/>
      <c r="C70" s="553"/>
      <c r="D70" s="553"/>
      <c r="E70" s="554"/>
      <c r="F70" s="225" t="s">
        <v>495</v>
      </c>
      <c r="G70" s="161"/>
      <c r="H70" s="162"/>
      <c r="I70" s="162"/>
      <c r="J70" s="170"/>
      <c r="K70" s="162"/>
      <c r="L70" s="162"/>
      <c r="M70" s="162"/>
      <c r="N70" s="162"/>
      <c r="O70" s="162"/>
      <c r="P70" s="162"/>
      <c r="Q70" s="162"/>
      <c r="R70" s="163"/>
    </row>
    <row r="71" spans="1:18" x14ac:dyDescent="0.2">
      <c r="A71" s="551"/>
      <c r="B71" s="552"/>
      <c r="C71" s="553"/>
      <c r="D71" s="553"/>
      <c r="E71" s="554"/>
      <c r="F71" s="226" t="s">
        <v>496</v>
      </c>
      <c r="G71" s="171"/>
      <c r="H71" s="172"/>
      <c r="I71" s="172"/>
      <c r="J71" s="172"/>
      <c r="K71" s="172"/>
      <c r="L71" s="172"/>
      <c r="M71" s="172"/>
      <c r="N71" s="172"/>
      <c r="O71" s="172"/>
      <c r="P71" s="172"/>
      <c r="Q71" s="172"/>
      <c r="R71" s="173"/>
    </row>
    <row r="72" spans="1:18" ht="25.5" x14ac:dyDescent="0.2">
      <c r="A72" s="551"/>
      <c r="B72" s="552"/>
      <c r="C72" s="553"/>
      <c r="D72" s="553"/>
      <c r="E72" s="554"/>
      <c r="F72" s="226" t="s">
        <v>497</v>
      </c>
      <c r="G72" s="171"/>
      <c r="H72" s="172"/>
      <c r="I72" s="172"/>
      <c r="J72" s="172"/>
      <c r="K72" s="172"/>
      <c r="L72" s="172"/>
      <c r="M72" s="172"/>
      <c r="N72" s="172"/>
      <c r="O72" s="172"/>
      <c r="P72" s="172"/>
      <c r="Q72" s="172"/>
      <c r="R72" s="173"/>
    </row>
    <row r="73" spans="1:18" ht="26.25" thickBot="1" x14ac:dyDescent="0.25">
      <c r="A73" s="253" t="s">
        <v>212</v>
      </c>
      <c r="B73" s="250">
        <v>124</v>
      </c>
      <c r="C73" s="251" t="str">
        <f>GetPatVar("s5zf","&amp;b1241")</f>
        <v>681.00</v>
      </c>
      <c r="D73" s="251" t="str">
        <f>GetPatVar("s5zf","&amp;b1242")</f>
        <v>25286.62</v>
      </c>
      <c r="E73" s="265" t="str">
        <f>GetPatVar("s5zf","&amp;b1243")</f>
        <v>25967.62</v>
      </c>
      <c r="F73" s="245" t="s">
        <v>509</v>
      </c>
      <c r="G73" s="246">
        <f>(G69-G71)*G$2+(G70-G72)*G$3</f>
        <v>0</v>
      </c>
      <c r="H73" s="247">
        <f t="shared" ref="H73" si="111">(H69-H71)*H$2+(H70-H72)*H$3</f>
        <v>0</v>
      </c>
      <c r="I73" s="247">
        <f t="shared" ref="I73" si="112">(I69-I71)*I$2+(I70-I72)*I$3</f>
        <v>0</v>
      </c>
      <c r="J73" s="247">
        <f t="shared" ref="J73" si="113">(J69-J71)*J$2+(J70-J72)*J$3</f>
        <v>0</v>
      </c>
      <c r="K73" s="247">
        <f t="shared" ref="K73" si="114">(K69-K71)*K$2+(K70-K72)*K$3</f>
        <v>0</v>
      </c>
      <c r="L73" s="247">
        <f>(L69-L71)*L$2+(L70-L72)*L$3</f>
        <v>0</v>
      </c>
      <c r="M73" s="247">
        <f t="shared" ref="M73" si="115">(M69-M71)*M$2+(M70-M72)*M$3</f>
        <v>0</v>
      </c>
      <c r="N73" s="247">
        <f t="shared" ref="N73" si="116">(N69-N71)*N$2+(N70-N72)*N$3</f>
        <v>0</v>
      </c>
      <c r="O73" s="247">
        <f t="shared" ref="O73" si="117">(O69-O71)*O$2+(O70-O72)*O$3</f>
        <v>0</v>
      </c>
      <c r="P73" s="247">
        <f t="shared" ref="P73" si="118">(P69-P71)*P$2+(P70-P72)*P$3</f>
        <v>0</v>
      </c>
      <c r="Q73" s="247">
        <f t="shared" ref="Q73" si="119">(Q69-Q71)*Q$2+(Q70-Q72)*Q$3</f>
        <v>0</v>
      </c>
      <c r="R73" s="248">
        <f t="shared" ref="R73" si="120">(R69-R71)*R$2+(R70-R72)*R$3</f>
        <v>0</v>
      </c>
    </row>
    <row r="74" spans="1:18" ht="25.5" x14ac:dyDescent="0.2">
      <c r="A74" s="551"/>
      <c r="B74" s="552"/>
      <c r="C74" s="553"/>
      <c r="D74" s="553"/>
      <c r="E74" s="554"/>
      <c r="F74" s="224" t="s">
        <v>492</v>
      </c>
      <c r="G74" s="166"/>
      <c r="H74" s="167"/>
      <c r="I74" s="167"/>
      <c r="J74" s="168"/>
      <c r="K74" s="167"/>
      <c r="L74" s="167"/>
      <c r="M74" s="167"/>
      <c r="N74" s="167"/>
      <c r="O74" s="167"/>
      <c r="P74" s="167"/>
      <c r="Q74" s="167"/>
      <c r="R74" s="169"/>
    </row>
    <row r="75" spans="1:18" ht="25.5" x14ac:dyDescent="0.2">
      <c r="A75" s="551"/>
      <c r="B75" s="552"/>
      <c r="C75" s="553"/>
      <c r="D75" s="553"/>
      <c r="E75" s="554"/>
      <c r="F75" s="225" t="s">
        <v>495</v>
      </c>
      <c r="G75" s="161"/>
      <c r="H75" s="162"/>
      <c r="I75" s="162"/>
      <c r="J75" s="170"/>
      <c r="K75" s="162"/>
      <c r="L75" s="162"/>
      <c r="M75" s="162"/>
      <c r="N75" s="162"/>
      <c r="O75" s="162"/>
      <c r="P75" s="162"/>
      <c r="Q75" s="162"/>
      <c r="R75" s="163"/>
    </row>
    <row r="76" spans="1:18" x14ac:dyDescent="0.2">
      <c r="A76" s="551"/>
      <c r="B76" s="552"/>
      <c r="C76" s="553"/>
      <c r="D76" s="553"/>
      <c r="E76" s="554"/>
      <c r="F76" s="226" t="s">
        <v>496</v>
      </c>
      <c r="G76" s="171"/>
      <c r="H76" s="172"/>
      <c r="I76" s="172"/>
      <c r="J76" s="172"/>
      <c r="K76" s="172"/>
      <c r="L76" s="172"/>
      <c r="M76" s="172"/>
      <c r="N76" s="172"/>
      <c r="O76" s="172"/>
      <c r="P76" s="172"/>
      <c r="Q76" s="172"/>
      <c r="R76" s="173"/>
    </row>
    <row r="77" spans="1:18" ht="25.5" x14ac:dyDescent="0.2">
      <c r="A77" s="551"/>
      <c r="B77" s="552"/>
      <c r="C77" s="553"/>
      <c r="D77" s="553"/>
      <c r="E77" s="554"/>
      <c r="F77" s="226" t="s">
        <v>497</v>
      </c>
      <c r="G77" s="171"/>
      <c r="H77" s="172"/>
      <c r="I77" s="172"/>
      <c r="J77" s="172"/>
      <c r="K77" s="172"/>
      <c r="L77" s="172"/>
      <c r="M77" s="172"/>
      <c r="N77" s="172"/>
      <c r="O77" s="172"/>
      <c r="P77" s="172"/>
      <c r="Q77" s="172"/>
      <c r="R77" s="173"/>
    </row>
    <row r="78" spans="1:18" ht="39" thickBot="1" x14ac:dyDescent="0.25">
      <c r="A78" s="253" t="s">
        <v>213</v>
      </c>
      <c r="B78" s="250">
        <v>125</v>
      </c>
      <c r="C78" s="251" t="str">
        <f>GetPatVar("s5zf","&amp;b1251")</f>
        <v>182.30</v>
      </c>
      <c r="D78" s="251" t="str">
        <f>GetPatVar("s5zf","&amp;b1252")</f>
        <v>6373.79</v>
      </c>
      <c r="E78" s="265" t="str">
        <f>GetPatVar("s5zf","&amp;b1253")</f>
        <v>6556.09</v>
      </c>
      <c r="F78" s="245" t="s">
        <v>510</v>
      </c>
      <c r="G78" s="246">
        <f>(G74-G76)*G$2+(G75-G77)*G$3</f>
        <v>0</v>
      </c>
      <c r="H78" s="247">
        <f t="shared" ref="H78" si="121">(H74-H76)*H$2+(H75-H77)*H$3</f>
        <v>0</v>
      </c>
      <c r="I78" s="247">
        <f t="shared" ref="I78" si="122">(I74-I76)*I$2+(I75-I77)*I$3</f>
        <v>0</v>
      </c>
      <c r="J78" s="247">
        <f t="shared" ref="J78" si="123">(J74-J76)*J$2+(J75-J77)*J$3</f>
        <v>0</v>
      </c>
      <c r="K78" s="247">
        <f t="shared" ref="K78" si="124">(K74-K76)*K$2+(K75-K77)*K$3</f>
        <v>0</v>
      </c>
      <c r="L78" s="247">
        <f>(L74-L76)*L$2+(L75-L77)*L$3</f>
        <v>0</v>
      </c>
      <c r="M78" s="247">
        <f t="shared" ref="M78" si="125">(M74-M76)*M$2+(M75-M77)*M$3</f>
        <v>0</v>
      </c>
      <c r="N78" s="247">
        <f t="shared" ref="N78" si="126">(N74-N76)*N$2+(N75-N77)*N$3</f>
        <v>0</v>
      </c>
      <c r="O78" s="247">
        <f t="shared" ref="O78" si="127">(O74-O76)*O$2+(O75-O77)*O$3</f>
        <v>0</v>
      </c>
      <c r="P78" s="247">
        <f t="shared" ref="P78" si="128">(P74-P76)*P$2+(P75-P77)*P$3</f>
        <v>0</v>
      </c>
      <c r="Q78" s="247">
        <f t="shared" ref="Q78" si="129">(Q74-Q76)*Q$2+(Q75-Q77)*Q$3</f>
        <v>0</v>
      </c>
      <c r="R78" s="248">
        <f t="shared" ref="R78" si="130">(R74-R76)*R$2+(R75-R77)*R$3</f>
        <v>0</v>
      </c>
    </row>
    <row r="79" spans="1:18" ht="25.5" x14ac:dyDescent="0.2">
      <c r="A79" s="551"/>
      <c r="B79" s="552"/>
      <c r="C79" s="553"/>
      <c r="D79" s="553"/>
      <c r="E79" s="554"/>
      <c r="F79" s="224" t="s">
        <v>492</v>
      </c>
      <c r="G79" s="166"/>
      <c r="H79" s="167"/>
      <c r="I79" s="167"/>
      <c r="J79" s="168"/>
      <c r="K79" s="167"/>
      <c r="L79" s="167"/>
      <c r="M79" s="167"/>
      <c r="N79" s="167"/>
      <c r="O79" s="167"/>
      <c r="P79" s="167"/>
      <c r="Q79" s="167"/>
      <c r="R79" s="169"/>
    </row>
    <row r="80" spans="1:18" ht="25.5" x14ac:dyDescent="0.2">
      <c r="A80" s="551"/>
      <c r="B80" s="552"/>
      <c r="C80" s="553"/>
      <c r="D80" s="553"/>
      <c r="E80" s="554"/>
      <c r="F80" s="225" t="s">
        <v>495</v>
      </c>
      <c r="G80" s="161"/>
      <c r="H80" s="162"/>
      <c r="I80" s="162"/>
      <c r="J80" s="170"/>
      <c r="K80" s="162"/>
      <c r="L80" s="162"/>
      <c r="M80" s="162"/>
      <c r="N80" s="162"/>
      <c r="O80" s="162"/>
      <c r="P80" s="162"/>
      <c r="Q80" s="162"/>
      <c r="R80" s="163"/>
    </row>
    <row r="81" spans="1:18" x14ac:dyDescent="0.2">
      <c r="A81" s="551"/>
      <c r="B81" s="552"/>
      <c r="C81" s="553"/>
      <c r="D81" s="553"/>
      <c r="E81" s="554"/>
      <c r="F81" s="226" t="s">
        <v>496</v>
      </c>
      <c r="G81" s="171"/>
      <c r="H81" s="172"/>
      <c r="I81" s="172"/>
      <c r="J81" s="172"/>
      <c r="K81" s="172"/>
      <c r="L81" s="172"/>
      <c r="M81" s="172"/>
      <c r="N81" s="172"/>
      <c r="O81" s="172"/>
      <c r="P81" s="172"/>
      <c r="Q81" s="172"/>
      <c r="R81" s="173"/>
    </row>
    <row r="82" spans="1:18" ht="25.5" x14ac:dyDescent="0.2">
      <c r="A82" s="551"/>
      <c r="B82" s="552"/>
      <c r="C82" s="553"/>
      <c r="D82" s="553"/>
      <c r="E82" s="554"/>
      <c r="F82" s="226" t="s">
        <v>497</v>
      </c>
      <c r="G82" s="171"/>
      <c r="H82" s="172"/>
      <c r="I82" s="172"/>
      <c r="J82" s="172"/>
      <c r="K82" s="172"/>
      <c r="L82" s="172"/>
      <c r="M82" s="172"/>
      <c r="N82" s="172"/>
      <c r="O82" s="172"/>
      <c r="P82" s="172"/>
      <c r="Q82" s="172"/>
      <c r="R82" s="173"/>
    </row>
    <row r="83" spans="1:18" ht="13.5" thickBot="1" x14ac:dyDescent="0.25">
      <c r="A83" s="253" t="s">
        <v>214</v>
      </c>
      <c r="B83" s="250">
        <v>126</v>
      </c>
      <c r="C83" s="251" t="str">
        <f>GetPatVar("s5zf","&amp;b1261")</f>
        <v>4483.44</v>
      </c>
      <c r="D83" s="251" t="str">
        <f>GetPatVar("s5zf","&amp;b1262")</f>
        <v>57374.79</v>
      </c>
      <c r="E83" s="265" t="str">
        <f>GetPatVar("s5zf","&amp;b1263")</f>
        <v>61858.23</v>
      </c>
      <c r="F83" s="245" t="s">
        <v>512</v>
      </c>
      <c r="G83" s="246">
        <f>(G79-G81)*G$2+(G80-G82)*G$3</f>
        <v>0</v>
      </c>
      <c r="H83" s="247">
        <f t="shared" ref="H83" si="131">(H79-H81)*H$2+(H80-H82)*H$3</f>
        <v>0</v>
      </c>
      <c r="I83" s="247">
        <f t="shared" ref="I83" si="132">(I79-I81)*I$2+(I80-I82)*I$3</f>
        <v>0</v>
      </c>
      <c r="J83" s="247">
        <f t="shared" ref="J83" si="133">(J79-J81)*J$2+(J80-J82)*J$3</f>
        <v>0</v>
      </c>
      <c r="K83" s="247">
        <f t="shared" ref="K83" si="134">(K79-K81)*K$2+(K80-K82)*K$3</f>
        <v>0</v>
      </c>
      <c r="L83" s="247">
        <f>(L79-L81)*L$2+(L80-L82)*L$3</f>
        <v>0</v>
      </c>
      <c r="M83" s="247">
        <f t="shared" ref="M83" si="135">(M79-M81)*M$2+(M80-M82)*M$3</f>
        <v>0</v>
      </c>
      <c r="N83" s="247">
        <f t="shared" ref="N83" si="136">(N79-N81)*N$2+(N80-N82)*N$3</f>
        <v>0</v>
      </c>
      <c r="O83" s="247">
        <f t="shared" ref="O83" si="137">(O79-O81)*O$2+(O80-O82)*O$3</f>
        <v>0</v>
      </c>
      <c r="P83" s="247">
        <f t="shared" ref="P83" si="138">(P79-P81)*P$2+(P80-P82)*P$3</f>
        <v>0</v>
      </c>
      <c r="Q83" s="247">
        <f t="shared" ref="Q83" si="139">(Q79-Q81)*Q$2+(Q80-Q82)*Q$3</f>
        <v>0</v>
      </c>
      <c r="R83" s="248">
        <f t="shared" ref="R83" si="140">(R79-R81)*R$2+(R80-R82)*R$3</f>
        <v>0</v>
      </c>
    </row>
    <row r="84" spans="1:18" ht="25.5" x14ac:dyDescent="0.2">
      <c r="A84" s="551"/>
      <c r="B84" s="552"/>
      <c r="C84" s="553"/>
      <c r="D84" s="553"/>
      <c r="E84" s="554"/>
      <c r="F84" s="224" t="s">
        <v>492</v>
      </c>
      <c r="G84" s="166"/>
      <c r="H84" s="167"/>
      <c r="I84" s="167"/>
      <c r="J84" s="168"/>
      <c r="K84" s="167"/>
      <c r="L84" s="167"/>
      <c r="M84" s="167"/>
      <c r="N84" s="167"/>
      <c r="O84" s="167"/>
      <c r="P84" s="167"/>
      <c r="Q84" s="167"/>
      <c r="R84" s="169"/>
    </row>
    <row r="85" spans="1:18" ht="25.5" x14ac:dyDescent="0.2">
      <c r="A85" s="551"/>
      <c r="B85" s="552"/>
      <c r="C85" s="553"/>
      <c r="D85" s="553"/>
      <c r="E85" s="554"/>
      <c r="F85" s="225" t="s">
        <v>495</v>
      </c>
      <c r="G85" s="161"/>
      <c r="H85" s="162"/>
      <c r="I85" s="162"/>
      <c r="J85" s="170"/>
      <c r="K85" s="162"/>
      <c r="L85" s="162"/>
      <c r="M85" s="162"/>
      <c r="N85" s="162"/>
      <c r="O85" s="162"/>
      <c r="P85" s="162"/>
      <c r="Q85" s="162"/>
      <c r="R85" s="163"/>
    </row>
    <row r="86" spans="1:18" x14ac:dyDescent="0.2">
      <c r="A86" s="551"/>
      <c r="B86" s="552"/>
      <c r="C86" s="553"/>
      <c r="D86" s="553"/>
      <c r="E86" s="554"/>
      <c r="F86" s="226" t="s">
        <v>496</v>
      </c>
      <c r="G86" s="171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3"/>
    </row>
    <row r="87" spans="1:18" ht="25.5" x14ac:dyDescent="0.2">
      <c r="A87" s="551"/>
      <c r="B87" s="552"/>
      <c r="C87" s="553"/>
      <c r="D87" s="553"/>
      <c r="E87" s="554"/>
      <c r="F87" s="226" t="s">
        <v>497</v>
      </c>
      <c r="G87" s="171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3"/>
    </row>
    <row r="88" spans="1:18" ht="26.25" thickBot="1" x14ac:dyDescent="0.25">
      <c r="A88" s="253" t="s">
        <v>513</v>
      </c>
      <c r="B88" s="250">
        <v>127</v>
      </c>
      <c r="C88" s="251" t="str">
        <f>GetPatVar("s5zf","&amp;b1271")</f>
        <v>2338.93</v>
      </c>
      <c r="D88" s="251" t="str">
        <f>GetPatVar("s5zf","&amp;b1272")</f>
        <v>14436.43</v>
      </c>
      <c r="E88" s="265" t="str">
        <f>GetPatVar("s5zf","&amp;b1273")</f>
        <v>16775.36</v>
      </c>
      <c r="F88" s="245" t="s">
        <v>514</v>
      </c>
      <c r="G88" s="246">
        <f>(G84-G86)*G$2+(G85-G87)*G$3</f>
        <v>0</v>
      </c>
      <c r="H88" s="247">
        <f t="shared" ref="H88" si="141">(H84-H86)*H$2+(H85-H87)*H$3</f>
        <v>0</v>
      </c>
      <c r="I88" s="247">
        <f t="shared" ref="I88" si="142">(I84-I86)*I$2+(I85-I87)*I$3</f>
        <v>0</v>
      </c>
      <c r="J88" s="247">
        <f t="shared" ref="J88" si="143">(J84-J86)*J$2+(J85-J87)*J$3</f>
        <v>0</v>
      </c>
      <c r="K88" s="247">
        <f t="shared" ref="K88" si="144">(K84-K86)*K$2+(K85-K87)*K$3</f>
        <v>0</v>
      </c>
      <c r="L88" s="247">
        <f>(L84-L86)*L$2+(L85-L87)*L$3</f>
        <v>0</v>
      </c>
      <c r="M88" s="247">
        <f t="shared" ref="M88" si="145">(M84-M86)*M$2+(M85-M87)*M$3</f>
        <v>0</v>
      </c>
      <c r="N88" s="247">
        <f t="shared" ref="N88" si="146">(N84-N86)*N$2+(N85-N87)*N$3</f>
        <v>0</v>
      </c>
      <c r="O88" s="247">
        <f t="shared" ref="O88" si="147">(O84-O86)*O$2+(O85-O87)*O$3</f>
        <v>0</v>
      </c>
      <c r="P88" s="247">
        <f t="shared" ref="P88" si="148">(P84-P86)*P$2+(P85-P87)*P$3</f>
        <v>0</v>
      </c>
      <c r="Q88" s="247">
        <f t="shared" ref="Q88" si="149">(Q84-Q86)*Q$2+(Q85-Q87)*Q$3</f>
        <v>0</v>
      </c>
      <c r="R88" s="248">
        <f t="shared" ref="R88" si="150">(R84-R86)*R$2+(R85-R87)*R$3</f>
        <v>0</v>
      </c>
    </row>
    <row r="89" spans="1:18" ht="25.5" x14ac:dyDescent="0.2">
      <c r="A89" s="551"/>
      <c r="B89" s="552"/>
      <c r="C89" s="553"/>
      <c r="D89" s="553"/>
      <c r="E89" s="554"/>
      <c r="F89" s="224" t="s">
        <v>492</v>
      </c>
      <c r="G89" s="166"/>
      <c r="H89" s="167"/>
      <c r="I89" s="167"/>
      <c r="J89" s="168"/>
      <c r="K89" s="167"/>
      <c r="L89" s="167"/>
      <c r="M89" s="167"/>
      <c r="N89" s="167"/>
      <c r="O89" s="167"/>
      <c r="P89" s="167"/>
      <c r="Q89" s="167"/>
      <c r="R89" s="169"/>
    </row>
    <row r="90" spans="1:18" ht="25.5" x14ac:dyDescent="0.2">
      <c r="A90" s="551"/>
      <c r="B90" s="552"/>
      <c r="C90" s="553"/>
      <c r="D90" s="553"/>
      <c r="E90" s="554"/>
      <c r="F90" s="225" t="s">
        <v>495</v>
      </c>
      <c r="G90" s="161"/>
      <c r="H90" s="162"/>
      <c r="I90" s="162"/>
      <c r="J90" s="170"/>
      <c r="K90" s="162"/>
      <c r="L90" s="162"/>
      <c r="M90" s="162"/>
      <c r="N90" s="162"/>
      <c r="O90" s="162"/>
      <c r="P90" s="162"/>
      <c r="Q90" s="162"/>
      <c r="R90" s="163"/>
    </row>
    <row r="91" spans="1:18" x14ac:dyDescent="0.2">
      <c r="A91" s="551"/>
      <c r="B91" s="552"/>
      <c r="C91" s="553"/>
      <c r="D91" s="553"/>
      <c r="E91" s="554"/>
      <c r="F91" s="226" t="s">
        <v>496</v>
      </c>
      <c r="G91" s="171"/>
      <c r="H91" s="172"/>
      <c r="I91" s="172"/>
      <c r="J91" s="172"/>
      <c r="K91" s="172"/>
      <c r="L91" s="172"/>
      <c r="M91" s="172"/>
      <c r="N91" s="172"/>
      <c r="O91" s="172"/>
      <c r="P91" s="172"/>
      <c r="Q91" s="172"/>
      <c r="R91" s="173"/>
    </row>
    <row r="92" spans="1:18" ht="25.5" x14ac:dyDescent="0.2">
      <c r="A92" s="551"/>
      <c r="B92" s="552"/>
      <c r="C92" s="553"/>
      <c r="D92" s="553"/>
      <c r="E92" s="554"/>
      <c r="F92" s="226" t="s">
        <v>497</v>
      </c>
      <c r="G92" s="171"/>
      <c r="H92" s="172"/>
      <c r="I92" s="172"/>
      <c r="J92" s="172"/>
      <c r="K92" s="172"/>
      <c r="L92" s="172"/>
      <c r="M92" s="172"/>
      <c r="N92" s="172"/>
      <c r="O92" s="172"/>
      <c r="P92" s="172"/>
      <c r="Q92" s="172"/>
      <c r="R92" s="173"/>
    </row>
    <row r="93" spans="1:18" ht="13.5" thickBot="1" x14ac:dyDescent="0.25">
      <c r="A93" s="249" t="s">
        <v>215</v>
      </c>
      <c r="B93" s="250">
        <v>128</v>
      </c>
      <c r="C93" s="251" t="str">
        <f>GetPatVar("s5zf","&amp;b1281")</f>
        <v>-</v>
      </c>
      <c r="D93" s="251" t="str">
        <f>GetPatVar("s5zf","&amp;b1282")</f>
        <v>-</v>
      </c>
      <c r="E93" s="265" t="str">
        <f>GetPatVar("s5zf","&amp;b1283")</f>
        <v>-</v>
      </c>
      <c r="F93" s="245" t="s">
        <v>515</v>
      </c>
      <c r="G93" s="246">
        <f>(G89-G91)*G$2+(G90-G92)*G$3</f>
        <v>0</v>
      </c>
      <c r="H93" s="247">
        <f t="shared" ref="H93" si="151">(H89-H91)*H$2+(H90-H92)*H$3</f>
        <v>0</v>
      </c>
      <c r="I93" s="247">
        <f t="shared" ref="I93" si="152">(I89-I91)*I$2+(I90-I92)*I$3</f>
        <v>0</v>
      </c>
      <c r="J93" s="247">
        <f t="shared" ref="J93" si="153">(J89-J91)*J$2+(J90-J92)*J$3</f>
        <v>0</v>
      </c>
      <c r="K93" s="247">
        <f t="shared" ref="K93" si="154">(K89-K91)*K$2+(K90-K92)*K$3</f>
        <v>0</v>
      </c>
      <c r="L93" s="247">
        <f>(L89-L91)*L$2+(L90-L92)*L$3</f>
        <v>0</v>
      </c>
      <c r="M93" s="247">
        <f t="shared" ref="M93" si="155">(M89-M91)*M$2+(M90-M92)*M$3</f>
        <v>0</v>
      </c>
      <c r="N93" s="247">
        <f t="shared" ref="N93" si="156">(N89-N91)*N$2+(N90-N92)*N$3</f>
        <v>0</v>
      </c>
      <c r="O93" s="247">
        <f t="shared" ref="O93" si="157">(O89-O91)*O$2+(O90-O92)*O$3</f>
        <v>0</v>
      </c>
      <c r="P93" s="247">
        <f t="shared" ref="P93" si="158">(P89-P91)*P$2+(P90-P92)*P$3</f>
        <v>0</v>
      </c>
      <c r="Q93" s="247">
        <f t="shared" ref="Q93" si="159">(Q89-Q91)*Q$2+(Q90-Q92)*Q$3</f>
        <v>0</v>
      </c>
      <c r="R93" s="248">
        <f t="shared" ref="R93" si="160">(R89-R91)*R$2+(R90-R92)*R$3</f>
        <v>0</v>
      </c>
    </row>
    <row r="94" spans="1:18" ht="25.5" x14ac:dyDescent="0.2">
      <c r="A94" s="551"/>
      <c r="B94" s="552"/>
      <c r="C94" s="553"/>
      <c r="D94" s="553"/>
      <c r="E94" s="554"/>
      <c r="F94" s="224" t="s">
        <v>492</v>
      </c>
      <c r="G94" s="166"/>
      <c r="H94" s="167"/>
      <c r="I94" s="167"/>
      <c r="J94" s="168"/>
      <c r="K94" s="167"/>
      <c r="L94" s="167"/>
      <c r="M94" s="167"/>
      <c r="N94" s="167"/>
      <c r="O94" s="167"/>
      <c r="P94" s="167"/>
      <c r="Q94" s="167"/>
      <c r="R94" s="169"/>
    </row>
    <row r="95" spans="1:18" ht="25.5" x14ac:dyDescent="0.2">
      <c r="A95" s="551"/>
      <c r="B95" s="552"/>
      <c r="C95" s="553"/>
      <c r="D95" s="553"/>
      <c r="E95" s="554"/>
      <c r="F95" s="225" t="s">
        <v>495</v>
      </c>
      <c r="G95" s="161"/>
      <c r="H95" s="162"/>
      <c r="I95" s="162"/>
      <c r="J95" s="170"/>
      <c r="K95" s="162"/>
      <c r="L95" s="162"/>
      <c r="M95" s="162"/>
      <c r="N95" s="162"/>
      <c r="O95" s="162"/>
      <c r="P95" s="162"/>
      <c r="Q95" s="162"/>
      <c r="R95" s="163"/>
    </row>
    <row r="96" spans="1:18" x14ac:dyDescent="0.2">
      <c r="A96" s="551"/>
      <c r="B96" s="552"/>
      <c r="C96" s="553"/>
      <c r="D96" s="553"/>
      <c r="E96" s="554"/>
      <c r="F96" s="226" t="s">
        <v>496</v>
      </c>
      <c r="G96" s="171"/>
      <c r="H96" s="172"/>
      <c r="I96" s="172"/>
      <c r="J96" s="172"/>
      <c r="K96" s="172"/>
      <c r="L96" s="172"/>
      <c r="M96" s="172"/>
      <c r="N96" s="172"/>
      <c r="O96" s="172"/>
      <c r="P96" s="172"/>
      <c r="Q96" s="172"/>
      <c r="R96" s="173"/>
    </row>
    <row r="97" spans="1:18" ht="25.5" x14ac:dyDescent="0.2">
      <c r="A97" s="551"/>
      <c r="B97" s="552"/>
      <c r="C97" s="553"/>
      <c r="D97" s="553"/>
      <c r="E97" s="554"/>
      <c r="F97" s="226" t="s">
        <v>497</v>
      </c>
      <c r="G97" s="171"/>
      <c r="H97" s="172"/>
      <c r="I97" s="172"/>
      <c r="J97" s="172"/>
      <c r="K97" s="172"/>
      <c r="L97" s="172"/>
      <c r="M97" s="172"/>
      <c r="N97" s="172"/>
      <c r="O97" s="172"/>
      <c r="P97" s="172"/>
      <c r="Q97" s="172"/>
      <c r="R97" s="173"/>
    </row>
    <row r="98" spans="1:18" ht="13.5" thickBot="1" x14ac:dyDescent="0.25">
      <c r="A98" s="249" t="s">
        <v>216</v>
      </c>
      <c r="B98" s="250">
        <v>129</v>
      </c>
      <c r="C98" s="251" t="str">
        <f>GetPatVar("s5zf","&amp;b1291")</f>
        <v>-</v>
      </c>
      <c r="D98" s="251" t="str">
        <f>GetPatVar("s5zf","&amp;b1292")</f>
        <v>-</v>
      </c>
      <c r="E98" s="265" t="str">
        <f>GetPatVar("s5zf","&amp;b1293")</f>
        <v>-</v>
      </c>
      <c r="F98" s="245" t="s">
        <v>516</v>
      </c>
      <c r="G98" s="246">
        <f>(G94-G96)*G$2+(G95-G97)*G$3</f>
        <v>0</v>
      </c>
      <c r="H98" s="247">
        <f t="shared" ref="H98" si="161">(H94-H96)*H$2+(H95-H97)*H$3</f>
        <v>0</v>
      </c>
      <c r="I98" s="247">
        <f t="shared" ref="I98" si="162">(I94-I96)*I$2+(I95-I97)*I$3</f>
        <v>0</v>
      </c>
      <c r="J98" s="247">
        <f t="shared" ref="J98" si="163">(J94-J96)*J$2+(J95-J97)*J$3</f>
        <v>0</v>
      </c>
      <c r="K98" s="247">
        <f t="shared" ref="K98" si="164">(K94-K96)*K$2+(K95-K97)*K$3</f>
        <v>0</v>
      </c>
      <c r="L98" s="247">
        <f>(L94-L96)*L$2+(L95-L97)*L$3</f>
        <v>0</v>
      </c>
      <c r="M98" s="247">
        <f t="shared" ref="M98" si="165">(M94-M96)*M$2+(M95-M97)*M$3</f>
        <v>0</v>
      </c>
      <c r="N98" s="247">
        <f t="shared" ref="N98" si="166">(N94-N96)*N$2+(N95-N97)*N$3</f>
        <v>0</v>
      </c>
      <c r="O98" s="247">
        <f t="shared" ref="O98" si="167">(O94-O96)*O$2+(O95-O97)*O$3</f>
        <v>0</v>
      </c>
      <c r="P98" s="247">
        <f t="shared" ref="P98" si="168">(P94-P96)*P$2+(P95-P97)*P$3</f>
        <v>0</v>
      </c>
      <c r="Q98" s="247">
        <f t="shared" ref="Q98" si="169">(Q94-Q96)*Q$2+(Q95-Q97)*Q$3</f>
        <v>0</v>
      </c>
      <c r="R98" s="248">
        <f t="shared" ref="R98" si="170">(R94-R96)*R$2+(R95-R97)*R$3</f>
        <v>0</v>
      </c>
    </row>
    <row r="99" spans="1:18" ht="25.5" x14ac:dyDescent="0.2">
      <c r="A99" s="551"/>
      <c r="B99" s="552"/>
      <c r="C99" s="553"/>
      <c r="D99" s="553"/>
      <c r="E99" s="554"/>
      <c r="F99" s="224" t="s">
        <v>492</v>
      </c>
      <c r="G99" s="166"/>
      <c r="H99" s="167"/>
      <c r="I99" s="167"/>
      <c r="J99" s="168"/>
      <c r="K99" s="167"/>
      <c r="L99" s="167"/>
      <c r="M99" s="167"/>
      <c r="N99" s="167"/>
      <c r="O99" s="167"/>
      <c r="P99" s="167"/>
      <c r="Q99" s="167"/>
      <c r="R99" s="169"/>
    </row>
    <row r="100" spans="1:18" ht="25.5" x14ac:dyDescent="0.2">
      <c r="A100" s="551"/>
      <c r="B100" s="552"/>
      <c r="C100" s="553"/>
      <c r="D100" s="553"/>
      <c r="E100" s="554"/>
      <c r="F100" s="225" t="s">
        <v>495</v>
      </c>
      <c r="G100" s="161"/>
      <c r="H100" s="162"/>
      <c r="I100" s="162"/>
      <c r="J100" s="170"/>
      <c r="K100" s="162"/>
      <c r="L100" s="162"/>
      <c r="M100" s="162"/>
      <c r="N100" s="162"/>
      <c r="O100" s="162"/>
      <c r="P100" s="162"/>
      <c r="Q100" s="162"/>
      <c r="R100" s="163"/>
    </row>
    <row r="101" spans="1:18" x14ac:dyDescent="0.2">
      <c r="A101" s="551"/>
      <c r="B101" s="552"/>
      <c r="C101" s="553"/>
      <c r="D101" s="553"/>
      <c r="E101" s="554"/>
      <c r="F101" s="226" t="s">
        <v>496</v>
      </c>
      <c r="G101" s="171"/>
      <c r="H101" s="172"/>
      <c r="I101" s="172"/>
      <c r="J101" s="172"/>
      <c r="K101" s="172"/>
      <c r="L101" s="172"/>
      <c r="M101" s="172"/>
      <c r="N101" s="172"/>
      <c r="O101" s="172"/>
      <c r="P101" s="172"/>
      <c r="Q101" s="172"/>
      <c r="R101" s="173"/>
    </row>
    <row r="102" spans="1:18" ht="25.5" x14ac:dyDescent="0.2">
      <c r="A102" s="551"/>
      <c r="B102" s="552"/>
      <c r="C102" s="553"/>
      <c r="D102" s="553"/>
      <c r="E102" s="554"/>
      <c r="F102" s="226" t="s">
        <v>497</v>
      </c>
      <c r="G102" s="171"/>
      <c r="H102" s="172"/>
      <c r="I102" s="172"/>
      <c r="J102" s="172"/>
      <c r="K102" s="172"/>
      <c r="L102" s="172"/>
      <c r="M102" s="172"/>
      <c r="N102" s="172"/>
      <c r="O102" s="172"/>
      <c r="P102" s="172"/>
      <c r="Q102" s="172"/>
      <c r="R102" s="173"/>
    </row>
    <row r="103" spans="1:18" ht="13.5" thickBot="1" x14ac:dyDescent="0.25">
      <c r="A103" s="253" t="s">
        <v>217</v>
      </c>
      <c r="B103" s="250">
        <v>130</v>
      </c>
      <c r="C103" s="251" t="str">
        <f>GetPatVar("s5zf","&amp;b1301")</f>
        <v>39149.02</v>
      </c>
      <c r="D103" s="251" t="str">
        <f>GetPatVar("s5zf","&amp;b1302")</f>
        <v>214047.89</v>
      </c>
      <c r="E103" s="265" t="str">
        <f>GetPatVar("s5zf","&amp;b1303")</f>
        <v>253196.91</v>
      </c>
      <c r="F103" s="245" t="s">
        <v>517</v>
      </c>
      <c r="G103" s="246">
        <f>(G99-G101)*G$2+(G100-G102)*G$3</f>
        <v>0</v>
      </c>
      <c r="H103" s="247">
        <f t="shared" ref="H103" si="171">(H99-H101)*H$2+(H100-H102)*H$3</f>
        <v>0</v>
      </c>
      <c r="I103" s="247">
        <f t="shared" ref="I103" si="172">(I99-I101)*I$2+(I100-I102)*I$3</f>
        <v>0</v>
      </c>
      <c r="J103" s="247">
        <f t="shared" ref="J103" si="173">(J99-J101)*J$2+(J100-J102)*J$3</f>
        <v>0</v>
      </c>
      <c r="K103" s="247">
        <f t="shared" ref="K103" si="174">(K99-K101)*K$2+(K100-K102)*K$3</f>
        <v>0</v>
      </c>
      <c r="L103" s="247">
        <f>(L99-L101)*L$2+(L100-L102)*L$3</f>
        <v>0</v>
      </c>
      <c r="M103" s="247">
        <f t="shared" ref="M103" si="175">(M99-M101)*M$2+(M100-M102)*M$3</f>
        <v>0</v>
      </c>
      <c r="N103" s="247">
        <f t="shared" ref="N103" si="176">(N99-N101)*N$2+(N100-N102)*N$3</f>
        <v>0</v>
      </c>
      <c r="O103" s="247">
        <f t="shared" ref="O103" si="177">(O99-O101)*O$2+(O100-O102)*O$3</f>
        <v>0</v>
      </c>
      <c r="P103" s="247">
        <f t="shared" ref="P103" si="178">(P99-P101)*P$2+(P100-P102)*P$3</f>
        <v>0</v>
      </c>
      <c r="Q103" s="247">
        <f t="shared" ref="Q103" si="179">(Q99-Q101)*Q$2+(Q100-Q102)*Q$3</f>
        <v>0</v>
      </c>
      <c r="R103" s="248">
        <f t="shared" ref="R103" si="180">(R99-R101)*R$2+(R100-R102)*R$3</f>
        <v>0</v>
      </c>
    </row>
    <row r="104" spans="1:18" ht="25.5" x14ac:dyDescent="0.2">
      <c r="A104" s="551"/>
      <c r="B104" s="552"/>
      <c r="C104" s="553"/>
      <c r="D104" s="553"/>
      <c r="E104" s="554"/>
      <c r="F104" s="224" t="s">
        <v>492</v>
      </c>
      <c r="G104" s="166"/>
      <c r="H104" s="167"/>
      <c r="I104" s="167"/>
      <c r="J104" s="168"/>
      <c r="K104" s="167"/>
      <c r="L104" s="167"/>
      <c r="M104" s="167"/>
      <c r="N104" s="167"/>
      <c r="O104" s="167"/>
      <c r="P104" s="167"/>
      <c r="Q104" s="167"/>
      <c r="R104" s="169"/>
    </row>
    <row r="105" spans="1:18" ht="25.5" x14ac:dyDescent="0.2">
      <c r="A105" s="551"/>
      <c r="B105" s="552"/>
      <c r="C105" s="553"/>
      <c r="D105" s="553"/>
      <c r="E105" s="554"/>
      <c r="F105" s="225" t="s">
        <v>495</v>
      </c>
      <c r="G105" s="161"/>
      <c r="H105" s="162"/>
      <c r="I105" s="162"/>
      <c r="J105" s="170"/>
      <c r="K105" s="162"/>
      <c r="L105" s="162"/>
      <c r="M105" s="162"/>
      <c r="N105" s="162"/>
      <c r="O105" s="162"/>
      <c r="P105" s="162"/>
      <c r="Q105" s="162"/>
      <c r="R105" s="163"/>
    </row>
    <row r="106" spans="1:18" x14ac:dyDescent="0.2">
      <c r="A106" s="551"/>
      <c r="B106" s="552"/>
      <c r="C106" s="553"/>
      <c r="D106" s="553"/>
      <c r="E106" s="554"/>
      <c r="F106" s="226" t="s">
        <v>496</v>
      </c>
      <c r="G106" s="171"/>
      <c r="H106" s="172"/>
      <c r="I106" s="172"/>
      <c r="J106" s="172"/>
      <c r="K106" s="172"/>
      <c r="L106" s="172"/>
      <c r="M106" s="172"/>
      <c r="N106" s="172"/>
      <c r="O106" s="172"/>
      <c r="P106" s="172"/>
      <c r="Q106" s="172"/>
      <c r="R106" s="173"/>
    </row>
    <row r="107" spans="1:18" ht="25.5" x14ac:dyDescent="0.2">
      <c r="A107" s="551"/>
      <c r="B107" s="552"/>
      <c r="C107" s="553"/>
      <c r="D107" s="553"/>
      <c r="E107" s="554"/>
      <c r="F107" s="226" t="s">
        <v>497</v>
      </c>
      <c r="G107" s="171"/>
      <c r="H107" s="172"/>
      <c r="I107" s="172"/>
      <c r="J107" s="172"/>
      <c r="K107" s="172"/>
      <c r="L107" s="172"/>
      <c r="M107" s="172"/>
      <c r="N107" s="172"/>
      <c r="O107" s="172"/>
      <c r="P107" s="172"/>
      <c r="Q107" s="172"/>
      <c r="R107" s="173"/>
    </row>
    <row r="108" spans="1:18" ht="26.25" thickBot="1" x14ac:dyDescent="0.25">
      <c r="A108" s="253" t="s">
        <v>518</v>
      </c>
      <c r="B108" s="250">
        <v>131</v>
      </c>
      <c r="C108" s="251" t="str">
        <f>GetPatVar("s5zf","&amp;b1311")</f>
        <v>2591.10</v>
      </c>
      <c r="D108" s="251" t="str">
        <f>GetPatVar("s5zf","&amp;b1312")</f>
        <v>35926.75</v>
      </c>
      <c r="E108" s="265" t="str">
        <f>GetPatVar("s5zf","&amp;b1313")</f>
        <v>38517.85</v>
      </c>
      <c r="F108" s="245" t="s">
        <v>519</v>
      </c>
      <c r="G108" s="246">
        <f>(G104-G106)*G$2+(G105-G107)*G$3</f>
        <v>0</v>
      </c>
      <c r="H108" s="247">
        <f t="shared" ref="H108" si="181">(H104-H106)*H$2+(H105-H107)*H$3</f>
        <v>0</v>
      </c>
      <c r="I108" s="247">
        <f t="shared" ref="I108" si="182">(I104-I106)*I$2+(I105-I107)*I$3</f>
        <v>0</v>
      </c>
      <c r="J108" s="247">
        <f t="shared" ref="J108" si="183">(J104-J106)*J$2+(J105-J107)*J$3</f>
        <v>0</v>
      </c>
      <c r="K108" s="247">
        <f t="shared" ref="K108" si="184">(K104-K106)*K$2+(K105-K107)*K$3</f>
        <v>0</v>
      </c>
      <c r="L108" s="247">
        <f>(L104-L106)*L$2+(L105-L107)*L$3</f>
        <v>0</v>
      </c>
      <c r="M108" s="247">
        <f t="shared" ref="M108" si="185">(M104-M106)*M$2+(M105-M107)*M$3</f>
        <v>0</v>
      </c>
      <c r="N108" s="247">
        <f t="shared" ref="N108" si="186">(N104-N106)*N$2+(N105-N107)*N$3</f>
        <v>0</v>
      </c>
      <c r="O108" s="247">
        <f t="shared" ref="O108" si="187">(O104-O106)*O$2+(O105-O107)*O$3</f>
        <v>0</v>
      </c>
      <c r="P108" s="247">
        <f t="shared" ref="P108" si="188">(P104-P106)*P$2+(P105-P107)*P$3</f>
        <v>0</v>
      </c>
      <c r="Q108" s="247">
        <f t="shared" ref="Q108" si="189">(Q104-Q106)*Q$2+(Q105-Q107)*Q$3</f>
        <v>0</v>
      </c>
      <c r="R108" s="248">
        <f t="shared" ref="R108" si="190">(R104-R106)*R$2+(R105-R107)*R$3</f>
        <v>0</v>
      </c>
    </row>
    <row r="109" spans="1:18" ht="25.5" x14ac:dyDescent="0.2">
      <c r="A109" s="551"/>
      <c r="B109" s="552"/>
      <c r="C109" s="553"/>
      <c r="D109" s="553"/>
      <c r="E109" s="554"/>
      <c r="F109" s="224" t="s">
        <v>492</v>
      </c>
      <c r="G109" s="166"/>
      <c r="H109" s="167"/>
      <c r="I109" s="167"/>
      <c r="J109" s="168"/>
      <c r="K109" s="167"/>
      <c r="L109" s="167"/>
      <c r="M109" s="167"/>
      <c r="N109" s="167"/>
      <c r="O109" s="167"/>
      <c r="P109" s="167"/>
      <c r="Q109" s="167"/>
      <c r="R109" s="169"/>
    </row>
    <row r="110" spans="1:18" ht="25.5" x14ac:dyDescent="0.2">
      <c r="A110" s="551"/>
      <c r="B110" s="552"/>
      <c r="C110" s="553"/>
      <c r="D110" s="553"/>
      <c r="E110" s="554"/>
      <c r="F110" s="225" t="s">
        <v>495</v>
      </c>
      <c r="G110" s="161"/>
      <c r="H110" s="162"/>
      <c r="I110" s="162"/>
      <c r="J110" s="170"/>
      <c r="K110" s="162"/>
      <c r="L110" s="162"/>
      <c r="M110" s="162"/>
      <c r="N110" s="162"/>
      <c r="O110" s="162"/>
      <c r="P110" s="162"/>
      <c r="Q110" s="162"/>
      <c r="R110" s="163"/>
    </row>
    <row r="111" spans="1:18" x14ac:dyDescent="0.2">
      <c r="A111" s="551"/>
      <c r="B111" s="552"/>
      <c r="C111" s="553"/>
      <c r="D111" s="553"/>
      <c r="E111" s="554"/>
      <c r="F111" s="226" t="s">
        <v>496</v>
      </c>
      <c r="G111" s="171"/>
      <c r="H111" s="172"/>
      <c r="I111" s="172"/>
      <c r="J111" s="172"/>
      <c r="K111" s="172"/>
      <c r="L111" s="172"/>
      <c r="M111" s="172"/>
      <c r="N111" s="172"/>
      <c r="O111" s="172"/>
      <c r="P111" s="172"/>
      <c r="Q111" s="172"/>
      <c r="R111" s="173"/>
    </row>
    <row r="112" spans="1:18" ht="25.5" x14ac:dyDescent="0.2">
      <c r="A112" s="551"/>
      <c r="B112" s="552"/>
      <c r="C112" s="553"/>
      <c r="D112" s="553"/>
      <c r="E112" s="554"/>
      <c r="F112" s="226" t="s">
        <v>497</v>
      </c>
      <c r="G112" s="171"/>
      <c r="H112" s="172"/>
      <c r="I112" s="172"/>
      <c r="J112" s="172"/>
      <c r="K112" s="172"/>
      <c r="L112" s="172"/>
      <c r="M112" s="172"/>
      <c r="N112" s="172"/>
      <c r="O112" s="172"/>
      <c r="P112" s="172"/>
      <c r="Q112" s="172"/>
      <c r="R112" s="173"/>
    </row>
    <row r="113" spans="1:18" ht="13.5" thickBot="1" x14ac:dyDescent="0.25">
      <c r="A113" s="249" t="s">
        <v>218</v>
      </c>
      <c r="B113" s="250">
        <v>132</v>
      </c>
      <c r="C113" s="251" t="str">
        <f>GetPatVar("s5zf","&amp;b1321")</f>
        <v>-</v>
      </c>
      <c r="D113" s="251" t="str">
        <f>GetPatVar("s5zf","&amp;b1322")</f>
        <v>-</v>
      </c>
      <c r="E113" s="265" t="str">
        <f>GetPatVar("s5zf","&amp;b1323")</f>
        <v>-</v>
      </c>
      <c r="F113" s="245" t="s">
        <v>520</v>
      </c>
      <c r="G113" s="246">
        <f>(G109-G111)*G$2+(G110-G112)*G$3</f>
        <v>0</v>
      </c>
      <c r="H113" s="247">
        <f t="shared" ref="H113" si="191">(H109-H111)*H$2+(H110-H112)*H$3</f>
        <v>0</v>
      </c>
      <c r="I113" s="247">
        <f t="shared" ref="I113" si="192">(I109-I111)*I$2+(I110-I112)*I$3</f>
        <v>0</v>
      </c>
      <c r="J113" s="247">
        <f t="shared" ref="J113" si="193">(J109-J111)*J$2+(J110-J112)*J$3</f>
        <v>0</v>
      </c>
      <c r="K113" s="247">
        <f t="shared" ref="K113" si="194">(K109-K111)*K$2+(K110-K112)*K$3</f>
        <v>0</v>
      </c>
      <c r="L113" s="247">
        <f>(L109-L111)*L$2+(L110-L112)*L$3</f>
        <v>0</v>
      </c>
      <c r="M113" s="247">
        <f t="shared" ref="M113" si="195">(M109-M111)*M$2+(M110-M112)*M$3</f>
        <v>0</v>
      </c>
      <c r="N113" s="247">
        <f t="shared" ref="N113" si="196">(N109-N111)*N$2+(N110-N112)*N$3</f>
        <v>0</v>
      </c>
      <c r="O113" s="247">
        <f t="shared" ref="O113" si="197">(O109-O111)*O$2+(O110-O112)*O$3</f>
        <v>0</v>
      </c>
      <c r="P113" s="247">
        <f t="shared" ref="P113" si="198">(P109-P111)*P$2+(P110-P112)*P$3</f>
        <v>0</v>
      </c>
      <c r="Q113" s="247">
        <f t="shared" ref="Q113" si="199">(Q109-Q111)*Q$2+(Q110-Q112)*Q$3</f>
        <v>0</v>
      </c>
      <c r="R113" s="248">
        <f t="shared" ref="R113" si="200">(R109-R111)*R$2+(R110-R112)*R$3</f>
        <v>0</v>
      </c>
    </row>
    <row r="114" spans="1:18" ht="25.5" x14ac:dyDescent="0.2">
      <c r="A114" s="555"/>
      <c r="B114" s="556"/>
      <c r="C114" s="557"/>
      <c r="D114" s="557"/>
      <c r="E114" s="558"/>
      <c r="F114" s="224" t="s">
        <v>492</v>
      </c>
      <c r="G114" s="166"/>
      <c r="H114" s="167"/>
      <c r="I114" s="167"/>
      <c r="J114" s="168"/>
      <c r="K114" s="167"/>
      <c r="L114" s="167"/>
      <c r="M114" s="167"/>
      <c r="N114" s="167"/>
      <c r="O114" s="167"/>
      <c r="P114" s="167"/>
      <c r="Q114" s="167"/>
      <c r="R114" s="169"/>
    </row>
    <row r="115" spans="1:18" ht="25.5" x14ac:dyDescent="0.2">
      <c r="A115" s="551"/>
      <c r="B115" s="552"/>
      <c r="C115" s="553"/>
      <c r="D115" s="553"/>
      <c r="E115" s="554"/>
      <c r="F115" s="225" t="s">
        <v>495</v>
      </c>
      <c r="G115" s="161"/>
      <c r="H115" s="162"/>
      <c r="I115" s="162"/>
      <c r="J115" s="170"/>
      <c r="K115" s="162"/>
      <c r="L115" s="162"/>
      <c r="M115" s="162"/>
      <c r="N115" s="162"/>
      <c r="O115" s="162"/>
      <c r="P115" s="162"/>
      <c r="Q115" s="162"/>
      <c r="R115" s="163"/>
    </row>
    <row r="116" spans="1:18" x14ac:dyDescent="0.2">
      <c r="A116" s="551"/>
      <c r="B116" s="552"/>
      <c r="C116" s="553"/>
      <c r="D116" s="553"/>
      <c r="E116" s="554"/>
      <c r="F116" s="226" t="s">
        <v>496</v>
      </c>
      <c r="G116" s="171"/>
      <c r="H116" s="172"/>
      <c r="I116" s="172"/>
      <c r="J116" s="172"/>
      <c r="K116" s="172"/>
      <c r="L116" s="172"/>
      <c r="M116" s="172"/>
      <c r="N116" s="172"/>
      <c r="O116" s="172"/>
      <c r="P116" s="172"/>
      <c r="Q116" s="172"/>
      <c r="R116" s="173"/>
    </row>
    <row r="117" spans="1:18" ht="25.5" x14ac:dyDescent="0.2">
      <c r="A117" s="551"/>
      <c r="B117" s="552"/>
      <c r="C117" s="553"/>
      <c r="D117" s="553"/>
      <c r="E117" s="554"/>
      <c r="F117" s="226" t="s">
        <v>497</v>
      </c>
      <c r="G117" s="171"/>
      <c r="H117" s="172"/>
      <c r="I117" s="172"/>
      <c r="J117" s="172"/>
      <c r="K117" s="172"/>
      <c r="L117" s="172"/>
      <c r="M117" s="172"/>
      <c r="N117" s="172"/>
      <c r="O117" s="172"/>
      <c r="P117" s="172"/>
      <c r="Q117" s="172"/>
      <c r="R117" s="173"/>
    </row>
    <row r="118" spans="1:18" ht="13.5" thickBot="1" x14ac:dyDescent="0.25">
      <c r="A118" s="253" t="s">
        <v>219</v>
      </c>
      <c r="B118" s="250">
        <v>133</v>
      </c>
      <c r="C118" s="251" t="str">
        <f>GetPatVar("s5zf","&amp;b1331")</f>
        <v>381.14</v>
      </c>
      <c r="D118" s="251" t="str">
        <f>GetPatVar("s5zf","&amp;b1332")</f>
        <v>10794.04</v>
      </c>
      <c r="E118" s="265" t="str">
        <f>GetPatVar("s5zf","&amp;b1333")</f>
        <v>11175.18</v>
      </c>
      <c r="F118" s="245" t="s">
        <v>521</v>
      </c>
      <c r="G118" s="246">
        <f>(G114-G116)*G$2+(G115-G117)*G$3</f>
        <v>0</v>
      </c>
      <c r="H118" s="247">
        <f t="shared" ref="H118" si="201">(H114-H116)*H$2+(H115-H117)*H$3</f>
        <v>0</v>
      </c>
      <c r="I118" s="247">
        <f t="shared" ref="I118" si="202">(I114-I116)*I$2+(I115-I117)*I$3</f>
        <v>0</v>
      </c>
      <c r="J118" s="247">
        <f t="shared" ref="J118" si="203">(J114-J116)*J$2+(J115-J117)*J$3</f>
        <v>0</v>
      </c>
      <c r="K118" s="247">
        <f t="shared" ref="K118" si="204">(K114-K116)*K$2+(K115-K117)*K$3</f>
        <v>0</v>
      </c>
      <c r="L118" s="247">
        <f>(L114-L116)*L$2+(L115-L117)*L$3</f>
        <v>0</v>
      </c>
      <c r="M118" s="247">
        <f t="shared" ref="M118" si="205">(M114-M116)*M$2+(M115-M117)*M$3</f>
        <v>0</v>
      </c>
      <c r="N118" s="247">
        <f t="shared" ref="N118" si="206">(N114-N116)*N$2+(N115-N117)*N$3</f>
        <v>0</v>
      </c>
      <c r="O118" s="247">
        <f t="shared" ref="O118" si="207">(O114-O116)*O$2+(O115-O117)*O$3</f>
        <v>0</v>
      </c>
      <c r="P118" s="247">
        <f t="shared" ref="P118" si="208">(P114-P116)*P$2+(P115-P117)*P$3</f>
        <v>0</v>
      </c>
      <c r="Q118" s="247">
        <f t="shared" ref="Q118" si="209">(Q114-Q116)*Q$2+(Q115-Q117)*Q$3</f>
        <v>0</v>
      </c>
      <c r="R118" s="248">
        <f t="shared" ref="R118" si="210">(R114-R116)*R$2+(R115-R117)*R$3</f>
        <v>0</v>
      </c>
    </row>
    <row r="119" spans="1:18" x14ac:dyDescent="0.2">
      <c r="A119" s="255" t="s">
        <v>511</v>
      </c>
      <c r="B119" s="256">
        <v>134</v>
      </c>
      <c r="C119" s="257"/>
      <c r="D119" s="257"/>
      <c r="E119" s="258"/>
    </row>
    <row r="120" spans="1:18" ht="29.45" customHeight="1" thickBot="1" x14ac:dyDescent="0.25">
      <c r="A120" s="233" t="s">
        <v>161</v>
      </c>
      <c r="B120" s="12"/>
      <c r="C120" s="12"/>
      <c r="D120" s="12"/>
      <c r="E120" s="234"/>
    </row>
    <row r="121" spans="1:18" hidden="1" x14ac:dyDescent="0.2">
      <c r="A121" s="233"/>
      <c r="B121" s="12"/>
      <c r="C121" s="12"/>
      <c r="D121" s="12"/>
      <c r="E121" s="234"/>
    </row>
    <row r="122" spans="1:18" hidden="1" x14ac:dyDescent="0.2">
      <c r="A122" s="575" t="s">
        <v>160</v>
      </c>
      <c r="B122" s="576"/>
      <c r="C122" s="576"/>
      <c r="D122" s="576"/>
      <c r="E122" s="577"/>
    </row>
    <row r="123" spans="1:18" hidden="1" x14ac:dyDescent="0.2">
      <c r="A123" s="578" t="s">
        <v>159</v>
      </c>
      <c r="B123" s="463"/>
      <c r="C123" s="463"/>
      <c r="D123" s="463"/>
      <c r="E123" s="579"/>
    </row>
    <row r="124" spans="1:18" hidden="1" x14ac:dyDescent="0.2">
      <c r="A124" s="580" t="s">
        <v>158</v>
      </c>
      <c r="B124" s="581"/>
      <c r="C124" s="581"/>
      <c r="D124" s="581"/>
      <c r="E124" s="582"/>
    </row>
    <row r="125" spans="1:18" hidden="1" x14ac:dyDescent="0.2">
      <c r="A125" s="583" t="s">
        <v>157</v>
      </c>
      <c r="B125" s="573"/>
      <c r="C125" s="573"/>
      <c r="D125" s="573"/>
      <c r="E125" s="584"/>
    </row>
    <row r="126" spans="1:18" hidden="1" x14ac:dyDescent="0.2">
      <c r="A126" s="235" t="s">
        <v>156</v>
      </c>
      <c r="B126" s="78"/>
      <c r="C126" s="12"/>
      <c r="D126" s="12"/>
      <c r="E126" s="234"/>
    </row>
    <row r="127" spans="1:18" hidden="1" x14ac:dyDescent="0.2">
      <c r="A127" s="236" t="s">
        <v>155</v>
      </c>
      <c r="B127" s="77" t="s">
        <v>154</v>
      </c>
      <c r="C127" s="77" t="s">
        <v>153</v>
      </c>
      <c r="D127" s="77" t="s">
        <v>152</v>
      </c>
      <c r="E127" s="237" t="s">
        <v>151</v>
      </c>
    </row>
    <row r="128" spans="1:18" ht="15" hidden="1" x14ac:dyDescent="0.25">
      <c r="A128" s="238" t="s">
        <v>150</v>
      </c>
      <c r="B128" s="12"/>
      <c r="C128" s="12"/>
      <c r="D128" s="12"/>
      <c r="E128" s="234"/>
    </row>
    <row r="129" spans="1:18" hidden="1" x14ac:dyDescent="0.2">
      <c r="A129" s="233"/>
      <c r="B129" s="12"/>
      <c r="C129" s="12"/>
      <c r="D129" s="12"/>
      <c r="E129" s="234"/>
    </row>
    <row r="130" spans="1:18" ht="62.45" customHeight="1" thickBot="1" x14ac:dyDescent="0.25">
      <c r="A130" s="259" t="s">
        <v>166</v>
      </c>
      <c r="B130" s="261" t="s">
        <v>39</v>
      </c>
      <c r="C130" s="567" t="s">
        <v>165</v>
      </c>
      <c r="D130" s="563" t="s">
        <v>164</v>
      </c>
      <c r="E130" s="564"/>
    </row>
    <row r="131" spans="1:18" ht="66.599999999999994" customHeight="1" thickBot="1" x14ac:dyDescent="0.25">
      <c r="A131" s="260"/>
      <c r="B131" s="262"/>
      <c r="C131" s="568"/>
      <c r="D131" s="228" t="s">
        <v>163</v>
      </c>
      <c r="E131" s="263" t="s">
        <v>162</v>
      </c>
      <c r="F131" s="240" t="s">
        <v>268</v>
      </c>
      <c r="G131" s="92" t="s">
        <v>291</v>
      </c>
      <c r="H131" s="93" t="s">
        <v>263</v>
      </c>
      <c r="I131" s="94" t="s">
        <v>292</v>
      </c>
      <c r="J131" s="92" t="s">
        <v>294</v>
      </c>
      <c r="K131" s="93" t="s">
        <v>295</v>
      </c>
      <c r="L131" s="94" t="s">
        <v>296</v>
      </c>
      <c r="M131" s="92" t="s">
        <v>298</v>
      </c>
      <c r="N131" s="93" t="s">
        <v>299</v>
      </c>
      <c r="O131" s="94" t="s">
        <v>300</v>
      </c>
      <c r="P131" s="92" t="s">
        <v>302</v>
      </c>
      <c r="Q131" s="93" t="s">
        <v>303</v>
      </c>
      <c r="R131" s="94" t="s">
        <v>304</v>
      </c>
    </row>
    <row r="132" spans="1:18" ht="13.5" thickBot="1" x14ac:dyDescent="0.25">
      <c r="A132" s="229" t="s">
        <v>36</v>
      </c>
      <c r="B132" s="228" t="s">
        <v>35</v>
      </c>
      <c r="C132" s="230">
        <v>1</v>
      </c>
      <c r="D132" s="230">
        <v>2</v>
      </c>
      <c r="E132" s="264">
        <v>3</v>
      </c>
      <c r="F132" s="239"/>
      <c r="G132" s="92">
        <v>1</v>
      </c>
      <c r="H132" s="93">
        <v>2</v>
      </c>
      <c r="I132" s="94">
        <v>3</v>
      </c>
      <c r="J132" s="92">
        <v>4</v>
      </c>
      <c r="K132" s="93">
        <v>5</v>
      </c>
      <c r="L132" s="94">
        <v>6</v>
      </c>
      <c r="M132" s="92">
        <v>7</v>
      </c>
      <c r="N132" s="93">
        <v>8</v>
      </c>
      <c r="O132" s="94">
        <v>9</v>
      </c>
      <c r="P132" s="92">
        <v>10</v>
      </c>
      <c r="Q132" s="93">
        <v>11</v>
      </c>
      <c r="R132" s="94">
        <v>12</v>
      </c>
    </row>
    <row r="133" spans="1:18" ht="25.5" x14ac:dyDescent="0.2">
      <c r="A133" s="551"/>
      <c r="B133" s="552"/>
      <c r="C133" s="553"/>
      <c r="D133" s="553"/>
      <c r="E133" s="554"/>
      <c r="F133" s="224" t="s">
        <v>492</v>
      </c>
      <c r="G133" s="166"/>
      <c r="H133" s="167"/>
      <c r="I133" s="167"/>
      <c r="J133" s="168"/>
      <c r="K133" s="167"/>
      <c r="L133" s="167"/>
      <c r="M133" s="167"/>
      <c r="N133" s="167"/>
      <c r="O133" s="167"/>
      <c r="P133" s="167"/>
      <c r="Q133" s="167"/>
      <c r="R133" s="169"/>
    </row>
    <row r="134" spans="1:18" ht="25.5" x14ac:dyDescent="0.2">
      <c r="A134" s="551"/>
      <c r="B134" s="552"/>
      <c r="C134" s="553"/>
      <c r="D134" s="553"/>
      <c r="E134" s="554"/>
      <c r="F134" s="225" t="s">
        <v>495</v>
      </c>
      <c r="G134" s="161"/>
      <c r="H134" s="162"/>
      <c r="I134" s="162"/>
      <c r="J134" s="170"/>
      <c r="K134" s="162"/>
      <c r="L134" s="162"/>
      <c r="M134" s="162"/>
      <c r="N134" s="162"/>
      <c r="O134" s="162"/>
      <c r="P134" s="162"/>
      <c r="Q134" s="162"/>
      <c r="R134" s="163"/>
    </row>
    <row r="135" spans="1:18" x14ac:dyDescent="0.2">
      <c r="A135" s="551"/>
      <c r="B135" s="552"/>
      <c r="C135" s="553"/>
      <c r="D135" s="553"/>
      <c r="E135" s="554"/>
      <c r="F135" s="226" t="s">
        <v>496</v>
      </c>
      <c r="G135" s="171"/>
      <c r="H135" s="172"/>
      <c r="I135" s="172"/>
      <c r="J135" s="172"/>
      <c r="K135" s="172"/>
      <c r="L135" s="172"/>
      <c r="M135" s="172"/>
      <c r="N135" s="172"/>
      <c r="O135" s="172"/>
      <c r="P135" s="172"/>
      <c r="Q135" s="172"/>
      <c r="R135" s="173"/>
    </row>
    <row r="136" spans="1:18" ht="25.5" x14ac:dyDescent="0.2">
      <c r="A136" s="551"/>
      <c r="B136" s="552"/>
      <c r="C136" s="553"/>
      <c r="D136" s="553"/>
      <c r="E136" s="554"/>
      <c r="F136" s="226" t="s">
        <v>497</v>
      </c>
      <c r="G136" s="171"/>
      <c r="H136" s="172"/>
      <c r="I136" s="172"/>
      <c r="J136" s="172"/>
      <c r="K136" s="172"/>
      <c r="L136" s="172"/>
      <c r="M136" s="172"/>
      <c r="N136" s="172"/>
      <c r="O136" s="172"/>
      <c r="P136" s="172"/>
      <c r="Q136" s="172"/>
      <c r="R136" s="173"/>
    </row>
    <row r="137" spans="1:18" ht="26.25" thickBot="1" x14ac:dyDescent="0.25">
      <c r="A137" s="253" t="s">
        <v>220</v>
      </c>
      <c r="B137" s="266">
        <v>134</v>
      </c>
      <c r="C137" s="251" t="str">
        <f>GetPatVar("s5zf","&amp;b1341")</f>
        <v>5919.76</v>
      </c>
      <c r="D137" s="251" t="str">
        <f>GetPatVar("s5zf","&amp;b1342")</f>
        <v>201787.32</v>
      </c>
      <c r="E137" s="265" t="str">
        <f>GetPatVar("s5zf","&amp;b1343")</f>
        <v>207707.08</v>
      </c>
      <c r="F137" s="245" t="s">
        <v>522</v>
      </c>
      <c r="G137" s="246">
        <f>(G133-G135)*G$2+(G134-G136)*G$3</f>
        <v>0</v>
      </c>
      <c r="H137" s="247">
        <f t="shared" ref="H137" si="211">(H133-H135)*H$2+(H134-H136)*H$3</f>
        <v>0</v>
      </c>
      <c r="I137" s="247">
        <f t="shared" ref="I137" si="212">(I133-I135)*I$2+(I134-I136)*I$3</f>
        <v>0</v>
      </c>
      <c r="J137" s="247">
        <f t="shared" ref="J137" si="213">(J133-J135)*J$2+(J134-J136)*J$3</f>
        <v>0</v>
      </c>
      <c r="K137" s="247">
        <f t="shared" ref="K137" si="214">(K133-K135)*K$2+(K134-K136)*K$3</f>
        <v>0</v>
      </c>
      <c r="L137" s="247">
        <f>(L133-L135)*L$2+(L134-L136)*L$3</f>
        <v>0</v>
      </c>
      <c r="M137" s="247">
        <f t="shared" ref="M137" si="215">(M133-M135)*M$2+(M134-M136)*M$3</f>
        <v>0</v>
      </c>
      <c r="N137" s="247">
        <f t="shared" ref="N137" si="216">(N133-N135)*N$2+(N134-N136)*N$3</f>
        <v>0</v>
      </c>
      <c r="O137" s="247">
        <f t="shared" ref="O137" si="217">(O133-O135)*O$2+(O134-O136)*O$3</f>
        <v>0</v>
      </c>
      <c r="P137" s="247">
        <f t="shared" ref="P137" si="218">(P133-P135)*P$2+(P134-P136)*P$3</f>
        <v>0</v>
      </c>
      <c r="Q137" s="247">
        <f t="shared" ref="Q137" si="219">(Q133-Q135)*Q$2+(Q134-Q136)*Q$3</f>
        <v>0</v>
      </c>
      <c r="R137" s="248">
        <f t="shared" ref="R137" si="220">(R133-R135)*R$2+(R134-R136)*R$3</f>
        <v>0</v>
      </c>
    </row>
    <row r="138" spans="1:18" ht="25.5" x14ac:dyDescent="0.2">
      <c r="A138" s="551"/>
      <c r="B138" s="552"/>
      <c r="C138" s="553"/>
      <c r="D138" s="553"/>
      <c r="E138" s="554"/>
      <c r="F138" s="224" t="s">
        <v>492</v>
      </c>
      <c r="G138" s="166"/>
      <c r="H138" s="167"/>
      <c r="I138" s="167"/>
      <c r="J138" s="168"/>
      <c r="K138" s="167"/>
      <c r="L138" s="167"/>
      <c r="M138" s="167"/>
      <c r="N138" s="167"/>
      <c r="O138" s="167"/>
      <c r="P138" s="167"/>
      <c r="Q138" s="167"/>
      <c r="R138" s="169"/>
    </row>
    <row r="139" spans="1:18" ht="25.5" x14ac:dyDescent="0.2">
      <c r="A139" s="551"/>
      <c r="B139" s="552"/>
      <c r="C139" s="553"/>
      <c r="D139" s="553"/>
      <c r="E139" s="554"/>
      <c r="F139" s="225" t="s">
        <v>495</v>
      </c>
      <c r="G139" s="161"/>
      <c r="H139" s="162"/>
      <c r="I139" s="162"/>
      <c r="J139" s="170"/>
      <c r="K139" s="162"/>
      <c r="L139" s="162"/>
      <c r="M139" s="162"/>
      <c r="N139" s="162"/>
      <c r="O139" s="162"/>
      <c r="P139" s="162"/>
      <c r="Q139" s="162"/>
      <c r="R139" s="163"/>
    </row>
    <row r="140" spans="1:18" x14ac:dyDescent="0.2">
      <c r="A140" s="551"/>
      <c r="B140" s="552"/>
      <c r="C140" s="553"/>
      <c r="D140" s="553"/>
      <c r="E140" s="554"/>
      <c r="F140" s="226" t="s">
        <v>496</v>
      </c>
      <c r="G140" s="171"/>
      <c r="H140" s="172"/>
      <c r="I140" s="172"/>
      <c r="J140" s="172"/>
      <c r="K140" s="172"/>
      <c r="L140" s="172"/>
      <c r="M140" s="172"/>
      <c r="N140" s="172"/>
      <c r="O140" s="172"/>
      <c r="P140" s="172"/>
      <c r="Q140" s="172"/>
      <c r="R140" s="173"/>
    </row>
    <row r="141" spans="1:18" ht="25.5" x14ac:dyDescent="0.2">
      <c r="A141" s="551"/>
      <c r="B141" s="552"/>
      <c r="C141" s="553"/>
      <c r="D141" s="553"/>
      <c r="E141" s="554"/>
      <c r="F141" s="226" t="s">
        <v>497</v>
      </c>
      <c r="G141" s="171"/>
      <c r="H141" s="172"/>
      <c r="I141" s="172"/>
      <c r="J141" s="172"/>
      <c r="K141" s="172"/>
      <c r="L141" s="172"/>
      <c r="M141" s="172"/>
      <c r="N141" s="172"/>
      <c r="O141" s="172"/>
      <c r="P141" s="172"/>
      <c r="Q141" s="172"/>
      <c r="R141" s="173"/>
    </row>
    <row r="142" spans="1:18" ht="26.25" thickBot="1" x14ac:dyDescent="0.25">
      <c r="A142" s="253" t="s">
        <v>221</v>
      </c>
      <c r="B142" s="266">
        <v>135</v>
      </c>
      <c r="C142" s="251" t="str">
        <f>GetPatVar("s5zf","&amp;b1351")</f>
        <v>282.29</v>
      </c>
      <c r="D142" s="251" t="str">
        <f>GetPatVar("s5zf","&amp;b1352")</f>
        <v>13222.25</v>
      </c>
      <c r="E142" s="265" t="str">
        <f>GetPatVar("s5zf","&amp;b1353")</f>
        <v>13504.54</v>
      </c>
      <c r="F142" s="245" t="s">
        <v>523</v>
      </c>
      <c r="G142" s="246">
        <f>(G138-G140)*G$2+(G139-G141)*G$3</f>
        <v>0</v>
      </c>
      <c r="H142" s="247">
        <f t="shared" ref="H142" si="221">(H138-H140)*H$2+(H139-H141)*H$3</f>
        <v>0</v>
      </c>
      <c r="I142" s="247">
        <f t="shared" ref="I142" si="222">(I138-I140)*I$2+(I139-I141)*I$3</f>
        <v>0</v>
      </c>
      <c r="J142" s="247">
        <f t="shared" ref="J142" si="223">(J138-J140)*J$2+(J139-J141)*J$3</f>
        <v>0</v>
      </c>
      <c r="K142" s="247">
        <f t="shared" ref="K142" si="224">(K138-K140)*K$2+(K139-K141)*K$3</f>
        <v>0</v>
      </c>
      <c r="L142" s="247">
        <f>(L138-L140)*L$2+(L139-L141)*L$3</f>
        <v>0</v>
      </c>
      <c r="M142" s="247">
        <f t="shared" ref="M142" si="225">(M138-M140)*M$2+(M139-M141)*M$3</f>
        <v>0</v>
      </c>
      <c r="N142" s="247">
        <f t="shared" ref="N142" si="226">(N138-N140)*N$2+(N139-N141)*N$3</f>
        <v>0</v>
      </c>
      <c r="O142" s="247">
        <f t="shared" ref="O142" si="227">(O138-O140)*O$2+(O139-O141)*O$3</f>
        <v>0</v>
      </c>
      <c r="P142" s="247">
        <f t="shared" ref="P142" si="228">(P138-P140)*P$2+(P139-P141)*P$3</f>
        <v>0</v>
      </c>
      <c r="Q142" s="247">
        <f t="shared" ref="Q142" si="229">(Q138-Q140)*Q$2+(Q139-Q141)*Q$3</f>
        <v>0</v>
      </c>
      <c r="R142" s="248">
        <f t="shared" ref="R142" si="230">(R138-R140)*R$2+(R139-R141)*R$3</f>
        <v>0</v>
      </c>
    </row>
    <row r="143" spans="1:18" ht="25.5" x14ac:dyDescent="0.2">
      <c r="A143" s="555"/>
      <c r="B143" s="556"/>
      <c r="C143" s="557"/>
      <c r="D143" s="557"/>
      <c r="E143" s="558"/>
      <c r="F143" s="224" t="s">
        <v>492</v>
      </c>
      <c r="G143" s="166"/>
      <c r="H143" s="167"/>
      <c r="I143" s="167"/>
      <c r="J143" s="168"/>
      <c r="K143" s="167"/>
      <c r="L143" s="167"/>
      <c r="M143" s="167"/>
      <c r="N143" s="167"/>
      <c r="O143" s="167"/>
      <c r="P143" s="167"/>
      <c r="Q143" s="167"/>
      <c r="R143" s="169"/>
    </row>
    <row r="144" spans="1:18" ht="25.5" x14ac:dyDescent="0.2">
      <c r="A144" s="551"/>
      <c r="B144" s="552"/>
      <c r="C144" s="553"/>
      <c r="D144" s="553"/>
      <c r="E144" s="554"/>
      <c r="F144" s="225" t="s">
        <v>495</v>
      </c>
      <c r="G144" s="161"/>
      <c r="H144" s="162"/>
      <c r="I144" s="162"/>
      <c r="J144" s="170"/>
      <c r="K144" s="162"/>
      <c r="L144" s="162"/>
      <c r="M144" s="162"/>
      <c r="N144" s="162"/>
      <c r="O144" s="162"/>
      <c r="P144" s="162"/>
      <c r="Q144" s="162"/>
      <c r="R144" s="163"/>
    </row>
    <row r="145" spans="1:18" x14ac:dyDescent="0.2">
      <c r="A145" s="551"/>
      <c r="B145" s="552"/>
      <c r="C145" s="553"/>
      <c r="D145" s="553"/>
      <c r="E145" s="554"/>
      <c r="F145" s="226" t="s">
        <v>496</v>
      </c>
      <c r="G145" s="171"/>
      <c r="H145" s="172"/>
      <c r="I145" s="172"/>
      <c r="J145" s="172"/>
      <c r="K145" s="172"/>
      <c r="L145" s="172"/>
      <c r="M145" s="172"/>
      <c r="N145" s="172"/>
      <c r="O145" s="172"/>
      <c r="P145" s="172"/>
      <c r="Q145" s="172"/>
      <c r="R145" s="173"/>
    </row>
    <row r="146" spans="1:18" ht="25.5" x14ac:dyDescent="0.2">
      <c r="A146" s="551"/>
      <c r="B146" s="552"/>
      <c r="C146" s="553"/>
      <c r="D146" s="553"/>
      <c r="E146" s="554"/>
      <c r="F146" s="226" t="s">
        <v>497</v>
      </c>
      <c r="G146" s="171"/>
      <c r="H146" s="172"/>
      <c r="I146" s="172"/>
      <c r="J146" s="172"/>
      <c r="K146" s="172"/>
      <c r="L146" s="172"/>
      <c r="M146" s="172"/>
      <c r="N146" s="172"/>
      <c r="O146" s="172"/>
      <c r="P146" s="172"/>
      <c r="Q146" s="172"/>
      <c r="R146" s="173"/>
    </row>
    <row r="147" spans="1:18" ht="26.25" thickBot="1" x14ac:dyDescent="0.25">
      <c r="A147" s="253" t="s">
        <v>222</v>
      </c>
      <c r="B147" s="266">
        <v>136</v>
      </c>
      <c r="C147" s="251" t="str">
        <f>GetPatVar("s5zf","&amp;b1361")</f>
        <v>14784.80</v>
      </c>
      <c r="D147" s="251" t="str">
        <f>GetPatVar("s5zf","&amp;b1362")</f>
        <v>313158.04</v>
      </c>
      <c r="E147" s="265" t="str">
        <f>GetPatVar("s5zf","&amp;b1363")</f>
        <v>327942.84</v>
      </c>
      <c r="F147" s="245" t="s">
        <v>524</v>
      </c>
      <c r="G147" s="246">
        <f>(G143-G145)*G$2+(G144-G146)*G$3</f>
        <v>0</v>
      </c>
      <c r="H147" s="247">
        <f t="shared" ref="H147" si="231">(H143-H145)*H$2+(H144-H146)*H$3</f>
        <v>0</v>
      </c>
      <c r="I147" s="247">
        <f t="shared" ref="I147" si="232">(I143-I145)*I$2+(I144-I146)*I$3</f>
        <v>0</v>
      </c>
      <c r="J147" s="247">
        <f t="shared" ref="J147" si="233">(J143-J145)*J$2+(J144-J146)*J$3</f>
        <v>0</v>
      </c>
      <c r="K147" s="247">
        <f t="shared" ref="K147" si="234">(K143-K145)*K$2+(K144-K146)*K$3</f>
        <v>0</v>
      </c>
      <c r="L147" s="247">
        <f>(L143-L145)*L$2+(L144-L146)*L$3</f>
        <v>0</v>
      </c>
      <c r="M147" s="247">
        <f t="shared" ref="M147" si="235">(M143-M145)*M$2+(M144-M146)*M$3</f>
        <v>0</v>
      </c>
      <c r="N147" s="247">
        <f t="shared" ref="N147" si="236">(N143-N145)*N$2+(N144-N146)*N$3</f>
        <v>0</v>
      </c>
      <c r="O147" s="247">
        <f t="shared" ref="O147" si="237">(O143-O145)*O$2+(O144-O146)*O$3</f>
        <v>0</v>
      </c>
      <c r="P147" s="247">
        <f t="shared" ref="P147" si="238">(P143-P145)*P$2+(P144-P146)*P$3</f>
        <v>0</v>
      </c>
      <c r="Q147" s="247">
        <f t="shared" ref="Q147" si="239">(Q143-Q145)*Q$2+(Q144-Q146)*Q$3</f>
        <v>0</v>
      </c>
      <c r="R147" s="248">
        <f t="shared" ref="R147" si="240">(R143-R145)*R$2+(R144-R146)*R$3</f>
        <v>0</v>
      </c>
    </row>
    <row r="148" spans="1:18" ht="25.5" x14ac:dyDescent="0.2">
      <c r="A148" s="551"/>
      <c r="B148" s="552"/>
      <c r="C148" s="553"/>
      <c r="D148" s="553"/>
      <c r="E148" s="554"/>
      <c r="F148" s="224" t="s">
        <v>492</v>
      </c>
      <c r="G148" s="166"/>
      <c r="H148" s="167"/>
      <c r="I148" s="167"/>
      <c r="J148" s="168"/>
      <c r="K148" s="167"/>
      <c r="L148" s="167"/>
      <c r="M148" s="167"/>
      <c r="N148" s="167"/>
      <c r="O148" s="167"/>
      <c r="P148" s="167"/>
      <c r="Q148" s="167"/>
      <c r="R148" s="169"/>
    </row>
    <row r="149" spans="1:18" ht="25.5" x14ac:dyDescent="0.2">
      <c r="A149" s="551"/>
      <c r="B149" s="552"/>
      <c r="C149" s="553"/>
      <c r="D149" s="553"/>
      <c r="E149" s="554"/>
      <c r="F149" s="225" t="s">
        <v>495</v>
      </c>
      <c r="G149" s="161"/>
      <c r="H149" s="162"/>
      <c r="I149" s="162"/>
      <c r="J149" s="170"/>
      <c r="K149" s="162"/>
      <c r="L149" s="162"/>
      <c r="M149" s="162"/>
      <c r="N149" s="162"/>
      <c r="O149" s="162"/>
      <c r="P149" s="162"/>
      <c r="Q149" s="162"/>
      <c r="R149" s="163"/>
    </row>
    <row r="150" spans="1:18" x14ac:dyDescent="0.2">
      <c r="A150" s="551"/>
      <c r="B150" s="552"/>
      <c r="C150" s="553"/>
      <c r="D150" s="553"/>
      <c r="E150" s="554"/>
      <c r="F150" s="226" t="s">
        <v>496</v>
      </c>
      <c r="G150" s="171"/>
      <c r="H150" s="172"/>
      <c r="I150" s="172"/>
      <c r="J150" s="172"/>
      <c r="K150" s="172"/>
      <c r="L150" s="172"/>
      <c r="M150" s="172"/>
      <c r="N150" s="172"/>
      <c r="O150" s="172"/>
      <c r="P150" s="172"/>
      <c r="Q150" s="172"/>
      <c r="R150" s="173"/>
    </row>
    <row r="151" spans="1:18" ht="25.5" x14ac:dyDescent="0.2">
      <c r="A151" s="551"/>
      <c r="B151" s="552"/>
      <c r="C151" s="553"/>
      <c r="D151" s="553"/>
      <c r="E151" s="554"/>
      <c r="F151" s="226" t="s">
        <v>497</v>
      </c>
      <c r="G151" s="171"/>
      <c r="H151" s="172"/>
      <c r="I151" s="172"/>
      <c r="J151" s="172"/>
      <c r="K151" s="172"/>
      <c r="L151" s="172"/>
      <c r="M151" s="172"/>
      <c r="N151" s="172"/>
      <c r="O151" s="172"/>
      <c r="P151" s="172"/>
      <c r="Q151" s="172"/>
      <c r="R151" s="173"/>
    </row>
    <row r="152" spans="1:18" ht="13.5" thickBot="1" x14ac:dyDescent="0.25">
      <c r="A152" s="249" t="s">
        <v>223</v>
      </c>
      <c r="B152" s="251">
        <v>137</v>
      </c>
      <c r="C152" s="251" t="str">
        <f>GetPatVar("s5zf","&amp;b1371")</f>
        <v>3096.14</v>
      </c>
      <c r="D152" s="251" t="str">
        <f>GetPatVar("s5zf","&amp;b1372")</f>
        <v>235789.59</v>
      </c>
      <c r="E152" s="265" t="str">
        <f>GetPatVar("s5zf","&amp;b1373")</f>
        <v>238885.73</v>
      </c>
      <c r="F152" s="245" t="s">
        <v>525</v>
      </c>
      <c r="G152" s="246">
        <f>(G148-G150)*G$2+(G149-G151)*G$3</f>
        <v>0</v>
      </c>
      <c r="H152" s="247">
        <f t="shared" ref="H152" si="241">(H148-H150)*H$2+(H149-H151)*H$3</f>
        <v>0</v>
      </c>
      <c r="I152" s="247">
        <f t="shared" ref="I152" si="242">(I148-I150)*I$2+(I149-I151)*I$3</f>
        <v>0</v>
      </c>
      <c r="J152" s="247">
        <f t="shared" ref="J152" si="243">(J148-J150)*J$2+(J149-J151)*J$3</f>
        <v>0</v>
      </c>
      <c r="K152" s="247">
        <f t="shared" ref="K152" si="244">(K148-K150)*K$2+(K149-K151)*K$3</f>
        <v>0</v>
      </c>
      <c r="L152" s="247">
        <f>(L148-L150)*L$2+(L149-L151)*L$3</f>
        <v>0</v>
      </c>
      <c r="M152" s="247">
        <f t="shared" ref="M152" si="245">(M148-M150)*M$2+(M149-M151)*M$3</f>
        <v>0</v>
      </c>
      <c r="N152" s="247">
        <f t="shared" ref="N152" si="246">(N148-N150)*N$2+(N149-N151)*N$3</f>
        <v>0</v>
      </c>
      <c r="O152" s="247">
        <f t="shared" ref="O152" si="247">(O148-O150)*O$2+(O149-O151)*O$3</f>
        <v>0</v>
      </c>
      <c r="P152" s="247">
        <f t="shared" ref="P152" si="248">(P148-P150)*P$2+(P149-P151)*P$3</f>
        <v>0</v>
      </c>
      <c r="Q152" s="247">
        <f t="shared" ref="Q152" si="249">(Q148-Q150)*Q$2+(Q149-Q151)*Q$3</f>
        <v>0</v>
      </c>
      <c r="R152" s="248">
        <f t="shared" ref="R152" si="250">(R148-R150)*R$2+(R149-R151)*R$3</f>
        <v>0</v>
      </c>
    </row>
    <row r="153" spans="1:18" ht="25.5" x14ac:dyDescent="0.2">
      <c r="A153" s="551"/>
      <c r="B153" s="552"/>
      <c r="C153" s="553"/>
      <c r="D153" s="553"/>
      <c r="E153" s="554"/>
      <c r="F153" s="224" t="s">
        <v>492</v>
      </c>
      <c r="G153" s="166"/>
      <c r="H153" s="167"/>
      <c r="I153" s="167"/>
      <c r="J153" s="168"/>
      <c r="K153" s="167"/>
      <c r="L153" s="167"/>
      <c r="M153" s="167"/>
      <c r="N153" s="167"/>
      <c r="O153" s="167"/>
      <c r="P153" s="167"/>
      <c r="Q153" s="167"/>
      <c r="R153" s="169"/>
    </row>
    <row r="154" spans="1:18" ht="25.5" x14ac:dyDescent="0.2">
      <c r="A154" s="551"/>
      <c r="B154" s="552"/>
      <c r="C154" s="553"/>
      <c r="D154" s="553"/>
      <c r="E154" s="554"/>
      <c r="F154" s="225" t="s">
        <v>495</v>
      </c>
      <c r="G154" s="161"/>
      <c r="H154" s="162"/>
      <c r="I154" s="162"/>
      <c r="J154" s="170"/>
      <c r="K154" s="162"/>
      <c r="L154" s="162"/>
      <c r="M154" s="162"/>
      <c r="N154" s="162"/>
      <c r="O154" s="162"/>
      <c r="P154" s="162"/>
      <c r="Q154" s="162"/>
      <c r="R154" s="163"/>
    </row>
    <row r="155" spans="1:18" x14ac:dyDescent="0.2">
      <c r="A155" s="551"/>
      <c r="B155" s="552"/>
      <c r="C155" s="553"/>
      <c r="D155" s="553"/>
      <c r="E155" s="554"/>
      <c r="F155" s="226" t="s">
        <v>496</v>
      </c>
      <c r="G155" s="171"/>
      <c r="H155" s="172"/>
      <c r="I155" s="172"/>
      <c r="J155" s="172"/>
      <c r="K155" s="172"/>
      <c r="L155" s="172"/>
      <c r="M155" s="172"/>
      <c r="N155" s="172"/>
      <c r="O155" s="172"/>
      <c r="P155" s="172"/>
      <c r="Q155" s="172"/>
      <c r="R155" s="173"/>
    </row>
    <row r="156" spans="1:18" ht="25.5" x14ac:dyDescent="0.2">
      <c r="A156" s="551"/>
      <c r="B156" s="552"/>
      <c r="C156" s="553"/>
      <c r="D156" s="553"/>
      <c r="E156" s="554"/>
      <c r="F156" s="226" t="s">
        <v>497</v>
      </c>
      <c r="G156" s="171"/>
      <c r="H156" s="172"/>
      <c r="I156" s="172"/>
      <c r="J156" s="172"/>
      <c r="K156" s="172"/>
      <c r="L156" s="172"/>
      <c r="M156" s="172"/>
      <c r="N156" s="172"/>
      <c r="O156" s="172"/>
      <c r="P156" s="172"/>
      <c r="Q156" s="172"/>
      <c r="R156" s="173"/>
    </row>
    <row r="157" spans="1:18" ht="26.25" thickBot="1" x14ac:dyDescent="0.25">
      <c r="A157" s="268" t="s">
        <v>526</v>
      </c>
      <c r="B157" s="266">
        <v>138</v>
      </c>
      <c r="C157" s="251" t="str">
        <f>GetPatVar("s5zf","&amp;b1381")</f>
        <v>35742.13</v>
      </c>
      <c r="D157" s="251" t="str">
        <f>GetPatVar("s5zf","&amp;b1382")</f>
        <v>3760800.87</v>
      </c>
      <c r="E157" s="265" t="str">
        <f>GetPatVar("s5zf","&amp;b1383")</f>
        <v>3796543.00</v>
      </c>
      <c r="F157" s="245" t="s">
        <v>527</v>
      </c>
      <c r="G157" s="246">
        <f>(G153-G155)*G$2+(G154-G156)*G$3</f>
        <v>0</v>
      </c>
      <c r="H157" s="247">
        <f t="shared" ref="H157" si="251">(H153-H155)*H$2+(H154-H156)*H$3</f>
        <v>0</v>
      </c>
      <c r="I157" s="247">
        <f t="shared" ref="I157" si="252">(I153-I155)*I$2+(I154-I156)*I$3</f>
        <v>0</v>
      </c>
      <c r="J157" s="247">
        <f t="shared" ref="J157" si="253">(J153-J155)*J$2+(J154-J156)*J$3</f>
        <v>0</v>
      </c>
      <c r="K157" s="247">
        <f t="shared" ref="K157" si="254">(K153-K155)*K$2+(K154-K156)*K$3</f>
        <v>0</v>
      </c>
      <c r="L157" s="247">
        <f>(L153-L155)*L$2+(L154-L156)*L$3</f>
        <v>0</v>
      </c>
      <c r="M157" s="247">
        <f t="shared" ref="M157" si="255">(M153-M155)*M$2+(M154-M156)*M$3</f>
        <v>0</v>
      </c>
      <c r="N157" s="247">
        <f t="shared" ref="N157" si="256">(N153-N155)*N$2+(N154-N156)*N$3</f>
        <v>0</v>
      </c>
      <c r="O157" s="247">
        <f t="shared" ref="O157" si="257">(O153-O155)*O$2+(O154-O156)*O$3</f>
        <v>0</v>
      </c>
      <c r="P157" s="247">
        <f t="shared" ref="P157" si="258">(P153-P155)*P$2+(P154-P156)*P$3</f>
        <v>0</v>
      </c>
      <c r="Q157" s="247">
        <f t="shared" ref="Q157" si="259">(Q153-Q155)*Q$2+(Q154-Q156)*Q$3</f>
        <v>0</v>
      </c>
      <c r="R157" s="248">
        <f t="shared" ref="R157" si="260">(R153-R155)*R$2+(R154-R156)*R$3</f>
        <v>0</v>
      </c>
    </row>
    <row r="158" spans="1:18" ht="25.5" x14ac:dyDescent="0.2">
      <c r="A158" s="551"/>
      <c r="B158" s="552"/>
      <c r="C158" s="553"/>
      <c r="D158" s="553"/>
      <c r="E158" s="554"/>
      <c r="F158" s="224" t="s">
        <v>492</v>
      </c>
      <c r="G158" s="166"/>
      <c r="H158" s="167"/>
      <c r="I158" s="167"/>
      <c r="J158" s="168"/>
      <c r="K158" s="167"/>
      <c r="L158" s="167"/>
      <c r="M158" s="167"/>
      <c r="N158" s="167"/>
      <c r="O158" s="167"/>
      <c r="P158" s="167"/>
      <c r="Q158" s="167"/>
      <c r="R158" s="169"/>
    </row>
    <row r="159" spans="1:18" ht="25.5" x14ac:dyDescent="0.2">
      <c r="A159" s="551"/>
      <c r="B159" s="552"/>
      <c r="C159" s="553"/>
      <c r="D159" s="553"/>
      <c r="E159" s="554"/>
      <c r="F159" s="225" t="s">
        <v>495</v>
      </c>
      <c r="G159" s="161"/>
      <c r="H159" s="162"/>
      <c r="I159" s="162"/>
      <c r="J159" s="170"/>
      <c r="K159" s="162"/>
      <c r="L159" s="162"/>
      <c r="M159" s="162"/>
      <c r="N159" s="162"/>
      <c r="O159" s="162"/>
      <c r="P159" s="162"/>
      <c r="Q159" s="162"/>
      <c r="R159" s="163"/>
    </row>
    <row r="160" spans="1:18" x14ac:dyDescent="0.2">
      <c r="A160" s="551"/>
      <c r="B160" s="552"/>
      <c r="C160" s="553"/>
      <c r="D160" s="553"/>
      <c r="E160" s="554"/>
      <c r="F160" s="226" t="s">
        <v>496</v>
      </c>
      <c r="G160" s="171"/>
      <c r="H160" s="172"/>
      <c r="I160" s="172"/>
      <c r="J160" s="172"/>
      <c r="K160" s="172"/>
      <c r="L160" s="172"/>
      <c r="M160" s="172"/>
      <c r="N160" s="172"/>
      <c r="O160" s="172"/>
      <c r="P160" s="172"/>
      <c r="Q160" s="172"/>
      <c r="R160" s="173"/>
    </row>
    <row r="161" spans="1:18" ht="25.5" x14ac:dyDescent="0.2">
      <c r="A161" s="551"/>
      <c r="B161" s="552"/>
      <c r="C161" s="553"/>
      <c r="D161" s="553"/>
      <c r="E161" s="554"/>
      <c r="F161" s="226" t="s">
        <v>497</v>
      </c>
      <c r="G161" s="171"/>
      <c r="H161" s="172"/>
      <c r="I161" s="172"/>
      <c r="J161" s="172"/>
      <c r="K161" s="172"/>
      <c r="L161" s="172"/>
      <c r="M161" s="172"/>
      <c r="N161" s="172"/>
      <c r="O161" s="172"/>
      <c r="P161" s="172"/>
      <c r="Q161" s="172"/>
      <c r="R161" s="173"/>
    </row>
    <row r="162" spans="1:18" ht="13.5" thickBot="1" x14ac:dyDescent="0.25">
      <c r="A162" s="253" t="s">
        <v>224</v>
      </c>
      <c r="B162" s="266">
        <v>139</v>
      </c>
      <c r="C162" s="251" t="str">
        <f>GetPatVar("s5zf","&amp;b1391")</f>
        <v>15753.65</v>
      </c>
      <c r="D162" s="251" t="str">
        <f>GetPatVar("s5zf","&amp;b1392")</f>
        <v>751235.00</v>
      </c>
      <c r="E162" s="265" t="str">
        <f>GetPatVar("s5zf","&amp;b1393")</f>
        <v>766988.65</v>
      </c>
      <c r="F162" s="245" t="s">
        <v>528</v>
      </c>
      <c r="G162" s="246">
        <f>(G158-G160)*G$2+(G159-G161)*G$3</f>
        <v>0</v>
      </c>
      <c r="H162" s="247">
        <f t="shared" ref="H162" si="261">(H158-H160)*H$2+(H159-H161)*H$3</f>
        <v>0</v>
      </c>
      <c r="I162" s="247">
        <f t="shared" ref="I162" si="262">(I158-I160)*I$2+(I159-I161)*I$3</f>
        <v>0</v>
      </c>
      <c r="J162" s="247">
        <f t="shared" ref="J162" si="263">(J158-J160)*J$2+(J159-J161)*J$3</f>
        <v>0</v>
      </c>
      <c r="K162" s="247">
        <f t="shared" ref="K162" si="264">(K158-K160)*K$2+(K159-K161)*K$3</f>
        <v>0</v>
      </c>
      <c r="L162" s="247">
        <f>(L158-L160)*L$2+(L159-L161)*L$3</f>
        <v>0</v>
      </c>
      <c r="M162" s="247">
        <f t="shared" ref="M162" si="265">(M158-M160)*M$2+(M159-M161)*M$3</f>
        <v>0</v>
      </c>
      <c r="N162" s="247">
        <f t="shared" ref="N162" si="266">(N158-N160)*N$2+(N159-N161)*N$3</f>
        <v>0</v>
      </c>
      <c r="O162" s="247">
        <f t="shared" ref="O162" si="267">(O158-O160)*O$2+(O159-O161)*O$3</f>
        <v>0</v>
      </c>
      <c r="P162" s="247">
        <f t="shared" ref="P162" si="268">(P158-P160)*P$2+(P159-P161)*P$3</f>
        <v>0</v>
      </c>
      <c r="Q162" s="247">
        <f t="shared" ref="Q162" si="269">(Q158-Q160)*Q$2+(Q159-Q161)*Q$3</f>
        <v>0</v>
      </c>
      <c r="R162" s="248">
        <f t="shared" ref="R162" si="270">(R158-R160)*R$2+(R159-R161)*R$3</f>
        <v>0</v>
      </c>
    </row>
    <row r="163" spans="1:18" ht="25.5" x14ac:dyDescent="0.2">
      <c r="A163" s="551"/>
      <c r="B163" s="552"/>
      <c r="C163" s="553"/>
      <c r="D163" s="553"/>
      <c r="E163" s="554"/>
      <c r="F163" s="224" t="s">
        <v>492</v>
      </c>
      <c r="G163" s="166"/>
      <c r="H163" s="167"/>
      <c r="I163" s="167"/>
      <c r="J163" s="168"/>
      <c r="K163" s="167"/>
      <c r="L163" s="167"/>
      <c r="M163" s="167"/>
      <c r="N163" s="167"/>
      <c r="O163" s="167"/>
      <c r="P163" s="167"/>
      <c r="Q163" s="167"/>
      <c r="R163" s="169"/>
    </row>
    <row r="164" spans="1:18" ht="25.5" x14ac:dyDescent="0.2">
      <c r="A164" s="551"/>
      <c r="B164" s="552"/>
      <c r="C164" s="553"/>
      <c r="D164" s="553"/>
      <c r="E164" s="554"/>
      <c r="F164" s="225" t="s">
        <v>495</v>
      </c>
      <c r="G164" s="161"/>
      <c r="H164" s="162"/>
      <c r="I164" s="162"/>
      <c r="J164" s="170"/>
      <c r="K164" s="162"/>
      <c r="L164" s="162"/>
      <c r="M164" s="162"/>
      <c r="N164" s="162"/>
      <c r="O164" s="162"/>
      <c r="P164" s="162"/>
      <c r="Q164" s="162"/>
      <c r="R164" s="163"/>
    </row>
    <row r="165" spans="1:18" x14ac:dyDescent="0.2">
      <c r="A165" s="551"/>
      <c r="B165" s="552"/>
      <c r="C165" s="553"/>
      <c r="D165" s="553"/>
      <c r="E165" s="554"/>
      <c r="F165" s="226" t="s">
        <v>496</v>
      </c>
      <c r="G165" s="171"/>
      <c r="H165" s="172"/>
      <c r="I165" s="172"/>
      <c r="J165" s="172"/>
      <c r="K165" s="172"/>
      <c r="L165" s="172"/>
      <c r="M165" s="172"/>
      <c r="N165" s="172"/>
      <c r="O165" s="172"/>
      <c r="P165" s="172"/>
      <c r="Q165" s="172"/>
      <c r="R165" s="173"/>
    </row>
    <row r="166" spans="1:18" ht="25.5" x14ac:dyDescent="0.2">
      <c r="A166" s="551"/>
      <c r="B166" s="552"/>
      <c r="C166" s="553"/>
      <c r="D166" s="553"/>
      <c r="E166" s="554"/>
      <c r="F166" s="226" t="s">
        <v>497</v>
      </c>
      <c r="G166" s="171"/>
      <c r="H166" s="172"/>
      <c r="I166" s="172"/>
      <c r="J166" s="172"/>
      <c r="K166" s="172"/>
      <c r="L166" s="172"/>
      <c r="M166" s="172"/>
      <c r="N166" s="172"/>
      <c r="O166" s="172"/>
      <c r="P166" s="172"/>
      <c r="Q166" s="172"/>
      <c r="R166" s="173"/>
    </row>
    <row r="167" spans="1:18" ht="39" thickBot="1" x14ac:dyDescent="0.25">
      <c r="A167" s="253" t="s">
        <v>529</v>
      </c>
      <c r="B167" s="266">
        <v>140</v>
      </c>
      <c r="C167" s="251" t="str">
        <f>GetPatVar("s5zf","&amp;b1401")</f>
        <v>2196.08</v>
      </c>
      <c r="D167" s="251" t="str">
        <f>GetPatVar("s5zf","&amp;b1402")</f>
        <v>110909.27</v>
      </c>
      <c r="E167" s="265" t="str">
        <f>GetPatVar("s5zf","&amp;b1403")</f>
        <v>113105.35</v>
      </c>
      <c r="F167" s="245" t="s">
        <v>530</v>
      </c>
      <c r="G167" s="246">
        <f>(G163-G165)*G$2+(G164-G166)*G$3</f>
        <v>0</v>
      </c>
      <c r="H167" s="247">
        <f t="shared" ref="H167" si="271">(H163-H165)*H$2+(H164-H166)*H$3</f>
        <v>0</v>
      </c>
      <c r="I167" s="247">
        <f t="shared" ref="I167" si="272">(I163-I165)*I$2+(I164-I166)*I$3</f>
        <v>0</v>
      </c>
      <c r="J167" s="247">
        <f t="shared" ref="J167" si="273">(J163-J165)*J$2+(J164-J166)*J$3</f>
        <v>0</v>
      </c>
      <c r="K167" s="247">
        <f t="shared" ref="K167" si="274">(K163-K165)*K$2+(K164-K166)*K$3</f>
        <v>0</v>
      </c>
      <c r="L167" s="247">
        <f>(L163-L165)*L$2+(L164-L166)*L$3</f>
        <v>0</v>
      </c>
      <c r="M167" s="247">
        <f t="shared" ref="M167" si="275">(M163-M165)*M$2+(M164-M166)*M$3</f>
        <v>0</v>
      </c>
      <c r="N167" s="247">
        <f t="shared" ref="N167" si="276">(N163-N165)*N$2+(N164-N166)*N$3</f>
        <v>0</v>
      </c>
      <c r="O167" s="247">
        <f t="shared" ref="O167" si="277">(O163-O165)*O$2+(O164-O166)*O$3</f>
        <v>0</v>
      </c>
      <c r="P167" s="247">
        <f t="shared" ref="P167" si="278">(P163-P165)*P$2+(P164-P166)*P$3</f>
        <v>0</v>
      </c>
      <c r="Q167" s="247">
        <f t="shared" ref="Q167" si="279">(Q163-Q165)*Q$2+(Q164-Q166)*Q$3</f>
        <v>0</v>
      </c>
      <c r="R167" s="248">
        <f t="shared" ref="R167" si="280">(R163-R165)*R$2+(R164-R166)*R$3</f>
        <v>0</v>
      </c>
    </row>
    <row r="168" spans="1:18" ht="25.5" x14ac:dyDescent="0.2">
      <c r="A168" s="551"/>
      <c r="B168" s="552"/>
      <c r="C168" s="553"/>
      <c r="D168" s="553"/>
      <c r="E168" s="554"/>
      <c r="F168" s="224" t="s">
        <v>492</v>
      </c>
      <c r="G168" s="166"/>
      <c r="H168" s="167"/>
      <c r="I168" s="167"/>
      <c r="J168" s="168"/>
      <c r="K168" s="167"/>
      <c r="L168" s="167"/>
      <c r="M168" s="167"/>
      <c r="N168" s="167"/>
      <c r="O168" s="167"/>
      <c r="P168" s="167"/>
      <c r="Q168" s="167"/>
      <c r="R168" s="169"/>
    </row>
    <row r="169" spans="1:18" ht="25.5" x14ac:dyDescent="0.2">
      <c r="A169" s="551"/>
      <c r="B169" s="552"/>
      <c r="C169" s="553"/>
      <c r="D169" s="553"/>
      <c r="E169" s="554"/>
      <c r="F169" s="225" t="s">
        <v>495</v>
      </c>
      <c r="G169" s="161"/>
      <c r="H169" s="162"/>
      <c r="I169" s="162"/>
      <c r="J169" s="170"/>
      <c r="K169" s="162"/>
      <c r="L169" s="162"/>
      <c r="M169" s="162"/>
      <c r="N169" s="162"/>
      <c r="O169" s="162"/>
      <c r="P169" s="162"/>
      <c r="Q169" s="162"/>
      <c r="R169" s="163"/>
    </row>
    <row r="170" spans="1:18" x14ac:dyDescent="0.2">
      <c r="A170" s="551"/>
      <c r="B170" s="552"/>
      <c r="C170" s="553"/>
      <c r="D170" s="553"/>
      <c r="E170" s="554"/>
      <c r="F170" s="226" t="s">
        <v>496</v>
      </c>
      <c r="G170" s="171"/>
      <c r="H170" s="172"/>
      <c r="I170" s="172"/>
      <c r="J170" s="172"/>
      <c r="K170" s="172"/>
      <c r="L170" s="172"/>
      <c r="M170" s="172"/>
      <c r="N170" s="172"/>
      <c r="O170" s="172"/>
      <c r="P170" s="172"/>
      <c r="Q170" s="172"/>
      <c r="R170" s="173"/>
    </row>
    <row r="171" spans="1:18" ht="25.5" x14ac:dyDescent="0.2">
      <c r="A171" s="551"/>
      <c r="B171" s="552"/>
      <c r="C171" s="553"/>
      <c r="D171" s="553"/>
      <c r="E171" s="554"/>
      <c r="F171" s="226" t="s">
        <v>497</v>
      </c>
      <c r="G171" s="171"/>
      <c r="H171" s="172"/>
      <c r="I171" s="172"/>
      <c r="J171" s="172"/>
      <c r="K171" s="172"/>
      <c r="L171" s="172"/>
      <c r="M171" s="172"/>
      <c r="N171" s="172"/>
      <c r="O171" s="172"/>
      <c r="P171" s="172"/>
      <c r="Q171" s="172"/>
      <c r="R171" s="173"/>
    </row>
    <row r="172" spans="1:18" ht="13.5" thickBot="1" x14ac:dyDescent="0.25">
      <c r="A172" s="249" t="s">
        <v>225</v>
      </c>
      <c r="B172" s="251">
        <v>141</v>
      </c>
      <c r="C172" s="251" t="str">
        <f>GetPatVar("s5zf","&amp;b1411")</f>
        <v>-</v>
      </c>
      <c r="D172" s="251" t="str">
        <f>GetPatVar("s5zf","&amp;b1412")</f>
        <v>-</v>
      </c>
      <c r="E172" s="265" t="str">
        <f>GetPatVar("s5zf","&amp;b1413")</f>
        <v>-</v>
      </c>
      <c r="F172" s="245" t="s">
        <v>531</v>
      </c>
      <c r="G172" s="246">
        <f>(G168-G170)*G$2+(G169-G171)*G$3</f>
        <v>0</v>
      </c>
      <c r="H172" s="247">
        <f t="shared" ref="H172" si="281">(H168-H170)*H$2+(H169-H171)*H$3</f>
        <v>0</v>
      </c>
      <c r="I172" s="247">
        <f t="shared" ref="I172" si="282">(I168-I170)*I$2+(I169-I171)*I$3</f>
        <v>0</v>
      </c>
      <c r="J172" s="247">
        <f t="shared" ref="J172" si="283">(J168-J170)*J$2+(J169-J171)*J$3</f>
        <v>0</v>
      </c>
      <c r="K172" s="247">
        <f t="shared" ref="K172" si="284">(K168-K170)*K$2+(K169-K171)*K$3</f>
        <v>0</v>
      </c>
      <c r="L172" s="247">
        <f>(L168-L170)*L$2+(L169-L171)*L$3</f>
        <v>0</v>
      </c>
      <c r="M172" s="247">
        <f t="shared" ref="M172" si="285">(M168-M170)*M$2+(M169-M171)*M$3</f>
        <v>0</v>
      </c>
      <c r="N172" s="247">
        <f t="shared" ref="N172" si="286">(N168-N170)*N$2+(N169-N171)*N$3</f>
        <v>0</v>
      </c>
      <c r="O172" s="247">
        <f t="shared" ref="O172" si="287">(O168-O170)*O$2+(O169-O171)*O$3</f>
        <v>0</v>
      </c>
      <c r="P172" s="247">
        <f t="shared" ref="P172" si="288">(P168-P170)*P$2+(P169-P171)*P$3</f>
        <v>0</v>
      </c>
      <c r="Q172" s="247">
        <f t="shared" ref="Q172" si="289">(Q168-Q170)*Q$2+(Q169-Q171)*Q$3</f>
        <v>0</v>
      </c>
      <c r="R172" s="248">
        <f t="shared" ref="R172" si="290">(R168-R170)*R$2+(R169-R171)*R$3</f>
        <v>0</v>
      </c>
    </row>
    <row r="173" spans="1:18" ht="25.5" x14ac:dyDescent="0.2">
      <c r="A173" s="555"/>
      <c r="B173" s="556"/>
      <c r="C173" s="557"/>
      <c r="D173" s="557"/>
      <c r="E173" s="558"/>
      <c r="F173" s="224" t="s">
        <v>492</v>
      </c>
      <c r="G173" s="166"/>
      <c r="H173" s="167"/>
      <c r="I173" s="167"/>
      <c r="J173" s="168"/>
      <c r="K173" s="167"/>
      <c r="L173" s="167"/>
      <c r="M173" s="167"/>
      <c r="N173" s="167"/>
      <c r="O173" s="167"/>
      <c r="P173" s="167"/>
      <c r="Q173" s="167"/>
      <c r="R173" s="169"/>
    </row>
    <row r="174" spans="1:18" ht="25.5" x14ac:dyDescent="0.2">
      <c r="A174" s="551"/>
      <c r="B174" s="552"/>
      <c r="C174" s="553"/>
      <c r="D174" s="553"/>
      <c r="E174" s="554"/>
      <c r="F174" s="225" t="s">
        <v>495</v>
      </c>
      <c r="G174" s="161"/>
      <c r="H174" s="162"/>
      <c r="I174" s="162"/>
      <c r="J174" s="170"/>
      <c r="K174" s="162"/>
      <c r="L174" s="162"/>
      <c r="M174" s="162"/>
      <c r="N174" s="162"/>
      <c r="O174" s="162"/>
      <c r="P174" s="162"/>
      <c r="Q174" s="162"/>
      <c r="R174" s="163"/>
    </row>
    <row r="175" spans="1:18" x14ac:dyDescent="0.2">
      <c r="A175" s="551"/>
      <c r="B175" s="552"/>
      <c r="C175" s="553"/>
      <c r="D175" s="553"/>
      <c r="E175" s="554"/>
      <c r="F175" s="226" t="s">
        <v>496</v>
      </c>
      <c r="G175" s="171"/>
      <c r="H175" s="172"/>
      <c r="I175" s="172"/>
      <c r="J175" s="172"/>
      <c r="K175" s="172"/>
      <c r="L175" s="172"/>
      <c r="M175" s="172"/>
      <c r="N175" s="172"/>
      <c r="O175" s="172"/>
      <c r="P175" s="172"/>
      <c r="Q175" s="172"/>
      <c r="R175" s="173"/>
    </row>
    <row r="176" spans="1:18" ht="25.5" x14ac:dyDescent="0.2">
      <c r="A176" s="551"/>
      <c r="B176" s="552"/>
      <c r="C176" s="553"/>
      <c r="D176" s="553"/>
      <c r="E176" s="554"/>
      <c r="F176" s="226" t="s">
        <v>497</v>
      </c>
      <c r="G176" s="171"/>
      <c r="H176" s="172"/>
      <c r="I176" s="172"/>
      <c r="J176" s="172"/>
      <c r="K176" s="172"/>
      <c r="L176" s="172"/>
      <c r="M176" s="172"/>
      <c r="N176" s="172"/>
      <c r="O176" s="172"/>
      <c r="P176" s="172"/>
      <c r="Q176" s="172"/>
      <c r="R176" s="173"/>
    </row>
    <row r="177" spans="1:18" ht="13.5" thickBot="1" x14ac:dyDescent="0.25">
      <c r="A177" s="267" t="s">
        <v>226</v>
      </c>
      <c r="B177" s="266">
        <v>142</v>
      </c>
      <c r="C177" s="251" t="str">
        <f>GetPatVar("s5zf","&amp;b1411")</f>
        <v>-</v>
      </c>
      <c r="D177" s="251" t="str">
        <f>GetPatVar("s5zf","&amp;b1412")</f>
        <v>-</v>
      </c>
      <c r="E177" s="265" t="str">
        <f>GetPatVar("s5zf","&amp;b1423")</f>
        <v>189.45</v>
      </c>
      <c r="F177" s="245" t="s">
        <v>532</v>
      </c>
      <c r="G177" s="246">
        <f>(G173-G175)*G$2+(G174-G176)*G$3</f>
        <v>0</v>
      </c>
      <c r="H177" s="247">
        <f t="shared" ref="H177" si="291">(H173-H175)*H$2+(H174-H176)*H$3</f>
        <v>0</v>
      </c>
      <c r="I177" s="247">
        <f t="shared" ref="I177" si="292">(I173-I175)*I$2+(I174-I176)*I$3</f>
        <v>0</v>
      </c>
      <c r="J177" s="247">
        <f t="shared" ref="J177" si="293">(J173-J175)*J$2+(J174-J176)*J$3</f>
        <v>0</v>
      </c>
      <c r="K177" s="247">
        <f t="shared" ref="K177" si="294">(K173-K175)*K$2+(K174-K176)*K$3</f>
        <v>0</v>
      </c>
      <c r="L177" s="247">
        <f>(L173-L175)*L$2+(L174-L176)*L$3</f>
        <v>0</v>
      </c>
      <c r="M177" s="247">
        <f t="shared" ref="M177" si="295">(M173-M175)*M$2+(M174-M176)*M$3</f>
        <v>0</v>
      </c>
      <c r="N177" s="247">
        <f t="shared" ref="N177" si="296">(N173-N175)*N$2+(N174-N176)*N$3</f>
        <v>0</v>
      </c>
      <c r="O177" s="247">
        <f t="shared" ref="O177" si="297">(O173-O175)*O$2+(O174-O176)*O$3</f>
        <v>0</v>
      </c>
      <c r="P177" s="247">
        <f t="shared" ref="P177" si="298">(P173-P175)*P$2+(P174-P176)*P$3</f>
        <v>0</v>
      </c>
      <c r="Q177" s="247">
        <f t="shared" ref="Q177" si="299">(Q173-Q175)*Q$2+(Q174-Q176)*Q$3</f>
        <v>0</v>
      </c>
      <c r="R177" s="248">
        <f t="shared" ref="R177" si="300">(R173-R175)*R$2+(R174-R176)*R$3</f>
        <v>0</v>
      </c>
    </row>
    <row r="178" spans="1:18" ht="25.5" x14ac:dyDescent="0.2">
      <c r="A178" s="551"/>
      <c r="B178" s="552"/>
      <c r="C178" s="553"/>
      <c r="D178" s="553"/>
      <c r="E178" s="554"/>
      <c r="F178" s="224" t="s">
        <v>492</v>
      </c>
      <c r="G178" s="166"/>
      <c r="H178" s="167"/>
      <c r="I178" s="167"/>
      <c r="J178" s="168"/>
      <c r="K178" s="167"/>
      <c r="L178" s="167"/>
      <c r="M178" s="167"/>
      <c r="N178" s="167"/>
      <c r="O178" s="167"/>
      <c r="P178" s="167"/>
      <c r="Q178" s="167"/>
      <c r="R178" s="169"/>
    </row>
    <row r="179" spans="1:18" ht="25.5" x14ac:dyDescent="0.2">
      <c r="A179" s="551"/>
      <c r="B179" s="552"/>
      <c r="C179" s="553"/>
      <c r="D179" s="553"/>
      <c r="E179" s="554"/>
      <c r="F179" s="225" t="s">
        <v>495</v>
      </c>
      <c r="G179" s="161"/>
      <c r="H179" s="162"/>
      <c r="I179" s="162"/>
      <c r="J179" s="170"/>
      <c r="K179" s="162"/>
      <c r="L179" s="162"/>
      <c r="M179" s="162"/>
      <c r="N179" s="162"/>
      <c r="O179" s="162"/>
      <c r="P179" s="162"/>
      <c r="Q179" s="162"/>
      <c r="R179" s="163"/>
    </row>
    <row r="180" spans="1:18" x14ac:dyDescent="0.2">
      <c r="A180" s="551"/>
      <c r="B180" s="552"/>
      <c r="C180" s="553"/>
      <c r="D180" s="553"/>
      <c r="E180" s="554"/>
      <c r="F180" s="226" t="s">
        <v>496</v>
      </c>
      <c r="G180" s="171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3"/>
    </row>
    <row r="181" spans="1:18" ht="25.5" x14ac:dyDescent="0.2">
      <c r="A181" s="551"/>
      <c r="B181" s="552"/>
      <c r="C181" s="553"/>
      <c r="D181" s="553"/>
      <c r="E181" s="554"/>
      <c r="F181" s="226" t="s">
        <v>497</v>
      </c>
      <c r="G181" s="171"/>
      <c r="H181" s="172"/>
      <c r="I181" s="172"/>
      <c r="J181" s="172"/>
      <c r="K181" s="172"/>
      <c r="L181" s="172"/>
      <c r="M181" s="172"/>
      <c r="N181" s="172"/>
      <c r="O181" s="172"/>
      <c r="P181" s="172"/>
      <c r="Q181" s="172"/>
      <c r="R181" s="173"/>
    </row>
    <row r="182" spans="1:18" ht="13.5" thickBot="1" x14ac:dyDescent="0.25">
      <c r="A182" s="268" t="s">
        <v>533</v>
      </c>
      <c r="B182" s="266">
        <v>143</v>
      </c>
      <c r="C182" s="251" t="str">
        <f>GetPatVar("s5zf","&amp;b1431")</f>
        <v>1371.31</v>
      </c>
      <c r="D182" s="251" t="str">
        <f>GetPatVar("s5zf","&amp;b1432")</f>
        <v>21217.93</v>
      </c>
      <c r="E182" s="265" t="str">
        <f>GetPatVar("s5zf","&amp;b1433")</f>
        <v>22589.24</v>
      </c>
      <c r="F182" s="245" t="s">
        <v>534</v>
      </c>
      <c r="G182" s="246">
        <f>(G178-G180)*G$2+(G179-G181)*G$3</f>
        <v>0</v>
      </c>
      <c r="H182" s="247">
        <f t="shared" ref="H182" si="301">(H178-H180)*H$2+(H179-H181)*H$3</f>
        <v>0</v>
      </c>
      <c r="I182" s="247">
        <f t="shared" ref="I182" si="302">(I178-I180)*I$2+(I179-I181)*I$3</f>
        <v>0</v>
      </c>
      <c r="J182" s="247">
        <f t="shared" ref="J182" si="303">(J178-J180)*J$2+(J179-J181)*J$3</f>
        <v>0</v>
      </c>
      <c r="K182" s="247">
        <f t="shared" ref="K182" si="304">(K178-K180)*K$2+(K179-K181)*K$3</f>
        <v>0</v>
      </c>
      <c r="L182" s="247">
        <f>(L178-L180)*L$2+(L179-L181)*L$3</f>
        <v>0</v>
      </c>
      <c r="M182" s="247">
        <f t="shared" ref="M182" si="305">(M178-M180)*M$2+(M179-M181)*M$3</f>
        <v>0</v>
      </c>
      <c r="N182" s="247">
        <f t="shared" ref="N182" si="306">(N178-N180)*N$2+(N179-N181)*N$3</f>
        <v>0</v>
      </c>
      <c r="O182" s="247">
        <f t="shared" ref="O182" si="307">(O178-O180)*O$2+(O179-O181)*O$3</f>
        <v>0</v>
      </c>
      <c r="P182" s="247">
        <f t="shared" ref="P182" si="308">(P178-P180)*P$2+(P179-P181)*P$3</f>
        <v>0</v>
      </c>
      <c r="Q182" s="247">
        <f t="shared" ref="Q182" si="309">(Q178-Q180)*Q$2+(Q179-Q181)*Q$3</f>
        <v>0</v>
      </c>
      <c r="R182" s="248">
        <f t="shared" ref="R182" si="310">(R178-R180)*R$2+(R179-R181)*R$3</f>
        <v>0</v>
      </c>
    </row>
    <row r="183" spans="1:18" ht="25.5" x14ac:dyDescent="0.2">
      <c r="A183" s="551"/>
      <c r="B183" s="552"/>
      <c r="C183" s="553"/>
      <c r="D183" s="553"/>
      <c r="E183" s="554"/>
      <c r="F183" s="224" t="s">
        <v>492</v>
      </c>
      <c r="G183" s="166"/>
      <c r="H183" s="167"/>
      <c r="I183" s="167"/>
      <c r="J183" s="168"/>
      <c r="K183" s="167"/>
      <c r="L183" s="167"/>
      <c r="M183" s="167"/>
      <c r="N183" s="167"/>
      <c r="O183" s="167"/>
      <c r="P183" s="167"/>
      <c r="Q183" s="167"/>
      <c r="R183" s="169"/>
    </row>
    <row r="184" spans="1:18" ht="25.5" x14ac:dyDescent="0.2">
      <c r="A184" s="551"/>
      <c r="B184" s="552"/>
      <c r="C184" s="553"/>
      <c r="D184" s="553"/>
      <c r="E184" s="554"/>
      <c r="F184" s="225" t="s">
        <v>495</v>
      </c>
      <c r="G184" s="161"/>
      <c r="H184" s="162"/>
      <c r="I184" s="162"/>
      <c r="J184" s="170"/>
      <c r="K184" s="162"/>
      <c r="L184" s="162"/>
      <c r="M184" s="162"/>
      <c r="N184" s="162"/>
      <c r="O184" s="162"/>
      <c r="P184" s="162"/>
      <c r="Q184" s="162"/>
      <c r="R184" s="163"/>
    </row>
    <row r="185" spans="1:18" x14ac:dyDescent="0.2">
      <c r="A185" s="551"/>
      <c r="B185" s="552"/>
      <c r="C185" s="553"/>
      <c r="D185" s="553"/>
      <c r="E185" s="554"/>
      <c r="F185" s="226" t="s">
        <v>496</v>
      </c>
      <c r="G185" s="171"/>
      <c r="H185" s="172"/>
      <c r="I185" s="172"/>
      <c r="J185" s="172"/>
      <c r="K185" s="172"/>
      <c r="L185" s="172"/>
      <c r="M185" s="172"/>
      <c r="N185" s="172"/>
      <c r="O185" s="172"/>
      <c r="P185" s="172"/>
      <c r="Q185" s="172"/>
      <c r="R185" s="173"/>
    </row>
    <row r="186" spans="1:18" ht="25.5" x14ac:dyDescent="0.2">
      <c r="A186" s="551"/>
      <c r="B186" s="552"/>
      <c r="C186" s="553"/>
      <c r="D186" s="553"/>
      <c r="E186" s="554"/>
      <c r="F186" s="226" t="s">
        <v>497</v>
      </c>
      <c r="G186" s="171"/>
      <c r="H186" s="172"/>
      <c r="I186" s="172"/>
      <c r="J186" s="172"/>
      <c r="K186" s="172"/>
      <c r="L186" s="172"/>
      <c r="M186" s="172"/>
      <c r="N186" s="172"/>
      <c r="O186" s="172"/>
      <c r="P186" s="172"/>
      <c r="Q186" s="172"/>
      <c r="R186" s="173"/>
    </row>
    <row r="187" spans="1:18" ht="26.25" thickBot="1" x14ac:dyDescent="0.25">
      <c r="A187" s="253" t="s">
        <v>227</v>
      </c>
      <c r="B187" s="266">
        <v>144</v>
      </c>
      <c r="C187" s="251" t="str">
        <f>GetPatVar("s5zf","&amp;b1441")</f>
        <v>10247.29</v>
      </c>
      <c r="D187" s="251" t="str">
        <f>GetPatVar("s5zf","&amp;b1442")</f>
        <v>268775.68</v>
      </c>
      <c r="E187" s="265" t="str">
        <f>GetPatVar("s5zf","&amp;b1443")</f>
        <v>279022.97</v>
      </c>
      <c r="F187" s="245" t="s">
        <v>535</v>
      </c>
      <c r="G187" s="246">
        <f>(G183-G185)*G$2+(G184-G186)*G$3</f>
        <v>0</v>
      </c>
      <c r="H187" s="247">
        <f t="shared" ref="H187" si="311">(H183-H185)*H$2+(H184-H186)*H$3</f>
        <v>0</v>
      </c>
      <c r="I187" s="247">
        <f t="shared" ref="I187" si="312">(I183-I185)*I$2+(I184-I186)*I$3</f>
        <v>0</v>
      </c>
      <c r="J187" s="247">
        <f t="shared" ref="J187" si="313">(J183-J185)*J$2+(J184-J186)*J$3</f>
        <v>0</v>
      </c>
      <c r="K187" s="247">
        <f t="shared" ref="K187" si="314">(K183-K185)*K$2+(K184-K186)*K$3</f>
        <v>0</v>
      </c>
      <c r="L187" s="247">
        <f>(L183-L185)*L$2+(L184-L186)*L$3</f>
        <v>0</v>
      </c>
      <c r="M187" s="247">
        <f t="shared" ref="M187" si="315">(M183-M185)*M$2+(M184-M186)*M$3</f>
        <v>0</v>
      </c>
      <c r="N187" s="247">
        <f t="shared" ref="N187" si="316">(N183-N185)*N$2+(N184-N186)*N$3</f>
        <v>0</v>
      </c>
      <c r="O187" s="247">
        <f t="shared" ref="O187" si="317">(O183-O185)*O$2+(O184-O186)*O$3</f>
        <v>0</v>
      </c>
      <c r="P187" s="247">
        <f t="shared" ref="P187" si="318">(P183-P185)*P$2+(P184-P186)*P$3</f>
        <v>0</v>
      </c>
      <c r="Q187" s="247">
        <f t="shared" ref="Q187" si="319">(Q183-Q185)*Q$2+(Q184-Q186)*Q$3</f>
        <v>0</v>
      </c>
      <c r="R187" s="248">
        <f t="shared" ref="R187" si="320">(R183-R185)*R$2+(R184-R186)*R$3</f>
        <v>0</v>
      </c>
    </row>
    <row r="188" spans="1:18" ht="26.25" thickBot="1" x14ac:dyDescent="0.25">
      <c r="A188" s="232" t="s">
        <v>228</v>
      </c>
      <c r="B188" s="269">
        <v>145</v>
      </c>
      <c r="C188" s="165" t="str">
        <f>GetPatVar("s5zf","&amp;b1111")</f>
        <v/>
      </c>
      <c r="D188" s="165" t="s">
        <v>65</v>
      </c>
      <c r="E188" s="270" t="s">
        <v>65</v>
      </c>
      <c r="F188" s="227" t="s">
        <v>101</v>
      </c>
      <c r="G188" s="174" t="s">
        <v>101</v>
      </c>
      <c r="H188" s="174" t="s">
        <v>101</v>
      </c>
      <c r="I188" s="174" t="s">
        <v>101</v>
      </c>
      <c r="J188" s="174" t="s">
        <v>101</v>
      </c>
      <c r="K188" s="174" t="s">
        <v>101</v>
      </c>
      <c r="L188" s="174" t="s">
        <v>101</v>
      </c>
      <c r="M188" s="174" t="s">
        <v>101</v>
      </c>
      <c r="N188" s="174" t="s">
        <v>101</v>
      </c>
      <c r="O188" s="174" t="s">
        <v>101</v>
      </c>
      <c r="P188" s="174" t="s">
        <v>101</v>
      </c>
      <c r="Q188" s="174" t="s">
        <v>101</v>
      </c>
      <c r="R188" s="175" t="s">
        <v>101</v>
      </c>
    </row>
    <row r="189" spans="1:18" ht="25.5" x14ac:dyDescent="0.2">
      <c r="A189" s="551"/>
      <c r="B189" s="552"/>
      <c r="C189" s="553"/>
      <c r="D189" s="553"/>
      <c r="E189" s="554"/>
      <c r="F189" s="224" t="s">
        <v>492</v>
      </c>
      <c r="G189" s="166"/>
      <c r="H189" s="167"/>
      <c r="I189" s="167"/>
      <c r="J189" s="168"/>
      <c r="K189" s="167"/>
      <c r="L189" s="167"/>
      <c r="M189" s="167"/>
      <c r="N189" s="167"/>
      <c r="O189" s="167"/>
      <c r="P189" s="167"/>
      <c r="Q189" s="167"/>
      <c r="R189" s="169"/>
    </row>
    <row r="190" spans="1:18" ht="25.5" x14ac:dyDescent="0.2">
      <c r="A190" s="551"/>
      <c r="B190" s="552"/>
      <c r="C190" s="553"/>
      <c r="D190" s="553"/>
      <c r="E190" s="554"/>
      <c r="F190" s="225" t="s">
        <v>495</v>
      </c>
      <c r="G190" s="161"/>
      <c r="H190" s="162"/>
      <c r="I190" s="162"/>
      <c r="J190" s="170"/>
      <c r="K190" s="162"/>
      <c r="L190" s="162"/>
      <c r="M190" s="162"/>
      <c r="N190" s="162"/>
      <c r="O190" s="162"/>
      <c r="P190" s="162"/>
      <c r="Q190" s="162"/>
      <c r="R190" s="163"/>
    </row>
    <row r="191" spans="1:18" x14ac:dyDescent="0.2">
      <c r="A191" s="551"/>
      <c r="B191" s="552"/>
      <c r="C191" s="553"/>
      <c r="D191" s="553"/>
      <c r="E191" s="554"/>
      <c r="F191" s="226" t="s">
        <v>496</v>
      </c>
      <c r="G191" s="171"/>
      <c r="H191" s="172"/>
      <c r="I191" s="172"/>
      <c r="J191" s="172"/>
      <c r="K191" s="172"/>
      <c r="L191" s="172"/>
      <c r="M191" s="172"/>
      <c r="N191" s="172"/>
      <c r="O191" s="172"/>
      <c r="P191" s="172"/>
      <c r="Q191" s="172"/>
      <c r="R191" s="173"/>
    </row>
    <row r="192" spans="1:18" ht="25.5" x14ac:dyDescent="0.2">
      <c r="A192" s="551"/>
      <c r="B192" s="552"/>
      <c r="C192" s="553"/>
      <c r="D192" s="553"/>
      <c r="E192" s="554"/>
      <c r="F192" s="226" t="s">
        <v>497</v>
      </c>
      <c r="G192" s="171"/>
      <c r="H192" s="172"/>
      <c r="I192" s="172"/>
      <c r="J192" s="172"/>
      <c r="K192" s="172"/>
      <c r="L192" s="172"/>
      <c r="M192" s="172"/>
      <c r="N192" s="172"/>
      <c r="O192" s="172"/>
      <c r="P192" s="172"/>
      <c r="Q192" s="172"/>
      <c r="R192" s="173"/>
    </row>
    <row r="193" spans="1:18" ht="13.5" thickBot="1" x14ac:dyDescent="0.25">
      <c r="A193" s="249" t="s">
        <v>229</v>
      </c>
      <c r="B193" s="251">
        <v>146</v>
      </c>
      <c r="C193" s="251" t="str">
        <f>GetPatVar("s5zf","&amp;b1461")</f>
        <v/>
      </c>
      <c r="D193" s="251" t="str">
        <f>GetPatVar("s5zf","&amp;b1462")</f>
        <v/>
      </c>
      <c r="E193" s="265" t="str">
        <f>GetPatVar("s5zf","&amp;b1463")</f>
        <v/>
      </c>
      <c r="F193" s="245" t="s">
        <v>536</v>
      </c>
      <c r="G193" s="246">
        <f>(G189-G191)*G$2+(G190-G192)*G$3</f>
        <v>0</v>
      </c>
      <c r="H193" s="247">
        <f t="shared" ref="H193" si="321">(H189-H191)*H$2+(H190-H192)*H$3</f>
        <v>0</v>
      </c>
      <c r="I193" s="247">
        <f t="shared" ref="I193" si="322">(I189-I191)*I$2+(I190-I192)*I$3</f>
        <v>0</v>
      </c>
      <c r="J193" s="247">
        <f t="shared" ref="J193" si="323">(J189-J191)*J$2+(J190-J192)*J$3</f>
        <v>0</v>
      </c>
      <c r="K193" s="247">
        <f t="shared" ref="K193" si="324">(K189-K191)*K$2+(K190-K192)*K$3</f>
        <v>0</v>
      </c>
      <c r="L193" s="247">
        <f>(L189-L191)*L$2+(L190-L192)*L$3</f>
        <v>0</v>
      </c>
      <c r="M193" s="247">
        <f t="shared" ref="M193" si="325">(M189-M191)*M$2+(M190-M192)*M$3</f>
        <v>0</v>
      </c>
      <c r="N193" s="247">
        <f t="shared" ref="N193" si="326">(N189-N191)*N$2+(N190-N192)*N$3</f>
        <v>0</v>
      </c>
      <c r="O193" s="247">
        <f t="shared" ref="O193" si="327">(O189-O191)*O$2+(O190-O192)*O$3</f>
        <v>0</v>
      </c>
      <c r="P193" s="247">
        <f t="shared" ref="P193" si="328">(P189-P191)*P$2+(P190-P192)*P$3</f>
        <v>0</v>
      </c>
      <c r="Q193" s="247">
        <f t="shared" ref="Q193" si="329">(Q189-Q191)*Q$2+(Q190-Q192)*Q$3</f>
        <v>0</v>
      </c>
      <c r="R193" s="248">
        <f t="shared" ref="R193" si="330">(R189-R191)*R$2+(R190-R192)*R$3</f>
        <v>0</v>
      </c>
    </row>
    <row r="194" spans="1:18" ht="25.5" x14ac:dyDescent="0.2">
      <c r="A194" s="551"/>
      <c r="B194" s="552"/>
      <c r="C194" s="553"/>
      <c r="D194" s="553"/>
      <c r="E194" s="554"/>
      <c r="F194" s="224" t="s">
        <v>492</v>
      </c>
      <c r="G194" s="166"/>
      <c r="H194" s="167"/>
      <c r="I194" s="167"/>
      <c r="J194" s="168"/>
      <c r="K194" s="167"/>
      <c r="L194" s="167"/>
      <c r="M194" s="167"/>
      <c r="N194" s="167"/>
      <c r="O194" s="167"/>
      <c r="P194" s="167"/>
      <c r="Q194" s="167"/>
      <c r="R194" s="169"/>
    </row>
    <row r="195" spans="1:18" ht="25.5" x14ac:dyDescent="0.2">
      <c r="A195" s="551"/>
      <c r="B195" s="552"/>
      <c r="C195" s="553"/>
      <c r="D195" s="553"/>
      <c r="E195" s="554"/>
      <c r="F195" s="225" t="s">
        <v>495</v>
      </c>
      <c r="G195" s="161"/>
      <c r="H195" s="162"/>
      <c r="I195" s="162"/>
      <c r="J195" s="170"/>
      <c r="K195" s="162"/>
      <c r="L195" s="162"/>
      <c r="M195" s="162"/>
      <c r="N195" s="162"/>
      <c r="O195" s="162"/>
      <c r="P195" s="162"/>
      <c r="Q195" s="162"/>
      <c r="R195" s="163"/>
    </row>
    <row r="196" spans="1:18" x14ac:dyDescent="0.2">
      <c r="A196" s="551"/>
      <c r="B196" s="552"/>
      <c r="C196" s="553"/>
      <c r="D196" s="553"/>
      <c r="E196" s="554"/>
      <c r="F196" s="226" t="s">
        <v>496</v>
      </c>
      <c r="G196" s="171"/>
      <c r="H196" s="172"/>
      <c r="I196" s="172"/>
      <c r="J196" s="172"/>
      <c r="K196" s="172"/>
      <c r="L196" s="172"/>
      <c r="M196" s="172"/>
      <c r="N196" s="172"/>
      <c r="O196" s="172"/>
      <c r="P196" s="172"/>
      <c r="Q196" s="172"/>
      <c r="R196" s="173"/>
    </row>
    <row r="197" spans="1:18" ht="25.5" x14ac:dyDescent="0.2">
      <c r="A197" s="551"/>
      <c r="B197" s="552"/>
      <c r="C197" s="553"/>
      <c r="D197" s="553"/>
      <c r="E197" s="554"/>
      <c r="F197" s="226" t="s">
        <v>497</v>
      </c>
      <c r="G197" s="171"/>
      <c r="H197" s="172"/>
      <c r="I197" s="172"/>
      <c r="J197" s="172"/>
      <c r="K197" s="172"/>
      <c r="L197" s="172"/>
      <c r="M197" s="172"/>
      <c r="N197" s="172"/>
      <c r="O197" s="172"/>
      <c r="P197" s="172"/>
      <c r="Q197" s="172"/>
      <c r="R197" s="173"/>
    </row>
    <row r="198" spans="1:18" ht="13.5" thickBot="1" x14ac:dyDescent="0.25">
      <c r="A198" s="249" t="s">
        <v>230</v>
      </c>
      <c r="B198" s="251">
        <v>147</v>
      </c>
      <c r="C198" s="251" t="str">
        <f>GetPatVar("s5zf","&amp;b1471")</f>
        <v>44062.66</v>
      </c>
      <c r="D198" s="251" t="str">
        <f>GetPatVar("s5zf","&amp;b1472")</f>
        <v>136364.29</v>
      </c>
      <c r="E198" s="265" t="str">
        <f>GetPatVar("s5zf","&amp;b1473")</f>
        <v>180426.95</v>
      </c>
      <c r="F198" s="245" t="s">
        <v>537</v>
      </c>
      <c r="G198" s="246">
        <f>(G194-G196)*G$2+(G195-G197)*G$3</f>
        <v>0</v>
      </c>
      <c r="H198" s="247">
        <f t="shared" ref="H198" si="331">(H194-H196)*H$2+(H195-H197)*H$3</f>
        <v>0</v>
      </c>
      <c r="I198" s="247">
        <f t="shared" ref="I198" si="332">(I194-I196)*I$2+(I195-I197)*I$3</f>
        <v>0</v>
      </c>
      <c r="J198" s="247">
        <f t="shared" ref="J198" si="333">(J194-J196)*J$2+(J195-J197)*J$3</f>
        <v>0</v>
      </c>
      <c r="K198" s="247">
        <f t="shared" ref="K198" si="334">(K194-K196)*K$2+(K195-K197)*K$3</f>
        <v>0</v>
      </c>
      <c r="L198" s="247">
        <f>(L194-L196)*L$2+(L195-L197)*L$3</f>
        <v>0</v>
      </c>
      <c r="M198" s="247">
        <f t="shared" ref="M198" si="335">(M194-M196)*M$2+(M195-M197)*M$3</f>
        <v>0</v>
      </c>
      <c r="N198" s="247">
        <f t="shared" ref="N198" si="336">(N194-N196)*N$2+(N195-N197)*N$3</f>
        <v>0</v>
      </c>
      <c r="O198" s="247">
        <f t="shared" ref="O198" si="337">(O194-O196)*O$2+(O195-O197)*O$3</f>
        <v>0</v>
      </c>
      <c r="P198" s="247">
        <f t="shared" ref="P198" si="338">(P194-P196)*P$2+(P195-P197)*P$3</f>
        <v>0</v>
      </c>
      <c r="Q198" s="247">
        <f t="shared" ref="Q198" si="339">(Q194-Q196)*Q$2+(Q195-Q197)*Q$3</f>
        <v>0</v>
      </c>
      <c r="R198" s="248">
        <f t="shared" ref="R198" si="340">(R194-R196)*R$2+(R195-R197)*R$3</f>
        <v>0</v>
      </c>
    </row>
    <row r="199" spans="1:18" ht="13.5" thickBot="1" x14ac:dyDescent="0.25">
      <c r="A199" s="231" t="s">
        <v>231</v>
      </c>
      <c r="B199" s="165">
        <v>148</v>
      </c>
      <c r="C199" s="165" t="str">
        <f t="shared" ref="C199:C203" si="341">GetPatVar("s5zf","&amp;b1111")</f>
        <v/>
      </c>
      <c r="D199" s="165" t="s">
        <v>65</v>
      </c>
      <c r="E199" s="270" t="s">
        <v>65</v>
      </c>
      <c r="F199" s="227" t="s">
        <v>101</v>
      </c>
      <c r="G199" s="174" t="s">
        <v>101</v>
      </c>
      <c r="H199" s="174" t="s">
        <v>101</v>
      </c>
      <c r="I199" s="174" t="s">
        <v>101</v>
      </c>
      <c r="J199" s="174" t="s">
        <v>101</v>
      </c>
      <c r="K199" s="174" t="s">
        <v>101</v>
      </c>
      <c r="L199" s="174" t="s">
        <v>101</v>
      </c>
      <c r="M199" s="174" t="s">
        <v>101</v>
      </c>
      <c r="N199" s="174" t="s">
        <v>101</v>
      </c>
      <c r="O199" s="174" t="s">
        <v>101</v>
      </c>
      <c r="P199" s="174" t="s">
        <v>101</v>
      </c>
      <c r="Q199" s="174" t="s">
        <v>101</v>
      </c>
      <c r="R199" s="175" t="s">
        <v>101</v>
      </c>
    </row>
    <row r="200" spans="1:18" ht="13.5" thickBot="1" x14ac:dyDescent="0.25">
      <c r="A200" s="231" t="s">
        <v>232</v>
      </c>
      <c r="B200" s="165">
        <v>149</v>
      </c>
      <c r="C200" s="165" t="str">
        <f t="shared" si="341"/>
        <v/>
      </c>
      <c r="D200" s="165" t="s">
        <v>65</v>
      </c>
      <c r="E200" s="270" t="s">
        <v>65</v>
      </c>
      <c r="F200" s="227" t="s">
        <v>101</v>
      </c>
      <c r="G200" s="174" t="s">
        <v>101</v>
      </c>
      <c r="H200" s="174" t="s">
        <v>101</v>
      </c>
      <c r="I200" s="174" t="s">
        <v>101</v>
      </c>
      <c r="J200" s="174" t="s">
        <v>101</v>
      </c>
      <c r="K200" s="174" t="s">
        <v>101</v>
      </c>
      <c r="L200" s="174" t="s">
        <v>101</v>
      </c>
      <c r="M200" s="174" t="s">
        <v>101</v>
      </c>
      <c r="N200" s="174" t="s">
        <v>101</v>
      </c>
      <c r="O200" s="174" t="s">
        <v>101</v>
      </c>
      <c r="P200" s="174" t="s">
        <v>101</v>
      </c>
      <c r="Q200" s="174" t="s">
        <v>101</v>
      </c>
      <c r="R200" s="175" t="s">
        <v>101</v>
      </c>
    </row>
    <row r="201" spans="1:18" ht="13.5" thickBot="1" x14ac:dyDescent="0.25">
      <c r="A201" s="231" t="s">
        <v>233</v>
      </c>
      <c r="B201" s="165">
        <v>150</v>
      </c>
      <c r="C201" s="165" t="str">
        <f t="shared" si="341"/>
        <v/>
      </c>
      <c r="D201" s="165" t="s">
        <v>65</v>
      </c>
      <c r="E201" s="270" t="s">
        <v>65</v>
      </c>
      <c r="F201" s="227" t="s">
        <v>101</v>
      </c>
      <c r="G201" s="174" t="s">
        <v>101</v>
      </c>
      <c r="H201" s="174" t="s">
        <v>101</v>
      </c>
      <c r="I201" s="174" t="s">
        <v>101</v>
      </c>
      <c r="J201" s="174" t="s">
        <v>101</v>
      </c>
      <c r="K201" s="174" t="s">
        <v>101</v>
      </c>
      <c r="L201" s="174" t="s">
        <v>101</v>
      </c>
      <c r="M201" s="174" t="s">
        <v>101</v>
      </c>
      <c r="N201" s="174" t="s">
        <v>101</v>
      </c>
      <c r="O201" s="174" t="s">
        <v>101</v>
      </c>
      <c r="P201" s="174" t="s">
        <v>101</v>
      </c>
      <c r="Q201" s="174" t="s">
        <v>101</v>
      </c>
      <c r="R201" s="175" t="s">
        <v>101</v>
      </c>
    </row>
    <row r="202" spans="1:18" ht="26.25" thickBot="1" x14ac:dyDescent="0.25">
      <c r="A202" s="232" t="s">
        <v>234</v>
      </c>
      <c r="B202" s="269">
        <v>151</v>
      </c>
      <c r="C202" s="165" t="str">
        <f t="shared" si="341"/>
        <v/>
      </c>
      <c r="D202" s="165" t="s">
        <v>65</v>
      </c>
      <c r="E202" s="270" t="s">
        <v>65</v>
      </c>
      <c r="F202" s="227" t="s">
        <v>101</v>
      </c>
      <c r="G202" s="174" t="s">
        <v>101</v>
      </c>
      <c r="H202" s="174" t="s">
        <v>101</v>
      </c>
      <c r="I202" s="174" t="s">
        <v>101</v>
      </c>
      <c r="J202" s="174" t="s">
        <v>101</v>
      </c>
      <c r="K202" s="174" t="s">
        <v>101</v>
      </c>
      <c r="L202" s="174" t="s">
        <v>101</v>
      </c>
      <c r="M202" s="174" t="s">
        <v>101</v>
      </c>
      <c r="N202" s="174" t="s">
        <v>101</v>
      </c>
      <c r="O202" s="174" t="s">
        <v>101</v>
      </c>
      <c r="P202" s="174" t="s">
        <v>101</v>
      </c>
      <c r="Q202" s="174" t="s">
        <v>101</v>
      </c>
      <c r="R202" s="175" t="s">
        <v>101</v>
      </c>
    </row>
    <row r="203" spans="1:18" ht="13.5" thickBot="1" x14ac:dyDescent="0.25">
      <c r="A203" s="231" t="s">
        <v>235</v>
      </c>
      <c r="B203" s="165">
        <v>152</v>
      </c>
      <c r="C203" s="165" t="str">
        <f t="shared" si="341"/>
        <v/>
      </c>
      <c r="D203" s="165" t="s">
        <v>65</v>
      </c>
      <c r="E203" s="270" t="s">
        <v>65</v>
      </c>
      <c r="F203" s="227" t="s">
        <v>101</v>
      </c>
      <c r="G203" s="174" t="s">
        <v>101</v>
      </c>
      <c r="H203" s="174" t="s">
        <v>101</v>
      </c>
      <c r="I203" s="174" t="s">
        <v>101</v>
      </c>
      <c r="J203" s="174" t="s">
        <v>101</v>
      </c>
      <c r="K203" s="174" t="s">
        <v>101</v>
      </c>
      <c r="L203" s="174" t="s">
        <v>101</v>
      </c>
      <c r="M203" s="174" t="s">
        <v>101</v>
      </c>
      <c r="N203" s="174" t="s">
        <v>101</v>
      </c>
      <c r="O203" s="174" t="s">
        <v>101</v>
      </c>
      <c r="P203" s="174" t="s">
        <v>101</v>
      </c>
      <c r="Q203" s="174" t="s">
        <v>101</v>
      </c>
      <c r="R203" s="175" t="s">
        <v>101</v>
      </c>
    </row>
    <row r="204" spans="1:18" ht="25.5" x14ac:dyDescent="0.2">
      <c r="A204" s="551"/>
      <c r="B204" s="552"/>
      <c r="C204" s="553"/>
      <c r="D204" s="553"/>
      <c r="E204" s="554"/>
      <c r="F204" s="224" t="s">
        <v>539</v>
      </c>
      <c r="G204" s="166"/>
      <c r="H204" s="167"/>
      <c r="I204" s="167"/>
      <c r="J204" s="168"/>
      <c r="K204" s="167"/>
      <c r="L204" s="167"/>
      <c r="M204" s="167"/>
      <c r="N204" s="167"/>
      <c r="O204" s="167"/>
      <c r="P204" s="167"/>
      <c r="Q204" s="167"/>
      <c r="R204" s="169"/>
    </row>
    <row r="205" spans="1:18" ht="25.5" x14ac:dyDescent="0.2">
      <c r="A205" s="551"/>
      <c r="B205" s="552"/>
      <c r="C205" s="553"/>
      <c r="D205" s="553"/>
      <c r="E205" s="554"/>
      <c r="F205" s="225" t="s">
        <v>540</v>
      </c>
      <c r="G205" s="161"/>
      <c r="H205" s="162"/>
      <c r="I205" s="162"/>
      <c r="J205" s="170"/>
      <c r="K205" s="162"/>
      <c r="L205" s="162"/>
      <c r="M205" s="162"/>
      <c r="N205" s="162"/>
      <c r="O205" s="162"/>
      <c r="P205" s="162"/>
      <c r="Q205" s="162"/>
      <c r="R205" s="163"/>
    </row>
    <row r="206" spans="1:18" x14ac:dyDescent="0.2">
      <c r="A206" s="551"/>
      <c r="B206" s="552"/>
      <c r="C206" s="553"/>
      <c r="D206" s="553"/>
      <c r="E206" s="554"/>
      <c r="F206" s="226" t="s">
        <v>496</v>
      </c>
      <c r="G206" s="171"/>
      <c r="H206" s="172"/>
      <c r="I206" s="172"/>
      <c r="J206" s="172"/>
      <c r="K206" s="172"/>
      <c r="L206" s="172"/>
      <c r="M206" s="172"/>
      <c r="N206" s="172"/>
      <c r="O206" s="172"/>
      <c r="P206" s="172"/>
      <c r="Q206" s="172"/>
      <c r="R206" s="173"/>
    </row>
    <row r="207" spans="1:18" ht="25.5" x14ac:dyDescent="0.2">
      <c r="A207" s="551"/>
      <c r="B207" s="552"/>
      <c r="C207" s="553"/>
      <c r="D207" s="553"/>
      <c r="E207" s="554"/>
      <c r="F207" s="226" t="s">
        <v>497</v>
      </c>
      <c r="G207" s="171"/>
      <c r="H207" s="172"/>
      <c r="I207" s="172"/>
      <c r="J207" s="172"/>
      <c r="K207" s="172"/>
      <c r="L207" s="172"/>
      <c r="M207" s="172"/>
      <c r="N207" s="172"/>
      <c r="O207" s="172"/>
      <c r="P207" s="172"/>
      <c r="Q207" s="172"/>
      <c r="R207" s="173"/>
    </row>
    <row r="208" spans="1:18" ht="13.5" thickBot="1" x14ac:dyDescent="0.25">
      <c r="A208" s="254" t="s">
        <v>236</v>
      </c>
      <c r="B208" s="272">
        <v>153</v>
      </c>
      <c r="C208" s="272" t="str">
        <f>GetPatVar("s5zf","&amp;b1531")</f>
        <v>194646.42</v>
      </c>
      <c r="D208" s="272" t="str">
        <f>GetPatVar("s5zf","&amp;b1532")</f>
        <v>6257579.09</v>
      </c>
      <c r="E208" s="273" t="str">
        <f>GetPatVar("s5zf","&amp;b1533")</f>
        <v>6452225.51</v>
      </c>
      <c r="F208" s="245" t="s">
        <v>538</v>
      </c>
      <c r="G208" s="246">
        <f>(G204-G206)*G$2+(G205-G207)*G$3</f>
        <v>0</v>
      </c>
      <c r="H208" s="247">
        <f t="shared" ref="H208" si="342">(H204-H206)*H$2+(H205-H207)*H$3</f>
        <v>0</v>
      </c>
      <c r="I208" s="247">
        <f t="shared" ref="I208" si="343">(I204-I206)*I$2+(I205-I207)*I$3</f>
        <v>0</v>
      </c>
      <c r="J208" s="247">
        <f t="shared" ref="J208" si="344">(J204-J206)*J$2+(J205-J207)*J$3</f>
        <v>0</v>
      </c>
      <c r="K208" s="247">
        <f t="shared" ref="K208" si="345">(K204-K206)*K$2+(K205-K207)*K$3</f>
        <v>0</v>
      </c>
      <c r="L208" s="247">
        <f>(L204-L206)*L$2+(L205-L207)*L$3</f>
        <v>0</v>
      </c>
      <c r="M208" s="247">
        <f t="shared" ref="M208" si="346">(M204-M206)*M$2+(M205-M207)*M$3</f>
        <v>0</v>
      </c>
      <c r="N208" s="247">
        <f t="shared" ref="N208" si="347">(N204-N206)*N$2+(N205-N207)*N$3</f>
        <v>0</v>
      </c>
      <c r="O208" s="247">
        <f t="shared" ref="O208" si="348">(O204-O206)*O$2+(O205-O207)*O$3</f>
        <v>0</v>
      </c>
      <c r="P208" s="247">
        <f t="shared" ref="P208" si="349">(P204-P206)*P$2+(P205-P207)*P$3</f>
        <v>0</v>
      </c>
      <c r="Q208" s="247">
        <f t="shared" ref="Q208" si="350">(Q204-Q206)*Q$2+(Q205-Q207)*Q$3</f>
        <v>0</v>
      </c>
      <c r="R208" s="248">
        <f t="shared" ref="R208" si="351">(R204-R206)*R$2+(R205-R207)*R$3</f>
        <v>0</v>
      </c>
    </row>
    <row r="209" spans="1:11" x14ac:dyDescent="0.2">
      <c r="A209" s="83"/>
      <c r="B209" s="83"/>
      <c r="C209" s="82"/>
      <c r="D209" s="82"/>
      <c r="E209" s="82"/>
    </row>
    <row r="210" spans="1:11" ht="52.5" customHeight="1" x14ac:dyDescent="0.25">
      <c r="A210" s="76" t="s">
        <v>149</v>
      </c>
      <c r="B210" s="67"/>
      <c r="C210" s="67"/>
      <c r="D210" s="572"/>
      <c r="E210" s="573"/>
    </row>
    <row r="211" spans="1:11" x14ac:dyDescent="0.2">
      <c r="A211" s="67"/>
      <c r="C211" s="71" t="s">
        <v>145</v>
      </c>
      <c r="D211" s="574" t="s">
        <v>144</v>
      </c>
      <c r="E211" s="574"/>
    </row>
    <row r="212" spans="1:11" x14ac:dyDescent="0.2">
      <c r="A212" s="67"/>
      <c r="B212" s="67"/>
      <c r="C212" s="67"/>
      <c r="D212" s="67"/>
      <c r="E212" s="67"/>
      <c r="F212" s="67"/>
      <c r="G212" s="67"/>
      <c r="H212" s="67"/>
    </row>
    <row r="213" spans="1:11" x14ac:dyDescent="0.2">
      <c r="A213" s="75" t="s">
        <v>148</v>
      </c>
      <c r="B213" s="75"/>
      <c r="C213" s="74"/>
      <c r="D213" s="74"/>
      <c r="E213" s="67"/>
      <c r="F213" s="67"/>
      <c r="G213" s="67"/>
      <c r="H213" s="67"/>
      <c r="I213" s="67"/>
      <c r="J213" s="67"/>
      <c r="K213" s="67"/>
    </row>
    <row r="214" spans="1:11" x14ac:dyDescent="0.2">
      <c r="A214" s="73" t="s">
        <v>147</v>
      </c>
    </row>
    <row r="215" spans="1:11" x14ac:dyDescent="0.2">
      <c r="A215" s="68"/>
      <c r="B215" s="72" t="s">
        <v>146</v>
      </c>
      <c r="C215" s="71" t="s">
        <v>145</v>
      </c>
      <c r="D215" s="574" t="s">
        <v>144</v>
      </c>
      <c r="E215" s="574"/>
    </row>
    <row r="216" spans="1:11" x14ac:dyDescent="0.2">
      <c r="A216" s="68"/>
      <c r="B216" s="67"/>
      <c r="C216" s="67"/>
      <c r="D216" s="67"/>
      <c r="E216" s="67"/>
      <c r="F216" s="67"/>
      <c r="G216" s="67"/>
      <c r="H216" s="67"/>
    </row>
    <row r="217" spans="1:11" ht="14.25" x14ac:dyDescent="0.2">
      <c r="A217" s="70" t="s">
        <v>143</v>
      </c>
      <c r="B217" s="69"/>
      <c r="C217" s="69"/>
      <c r="D217" s="69"/>
      <c r="E217" s="67"/>
      <c r="F217" s="67"/>
    </row>
    <row r="218" spans="1:11" ht="24.95" customHeight="1" x14ac:dyDescent="0.2">
      <c r="A218" s="68" t="s">
        <v>142</v>
      </c>
      <c r="B218" s="569" t="s">
        <v>141</v>
      </c>
      <c r="C218" s="570"/>
      <c r="D218" s="570"/>
      <c r="E218" s="571"/>
      <c r="F218" s="67"/>
    </row>
    <row r="219" spans="1:11" ht="24.95" customHeight="1" x14ac:dyDescent="0.2"/>
  </sheetData>
  <autoFilter ref="F132:R208"/>
  <mergeCells count="194">
    <mergeCell ref="B218:E218"/>
    <mergeCell ref="D210:E210"/>
    <mergeCell ref="D211:E211"/>
    <mergeCell ref="D215:E215"/>
    <mergeCell ref="A122:E122"/>
    <mergeCell ref="A123:E123"/>
    <mergeCell ref="A124:E124"/>
    <mergeCell ref="A125:E125"/>
    <mergeCell ref="C130:C131"/>
    <mergeCell ref="D130:E130"/>
    <mergeCell ref="A138:A141"/>
    <mergeCell ref="B138:B141"/>
    <mergeCell ref="C138:C141"/>
    <mergeCell ref="D138:D141"/>
    <mergeCell ref="E138:E141"/>
    <mergeCell ref="A133:A136"/>
    <mergeCell ref="B133:B136"/>
    <mergeCell ref="C133:C136"/>
    <mergeCell ref="D133:D136"/>
    <mergeCell ref="E133:E136"/>
    <mergeCell ref="A148:A151"/>
    <mergeCell ref="B148:B151"/>
    <mergeCell ref="C148:C151"/>
    <mergeCell ref="D148:D151"/>
    <mergeCell ref="A7:A10"/>
    <mergeCell ref="B7:B10"/>
    <mergeCell ref="C7:C10"/>
    <mergeCell ref="D7:D10"/>
    <mergeCell ref="E7:E10"/>
    <mergeCell ref="D4:E4"/>
    <mergeCell ref="A1:E1"/>
    <mergeCell ref="A2:E2"/>
    <mergeCell ref="C4:C5"/>
    <mergeCell ref="A23:A26"/>
    <mergeCell ref="B23:B26"/>
    <mergeCell ref="C23:C26"/>
    <mergeCell ref="D23:D26"/>
    <mergeCell ref="E23:E26"/>
    <mergeCell ref="C13:C16"/>
    <mergeCell ref="D13:D16"/>
    <mergeCell ref="E13:E16"/>
    <mergeCell ref="A18:A21"/>
    <mergeCell ref="B18:B21"/>
    <mergeCell ref="C18:C21"/>
    <mergeCell ref="D18:D21"/>
    <mergeCell ref="E18:E21"/>
    <mergeCell ref="A13:A16"/>
    <mergeCell ref="B13:B16"/>
    <mergeCell ref="A33:A36"/>
    <mergeCell ref="B33:B36"/>
    <mergeCell ref="C33:C36"/>
    <mergeCell ref="D33:D36"/>
    <mergeCell ref="E33:E36"/>
    <mergeCell ref="A28:A31"/>
    <mergeCell ref="B28:B31"/>
    <mergeCell ref="C28:C31"/>
    <mergeCell ref="D28:D31"/>
    <mergeCell ref="E28:E31"/>
    <mergeCell ref="A43:A46"/>
    <mergeCell ref="B43:B46"/>
    <mergeCell ref="C43:C46"/>
    <mergeCell ref="D43:D46"/>
    <mergeCell ref="E43:E46"/>
    <mergeCell ref="A38:A41"/>
    <mergeCell ref="B38:B41"/>
    <mergeCell ref="C38:C41"/>
    <mergeCell ref="D38:D41"/>
    <mergeCell ref="E38:E41"/>
    <mergeCell ref="A53:A56"/>
    <mergeCell ref="B53:B56"/>
    <mergeCell ref="C53:C56"/>
    <mergeCell ref="D53:D56"/>
    <mergeCell ref="E53:E56"/>
    <mergeCell ref="A48:A51"/>
    <mergeCell ref="B48:B51"/>
    <mergeCell ref="C48:C51"/>
    <mergeCell ref="D48:D51"/>
    <mergeCell ref="E48:E51"/>
    <mergeCell ref="A64:A67"/>
    <mergeCell ref="B64:B67"/>
    <mergeCell ref="C64:C67"/>
    <mergeCell ref="D64:D67"/>
    <mergeCell ref="E64:E67"/>
    <mergeCell ref="A59:A62"/>
    <mergeCell ref="B59:B62"/>
    <mergeCell ref="C59:C62"/>
    <mergeCell ref="D59:D62"/>
    <mergeCell ref="E59:E62"/>
    <mergeCell ref="A74:A77"/>
    <mergeCell ref="B74:B77"/>
    <mergeCell ref="C74:C77"/>
    <mergeCell ref="D74:D77"/>
    <mergeCell ref="E74:E77"/>
    <mergeCell ref="A69:A72"/>
    <mergeCell ref="B69:B72"/>
    <mergeCell ref="C69:C72"/>
    <mergeCell ref="D69:D72"/>
    <mergeCell ref="E69:E72"/>
    <mergeCell ref="A84:A87"/>
    <mergeCell ref="B84:B87"/>
    <mergeCell ref="C84:C87"/>
    <mergeCell ref="D84:D87"/>
    <mergeCell ref="E84:E87"/>
    <mergeCell ref="A79:A82"/>
    <mergeCell ref="B79:B82"/>
    <mergeCell ref="C79:C82"/>
    <mergeCell ref="D79:D82"/>
    <mergeCell ref="E79:E82"/>
    <mergeCell ref="A94:A97"/>
    <mergeCell ref="B94:B97"/>
    <mergeCell ref="C94:C97"/>
    <mergeCell ref="D94:D97"/>
    <mergeCell ref="E94:E97"/>
    <mergeCell ref="A89:A92"/>
    <mergeCell ref="B89:B92"/>
    <mergeCell ref="C89:C92"/>
    <mergeCell ref="D89:D92"/>
    <mergeCell ref="E89:E92"/>
    <mergeCell ref="A104:A107"/>
    <mergeCell ref="B104:B107"/>
    <mergeCell ref="C104:C107"/>
    <mergeCell ref="D104:D107"/>
    <mergeCell ref="E104:E107"/>
    <mergeCell ref="A99:A102"/>
    <mergeCell ref="B99:B102"/>
    <mergeCell ref="C99:C102"/>
    <mergeCell ref="D99:D102"/>
    <mergeCell ref="E99:E102"/>
    <mergeCell ref="A114:A117"/>
    <mergeCell ref="B114:B117"/>
    <mergeCell ref="C114:C117"/>
    <mergeCell ref="D114:D117"/>
    <mergeCell ref="E114:E117"/>
    <mergeCell ref="A109:A112"/>
    <mergeCell ref="B109:B112"/>
    <mergeCell ref="C109:C112"/>
    <mergeCell ref="D109:D112"/>
    <mergeCell ref="E109:E112"/>
    <mergeCell ref="E148:E151"/>
    <mergeCell ref="A143:A146"/>
    <mergeCell ref="B143:B146"/>
    <mergeCell ref="C143:C146"/>
    <mergeCell ref="D143:D146"/>
    <mergeCell ref="E143:E146"/>
    <mergeCell ref="A158:A161"/>
    <mergeCell ref="B158:B161"/>
    <mergeCell ref="C158:C161"/>
    <mergeCell ref="D158:D161"/>
    <mergeCell ref="E158:E161"/>
    <mergeCell ref="A153:A156"/>
    <mergeCell ref="B153:B156"/>
    <mergeCell ref="C153:C156"/>
    <mergeCell ref="D153:D156"/>
    <mergeCell ref="E153:E156"/>
    <mergeCell ref="A168:A171"/>
    <mergeCell ref="B168:B171"/>
    <mergeCell ref="C168:C171"/>
    <mergeCell ref="D168:D171"/>
    <mergeCell ref="E168:E171"/>
    <mergeCell ref="A163:A166"/>
    <mergeCell ref="B163:B166"/>
    <mergeCell ref="C163:C166"/>
    <mergeCell ref="D163:D166"/>
    <mergeCell ref="E163:E166"/>
    <mergeCell ref="A178:A181"/>
    <mergeCell ref="B178:B181"/>
    <mergeCell ref="C178:C181"/>
    <mergeCell ref="D178:D181"/>
    <mergeCell ref="E178:E181"/>
    <mergeCell ref="A173:A176"/>
    <mergeCell ref="B173:B176"/>
    <mergeCell ref="C173:C176"/>
    <mergeCell ref="D173:D176"/>
    <mergeCell ref="E173:E176"/>
    <mergeCell ref="A189:A192"/>
    <mergeCell ref="B189:B192"/>
    <mergeCell ref="C189:C192"/>
    <mergeCell ref="D189:D192"/>
    <mergeCell ref="E189:E192"/>
    <mergeCell ref="A183:A186"/>
    <mergeCell ref="B183:B186"/>
    <mergeCell ref="C183:C186"/>
    <mergeCell ref="D183:D186"/>
    <mergeCell ref="E183:E186"/>
    <mergeCell ref="A204:A207"/>
    <mergeCell ref="B204:B207"/>
    <mergeCell ref="C204:C207"/>
    <mergeCell ref="D204:D207"/>
    <mergeCell ref="E204:E207"/>
    <mergeCell ref="A194:A197"/>
    <mergeCell ref="B194:B197"/>
    <mergeCell ref="C194:C197"/>
    <mergeCell ref="D194:D197"/>
    <mergeCell ref="E194:E197"/>
  </mergeCells>
  <pageMargins left="0.78740157480314965" right="0.19685039370078741" top="0.39370078740157483" bottom="0.39370078740157483" header="0.51181102362204722" footer="0.51181102362204722"/>
  <pageSetup paperSize="9" scale="99" orientation="landscape" r:id="rId1"/>
  <headerFooter alignWithMargins="0"/>
  <rowBreaks count="1" manualBreakCount="1">
    <brk id="118" max="17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>
      <selection activeCell="F23" sqref="F23"/>
    </sheetView>
  </sheetViews>
  <sheetFormatPr defaultRowHeight="12.75" x14ac:dyDescent="0.2"/>
  <sheetData>
    <row r="1" spans="1:2" x14ac:dyDescent="0.2">
      <c r="A1" t="s">
        <v>0</v>
      </c>
      <c r="B1" t="str">
        <f>GetPatVar("ru","&amp;2")</f>
        <v/>
      </c>
    </row>
    <row r="2" spans="1:2" x14ac:dyDescent="0.2">
      <c r="A2" t="s">
        <v>1</v>
      </c>
      <c r="B2" t="str">
        <f>GetPatVar("ru","&amp;dy")</f>
        <v/>
      </c>
    </row>
    <row r="3" spans="1:2" x14ac:dyDescent="0.2">
      <c r="A3" t="s">
        <v>2</v>
      </c>
      <c r="B3" t="str">
        <f>GetPatVar("test","&amp;dateend")</f>
        <v/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3</vt:i4>
      </vt:variant>
    </vt:vector>
  </HeadingPairs>
  <TitlesOfParts>
    <vt:vector size="14" baseType="lpstr">
      <vt:lpstr>PATVARS</vt:lpstr>
      <vt:lpstr>Главная</vt:lpstr>
      <vt:lpstr>I раздел</vt:lpstr>
      <vt:lpstr>I Раздел (Значения)</vt:lpstr>
      <vt:lpstr>II раздел</vt:lpstr>
      <vt:lpstr>II Раздел (Значения)</vt:lpstr>
      <vt:lpstr>III раздел</vt:lpstr>
      <vt:lpstr>Лист1</vt:lpstr>
      <vt:lpstr>Лист2</vt:lpstr>
      <vt:lpstr>Лист4</vt:lpstr>
      <vt:lpstr>Шаблон для PAT - отчёта</vt:lpstr>
      <vt:lpstr>Лист1!Область_печати</vt:lpstr>
      <vt:lpstr>Лист2!Область_печати</vt:lpstr>
      <vt:lpstr>Лист4!Область_печати</vt:lpstr>
    </vt:vector>
  </TitlesOfParts>
  <Company>НТО ТОП СОФТ, корпорация Галактика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saniuk</dc:creator>
  <cp:lastModifiedBy>saniuk</cp:lastModifiedBy>
  <cp:lastPrinted>2022-04-29T10:40:36Z</cp:lastPrinted>
  <dcterms:created xsi:type="dcterms:W3CDTF">1998-12-15T13:30:53Z</dcterms:created>
  <dcterms:modified xsi:type="dcterms:W3CDTF">2022-04-29T11:23:26Z</dcterms:modified>
</cp:coreProperties>
</file>